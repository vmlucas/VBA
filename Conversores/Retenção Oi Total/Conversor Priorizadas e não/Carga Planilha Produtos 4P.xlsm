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Retenção Oi Total\Conversor Priorizadas e não\"/>
    </mc:Choice>
  </mc:AlternateContent>
  <xr:revisionPtr revIDLastSave="0" documentId="10_ncr:100000_{6A3E5DA7-BFB6-4B6B-A773-6A4E580767A5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ALLNET" sheetId="1" r:id="rId1"/>
    <sheet name="Sheet1" sheetId="7" r:id="rId2"/>
    <sheet name="Erro" sheetId="6" r:id="rId3"/>
    <sheet name="Sem Fidelidade" sheetId="2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ALLNET!$A$4:$CRL$425</definedName>
    <definedName name="_xlnm._FilterDatabase" localSheetId="3" hidden="1">'Sem Fidelidade'!$A$4:$AY$22</definedName>
    <definedName name="_validValues">[1]Settings!$A$1</definedName>
    <definedName name="hhhhhh">[2]Settings!$A$1</definedName>
    <definedName name="sssaaa">[3]Settings!$A$1</definedName>
    <definedName name="validValues">[4]Settings!$A$1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J26" i="6" l="1"/>
  <c r="GB26" i="6"/>
  <c r="GA26" i="6"/>
  <c r="FQ26" i="6"/>
  <c r="FP26" i="6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J26" i="6"/>
  <c r="DI26" i="6"/>
  <c r="DA26" i="6"/>
  <c r="DB26" i="6" s="1"/>
  <c r="CS26" i="6"/>
  <c r="CT26" i="6" s="1"/>
  <c r="CO26" i="6"/>
  <c r="CP26" i="6" s="1"/>
  <c r="CL26" i="6"/>
  <c r="CK26" i="6"/>
  <c r="CG26" i="6"/>
  <c r="CH26" i="6" s="1"/>
  <c r="CC26" i="6"/>
  <c r="CD26" i="6" s="1"/>
  <c r="BY26" i="6"/>
  <c r="BZ26" i="6" s="1"/>
  <c r="BV26" i="6"/>
  <c r="BU26" i="6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J25" i="6"/>
  <c r="DI25" i="6"/>
  <c r="DA25" i="6"/>
  <c r="DB25" i="6" s="1"/>
  <c r="CS25" i="6"/>
  <c r="CT25" i="6" s="1"/>
  <c r="CO25" i="6"/>
  <c r="CP25" i="6" s="1"/>
  <c r="CL25" i="6"/>
  <c r="CK25" i="6"/>
  <c r="CG25" i="6"/>
  <c r="CH25" i="6" s="1"/>
  <c r="CC25" i="6"/>
  <c r="CD25" i="6" s="1"/>
  <c r="BY25" i="6"/>
  <c r="BZ25" i="6" s="1"/>
  <c r="BV25" i="6"/>
  <c r="BU25" i="6"/>
  <c r="BQ25" i="6"/>
  <c r="BR25" i="6" s="1"/>
  <c r="BK25" i="6"/>
  <c r="BL25" i="6" s="1"/>
  <c r="BI25" i="6"/>
  <c r="EI25" i="6" s="1"/>
  <c r="A25" i="6"/>
  <c r="GJ24" i="6"/>
  <c r="GB24" i="6"/>
  <c r="GA24" i="6"/>
  <c r="FQ24" i="6"/>
  <c r="FP24" i="6"/>
  <c r="FM24" i="6"/>
  <c r="FN24" i="6" s="1"/>
  <c r="FJ24" i="6"/>
  <c r="FK24" i="6" s="1"/>
  <c r="FG24" i="6"/>
  <c r="FH24" i="6" s="1"/>
  <c r="FE24" i="6"/>
  <c r="FD24" i="6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Y23" i="6"/>
  <c r="DX23" i="6"/>
  <c r="DQ23" i="6"/>
  <c r="DR23" i="6" s="1"/>
  <c r="DI23" i="6"/>
  <c r="DJ23" i="6" s="1"/>
  <c r="DA23" i="6"/>
  <c r="DB23" i="6" s="1"/>
  <c r="CT23" i="6"/>
  <c r="CS23" i="6"/>
  <c r="CO23" i="6"/>
  <c r="CP23" i="6" s="1"/>
  <c r="CL23" i="6"/>
  <c r="CK23" i="6"/>
  <c r="CG23" i="6"/>
  <c r="CH23" i="6" s="1"/>
  <c r="CD23" i="6"/>
  <c r="CC23" i="6"/>
  <c r="BY23" i="6"/>
  <c r="BZ23" i="6" s="1"/>
  <c r="BU23" i="6"/>
  <c r="BV23" i="6" s="1"/>
  <c r="BQ23" i="6"/>
  <c r="BR23" i="6" s="1"/>
  <c r="BL23" i="6"/>
  <c r="BK23" i="6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Q21" i="6"/>
  <c r="FP21" i="6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J20" i="6"/>
  <c r="DI20" i="6"/>
  <c r="DA20" i="6"/>
  <c r="DB20" i="6" s="1"/>
  <c r="CS20" i="6"/>
  <c r="CT20" i="6" s="1"/>
  <c r="CO20" i="6"/>
  <c r="CP20" i="6" s="1"/>
  <c r="CL20" i="6"/>
  <c r="CK20" i="6"/>
  <c r="CG20" i="6"/>
  <c r="CH20" i="6" s="1"/>
  <c r="CC20" i="6"/>
  <c r="CD20" i="6" s="1"/>
  <c r="BY20" i="6"/>
  <c r="BZ20" i="6" s="1"/>
  <c r="BV20" i="6"/>
  <c r="BU20" i="6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Y19" i="6"/>
  <c r="DX19" i="6"/>
  <c r="DQ19" i="6"/>
  <c r="DR19" i="6" s="1"/>
  <c r="DI19" i="6"/>
  <c r="DJ19" i="6" s="1"/>
  <c r="DA19" i="6"/>
  <c r="DB19" i="6" s="1"/>
  <c r="CT19" i="6"/>
  <c r="CS19" i="6"/>
  <c r="CO19" i="6"/>
  <c r="CP19" i="6" s="1"/>
  <c r="CL19" i="6"/>
  <c r="CK19" i="6"/>
  <c r="CG19" i="6"/>
  <c r="CH19" i="6" s="1"/>
  <c r="CD19" i="6"/>
  <c r="CC19" i="6"/>
  <c r="BY19" i="6"/>
  <c r="BZ19" i="6" s="1"/>
  <c r="BU19" i="6"/>
  <c r="BV19" i="6" s="1"/>
  <c r="BQ19" i="6"/>
  <c r="BR19" i="6" s="1"/>
  <c r="BL19" i="6"/>
  <c r="BK19" i="6"/>
  <c r="BI19" i="6"/>
  <c r="EG19" i="6" s="1"/>
  <c r="EM19" i="6" s="1"/>
  <c r="EN19" i="6" s="1"/>
  <c r="A19" i="6"/>
  <c r="GJ18" i="6"/>
  <c r="GB18" i="6"/>
  <c r="GA18" i="6"/>
  <c r="FQ18" i="6"/>
  <c r="FP18" i="6"/>
  <c r="FM18" i="6"/>
  <c r="FN18" i="6" s="1"/>
  <c r="FK18" i="6"/>
  <c r="FJ18" i="6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K17" i="6"/>
  <c r="FJ17" i="6"/>
  <c r="FG17" i="6"/>
  <c r="FH17" i="6" s="1"/>
  <c r="FE17" i="6"/>
  <c r="FD17" i="6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K16" i="6"/>
  <c r="FJ16" i="6"/>
  <c r="FG16" i="6"/>
  <c r="FH16" i="6" s="1"/>
  <c r="FE16" i="6"/>
  <c r="FD16" i="6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K15" i="6"/>
  <c r="FJ15" i="6"/>
  <c r="FG15" i="6"/>
  <c r="FH15" i="6" s="1"/>
  <c r="FE15" i="6"/>
  <c r="FD15" i="6"/>
  <c r="FA15" i="6"/>
  <c r="FB15" i="6" s="1"/>
  <c r="EY15" i="6"/>
  <c r="EX15" i="6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Y14" i="6"/>
  <c r="DX14" i="6"/>
  <c r="DQ14" i="6"/>
  <c r="DR14" i="6" s="1"/>
  <c r="DI14" i="6"/>
  <c r="DJ14" i="6" s="1"/>
  <c r="DA14" i="6"/>
  <c r="DB14" i="6" s="1"/>
  <c r="CT14" i="6"/>
  <c r="CS14" i="6"/>
  <c r="CO14" i="6"/>
  <c r="CP14" i="6" s="1"/>
  <c r="CL14" i="6"/>
  <c r="CK14" i="6"/>
  <c r="CG14" i="6"/>
  <c r="CH14" i="6" s="1"/>
  <c r="CD14" i="6"/>
  <c r="CC14" i="6"/>
  <c r="BY14" i="6"/>
  <c r="BZ14" i="6" s="1"/>
  <c r="BU14" i="6"/>
  <c r="BV14" i="6" s="1"/>
  <c r="BQ14" i="6"/>
  <c r="BR14" i="6" s="1"/>
  <c r="BL14" i="6"/>
  <c r="BK14" i="6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Y13" i="6"/>
  <c r="DX13" i="6"/>
  <c r="DQ13" i="6"/>
  <c r="DR13" i="6" s="1"/>
  <c r="DJ13" i="6"/>
  <c r="DI13" i="6"/>
  <c r="DA13" i="6"/>
  <c r="DB13" i="6" s="1"/>
  <c r="CT13" i="6"/>
  <c r="CS13" i="6"/>
  <c r="CO13" i="6"/>
  <c r="CP13" i="6" s="1"/>
  <c r="CK13" i="6"/>
  <c r="CL13" i="6" s="1"/>
  <c r="CG13" i="6"/>
  <c r="CH13" i="6" s="1"/>
  <c r="CD13" i="6"/>
  <c r="CC13" i="6"/>
  <c r="BY13" i="6"/>
  <c r="BZ13" i="6" s="1"/>
  <c r="BV13" i="6"/>
  <c r="BU13" i="6"/>
  <c r="BQ13" i="6"/>
  <c r="BR13" i="6" s="1"/>
  <c r="BL13" i="6"/>
  <c r="BK13" i="6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Y12" i="6"/>
  <c r="DX12" i="6"/>
  <c r="DQ12" i="6"/>
  <c r="DR12" i="6" s="1"/>
  <c r="DJ12" i="6"/>
  <c r="DI12" i="6"/>
  <c r="DA12" i="6"/>
  <c r="DB12" i="6" s="1"/>
  <c r="CT12" i="6"/>
  <c r="CS12" i="6"/>
  <c r="CO12" i="6"/>
  <c r="CP12" i="6" s="1"/>
  <c r="CL12" i="6"/>
  <c r="CK12" i="6"/>
  <c r="CG12" i="6"/>
  <c r="CH12" i="6" s="1"/>
  <c r="CD12" i="6"/>
  <c r="CC12" i="6"/>
  <c r="BY12" i="6"/>
  <c r="BZ12" i="6" s="1"/>
  <c r="BV12" i="6"/>
  <c r="BU12" i="6"/>
  <c r="BQ12" i="6"/>
  <c r="BR12" i="6" s="1"/>
  <c r="BL12" i="6"/>
  <c r="BK12" i="6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Y11" i="6"/>
  <c r="DX11" i="6"/>
  <c r="DQ11" i="6"/>
  <c r="DR11" i="6" s="1"/>
  <c r="DJ11" i="6"/>
  <c r="DI11" i="6"/>
  <c r="DA11" i="6"/>
  <c r="DB11" i="6" s="1"/>
  <c r="CS11" i="6"/>
  <c r="CT11" i="6" s="1"/>
  <c r="CO11" i="6"/>
  <c r="CP11" i="6" s="1"/>
  <c r="CL11" i="6"/>
  <c r="CK11" i="6"/>
  <c r="CG11" i="6"/>
  <c r="CH11" i="6" s="1"/>
  <c r="CD11" i="6"/>
  <c r="CC11" i="6"/>
  <c r="BY11" i="6"/>
  <c r="BZ11" i="6" s="1"/>
  <c r="BV11" i="6"/>
  <c r="BU11" i="6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V8" i="6"/>
  <c r="BU8" i="6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Y7" i="6"/>
  <c r="DX7" i="6"/>
  <c r="DQ7" i="6"/>
  <c r="DR7" i="6" s="1"/>
  <c r="DI7" i="6"/>
  <c r="DJ7" i="6" s="1"/>
  <c r="DA7" i="6"/>
  <c r="DB7" i="6" s="1"/>
  <c r="CT7" i="6"/>
  <c r="CS7" i="6"/>
  <c r="CO7" i="6"/>
  <c r="CP7" i="6" s="1"/>
  <c r="CL7" i="6"/>
  <c r="CK7" i="6"/>
  <c r="CG7" i="6"/>
  <c r="CH7" i="6" s="1"/>
  <c r="CC7" i="6"/>
  <c r="CD7" i="6" s="1"/>
  <c r="BY7" i="6"/>
  <c r="BZ7" i="6" s="1"/>
  <c r="BU7" i="6"/>
  <c r="BV7" i="6" s="1"/>
  <c r="BQ7" i="6"/>
  <c r="BR7" i="6" s="1"/>
  <c r="BL7" i="6"/>
  <c r="BK7" i="6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Y4" i="6"/>
  <c r="DX4" i="6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  <comment ref="AS4" authorId="1" shapeId="0" xr:uid="{00000000-0006-0000-0000-00002B000000}">
      <text/>
    </comment>
    <comment ref="AT4" authorId="1" shapeId="0" xr:uid="{00000000-0006-0000-0000-00002C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</commentList>
</comments>
</file>

<file path=xl/sharedStrings.xml><?xml version="1.0" encoding="utf-8"?>
<sst xmlns="http://schemas.openxmlformats.org/spreadsheetml/2006/main" count="44629" uniqueCount="3325">
  <si>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</si>
  <si>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</si>
  <si>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</si>
  <si>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</si>
  <si>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</si>
  <si>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</si>
  <si>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</si>
  <si>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</si>
  <si>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</si>
  <si>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</si>
  <si>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</si>
  <si>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</si>
  <si>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</si>
  <si>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</si>
  <si>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</si>
  <si>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</si>
  <si>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</si>
  <si>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</si>
  <si>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</si>
  <si>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</si>
  <si>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</si>
  <si>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</si>
  <si>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</si>
  <si>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</si>
  <si>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</si>
  <si>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</si>
  <si>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</si>
  <si>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</si>
  <si>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</si>
  <si>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</si>
  <si>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</si>
  <si>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</si>
  <si>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</si>
  <si>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</si>
  <si>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</si>
  <si>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</si>
  <si>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</si>
  <si>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</si>
  <si>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</si>
  <si>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</si>
  <si>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</si>
  <si>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</si>
  <si>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</si>
  <si>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</si>
  <si>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</si>
  <si>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</si>
  <si>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</si>
  <si>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</si>
  <si>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</si>
  <si>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</si>
  <si>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</si>
  <si>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</si>
  <si>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</si>
  <si>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</si>
  <si>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</si>
  <si>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</si>
  <si>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</si>
  <si>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</si>
  <si>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</si>
  <si>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</si>
  <si>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</si>
  <si>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"VX Até 2mb"</t>
  </si>
  <si>
    <t>"Fixo Ilimitado"</t>
  </si>
  <si>
    <t>"RetencaoOT"</t>
  </si>
  <si>
    <t>"Aquisicao"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</si>
  <si>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</si>
  <si>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</si>
  <si>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</si>
  <si>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</si>
  <si>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</si>
  <si>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</si>
  <si>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</si>
  <si>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</si>
  <si>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</si>
  <si>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</si>
  <si>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</si>
  <si>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</si>
  <si>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</si>
  <si>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</si>
  <si>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</si>
  <si>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</si>
  <si>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</si>
  <si>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</si>
  <si>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</si>
  <si>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</si>
  <si>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</si>
  <si>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</si>
  <si>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</si>
  <si>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</si>
  <si>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</si>
  <si>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</si>
  <si>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</si>
  <si>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</si>
  <si>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</si>
  <si>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</si>
  <si>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</si>
  <si>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</si>
  <si>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</si>
  <si>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</si>
  <si>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</si>
  <si>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</si>
  <si>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</si>
  <si>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</si>
  <si>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</si>
  <si>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</si>
  <si>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</si>
  <si>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</si>
  <si>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</si>
  <si>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</si>
  <si>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</si>
  <si>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</si>
  <si>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</si>
  <si>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</si>
  <si>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</si>
  <si>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</si>
  <si>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</si>
  <si>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</si>
  <si>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</si>
  <si>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</si>
  <si>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</si>
  <si>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</si>
  <si>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</si>
  <si>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</si>
  <si>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</si>
  <si>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</si>
  <si>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</si>
  <si>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</si>
  <si>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</si>
  <si>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</si>
  <si>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</si>
  <si>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</si>
  <si>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</si>
  <si>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</si>
  <si>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</si>
  <si>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</si>
  <si>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</si>
  <si>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</si>
  <si>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</si>
  <si>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</si>
  <si>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</si>
  <si>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</si>
  <si>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</si>
  <si>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</si>
  <si>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</si>
  <si>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</si>
  <si>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</si>
  <si>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</si>
  <si>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</si>
  <si>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</si>
  <si>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</si>
  <si>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</si>
  <si>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</si>
  <si>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</si>
  <si>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</si>
  <si>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</si>
  <si>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</si>
  <si>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</si>
  <si>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</si>
  <si>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</si>
  <si>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</si>
  <si>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</si>
  <si>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</si>
  <si>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</si>
  <si>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</si>
  <si>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</si>
  <si>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</si>
  <si>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</si>
  <si>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</si>
  <si>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</si>
  <si>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</si>
  <si>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</si>
  <si>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</si>
  <si>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</si>
  <si>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</si>
  <si>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</si>
  <si>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</si>
  <si>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</si>
  <si>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</si>
  <si>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</si>
  <si>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</si>
  <si>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</si>
  <si>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</si>
  <si>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</si>
  <si>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</si>
  <si>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</si>
  <si>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</si>
  <si>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</si>
  <si>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</si>
  <si>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</si>
  <si>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</si>
  <si>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</si>
  <si>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</si>
  <si>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</si>
  <si>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</si>
  <si>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</si>
  <si>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</si>
  <si>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</si>
  <si>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</si>
  <si>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</si>
  <si>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</si>
  <si>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</si>
  <si>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</si>
  <si>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</si>
  <si>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</si>
  <si>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</si>
  <si>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</si>
  <si>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</si>
  <si>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</si>
  <si>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</si>
  <si>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</si>
  <si>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</si>
  <si>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</si>
  <si>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</si>
  <si>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</si>
  <si>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</si>
  <si>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</si>
  <si>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</si>
  <si>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</si>
  <si>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</si>
  <si>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</si>
  <si>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</si>
  <si>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</si>
  <si>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</si>
  <si>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</si>
  <si>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</si>
  <si>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</si>
  <si>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</si>
  <si>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</si>
  <si>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</si>
  <si>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</si>
  <si>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</si>
  <si>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</si>
  <si>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</si>
  <si>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</si>
  <si>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</si>
  <si>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</si>
  <si>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</si>
  <si>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</si>
  <si>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</si>
  <si>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</si>
  <si>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</si>
  <si>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</si>
  <si>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</si>
  <si>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</si>
  <si>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</si>
  <si>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</si>
  <si>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</si>
  <si>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</si>
  <si>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</si>
  <si>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</si>
  <si>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</si>
  <si>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</si>
  <si>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</si>
  <si>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</si>
  <si>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</si>
  <si>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</si>
  <si>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</si>
  <si>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</si>
  <si>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</si>
  <si>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</si>
  <si>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</si>
  <si>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</si>
  <si>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</si>
  <si>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</si>
  <si>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</si>
  <si>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</si>
  <si>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</si>
  <si>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</si>
  <si>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</si>
  <si>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</si>
  <si>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</si>
  <si>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</si>
  <si>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</si>
  <si>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</si>
  <si>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</si>
  <si>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</si>
  <si>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</si>
  <si>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</si>
  <si>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</si>
  <si>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</si>
  <si>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</si>
  <si>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</si>
  <si>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</si>
  <si>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</si>
  <si>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</si>
  <si>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</si>
  <si>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</si>
  <si>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</si>
  <si>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</si>
  <si>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</si>
  <si>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</si>
  <si>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</si>
  <si>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</si>
  <si>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</si>
  <si>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</si>
  <si>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</si>
  <si>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</si>
  <si>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</si>
  <si>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</si>
  <si>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</si>
  <si>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</si>
  <si>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</si>
  <si>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</si>
  <si>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"Franquia ilimitada"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</si>
  <si>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</si>
  <si>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</si>
  <si>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</si>
  <si>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</si>
  <si>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</si>
  <si>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</si>
  <si>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</si>
  <si>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</si>
  <si>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</si>
  <si>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</si>
  <si>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</si>
  <si>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"TV Start HD"</t>
  </si>
  <si>
    <t>LinhaOferta</t>
  </si>
  <si>
    <t>CodigoCampanhaVoz</t>
  </si>
  <si>
    <t>CodigoOfertaVoz</t>
  </si>
  <si>
    <t>.LinhaOferta</t>
  </si>
  <si>
    <t>.CodigoCampanhaVoz</t>
  </si>
  <si>
    <t>.CodigoOfertaVoz</t>
  </si>
  <si>
    <t>otherwise</t>
  </si>
  <si>
    <t>"LD VC ALL"</t>
  </si>
  <si>
    <t>""</t>
  </si>
  <si>
    <t>"oi total fixo + oi mais 4gb + banda larga"</t>
  </si>
  <si>
    <t>"OT_MIG_JUL18_FID_4P_PILIM_4GB_D1_TV_BL2_OF2"</t>
  </si>
  <si>
    <t>"Retencao"</t>
  </si>
  <si>
    <t>4000False"TV Start HD""VX Até 2mb""Franquia ilimitada"29.9"OT_MIG_JUL18_FID_4P_PILIM_4GB_D1_TV_BL2_OF2"</t>
  </si>
  <si>
    <t>"TV Mix HD"</t>
  </si>
  <si>
    <t>4000False"TV Mix HD""VX Até 2mb""Franquia ilimitada"29.9"OT_MIG_JUL18_FID_4P_PILIM_4GB_D1_TV_BL2_OF2"</t>
  </si>
  <si>
    <t>"TV Mix HBOMAX HD"</t>
  </si>
  <si>
    <t>4000False"TV Mix HBOMAX HD""VX Até 2mb""Franquia ilimitada"29.9"OT_MIG_JUL18_FID_4P_PILIM_4GB_D1_TV_BL2_OF2"</t>
  </si>
  <si>
    <t>"TV Mix Telecine HD"</t>
  </si>
  <si>
    <t>4000False"TV Mix Telecine HD""VX Até 2mb""Franquia ilimitada"29.9"OT_MIG_JUL18_FID_4P_PILIM_4GB_D1_TV_BL2_OF2"</t>
  </si>
  <si>
    <t>"TV Mix Cinema HD"</t>
  </si>
  <si>
    <t>4000False"TV Mix Cinema HD""VX Até 2mb""Franquia ilimitada"29.9"OT_MIG_JUL18_FID_4P_PILIM_4GB_D1_TV_BL2_OF2"</t>
  </si>
  <si>
    <t>"TV Total HD"</t>
  </si>
  <si>
    <t>4000False"TV Total HD""VX Até 2mb""Franquia ilimitada"29.9"OT_MIG_JUL18_FID_4P_PILIM_4GB_D1_TV_BL2_OF2"</t>
  </si>
  <si>
    <t>"TV Total HBOMAX HD"</t>
  </si>
  <si>
    <t>4000False"TV Total HBOMAX HD""VX Até 2mb""Franquia ilimitada"29.9"OT_MIG_JUL18_FID_4P_PILIM_4GB_D1_TV_BL2_OF2"</t>
  </si>
  <si>
    <t>"TV Total Telecine HD"</t>
  </si>
  <si>
    <t>4000False"TV Total Telecine HD""VX Até 2mb""Franquia ilimitada"29.9"OT_MIG_JUL18_FID_4P_PILIM_4GB_D1_TV_BL2_OF2"</t>
  </si>
  <si>
    <t>"TV Total Cinema HD"</t>
  </si>
  <si>
    <t>4000False"TV Total Cinema HD""VX Até 2mb""Franquia ilimitada"29.9"OT_MIG_JUL18_FID_4P_PILIM_4GB_D1_TV_BL2_OF2"</t>
  </si>
  <si>
    <t>4000True"TV Total HD""VX Até 2mb""Franquia ilimitada"29.9"OT_MIG_JUL18_FID_4P_PILIM_4GB_D1_TV_BL2_OF2"</t>
  </si>
  <si>
    <t>4000True"TV Total HBOMAX HD""VX Até 2mb""Franquia ilimitada"29.9"OT_MIG_JUL18_FID_4P_PILIM_4GB_D1_TV_BL2_OF2"</t>
  </si>
  <si>
    <t>4000True"TV Total Telecine HD""VX Até 2mb""Franquia ilimitada"29.9"OT_MIG_JUL18_FID_4P_PILIM_4GB_D1_TV_BL2_OF2"</t>
  </si>
  <si>
    <t>4000True"TV Total Cinema HD""VX Até 2mb""Franquia ilimitada"29.9"OT_MIG_JUL18_FID_4P_PILIM_4GB_D1_TV_BL2_OF2"</t>
  </si>
  <si>
    <t>"BLM 10gb"</t>
  </si>
  <si>
    <t>4000False"TV Start HD""BLM 10gb""Franquia ilimitada"29.9"OT_MIG_JUL18_FID_4P_PILIM_4GB_D1_TV_BL2_OF2"</t>
  </si>
  <si>
    <t>4000False"TV Mix HD""BLM 10gb""Franquia ilimitada"29.9"OT_MIG_JUL18_FID_4P_PILIM_4GB_D1_TV_BL2_OF2"</t>
  </si>
  <si>
    <t>4000False"TV Mix HBOMAX HD""BLM 10gb""Franquia ilimitada"29.9"OT_MIG_JUL18_FID_4P_PILIM_4GB_D1_TV_BL2_OF2"</t>
  </si>
  <si>
    <t>4000False"TV Mix Telecine HD""BLM 10gb""Franquia ilimitada"29.9"OT_MIG_JUL18_FID_4P_PILIM_4GB_D1_TV_BL2_OF2"</t>
  </si>
  <si>
    <t>4000False"TV Mix Cinema HD""BLM 10gb""Franquia ilimitada"29.9"OT_MIG_JUL18_FID_4P_PILIM_4GB_D1_TV_BL2_OF2"</t>
  </si>
  <si>
    <t>4000False"TV Total HD""BLM 10gb""Franquia ilimitada"29.9"OT_MIG_JUL18_FID_4P_PILIM_4GB_D1_TV_BL2_OF2"</t>
  </si>
  <si>
    <t>4000False"TV Total HBOMAX HD""BLM 10gb""Franquia ilimitada"29.9"OT_MIG_JUL18_FID_4P_PILIM_4GB_D1_TV_BL2_OF2"</t>
  </si>
  <si>
    <t>4000False"TV Total Telecine HD""BLM 10gb""Franquia ilimitada"29.9"OT_MIG_JUL18_FID_4P_PILIM_4GB_D1_TV_BL2_OF2"</t>
  </si>
  <si>
    <t>4000False"TV Total Cinema HD""BLM 10gb""Franquia ilimitada"29.9"OT_MIG_JUL18_FID_4P_PILIM_4GB_D1_TV_BL2_OF2"</t>
  </si>
  <si>
    <t>4000True"TV Total HD""BLM 10gb""Franquia ilimitada"29.9"OT_MIG_JUL18_FID_4P_PILIM_4GB_D1_TV_BL2_OF2"</t>
  </si>
  <si>
    <t>4000True"TV Total HBOMAX HD""BLM 10gb""Franquia ilimitada"29.9"OT_MIG_JUL18_FID_4P_PILIM_4GB_D1_TV_BL2_OF2"</t>
  </si>
  <si>
    <t>4000True"TV Total Telecine HD""BLM 10gb""Franquia ilimitada"29.9"OT_MIG_JUL18_FID_4P_PILIM_4GB_D1_TV_BL2_OF2"</t>
  </si>
  <si>
    <t>4000True"TV Total Cinema HD""BLM 10gb""Franquia ilimitada"29.9"OT_MIG_JUL18_FID_4P_PILIM_4GB_D1_TV_BL2_OF2"</t>
  </si>
  <si>
    <t>"Basico"</t>
  </si>
  <si>
    <t>"VX Até 15mb"</t>
  </si>
  <si>
    <t>"OT_MIG_JUL18_FID_4P_PILIM_4GB_D1_TV_BL5_CBAS_OF2"</t>
  </si>
  <si>
    <t>4000False"TV Start HD""VX Até 15mb""Franquia ilimitada"29.9"OT_MIG_JUL18_FID_4P_PILIM_4GB_D1_TV_BL5_CBAS_OF2"</t>
  </si>
  <si>
    <t>4000False"TV Mix HD""VX Até 15mb""Franquia ilimitada"29.9"OT_MIG_JUL18_FID_4P_PILIM_4GB_D1_TV_BL5_CBAS_OF2"</t>
  </si>
  <si>
    <t>4000False"TV Mix HBOMAX HD""VX Até 15mb""Franquia ilimitada"29.9"OT_MIG_JUL18_FID_4P_PILIM_4GB_D1_TV_BL5_CBAS_OF2"</t>
  </si>
  <si>
    <t>4000False"TV Mix Telecine HD""VX Até 15mb""Franquia ilimitada"29.9"OT_MIG_JUL18_FID_4P_PILIM_4GB_D1_TV_BL5_CBAS_OF2"</t>
  </si>
  <si>
    <t>4000False"TV Mix Cinema HD""VX Até 15mb""Franquia ilimitada"29.9"OT_MIG_JUL18_FID_4P_PILIM_4GB_D1_TV_BL5_CBAS_OF2"</t>
  </si>
  <si>
    <t>4000False"TV Total HD""VX Até 15mb""Franquia ilimitada"29.9"OT_MIG_JUL18_FID_4P_PILIM_4GB_D1_TV_BL5_CBAS_OF2"</t>
  </si>
  <si>
    <t>4000False"TV Total HBOMAX HD""VX Até 15mb""Franquia ilimitada"29.9"OT_MIG_JUL18_FID_4P_PILIM_4GB_D1_TV_BL5_CBAS_OF2"</t>
  </si>
  <si>
    <t>4000False"TV Total Telecine HD""VX Até 15mb""Franquia ilimitada"29.9"OT_MIG_JUL18_FID_4P_PILIM_4GB_D1_TV_BL5_CBAS_OF2"</t>
  </si>
  <si>
    <t>4000False"TV Total Cinema HD""VX Até 15mb""Franquia ilimitada"29.9"OT_MIG_JUL18_FID_4P_PILIM_4GB_D1_TV_BL5_CBAS_OF2"</t>
  </si>
  <si>
    <t>4000True"TV Total HD""VX Até 15mb""Franquia ilimitada"29.9"OT_MIG_JUL18_FID_4P_PILIM_4GB_D1_TV_BL5_CBAS_OF2"</t>
  </si>
  <si>
    <t>4000True"TV Total HBOMAX HD""VX Até 15mb""Franquia ilimitada"29.9"OT_MIG_JUL18_FID_4P_PILIM_4GB_D1_TV_BL5_CBAS_OF2"</t>
  </si>
  <si>
    <t>4000True"TV Total Telecine HD""VX Até 15mb""Franquia ilimitada"29.9"OT_MIG_JUL18_FID_4P_PILIM_4GB_D1_TV_BL5_CBAS_OF2"</t>
  </si>
  <si>
    <t>4000True"TV Total Cinema HD""VX Até 15mb""Franquia ilimitada"29.9"OT_MIG_JUL18_FID_4P_PILIM_4GB_D1_TV_BL5_CBAS_OF2"</t>
  </si>
  <si>
    <t>"VX Até 25mb"</t>
  </si>
  <si>
    <t>4000False"TV Start HD""VX Até 25mb""Franquia ilimitada"29.9"OT_MIG_JUL18_FID_4P_PILIM_4GB_D1_TV_BL5_CBAS_OF2"</t>
  </si>
  <si>
    <t>4000False"TV Mix HD""VX Até 25mb""Franquia ilimitada"29.9"OT_MIG_JUL18_FID_4P_PILIM_4GB_D1_TV_BL5_CBAS_OF2"</t>
  </si>
  <si>
    <t>4000False"TV Mix HBOMAX HD""VX Até 25mb""Franquia ilimitada"29.9"OT_MIG_JUL18_FID_4P_PILIM_4GB_D1_TV_BL5_CBAS_OF2"</t>
  </si>
  <si>
    <t>4000False"TV Mix Telecine HD""VX Até 25mb""Franquia ilimitada"29.9"OT_MIG_JUL18_FID_4P_PILIM_4GB_D1_TV_BL5_CBAS_OF2"</t>
  </si>
  <si>
    <t>4000False"TV Mix Cinema HD""VX Até 25mb""Franquia ilimitada"29.9"OT_MIG_JUL18_FID_4P_PILIM_4GB_D1_TV_BL5_CBAS_OF2"</t>
  </si>
  <si>
    <t>4000False"TV Total HD""VX Até 25mb""Franquia ilimitada"29.9"OT_MIG_JUL18_FID_4P_PILIM_4GB_D1_TV_BL5_CBAS_OF2"</t>
  </si>
  <si>
    <t>4000False"TV Total HBOMAX HD""VX Até 25mb""Franquia ilimitada"29.9"OT_MIG_JUL18_FID_4P_PILIM_4GB_D1_TV_BL5_CBAS_OF2"</t>
  </si>
  <si>
    <t>4000False"TV Total Telecine HD""VX Até 25mb""Franquia ilimitada"29.9"OT_MIG_JUL18_FID_4P_PILIM_4GB_D1_TV_BL5_CBAS_OF2"</t>
  </si>
  <si>
    <t>4000False"TV Total Cinema HD""VX Até 25mb""Franquia ilimitada"29.9"OT_MIG_JUL18_FID_4P_PILIM_4GB_D1_TV_BL5_CBAS_OF2"</t>
  </si>
  <si>
    <t>4000True"TV Total HD""VX Até 25mb""Franquia ilimitada"29.9"OT_MIG_JUL18_FID_4P_PILIM_4GB_D1_TV_BL5_CBAS_OF2"</t>
  </si>
  <si>
    <t>4000True"TV Total HBOMAX HD""VX Até 25mb""Franquia ilimitada"29.9"OT_MIG_JUL18_FID_4P_PILIM_4GB_D1_TV_BL5_CBAS_OF2"</t>
  </si>
  <si>
    <t>4000True"TV Total Telecine HD""VX Até 25mb""Franquia ilimitada"29.9"OT_MIG_JUL18_FID_4P_PILIM_4GB_D1_TV_BL5_CBAS_OF2"</t>
  </si>
  <si>
    <t>4000True"TV Total Cinema HD""VX Até 25mb""Franquia ilimitada"29.9"OT_MIG_JUL18_FID_4P_PILIM_4GB_D1_TV_BL5_CBAS_OF2"</t>
  </si>
  <si>
    <t>"VX 35mb"</t>
  </si>
  <si>
    <t>4000False"TV Start HD""VX 35mb""Franquia ilimitada"29.9"OT_MIG_JUL18_FID_4P_PILIM_4GB_D1_TV_BL5_CBAS_OF2"</t>
  </si>
  <si>
    <t>4000False"TV Mix HD""VX 35mb""Franquia ilimitada"29.9"OT_MIG_JUL18_FID_4P_PILIM_4GB_D1_TV_BL5_CBAS_OF2"</t>
  </si>
  <si>
    <t>4000False"TV Mix HBOMAX HD""VX 35mb""Franquia ilimitada"29.9"OT_MIG_JUL18_FID_4P_PILIM_4GB_D1_TV_BL5_CBAS_OF2"</t>
  </si>
  <si>
    <t>4000False"TV Mix Telecine HD""VX 35mb""Franquia ilimitada"29.9"OT_MIG_JUL18_FID_4P_PILIM_4GB_D1_TV_BL5_CBAS_OF2"</t>
  </si>
  <si>
    <t>4000False"TV Mix Cinema HD""VX 35mb""Franquia ilimitada"29.9"OT_MIG_JUL18_FID_4P_PILIM_4GB_D1_TV_BL5_CBAS_OF2"</t>
  </si>
  <si>
    <t>4000False"TV Total HD""VX 35mb""Franquia ilimitada"29.9"OT_MIG_JUL18_FID_4P_PILIM_4GB_D1_TV_BL5_CBAS_OF2"</t>
  </si>
  <si>
    <t>4000False"TV Total HBOMAX HD""VX 35mb""Franquia ilimitada"29.9"OT_MIG_JUL18_FID_4P_PILIM_4GB_D1_TV_BL5_CBAS_OF2"</t>
  </si>
  <si>
    <t>4000False"TV Total Telecine HD""VX 35mb""Franquia ilimitada"29.9"OT_MIG_JUL18_FID_4P_PILIM_4GB_D1_TV_BL5_CBAS_OF2"</t>
  </si>
  <si>
    <t>4000False"TV Total Cinema HD""VX 35mb""Franquia ilimitada"29.9"OT_MIG_JUL18_FID_4P_PILIM_4GB_D1_TV_BL5_CBAS_OF2"</t>
  </si>
  <si>
    <t>4000True"TV Total HD""VX 35mb""Franquia ilimitada"29.9"OT_MIG_JUL18_FID_4P_PILIM_4GB_D1_TV_BL5_CBAS_OF2"</t>
  </si>
  <si>
    <t>4000True"TV Total HBOMAX HD""VX 35mb""Franquia ilimitada"29.9"OT_MIG_JUL18_FID_4P_PILIM_4GB_D1_TV_BL5_CBAS_OF2"</t>
  </si>
  <si>
    <t>4000True"TV Total Telecine HD""VX 35mb""Franquia ilimitada"29.9"OT_MIG_JUL18_FID_4P_PILIM_4GB_D1_TV_BL5_CBAS_OF2"</t>
  </si>
  <si>
    <t>4000True"TV Total Cinema HD""VX 35mb""Franquia ilimitada"29.9"OT_MIG_JUL18_FID_4P_PILIM_4GB_D1_TV_BL5_CBAS_OF2"</t>
  </si>
  <si>
    <t>"OT_MIG_JUL18_FID_4P_PILIM_4GB_D2_TV_BL2_OF2"</t>
  </si>
  <si>
    <t>4000False"TV Start HD""VX Até 2mb""Franquia ilimitada"39.9"OT_MIG_JUL18_FID_4P_PILIM_4GB_D2_TV_BL2_OF2"</t>
  </si>
  <si>
    <t>4000False"TV Mix HD""VX Até 2mb""Franquia ilimitada"39.9"OT_MIG_JUL18_FID_4P_PILIM_4GB_D2_TV_BL2_OF2"</t>
  </si>
  <si>
    <t>4000False"TV Mix HBOMAX HD""VX Até 2mb""Franquia ilimitada"39.9"OT_MIG_JUL18_FID_4P_PILIM_4GB_D2_TV_BL2_OF2"</t>
  </si>
  <si>
    <t>4000False"TV Mix Telecine HD""VX Até 2mb""Franquia ilimitada"39.9"OT_MIG_JUL18_FID_4P_PILIM_4GB_D2_TV_BL2_OF2"</t>
  </si>
  <si>
    <t>4000False"TV Mix Cinema HD""VX Até 2mb""Franquia ilimitada"39.9"OT_MIG_JUL18_FID_4P_PILIM_4GB_D2_TV_BL2_OF2"</t>
  </si>
  <si>
    <t>4000False"TV Total HD""VX Até 2mb""Franquia ilimitada"39.9"OT_MIG_JUL18_FID_4P_PILIM_4GB_D2_TV_BL2_OF2"</t>
  </si>
  <si>
    <t>4000False"TV Total HBOMAX HD""VX Até 2mb""Franquia ilimitada"39.9"OT_MIG_JUL18_FID_4P_PILIM_4GB_D2_TV_BL2_OF2"</t>
  </si>
  <si>
    <t>4000False"TV Total Telecine HD""VX Até 2mb""Franquia ilimitada"39.9"OT_MIG_JUL18_FID_4P_PILIM_4GB_D2_TV_BL2_OF2"</t>
  </si>
  <si>
    <t>4000False"TV Total Cinema HD""VX Até 2mb""Franquia ilimitada"39.9"OT_MIG_JUL18_FID_4P_PILIM_4GB_D2_TV_BL2_OF2"</t>
  </si>
  <si>
    <t>4000True"TV Total HD""VX Até 2mb""Franquia ilimitada"39.9"OT_MIG_JUL18_FID_4P_PILIM_4GB_D2_TV_BL2_OF2"</t>
  </si>
  <si>
    <t>4000True"TV Total HBOMAX HD""VX Até 2mb""Franquia ilimitada"39.9"OT_MIG_JUL18_FID_4P_PILIM_4GB_D2_TV_BL2_OF2"</t>
  </si>
  <si>
    <t>4000True"TV Total Telecine HD""VX Até 2mb""Franquia ilimitada"39.9"OT_MIG_JUL18_FID_4P_PILIM_4GB_D2_TV_BL2_OF2"</t>
  </si>
  <si>
    <t>4000True"TV Total Cinema HD""VX Até 2mb""Franquia ilimitada"39.9"OT_MIG_JUL18_FID_4P_PILIM_4GB_D2_TV_BL2_OF2"</t>
  </si>
  <si>
    <t>4000False"TV Start HD""BLM 10gb""Franquia ilimitada"39.9"OT_MIG_JUL18_FID_4P_PILIM_4GB_D2_TV_BL2_OF2"</t>
  </si>
  <si>
    <t>4000False"TV Mix HD""BLM 10gb""Franquia ilimitada"39.9"OT_MIG_JUL18_FID_4P_PILIM_4GB_D2_TV_BL2_OF2"</t>
  </si>
  <si>
    <t>4000False"TV Mix HBOMAX HD""BLM 10gb""Franquia ilimitada"39.9"OT_MIG_JUL18_FID_4P_PILIM_4GB_D2_TV_BL2_OF2"</t>
  </si>
  <si>
    <t>4000False"TV Mix Telecine HD""BLM 10gb""Franquia ilimitada"39.9"OT_MIG_JUL18_FID_4P_PILIM_4GB_D2_TV_BL2_OF2"</t>
  </si>
  <si>
    <t>4000False"TV Mix Cinema HD""BLM 10gb""Franquia ilimitada"39.9"OT_MIG_JUL18_FID_4P_PILIM_4GB_D2_TV_BL2_OF2"</t>
  </si>
  <si>
    <t>4000False"TV Total HD""BLM 10gb""Franquia ilimitada"39.9"OT_MIG_JUL18_FID_4P_PILIM_4GB_D2_TV_BL2_OF2"</t>
  </si>
  <si>
    <t>4000False"TV Total HBOMAX HD""BLM 10gb""Franquia ilimitada"39.9"OT_MIG_JUL18_FID_4P_PILIM_4GB_D2_TV_BL2_OF2"</t>
  </si>
  <si>
    <t>4000False"TV Total Telecine HD""BLM 10gb""Franquia ilimitada"39.9"OT_MIG_JUL18_FID_4P_PILIM_4GB_D2_TV_BL2_OF2"</t>
  </si>
  <si>
    <t>4000False"TV Total Cinema HD""BLM 10gb""Franquia ilimitada"39.9"OT_MIG_JUL18_FID_4P_PILIM_4GB_D2_TV_BL2_OF2"</t>
  </si>
  <si>
    <t>4000True"TV Total HD""BLM 10gb""Franquia ilimitada"39.9"OT_MIG_JUL18_FID_4P_PILIM_4GB_D2_TV_BL2_OF2"</t>
  </si>
  <si>
    <t>4000True"TV Total HBOMAX HD""BLM 10gb""Franquia ilimitada"39.9"OT_MIG_JUL18_FID_4P_PILIM_4GB_D2_TV_BL2_OF2"</t>
  </si>
  <si>
    <t>4000True"TV Total Telecine HD""BLM 10gb""Franquia ilimitada"39.9"OT_MIG_JUL18_FID_4P_PILIM_4GB_D2_TV_BL2_OF2"</t>
  </si>
  <si>
    <t>4000True"TV Total Cinema HD""BLM 10gb""Franquia ilimitada"39.9"OT_MIG_JUL18_FID_4P_PILIM_4GB_D2_TV_BL2_OF2"</t>
  </si>
  <si>
    <t>"OT_MIG_JUL18_FID_4P_PILIM_4GB_D2_TV_BL5_CBAS_OF2"</t>
  </si>
  <si>
    <t>4000False"TV Start HD""VX Até 15mb""Franquia ilimitada"39.9"OT_MIG_JUL18_FID_4P_PILIM_4GB_D2_TV_BL5_CBAS_OF2"</t>
  </si>
  <si>
    <t>4000False"TV Mix HD""VX Até 15mb""Franquia ilimitada"39.9"OT_MIG_JUL18_FID_4P_PILIM_4GB_D2_TV_BL5_CBAS_OF2"</t>
  </si>
  <si>
    <t>4000False"TV Mix HBOMAX HD""VX Até 15mb""Franquia ilimitada"39.9"OT_MIG_JUL18_FID_4P_PILIM_4GB_D2_TV_BL5_CBAS_OF2"</t>
  </si>
  <si>
    <t>4000False"TV Mix Telecine HD""VX Até 15mb""Franquia ilimitada"39.9"OT_MIG_JUL18_FID_4P_PILIM_4GB_D2_TV_BL5_CBAS_OF2"</t>
  </si>
  <si>
    <t>4000False"TV Mix Cinema HD""VX Até 15mb""Franquia ilimitada"39.9"OT_MIG_JUL18_FID_4P_PILIM_4GB_D2_TV_BL5_CBAS_OF2"</t>
  </si>
  <si>
    <t>4000False"TV Total HD""VX Até 15mb""Franquia ilimitada"39.9"OT_MIG_JUL18_FID_4P_PILIM_4GB_D2_TV_BL5_CBAS_OF2"</t>
  </si>
  <si>
    <t>4000False"TV Total HBOMAX HD""VX Até 15mb""Franquia ilimitada"39.9"OT_MIG_JUL18_FID_4P_PILIM_4GB_D2_TV_BL5_CBAS_OF2"</t>
  </si>
  <si>
    <t>4000False"TV Total Telecine HD""VX Até 15mb""Franquia ilimitada"39.9"OT_MIG_JUL18_FID_4P_PILIM_4GB_D2_TV_BL5_CBAS_OF2"</t>
  </si>
  <si>
    <t>4000False"TV Total Cinema HD""VX Até 15mb""Franquia ilimitada"39.9"OT_MIG_JUL18_FID_4P_PILIM_4GB_D2_TV_BL5_CBAS_OF2"</t>
  </si>
  <si>
    <t>4000True"TV Total HD""VX Até 15mb""Franquia ilimitada"39.9"OT_MIG_JUL18_FID_4P_PILIM_4GB_D2_TV_BL5_CBAS_OF2"</t>
  </si>
  <si>
    <t>4000True"TV Total HBOMAX HD""VX Até 15mb""Franquia ilimitada"39.9"OT_MIG_JUL18_FID_4P_PILIM_4GB_D2_TV_BL5_CBAS_OF2"</t>
  </si>
  <si>
    <t>4000True"TV Total Telecine HD""VX Até 15mb""Franquia ilimitada"39.9"OT_MIG_JUL18_FID_4P_PILIM_4GB_D2_TV_BL5_CBAS_OF2"</t>
  </si>
  <si>
    <t>4000True"TV Total Cinema HD""VX Até 15mb""Franquia ilimitada"39.9"OT_MIG_JUL18_FID_4P_PILIM_4GB_D2_TV_BL5_CBAS_OF2"</t>
  </si>
  <si>
    <t>4000False"TV Start HD""VX Até 25mb""Franquia ilimitada"39.9"OT_MIG_JUL18_FID_4P_PILIM_4GB_D2_TV_BL5_CBAS_OF2"</t>
  </si>
  <si>
    <t>4000False"TV Mix HD""VX Até 25mb""Franquia ilimitada"39.9"OT_MIG_JUL18_FID_4P_PILIM_4GB_D2_TV_BL5_CBAS_OF2"</t>
  </si>
  <si>
    <t>4000False"TV Mix HBOMAX HD""VX Até 25mb""Franquia ilimitada"39.9"OT_MIG_JUL18_FID_4P_PILIM_4GB_D2_TV_BL5_CBAS_OF2"</t>
  </si>
  <si>
    <t>4000False"TV Mix Telecine HD""VX Até 25mb""Franquia ilimitada"39.9"OT_MIG_JUL18_FID_4P_PILIM_4GB_D2_TV_BL5_CBAS_OF2"</t>
  </si>
  <si>
    <t>4000False"TV Mix Cinema HD""VX Até 25mb""Franquia ilimitada"39.9"OT_MIG_JUL18_FID_4P_PILIM_4GB_D2_TV_BL5_CBAS_OF2"</t>
  </si>
  <si>
    <t>4000False"TV Total HD""VX Até 25mb""Franquia ilimitada"39.9"OT_MIG_JUL18_FID_4P_PILIM_4GB_D2_TV_BL5_CBAS_OF2"</t>
  </si>
  <si>
    <t>4000False"TV Total HBOMAX HD""VX Até 25mb""Franquia ilimitada"39.9"OT_MIG_JUL18_FID_4P_PILIM_4GB_D2_TV_BL5_CBAS_OF2"</t>
  </si>
  <si>
    <t>4000False"TV Total Telecine HD""VX Até 25mb""Franquia ilimitada"39.9"OT_MIG_JUL18_FID_4P_PILIM_4GB_D2_TV_BL5_CBAS_OF2"</t>
  </si>
  <si>
    <t>4000False"TV Total Cinema HD""VX Até 25mb""Franquia ilimitada"39.9"OT_MIG_JUL18_FID_4P_PILIM_4GB_D2_TV_BL5_CBAS_OF2"</t>
  </si>
  <si>
    <t>4000True"TV Total HD""VX Até 25mb""Franquia ilimitada"39.9"OT_MIG_JUL18_FID_4P_PILIM_4GB_D2_TV_BL5_CBAS_OF2"</t>
  </si>
  <si>
    <t>4000True"TV Total HBOMAX HD""VX Até 25mb""Franquia ilimitada"39.9"OT_MIG_JUL18_FID_4P_PILIM_4GB_D2_TV_BL5_CBAS_OF2"</t>
  </si>
  <si>
    <t>4000True"TV Total Telecine HD""VX Até 25mb""Franquia ilimitada"39.9"OT_MIG_JUL18_FID_4P_PILIM_4GB_D2_TV_BL5_CBAS_OF2"</t>
  </si>
  <si>
    <t>4000True"TV Total Cinema HD""VX Até 25mb""Franquia ilimitada"39.9"OT_MIG_JUL18_FID_4P_PILIM_4GB_D2_TV_BL5_CBAS_OF2"</t>
  </si>
  <si>
    <t>4000False"TV Start HD""VX 35mb""Franquia ilimitada"39.9"OT_MIG_JUL18_FID_4P_PILIM_4GB_D2_TV_BL5_CBAS_OF2"</t>
  </si>
  <si>
    <t>4000False"TV Mix HD""VX 35mb""Franquia ilimitada"39.9"OT_MIG_JUL18_FID_4P_PILIM_4GB_D2_TV_BL5_CBAS_OF2"</t>
  </si>
  <si>
    <t>4000False"TV Mix HBOMAX HD""VX 35mb""Franquia ilimitada"39.9"OT_MIG_JUL18_FID_4P_PILIM_4GB_D2_TV_BL5_CBAS_OF2"</t>
  </si>
  <si>
    <t>4000False"TV Mix Telecine HD""VX 35mb""Franquia ilimitada"39.9"OT_MIG_JUL18_FID_4P_PILIM_4GB_D2_TV_BL5_CBAS_OF2"</t>
  </si>
  <si>
    <t>4000False"TV Mix Cinema HD""VX 35mb""Franquia ilimitada"39.9"OT_MIG_JUL18_FID_4P_PILIM_4GB_D2_TV_BL5_CBAS_OF2"</t>
  </si>
  <si>
    <t>4000False"TV Total HD""VX 35mb""Franquia ilimitada"39.9"OT_MIG_JUL18_FID_4P_PILIM_4GB_D2_TV_BL5_CBAS_OF2"</t>
  </si>
  <si>
    <t>4000False"TV Total HBOMAX HD""VX 35mb""Franquia ilimitada"39.9"OT_MIG_JUL18_FID_4P_PILIM_4GB_D2_TV_BL5_CBAS_OF2"</t>
  </si>
  <si>
    <t>4000False"TV Total Telecine HD""VX 35mb""Franquia ilimitada"39.9"OT_MIG_JUL18_FID_4P_PILIM_4GB_D2_TV_BL5_CBAS_OF2"</t>
  </si>
  <si>
    <t>4000False"TV Total Cinema HD""VX 35mb""Franquia ilimitada"39.9"OT_MIG_JUL18_FID_4P_PILIM_4GB_D2_TV_BL5_CBAS_OF2"</t>
  </si>
  <si>
    <t>4000True"TV Total HD""VX 35mb""Franquia ilimitada"39.9"OT_MIG_JUL18_FID_4P_PILIM_4GB_D2_TV_BL5_CBAS_OF2"</t>
  </si>
  <si>
    <t>4000True"TV Total HBOMAX HD""VX 35mb""Franquia ilimitada"39.9"OT_MIG_JUL18_FID_4P_PILIM_4GB_D2_TV_BL5_CBAS_OF2"</t>
  </si>
  <si>
    <t>4000True"TV Total Telecine HD""VX 35mb""Franquia ilimitada"39.9"OT_MIG_JUL18_FID_4P_PILIM_4GB_D2_TV_BL5_CBAS_OF2"</t>
  </si>
  <si>
    <t>4000True"TV Total Cinema HD""VX 35mb""Franquia ilimitada"39.9"OT_MIG_JUL18_FID_4P_PILIM_4GB_D2_TV_BL5_CBAS_OF2"</t>
  </si>
  <si>
    <t>"OT_MIG_JUL18_FID_4P_PILIM_4GB_D1_TV_BL2_OF3"</t>
  </si>
  <si>
    <t>4000False"TV Start HD""VX Até 2mb""Franquia ilimitada"29.9"OT_MIG_JUL18_FID_4P_PILIM_4GB_D1_TV_BL2_OF3"</t>
  </si>
  <si>
    <t>4000False"TV Mix HD""VX Até 2mb""Franquia ilimitada"29.9"OT_MIG_JUL18_FID_4P_PILIM_4GB_D1_TV_BL2_OF3"</t>
  </si>
  <si>
    <t>4000False"TV Mix HBOMAX HD""VX Até 2mb""Franquia ilimitada"29.9"OT_MIG_JUL18_FID_4P_PILIM_4GB_D1_TV_BL2_OF3"</t>
  </si>
  <si>
    <t>4000False"TV Mix Telecine HD""VX Até 2mb""Franquia ilimitada"29.9"OT_MIG_JUL18_FID_4P_PILIM_4GB_D1_TV_BL2_OF3"</t>
  </si>
  <si>
    <t>4000False"TV Mix Cinema HD""VX Até 2mb""Franquia ilimitada"29.9"OT_MIG_JUL18_FID_4P_PILIM_4GB_D1_TV_BL2_OF3"</t>
  </si>
  <si>
    <t>4000False"TV Total HD""VX Até 2mb""Franquia ilimitada"29.9"OT_MIG_JUL18_FID_4P_PILIM_4GB_D1_TV_BL2_OF3"</t>
  </si>
  <si>
    <t>4000False"TV Total HBOMAX HD""VX Até 2mb""Franquia ilimitada"29.9"OT_MIG_JUL18_FID_4P_PILIM_4GB_D1_TV_BL2_OF3"</t>
  </si>
  <si>
    <t>4000False"TV Total Telecine HD""VX Até 2mb""Franquia ilimitada"29.9"OT_MIG_JUL18_FID_4P_PILIM_4GB_D1_TV_BL2_OF3"</t>
  </si>
  <si>
    <t>4000False"TV Total Cinema HD""VX Até 2mb""Franquia ilimitada"29.9"OT_MIG_JUL18_FID_4P_PILIM_4GB_D1_TV_BL2_OF3"</t>
  </si>
  <si>
    <t>4000True"TV Total HD""VX Até 2mb""Franquia ilimitada"29.9"OT_MIG_JUL18_FID_4P_PILIM_4GB_D1_TV_BL2_OF3"</t>
  </si>
  <si>
    <t>4000True"TV Total HBOMAX HD""VX Até 2mb""Franquia ilimitada"29.9"OT_MIG_JUL18_FID_4P_PILIM_4GB_D1_TV_BL2_OF3"</t>
  </si>
  <si>
    <t>4000True"TV Total Telecine HD""VX Até 2mb""Franquia ilimitada"29.9"OT_MIG_JUL18_FID_4P_PILIM_4GB_D1_TV_BL2_OF3"</t>
  </si>
  <si>
    <t>4000True"TV Total Cinema HD""VX Até 2mb""Franquia ilimitada"29.9"OT_MIG_JUL18_FID_4P_PILIM_4GB_D1_TV_BL2_OF3"</t>
  </si>
  <si>
    <t>4000False"TV Start HD""BLM 10gb""Franquia ilimitada"29.9"OT_MIG_JUL18_FID_4P_PILIM_4GB_D1_TV_BL2_OF3"</t>
  </si>
  <si>
    <t>4000False"TV Mix HD""BLM 10gb""Franquia ilimitada"29.9"OT_MIG_JUL18_FID_4P_PILIM_4GB_D1_TV_BL2_OF3"</t>
  </si>
  <si>
    <t>4000False"TV Mix HBOMAX HD""BLM 10gb""Franquia ilimitada"29.9"OT_MIG_JUL18_FID_4P_PILIM_4GB_D1_TV_BL2_OF3"</t>
  </si>
  <si>
    <t>4000False"TV Mix Telecine HD""BLM 10gb""Franquia ilimitada"29.9"OT_MIG_JUL18_FID_4P_PILIM_4GB_D1_TV_BL2_OF3"</t>
  </si>
  <si>
    <t>4000False"TV Mix Cinema HD""BLM 10gb""Franquia ilimitada"29.9"OT_MIG_JUL18_FID_4P_PILIM_4GB_D1_TV_BL2_OF3"</t>
  </si>
  <si>
    <t>4000False"TV Total HD""BLM 10gb""Franquia ilimitada"29.9"OT_MIG_JUL18_FID_4P_PILIM_4GB_D1_TV_BL2_OF3"</t>
  </si>
  <si>
    <t>4000False"TV Total HBOMAX HD""BLM 10gb""Franquia ilimitada"29.9"OT_MIG_JUL18_FID_4P_PILIM_4GB_D1_TV_BL2_OF3"</t>
  </si>
  <si>
    <t>4000False"TV Total Telecine HD""BLM 10gb""Franquia ilimitada"29.9"OT_MIG_JUL18_FID_4P_PILIM_4GB_D1_TV_BL2_OF3"</t>
  </si>
  <si>
    <t>4000False"TV Total Cinema HD""BLM 10gb""Franquia ilimitada"29.9"OT_MIG_JUL18_FID_4P_PILIM_4GB_D1_TV_BL2_OF3"</t>
  </si>
  <si>
    <t>4000True"TV Total HD""BLM 10gb""Franquia ilimitada"29.9"OT_MIG_JUL18_FID_4P_PILIM_4GB_D1_TV_BL2_OF3"</t>
  </si>
  <si>
    <t>4000True"TV Total HBOMAX HD""BLM 10gb""Franquia ilimitada"29.9"OT_MIG_JUL18_FID_4P_PILIM_4GB_D1_TV_BL2_OF3"</t>
  </si>
  <si>
    <t>4000True"TV Total Telecine HD""BLM 10gb""Franquia ilimitada"29.9"OT_MIG_JUL18_FID_4P_PILIM_4GB_D1_TV_BL2_OF3"</t>
  </si>
  <si>
    <t>4000True"TV Total Cinema HD""BLM 10gb""Franquia ilimitada"29.9"OT_MIG_JUL18_FID_4P_PILIM_4GB_D1_TV_BL2_OF3"</t>
  </si>
  <si>
    <t>"OT_MIG_JUL18_FID_4P_PILIM_4GB_D1_TV_BL5_CBAS_OF3"</t>
  </si>
  <si>
    <t>4000False"TV Start HD""VX Até 15mb""Franquia ilimitada"29.9"OT_MIG_JUL18_FID_4P_PILIM_4GB_D1_TV_BL5_CBAS_OF3"</t>
  </si>
  <si>
    <t>4000False"TV Mix HD""VX Até 15mb""Franquia ilimitada"29.9"OT_MIG_JUL18_FID_4P_PILIM_4GB_D1_TV_BL5_CBAS_OF3"</t>
  </si>
  <si>
    <t>4000False"TV Mix HBOMAX HD""VX Até 15mb""Franquia ilimitada"29.9"OT_MIG_JUL18_FID_4P_PILIM_4GB_D1_TV_BL5_CBAS_OF3"</t>
  </si>
  <si>
    <t>4000False"TV Mix Telecine HD""VX Até 15mb""Franquia ilimitada"29.9"OT_MIG_JUL18_FID_4P_PILIM_4GB_D1_TV_BL5_CBAS_OF3"</t>
  </si>
  <si>
    <t>4000False"TV Mix Cinema HD""VX Até 15mb""Franquia ilimitada"29.9"OT_MIG_JUL18_FID_4P_PILIM_4GB_D1_TV_BL5_CBAS_OF3"</t>
  </si>
  <si>
    <t>4000False"TV Total HD""VX Até 15mb""Franquia ilimitada"29.9"OT_MIG_JUL18_FID_4P_PILIM_4GB_D1_TV_BL5_CBAS_OF3"</t>
  </si>
  <si>
    <t>4000False"TV Total HBOMAX HD""VX Até 15mb""Franquia ilimitada"29.9"OT_MIG_JUL18_FID_4P_PILIM_4GB_D1_TV_BL5_CBAS_OF3"</t>
  </si>
  <si>
    <t>4000False"TV Total Telecine HD""VX Até 15mb""Franquia ilimitada"29.9"OT_MIG_JUL18_FID_4P_PILIM_4GB_D1_TV_BL5_CBAS_OF3"</t>
  </si>
  <si>
    <t>4000False"TV Total Cinema HD""VX Até 15mb""Franquia ilimitada"29.9"OT_MIG_JUL18_FID_4P_PILIM_4GB_D1_TV_BL5_CBAS_OF3"</t>
  </si>
  <si>
    <t>4000True"TV Total HD""VX Até 15mb""Franquia ilimitada"29.9"OT_MIG_JUL18_FID_4P_PILIM_4GB_D1_TV_BL5_CBAS_OF3"</t>
  </si>
  <si>
    <t>4000True"TV Total HBOMAX HD""VX Até 15mb""Franquia ilimitada"29.9"OT_MIG_JUL18_FID_4P_PILIM_4GB_D1_TV_BL5_CBAS_OF3"</t>
  </si>
  <si>
    <t>4000True"TV Total Telecine HD""VX Até 15mb""Franquia ilimitada"29.9"OT_MIG_JUL18_FID_4P_PILIM_4GB_D1_TV_BL5_CBAS_OF3"</t>
  </si>
  <si>
    <t>4000True"TV Total Cinema HD""VX Até 15mb""Franquia ilimitada"29.9"OT_MIG_JUL18_FID_4P_PILIM_4GB_D1_TV_BL5_CBAS_OF3"</t>
  </si>
  <si>
    <t>4000False"TV Start HD""VX Até 25mb""Franquia ilimitada"29.9"OT_MIG_JUL18_FID_4P_PILIM_4GB_D1_TV_BL5_CBAS_OF3"</t>
  </si>
  <si>
    <t>4000False"TV Mix HD""VX Até 25mb""Franquia ilimitada"29.9"OT_MIG_JUL18_FID_4P_PILIM_4GB_D1_TV_BL5_CBAS_OF3"</t>
  </si>
  <si>
    <t>4000False"TV Mix HBOMAX HD""VX Até 25mb""Franquia ilimitada"29.9"OT_MIG_JUL18_FID_4P_PILIM_4GB_D1_TV_BL5_CBAS_OF3"</t>
  </si>
  <si>
    <t>4000False"TV Mix Telecine HD""VX Até 25mb""Franquia ilimitada"29.9"OT_MIG_JUL18_FID_4P_PILIM_4GB_D1_TV_BL5_CBAS_OF3"</t>
  </si>
  <si>
    <t>4000False"TV Mix Cinema HD""VX Até 25mb""Franquia ilimitada"29.9"OT_MIG_JUL18_FID_4P_PILIM_4GB_D1_TV_BL5_CBAS_OF3"</t>
  </si>
  <si>
    <t>4000False"TV Total HD""VX Até 25mb""Franquia ilimitada"29.9"OT_MIG_JUL18_FID_4P_PILIM_4GB_D1_TV_BL5_CBAS_OF3"</t>
  </si>
  <si>
    <t>4000False"TV Total HBOMAX HD""VX Até 25mb""Franquia ilimitada"29.9"OT_MIG_JUL18_FID_4P_PILIM_4GB_D1_TV_BL5_CBAS_OF3"</t>
  </si>
  <si>
    <t>4000False"TV Total Telecine HD""VX Até 25mb""Franquia ilimitada"29.9"OT_MIG_JUL18_FID_4P_PILIM_4GB_D1_TV_BL5_CBAS_OF3"</t>
  </si>
  <si>
    <t>4000False"TV Total Cinema HD""VX Até 25mb""Franquia ilimitada"29.9"OT_MIG_JUL18_FID_4P_PILIM_4GB_D1_TV_BL5_CBAS_OF3"</t>
  </si>
  <si>
    <t>4000True"TV Total HD""VX Até 25mb""Franquia ilimitada"29.9"OT_MIG_JUL18_FID_4P_PILIM_4GB_D1_TV_BL5_CBAS_OF3"</t>
  </si>
  <si>
    <t>4000True"TV Total HBOMAX HD""VX Até 25mb""Franquia ilimitada"29.9"OT_MIG_JUL18_FID_4P_PILIM_4GB_D1_TV_BL5_CBAS_OF3"</t>
  </si>
  <si>
    <t>4000True"TV Total Telecine HD""VX Até 25mb""Franquia ilimitada"29.9"OT_MIG_JUL18_FID_4P_PILIM_4GB_D1_TV_BL5_CBAS_OF3"</t>
  </si>
  <si>
    <t>4000True"TV Total Cinema HD""VX Até 25mb""Franquia ilimitada"29.9"OT_MIG_JUL18_FID_4P_PILIM_4GB_D1_TV_BL5_CBAS_OF3"</t>
  </si>
  <si>
    <t>4000False"TV Start HD""VX 35mb""Franquia ilimitada"29.9"OT_MIG_JUL18_FID_4P_PILIM_4GB_D1_TV_BL5_CBAS_OF3"</t>
  </si>
  <si>
    <t>4000False"TV Mix HD""VX 35mb""Franquia ilimitada"29.9"OT_MIG_JUL18_FID_4P_PILIM_4GB_D1_TV_BL5_CBAS_OF3"</t>
  </si>
  <si>
    <t>4000False"TV Mix HBOMAX HD""VX 35mb""Franquia ilimitada"29.9"OT_MIG_JUL18_FID_4P_PILIM_4GB_D1_TV_BL5_CBAS_OF3"</t>
  </si>
  <si>
    <t>4000False"TV Mix Telecine HD""VX 35mb""Franquia ilimitada"29.9"OT_MIG_JUL18_FID_4P_PILIM_4GB_D1_TV_BL5_CBAS_OF3"</t>
  </si>
  <si>
    <t>4000False"TV Mix Cinema HD""VX 35mb""Franquia ilimitada"29.9"OT_MIG_JUL18_FID_4P_PILIM_4GB_D1_TV_BL5_CBAS_OF3"</t>
  </si>
  <si>
    <t>4000False"TV Total HD""VX 35mb""Franquia ilimitada"29.9"OT_MIG_JUL18_FID_4P_PILIM_4GB_D1_TV_BL5_CBAS_OF3"</t>
  </si>
  <si>
    <t>4000False"TV Total HBOMAX HD""VX 35mb""Franquia ilimitada"29.9"OT_MIG_JUL18_FID_4P_PILIM_4GB_D1_TV_BL5_CBAS_OF3"</t>
  </si>
  <si>
    <t>4000False"TV Total Telecine HD""VX 35mb""Franquia ilimitada"29.9"OT_MIG_JUL18_FID_4P_PILIM_4GB_D1_TV_BL5_CBAS_OF3"</t>
  </si>
  <si>
    <t>4000False"TV Total Cinema HD""VX 35mb""Franquia ilimitada"29.9"OT_MIG_JUL18_FID_4P_PILIM_4GB_D1_TV_BL5_CBAS_OF3"</t>
  </si>
  <si>
    <t>4000True"TV Total HD""VX 35mb""Franquia ilimitada"29.9"OT_MIG_JUL18_FID_4P_PILIM_4GB_D1_TV_BL5_CBAS_OF3"</t>
  </si>
  <si>
    <t>4000True"TV Total HBOMAX HD""VX 35mb""Franquia ilimitada"29.9"OT_MIG_JUL18_FID_4P_PILIM_4GB_D1_TV_BL5_CBAS_OF3"</t>
  </si>
  <si>
    <t>4000True"TV Total Telecine HD""VX 35mb""Franquia ilimitada"29.9"OT_MIG_JUL18_FID_4P_PILIM_4GB_D1_TV_BL5_CBAS_OF3"</t>
  </si>
  <si>
    <t>4000True"TV Total Cinema HD""VX 35mb""Franquia ilimitada"29.9"OT_MIG_JUL18_FID_4P_PILIM_4GB_D1_TV_BL5_CBAS_OF3"</t>
  </si>
  <si>
    <t>"OT_MIG_JUL18_FID_4P_PILIM_4GB_D2_TV_BL2_OF3"</t>
  </si>
  <si>
    <t>4000False"TV Start HD""VX Até 2mb""Franquia ilimitada"39.9"OT_MIG_JUL18_FID_4P_PILIM_4GB_D2_TV_BL2_OF3"</t>
  </si>
  <si>
    <t>4000False"TV Mix HD""VX Até 2mb""Franquia ilimitada"39.9"OT_MIG_JUL18_FID_4P_PILIM_4GB_D2_TV_BL2_OF3"</t>
  </si>
  <si>
    <t>4000False"TV Mix HBOMAX HD""VX Até 2mb""Franquia ilimitada"39.9"OT_MIG_JUL18_FID_4P_PILIM_4GB_D2_TV_BL2_OF3"</t>
  </si>
  <si>
    <t>4000False"TV Mix Telecine HD""VX Até 2mb""Franquia ilimitada"39.9"OT_MIG_JUL18_FID_4P_PILIM_4GB_D2_TV_BL2_OF3"</t>
  </si>
  <si>
    <t>4000False"TV Mix Cinema HD""VX Até 2mb""Franquia ilimitada"39.9"OT_MIG_JUL18_FID_4P_PILIM_4GB_D2_TV_BL2_OF3"</t>
  </si>
  <si>
    <t>4000False"TV Total HD""VX Até 2mb""Franquia ilimitada"39.9"OT_MIG_JUL18_FID_4P_PILIM_4GB_D2_TV_BL2_OF3"</t>
  </si>
  <si>
    <t>4000False"TV Total HBOMAX HD""VX Até 2mb""Franquia ilimitada"39.9"OT_MIG_JUL18_FID_4P_PILIM_4GB_D2_TV_BL2_OF3"</t>
  </si>
  <si>
    <t>4000False"TV Total Telecine HD""VX Até 2mb""Franquia ilimitada"39.9"OT_MIG_JUL18_FID_4P_PILIM_4GB_D2_TV_BL2_OF3"</t>
  </si>
  <si>
    <t>4000False"TV Total Cinema HD""VX Até 2mb""Franquia ilimitada"39.9"OT_MIG_JUL18_FID_4P_PILIM_4GB_D2_TV_BL2_OF3"</t>
  </si>
  <si>
    <t>4000True"TV Total HD""VX Até 2mb""Franquia ilimitada"39.9"OT_MIG_JUL18_FID_4P_PILIM_4GB_D2_TV_BL2_OF3"</t>
  </si>
  <si>
    <t>4000True"TV Total HBOMAX HD""VX Até 2mb""Franquia ilimitada"39.9"OT_MIG_JUL18_FID_4P_PILIM_4GB_D2_TV_BL2_OF3"</t>
  </si>
  <si>
    <t>4000True"TV Total Telecine HD""VX Até 2mb""Franquia ilimitada"39.9"OT_MIG_JUL18_FID_4P_PILIM_4GB_D2_TV_BL2_OF3"</t>
  </si>
  <si>
    <t>4000True"TV Total Cinema HD""VX Até 2mb""Franquia ilimitada"39.9"OT_MIG_JUL18_FID_4P_PILIM_4GB_D2_TV_BL2_OF3"</t>
  </si>
  <si>
    <t>4000False"TV Start HD""BLM 10gb""Franquia ilimitada"39.9"OT_MIG_JUL18_FID_4P_PILIM_4GB_D2_TV_BL2_OF3"</t>
  </si>
  <si>
    <t>4000False"TV Mix HD""BLM 10gb""Franquia ilimitada"39.9"OT_MIG_JUL18_FID_4P_PILIM_4GB_D2_TV_BL2_OF3"</t>
  </si>
  <si>
    <t>4000False"TV Mix HBOMAX HD""BLM 10gb""Franquia ilimitada"39.9"OT_MIG_JUL18_FID_4P_PILIM_4GB_D2_TV_BL2_OF3"</t>
  </si>
  <si>
    <t>4000False"TV Mix Telecine HD""BLM 10gb""Franquia ilimitada"39.9"OT_MIG_JUL18_FID_4P_PILIM_4GB_D2_TV_BL2_OF3"</t>
  </si>
  <si>
    <t>4000False"TV Mix Cinema HD""BLM 10gb""Franquia ilimitada"39.9"OT_MIG_JUL18_FID_4P_PILIM_4GB_D2_TV_BL2_OF3"</t>
  </si>
  <si>
    <t>4000False"TV Total HD""BLM 10gb""Franquia ilimitada"39.9"OT_MIG_JUL18_FID_4P_PILIM_4GB_D2_TV_BL2_OF3"</t>
  </si>
  <si>
    <t>4000False"TV Total HBOMAX HD""BLM 10gb""Franquia ilimitada"39.9"OT_MIG_JUL18_FID_4P_PILIM_4GB_D2_TV_BL2_OF3"</t>
  </si>
  <si>
    <t>4000False"TV Total Telecine HD""BLM 10gb""Franquia ilimitada"39.9"OT_MIG_JUL18_FID_4P_PILIM_4GB_D2_TV_BL2_OF3"</t>
  </si>
  <si>
    <t>4000False"TV Total Cinema HD""BLM 10gb""Franquia ilimitada"39.9"OT_MIG_JUL18_FID_4P_PILIM_4GB_D2_TV_BL2_OF3"</t>
  </si>
  <si>
    <t>4000True"TV Total HD""BLM 10gb""Franquia ilimitada"39.9"OT_MIG_JUL18_FID_4P_PILIM_4GB_D2_TV_BL2_OF3"</t>
  </si>
  <si>
    <t>4000True"TV Total HBOMAX HD""BLM 10gb""Franquia ilimitada"39.9"OT_MIG_JUL18_FID_4P_PILIM_4GB_D2_TV_BL2_OF3"</t>
  </si>
  <si>
    <t>4000True"TV Total Telecine HD""BLM 10gb""Franquia ilimitada"39.9"OT_MIG_JUL18_FID_4P_PILIM_4GB_D2_TV_BL2_OF3"</t>
  </si>
  <si>
    <t>4000True"TV Total Cinema HD""BLM 10gb""Franquia ilimitada"39.9"OT_MIG_JUL18_FID_4P_PILIM_4GB_D2_TV_BL2_OF3"</t>
  </si>
  <si>
    <t>"OT_MIG_JUL18_FID_4P_PILIM_4GB_D2_TV_BL5_CBAS_OF3"</t>
  </si>
  <si>
    <t>4000False"TV Start HD""VX Até 15mb""Franquia ilimitada"39.9"OT_MIG_JUL18_FID_4P_PILIM_4GB_D2_TV_BL5_CBAS_OF3"</t>
  </si>
  <si>
    <t>4000False"TV Mix HD""VX Até 15mb""Franquia ilimitada"39.9"OT_MIG_JUL18_FID_4P_PILIM_4GB_D2_TV_BL5_CBAS_OF3"</t>
  </si>
  <si>
    <t>4000False"TV Mix HBOMAX HD""VX Até 15mb""Franquia ilimitada"39.9"OT_MIG_JUL18_FID_4P_PILIM_4GB_D2_TV_BL5_CBAS_OF3"</t>
  </si>
  <si>
    <t>4000False"TV Mix Telecine HD""VX Até 15mb""Franquia ilimitada"39.9"OT_MIG_JUL18_FID_4P_PILIM_4GB_D2_TV_BL5_CBAS_OF3"</t>
  </si>
  <si>
    <t>4000False"TV Mix Cinema HD""VX Até 15mb""Franquia ilimitada"39.9"OT_MIG_JUL18_FID_4P_PILIM_4GB_D2_TV_BL5_CBAS_OF3"</t>
  </si>
  <si>
    <t>4000False"TV Total HD""VX Até 15mb""Franquia ilimitada"39.9"OT_MIG_JUL18_FID_4P_PILIM_4GB_D2_TV_BL5_CBAS_OF3"</t>
  </si>
  <si>
    <t>4000False"TV Total HBOMAX HD""VX Até 15mb""Franquia ilimitada"39.9"OT_MIG_JUL18_FID_4P_PILIM_4GB_D2_TV_BL5_CBAS_OF3"</t>
  </si>
  <si>
    <t>4000False"TV Total Telecine HD""VX Até 15mb""Franquia ilimitada"39.9"OT_MIG_JUL18_FID_4P_PILIM_4GB_D2_TV_BL5_CBAS_OF3"</t>
  </si>
  <si>
    <t>4000False"TV Total Cinema HD""VX Até 15mb""Franquia ilimitada"39.9"OT_MIG_JUL18_FID_4P_PILIM_4GB_D2_TV_BL5_CBAS_OF3"</t>
  </si>
  <si>
    <t>4000True"TV Total HD""VX Até 15mb""Franquia ilimitada"39.9"OT_MIG_JUL18_FID_4P_PILIM_4GB_D2_TV_BL5_CBAS_OF3"</t>
  </si>
  <si>
    <t>4000True"TV Total HBOMAX HD""VX Até 15mb""Franquia ilimitada"39.9"OT_MIG_JUL18_FID_4P_PILIM_4GB_D2_TV_BL5_CBAS_OF3"</t>
  </si>
  <si>
    <t>4000True"TV Total Telecine HD""VX Até 15mb""Franquia ilimitada"39.9"OT_MIG_JUL18_FID_4P_PILIM_4GB_D2_TV_BL5_CBAS_OF3"</t>
  </si>
  <si>
    <t>4000True"TV Total Cinema HD""VX Até 15mb""Franquia ilimitada"39.9"OT_MIG_JUL18_FID_4P_PILIM_4GB_D2_TV_BL5_CBAS_OF3"</t>
  </si>
  <si>
    <t>4000False"TV Start HD""VX Até 25mb""Franquia ilimitada"39.9"OT_MIG_JUL18_FID_4P_PILIM_4GB_D2_TV_BL5_CBAS_OF3"</t>
  </si>
  <si>
    <t>4000False"TV Mix HD""VX Até 25mb""Franquia ilimitada"39.9"OT_MIG_JUL18_FID_4P_PILIM_4GB_D2_TV_BL5_CBAS_OF3"</t>
  </si>
  <si>
    <t>4000False"TV Mix HBOMAX HD""VX Até 25mb""Franquia ilimitada"39.9"OT_MIG_JUL18_FID_4P_PILIM_4GB_D2_TV_BL5_CBAS_OF3"</t>
  </si>
  <si>
    <t>4000False"TV Mix Telecine HD""VX Até 25mb""Franquia ilimitada"39.9"OT_MIG_JUL18_FID_4P_PILIM_4GB_D2_TV_BL5_CBAS_OF3"</t>
  </si>
  <si>
    <t>4000False"TV Mix Cinema HD""VX Até 25mb""Franquia ilimitada"39.9"OT_MIG_JUL18_FID_4P_PILIM_4GB_D2_TV_BL5_CBAS_OF3"</t>
  </si>
  <si>
    <t>4000False"TV Total HD""VX Até 25mb""Franquia ilimitada"39.9"OT_MIG_JUL18_FID_4P_PILIM_4GB_D2_TV_BL5_CBAS_OF3"</t>
  </si>
  <si>
    <t>4000False"TV Total HBOMAX HD""VX Até 25mb""Franquia ilimitada"39.9"OT_MIG_JUL18_FID_4P_PILIM_4GB_D2_TV_BL5_CBAS_OF3"</t>
  </si>
  <si>
    <t>4000False"TV Total Telecine HD""VX Até 25mb""Franquia ilimitada"39.9"OT_MIG_JUL18_FID_4P_PILIM_4GB_D2_TV_BL5_CBAS_OF3"</t>
  </si>
  <si>
    <t>4000False"TV Total Cinema HD""VX Até 25mb""Franquia ilimitada"39.9"OT_MIG_JUL18_FID_4P_PILIM_4GB_D2_TV_BL5_CBAS_OF3"</t>
  </si>
  <si>
    <t>4000True"TV Total HD""VX Até 25mb""Franquia ilimitada"39.9"OT_MIG_JUL18_FID_4P_PILIM_4GB_D2_TV_BL5_CBAS_OF3"</t>
  </si>
  <si>
    <t>4000True"TV Total HBOMAX HD""VX Até 25mb""Franquia ilimitada"39.9"OT_MIG_JUL18_FID_4P_PILIM_4GB_D2_TV_BL5_CBAS_OF3"</t>
  </si>
  <si>
    <t>4000True"TV Total Telecine HD""VX Até 25mb""Franquia ilimitada"39.9"OT_MIG_JUL18_FID_4P_PILIM_4GB_D2_TV_BL5_CBAS_OF3"</t>
  </si>
  <si>
    <t>4000True"TV Total Cinema HD""VX Até 25mb""Franquia ilimitada"39.9"OT_MIG_JUL18_FID_4P_PILIM_4GB_D2_TV_BL5_CBAS_OF3"</t>
  </si>
  <si>
    <t>4000False"TV Start HD""VX 35mb""Franquia ilimitada"39.9"OT_MIG_JUL18_FID_4P_PILIM_4GB_D2_TV_BL5_CBAS_OF3"</t>
  </si>
  <si>
    <t>4000False"TV Mix HD""VX 35mb""Franquia ilimitada"39.9"OT_MIG_JUL18_FID_4P_PILIM_4GB_D2_TV_BL5_CBAS_OF3"</t>
  </si>
  <si>
    <t>4000False"TV Mix HBOMAX HD""VX 35mb""Franquia ilimitada"39.9"OT_MIG_JUL18_FID_4P_PILIM_4GB_D2_TV_BL5_CBAS_OF3"</t>
  </si>
  <si>
    <t>4000False"TV Mix Telecine HD""VX 35mb""Franquia ilimitada"39.9"OT_MIG_JUL18_FID_4P_PILIM_4GB_D2_TV_BL5_CBAS_OF3"</t>
  </si>
  <si>
    <t>4000False"TV Mix Cinema HD""VX 35mb""Franquia ilimitada"39.9"OT_MIG_JUL18_FID_4P_PILIM_4GB_D2_TV_BL5_CBAS_OF3"</t>
  </si>
  <si>
    <t>4000False"TV Total HD""VX 35mb""Franquia ilimitada"39.9"OT_MIG_JUL18_FID_4P_PILIM_4GB_D2_TV_BL5_CBAS_OF3"</t>
  </si>
  <si>
    <t>4000False"TV Total HBOMAX HD""VX 35mb""Franquia ilimitada"39.9"OT_MIG_JUL18_FID_4P_PILIM_4GB_D2_TV_BL5_CBAS_OF3"</t>
  </si>
  <si>
    <t>4000False"TV Total Telecine HD""VX 35mb""Franquia ilimitada"39.9"OT_MIG_JUL18_FID_4P_PILIM_4GB_D2_TV_BL5_CBAS_OF3"</t>
  </si>
  <si>
    <t>4000False"TV Total Cinema HD""VX 35mb""Franquia ilimitada"39.9"OT_MIG_JUL18_FID_4P_PILIM_4GB_D2_TV_BL5_CBAS_OF3"</t>
  </si>
  <si>
    <t>4000True"TV Total HD""VX 35mb""Franquia ilimitada"39.9"OT_MIG_JUL18_FID_4P_PILIM_4GB_D2_TV_BL5_CBAS_OF3"</t>
  </si>
  <si>
    <t>4000True"TV Total HBOMAX HD""VX 35mb""Franquia ilimitada"39.9"OT_MIG_JUL18_FID_4P_PILIM_4GB_D2_TV_BL5_CBAS_OF3"</t>
  </si>
  <si>
    <t>4000True"TV Total Telecine HD""VX 35mb""Franquia ilimitada"39.9"OT_MIG_JUL18_FID_4P_PILIM_4GB_D2_TV_BL5_CBAS_OF3"</t>
  </si>
  <si>
    <t>4000True"TV Total Cinema HD""VX 35mb""Franquia ilimitada"39.9"OT_MIG_JUL18_FID_4P_PILIM_4GB_D2_TV_BL5_CBAS_OF3"</t>
  </si>
  <si>
    <t>"OT_MIG_JUL18_FID_4P_PILIM_4GB_D1_TV_BL2_OF4"</t>
  </si>
  <si>
    <t>4000False"TV Start HD""VX Até 2mb""Franquia ilimitada"29.9"OT_MIG_JUL18_FID_4P_PILIM_4GB_D1_TV_BL2_OF4"</t>
  </si>
  <si>
    <t>4000False"TV Mix HD""VX Até 2mb""Franquia ilimitada"29.9"OT_MIG_JUL18_FID_4P_PILIM_4GB_D1_TV_BL2_OF4"</t>
  </si>
  <si>
    <t>4000False"TV Mix HBOMAX HD""VX Até 2mb""Franquia ilimitada"29.9"OT_MIG_JUL18_FID_4P_PILIM_4GB_D1_TV_BL2_OF4"</t>
  </si>
  <si>
    <t>4000False"TV Mix Telecine HD""VX Até 2mb""Franquia ilimitada"29.9"OT_MIG_JUL18_FID_4P_PILIM_4GB_D1_TV_BL2_OF4"</t>
  </si>
  <si>
    <t>4000False"TV Mix Cinema HD""VX Até 2mb""Franquia ilimitada"29.9"OT_MIG_JUL18_FID_4P_PILIM_4GB_D1_TV_BL2_OF4"</t>
  </si>
  <si>
    <t>4000False"TV Total HD""VX Até 2mb""Franquia ilimitada"29.9"OT_MIG_JUL18_FID_4P_PILIM_4GB_D1_TV_BL2_OF4"</t>
  </si>
  <si>
    <t>4000False"TV Total HBOMAX HD""VX Até 2mb""Franquia ilimitada"29.9"OT_MIG_JUL18_FID_4P_PILIM_4GB_D1_TV_BL2_OF4"</t>
  </si>
  <si>
    <t>4000False"TV Total Telecine HD""VX Até 2mb""Franquia ilimitada"29.9"OT_MIG_JUL18_FID_4P_PILIM_4GB_D1_TV_BL2_OF4"</t>
  </si>
  <si>
    <t>4000False"TV Total Cinema HD""VX Até 2mb""Franquia ilimitada"29.9"OT_MIG_JUL18_FID_4P_PILIM_4GB_D1_TV_BL2_OF4"</t>
  </si>
  <si>
    <t>4000True"TV Total HD""VX Até 2mb""Franquia ilimitada"29.9"OT_MIG_JUL18_FID_4P_PILIM_4GB_D1_TV_BL2_OF4"</t>
  </si>
  <si>
    <t>4000True"TV Total HBOMAX HD""VX Até 2mb""Franquia ilimitada"29.9"OT_MIG_JUL18_FID_4P_PILIM_4GB_D1_TV_BL2_OF4"</t>
  </si>
  <si>
    <t>4000True"TV Total Telecine HD""VX Até 2mb""Franquia ilimitada"29.9"OT_MIG_JUL18_FID_4P_PILIM_4GB_D1_TV_BL2_OF4"</t>
  </si>
  <si>
    <t>4000True"TV Total Cinema HD""VX Até 2mb""Franquia ilimitada"29.9"OT_MIG_JUL18_FID_4P_PILIM_4GB_D1_TV_BL2_OF4"</t>
  </si>
  <si>
    <t>4000False"TV Start HD""BLM 10gb""Franquia ilimitada"29.9"OT_MIG_JUL18_FID_4P_PILIM_4GB_D1_TV_BL2_OF4"</t>
  </si>
  <si>
    <t>4000False"TV Mix HD""BLM 10gb""Franquia ilimitada"29.9"OT_MIG_JUL18_FID_4P_PILIM_4GB_D1_TV_BL2_OF4"</t>
  </si>
  <si>
    <t>4000False"TV Mix HBOMAX HD""BLM 10gb""Franquia ilimitada"29.9"OT_MIG_JUL18_FID_4P_PILIM_4GB_D1_TV_BL2_OF4"</t>
  </si>
  <si>
    <t>4000False"TV Mix Telecine HD""BLM 10gb""Franquia ilimitada"29.9"OT_MIG_JUL18_FID_4P_PILIM_4GB_D1_TV_BL2_OF4"</t>
  </si>
  <si>
    <t>4000False"TV Mix Cinema HD""BLM 10gb""Franquia ilimitada"29.9"OT_MIG_JUL18_FID_4P_PILIM_4GB_D1_TV_BL2_OF4"</t>
  </si>
  <si>
    <t>4000False"TV Total HD""BLM 10gb""Franquia ilimitada"29.9"OT_MIG_JUL18_FID_4P_PILIM_4GB_D1_TV_BL2_OF4"</t>
  </si>
  <si>
    <t>4000False"TV Total HBOMAX HD""BLM 10gb""Franquia ilimitada"29.9"OT_MIG_JUL18_FID_4P_PILIM_4GB_D1_TV_BL2_OF4"</t>
  </si>
  <si>
    <t>4000False"TV Total Telecine HD""BLM 10gb""Franquia ilimitada"29.9"OT_MIG_JUL18_FID_4P_PILIM_4GB_D1_TV_BL2_OF4"</t>
  </si>
  <si>
    <t>4000False"TV Total Cinema HD""BLM 10gb""Franquia ilimitada"29.9"OT_MIG_JUL18_FID_4P_PILIM_4GB_D1_TV_BL2_OF4"</t>
  </si>
  <si>
    <t>4000True"TV Total HD""BLM 10gb""Franquia ilimitada"29.9"OT_MIG_JUL18_FID_4P_PILIM_4GB_D1_TV_BL2_OF4"</t>
  </si>
  <si>
    <t>4000True"TV Total HBOMAX HD""BLM 10gb""Franquia ilimitada"29.9"OT_MIG_JUL18_FID_4P_PILIM_4GB_D1_TV_BL2_OF4"</t>
  </si>
  <si>
    <t>4000True"TV Total Telecine HD""BLM 10gb""Franquia ilimitada"29.9"OT_MIG_JUL18_FID_4P_PILIM_4GB_D1_TV_BL2_OF4"</t>
  </si>
  <si>
    <t>4000True"TV Total Cinema HD""BLM 10gb""Franquia ilimitada"29.9"OT_MIG_JUL18_FID_4P_PILIM_4GB_D1_TV_BL2_OF4"</t>
  </si>
  <si>
    <t>"OT_MIG_JUL18_FID_4P_PILIM_4GB_D1_TV_BL5_CBAS_OF4"</t>
  </si>
  <si>
    <t>4000False"TV Start HD""VX Até 15mb""Franquia ilimitada"29.9"OT_MIG_JUL18_FID_4P_PILIM_4GB_D1_TV_BL5_CBAS_OF4"</t>
  </si>
  <si>
    <t>4000False"TV Mix HD""VX Até 15mb""Franquia ilimitada"29.9"OT_MIG_JUL18_FID_4P_PILIM_4GB_D1_TV_BL5_CBAS_OF4"</t>
  </si>
  <si>
    <t>4000False"TV Mix HBOMAX HD""VX Até 15mb""Franquia ilimitada"29.9"OT_MIG_JUL18_FID_4P_PILIM_4GB_D1_TV_BL5_CBAS_OF4"</t>
  </si>
  <si>
    <t>4000False"TV Mix Telecine HD""VX Até 15mb""Franquia ilimitada"29.9"OT_MIG_JUL18_FID_4P_PILIM_4GB_D1_TV_BL5_CBAS_OF4"</t>
  </si>
  <si>
    <t>4000False"TV Mix Cinema HD""VX Até 15mb""Franquia ilimitada"29.9"OT_MIG_JUL18_FID_4P_PILIM_4GB_D1_TV_BL5_CBAS_OF4"</t>
  </si>
  <si>
    <t>4000False"TV Total HD""VX Até 15mb""Franquia ilimitada"29.9"OT_MIG_JUL18_FID_4P_PILIM_4GB_D1_TV_BL5_CBAS_OF4"</t>
  </si>
  <si>
    <t>4000False"TV Total HBOMAX HD""VX Até 15mb""Franquia ilimitada"29.9"OT_MIG_JUL18_FID_4P_PILIM_4GB_D1_TV_BL5_CBAS_OF4"</t>
  </si>
  <si>
    <t>4000False"TV Total Telecine HD""VX Até 15mb""Franquia ilimitada"29.9"OT_MIG_JUL18_FID_4P_PILIM_4GB_D1_TV_BL5_CBAS_OF4"</t>
  </si>
  <si>
    <t>4000False"TV Total Cinema HD""VX Até 15mb""Franquia ilimitada"29.9"OT_MIG_JUL18_FID_4P_PILIM_4GB_D1_TV_BL5_CBAS_OF4"</t>
  </si>
  <si>
    <t>4000True"TV Total HD""VX Até 15mb""Franquia ilimitada"29.9"OT_MIG_JUL18_FID_4P_PILIM_4GB_D1_TV_BL5_CBAS_OF4"</t>
  </si>
  <si>
    <t>4000True"TV Total HBOMAX HD""VX Até 15mb""Franquia ilimitada"29.9"OT_MIG_JUL18_FID_4P_PILIM_4GB_D1_TV_BL5_CBAS_OF4"</t>
  </si>
  <si>
    <t>4000True"TV Total Telecine HD""VX Até 15mb""Franquia ilimitada"29.9"OT_MIG_JUL18_FID_4P_PILIM_4GB_D1_TV_BL5_CBAS_OF4"</t>
  </si>
  <si>
    <t>4000True"TV Total Cinema HD""VX Até 15mb""Franquia ilimitada"29.9"OT_MIG_JUL18_FID_4P_PILIM_4GB_D1_TV_BL5_CBAS_OF4"</t>
  </si>
  <si>
    <t>4000False"TV Start HD""VX Até 25mb""Franquia ilimitada"29.9"OT_MIG_JUL18_FID_4P_PILIM_4GB_D1_TV_BL5_CBAS_OF4"</t>
  </si>
  <si>
    <t>4000False"TV Mix HD""VX Até 25mb""Franquia ilimitada"29.9"OT_MIG_JUL18_FID_4P_PILIM_4GB_D1_TV_BL5_CBAS_OF4"</t>
  </si>
  <si>
    <t>4000False"TV Mix HBOMAX HD""VX Até 25mb""Franquia ilimitada"29.9"OT_MIG_JUL18_FID_4P_PILIM_4GB_D1_TV_BL5_CBAS_OF4"</t>
  </si>
  <si>
    <t>4000False"TV Mix Telecine HD""VX Até 25mb""Franquia ilimitada"29.9"OT_MIG_JUL18_FID_4P_PILIM_4GB_D1_TV_BL5_CBAS_OF4"</t>
  </si>
  <si>
    <t>4000False"TV Mix Cinema HD""VX Até 25mb""Franquia ilimitada"29.9"OT_MIG_JUL18_FID_4P_PILIM_4GB_D1_TV_BL5_CBAS_OF4"</t>
  </si>
  <si>
    <t>4000False"TV Total HD""VX Até 25mb""Franquia ilimitada"29.9"OT_MIG_JUL18_FID_4P_PILIM_4GB_D1_TV_BL5_CBAS_OF4"</t>
  </si>
  <si>
    <t>4000False"TV Total HBOMAX HD""VX Até 25mb""Franquia ilimitada"29.9"OT_MIG_JUL18_FID_4P_PILIM_4GB_D1_TV_BL5_CBAS_OF4"</t>
  </si>
  <si>
    <t>4000False"TV Total Telecine HD""VX Até 25mb""Franquia ilimitada"29.9"OT_MIG_JUL18_FID_4P_PILIM_4GB_D1_TV_BL5_CBAS_OF4"</t>
  </si>
  <si>
    <t>4000False"TV Total Cinema HD""VX Até 25mb""Franquia ilimitada"29.9"OT_MIG_JUL18_FID_4P_PILIM_4GB_D1_TV_BL5_CBAS_OF4"</t>
  </si>
  <si>
    <t>4000True"TV Total HD""VX Até 25mb""Franquia ilimitada"29.9"OT_MIG_JUL18_FID_4P_PILIM_4GB_D1_TV_BL5_CBAS_OF4"</t>
  </si>
  <si>
    <t>4000True"TV Total HBOMAX HD""VX Até 25mb""Franquia ilimitada"29.9"OT_MIG_JUL18_FID_4P_PILIM_4GB_D1_TV_BL5_CBAS_OF4"</t>
  </si>
  <si>
    <t>4000True"TV Total Telecine HD""VX Até 25mb""Franquia ilimitada"29.9"OT_MIG_JUL18_FID_4P_PILIM_4GB_D1_TV_BL5_CBAS_OF4"</t>
  </si>
  <si>
    <t>4000True"TV Total Cinema HD""VX Até 25mb""Franquia ilimitada"29.9"OT_MIG_JUL18_FID_4P_PILIM_4GB_D1_TV_BL5_CBAS_OF4"</t>
  </si>
  <si>
    <t>4000False"TV Start HD""VX 35mb""Franquia ilimitada"29.9"OT_MIG_JUL18_FID_4P_PILIM_4GB_D1_TV_BL5_CBAS_OF4"</t>
  </si>
  <si>
    <t>4000False"TV Mix HD""VX 35mb""Franquia ilimitada"29.9"OT_MIG_JUL18_FID_4P_PILIM_4GB_D1_TV_BL5_CBAS_OF4"</t>
  </si>
  <si>
    <t>4000False"TV Mix HBOMAX HD""VX 35mb""Franquia ilimitada"29.9"OT_MIG_JUL18_FID_4P_PILIM_4GB_D1_TV_BL5_CBAS_OF4"</t>
  </si>
  <si>
    <t>4000False"TV Mix Telecine HD""VX 35mb""Franquia ilimitada"29.9"OT_MIG_JUL18_FID_4P_PILIM_4GB_D1_TV_BL5_CBAS_OF4"</t>
  </si>
  <si>
    <t>4000False"TV Mix Cinema HD""VX 35mb""Franquia ilimitada"29.9"OT_MIG_JUL18_FID_4P_PILIM_4GB_D1_TV_BL5_CBAS_OF4"</t>
  </si>
  <si>
    <t>4000False"TV Total HD""VX 35mb""Franquia ilimitada"29.9"OT_MIG_JUL18_FID_4P_PILIM_4GB_D1_TV_BL5_CBAS_OF4"</t>
  </si>
  <si>
    <t>4000False"TV Total HBOMAX HD""VX 35mb""Franquia ilimitada"29.9"OT_MIG_JUL18_FID_4P_PILIM_4GB_D1_TV_BL5_CBAS_OF4"</t>
  </si>
  <si>
    <t>4000False"TV Total Telecine HD""VX 35mb""Franquia ilimitada"29.9"OT_MIG_JUL18_FID_4P_PILIM_4GB_D1_TV_BL5_CBAS_OF4"</t>
  </si>
  <si>
    <t>4000False"TV Total Cinema HD""VX 35mb""Franquia ilimitada"29.9"OT_MIG_JUL18_FID_4P_PILIM_4GB_D1_TV_BL5_CBAS_OF4"</t>
  </si>
  <si>
    <t>4000True"TV Total HD""VX 35mb""Franquia ilimitada"29.9"OT_MIG_JUL18_FID_4P_PILIM_4GB_D1_TV_BL5_CBAS_OF4"</t>
  </si>
  <si>
    <t>4000True"TV Total HBOMAX HD""VX 35mb""Franquia ilimitada"29.9"OT_MIG_JUL18_FID_4P_PILIM_4GB_D1_TV_BL5_CBAS_OF4"</t>
  </si>
  <si>
    <t>4000True"TV Total Telecine HD""VX 35mb""Franquia ilimitada"29.9"OT_MIG_JUL18_FID_4P_PILIM_4GB_D1_TV_BL5_CBAS_OF4"</t>
  </si>
  <si>
    <t>4000True"TV Total Cinema HD""VX 35mb""Franquia ilimitada"29.9"OT_MIG_JUL18_FID_4P_PILIM_4GB_D1_TV_BL5_CBAS_OF4"</t>
  </si>
  <si>
    <t>"OT_MIG_JUL18_FID_4P_PILIM_4GB_D2_TV_BL2_OF4"</t>
  </si>
  <si>
    <t>4000False"TV Start HD""VX Até 2mb""Franquia ilimitada"39.9"OT_MIG_JUL18_FID_4P_PILIM_4GB_D2_TV_BL2_OF4"</t>
  </si>
  <si>
    <t>4000False"TV Mix HD""VX Até 2mb""Franquia ilimitada"39.9"OT_MIG_JUL18_FID_4P_PILIM_4GB_D2_TV_BL2_OF4"</t>
  </si>
  <si>
    <t>4000False"TV Mix HBOMAX HD""VX Até 2mb""Franquia ilimitada"39.9"OT_MIG_JUL18_FID_4P_PILIM_4GB_D2_TV_BL2_OF4"</t>
  </si>
  <si>
    <t>4000False"TV Mix Telecine HD""VX Até 2mb""Franquia ilimitada"39.9"OT_MIG_JUL18_FID_4P_PILIM_4GB_D2_TV_BL2_OF4"</t>
  </si>
  <si>
    <t>4000False"TV Mix Cinema HD""VX Até 2mb""Franquia ilimitada"39.9"OT_MIG_JUL18_FID_4P_PILIM_4GB_D2_TV_BL2_OF4"</t>
  </si>
  <si>
    <t>4000False"TV Total HD""VX Até 2mb""Franquia ilimitada"39.9"OT_MIG_JUL18_FID_4P_PILIM_4GB_D2_TV_BL2_OF4"</t>
  </si>
  <si>
    <t>4000False"TV Total HBOMAX HD""VX Até 2mb""Franquia ilimitada"39.9"OT_MIG_JUL18_FID_4P_PILIM_4GB_D2_TV_BL2_OF4"</t>
  </si>
  <si>
    <t>4000False"TV Total Telecine HD""VX Até 2mb""Franquia ilimitada"39.9"OT_MIG_JUL18_FID_4P_PILIM_4GB_D2_TV_BL2_OF4"</t>
  </si>
  <si>
    <t>4000False"TV Total Cinema HD""VX Até 2mb""Franquia ilimitada"39.9"OT_MIG_JUL18_FID_4P_PILIM_4GB_D2_TV_BL2_OF4"</t>
  </si>
  <si>
    <t>4000True"TV Total HD""VX Até 2mb""Franquia ilimitada"39.9"OT_MIG_JUL18_FID_4P_PILIM_4GB_D2_TV_BL2_OF4"</t>
  </si>
  <si>
    <t>4000True"TV Total HBOMAX HD""VX Até 2mb""Franquia ilimitada"39.9"OT_MIG_JUL18_FID_4P_PILIM_4GB_D2_TV_BL2_OF4"</t>
  </si>
  <si>
    <t>4000True"TV Total Telecine HD""VX Até 2mb""Franquia ilimitada"39.9"OT_MIG_JUL18_FID_4P_PILIM_4GB_D2_TV_BL2_OF4"</t>
  </si>
  <si>
    <t>4000True"TV Total Cinema HD""VX Até 2mb""Franquia ilimitada"39.9"OT_MIG_JUL18_FID_4P_PILIM_4GB_D2_TV_BL2_OF4"</t>
  </si>
  <si>
    <t>4000False"TV Start HD""BLM 10gb""Franquia ilimitada"39.9"OT_MIG_JUL18_FID_4P_PILIM_4GB_D2_TV_BL2_OF4"</t>
  </si>
  <si>
    <t>4000False"TV Mix HD""BLM 10gb""Franquia ilimitada"39.9"OT_MIG_JUL18_FID_4P_PILIM_4GB_D2_TV_BL2_OF4"</t>
  </si>
  <si>
    <t>4000False"TV Mix HBOMAX HD""BLM 10gb""Franquia ilimitada"39.9"OT_MIG_JUL18_FID_4P_PILIM_4GB_D2_TV_BL2_OF4"</t>
  </si>
  <si>
    <t>4000False"TV Mix Telecine HD""BLM 10gb""Franquia ilimitada"39.9"OT_MIG_JUL18_FID_4P_PILIM_4GB_D2_TV_BL2_OF4"</t>
  </si>
  <si>
    <t>4000False"TV Mix Cinema HD""BLM 10gb""Franquia ilimitada"39.9"OT_MIG_JUL18_FID_4P_PILIM_4GB_D2_TV_BL2_OF4"</t>
  </si>
  <si>
    <t>4000False"TV Total HD""BLM 10gb""Franquia ilimitada"39.9"OT_MIG_JUL18_FID_4P_PILIM_4GB_D2_TV_BL2_OF4"</t>
  </si>
  <si>
    <t>4000False"TV Total HBOMAX HD""BLM 10gb""Franquia ilimitada"39.9"OT_MIG_JUL18_FID_4P_PILIM_4GB_D2_TV_BL2_OF4"</t>
  </si>
  <si>
    <t>4000False"TV Total Telecine HD""BLM 10gb""Franquia ilimitada"39.9"OT_MIG_JUL18_FID_4P_PILIM_4GB_D2_TV_BL2_OF4"</t>
  </si>
  <si>
    <t>4000False"TV Total Cinema HD""BLM 10gb""Franquia ilimitada"39.9"OT_MIG_JUL18_FID_4P_PILIM_4GB_D2_TV_BL2_OF4"</t>
  </si>
  <si>
    <t>4000True"TV Total HD""BLM 10gb""Franquia ilimitada"39.9"OT_MIG_JUL18_FID_4P_PILIM_4GB_D2_TV_BL2_OF4"</t>
  </si>
  <si>
    <t>4000True"TV Total HBOMAX HD""BLM 10gb""Franquia ilimitada"39.9"OT_MIG_JUL18_FID_4P_PILIM_4GB_D2_TV_BL2_OF4"</t>
  </si>
  <si>
    <t>4000True"TV Total Telecine HD""BLM 10gb""Franquia ilimitada"39.9"OT_MIG_JUL18_FID_4P_PILIM_4GB_D2_TV_BL2_OF4"</t>
  </si>
  <si>
    <t>4000True"TV Total Cinema HD""BLM 10gb""Franquia ilimitada"39.9"OT_MIG_JUL18_FID_4P_PILIM_4GB_D2_TV_BL2_OF4"</t>
  </si>
  <si>
    <t>"OT_MIG_JUL18_FID_4P_PILIM_4GB_D2_TV_BL5_CBAS_OF4"</t>
  </si>
  <si>
    <t>4000False"TV Start HD""VX Até 15mb""Franquia ilimitada"39.9"OT_MIG_JUL18_FID_4P_PILIM_4GB_D2_TV_BL5_CBAS_OF4"</t>
  </si>
  <si>
    <t>4000False"TV Mix HD""VX Até 15mb""Franquia ilimitada"39.9"OT_MIG_JUL18_FID_4P_PILIM_4GB_D2_TV_BL5_CBAS_OF4"</t>
  </si>
  <si>
    <t>4000False"TV Mix HBOMAX HD""VX Até 15mb""Franquia ilimitada"39.9"OT_MIG_JUL18_FID_4P_PILIM_4GB_D2_TV_BL5_CBAS_OF4"</t>
  </si>
  <si>
    <t>4000False"TV Mix Telecine HD""VX Até 15mb""Franquia ilimitada"39.9"OT_MIG_JUL18_FID_4P_PILIM_4GB_D2_TV_BL5_CBAS_OF4"</t>
  </si>
  <si>
    <t>4000False"TV Mix Cinema HD""VX Até 15mb""Franquia ilimitada"39.9"OT_MIG_JUL18_FID_4P_PILIM_4GB_D2_TV_BL5_CBAS_OF4"</t>
  </si>
  <si>
    <t>4000False"TV Total HD""VX Até 15mb""Franquia ilimitada"39.9"OT_MIG_JUL18_FID_4P_PILIM_4GB_D2_TV_BL5_CBAS_OF4"</t>
  </si>
  <si>
    <t>4000False"TV Total HBOMAX HD""VX Até 15mb""Franquia ilimitada"39.9"OT_MIG_JUL18_FID_4P_PILIM_4GB_D2_TV_BL5_CBAS_OF4"</t>
  </si>
  <si>
    <t>4000False"TV Total Telecine HD""VX Até 15mb""Franquia ilimitada"39.9"OT_MIG_JUL18_FID_4P_PILIM_4GB_D2_TV_BL5_CBAS_OF4"</t>
  </si>
  <si>
    <t>4000False"TV Total Cinema HD""VX Até 15mb""Franquia ilimitada"39.9"OT_MIG_JUL18_FID_4P_PILIM_4GB_D2_TV_BL5_CBAS_OF4"</t>
  </si>
  <si>
    <t>4000True"TV Total HD""VX Até 15mb""Franquia ilimitada"39.9"OT_MIG_JUL18_FID_4P_PILIM_4GB_D2_TV_BL5_CBAS_OF4"</t>
  </si>
  <si>
    <t>4000True"TV Total HBOMAX HD""VX Até 15mb""Franquia ilimitada"39.9"OT_MIG_JUL18_FID_4P_PILIM_4GB_D2_TV_BL5_CBAS_OF4"</t>
  </si>
  <si>
    <t>4000True"TV Total Telecine HD""VX Até 15mb""Franquia ilimitada"39.9"OT_MIG_JUL18_FID_4P_PILIM_4GB_D2_TV_BL5_CBAS_OF4"</t>
  </si>
  <si>
    <t>4000True"TV Total Cinema HD""VX Até 15mb""Franquia ilimitada"39.9"OT_MIG_JUL18_FID_4P_PILIM_4GB_D2_TV_BL5_CBAS_OF4"</t>
  </si>
  <si>
    <t>4000False"TV Start HD""VX Até 25mb""Franquia ilimitada"39.9"OT_MIG_JUL18_FID_4P_PILIM_4GB_D2_TV_BL5_CBAS_OF4"</t>
  </si>
  <si>
    <t>4000False"TV Mix HD""VX Até 25mb""Franquia ilimitada"39.9"OT_MIG_JUL18_FID_4P_PILIM_4GB_D2_TV_BL5_CBAS_OF4"</t>
  </si>
  <si>
    <t>4000False"TV Mix HBOMAX HD""VX Até 25mb""Franquia ilimitada"39.9"OT_MIG_JUL18_FID_4P_PILIM_4GB_D2_TV_BL5_CBAS_OF4"</t>
  </si>
  <si>
    <t>4000False"TV Mix Telecine HD""VX Até 25mb""Franquia ilimitada"39.9"OT_MIG_JUL18_FID_4P_PILIM_4GB_D2_TV_BL5_CBAS_OF4"</t>
  </si>
  <si>
    <t>4000False"TV Mix Cinema HD""VX Até 25mb""Franquia ilimitada"39.9"OT_MIG_JUL18_FID_4P_PILIM_4GB_D2_TV_BL5_CBAS_OF4"</t>
  </si>
  <si>
    <t>4000False"TV Total HD""VX Até 25mb""Franquia ilimitada"39.9"OT_MIG_JUL18_FID_4P_PILIM_4GB_D2_TV_BL5_CBAS_OF4"</t>
  </si>
  <si>
    <t>4000False"TV Total HBOMAX HD""VX Até 25mb""Franquia ilimitada"39.9"OT_MIG_JUL18_FID_4P_PILIM_4GB_D2_TV_BL5_CBAS_OF4"</t>
  </si>
  <si>
    <t>4000False"TV Total Telecine HD""VX Até 25mb""Franquia ilimitada"39.9"OT_MIG_JUL18_FID_4P_PILIM_4GB_D2_TV_BL5_CBAS_OF4"</t>
  </si>
  <si>
    <t>4000False"TV Total Cinema HD""VX Até 25mb""Franquia ilimitada"39.9"OT_MIG_JUL18_FID_4P_PILIM_4GB_D2_TV_BL5_CBAS_OF4"</t>
  </si>
  <si>
    <t>4000True"TV Total HD""VX Até 25mb""Franquia ilimitada"39.9"OT_MIG_JUL18_FID_4P_PILIM_4GB_D2_TV_BL5_CBAS_OF4"</t>
  </si>
  <si>
    <t>4000True"TV Total HBOMAX HD""VX Até 25mb""Franquia ilimitada"39.9"OT_MIG_JUL18_FID_4P_PILIM_4GB_D2_TV_BL5_CBAS_OF4"</t>
  </si>
  <si>
    <t>4000True"TV Total Telecine HD""VX Até 25mb""Franquia ilimitada"39.9"OT_MIG_JUL18_FID_4P_PILIM_4GB_D2_TV_BL5_CBAS_OF4"</t>
  </si>
  <si>
    <t>4000True"TV Total Cinema HD""VX Até 25mb""Franquia ilimitada"39.9"OT_MIG_JUL18_FID_4P_PILIM_4GB_D2_TV_BL5_CBAS_OF4"</t>
  </si>
  <si>
    <t>4000False"TV Start HD""VX 35mb""Franquia ilimitada"39.9"OT_MIG_JUL18_FID_4P_PILIM_4GB_D2_TV_BL5_CBAS_OF4"</t>
  </si>
  <si>
    <t>4000False"TV Mix HD""VX 35mb""Franquia ilimitada"39.9"OT_MIG_JUL18_FID_4P_PILIM_4GB_D2_TV_BL5_CBAS_OF4"</t>
  </si>
  <si>
    <t>4000False"TV Mix HBOMAX HD""VX 35mb""Franquia ilimitada"39.9"OT_MIG_JUL18_FID_4P_PILIM_4GB_D2_TV_BL5_CBAS_OF4"</t>
  </si>
  <si>
    <t>4000False"TV Mix Telecine HD""VX 35mb""Franquia ilimitada"39.9"OT_MIG_JUL18_FID_4P_PILIM_4GB_D2_TV_BL5_CBAS_OF4"</t>
  </si>
  <si>
    <t>4000False"TV Mix Cinema HD""VX 35mb""Franquia ilimitada"39.9"OT_MIG_JUL18_FID_4P_PILIM_4GB_D2_TV_BL5_CBAS_OF4"</t>
  </si>
  <si>
    <t>4000False"TV Total HD""VX 35mb""Franquia ilimitada"39.9"OT_MIG_JUL18_FID_4P_PILIM_4GB_D2_TV_BL5_CBAS_OF4"</t>
  </si>
  <si>
    <t>4000False"TV Total HBOMAX HD""VX 35mb""Franquia ilimitada"39.9"OT_MIG_JUL18_FID_4P_PILIM_4GB_D2_TV_BL5_CBAS_OF4"</t>
  </si>
  <si>
    <t>4000False"TV Total Telecine HD""VX 35mb""Franquia ilimitada"39.9"OT_MIG_JUL18_FID_4P_PILIM_4GB_D2_TV_BL5_CBAS_OF4"</t>
  </si>
  <si>
    <t>4000False"TV Total Cinema HD""VX 35mb""Franquia ilimitada"39.9"OT_MIG_JUL18_FID_4P_PILIM_4GB_D2_TV_BL5_CBAS_OF4"</t>
  </si>
  <si>
    <t>4000True"TV Total HD""VX 35mb""Franquia ilimitada"39.9"OT_MIG_JUL18_FID_4P_PILIM_4GB_D2_TV_BL5_CBAS_OF4"</t>
  </si>
  <si>
    <t>4000True"TV Total HBOMAX HD""VX 35mb""Franquia ilimitada"39.9"OT_MIG_JUL18_FID_4P_PILIM_4GB_D2_TV_BL5_CBAS_OF4"</t>
  </si>
  <si>
    <t>4000True"TV Total Telecine HD""VX 35mb""Franquia ilimitada"39.9"OT_MIG_JUL18_FID_4P_PILIM_4GB_D2_TV_BL5_CBAS_OF4"</t>
  </si>
  <si>
    <t>4000True"TV Total Cinema HD""VX 35mb""Franquia ilimitada"39.9"OT_MIG_JUL18_FID_4P_PILIM_4GB_D2_TV_BL5_CBAS_OF4"</t>
  </si>
  <si>
    <t>"TV Livre HD"</t>
  </si>
  <si>
    <t>"OT_MIG_JUL18_FID_4P_PILIM_4GB_D1_LV_BL2_OF4"</t>
  </si>
  <si>
    <t>4000False"TV Livre HD""VX Até 2mb""Franquia ilimitada"29.9"OT_MIG_JUL18_FID_4P_PILIM_4GB_D1_LV_BL2_OF4"</t>
  </si>
  <si>
    <t>4000False"TV Livre HD""BLM 10gb""Franquia ilimitada"29.9"OT_MIG_JUL18_FID_4P_PILIM_4GB_D1_LV_BL2_OF4"</t>
  </si>
  <si>
    <t>"OT_MIG_JUL18_FID_4P_PILIM_4GB_D1_LV_BL5_CBAS_OF4"</t>
  </si>
  <si>
    <t>4000False"TV Livre HD""VX Até 15mb""Franquia ilimitada"29.9"OT_MIG_JUL18_FID_4P_PILIM_4GB_D1_LV_BL5_CBAS_OF4"</t>
  </si>
  <si>
    <t>4000False"TV Livre HD""VX Até 25mb""Franquia ilimitada"29.9"OT_MIG_JUL18_FID_4P_PILIM_4GB_D1_LV_BL5_CBAS_OF4"</t>
  </si>
  <si>
    <t>4000False"TV Livre HD""VX 35mb""Franquia ilimitada"29.9"OT_MIG_JUL18_FID_4P_PILIM_4GB_D1_LV_BL5_CBAS_OF4"</t>
  </si>
  <si>
    <t>"OT_MIG_JUL18_FID_4P_PILIM_4GB_D2_LV_BL2_OF4"</t>
  </si>
  <si>
    <t>4000False"TV Livre HD""VX Até 2mb""Franquia ilimitada"39.9"OT_MIG_JUL18_FID_4P_PILIM_4GB_D2_LV_BL2_OF4"</t>
  </si>
  <si>
    <t>4000False"TV Livre HD""BLM 10gb""Franquia ilimitada"39.9"OT_MIG_JUL18_FID_4P_PILIM_4GB_D2_LV_BL2_OF4"</t>
  </si>
  <si>
    <t>"OT_MIG_JUL18_FID_4P_PILIM_4GB_D2_LV_BL5_CBAS_OF4"</t>
  </si>
  <si>
    <t>4000False"TV Livre HD""VX Até 15mb""Franquia ilimitada"39.9"OT_MIG_JUL18_FID_4P_PILIM_4GB_D2_LV_BL5_CBAS_OF4"</t>
  </si>
  <si>
    <t>4000False"TV Livre HD""VX Até 25mb""Franquia ilimitada"39.9"OT_MIG_JUL18_FID_4P_PILIM_4GB_D2_LV_BL5_CBAS_OF4"</t>
  </si>
  <si>
    <t>4000False"TV Livre HD""VX 35mb""Franquia ilimitada"39.9"OT_MIG_JUL18_FID_4P_PILIM_4GB_D2_LV_BL5_CBAS_OF4"</t>
  </si>
  <si>
    <t>"OT_MIG_JUL18_FID_4P_PILIM_7GB_D1_TV_BL2_OF2"</t>
  </si>
  <si>
    <t>"oi total fixo + oi mais 7gb + banda larga"</t>
  </si>
  <si>
    <t>7000False"TV Start HD""VX Até 2mb""Franquia ilimitada"29.9"OT_MIG_JUL18_FID_4P_PILIM_7GB_D1_TV_BL2_OF2"</t>
  </si>
  <si>
    <t>7000False"TV Mix HD""VX Até 2mb""Franquia ilimitada"29.9"OT_MIG_JUL18_FID_4P_PILIM_7GB_D1_TV_BL2_OF2"</t>
  </si>
  <si>
    <t>7000False"TV Mix HBOMAX HD""VX Até 2mb""Franquia ilimitada"29.9"OT_MIG_JUL18_FID_4P_PILIM_7GB_D1_TV_BL2_OF2"</t>
  </si>
  <si>
    <t>7000False"TV Mix Telecine HD""VX Até 2mb""Franquia ilimitada"29.9"OT_MIG_JUL18_FID_4P_PILIM_7GB_D1_TV_BL2_OF2"</t>
  </si>
  <si>
    <t>7000False"TV Mix Cinema HD""VX Até 2mb""Franquia ilimitada"29.9"OT_MIG_JUL18_FID_4P_PILIM_7GB_D1_TV_BL2_OF2"</t>
  </si>
  <si>
    <t>7000False"TV Total HD""VX Até 2mb""Franquia ilimitada"29.9"OT_MIG_JUL18_FID_4P_PILIM_7GB_D1_TV_BL2_OF2"</t>
  </si>
  <si>
    <t>7000False"TV Total HBOMAX HD""VX Até 2mb""Franquia ilimitada"29.9"OT_MIG_JUL18_FID_4P_PILIM_7GB_D1_TV_BL2_OF2"</t>
  </si>
  <si>
    <t>7000False"TV Total Telecine HD""VX Até 2mb""Franquia ilimitada"29.9"OT_MIG_JUL18_FID_4P_PILIM_7GB_D1_TV_BL2_OF2"</t>
  </si>
  <si>
    <t>7000False"TV Total Cinema HD""VX Até 2mb""Franquia ilimitada"29.9"OT_MIG_JUL18_FID_4P_PILIM_7GB_D1_TV_BL2_OF2"</t>
  </si>
  <si>
    <t>7000True"TV Total HD""VX Até 2mb""Franquia ilimitada"29.9"OT_MIG_JUL18_FID_4P_PILIM_7GB_D1_TV_BL2_OF2"</t>
  </si>
  <si>
    <t>7000True"TV Total HBOMAX HD""VX Até 2mb""Franquia ilimitada"29.9"OT_MIG_JUL18_FID_4P_PILIM_7GB_D1_TV_BL2_OF2"</t>
  </si>
  <si>
    <t>7000True"TV Total Telecine HD""VX Até 2mb""Franquia ilimitada"29.9"OT_MIG_JUL18_FID_4P_PILIM_7GB_D1_TV_BL2_OF2"</t>
  </si>
  <si>
    <t>7000True"TV Total Cinema HD""VX Até 2mb""Franquia ilimitada"29.9"OT_MIG_JUL18_FID_4P_PILIM_7GB_D1_TV_BL2_OF2"</t>
  </si>
  <si>
    <t>7000False"TV Start HD""BLM 10gb""Franquia ilimitada"29.9"OT_MIG_JUL18_FID_4P_PILIM_7GB_D1_TV_BL2_OF2"</t>
  </si>
  <si>
    <t>7000False"TV Mix HD""BLM 10gb""Franquia ilimitada"29.9"OT_MIG_JUL18_FID_4P_PILIM_7GB_D1_TV_BL2_OF2"</t>
  </si>
  <si>
    <t>7000False"TV Mix HBOMAX HD""BLM 10gb""Franquia ilimitada"29.9"OT_MIG_JUL18_FID_4P_PILIM_7GB_D1_TV_BL2_OF2"</t>
  </si>
  <si>
    <t>7000False"TV Mix Telecine HD""BLM 10gb""Franquia ilimitada"29.9"OT_MIG_JUL18_FID_4P_PILIM_7GB_D1_TV_BL2_OF2"</t>
  </si>
  <si>
    <t>7000False"TV Mix Cinema HD""BLM 10gb""Franquia ilimitada"29.9"OT_MIG_JUL18_FID_4P_PILIM_7GB_D1_TV_BL2_OF2"</t>
  </si>
  <si>
    <t>7000False"TV Total HD""BLM 10gb""Franquia ilimitada"29.9"OT_MIG_JUL18_FID_4P_PILIM_7GB_D1_TV_BL2_OF2"</t>
  </si>
  <si>
    <t>7000False"TV Total HBOMAX HD""BLM 10gb""Franquia ilimitada"29.9"OT_MIG_JUL18_FID_4P_PILIM_7GB_D1_TV_BL2_OF2"</t>
  </si>
  <si>
    <t>7000False"TV Total Telecine HD""BLM 10gb""Franquia ilimitada"29.9"OT_MIG_JUL18_FID_4P_PILIM_7GB_D1_TV_BL2_OF2"</t>
  </si>
  <si>
    <t>7000False"TV Total Cinema HD""BLM 10gb""Franquia ilimitada"29.9"OT_MIG_JUL18_FID_4P_PILIM_7GB_D1_TV_BL2_OF2"</t>
  </si>
  <si>
    <t>7000True"TV Total HD""BLM 10gb""Franquia ilimitada"29.9"OT_MIG_JUL18_FID_4P_PILIM_7GB_D1_TV_BL2_OF2"</t>
  </si>
  <si>
    <t>7000True"TV Total HBOMAX HD""BLM 10gb""Franquia ilimitada"29.9"OT_MIG_JUL18_FID_4P_PILIM_7GB_D1_TV_BL2_OF2"</t>
  </si>
  <si>
    <t>7000True"TV Total Telecine HD""BLM 10gb""Franquia ilimitada"29.9"OT_MIG_JUL18_FID_4P_PILIM_7GB_D1_TV_BL2_OF2"</t>
  </si>
  <si>
    <t>7000True"TV Total Cinema HD""BLM 10gb""Franquia ilimitada"29.9"OT_MIG_JUL18_FID_4P_PILIM_7GB_D1_TV_BL2_OF2"</t>
  </si>
  <si>
    <t>"OT_MIG_JUL18_FID_4P_PILIM_7GB_D1_TV_BL5_CBAS_OF2"</t>
  </si>
  <si>
    <t>7000False"TV Start HD""VX Até 15mb""Franquia ilimitada"29.9"OT_MIG_JUL18_FID_4P_PILIM_7GB_D1_TV_BL5_CBAS_OF2"</t>
  </si>
  <si>
    <t>7000False"TV Mix HD""VX Até 15mb""Franquia ilimitada"29.9"OT_MIG_JUL18_FID_4P_PILIM_7GB_D1_TV_BL5_CBAS_OF2"</t>
  </si>
  <si>
    <t>7000False"TV Mix HBOMAX HD""VX Até 15mb""Franquia ilimitada"29.9"OT_MIG_JUL18_FID_4P_PILIM_7GB_D1_TV_BL5_CBAS_OF2"</t>
  </si>
  <si>
    <t>7000False"TV Mix Telecine HD""VX Até 15mb""Franquia ilimitada"29.9"OT_MIG_JUL18_FID_4P_PILIM_7GB_D1_TV_BL5_CBAS_OF2"</t>
  </si>
  <si>
    <t>7000False"TV Mix Cinema HD""VX Até 15mb""Franquia ilimitada"29.9"OT_MIG_JUL18_FID_4P_PILIM_7GB_D1_TV_BL5_CBAS_OF2"</t>
  </si>
  <si>
    <t>7000False"TV Total HD""VX Até 15mb""Franquia ilimitada"29.9"OT_MIG_JUL18_FID_4P_PILIM_7GB_D1_TV_BL5_CBAS_OF2"</t>
  </si>
  <si>
    <t>7000False"TV Total HBOMAX HD""VX Até 15mb""Franquia ilimitada"29.9"OT_MIG_JUL18_FID_4P_PILIM_7GB_D1_TV_BL5_CBAS_OF2"</t>
  </si>
  <si>
    <t>7000False"TV Total Telecine HD""VX Até 15mb""Franquia ilimitada"29.9"OT_MIG_JUL18_FID_4P_PILIM_7GB_D1_TV_BL5_CBAS_OF2"</t>
  </si>
  <si>
    <t>7000False"TV Total Cinema HD""VX Até 15mb""Franquia ilimitada"29.9"OT_MIG_JUL18_FID_4P_PILIM_7GB_D1_TV_BL5_CBAS_OF2"</t>
  </si>
  <si>
    <t>7000True"TV Total HD""VX Até 15mb""Franquia ilimitada"29.9"OT_MIG_JUL18_FID_4P_PILIM_7GB_D1_TV_BL5_CBAS_OF2"</t>
  </si>
  <si>
    <t>7000True"TV Total HBOMAX HD""VX Até 15mb""Franquia ilimitada"29.9"OT_MIG_JUL18_FID_4P_PILIM_7GB_D1_TV_BL5_CBAS_OF2"</t>
  </si>
  <si>
    <t>7000True"TV Total Telecine HD""VX Até 15mb""Franquia ilimitada"29.9"OT_MIG_JUL18_FID_4P_PILIM_7GB_D1_TV_BL5_CBAS_OF2"</t>
  </si>
  <si>
    <t>7000True"TV Total Cinema HD""VX Até 15mb""Franquia ilimitada"29.9"OT_MIG_JUL18_FID_4P_PILIM_7GB_D1_TV_BL5_CBAS_OF2"</t>
  </si>
  <si>
    <t>7000False"TV Start HD""VX Até 25mb""Franquia ilimitada"29.9"OT_MIG_JUL18_FID_4P_PILIM_7GB_D1_TV_BL5_CBAS_OF2"</t>
  </si>
  <si>
    <t>7000False"TV Mix HD""VX Até 25mb""Franquia ilimitada"29.9"OT_MIG_JUL18_FID_4P_PILIM_7GB_D1_TV_BL5_CBAS_OF2"</t>
  </si>
  <si>
    <t>7000False"TV Mix HBOMAX HD""VX Até 25mb""Franquia ilimitada"29.9"OT_MIG_JUL18_FID_4P_PILIM_7GB_D1_TV_BL5_CBAS_OF2"</t>
  </si>
  <si>
    <t>7000False"TV Mix Telecine HD""VX Até 25mb""Franquia ilimitada"29.9"OT_MIG_JUL18_FID_4P_PILIM_7GB_D1_TV_BL5_CBAS_OF2"</t>
  </si>
  <si>
    <t>7000False"TV Mix Cinema HD""VX Até 25mb""Franquia ilimitada"29.9"OT_MIG_JUL18_FID_4P_PILIM_7GB_D1_TV_BL5_CBAS_OF2"</t>
  </si>
  <si>
    <t>7000False"TV Total HD""VX Até 25mb""Franquia ilimitada"29.9"OT_MIG_JUL18_FID_4P_PILIM_7GB_D1_TV_BL5_CBAS_OF2"</t>
  </si>
  <si>
    <t>7000False"TV Total HBOMAX HD""VX Até 25mb""Franquia ilimitada"29.9"OT_MIG_JUL18_FID_4P_PILIM_7GB_D1_TV_BL5_CBAS_OF2"</t>
  </si>
  <si>
    <t>7000False"TV Total Telecine HD""VX Até 25mb""Franquia ilimitada"29.9"OT_MIG_JUL18_FID_4P_PILIM_7GB_D1_TV_BL5_CBAS_OF2"</t>
  </si>
  <si>
    <t>7000False"TV Total Cinema HD""VX Até 25mb""Franquia ilimitada"29.9"OT_MIG_JUL18_FID_4P_PILIM_7GB_D1_TV_BL5_CBAS_OF2"</t>
  </si>
  <si>
    <t>7000True"TV Total HD""VX Até 25mb""Franquia ilimitada"29.9"OT_MIG_JUL18_FID_4P_PILIM_7GB_D1_TV_BL5_CBAS_OF2"</t>
  </si>
  <si>
    <t>7000True"TV Total HBOMAX HD""VX Até 25mb""Franquia ilimitada"29.9"OT_MIG_JUL18_FID_4P_PILIM_7GB_D1_TV_BL5_CBAS_OF2"</t>
  </si>
  <si>
    <t>7000True"TV Total Telecine HD""VX Até 25mb""Franquia ilimitada"29.9"OT_MIG_JUL18_FID_4P_PILIM_7GB_D1_TV_BL5_CBAS_OF2"</t>
  </si>
  <si>
    <t>7000True"TV Total Cinema HD""VX Até 25mb""Franquia ilimitada"29.9"OT_MIG_JUL18_FID_4P_PILIM_7GB_D1_TV_BL5_CBAS_OF2"</t>
  </si>
  <si>
    <t>7000False"TV Start HD""VX 35mb""Franquia ilimitada"29.9"OT_MIG_JUL18_FID_4P_PILIM_7GB_D1_TV_BL5_CBAS_OF2"</t>
  </si>
  <si>
    <t>7000False"TV Mix HD""VX 35mb""Franquia ilimitada"29.9"OT_MIG_JUL18_FID_4P_PILIM_7GB_D1_TV_BL5_CBAS_OF2"</t>
  </si>
  <si>
    <t>7000False"TV Mix HBOMAX HD""VX 35mb""Franquia ilimitada"29.9"OT_MIG_JUL18_FID_4P_PILIM_7GB_D1_TV_BL5_CBAS_OF2"</t>
  </si>
  <si>
    <t>7000False"TV Mix Telecine HD""VX 35mb""Franquia ilimitada"29.9"OT_MIG_JUL18_FID_4P_PILIM_7GB_D1_TV_BL5_CBAS_OF2"</t>
  </si>
  <si>
    <t>7000False"TV Mix Cinema HD""VX 35mb""Franquia ilimitada"29.9"OT_MIG_JUL18_FID_4P_PILIM_7GB_D1_TV_BL5_CBAS_OF2"</t>
  </si>
  <si>
    <t>7000False"TV Total HD""VX 35mb""Franquia ilimitada"29.9"OT_MIG_JUL18_FID_4P_PILIM_7GB_D1_TV_BL5_CBAS_OF2"</t>
  </si>
  <si>
    <t>7000False"TV Total HBOMAX HD""VX 35mb""Franquia ilimitada"29.9"OT_MIG_JUL18_FID_4P_PILIM_7GB_D1_TV_BL5_CBAS_OF2"</t>
  </si>
  <si>
    <t>7000False"TV Total Telecine HD""VX 35mb""Franquia ilimitada"29.9"OT_MIG_JUL18_FID_4P_PILIM_7GB_D1_TV_BL5_CBAS_OF2"</t>
  </si>
  <si>
    <t>7000False"TV Total Cinema HD""VX 35mb""Franquia ilimitada"29.9"OT_MIG_JUL18_FID_4P_PILIM_7GB_D1_TV_BL5_CBAS_OF2"</t>
  </si>
  <si>
    <t>7000True"TV Total HD""VX 35mb""Franquia ilimitada"29.9"OT_MIG_JUL18_FID_4P_PILIM_7GB_D1_TV_BL5_CBAS_OF2"</t>
  </si>
  <si>
    <t>7000True"TV Total HBOMAX HD""VX 35mb""Franquia ilimitada"29.9"OT_MIG_JUL18_FID_4P_PILIM_7GB_D1_TV_BL5_CBAS_OF2"</t>
  </si>
  <si>
    <t>7000True"TV Total Telecine HD""VX 35mb""Franquia ilimitada"29.9"OT_MIG_JUL18_FID_4P_PILIM_7GB_D1_TV_BL5_CBAS_OF2"</t>
  </si>
  <si>
    <t>7000True"TV Total Cinema HD""VX 35mb""Franquia ilimitada"29.9"OT_MIG_JUL18_FID_4P_PILIM_7GB_D1_TV_BL5_CBAS_OF2"</t>
  </si>
  <si>
    <t>"OT_MIG_JUL18_FID_4P_PILIM_7GB_D2_TV_BL2_OF2"</t>
  </si>
  <si>
    <t>7000False"TV Start HD""VX Até 2mb""Franquia ilimitada"39.9"OT_MIG_JUL18_FID_4P_PILIM_7GB_D2_TV_BL2_OF2"</t>
  </si>
  <si>
    <t>7000False"TV Mix HD""VX Até 2mb""Franquia ilimitada"39.9"OT_MIG_JUL18_FID_4P_PILIM_7GB_D2_TV_BL2_OF2"</t>
  </si>
  <si>
    <t>7000False"TV Mix HBOMAX HD""VX Até 2mb""Franquia ilimitada"39.9"OT_MIG_JUL18_FID_4P_PILIM_7GB_D2_TV_BL2_OF2"</t>
  </si>
  <si>
    <t>7000False"TV Mix Telecine HD""VX Até 2mb""Franquia ilimitada"39.9"OT_MIG_JUL18_FID_4P_PILIM_7GB_D2_TV_BL2_OF2"</t>
  </si>
  <si>
    <t>7000False"TV Mix Cinema HD""VX Até 2mb""Franquia ilimitada"39.9"OT_MIG_JUL18_FID_4P_PILIM_7GB_D2_TV_BL2_OF2"</t>
  </si>
  <si>
    <t>7000False"TV Total HD""VX Até 2mb""Franquia ilimitada"39.9"OT_MIG_JUL18_FID_4P_PILIM_7GB_D2_TV_BL2_OF2"</t>
  </si>
  <si>
    <t>7000False"TV Total HBOMAX HD""VX Até 2mb""Franquia ilimitada"39.9"OT_MIG_JUL18_FID_4P_PILIM_7GB_D2_TV_BL2_OF2"</t>
  </si>
  <si>
    <t>7000False"TV Total Telecine HD""VX Até 2mb""Franquia ilimitada"39.9"OT_MIG_JUL18_FID_4P_PILIM_7GB_D2_TV_BL2_OF2"</t>
  </si>
  <si>
    <t>7000False"TV Total Cinema HD""VX Até 2mb""Franquia ilimitada"39.9"OT_MIG_JUL18_FID_4P_PILIM_7GB_D2_TV_BL2_OF2"</t>
  </si>
  <si>
    <t>7000True"TV Total HD""VX Até 2mb""Franquia ilimitada"39.9"OT_MIG_JUL18_FID_4P_PILIM_7GB_D2_TV_BL2_OF2"</t>
  </si>
  <si>
    <t>7000True"TV Total HBOMAX HD""VX Até 2mb""Franquia ilimitada"39.9"OT_MIG_JUL18_FID_4P_PILIM_7GB_D2_TV_BL2_OF2"</t>
  </si>
  <si>
    <t>7000True"TV Total Telecine HD""VX Até 2mb""Franquia ilimitada"39.9"OT_MIG_JUL18_FID_4P_PILIM_7GB_D2_TV_BL2_OF2"</t>
  </si>
  <si>
    <t>7000True"TV Total Cinema HD""VX Até 2mb""Franquia ilimitada"39.9"OT_MIG_JUL18_FID_4P_PILIM_7GB_D2_TV_BL2_OF2"</t>
  </si>
  <si>
    <t>7000False"TV Start HD""BLM 10gb""Franquia ilimitada"39.9"OT_MIG_JUL18_FID_4P_PILIM_7GB_D2_TV_BL2_OF2"</t>
  </si>
  <si>
    <t>7000False"TV Mix HD""BLM 10gb""Franquia ilimitada"39.9"OT_MIG_JUL18_FID_4P_PILIM_7GB_D2_TV_BL2_OF2"</t>
  </si>
  <si>
    <t>7000False"TV Mix HBOMAX HD""BLM 10gb""Franquia ilimitada"39.9"OT_MIG_JUL18_FID_4P_PILIM_7GB_D2_TV_BL2_OF2"</t>
  </si>
  <si>
    <t>7000False"TV Mix Telecine HD""BLM 10gb""Franquia ilimitada"39.9"OT_MIG_JUL18_FID_4P_PILIM_7GB_D2_TV_BL2_OF2"</t>
  </si>
  <si>
    <t>7000False"TV Mix Cinema HD""BLM 10gb""Franquia ilimitada"39.9"OT_MIG_JUL18_FID_4P_PILIM_7GB_D2_TV_BL2_OF2"</t>
  </si>
  <si>
    <t>7000False"TV Total HD""BLM 10gb""Franquia ilimitada"39.9"OT_MIG_JUL18_FID_4P_PILIM_7GB_D2_TV_BL2_OF2"</t>
  </si>
  <si>
    <t>7000False"TV Total HBOMAX HD""BLM 10gb""Franquia ilimitada"39.9"OT_MIG_JUL18_FID_4P_PILIM_7GB_D2_TV_BL2_OF2"</t>
  </si>
  <si>
    <t>7000False"TV Total Telecine HD""BLM 10gb""Franquia ilimitada"39.9"OT_MIG_JUL18_FID_4P_PILIM_7GB_D2_TV_BL2_OF2"</t>
  </si>
  <si>
    <t>7000False"TV Total Cinema HD""BLM 10gb""Franquia ilimitada"39.9"OT_MIG_JUL18_FID_4P_PILIM_7GB_D2_TV_BL2_OF2"</t>
  </si>
  <si>
    <t>7000True"TV Total HD""BLM 10gb""Franquia ilimitada"39.9"OT_MIG_JUL18_FID_4P_PILIM_7GB_D2_TV_BL2_OF2"</t>
  </si>
  <si>
    <t>7000True"TV Total HBOMAX HD""BLM 10gb""Franquia ilimitada"39.9"OT_MIG_JUL18_FID_4P_PILIM_7GB_D2_TV_BL2_OF2"</t>
  </si>
  <si>
    <t>7000True"TV Total Telecine HD""BLM 10gb""Franquia ilimitada"39.9"OT_MIG_JUL18_FID_4P_PILIM_7GB_D2_TV_BL2_OF2"</t>
  </si>
  <si>
    <t>7000True"TV Total Cinema HD""BLM 10gb""Franquia ilimitada"39.9"OT_MIG_JUL18_FID_4P_PILIM_7GB_D2_TV_BL2_OF2"</t>
  </si>
  <si>
    <t>"OT_MIG_JUL18_FID_4P_PILIM_7GB_D2_TV_BL5_CBAS_OF2"</t>
  </si>
  <si>
    <t>7000False"TV Start HD""VX Até 15mb""Franquia ilimitada"39.9"OT_MIG_JUL18_FID_4P_PILIM_7GB_D2_TV_BL5_CBAS_OF2"</t>
  </si>
  <si>
    <t>7000False"TV Mix HD""VX Até 15mb""Franquia ilimitada"39.9"OT_MIG_JUL18_FID_4P_PILIM_7GB_D2_TV_BL5_CBAS_OF2"</t>
  </si>
  <si>
    <t>7000False"TV Mix HBOMAX HD""VX Até 15mb""Franquia ilimitada"39.9"OT_MIG_JUL18_FID_4P_PILIM_7GB_D2_TV_BL5_CBAS_OF2"</t>
  </si>
  <si>
    <t>7000False"TV Mix Telecine HD""VX Até 15mb""Franquia ilimitada"39.9"OT_MIG_JUL18_FID_4P_PILIM_7GB_D2_TV_BL5_CBAS_OF2"</t>
  </si>
  <si>
    <t>7000False"TV Mix Cinema HD""VX Até 15mb""Franquia ilimitada"39.9"OT_MIG_JUL18_FID_4P_PILIM_7GB_D2_TV_BL5_CBAS_OF2"</t>
  </si>
  <si>
    <t>7000False"TV Total HD""VX Até 15mb""Franquia ilimitada"39.9"OT_MIG_JUL18_FID_4P_PILIM_7GB_D2_TV_BL5_CBAS_OF2"</t>
  </si>
  <si>
    <t>7000False"TV Total HBOMAX HD""VX Até 15mb""Franquia ilimitada"39.9"OT_MIG_JUL18_FID_4P_PILIM_7GB_D2_TV_BL5_CBAS_OF2"</t>
  </si>
  <si>
    <t>7000False"TV Total Telecine HD""VX Até 15mb""Franquia ilimitada"39.9"OT_MIG_JUL18_FID_4P_PILIM_7GB_D2_TV_BL5_CBAS_OF2"</t>
  </si>
  <si>
    <t>7000False"TV Total Cinema HD""VX Até 15mb""Franquia ilimitada"39.9"OT_MIG_JUL18_FID_4P_PILIM_7GB_D2_TV_BL5_CBAS_OF2"</t>
  </si>
  <si>
    <t>7000True"TV Total HD""VX Até 15mb""Franquia ilimitada"39.9"OT_MIG_JUL18_FID_4P_PILIM_7GB_D2_TV_BL5_CBAS_OF2"</t>
  </si>
  <si>
    <t>7000True"TV Total HBOMAX HD""VX Até 15mb""Franquia ilimitada"39.9"OT_MIG_JUL18_FID_4P_PILIM_7GB_D2_TV_BL5_CBAS_OF2"</t>
  </si>
  <si>
    <t>7000True"TV Total Telecine HD""VX Até 15mb""Franquia ilimitada"39.9"OT_MIG_JUL18_FID_4P_PILIM_7GB_D2_TV_BL5_CBAS_OF2"</t>
  </si>
  <si>
    <t>7000True"TV Total Cinema HD""VX Até 15mb""Franquia ilimitada"39.9"OT_MIG_JUL18_FID_4P_PILIM_7GB_D2_TV_BL5_CBAS_OF2"</t>
  </si>
  <si>
    <t>7000False"TV Start HD""VX Até 25mb""Franquia ilimitada"39.9"OT_MIG_JUL18_FID_4P_PILIM_7GB_D2_TV_BL5_CBAS_OF2"</t>
  </si>
  <si>
    <t>7000False"TV Mix HD""VX Até 25mb""Franquia ilimitada"39.9"OT_MIG_JUL18_FID_4P_PILIM_7GB_D2_TV_BL5_CBAS_OF2"</t>
  </si>
  <si>
    <t>7000False"TV Mix HBOMAX HD""VX Até 25mb""Franquia ilimitada"39.9"OT_MIG_JUL18_FID_4P_PILIM_7GB_D2_TV_BL5_CBAS_OF2"</t>
  </si>
  <si>
    <t>7000False"TV Mix Telecine HD""VX Até 25mb""Franquia ilimitada"39.9"OT_MIG_JUL18_FID_4P_PILIM_7GB_D2_TV_BL5_CBAS_OF2"</t>
  </si>
  <si>
    <t>7000False"TV Mix Cinema HD""VX Até 25mb""Franquia ilimitada"39.9"OT_MIG_JUL18_FID_4P_PILIM_7GB_D2_TV_BL5_CBAS_OF2"</t>
  </si>
  <si>
    <t>7000False"TV Total HD""VX Até 25mb""Franquia ilimitada"39.9"OT_MIG_JUL18_FID_4P_PILIM_7GB_D2_TV_BL5_CBAS_OF2"</t>
  </si>
  <si>
    <t>7000False"TV Total HBOMAX HD""VX Até 25mb""Franquia ilimitada"39.9"OT_MIG_JUL18_FID_4P_PILIM_7GB_D2_TV_BL5_CBAS_OF2"</t>
  </si>
  <si>
    <t>7000False"TV Total Telecine HD""VX Até 25mb""Franquia ilimitada"39.9"OT_MIG_JUL18_FID_4P_PILIM_7GB_D2_TV_BL5_CBAS_OF2"</t>
  </si>
  <si>
    <t>7000False"TV Total Cinema HD""VX Até 25mb""Franquia ilimitada"39.9"OT_MIG_JUL18_FID_4P_PILIM_7GB_D2_TV_BL5_CBAS_OF2"</t>
  </si>
  <si>
    <t>7000True"TV Total HD""VX Até 25mb""Franquia ilimitada"39.9"OT_MIG_JUL18_FID_4P_PILIM_7GB_D2_TV_BL5_CBAS_OF2"</t>
  </si>
  <si>
    <t>7000True"TV Total HBOMAX HD""VX Até 25mb""Franquia ilimitada"39.9"OT_MIG_JUL18_FID_4P_PILIM_7GB_D2_TV_BL5_CBAS_OF2"</t>
  </si>
  <si>
    <t>7000True"TV Total Telecine HD""VX Até 25mb""Franquia ilimitada"39.9"OT_MIG_JUL18_FID_4P_PILIM_7GB_D2_TV_BL5_CBAS_OF2"</t>
  </si>
  <si>
    <t>7000True"TV Total Cinema HD""VX Até 25mb""Franquia ilimitada"39.9"OT_MIG_JUL18_FID_4P_PILIM_7GB_D2_TV_BL5_CBAS_OF2"</t>
  </si>
  <si>
    <t>7000False"TV Start HD""VX 35mb""Franquia ilimitada"39.9"OT_MIG_JUL18_FID_4P_PILIM_7GB_D2_TV_BL5_CBAS_OF2"</t>
  </si>
  <si>
    <t>7000False"TV Mix HD""VX 35mb""Franquia ilimitada"39.9"OT_MIG_JUL18_FID_4P_PILIM_7GB_D2_TV_BL5_CBAS_OF2"</t>
  </si>
  <si>
    <t>7000False"TV Mix HBOMAX HD""VX 35mb""Franquia ilimitada"39.9"OT_MIG_JUL18_FID_4P_PILIM_7GB_D2_TV_BL5_CBAS_OF2"</t>
  </si>
  <si>
    <t>7000False"TV Mix Telecine HD""VX 35mb""Franquia ilimitada"39.9"OT_MIG_JUL18_FID_4P_PILIM_7GB_D2_TV_BL5_CBAS_OF2"</t>
  </si>
  <si>
    <t>7000False"TV Mix Cinema HD""VX 35mb""Franquia ilimitada"39.9"OT_MIG_JUL18_FID_4P_PILIM_7GB_D2_TV_BL5_CBAS_OF2"</t>
  </si>
  <si>
    <t>7000False"TV Total HD""VX 35mb""Franquia ilimitada"39.9"OT_MIG_JUL18_FID_4P_PILIM_7GB_D2_TV_BL5_CBAS_OF2"</t>
  </si>
  <si>
    <t>7000False"TV Total HBOMAX HD""VX 35mb""Franquia ilimitada"39.9"OT_MIG_JUL18_FID_4P_PILIM_7GB_D2_TV_BL5_CBAS_OF2"</t>
  </si>
  <si>
    <t>7000False"TV Total Telecine HD""VX 35mb""Franquia ilimitada"39.9"OT_MIG_JUL18_FID_4P_PILIM_7GB_D2_TV_BL5_CBAS_OF2"</t>
  </si>
  <si>
    <t>7000False"TV Total Cinema HD""VX 35mb""Franquia ilimitada"39.9"OT_MIG_JUL18_FID_4P_PILIM_7GB_D2_TV_BL5_CBAS_OF2"</t>
  </si>
  <si>
    <t>7000True"TV Total HD""VX 35mb""Franquia ilimitada"39.9"OT_MIG_JUL18_FID_4P_PILIM_7GB_D2_TV_BL5_CBAS_OF2"</t>
  </si>
  <si>
    <t>7000True"TV Total HBOMAX HD""VX 35mb""Franquia ilimitada"39.9"OT_MIG_JUL18_FID_4P_PILIM_7GB_D2_TV_BL5_CBAS_OF2"</t>
  </si>
  <si>
    <t>7000True"TV Total Telecine HD""VX 35mb""Franquia ilimitada"39.9"OT_MIG_JUL18_FID_4P_PILIM_7GB_D2_TV_BL5_CBAS_OF2"</t>
  </si>
  <si>
    <t>7000True"TV Total Cinema HD""VX 35mb""Franquia ilimitada"39.9"OT_MIG_JUL18_FID_4P_PILIM_7GB_D2_TV_BL5_CBAS_OF2"</t>
  </si>
  <si>
    <t>"OT_MIG_JUL18_FID_4P_PILIM_7GB_D1_TV_BL2_OF3"</t>
  </si>
  <si>
    <t>7000False"TV Start HD""VX Até 2mb""Franquia ilimitada"29.9"OT_MIG_JUL18_FID_4P_PILIM_7GB_D1_TV_BL2_OF3"</t>
  </si>
  <si>
    <t>7000False"TV Mix HD""VX Até 2mb""Franquia ilimitada"29.9"OT_MIG_JUL18_FID_4P_PILIM_7GB_D1_TV_BL2_OF3"</t>
  </si>
  <si>
    <t>7000False"TV Mix HBOMAX HD""VX Até 2mb""Franquia ilimitada"29.9"OT_MIG_JUL18_FID_4P_PILIM_7GB_D1_TV_BL2_OF3"</t>
  </si>
  <si>
    <t>7000False"TV Mix Telecine HD""VX Até 2mb""Franquia ilimitada"29.9"OT_MIG_JUL18_FID_4P_PILIM_7GB_D1_TV_BL2_OF3"</t>
  </si>
  <si>
    <t>7000False"TV Mix Cinema HD""VX Até 2mb""Franquia ilimitada"29.9"OT_MIG_JUL18_FID_4P_PILIM_7GB_D1_TV_BL2_OF3"</t>
  </si>
  <si>
    <t>7000False"TV Total HD""VX Até 2mb""Franquia ilimitada"29.9"OT_MIG_JUL18_FID_4P_PILIM_7GB_D1_TV_BL2_OF3"</t>
  </si>
  <si>
    <t>7000False"TV Total HBOMAX HD""VX Até 2mb""Franquia ilimitada"29.9"OT_MIG_JUL18_FID_4P_PILIM_7GB_D1_TV_BL2_OF3"</t>
  </si>
  <si>
    <t>7000False"TV Total Telecine HD""VX Até 2mb""Franquia ilimitada"29.9"OT_MIG_JUL18_FID_4P_PILIM_7GB_D1_TV_BL2_OF3"</t>
  </si>
  <si>
    <t>7000False"TV Total Cinema HD""VX Até 2mb""Franquia ilimitada"29.9"OT_MIG_JUL18_FID_4P_PILIM_7GB_D1_TV_BL2_OF3"</t>
  </si>
  <si>
    <t>7000True"TV Total HD""VX Até 2mb""Franquia ilimitada"29.9"OT_MIG_JUL18_FID_4P_PILIM_7GB_D1_TV_BL2_OF3"</t>
  </si>
  <si>
    <t>7000True"TV Total HBOMAX HD""VX Até 2mb""Franquia ilimitada"29.9"OT_MIG_JUL18_FID_4P_PILIM_7GB_D1_TV_BL2_OF3"</t>
  </si>
  <si>
    <t>7000True"TV Total Telecine HD""VX Até 2mb""Franquia ilimitada"29.9"OT_MIG_JUL18_FID_4P_PILIM_7GB_D1_TV_BL2_OF3"</t>
  </si>
  <si>
    <t>7000True"TV Total Cinema HD""VX Até 2mb""Franquia ilimitada"29.9"OT_MIG_JUL18_FID_4P_PILIM_7GB_D1_TV_BL2_OF3"</t>
  </si>
  <si>
    <t>7000False"TV Start HD""BLM 10gb""Franquia ilimitada"29.9"OT_MIG_JUL18_FID_4P_PILIM_7GB_D1_TV_BL2_OF3"</t>
  </si>
  <si>
    <t>7000False"TV Mix HD""BLM 10gb""Franquia ilimitada"29.9"OT_MIG_JUL18_FID_4P_PILIM_7GB_D1_TV_BL2_OF3"</t>
  </si>
  <si>
    <t>7000False"TV Mix HBOMAX HD""BLM 10gb""Franquia ilimitada"29.9"OT_MIG_JUL18_FID_4P_PILIM_7GB_D1_TV_BL2_OF3"</t>
  </si>
  <si>
    <t>7000False"TV Mix Telecine HD""BLM 10gb""Franquia ilimitada"29.9"OT_MIG_JUL18_FID_4P_PILIM_7GB_D1_TV_BL2_OF3"</t>
  </si>
  <si>
    <t>7000False"TV Mix Cinema HD""BLM 10gb""Franquia ilimitada"29.9"OT_MIG_JUL18_FID_4P_PILIM_7GB_D1_TV_BL2_OF3"</t>
  </si>
  <si>
    <t>7000False"TV Total HD""BLM 10gb""Franquia ilimitada"29.9"OT_MIG_JUL18_FID_4P_PILIM_7GB_D1_TV_BL2_OF3"</t>
  </si>
  <si>
    <t>7000False"TV Total HBOMAX HD""BLM 10gb""Franquia ilimitada"29.9"OT_MIG_JUL18_FID_4P_PILIM_7GB_D1_TV_BL2_OF3"</t>
  </si>
  <si>
    <t>7000False"TV Total Telecine HD""BLM 10gb""Franquia ilimitada"29.9"OT_MIG_JUL18_FID_4P_PILIM_7GB_D1_TV_BL2_OF3"</t>
  </si>
  <si>
    <t>7000False"TV Total Cinema HD""BLM 10gb""Franquia ilimitada"29.9"OT_MIG_JUL18_FID_4P_PILIM_7GB_D1_TV_BL2_OF3"</t>
  </si>
  <si>
    <t>7000True"TV Total HD""BLM 10gb""Franquia ilimitada"29.9"OT_MIG_JUL18_FID_4P_PILIM_7GB_D1_TV_BL2_OF3"</t>
  </si>
  <si>
    <t>7000True"TV Total HBOMAX HD""BLM 10gb""Franquia ilimitada"29.9"OT_MIG_JUL18_FID_4P_PILIM_7GB_D1_TV_BL2_OF3"</t>
  </si>
  <si>
    <t>7000True"TV Total Telecine HD""BLM 10gb""Franquia ilimitada"29.9"OT_MIG_JUL18_FID_4P_PILIM_7GB_D1_TV_BL2_OF3"</t>
  </si>
  <si>
    <t>7000True"TV Total Cinema HD""BLM 10gb""Franquia ilimitada"29.9"OT_MIG_JUL18_FID_4P_PILIM_7GB_D1_TV_BL2_OF3"</t>
  </si>
  <si>
    <t>"OT_MIG_JUL18_FID_4P_PILIM_7GB_D1_TV_BL5_CBAS_OF3"</t>
  </si>
  <si>
    <t>7000False"TV Start HD""VX Até 15mb""Franquia ilimitada"29.9"OT_MIG_JUL18_FID_4P_PILIM_7GB_D1_TV_BL5_CBAS_OF3"</t>
  </si>
  <si>
    <t>7000False"TV Mix HD""VX Até 15mb""Franquia ilimitada"29.9"OT_MIG_JUL18_FID_4P_PILIM_7GB_D1_TV_BL5_CBAS_OF3"</t>
  </si>
  <si>
    <t>7000False"TV Mix HBOMAX HD""VX Até 15mb""Franquia ilimitada"29.9"OT_MIG_JUL18_FID_4P_PILIM_7GB_D1_TV_BL5_CBAS_OF3"</t>
  </si>
  <si>
    <t>7000False"TV Mix Telecine HD""VX Até 15mb""Franquia ilimitada"29.9"OT_MIG_JUL18_FID_4P_PILIM_7GB_D1_TV_BL5_CBAS_OF3"</t>
  </si>
  <si>
    <t>7000False"TV Mix Cinema HD""VX Até 15mb""Franquia ilimitada"29.9"OT_MIG_JUL18_FID_4P_PILIM_7GB_D1_TV_BL5_CBAS_OF3"</t>
  </si>
  <si>
    <t>7000False"TV Total HD""VX Até 15mb""Franquia ilimitada"29.9"OT_MIG_JUL18_FID_4P_PILIM_7GB_D1_TV_BL5_CBAS_OF3"</t>
  </si>
  <si>
    <t>7000False"TV Total HBOMAX HD""VX Até 15mb""Franquia ilimitada"29.9"OT_MIG_JUL18_FID_4P_PILIM_7GB_D1_TV_BL5_CBAS_OF3"</t>
  </si>
  <si>
    <t>7000False"TV Total Telecine HD""VX Até 15mb""Franquia ilimitada"29.9"OT_MIG_JUL18_FID_4P_PILIM_7GB_D1_TV_BL5_CBAS_OF3"</t>
  </si>
  <si>
    <t>7000False"TV Total Cinema HD""VX Até 15mb""Franquia ilimitada"29.9"OT_MIG_JUL18_FID_4P_PILIM_7GB_D1_TV_BL5_CBAS_OF3"</t>
  </si>
  <si>
    <t>7000True"TV Total HD""VX Até 15mb""Franquia ilimitada"29.9"OT_MIG_JUL18_FID_4P_PILIM_7GB_D1_TV_BL5_CBAS_OF3"</t>
  </si>
  <si>
    <t>7000True"TV Total HBOMAX HD""VX Até 15mb""Franquia ilimitada"29.9"OT_MIG_JUL18_FID_4P_PILIM_7GB_D1_TV_BL5_CBAS_OF3"</t>
  </si>
  <si>
    <t>7000True"TV Total Telecine HD""VX Até 15mb""Franquia ilimitada"29.9"OT_MIG_JUL18_FID_4P_PILIM_7GB_D1_TV_BL5_CBAS_OF3"</t>
  </si>
  <si>
    <t>7000True"TV Total Cinema HD""VX Até 15mb""Franquia ilimitada"29.9"OT_MIG_JUL18_FID_4P_PILIM_7GB_D1_TV_BL5_CBAS_OF3"</t>
  </si>
  <si>
    <t>7000False"TV Start HD""VX Até 25mb""Franquia ilimitada"29.9"OT_MIG_JUL18_FID_4P_PILIM_7GB_D1_TV_BL5_CBAS_OF3"</t>
  </si>
  <si>
    <t>7000False"TV Mix HD""VX Até 25mb""Franquia ilimitada"29.9"OT_MIG_JUL18_FID_4P_PILIM_7GB_D1_TV_BL5_CBAS_OF3"</t>
  </si>
  <si>
    <t>7000False"TV Mix HBOMAX HD""VX Até 25mb""Franquia ilimitada"29.9"OT_MIG_JUL18_FID_4P_PILIM_7GB_D1_TV_BL5_CBAS_OF3"</t>
  </si>
  <si>
    <t>7000False"TV Mix Telecine HD""VX Até 25mb""Franquia ilimitada"29.9"OT_MIG_JUL18_FID_4P_PILIM_7GB_D1_TV_BL5_CBAS_OF3"</t>
  </si>
  <si>
    <t>7000False"TV Mix Cinema HD""VX Até 25mb""Franquia ilimitada"29.9"OT_MIG_JUL18_FID_4P_PILIM_7GB_D1_TV_BL5_CBAS_OF3"</t>
  </si>
  <si>
    <t>7000False"TV Total HD""VX Até 25mb""Franquia ilimitada"29.9"OT_MIG_JUL18_FID_4P_PILIM_7GB_D1_TV_BL5_CBAS_OF3"</t>
  </si>
  <si>
    <t>7000False"TV Total HBOMAX HD""VX Até 25mb""Franquia ilimitada"29.9"OT_MIG_JUL18_FID_4P_PILIM_7GB_D1_TV_BL5_CBAS_OF3"</t>
  </si>
  <si>
    <t>7000False"TV Total Telecine HD""VX Até 25mb""Franquia ilimitada"29.9"OT_MIG_JUL18_FID_4P_PILIM_7GB_D1_TV_BL5_CBAS_OF3"</t>
  </si>
  <si>
    <t>7000False"TV Total Cinema HD""VX Até 25mb""Franquia ilimitada"29.9"OT_MIG_JUL18_FID_4P_PILIM_7GB_D1_TV_BL5_CBAS_OF3"</t>
  </si>
  <si>
    <t>7000True"TV Total HD""VX Até 25mb""Franquia ilimitada"29.9"OT_MIG_JUL18_FID_4P_PILIM_7GB_D1_TV_BL5_CBAS_OF3"</t>
  </si>
  <si>
    <t>7000True"TV Total HBOMAX HD""VX Até 25mb""Franquia ilimitada"29.9"OT_MIG_JUL18_FID_4P_PILIM_7GB_D1_TV_BL5_CBAS_OF3"</t>
  </si>
  <si>
    <t>7000True"TV Total Telecine HD""VX Até 25mb""Franquia ilimitada"29.9"OT_MIG_JUL18_FID_4P_PILIM_7GB_D1_TV_BL5_CBAS_OF3"</t>
  </si>
  <si>
    <t>7000True"TV Total Cinema HD""VX Até 25mb""Franquia ilimitada"29.9"OT_MIG_JUL18_FID_4P_PILIM_7GB_D1_TV_BL5_CBAS_OF3"</t>
  </si>
  <si>
    <t>7000False"TV Start HD""VX 35mb""Franquia ilimitada"29.9"OT_MIG_JUL18_FID_4P_PILIM_7GB_D1_TV_BL5_CBAS_OF3"</t>
  </si>
  <si>
    <t>7000False"TV Mix HD""VX 35mb""Franquia ilimitada"29.9"OT_MIG_JUL18_FID_4P_PILIM_7GB_D1_TV_BL5_CBAS_OF3"</t>
  </si>
  <si>
    <t>7000False"TV Mix HBOMAX HD""VX 35mb""Franquia ilimitada"29.9"OT_MIG_JUL18_FID_4P_PILIM_7GB_D1_TV_BL5_CBAS_OF3"</t>
  </si>
  <si>
    <t>7000False"TV Mix Telecine HD""VX 35mb""Franquia ilimitada"29.9"OT_MIG_JUL18_FID_4P_PILIM_7GB_D1_TV_BL5_CBAS_OF3"</t>
  </si>
  <si>
    <t>7000False"TV Mix Cinema HD""VX 35mb""Franquia ilimitada"29.9"OT_MIG_JUL18_FID_4P_PILIM_7GB_D1_TV_BL5_CBAS_OF3"</t>
  </si>
  <si>
    <t>7000False"TV Total HD""VX 35mb""Franquia ilimitada"29.9"OT_MIG_JUL18_FID_4P_PILIM_7GB_D1_TV_BL5_CBAS_OF3"</t>
  </si>
  <si>
    <t>7000False"TV Total HBOMAX HD""VX 35mb""Franquia ilimitada"29.9"OT_MIG_JUL18_FID_4P_PILIM_7GB_D1_TV_BL5_CBAS_OF3"</t>
  </si>
  <si>
    <t>7000False"TV Total Telecine HD""VX 35mb""Franquia ilimitada"29.9"OT_MIG_JUL18_FID_4P_PILIM_7GB_D1_TV_BL5_CBAS_OF3"</t>
  </si>
  <si>
    <t>7000False"TV Total Cinema HD""VX 35mb""Franquia ilimitada"29.9"OT_MIG_JUL18_FID_4P_PILIM_7GB_D1_TV_BL5_CBAS_OF3"</t>
  </si>
  <si>
    <t>7000True"TV Total HD""VX 35mb""Franquia ilimitada"29.9"OT_MIG_JUL18_FID_4P_PILIM_7GB_D1_TV_BL5_CBAS_OF3"</t>
  </si>
  <si>
    <t>7000True"TV Total HBOMAX HD""VX 35mb""Franquia ilimitada"29.9"OT_MIG_JUL18_FID_4P_PILIM_7GB_D1_TV_BL5_CBAS_OF3"</t>
  </si>
  <si>
    <t>7000True"TV Total Telecine HD""VX 35mb""Franquia ilimitada"29.9"OT_MIG_JUL18_FID_4P_PILIM_7GB_D1_TV_BL5_CBAS_OF3"</t>
  </si>
  <si>
    <t>7000True"TV Total Cinema HD""VX 35mb""Franquia ilimitada"29.9"OT_MIG_JUL18_FID_4P_PILIM_7GB_D1_TV_BL5_CBAS_OF3"</t>
  </si>
  <si>
    <t>"OT_MIG_JUL18_FID_4P_PILIM_7GB_D2_TV_BL2_OF3"</t>
  </si>
  <si>
    <t>7000False"TV Start HD""VX Até 2mb""Franquia ilimitada"39.9"OT_MIG_JUL18_FID_4P_PILIM_7GB_D2_TV_BL2_OF3"</t>
  </si>
  <si>
    <t>7000False"TV Mix HD""VX Até 2mb""Franquia ilimitada"39.9"OT_MIG_JUL18_FID_4P_PILIM_7GB_D2_TV_BL2_OF3"</t>
  </si>
  <si>
    <t>7000False"TV Mix HBOMAX HD""VX Até 2mb""Franquia ilimitada"39.9"OT_MIG_JUL18_FID_4P_PILIM_7GB_D2_TV_BL2_OF3"</t>
  </si>
  <si>
    <t>7000False"TV Mix Telecine HD""VX Até 2mb""Franquia ilimitada"39.9"OT_MIG_JUL18_FID_4P_PILIM_7GB_D2_TV_BL2_OF3"</t>
  </si>
  <si>
    <t>7000False"TV Mix Cinema HD""VX Até 2mb""Franquia ilimitada"39.9"OT_MIG_JUL18_FID_4P_PILIM_7GB_D2_TV_BL2_OF3"</t>
  </si>
  <si>
    <t>7000False"TV Total HD""VX Até 2mb""Franquia ilimitada"39.9"OT_MIG_JUL18_FID_4P_PILIM_7GB_D2_TV_BL2_OF3"</t>
  </si>
  <si>
    <t>7000False"TV Total HBOMAX HD""VX Até 2mb""Franquia ilimitada"39.9"OT_MIG_JUL18_FID_4P_PILIM_7GB_D2_TV_BL2_OF3"</t>
  </si>
  <si>
    <t>7000False"TV Total Telecine HD""VX Até 2mb""Franquia ilimitada"39.9"OT_MIG_JUL18_FID_4P_PILIM_7GB_D2_TV_BL2_OF3"</t>
  </si>
  <si>
    <t>7000False"TV Total Cinema HD""VX Até 2mb""Franquia ilimitada"39.9"OT_MIG_JUL18_FID_4P_PILIM_7GB_D2_TV_BL2_OF3"</t>
  </si>
  <si>
    <t>7000True"TV Total HD""VX Até 2mb""Franquia ilimitada"39.9"OT_MIG_JUL18_FID_4P_PILIM_7GB_D2_TV_BL2_OF3"</t>
  </si>
  <si>
    <t>7000True"TV Total HBOMAX HD""VX Até 2mb""Franquia ilimitada"39.9"OT_MIG_JUL18_FID_4P_PILIM_7GB_D2_TV_BL2_OF3"</t>
  </si>
  <si>
    <t>7000True"TV Total Telecine HD""VX Até 2mb""Franquia ilimitada"39.9"OT_MIG_JUL18_FID_4P_PILIM_7GB_D2_TV_BL2_OF3"</t>
  </si>
  <si>
    <t>7000True"TV Total Cinema HD""VX Até 2mb""Franquia ilimitada"39.9"OT_MIG_JUL18_FID_4P_PILIM_7GB_D2_TV_BL2_OF3"</t>
  </si>
  <si>
    <t>7000False"TV Start HD""BLM 10gb""Franquia ilimitada"39.9"OT_MIG_JUL18_FID_4P_PILIM_7GB_D2_TV_BL2_OF3"</t>
  </si>
  <si>
    <t>7000False"TV Mix HD""BLM 10gb""Franquia ilimitada"39.9"OT_MIG_JUL18_FID_4P_PILIM_7GB_D2_TV_BL2_OF3"</t>
  </si>
  <si>
    <t>7000False"TV Mix HBOMAX HD""BLM 10gb""Franquia ilimitada"39.9"OT_MIG_JUL18_FID_4P_PILIM_7GB_D2_TV_BL2_OF3"</t>
  </si>
  <si>
    <t>7000False"TV Mix Telecine HD""BLM 10gb""Franquia ilimitada"39.9"OT_MIG_JUL18_FID_4P_PILIM_7GB_D2_TV_BL2_OF3"</t>
  </si>
  <si>
    <t>7000False"TV Mix Cinema HD""BLM 10gb""Franquia ilimitada"39.9"OT_MIG_JUL18_FID_4P_PILIM_7GB_D2_TV_BL2_OF3"</t>
  </si>
  <si>
    <t>7000False"TV Total HD""BLM 10gb""Franquia ilimitada"39.9"OT_MIG_JUL18_FID_4P_PILIM_7GB_D2_TV_BL2_OF3"</t>
  </si>
  <si>
    <t>7000False"TV Total HBOMAX HD""BLM 10gb""Franquia ilimitada"39.9"OT_MIG_JUL18_FID_4P_PILIM_7GB_D2_TV_BL2_OF3"</t>
  </si>
  <si>
    <t>7000False"TV Total Telecine HD""BLM 10gb""Franquia ilimitada"39.9"OT_MIG_JUL18_FID_4P_PILIM_7GB_D2_TV_BL2_OF3"</t>
  </si>
  <si>
    <t>7000False"TV Total Cinema HD""BLM 10gb""Franquia ilimitada"39.9"OT_MIG_JUL18_FID_4P_PILIM_7GB_D2_TV_BL2_OF3"</t>
  </si>
  <si>
    <t>7000True"TV Total HD""BLM 10gb""Franquia ilimitada"39.9"OT_MIG_JUL18_FID_4P_PILIM_7GB_D2_TV_BL2_OF3"</t>
  </si>
  <si>
    <t>7000True"TV Total HBOMAX HD""BLM 10gb""Franquia ilimitada"39.9"OT_MIG_JUL18_FID_4P_PILIM_7GB_D2_TV_BL2_OF3"</t>
  </si>
  <si>
    <t>7000True"TV Total Telecine HD""BLM 10gb""Franquia ilimitada"39.9"OT_MIG_JUL18_FID_4P_PILIM_7GB_D2_TV_BL2_OF3"</t>
  </si>
  <si>
    <t>7000True"TV Total Cinema HD""BLM 10gb""Franquia ilimitada"39.9"OT_MIG_JUL18_FID_4P_PILIM_7GB_D2_TV_BL2_OF3"</t>
  </si>
  <si>
    <t>"OT_MIG_JUL18_FID_4P_PILIM_7GB_D2_TV_BL5_CBAS_OF3"</t>
  </si>
  <si>
    <t>7000False"TV Start HD""VX Até 15mb""Franquia ilimitada"39.9"OT_MIG_JUL18_FID_4P_PILIM_7GB_D2_TV_BL5_CBAS_OF3"</t>
  </si>
  <si>
    <t>7000False"TV Mix HD""VX Até 15mb""Franquia ilimitada"39.9"OT_MIG_JUL18_FID_4P_PILIM_7GB_D2_TV_BL5_CBAS_OF3"</t>
  </si>
  <si>
    <t>7000False"TV Mix HBOMAX HD""VX Até 15mb""Franquia ilimitada"39.9"OT_MIG_JUL18_FID_4P_PILIM_7GB_D2_TV_BL5_CBAS_OF3"</t>
  </si>
  <si>
    <t>7000False"TV Mix Telecine HD""VX Até 15mb""Franquia ilimitada"39.9"OT_MIG_JUL18_FID_4P_PILIM_7GB_D2_TV_BL5_CBAS_OF3"</t>
  </si>
  <si>
    <t>7000False"TV Mix Cinema HD""VX Até 15mb""Franquia ilimitada"39.9"OT_MIG_JUL18_FID_4P_PILIM_7GB_D2_TV_BL5_CBAS_OF3"</t>
  </si>
  <si>
    <t>7000False"TV Total HD""VX Até 15mb""Franquia ilimitada"39.9"OT_MIG_JUL18_FID_4P_PILIM_7GB_D2_TV_BL5_CBAS_OF3"</t>
  </si>
  <si>
    <t>7000False"TV Total HBOMAX HD""VX Até 15mb""Franquia ilimitada"39.9"OT_MIG_JUL18_FID_4P_PILIM_7GB_D2_TV_BL5_CBAS_OF3"</t>
  </si>
  <si>
    <t>7000False"TV Total Telecine HD""VX Até 15mb""Franquia ilimitada"39.9"OT_MIG_JUL18_FID_4P_PILIM_7GB_D2_TV_BL5_CBAS_OF3"</t>
  </si>
  <si>
    <t>7000False"TV Total Cinema HD""VX Até 15mb""Franquia ilimitada"39.9"OT_MIG_JUL18_FID_4P_PILIM_7GB_D2_TV_BL5_CBAS_OF3"</t>
  </si>
  <si>
    <t>7000True"TV Total HD""VX Até 15mb""Franquia ilimitada"39.9"OT_MIG_JUL18_FID_4P_PILIM_7GB_D2_TV_BL5_CBAS_OF3"</t>
  </si>
  <si>
    <t>7000True"TV Total HBOMAX HD""VX Até 15mb""Franquia ilimitada"39.9"OT_MIG_JUL18_FID_4P_PILIM_7GB_D2_TV_BL5_CBAS_OF3"</t>
  </si>
  <si>
    <t>7000True"TV Total Telecine HD""VX Até 15mb""Franquia ilimitada"39.9"OT_MIG_JUL18_FID_4P_PILIM_7GB_D2_TV_BL5_CBAS_OF3"</t>
  </si>
  <si>
    <t>7000True"TV Total Cinema HD""VX Até 15mb""Franquia ilimitada"39.9"OT_MIG_JUL18_FID_4P_PILIM_7GB_D2_TV_BL5_CBAS_OF3"</t>
  </si>
  <si>
    <t>7000False"TV Start HD""VX Até 25mb""Franquia ilimitada"39.9"OT_MIG_JUL18_FID_4P_PILIM_7GB_D2_TV_BL5_CBAS_OF3"</t>
  </si>
  <si>
    <t>7000False"TV Mix HD""VX Até 25mb""Franquia ilimitada"39.9"OT_MIG_JUL18_FID_4P_PILIM_7GB_D2_TV_BL5_CBAS_OF3"</t>
  </si>
  <si>
    <t>7000False"TV Mix HBOMAX HD""VX Até 25mb""Franquia ilimitada"39.9"OT_MIG_JUL18_FID_4P_PILIM_7GB_D2_TV_BL5_CBAS_OF3"</t>
  </si>
  <si>
    <t>7000False"TV Mix Telecine HD""VX Até 25mb""Franquia ilimitada"39.9"OT_MIG_JUL18_FID_4P_PILIM_7GB_D2_TV_BL5_CBAS_OF3"</t>
  </si>
  <si>
    <t>7000False"TV Mix Cinema HD""VX Até 25mb""Franquia ilimitada"39.9"OT_MIG_JUL18_FID_4P_PILIM_7GB_D2_TV_BL5_CBAS_OF3"</t>
  </si>
  <si>
    <t>7000False"TV Total HD""VX Até 25mb""Franquia ilimitada"39.9"OT_MIG_JUL18_FID_4P_PILIM_7GB_D2_TV_BL5_CBAS_OF3"</t>
  </si>
  <si>
    <t>7000False"TV Total HBOMAX HD""VX Até 25mb""Franquia ilimitada"39.9"OT_MIG_JUL18_FID_4P_PILIM_7GB_D2_TV_BL5_CBAS_OF3"</t>
  </si>
  <si>
    <t>7000False"TV Total Telecine HD""VX Até 25mb""Franquia ilimitada"39.9"OT_MIG_JUL18_FID_4P_PILIM_7GB_D2_TV_BL5_CBAS_OF3"</t>
  </si>
  <si>
    <t>7000False"TV Total Cinema HD""VX Até 25mb""Franquia ilimitada"39.9"OT_MIG_JUL18_FID_4P_PILIM_7GB_D2_TV_BL5_CBAS_OF3"</t>
  </si>
  <si>
    <t>7000True"TV Total HD""VX Até 25mb""Franquia ilimitada"39.9"OT_MIG_JUL18_FID_4P_PILIM_7GB_D2_TV_BL5_CBAS_OF3"</t>
  </si>
  <si>
    <t>7000True"TV Total HBOMAX HD""VX Até 25mb""Franquia ilimitada"39.9"OT_MIG_JUL18_FID_4P_PILIM_7GB_D2_TV_BL5_CBAS_OF3"</t>
  </si>
  <si>
    <t>7000True"TV Total Telecine HD""VX Até 25mb""Franquia ilimitada"39.9"OT_MIG_JUL18_FID_4P_PILIM_7GB_D2_TV_BL5_CBAS_OF3"</t>
  </si>
  <si>
    <t>7000True"TV Total Cinema HD""VX Até 25mb""Franquia ilimitada"39.9"OT_MIG_JUL18_FID_4P_PILIM_7GB_D2_TV_BL5_CBAS_OF3"</t>
  </si>
  <si>
    <t>7000False"TV Start HD""VX 35mb""Franquia ilimitada"39.9"OT_MIG_JUL18_FID_4P_PILIM_7GB_D2_TV_BL5_CBAS_OF3"</t>
  </si>
  <si>
    <t>7000False"TV Mix HD""VX 35mb""Franquia ilimitada"39.9"OT_MIG_JUL18_FID_4P_PILIM_7GB_D2_TV_BL5_CBAS_OF3"</t>
  </si>
  <si>
    <t>7000False"TV Mix HBOMAX HD""VX 35mb""Franquia ilimitada"39.9"OT_MIG_JUL18_FID_4P_PILIM_7GB_D2_TV_BL5_CBAS_OF3"</t>
  </si>
  <si>
    <t>7000False"TV Mix Telecine HD""VX 35mb""Franquia ilimitada"39.9"OT_MIG_JUL18_FID_4P_PILIM_7GB_D2_TV_BL5_CBAS_OF3"</t>
  </si>
  <si>
    <t>7000False"TV Mix Cinema HD""VX 35mb""Franquia ilimitada"39.9"OT_MIG_JUL18_FID_4P_PILIM_7GB_D2_TV_BL5_CBAS_OF3"</t>
  </si>
  <si>
    <t>7000False"TV Total HD""VX 35mb""Franquia ilimitada"39.9"OT_MIG_JUL18_FID_4P_PILIM_7GB_D2_TV_BL5_CBAS_OF3"</t>
  </si>
  <si>
    <t>7000False"TV Total HBOMAX HD""VX 35mb""Franquia ilimitada"39.9"OT_MIG_JUL18_FID_4P_PILIM_7GB_D2_TV_BL5_CBAS_OF3"</t>
  </si>
  <si>
    <t>7000False"TV Total Telecine HD""VX 35mb""Franquia ilimitada"39.9"OT_MIG_JUL18_FID_4P_PILIM_7GB_D2_TV_BL5_CBAS_OF3"</t>
  </si>
  <si>
    <t>7000False"TV Total Cinema HD""VX 35mb""Franquia ilimitada"39.9"OT_MIG_JUL18_FID_4P_PILIM_7GB_D2_TV_BL5_CBAS_OF3"</t>
  </si>
  <si>
    <t>7000True"TV Total HD""VX 35mb""Franquia ilimitada"39.9"OT_MIG_JUL18_FID_4P_PILIM_7GB_D2_TV_BL5_CBAS_OF3"</t>
  </si>
  <si>
    <t>7000True"TV Total HBOMAX HD""VX 35mb""Franquia ilimitada"39.9"OT_MIG_JUL18_FID_4P_PILIM_7GB_D2_TV_BL5_CBAS_OF3"</t>
  </si>
  <si>
    <t>7000True"TV Total Telecine HD""VX 35mb""Franquia ilimitada"39.9"OT_MIG_JUL18_FID_4P_PILIM_7GB_D2_TV_BL5_CBAS_OF3"</t>
  </si>
  <si>
    <t>7000True"TV Total Cinema HD""VX 35mb""Franquia ilimitada"39.9"OT_MIG_JUL18_FID_4P_PILIM_7GB_D2_TV_BL5_CBAS_OF3"</t>
  </si>
  <si>
    <t>"OT_MIG_JUL18_FID_4P_PILIM_7GB_D1_LV_BL2_OF3"</t>
  </si>
  <si>
    <t>7000False"TV Livre HD""VX Até 2mb""Franquia ilimitada"29.9"OT_MIG_JUL18_FID_4P_PILIM_7GB_D1_LV_BL2_OF3"</t>
  </si>
  <si>
    <t>7000False"TV Livre HD""BLM 10gb""Franquia ilimitada"29.9"OT_MIG_JUL18_FID_4P_PILIM_7GB_D1_LV_BL2_OF3"</t>
  </si>
  <si>
    <t>"OT_MIG_JUL18_FID_4P_PILIM_7GB_D1_LV_BL5_CBAS_OF3"</t>
  </si>
  <si>
    <t>7000False"TV Livre HD""VX Até 15mb""Franquia ilimitada"29.9"OT_MIG_JUL18_FID_4P_PILIM_7GB_D1_LV_BL5_CBAS_OF3"</t>
  </si>
  <si>
    <t>7000False"TV Livre HD""VX Até 25mb""Franquia ilimitada"29.9"OT_MIG_JUL18_FID_4P_PILIM_7GB_D1_LV_BL5_CBAS_OF3"</t>
  </si>
  <si>
    <t>7000False"TV Livre HD""VX 35mb""Franquia ilimitada"29.9"OT_MIG_JUL18_FID_4P_PILIM_7GB_D1_LV_BL5_CBAS_OF3"</t>
  </si>
  <si>
    <t>"OT_MIG_JUL18_FID_4P_PILIM_7GB_D2_LV_BL2_OF3"</t>
  </si>
  <si>
    <t>7000False"TV Livre HD""VX Até 2mb""Franquia ilimitada"39.9"OT_MIG_JUL18_FID_4P_PILIM_7GB_D2_LV_BL2_OF3"</t>
  </si>
  <si>
    <t>7000False"TV Livre HD""BLM 10gb""Franquia ilimitada"39.9"OT_MIG_JUL18_FID_4P_PILIM_7GB_D2_LV_BL2_OF3"</t>
  </si>
  <si>
    <t>"OT_MIG_JUL18_FID_4P_PILIM_7GB_D2_LV_BL5_CBAS_OF3"</t>
  </si>
  <si>
    <t>7000False"TV Livre HD""VX Até 15mb""Franquia ilimitada"39.9"OT_MIG_JUL18_FID_4P_PILIM_7GB_D2_LV_BL5_CBAS_OF3"</t>
  </si>
  <si>
    <t>7000False"TV Livre HD""VX Até 25mb""Franquia ilimitada"39.9"OT_MIG_JUL18_FID_4P_PILIM_7GB_D2_LV_BL5_CBAS_OF3"</t>
  </si>
  <si>
    <t>7000False"TV Livre HD""VX 35mb""Franquia ilimitada"39.9"OT_MIG_JUL18_FID_4P_PILIM_7GB_D2_LV_BL5_CBAS_OF3"</t>
  </si>
  <si>
    <t>"OT_MIG_JUL18_FID_4P_PILIM_7GB_D1_TV_BL2_OF4"</t>
  </si>
  <si>
    <t>7000False"TV Start HD""VX Até 2mb""Franquia ilimitada"29.9"OT_MIG_JUL18_FID_4P_PILIM_7GB_D1_TV_BL2_OF4"</t>
  </si>
  <si>
    <t>7000False"TV Mix HD""VX Até 2mb""Franquia ilimitada"29.9"OT_MIG_JUL18_FID_4P_PILIM_7GB_D1_TV_BL2_OF4"</t>
  </si>
  <si>
    <t>7000False"TV Mix HBOMAX HD""VX Até 2mb""Franquia ilimitada"29.9"OT_MIG_JUL18_FID_4P_PILIM_7GB_D1_TV_BL2_OF4"</t>
  </si>
  <si>
    <t>7000False"TV Mix Telecine HD""VX Até 2mb""Franquia ilimitada"29.9"OT_MIG_JUL18_FID_4P_PILIM_7GB_D1_TV_BL2_OF4"</t>
  </si>
  <si>
    <t>7000False"TV Mix Cinema HD""VX Até 2mb""Franquia ilimitada"29.9"OT_MIG_JUL18_FID_4P_PILIM_7GB_D1_TV_BL2_OF4"</t>
  </si>
  <si>
    <t>7000False"TV Total HD""VX Até 2mb""Franquia ilimitada"29.9"OT_MIG_JUL18_FID_4P_PILIM_7GB_D1_TV_BL2_OF4"</t>
  </si>
  <si>
    <t>7000False"TV Total HBOMAX HD""VX Até 2mb""Franquia ilimitada"29.9"OT_MIG_JUL18_FID_4P_PILIM_7GB_D1_TV_BL2_OF4"</t>
  </si>
  <si>
    <t>7000False"TV Total Telecine HD""VX Até 2mb""Franquia ilimitada"29.9"OT_MIG_JUL18_FID_4P_PILIM_7GB_D1_TV_BL2_OF4"</t>
  </si>
  <si>
    <t>7000False"TV Total Cinema HD""VX Até 2mb""Franquia ilimitada"29.9"OT_MIG_JUL18_FID_4P_PILIM_7GB_D1_TV_BL2_OF4"</t>
  </si>
  <si>
    <t>7000True"TV Total HD""VX Até 2mb""Franquia ilimitada"29.9"OT_MIG_JUL18_FID_4P_PILIM_7GB_D1_TV_BL2_OF4"</t>
  </si>
  <si>
    <t>7000True"TV Total HBOMAX HD""VX Até 2mb""Franquia ilimitada"29.9"OT_MIG_JUL18_FID_4P_PILIM_7GB_D1_TV_BL2_OF4"</t>
  </si>
  <si>
    <t>7000True"TV Total Telecine HD""VX Até 2mb""Franquia ilimitada"29.9"OT_MIG_JUL18_FID_4P_PILIM_7GB_D1_TV_BL2_OF4"</t>
  </si>
  <si>
    <t>7000True"TV Total Cinema HD""VX Até 2mb""Franquia ilimitada"29.9"OT_MIG_JUL18_FID_4P_PILIM_7GB_D1_TV_BL2_OF4"</t>
  </si>
  <si>
    <t>7000False"TV Start HD""BLM 10gb""Franquia ilimitada"29.9"OT_MIG_JUL18_FID_4P_PILIM_7GB_D1_TV_BL2_OF4"</t>
  </si>
  <si>
    <t>7000False"TV Mix HD""BLM 10gb""Franquia ilimitada"29.9"OT_MIG_JUL18_FID_4P_PILIM_7GB_D1_TV_BL2_OF4"</t>
  </si>
  <si>
    <t>7000False"TV Mix HBOMAX HD""BLM 10gb""Franquia ilimitada"29.9"OT_MIG_JUL18_FID_4P_PILIM_7GB_D1_TV_BL2_OF4"</t>
  </si>
  <si>
    <t>7000False"TV Mix Telecine HD""BLM 10gb""Franquia ilimitada"29.9"OT_MIG_JUL18_FID_4P_PILIM_7GB_D1_TV_BL2_OF4"</t>
  </si>
  <si>
    <t>7000False"TV Mix Cinema HD""BLM 10gb""Franquia ilimitada"29.9"OT_MIG_JUL18_FID_4P_PILIM_7GB_D1_TV_BL2_OF4"</t>
  </si>
  <si>
    <t>7000False"TV Total HD""BLM 10gb""Franquia ilimitada"29.9"OT_MIG_JUL18_FID_4P_PILIM_7GB_D1_TV_BL2_OF4"</t>
  </si>
  <si>
    <t>7000False"TV Total HBOMAX HD""BLM 10gb""Franquia ilimitada"29.9"OT_MIG_JUL18_FID_4P_PILIM_7GB_D1_TV_BL2_OF4"</t>
  </si>
  <si>
    <t>7000False"TV Total Telecine HD""BLM 10gb""Franquia ilimitada"29.9"OT_MIG_JUL18_FID_4P_PILIM_7GB_D1_TV_BL2_OF4"</t>
  </si>
  <si>
    <t>7000False"TV Total Cinema HD""BLM 10gb""Franquia ilimitada"29.9"OT_MIG_JUL18_FID_4P_PILIM_7GB_D1_TV_BL2_OF4"</t>
  </si>
  <si>
    <t>7000True"TV Total HD""BLM 10gb""Franquia ilimitada"29.9"OT_MIG_JUL18_FID_4P_PILIM_7GB_D1_TV_BL2_OF4"</t>
  </si>
  <si>
    <t>7000True"TV Total HBOMAX HD""BLM 10gb""Franquia ilimitada"29.9"OT_MIG_JUL18_FID_4P_PILIM_7GB_D1_TV_BL2_OF4"</t>
  </si>
  <si>
    <t>7000True"TV Total Telecine HD""BLM 10gb""Franquia ilimitada"29.9"OT_MIG_JUL18_FID_4P_PILIM_7GB_D1_TV_BL2_OF4"</t>
  </si>
  <si>
    <t>7000True"TV Total Cinema HD""BLM 10gb""Franquia ilimitada"29.9"OT_MIG_JUL18_FID_4P_PILIM_7GB_D1_TV_BL2_OF4"</t>
  </si>
  <si>
    <t>"OT_MIG_JUL18_FID_4P_PILIM_7GB_D1_TV_BL5_CBAS_OF4"</t>
  </si>
  <si>
    <t>7000False"TV Start HD""VX Até 15mb""Franquia ilimitada"29.9"OT_MIG_JUL18_FID_4P_PILIM_7GB_D1_TV_BL5_CBAS_OF4"</t>
  </si>
  <si>
    <t>7000False"TV Mix HD""VX Até 15mb""Franquia ilimitada"29.9"OT_MIG_JUL18_FID_4P_PILIM_7GB_D1_TV_BL5_CBAS_OF4"</t>
  </si>
  <si>
    <t>7000False"TV Mix HBOMAX HD""VX Até 15mb""Franquia ilimitada"29.9"OT_MIG_JUL18_FID_4P_PILIM_7GB_D1_TV_BL5_CBAS_OF4"</t>
  </si>
  <si>
    <t>7000False"TV Mix Telecine HD""VX Até 15mb""Franquia ilimitada"29.9"OT_MIG_JUL18_FID_4P_PILIM_7GB_D1_TV_BL5_CBAS_OF4"</t>
  </si>
  <si>
    <t>7000False"TV Mix Cinema HD""VX Até 15mb""Franquia ilimitada"29.9"OT_MIG_JUL18_FID_4P_PILIM_7GB_D1_TV_BL5_CBAS_OF4"</t>
  </si>
  <si>
    <t>7000False"TV Total HD""VX Até 15mb""Franquia ilimitada"29.9"OT_MIG_JUL18_FID_4P_PILIM_7GB_D1_TV_BL5_CBAS_OF4"</t>
  </si>
  <si>
    <t>7000False"TV Total HBOMAX HD""VX Até 15mb""Franquia ilimitada"29.9"OT_MIG_JUL18_FID_4P_PILIM_7GB_D1_TV_BL5_CBAS_OF4"</t>
  </si>
  <si>
    <t>7000False"TV Total Telecine HD""VX Até 15mb""Franquia ilimitada"29.9"OT_MIG_JUL18_FID_4P_PILIM_7GB_D1_TV_BL5_CBAS_OF4"</t>
  </si>
  <si>
    <t>7000False"TV Total Cinema HD""VX Até 15mb""Franquia ilimitada"29.9"OT_MIG_JUL18_FID_4P_PILIM_7GB_D1_TV_BL5_CBAS_OF4"</t>
  </si>
  <si>
    <t>7000True"TV Total HD""VX Até 15mb""Franquia ilimitada"29.9"OT_MIG_JUL18_FID_4P_PILIM_7GB_D1_TV_BL5_CBAS_OF4"</t>
  </si>
  <si>
    <t>7000True"TV Total HBOMAX HD""VX Até 15mb""Franquia ilimitada"29.9"OT_MIG_JUL18_FID_4P_PILIM_7GB_D1_TV_BL5_CBAS_OF4"</t>
  </si>
  <si>
    <t>7000True"TV Total Telecine HD""VX Até 15mb""Franquia ilimitada"29.9"OT_MIG_JUL18_FID_4P_PILIM_7GB_D1_TV_BL5_CBAS_OF4"</t>
  </si>
  <si>
    <t>7000True"TV Total Cinema HD""VX Até 15mb""Franquia ilimitada"29.9"OT_MIG_JUL18_FID_4P_PILIM_7GB_D1_TV_BL5_CBAS_OF4"</t>
  </si>
  <si>
    <t>7000False"TV Start HD""VX Até 25mb""Franquia ilimitada"29.9"OT_MIG_JUL18_FID_4P_PILIM_7GB_D1_TV_BL5_CBAS_OF4"</t>
  </si>
  <si>
    <t>7000False"TV Mix HD""VX Até 25mb""Franquia ilimitada"29.9"OT_MIG_JUL18_FID_4P_PILIM_7GB_D1_TV_BL5_CBAS_OF4"</t>
  </si>
  <si>
    <t>7000False"TV Mix HBOMAX HD""VX Até 25mb""Franquia ilimitada"29.9"OT_MIG_JUL18_FID_4P_PILIM_7GB_D1_TV_BL5_CBAS_OF4"</t>
  </si>
  <si>
    <t>7000False"TV Mix Telecine HD""VX Até 25mb""Franquia ilimitada"29.9"OT_MIG_JUL18_FID_4P_PILIM_7GB_D1_TV_BL5_CBAS_OF4"</t>
  </si>
  <si>
    <t>7000False"TV Mix Cinema HD""VX Até 25mb""Franquia ilimitada"29.9"OT_MIG_JUL18_FID_4P_PILIM_7GB_D1_TV_BL5_CBAS_OF4"</t>
  </si>
  <si>
    <t>7000False"TV Total HD""VX Até 25mb""Franquia ilimitada"29.9"OT_MIG_JUL18_FID_4P_PILIM_7GB_D1_TV_BL5_CBAS_OF4"</t>
  </si>
  <si>
    <t>7000False"TV Total HBOMAX HD""VX Até 25mb""Franquia ilimitada"29.9"OT_MIG_JUL18_FID_4P_PILIM_7GB_D1_TV_BL5_CBAS_OF4"</t>
  </si>
  <si>
    <t>7000False"TV Total Telecine HD""VX Até 25mb""Franquia ilimitada"29.9"OT_MIG_JUL18_FID_4P_PILIM_7GB_D1_TV_BL5_CBAS_OF4"</t>
  </si>
  <si>
    <t>7000False"TV Total Cinema HD""VX Até 25mb""Franquia ilimitada"29.9"OT_MIG_JUL18_FID_4P_PILIM_7GB_D1_TV_BL5_CBAS_OF4"</t>
  </si>
  <si>
    <t>7000True"TV Total HD""VX Até 25mb""Franquia ilimitada"29.9"OT_MIG_JUL18_FID_4P_PILIM_7GB_D1_TV_BL5_CBAS_OF4"</t>
  </si>
  <si>
    <t>7000True"TV Total HBOMAX HD""VX Até 25mb""Franquia ilimitada"29.9"OT_MIG_JUL18_FID_4P_PILIM_7GB_D1_TV_BL5_CBAS_OF4"</t>
  </si>
  <si>
    <t>7000True"TV Total Telecine HD""VX Até 25mb""Franquia ilimitada"29.9"OT_MIG_JUL18_FID_4P_PILIM_7GB_D1_TV_BL5_CBAS_OF4"</t>
  </si>
  <si>
    <t>7000True"TV Total Cinema HD""VX Até 25mb""Franquia ilimitada"29.9"OT_MIG_JUL18_FID_4P_PILIM_7GB_D1_TV_BL5_CBAS_OF4"</t>
  </si>
  <si>
    <t>7000False"TV Start HD""VX 35mb""Franquia ilimitada"29.9"OT_MIG_JUL18_FID_4P_PILIM_7GB_D1_TV_BL5_CBAS_OF4"</t>
  </si>
  <si>
    <t>7000False"TV Mix HD""VX 35mb""Franquia ilimitada"29.9"OT_MIG_JUL18_FID_4P_PILIM_7GB_D1_TV_BL5_CBAS_OF4"</t>
  </si>
  <si>
    <t>7000False"TV Mix HBOMAX HD""VX 35mb""Franquia ilimitada"29.9"OT_MIG_JUL18_FID_4P_PILIM_7GB_D1_TV_BL5_CBAS_OF4"</t>
  </si>
  <si>
    <t>7000False"TV Mix Telecine HD""VX 35mb""Franquia ilimitada"29.9"OT_MIG_JUL18_FID_4P_PILIM_7GB_D1_TV_BL5_CBAS_OF4"</t>
  </si>
  <si>
    <t>7000False"TV Mix Cinema HD""VX 35mb""Franquia ilimitada"29.9"OT_MIG_JUL18_FID_4P_PILIM_7GB_D1_TV_BL5_CBAS_OF4"</t>
  </si>
  <si>
    <t>7000False"TV Total HD""VX 35mb""Franquia ilimitada"29.9"OT_MIG_JUL18_FID_4P_PILIM_7GB_D1_TV_BL5_CBAS_OF4"</t>
  </si>
  <si>
    <t>7000False"TV Total HBOMAX HD""VX 35mb""Franquia ilimitada"29.9"OT_MIG_JUL18_FID_4P_PILIM_7GB_D1_TV_BL5_CBAS_OF4"</t>
  </si>
  <si>
    <t>7000False"TV Total Telecine HD""VX 35mb""Franquia ilimitada"29.9"OT_MIG_JUL18_FID_4P_PILIM_7GB_D1_TV_BL5_CBAS_OF4"</t>
  </si>
  <si>
    <t>7000False"TV Total Cinema HD""VX 35mb""Franquia ilimitada"29.9"OT_MIG_JUL18_FID_4P_PILIM_7GB_D1_TV_BL5_CBAS_OF4"</t>
  </si>
  <si>
    <t>7000True"TV Total HD""VX 35mb""Franquia ilimitada"29.9"OT_MIG_JUL18_FID_4P_PILIM_7GB_D1_TV_BL5_CBAS_OF4"</t>
  </si>
  <si>
    <t>7000True"TV Total HBOMAX HD""VX 35mb""Franquia ilimitada"29.9"OT_MIG_JUL18_FID_4P_PILIM_7GB_D1_TV_BL5_CBAS_OF4"</t>
  </si>
  <si>
    <t>7000True"TV Total Telecine HD""VX 35mb""Franquia ilimitada"29.9"OT_MIG_JUL18_FID_4P_PILIM_7GB_D1_TV_BL5_CBAS_OF4"</t>
  </si>
  <si>
    <t>7000True"TV Total Cinema HD""VX 35mb""Franquia ilimitada"29.9"OT_MIG_JUL18_FID_4P_PILIM_7GB_D1_TV_BL5_CBAS_OF4"</t>
  </si>
  <si>
    <t>"OT_MIG_JUL18_FID_4P_PILIM_7GB_D2_TV_BL2_OF4"</t>
  </si>
  <si>
    <t>7000False"TV Start HD""VX Até 2mb""Franquia ilimitada"39.9"OT_MIG_JUL18_FID_4P_PILIM_7GB_D2_TV_BL2_OF4"</t>
  </si>
  <si>
    <t>7000False"TV Mix HD""VX Até 2mb""Franquia ilimitada"39.9"OT_MIG_JUL18_FID_4P_PILIM_7GB_D2_TV_BL2_OF4"</t>
  </si>
  <si>
    <t>7000False"TV Mix HBOMAX HD""VX Até 2mb""Franquia ilimitada"39.9"OT_MIG_JUL18_FID_4P_PILIM_7GB_D2_TV_BL2_OF4"</t>
  </si>
  <si>
    <t>7000False"TV Mix Telecine HD""VX Até 2mb""Franquia ilimitada"39.9"OT_MIG_JUL18_FID_4P_PILIM_7GB_D2_TV_BL2_OF4"</t>
  </si>
  <si>
    <t>7000False"TV Mix Cinema HD""VX Até 2mb""Franquia ilimitada"39.9"OT_MIG_JUL18_FID_4P_PILIM_7GB_D2_TV_BL2_OF4"</t>
  </si>
  <si>
    <t>7000False"TV Total HD""VX Até 2mb""Franquia ilimitada"39.9"OT_MIG_JUL18_FID_4P_PILIM_7GB_D2_TV_BL2_OF4"</t>
  </si>
  <si>
    <t>7000False"TV Total HBOMAX HD""VX Até 2mb""Franquia ilimitada"39.9"OT_MIG_JUL18_FID_4P_PILIM_7GB_D2_TV_BL2_OF4"</t>
  </si>
  <si>
    <t>7000False"TV Total Telecine HD""VX Até 2mb""Franquia ilimitada"39.9"OT_MIG_JUL18_FID_4P_PILIM_7GB_D2_TV_BL2_OF4"</t>
  </si>
  <si>
    <t>7000False"TV Total Cinema HD""VX Até 2mb""Franquia ilimitada"39.9"OT_MIG_JUL18_FID_4P_PILIM_7GB_D2_TV_BL2_OF4"</t>
  </si>
  <si>
    <t>7000True"TV Total HD""VX Até 2mb""Franquia ilimitada"39.9"OT_MIG_JUL18_FID_4P_PILIM_7GB_D2_TV_BL2_OF4"</t>
  </si>
  <si>
    <t>7000True"TV Total HBOMAX HD""VX Até 2mb""Franquia ilimitada"39.9"OT_MIG_JUL18_FID_4P_PILIM_7GB_D2_TV_BL2_OF4"</t>
  </si>
  <si>
    <t>7000True"TV Total Telecine HD""VX Até 2mb""Franquia ilimitada"39.9"OT_MIG_JUL18_FID_4P_PILIM_7GB_D2_TV_BL2_OF4"</t>
  </si>
  <si>
    <t>7000True"TV Total Cinema HD""VX Até 2mb""Franquia ilimitada"39.9"OT_MIG_JUL18_FID_4P_PILIM_7GB_D2_TV_BL2_OF4"</t>
  </si>
  <si>
    <t>7000False"TV Start HD""BLM 10gb""Franquia ilimitada"39.9"OT_MIG_JUL18_FID_4P_PILIM_7GB_D2_TV_BL2_OF4"</t>
  </si>
  <si>
    <t>7000False"TV Mix HD""BLM 10gb""Franquia ilimitada"39.9"OT_MIG_JUL18_FID_4P_PILIM_7GB_D2_TV_BL2_OF4"</t>
  </si>
  <si>
    <t>7000False"TV Mix HBOMAX HD""BLM 10gb""Franquia ilimitada"39.9"OT_MIG_JUL18_FID_4P_PILIM_7GB_D2_TV_BL2_OF4"</t>
  </si>
  <si>
    <t>7000False"TV Mix Telecine HD""BLM 10gb""Franquia ilimitada"39.9"OT_MIG_JUL18_FID_4P_PILIM_7GB_D2_TV_BL2_OF4"</t>
  </si>
  <si>
    <t>7000False"TV Mix Cinema HD""BLM 10gb""Franquia ilimitada"39.9"OT_MIG_JUL18_FID_4P_PILIM_7GB_D2_TV_BL2_OF4"</t>
  </si>
  <si>
    <t>7000False"TV Total HD""BLM 10gb""Franquia ilimitada"39.9"OT_MIG_JUL18_FID_4P_PILIM_7GB_D2_TV_BL2_OF4"</t>
  </si>
  <si>
    <t>7000False"TV Total HBOMAX HD""BLM 10gb""Franquia ilimitada"39.9"OT_MIG_JUL18_FID_4P_PILIM_7GB_D2_TV_BL2_OF4"</t>
  </si>
  <si>
    <t>7000False"TV Total Telecine HD""BLM 10gb""Franquia ilimitada"39.9"OT_MIG_JUL18_FID_4P_PILIM_7GB_D2_TV_BL2_OF4"</t>
  </si>
  <si>
    <t>7000False"TV Total Cinema HD""BLM 10gb""Franquia ilimitada"39.9"OT_MIG_JUL18_FID_4P_PILIM_7GB_D2_TV_BL2_OF4"</t>
  </si>
  <si>
    <t>7000True"TV Total HD""BLM 10gb""Franquia ilimitada"39.9"OT_MIG_JUL18_FID_4P_PILIM_7GB_D2_TV_BL2_OF4"</t>
  </si>
  <si>
    <t>7000True"TV Total HBOMAX HD""BLM 10gb""Franquia ilimitada"39.9"OT_MIG_JUL18_FID_4P_PILIM_7GB_D2_TV_BL2_OF4"</t>
  </si>
  <si>
    <t>7000True"TV Total Telecine HD""BLM 10gb""Franquia ilimitada"39.9"OT_MIG_JUL18_FID_4P_PILIM_7GB_D2_TV_BL2_OF4"</t>
  </si>
  <si>
    <t>7000True"TV Total Cinema HD""BLM 10gb""Franquia ilimitada"39.9"OT_MIG_JUL18_FID_4P_PILIM_7GB_D2_TV_BL2_OF4"</t>
  </si>
  <si>
    <t>"OT_MIG_JUL18_FID_4P_PILIM_7GB_D2_TV_BL5_CBAS_OF4"</t>
  </si>
  <si>
    <t>7000False"TV Start HD""VX Até 15mb""Franquia ilimitada"39.9"OT_MIG_JUL18_FID_4P_PILIM_7GB_D2_TV_BL5_CBAS_OF4"</t>
  </si>
  <si>
    <t>7000False"TV Mix HD""VX Até 15mb""Franquia ilimitada"39.9"OT_MIG_JUL18_FID_4P_PILIM_7GB_D2_TV_BL5_CBAS_OF4"</t>
  </si>
  <si>
    <t>7000False"TV Mix HBOMAX HD""VX Até 15mb""Franquia ilimitada"39.9"OT_MIG_JUL18_FID_4P_PILIM_7GB_D2_TV_BL5_CBAS_OF4"</t>
  </si>
  <si>
    <t>7000False"TV Mix Telecine HD""VX Até 15mb""Franquia ilimitada"39.9"OT_MIG_JUL18_FID_4P_PILIM_7GB_D2_TV_BL5_CBAS_OF4"</t>
  </si>
  <si>
    <t>7000False"TV Mix Cinema HD""VX Até 15mb""Franquia ilimitada"39.9"OT_MIG_JUL18_FID_4P_PILIM_7GB_D2_TV_BL5_CBAS_OF4"</t>
  </si>
  <si>
    <t>7000False"TV Total HD""VX Até 15mb""Franquia ilimitada"39.9"OT_MIG_JUL18_FID_4P_PILIM_7GB_D2_TV_BL5_CBAS_OF4"</t>
  </si>
  <si>
    <t>7000False"TV Total HBOMAX HD""VX Até 15mb""Franquia ilimitada"39.9"OT_MIG_JUL18_FID_4P_PILIM_7GB_D2_TV_BL5_CBAS_OF4"</t>
  </si>
  <si>
    <t>7000False"TV Total Telecine HD""VX Até 15mb""Franquia ilimitada"39.9"OT_MIG_JUL18_FID_4P_PILIM_7GB_D2_TV_BL5_CBAS_OF4"</t>
  </si>
  <si>
    <t>7000False"TV Total Cinema HD""VX Até 15mb""Franquia ilimitada"39.9"OT_MIG_JUL18_FID_4P_PILIM_7GB_D2_TV_BL5_CBAS_OF4"</t>
  </si>
  <si>
    <t>7000True"TV Total HD""VX Até 15mb""Franquia ilimitada"39.9"OT_MIG_JUL18_FID_4P_PILIM_7GB_D2_TV_BL5_CBAS_OF4"</t>
  </si>
  <si>
    <t>7000True"TV Total HBOMAX HD""VX Até 15mb""Franquia ilimitada"39.9"OT_MIG_JUL18_FID_4P_PILIM_7GB_D2_TV_BL5_CBAS_OF4"</t>
  </si>
  <si>
    <t>7000True"TV Total Telecine HD""VX Até 15mb""Franquia ilimitada"39.9"OT_MIG_JUL18_FID_4P_PILIM_7GB_D2_TV_BL5_CBAS_OF4"</t>
  </si>
  <si>
    <t>7000True"TV Total Cinema HD""VX Até 15mb""Franquia ilimitada"39.9"OT_MIG_JUL18_FID_4P_PILIM_7GB_D2_TV_BL5_CBAS_OF4"</t>
  </si>
  <si>
    <t>7000False"TV Start HD""VX Até 25mb""Franquia ilimitada"39.9"OT_MIG_JUL18_FID_4P_PILIM_7GB_D2_TV_BL5_CBAS_OF4"</t>
  </si>
  <si>
    <t>7000False"TV Mix HD""VX Até 25mb""Franquia ilimitada"39.9"OT_MIG_JUL18_FID_4P_PILIM_7GB_D2_TV_BL5_CBAS_OF4"</t>
  </si>
  <si>
    <t>7000False"TV Mix HBOMAX HD""VX Até 25mb""Franquia ilimitada"39.9"OT_MIG_JUL18_FID_4P_PILIM_7GB_D2_TV_BL5_CBAS_OF4"</t>
  </si>
  <si>
    <t>7000False"TV Mix Telecine HD""VX Até 25mb""Franquia ilimitada"39.9"OT_MIG_JUL18_FID_4P_PILIM_7GB_D2_TV_BL5_CBAS_OF4"</t>
  </si>
  <si>
    <t>7000False"TV Mix Cinema HD""VX Até 25mb""Franquia ilimitada"39.9"OT_MIG_JUL18_FID_4P_PILIM_7GB_D2_TV_BL5_CBAS_OF4"</t>
  </si>
  <si>
    <t>7000False"TV Total HD""VX Até 25mb""Franquia ilimitada"39.9"OT_MIG_JUL18_FID_4P_PILIM_7GB_D2_TV_BL5_CBAS_OF4"</t>
  </si>
  <si>
    <t>7000False"TV Total HBOMAX HD""VX Até 25mb""Franquia ilimitada"39.9"OT_MIG_JUL18_FID_4P_PILIM_7GB_D2_TV_BL5_CBAS_OF4"</t>
  </si>
  <si>
    <t>7000False"TV Total Telecine HD""VX Até 25mb""Franquia ilimitada"39.9"OT_MIG_JUL18_FID_4P_PILIM_7GB_D2_TV_BL5_CBAS_OF4"</t>
  </si>
  <si>
    <t>7000False"TV Total Cinema HD""VX Até 25mb""Franquia ilimitada"39.9"OT_MIG_JUL18_FID_4P_PILIM_7GB_D2_TV_BL5_CBAS_OF4"</t>
  </si>
  <si>
    <t>7000True"TV Total HD""VX Até 25mb""Franquia ilimitada"39.9"OT_MIG_JUL18_FID_4P_PILIM_7GB_D2_TV_BL5_CBAS_OF4"</t>
  </si>
  <si>
    <t>7000True"TV Total HBOMAX HD""VX Até 25mb""Franquia ilimitada"39.9"OT_MIG_JUL18_FID_4P_PILIM_7GB_D2_TV_BL5_CBAS_OF4"</t>
  </si>
  <si>
    <t>7000True"TV Total Telecine HD""VX Até 25mb""Franquia ilimitada"39.9"OT_MIG_JUL18_FID_4P_PILIM_7GB_D2_TV_BL5_CBAS_OF4"</t>
  </si>
  <si>
    <t>7000True"TV Total Cinema HD""VX Até 25mb""Franquia ilimitada"39.9"OT_MIG_JUL18_FID_4P_PILIM_7GB_D2_TV_BL5_CBAS_OF4"</t>
  </si>
  <si>
    <t>7000False"TV Start HD""VX 35mb""Franquia ilimitada"39.9"OT_MIG_JUL18_FID_4P_PILIM_7GB_D2_TV_BL5_CBAS_OF4"</t>
  </si>
  <si>
    <t>7000False"TV Mix HD""VX 35mb""Franquia ilimitada"39.9"OT_MIG_JUL18_FID_4P_PILIM_7GB_D2_TV_BL5_CBAS_OF4"</t>
  </si>
  <si>
    <t>7000False"TV Mix HBOMAX HD""VX 35mb""Franquia ilimitada"39.9"OT_MIG_JUL18_FID_4P_PILIM_7GB_D2_TV_BL5_CBAS_OF4"</t>
  </si>
  <si>
    <t>7000False"TV Mix Telecine HD""VX 35mb""Franquia ilimitada"39.9"OT_MIG_JUL18_FID_4P_PILIM_7GB_D2_TV_BL5_CBAS_OF4"</t>
  </si>
  <si>
    <t>7000False"TV Mix Cinema HD""VX 35mb""Franquia ilimitada"39.9"OT_MIG_JUL18_FID_4P_PILIM_7GB_D2_TV_BL5_CBAS_OF4"</t>
  </si>
  <si>
    <t>7000False"TV Total HD""VX 35mb""Franquia ilimitada"39.9"OT_MIG_JUL18_FID_4P_PILIM_7GB_D2_TV_BL5_CBAS_OF4"</t>
  </si>
  <si>
    <t>7000False"TV Total HBOMAX HD""VX 35mb""Franquia ilimitada"39.9"OT_MIG_JUL18_FID_4P_PILIM_7GB_D2_TV_BL5_CBAS_OF4"</t>
  </si>
  <si>
    <t>7000False"TV Total Telecine HD""VX 35mb""Franquia ilimitada"39.9"OT_MIG_JUL18_FID_4P_PILIM_7GB_D2_TV_BL5_CBAS_OF4"</t>
  </si>
  <si>
    <t>7000False"TV Total Cinema HD""VX 35mb""Franquia ilimitada"39.9"OT_MIG_JUL18_FID_4P_PILIM_7GB_D2_TV_BL5_CBAS_OF4"</t>
  </si>
  <si>
    <t>7000True"TV Total HD""VX 35mb""Franquia ilimitada"39.9"OT_MIG_JUL18_FID_4P_PILIM_7GB_D2_TV_BL5_CBAS_OF4"</t>
  </si>
  <si>
    <t>7000True"TV Total HBOMAX HD""VX 35mb""Franquia ilimitada"39.9"OT_MIG_JUL18_FID_4P_PILIM_7GB_D2_TV_BL5_CBAS_OF4"</t>
  </si>
  <si>
    <t>7000True"TV Total Telecine HD""VX 35mb""Franquia ilimitada"39.9"OT_MIG_JUL18_FID_4P_PILIM_7GB_D2_TV_BL5_CBAS_OF4"</t>
  </si>
  <si>
    <t>7000True"TV Total Cinema HD""VX 35mb""Franquia ilimitada"39.9"OT_MIG_JUL18_FID_4P_PILIM_7GB_D2_TV_BL5_CBAS_OF4"</t>
  </si>
  <si>
    <t>"OT_MIG_JUL18_FID_4P_PILIM_10GB_D1_TV_BL2_OF2"</t>
  </si>
  <si>
    <t>"oi total fixo + oi mais 10gb + banda larga"</t>
  </si>
  <si>
    <t>10000False"TV Start HD""VX Até 2mb""Franquia ilimitada"29.9"OT_MIG_JUL18_FID_4P_PILIM_10GB_D1_TV_BL2_OF2"</t>
  </si>
  <si>
    <t>10000False"TV Mix HD""VX Até 2mb""Franquia ilimitada"29.9"OT_MIG_JUL18_FID_4P_PILIM_10GB_D1_TV_BL2_OF2"</t>
  </si>
  <si>
    <t>10000False"TV Mix HBOMAX HD""VX Até 2mb""Franquia ilimitada"29.9"OT_MIG_JUL18_FID_4P_PILIM_10GB_D1_TV_BL2_OF2"</t>
  </si>
  <si>
    <t>10000False"TV Mix Telecine HD""VX Até 2mb""Franquia ilimitada"29.9"OT_MIG_JUL18_FID_4P_PILIM_10GB_D1_TV_BL2_OF2"</t>
  </si>
  <si>
    <t>10000False"TV Mix Cinema HD""VX Até 2mb""Franquia ilimitada"29.9"OT_MIG_JUL18_FID_4P_PILIM_10GB_D1_TV_BL2_OF2"</t>
  </si>
  <si>
    <t>10000False"TV Total HD""VX Até 2mb""Franquia ilimitada"29.9"OT_MIG_JUL18_FID_4P_PILIM_10GB_D1_TV_BL2_OF2"</t>
  </si>
  <si>
    <t>10000False"TV Total HBOMAX HD""VX Até 2mb""Franquia ilimitada"29.9"OT_MIG_JUL18_FID_4P_PILIM_10GB_D1_TV_BL2_OF2"</t>
  </si>
  <si>
    <t>10000False"TV Total Telecine HD""VX Até 2mb""Franquia ilimitada"29.9"OT_MIG_JUL18_FID_4P_PILIM_10GB_D1_TV_BL2_OF2"</t>
  </si>
  <si>
    <t>10000False"TV Total Cinema HD""VX Até 2mb""Franquia ilimitada"29.9"OT_MIG_JUL18_FID_4P_PILIM_10GB_D1_TV_BL2_OF2"</t>
  </si>
  <si>
    <t>10000True"TV Total HD""VX Até 2mb""Franquia ilimitada"29.9"OT_MIG_JUL18_FID_4P_PILIM_10GB_D1_TV_BL2_OF2"</t>
  </si>
  <si>
    <t>10000True"TV Total HBOMAX HD""VX Até 2mb""Franquia ilimitada"29.9"OT_MIG_JUL18_FID_4P_PILIM_10GB_D1_TV_BL2_OF2"</t>
  </si>
  <si>
    <t>10000True"TV Total Telecine HD""VX Até 2mb""Franquia ilimitada"29.9"OT_MIG_JUL18_FID_4P_PILIM_10GB_D1_TV_BL2_OF2"</t>
  </si>
  <si>
    <t>10000True"TV Total Cinema HD""VX Até 2mb""Franquia ilimitada"29.9"OT_MIG_JUL18_FID_4P_PILIM_10GB_D1_TV_BL2_OF2"</t>
  </si>
  <si>
    <t>10000False"TV Start HD""BLM 10gb""Franquia ilimitada"29.9"OT_MIG_JUL18_FID_4P_PILIM_10GB_D1_TV_BL2_OF2"</t>
  </si>
  <si>
    <t>10000False"TV Mix HD""BLM 10gb""Franquia ilimitada"29.9"OT_MIG_JUL18_FID_4P_PILIM_10GB_D1_TV_BL2_OF2"</t>
  </si>
  <si>
    <t>10000False"TV Mix HBOMAX HD""BLM 10gb""Franquia ilimitada"29.9"OT_MIG_JUL18_FID_4P_PILIM_10GB_D1_TV_BL2_OF2"</t>
  </si>
  <si>
    <t>10000False"TV Mix Telecine HD""BLM 10gb""Franquia ilimitada"29.9"OT_MIG_JUL18_FID_4P_PILIM_10GB_D1_TV_BL2_OF2"</t>
  </si>
  <si>
    <t>10000False"TV Mix Cinema HD""BLM 10gb""Franquia ilimitada"29.9"OT_MIG_JUL18_FID_4P_PILIM_10GB_D1_TV_BL2_OF2"</t>
  </si>
  <si>
    <t>10000False"TV Total HD""BLM 10gb""Franquia ilimitada"29.9"OT_MIG_JUL18_FID_4P_PILIM_10GB_D1_TV_BL2_OF2"</t>
  </si>
  <si>
    <t>10000False"TV Total HBOMAX HD""BLM 10gb""Franquia ilimitada"29.9"OT_MIG_JUL18_FID_4P_PILIM_10GB_D1_TV_BL2_OF2"</t>
  </si>
  <si>
    <t>10000False"TV Total Telecine HD""BLM 10gb""Franquia ilimitada"29.9"OT_MIG_JUL18_FID_4P_PILIM_10GB_D1_TV_BL2_OF2"</t>
  </si>
  <si>
    <t>10000False"TV Total Cinema HD""BLM 10gb""Franquia ilimitada"29.9"OT_MIG_JUL18_FID_4P_PILIM_10GB_D1_TV_BL2_OF2"</t>
  </si>
  <si>
    <t>10000True"TV Total HD""BLM 10gb""Franquia ilimitada"29.9"OT_MIG_JUL18_FID_4P_PILIM_10GB_D1_TV_BL2_OF2"</t>
  </si>
  <si>
    <t>10000True"TV Total HBOMAX HD""BLM 10gb""Franquia ilimitada"29.9"OT_MIG_JUL18_FID_4P_PILIM_10GB_D1_TV_BL2_OF2"</t>
  </si>
  <si>
    <t>10000True"TV Total Telecine HD""BLM 10gb""Franquia ilimitada"29.9"OT_MIG_JUL18_FID_4P_PILIM_10GB_D1_TV_BL2_OF2"</t>
  </si>
  <si>
    <t>10000True"TV Total Cinema HD""BLM 10gb""Franquia ilimitada"29.9"OT_MIG_JUL18_FID_4P_PILIM_10GB_D1_TV_BL2_OF2"</t>
  </si>
  <si>
    <t>"OT_MIG_JUL18_FID_4P_PILIM_10GB_D1_TV_BL5_CBAS_OF2"</t>
  </si>
  <si>
    <t>10000False"TV Start HD""VX Até 15mb""Franquia ilimitada"29.9"OT_MIG_JUL18_FID_4P_PILIM_10GB_D1_TV_BL5_CBAS_OF2"</t>
  </si>
  <si>
    <t>10000False"TV Mix HD""VX Até 15mb""Franquia ilimitada"29.9"OT_MIG_JUL18_FID_4P_PILIM_10GB_D1_TV_BL5_CBAS_OF2"</t>
  </si>
  <si>
    <t>10000False"TV Mix HBOMAX HD""VX Até 15mb""Franquia ilimitada"29.9"OT_MIG_JUL18_FID_4P_PILIM_10GB_D1_TV_BL5_CBAS_OF2"</t>
  </si>
  <si>
    <t>10000False"TV Mix Telecine HD""VX Até 15mb""Franquia ilimitada"29.9"OT_MIG_JUL18_FID_4P_PILIM_10GB_D1_TV_BL5_CBAS_OF2"</t>
  </si>
  <si>
    <t>10000False"TV Mix Cinema HD""VX Até 15mb""Franquia ilimitada"29.9"OT_MIG_JUL18_FID_4P_PILIM_10GB_D1_TV_BL5_CBAS_OF2"</t>
  </si>
  <si>
    <t>10000False"TV Total HD""VX Até 15mb""Franquia ilimitada"29.9"OT_MIG_JUL18_FID_4P_PILIM_10GB_D1_TV_BL5_CBAS_OF2"</t>
  </si>
  <si>
    <t>10000False"TV Total HBOMAX HD""VX Até 15mb""Franquia ilimitada"29.9"OT_MIG_JUL18_FID_4P_PILIM_10GB_D1_TV_BL5_CBAS_OF2"</t>
  </si>
  <si>
    <t>10000False"TV Total Telecine HD""VX Até 15mb""Franquia ilimitada"29.9"OT_MIG_JUL18_FID_4P_PILIM_10GB_D1_TV_BL5_CBAS_OF2"</t>
  </si>
  <si>
    <t>10000False"TV Total Cinema HD""VX Até 15mb""Franquia ilimitada"29.9"OT_MIG_JUL18_FID_4P_PILIM_10GB_D1_TV_BL5_CBAS_OF2"</t>
  </si>
  <si>
    <t>10000True"TV Total HD""VX Até 15mb""Franquia ilimitada"29.9"OT_MIG_JUL18_FID_4P_PILIM_10GB_D1_TV_BL5_CBAS_OF2"</t>
  </si>
  <si>
    <t>10000True"TV Total HBOMAX HD""VX Até 15mb""Franquia ilimitada"29.9"OT_MIG_JUL18_FID_4P_PILIM_10GB_D1_TV_BL5_CBAS_OF2"</t>
  </si>
  <si>
    <t>10000True"TV Total Telecine HD""VX Até 15mb""Franquia ilimitada"29.9"OT_MIG_JUL18_FID_4P_PILIM_10GB_D1_TV_BL5_CBAS_OF2"</t>
  </si>
  <si>
    <t>10000True"TV Total Cinema HD""VX Até 15mb""Franquia ilimitada"29.9"OT_MIG_JUL18_FID_4P_PILIM_10GB_D1_TV_BL5_CBAS_OF2"</t>
  </si>
  <si>
    <t>10000False"TV Start HD""VX Até 25mb""Franquia ilimitada"29.9"OT_MIG_JUL18_FID_4P_PILIM_10GB_D1_TV_BL5_CBAS_OF2"</t>
  </si>
  <si>
    <t>10000False"TV Mix HD""VX Até 25mb""Franquia ilimitada"29.9"OT_MIG_JUL18_FID_4P_PILIM_10GB_D1_TV_BL5_CBAS_OF2"</t>
  </si>
  <si>
    <t>10000False"TV Mix HBOMAX HD""VX Até 25mb""Franquia ilimitada"29.9"OT_MIG_JUL18_FID_4P_PILIM_10GB_D1_TV_BL5_CBAS_OF2"</t>
  </si>
  <si>
    <t>10000False"TV Mix Telecine HD""VX Até 25mb""Franquia ilimitada"29.9"OT_MIG_JUL18_FID_4P_PILIM_10GB_D1_TV_BL5_CBAS_OF2"</t>
  </si>
  <si>
    <t>10000False"TV Mix Cinema HD""VX Até 25mb""Franquia ilimitada"29.9"OT_MIG_JUL18_FID_4P_PILIM_10GB_D1_TV_BL5_CBAS_OF2"</t>
  </si>
  <si>
    <t>10000False"TV Total HD""VX Até 25mb""Franquia ilimitada"29.9"OT_MIG_JUL18_FID_4P_PILIM_10GB_D1_TV_BL5_CBAS_OF2"</t>
  </si>
  <si>
    <t>10000False"TV Total HBOMAX HD""VX Até 25mb""Franquia ilimitada"29.9"OT_MIG_JUL18_FID_4P_PILIM_10GB_D1_TV_BL5_CBAS_OF2"</t>
  </si>
  <si>
    <t>10000False"TV Total Telecine HD""VX Até 25mb""Franquia ilimitada"29.9"OT_MIG_JUL18_FID_4P_PILIM_10GB_D1_TV_BL5_CBAS_OF2"</t>
  </si>
  <si>
    <t>10000False"TV Total Cinema HD""VX Até 25mb""Franquia ilimitada"29.9"OT_MIG_JUL18_FID_4P_PILIM_10GB_D1_TV_BL5_CBAS_OF2"</t>
  </si>
  <si>
    <t>10000True"TV Total HD""VX Até 25mb""Franquia ilimitada"29.9"OT_MIG_JUL18_FID_4P_PILIM_10GB_D1_TV_BL5_CBAS_OF2"</t>
  </si>
  <si>
    <t>10000True"TV Total HBOMAX HD""VX Até 25mb""Franquia ilimitada"29.9"OT_MIG_JUL18_FID_4P_PILIM_10GB_D1_TV_BL5_CBAS_OF2"</t>
  </si>
  <si>
    <t>10000True"TV Total Telecine HD""VX Até 25mb""Franquia ilimitada"29.9"OT_MIG_JUL18_FID_4P_PILIM_10GB_D1_TV_BL5_CBAS_OF2"</t>
  </si>
  <si>
    <t>10000True"TV Total Cinema HD""VX Até 25mb""Franquia ilimitada"29.9"OT_MIG_JUL18_FID_4P_PILIM_10GB_D1_TV_BL5_CBAS_OF2"</t>
  </si>
  <si>
    <t>10000False"TV Start HD""VX 35mb""Franquia ilimitada"29.9"OT_MIG_JUL18_FID_4P_PILIM_10GB_D1_TV_BL5_CBAS_OF2"</t>
  </si>
  <si>
    <t>10000False"TV Mix HD""VX 35mb""Franquia ilimitada"29.9"OT_MIG_JUL18_FID_4P_PILIM_10GB_D1_TV_BL5_CBAS_OF2"</t>
  </si>
  <si>
    <t>10000False"TV Mix HBOMAX HD""VX 35mb""Franquia ilimitada"29.9"OT_MIG_JUL18_FID_4P_PILIM_10GB_D1_TV_BL5_CBAS_OF2"</t>
  </si>
  <si>
    <t>10000False"TV Mix Telecine HD""VX 35mb""Franquia ilimitada"29.9"OT_MIG_JUL18_FID_4P_PILIM_10GB_D1_TV_BL5_CBAS_OF2"</t>
  </si>
  <si>
    <t>10000False"TV Mix Cinema HD""VX 35mb""Franquia ilimitada"29.9"OT_MIG_JUL18_FID_4P_PILIM_10GB_D1_TV_BL5_CBAS_OF2"</t>
  </si>
  <si>
    <t>10000False"TV Total HD""VX 35mb""Franquia ilimitada"29.9"OT_MIG_JUL18_FID_4P_PILIM_10GB_D1_TV_BL5_CBAS_OF2"</t>
  </si>
  <si>
    <t>10000False"TV Total HBOMAX HD""VX 35mb""Franquia ilimitada"29.9"OT_MIG_JUL18_FID_4P_PILIM_10GB_D1_TV_BL5_CBAS_OF2"</t>
  </si>
  <si>
    <t>10000False"TV Total Telecine HD""VX 35mb""Franquia ilimitada"29.9"OT_MIG_JUL18_FID_4P_PILIM_10GB_D1_TV_BL5_CBAS_OF2"</t>
  </si>
  <si>
    <t>10000False"TV Total Cinema HD""VX 35mb""Franquia ilimitada"29.9"OT_MIG_JUL18_FID_4P_PILIM_10GB_D1_TV_BL5_CBAS_OF2"</t>
  </si>
  <si>
    <t>10000True"TV Total HD""VX 35mb""Franquia ilimitada"29.9"OT_MIG_JUL18_FID_4P_PILIM_10GB_D1_TV_BL5_CBAS_OF2"</t>
  </si>
  <si>
    <t>10000True"TV Total HBOMAX HD""VX 35mb""Franquia ilimitada"29.9"OT_MIG_JUL18_FID_4P_PILIM_10GB_D1_TV_BL5_CBAS_OF2"</t>
  </si>
  <si>
    <t>10000True"TV Total Telecine HD""VX 35mb""Franquia ilimitada"29.9"OT_MIG_JUL18_FID_4P_PILIM_10GB_D1_TV_BL5_CBAS_OF2"</t>
  </si>
  <si>
    <t>10000True"TV Total Cinema HD""VX 35mb""Franquia ilimitada"29.9"OT_MIG_JUL18_FID_4P_PILIM_10GB_D1_TV_BL5_CBAS_OF2"</t>
  </si>
  <si>
    <t>"OT_MIG_JUL18_FID_4P_PILIM_10GB_D2_TV_BL2_OF2"</t>
  </si>
  <si>
    <t>10000False"TV Start HD""VX Até 2mb""Franquia ilimitada"39.9"OT_MIG_JUL18_FID_4P_PILIM_10GB_D2_TV_BL2_OF2"</t>
  </si>
  <si>
    <t>10000False"TV Mix HD""VX Até 2mb""Franquia ilimitada"39.9"OT_MIG_JUL18_FID_4P_PILIM_10GB_D2_TV_BL2_OF2"</t>
  </si>
  <si>
    <t>10000False"TV Mix HBOMAX HD""VX Até 2mb""Franquia ilimitada"39.9"OT_MIG_JUL18_FID_4P_PILIM_10GB_D2_TV_BL2_OF2"</t>
  </si>
  <si>
    <t>10000False"TV Mix Telecine HD""VX Até 2mb""Franquia ilimitada"39.9"OT_MIG_JUL18_FID_4P_PILIM_10GB_D2_TV_BL2_OF2"</t>
  </si>
  <si>
    <t>10000False"TV Mix Cinema HD""VX Até 2mb""Franquia ilimitada"39.9"OT_MIG_JUL18_FID_4P_PILIM_10GB_D2_TV_BL2_OF2"</t>
  </si>
  <si>
    <t>10000False"TV Total HD""VX Até 2mb""Franquia ilimitada"39.9"OT_MIG_JUL18_FID_4P_PILIM_10GB_D2_TV_BL2_OF2"</t>
  </si>
  <si>
    <t>10000False"TV Total HBOMAX HD""VX Até 2mb""Franquia ilimitada"39.9"OT_MIG_JUL18_FID_4P_PILIM_10GB_D2_TV_BL2_OF2"</t>
  </si>
  <si>
    <t>10000False"TV Total Telecine HD""VX Até 2mb""Franquia ilimitada"39.9"OT_MIG_JUL18_FID_4P_PILIM_10GB_D2_TV_BL2_OF2"</t>
  </si>
  <si>
    <t>10000False"TV Total Cinema HD""VX Até 2mb""Franquia ilimitada"39.9"OT_MIG_JUL18_FID_4P_PILIM_10GB_D2_TV_BL2_OF2"</t>
  </si>
  <si>
    <t>10000True"TV Total HD""VX Até 2mb""Franquia ilimitada"39.9"OT_MIG_JUL18_FID_4P_PILIM_10GB_D2_TV_BL2_OF2"</t>
  </si>
  <si>
    <t>10000True"TV Total HBOMAX HD""VX Até 2mb""Franquia ilimitada"39.9"OT_MIG_JUL18_FID_4P_PILIM_10GB_D2_TV_BL2_OF2"</t>
  </si>
  <si>
    <t>10000True"TV Total Telecine HD""VX Até 2mb""Franquia ilimitada"39.9"OT_MIG_JUL18_FID_4P_PILIM_10GB_D2_TV_BL2_OF2"</t>
  </si>
  <si>
    <t>10000True"TV Total Cinema HD""VX Até 2mb""Franquia ilimitada"39.9"OT_MIG_JUL18_FID_4P_PILIM_10GB_D2_TV_BL2_OF2"</t>
  </si>
  <si>
    <t>10000False"TV Start HD""BLM 10gb""Franquia ilimitada"39.9"OT_MIG_JUL18_FID_4P_PILIM_10GB_D2_TV_BL2_OF2"</t>
  </si>
  <si>
    <t>10000False"TV Mix HD""BLM 10gb""Franquia ilimitada"39.9"OT_MIG_JUL18_FID_4P_PILIM_10GB_D2_TV_BL2_OF2"</t>
  </si>
  <si>
    <t>10000False"TV Mix HBOMAX HD""BLM 10gb""Franquia ilimitada"39.9"OT_MIG_JUL18_FID_4P_PILIM_10GB_D2_TV_BL2_OF2"</t>
  </si>
  <si>
    <t>10000False"TV Mix Telecine HD""BLM 10gb""Franquia ilimitada"39.9"OT_MIG_JUL18_FID_4P_PILIM_10GB_D2_TV_BL2_OF2"</t>
  </si>
  <si>
    <t>10000False"TV Mix Cinema HD""BLM 10gb""Franquia ilimitada"39.9"OT_MIG_JUL18_FID_4P_PILIM_10GB_D2_TV_BL2_OF2"</t>
  </si>
  <si>
    <t>10000False"TV Total HD""BLM 10gb""Franquia ilimitada"39.9"OT_MIG_JUL18_FID_4P_PILIM_10GB_D2_TV_BL2_OF2"</t>
  </si>
  <si>
    <t>10000False"TV Total HBOMAX HD""BLM 10gb""Franquia ilimitada"39.9"OT_MIG_JUL18_FID_4P_PILIM_10GB_D2_TV_BL2_OF2"</t>
  </si>
  <si>
    <t>10000False"TV Total Telecine HD""BLM 10gb""Franquia ilimitada"39.9"OT_MIG_JUL18_FID_4P_PILIM_10GB_D2_TV_BL2_OF2"</t>
  </si>
  <si>
    <t>10000False"TV Total Cinema HD""BLM 10gb""Franquia ilimitada"39.9"OT_MIG_JUL18_FID_4P_PILIM_10GB_D2_TV_BL2_OF2"</t>
  </si>
  <si>
    <t>10000True"TV Total HD""BLM 10gb""Franquia ilimitada"39.9"OT_MIG_JUL18_FID_4P_PILIM_10GB_D2_TV_BL2_OF2"</t>
  </si>
  <si>
    <t>10000True"TV Total HBOMAX HD""BLM 10gb""Franquia ilimitada"39.9"OT_MIG_JUL18_FID_4P_PILIM_10GB_D2_TV_BL2_OF2"</t>
  </si>
  <si>
    <t>10000True"TV Total Telecine HD""BLM 10gb""Franquia ilimitada"39.9"OT_MIG_JUL18_FID_4P_PILIM_10GB_D2_TV_BL2_OF2"</t>
  </si>
  <si>
    <t>10000True"TV Total Cinema HD""BLM 10gb""Franquia ilimitada"39.9"OT_MIG_JUL18_FID_4P_PILIM_10GB_D2_TV_BL2_OF2"</t>
  </si>
  <si>
    <t>"OT_MIG_JUL18_FID_4P_PILIM_10GB_D2_TV_BL5_CBAS_OF2"</t>
  </si>
  <si>
    <t>10000False"TV Start HD""VX Até 15mb""Franquia ilimitada"39.9"OT_MIG_JUL18_FID_4P_PILIM_10GB_D2_TV_BL5_CBAS_OF2"</t>
  </si>
  <si>
    <t>10000False"TV Mix HD""VX Até 15mb""Franquia ilimitada"39.9"OT_MIG_JUL18_FID_4P_PILIM_10GB_D2_TV_BL5_CBAS_OF2"</t>
  </si>
  <si>
    <t>10000False"TV Mix HBOMAX HD""VX Até 15mb""Franquia ilimitada"39.9"OT_MIG_JUL18_FID_4P_PILIM_10GB_D2_TV_BL5_CBAS_OF2"</t>
  </si>
  <si>
    <t>10000False"TV Mix Telecine HD""VX Até 15mb""Franquia ilimitada"39.9"OT_MIG_JUL18_FID_4P_PILIM_10GB_D2_TV_BL5_CBAS_OF2"</t>
  </si>
  <si>
    <t>10000False"TV Mix Cinema HD""VX Até 15mb""Franquia ilimitada"39.9"OT_MIG_JUL18_FID_4P_PILIM_10GB_D2_TV_BL5_CBAS_OF2"</t>
  </si>
  <si>
    <t>10000False"TV Total HD""VX Até 15mb""Franquia ilimitada"39.9"OT_MIG_JUL18_FID_4P_PILIM_10GB_D2_TV_BL5_CBAS_OF2"</t>
  </si>
  <si>
    <t>10000False"TV Total HBOMAX HD""VX Até 15mb""Franquia ilimitada"39.9"OT_MIG_JUL18_FID_4P_PILIM_10GB_D2_TV_BL5_CBAS_OF2"</t>
  </si>
  <si>
    <t>10000False"TV Total Telecine HD""VX Até 15mb""Franquia ilimitada"39.9"OT_MIG_JUL18_FID_4P_PILIM_10GB_D2_TV_BL5_CBAS_OF2"</t>
  </si>
  <si>
    <t>10000False"TV Total Cinema HD""VX Até 15mb""Franquia ilimitada"39.9"OT_MIG_JUL18_FID_4P_PILIM_10GB_D2_TV_BL5_CBAS_OF2"</t>
  </si>
  <si>
    <t>10000True"TV Total HD""VX Até 15mb""Franquia ilimitada"39.9"OT_MIG_JUL18_FID_4P_PILIM_10GB_D2_TV_BL5_CBAS_OF2"</t>
  </si>
  <si>
    <t>10000True"TV Total HBOMAX HD""VX Até 15mb""Franquia ilimitada"39.9"OT_MIG_JUL18_FID_4P_PILIM_10GB_D2_TV_BL5_CBAS_OF2"</t>
  </si>
  <si>
    <t>10000True"TV Total Telecine HD""VX Até 15mb""Franquia ilimitada"39.9"OT_MIG_JUL18_FID_4P_PILIM_10GB_D2_TV_BL5_CBAS_OF2"</t>
  </si>
  <si>
    <t>10000True"TV Total Cinema HD""VX Até 15mb""Franquia ilimitada"39.9"OT_MIG_JUL18_FID_4P_PILIM_10GB_D2_TV_BL5_CBAS_OF2"</t>
  </si>
  <si>
    <t>10000False"TV Start HD""VX Até 25mb""Franquia ilimitada"39.9"OT_MIG_JUL18_FID_4P_PILIM_10GB_D2_TV_BL5_CBAS_OF2"</t>
  </si>
  <si>
    <t>10000False"TV Mix HD""VX Até 25mb""Franquia ilimitada"39.9"OT_MIG_JUL18_FID_4P_PILIM_10GB_D2_TV_BL5_CBAS_OF2"</t>
  </si>
  <si>
    <t>10000False"TV Mix HBOMAX HD""VX Até 25mb""Franquia ilimitada"39.9"OT_MIG_JUL18_FID_4P_PILIM_10GB_D2_TV_BL5_CBAS_OF2"</t>
  </si>
  <si>
    <t>10000False"TV Mix Telecine HD""VX Até 25mb""Franquia ilimitada"39.9"OT_MIG_JUL18_FID_4P_PILIM_10GB_D2_TV_BL5_CBAS_OF2"</t>
  </si>
  <si>
    <t>10000False"TV Mix Cinema HD""VX Até 25mb""Franquia ilimitada"39.9"OT_MIG_JUL18_FID_4P_PILIM_10GB_D2_TV_BL5_CBAS_OF2"</t>
  </si>
  <si>
    <t>10000False"TV Total HD""VX Até 25mb""Franquia ilimitada"39.9"OT_MIG_JUL18_FID_4P_PILIM_10GB_D2_TV_BL5_CBAS_OF2"</t>
  </si>
  <si>
    <t>10000False"TV Total HBOMAX HD""VX Até 25mb""Franquia ilimitada"39.9"OT_MIG_JUL18_FID_4P_PILIM_10GB_D2_TV_BL5_CBAS_OF2"</t>
  </si>
  <si>
    <t>10000False"TV Total Telecine HD""VX Até 25mb""Franquia ilimitada"39.9"OT_MIG_JUL18_FID_4P_PILIM_10GB_D2_TV_BL5_CBAS_OF2"</t>
  </si>
  <si>
    <t>10000False"TV Total Cinema HD""VX Até 25mb""Franquia ilimitada"39.9"OT_MIG_JUL18_FID_4P_PILIM_10GB_D2_TV_BL5_CBAS_OF2"</t>
  </si>
  <si>
    <t>10000True"TV Total HD""VX Até 25mb""Franquia ilimitada"39.9"OT_MIG_JUL18_FID_4P_PILIM_10GB_D2_TV_BL5_CBAS_OF2"</t>
  </si>
  <si>
    <t>10000True"TV Total HBOMAX HD""VX Até 25mb""Franquia ilimitada"39.9"OT_MIG_JUL18_FID_4P_PILIM_10GB_D2_TV_BL5_CBAS_OF2"</t>
  </si>
  <si>
    <t>10000True"TV Total Telecine HD""VX Até 25mb""Franquia ilimitada"39.9"OT_MIG_JUL18_FID_4P_PILIM_10GB_D2_TV_BL5_CBAS_OF2"</t>
  </si>
  <si>
    <t>10000True"TV Total Cinema HD""VX Até 25mb""Franquia ilimitada"39.9"OT_MIG_JUL18_FID_4P_PILIM_10GB_D2_TV_BL5_CBAS_OF2"</t>
  </si>
  <si>
    <t>10000False"TV Start HD""VX 35mb""Franquia ilimitada"39.9"OT_MIG_JUL18_FID_4P_PILIM_10GB_D2_TV_BL5_CBAS_OF2"</t>
  </si>
  <si>
    <t>10000False"TV Mix HD""VX 35mb""Franquia ilimitada"39.9"OT_MIG_JUL18_FID_4P_PILIM_10GB_D2_TV_BL5_CBAS_OF2"</t>
  </si>
  <si>
    <t>10000False"TV Mix HBOMAX HD""VX 35mb""Franquia ilimitada"39.9"OT_MIG_JUL18_FID_4P_PILIM_10GB_D2_TV_BL5_CBAS_OF2"</t>
  </si>
  <si>
    <t>10000False"TV Mix Telecine HD""VX 35mb""Franquia ilimitada"39.9"OT_MIG_JUL18_FID_4P_PILIM_10GB_D2_TV_BL5_CBAS_OF2"</t>
  </si>
  <si>
    <t>10000False"TV Mix Cinema HD""VX 35mb""Franquia ilimitada"39.9"OT_MIG_JUL18_FID_4P_PILIM_10GB_D2_TV_BL5_CBAS_OF2"</t>
  </si>
  <si>
    <t>10000False"TV Total HD""VX 35mb""Franquia ilimitada"39.9"OT_MIG_JUL18_FID_4P_PILIM_10GB_D2_TV_BL5_CBAS_OF2"</t>
  </si>
  <si>
    <t>10000False"TV Total HBOMAX HD""VX 35mb""Franquia ilimitada"39.9"OT_MIG_JUL18_FID_4P_PILIM_10GB_D2_TV_BL5_CBAS_OF2"</t>
  </si>
  <si>
    <t>10000False"TV Total Telecine HD""VX 35mb""Franquia ilimitada"39.9"OT_MIG_JUL18_FID_4P_PILIM_10GB_D2_TV_BL5_CBAS_OF2"</t>
  </si>
  <si>
    <t>10000False"TV Total Cinema HD""VX 35mb""Franquia ilimitada"39.9"OT_MIG_JUL18_FID_4P_PILIM_10GB_D2_TV_BL5_CBAS_OF2"</t>
  </si>
  <si>
    <t>10000True"TV Total HD""VX 35mb""Franquia ilimitada"39.9"OT_MIG_JUL18_FID_4P_PILIM_10GB_D2_TV_BL5_CBAS_OF2"</t>
  </si>
  <si>
    <t>10000True"TV Total HBOMAX HD""VX 35mb""Franquia ilimitada"39.9"OT_MIG_JUL18_FID_4P_PILIM_10GB_D2_TV_BL5_CBAS_OF2"</t>
  </si>
  <si>
    <t>10000True"TV Total Telecine HD""VX 35mb""Franquia ilimitada"39.9"OT_MIG_JUL18_FID_4P_PILIM_10GB_D2_TV_BL5_CBAS_OF2"</t>
  </si>
  <si>
    <t>10000True"TV Total Cinema HD""VX 35mb""Franquia ilimitada"39.9"OT_MIG_JUL18_FID_4P_PILIM_10GB_D2_TV_BL5_CBAS_OF2"</t>
  </si>
  <si>
    <t>"OT_MIG_JUL18_FID_4P_PILIM_10GB_D1_TV_BL2_OF3"</t>
  </si>
  <si>
    <t>10000False"TV Start HD""VX Até 2mb""Franquia ilimitada"29.9"OT_MIG_JUL18_FID_4P_PILIM_10GB_D1_TV_BL2_OF3"</t>
  </si>
  <si>
    <t>10000False"TV Mix HD""VX Até 2mb""Franquia ilimitada"29.9"OT_MIG_JUL18_FID_4P_PILIM_10GB_D1_TV_BL2_OF3"</t>
  </si>
  <si>
    <t>10000False"TV Mix HBOMAX HD""VX Até 2mb""Franquia ilimitada"29.9"OT_MIG_JUL18_FID_4P_PILIM_10GB_D1_TV_BL2_OF3"</t>
  </si>
  <si>
    <t>10000False"TV Mix Telecine HD""VX Até 2mb""Franquia ilimitada"29.9"OT_MIG_JUL18_FID_4P_PILIM_10GB_D1_TV_BL2_OF3"</t>
  </si>
  <si>
    <t>10000False"TV Mix Cinema HD""VX Até 2mb""Franquia ilimitada"29.9"OT_MIG_JUL18_FID_4P_PILIM_10GB_D1_TV_BL2_OF3"</t>
  </si>
  <si>
    <t>10000False"TV Total HD""VX Até 2mb""Franquia ilimitada"29.9"OT_MIG_JUL18_FID_4P_PILIM_10GB_D1_TV_BL2_OF3"</t>
  </si>
  <si>
    <t>10000False"TV Total HBOMAX HD""VX Até 2mb""Franquia ilimitada"29.9"OT_MIG_JUL18_FID_4P_PILIM_10GB_D1_TV_BL2_OF3"</t>
  </si>
  <si>
    <t>10000False"TV Total Telecine HD""VX Até 2mb""Franquia ilimitada"29.9"OT_MIG_JUL18_FID_4P_PILIM_10GB_D1_TV_BL2_OF3"</t>
  </si>
  <si>
    <t>10000False"TV Total Cinema HD""VX Até 2mb""Franquia ilimitada"29.9"OT_MIG_JUL18_FID_4P_PILIM_10GB_D1_TV_BL2_OF3"</t>
  </si>
  <si>
    <t>10000True"TV Total HD""VX Até 2mb""Franquia ilimitada"29.9"OT_MIG_JUL18_FID_4P_PILIM_10GB_D1_TV_BL2_OF3"</t>
  </si>
  <si>
    <t>10000True"TV Total HBOMAX HD""VX Até 2mb""Franquia ilimitada"29.9"OT_MIG_JUL18_FID_4P_PILIM_10GB_D1_TV_BL2_OF3"</t>
  </si>
  <si>
    <t>10000True"TV Total Telecine HD""VX Até 2mb""Franquia ilimitada"29.9"OT_MIG_JUL18_FID_4P_PILIM_10GB_D1_TV_BL2_OF3"</t>
  </si>
  <si>
    <t>10000True"TV Total Cinema HD""VX Até 2mb""Franquia ilimitada"29.9"OT_MIG_JUL18_FID_4P_PILIM_10GB_D1_TV_BL2_OF3"</t>
  </si>
  <si>
    <t>10000False"TV Start HD""BLM 10gb""Franquia ilimitada"29.9"OT_MIG_JUL18_FID_4P_PILIM_10GB_D1_TV_BL2_OF3"</t>
  </si>
  <si>
    <t>10000False"TV Mix HD""BLM 10gb""Franquia ilimitada"29.9"OT_MIG_JUL18_FID_4P_PILIM_10GB_D1_TV_BL2_OF3"</t>
  </si>
  <si>
    <t>10000False"TV Mix HBOMAX HD""BLM 10gb""Franquia ilimitada"29.9"OT_MIG_JUL18_FID_4P_PILIM_10GB_D1_TV_BL2_OF3"</t>
  </si>
  <si>
    <t>10000False"TV Mix Telecine HD""BLM 10gb""Franquia ilimitada"29.9"OT_MIG_JUL18_FID_4P_PILIM_10GB_D1_TV_BL2_OF3"</t>
  </si>
  <si>
    <t>10000False"TV Mix Cinema HD""BLM 10gb""Franquia ilimitada"29.9"OT_MIG_JUL18_FID_4P_PILIM_10GB_D1_TV_BL2_OF3"</t>
  </si>
  <si>
    <t>10000False"TV Total HD""BLM 10gb""Franquia ilimitada"29.9"OT_MIG_JUL18_FID_4P_PILIM_10GB_D1_TV_BL2_OF3"</t>
  </si>
  <si>
    <t>10000False"TV Total HBOMAX HD""BLM 10gb""Franquia ilimitada"29.9"OT_MIG_JUL18_FID_4P_PILIM_10GB_D1_TV_BL2_OF3"</t>
  </si>
  <si>
    <t>10000False"TV Total Telecine HD""BLM 10gb""Franquia ilimitada"29.9"OT_MIG_JUL18_FID_4P_PILIM_10GB_D1_TV_BL2_OF3"</t>
  </si>
  <si>
    <t>10000False"TV Total Cinema HD""BLM 10gb""Franquia ilimitada"29.9"OT_MIG_JUL18_FID_4P_PILIM_10GB_D1_TV_BL2_OF3"</t>
  </si>
  <si>
    <t>10000True"TV Total HD""BLM 10gb""Franquia ilimitada"29.9"OT_MIG_JUL18_FID_4P_PILIM_10GB_D1_TV_BL2_OF3"</t>
  </si>
  <si>
    <t>10000True"TV Total HBOMAX HD""BLM 10gb""Franquia ilimitada"29.9"OT_MIG_JUL18_FID_4P_PILIM_10GB_D1_TV_BL2_OF3"</t>
  </si>
  <si>
    <t>10000True"TV Total Telecine HD""BLM 10gb""Franquia ilimitada"29.9"OT_MIG_JUL18_FID_4P_PILIM_10GB_D1_TV_BL2_OF3"</t>
  </si>
  <si>
    <t>10000True"TV Total Cinema HD""BLM 10gb""Franquia ilimitada"29.9"OT_MIG_JUL18_FID_4P_PILIM_10GB_D1_TV_BL2_OF3"</t>
  </si>
  <si>
    <t>"OT_MIG_JUL18_FID_4P_PILIM_10GB_D1_TV_BL5_CBAS_OF3"</t>
  </si>
  <si>
    <t>10000False"TV Start HD""VX Até 15mb""Franquia ilimitada"29.9"OT_MIG_JUL18_FID_4P_PILIM_10GB_D1_TV_BL5_CBAS_OF3"</t>
  </si>
  <si>
    <t>10000False"TV Mix HD""VX Até 15mb""Franquia ilimitada"29.9"OT_MIG_JUL18_FID_4P_PILIM_10GB_D1_TV_BL5_CBAS_OF3"</t>
  </si>
  <si>
    <t>10000False"TV Mix HBOMAX HD""VX Até 15mb""Franquia ilimitada"29.9"OT_MIG_JUL18_FID_4P_PILIM_10GB_D1_TV_BL5_CBAS_OF3"</t>
  </si>
  <si>
    <t>10000False"TV Mix Telecine HD""VX Até 15mb""Franquia ilimitada"29.9"OT_MIG_JUL18_FID_4P_PILIM_10GB_D1_TV_BL5_CBAS_OF3"</t>
  </si>
  <si>
    <t>10000False"TV Mix Cinema HD""VX Até 15mb""Franquia ilimitada"29.9"OT_MIG_JUL18_FID_4P_PILIM_10GB_D1_TV_BL5_CBAS_OF3"</t>
  </si>
  <si>
    <t>10000False"TV Total HD""VX Até 15mb""Franquia ilimitada"29.9"OT_MIG_JUL18_FID_4P_PILIM_10GB_D1_TV_BL5_CBAS_OF3"</t>
  </si>
  <si>
    <t>10000False"TV Total HBOMAX HD""VX Até 15mb""Franquia ilimitada"29.9"OT_MIG_JUL18_FID_4P_PILIM_10GB_D1_TV_BL5_CBAS_OF3"</t>
  </si>
  <si>
    <t>10000False"TV Total Telecine HD""VX Até 15mb""Franquia ilimitada"29.9"OT_MIG_JUL18_FID_4P_PILIM_10GB_D1_TV_BL5_CBAS_OF3"</t>
  </si>
  <si>
    <t>10000False"TV Total Cinema HD""VX Até 15mb""Franquia ilimitada"29.9"OT_MIG_JUL18_FID_4P_PILIM_10GB_D1_TV_BL5_CBAS_OF3"</t>
  </si>
  <si>
    <t>10000True"TV Total HD""VX Até 15mb""Franquia ilimitada"29.9"OT_MIG_JUL18_FID_4P_PILIM_10GB_D1_TV_BL5_CBAS_OF3"</t>
  </si>
  <si>
    <t>10000True"TV Total HBOMAX HD""VX Até 15mb""Franquia ilimitada"29.9"OT_MIG_JUL18_FID_4P_PILIM_10GB_D1_TV_BL5_CBAS_OF3"</t>
  </si>
  <si>
    <t>10000True"TV Total Telecine HD""VX Até 15mb""Franquia ilimitada"29.9"OT_MIG_JUL18_FID_4P_PILIM_10GB_D1_TV_BL5_CBAS_OF3"</t>
  </si>
  <si>
    <t>10000True"TV Total Cinema HD""VX Até 15mb""Franquia ilimitada"29.9"OT_MIG_JUL18_FID_4P_PILIM_10GB_D1_TV_BL5_CBAS_OF3"</t>
  </si>
  <si>
    <t>10000False"TV Start HD""VX Até 25mb""Franquia ilimitada"29.9"OT_MIG_JUL18_FID_4P_PILIM_10GB_D1_TV_BL5_CBAS_OF3"</t>
  </si>
  <si>
    <t>10000False"TV Mix HD""VX Até 25mb""Franquia ilimitada"29.9"OT_MIG_JUL18_FID_4P_PILIM_10GB_D1_TV_BL5_CBAS_OF3"</t>
  </si>
  <si>
    <t>10000False"TV Mix HBOMAX HD""VX Até 25mb""Franquia ilimitada"29.9"OT_MIG_JUL18_FID_4P_PILIM_10GB_D1_TV_BL5_CBAS_OF3"</t>
  </si>
  <si>
    <t>10000False"TV Mix Telecine HD""VX Até 25mb""Franquia ilimitada"29.9"OT_MIG_JUL18_FID_4P_PILIM_10GB_D1_TV_BL5_CBAS_OF3"</t>
  </si>
  <si>
    <t>10000False"TV Mix Cinema HD""VX Até 25mb""Franquia ilimitada"29.9"OT_MIG_JUL18_FID_4P_PILIM_10GB_D1_TV_BL5_CBAS_OF3"</t>
  </si>
  <si>
    <t>10000False"TV Total HD""VX Até 25mb""Franquia ilimitada"29.9"OT_MIG_JUL18_FID_4P_PILIM_10GB_D1_TV_BL5_CBAS_OF3"</t>
  </si>
  <si>
    <t>10000False"TV Total HBOMAX HD""VX Até 25mb""Franquia ilimitada"29.9"OT_MIG_JUL18_FID_4P_PILIM_10GB_D1_TV_BL5_CBAS_OF3"</t>
  </si>
  <si>
    <t>10000False"TV Total Telecine HD""VX Até 25mb""Franquia ilimitada"29.9"OT_MIG_JUL18_FID_4P_PILIM_10GB_D1_TV_BL5_CBAS_OF3"</t>
  </si>
  <si>
    <t>10000False"TV Total Cinema HD""VX Até 25mb""Franquia ilimitada"29.9"OT_MIG_JUL18_FID_4P_PILIM_10GB_D1_TV_BL5_CBAS_OF3"</t>
  </si>
  <si>
    <t>10000True"TV Total HD""VX Até 25mb""Franquia ilimitada"29.9"OT_MIG_JUL18_FID_4P_PILIM_10GB_D1_TV_BL5_CBAS_OF3"</t>
  </si>
  <si>
    <t>10000True"TV Total HBOMAX HD""VX Até 25mb""Franquia ilimitada"29.9"OT_MIG_JUL18_FID_4P_PILIM_10GB_D1_TV_BL5_CBAS_OF3"</t>
  </si>
  <si>
    <t>10000True"TV Total Telecine HD""VX Até 25mb""Franquia ilimitada"29.9"OT_MIG_JUL18_FID_4P_PILIM_10GB_D1_TV_BL5_CBAS_OF3"</t>
  </si>
  <si>
    <t>10000True"TV Total Cinema HD""VX Até 25mb""Franquia ilimitada"29.9"OT_MIG_JUL18_FID_4P_PILIM_10GB_D1_TV_BL5_CBAS_OF3"</t>
  </si>
  <si>
    <t>10000False"TV Start HD""VX 35mb""Franquia ilimitada"29.9"OT_MIG_JUL18_FID_4P_PILIM_10GB_D1_TV_BL5_CBAS_OF3"</t>
  </si>
  <si>
    <t>10000False"TV Mix HD""VX 35mb""Franquia ilimitada"29.9"OT_MIG_JUL18_FID_4P_PILIM_10GB_D1_TV_BL5_CBAS_OF3"</t>
  </si>
  <si>
    <t>10000False"TV Mix HBOMAX HD""VX 35mb""Franquia ilimitada"29.9"OT_MIG_JUL18_FID_4P_PILIM_10GB_D1_TV_BL5_CBAS_OF3"</t>
  </si>
  <si>
    <t>10000False"TV Mix Telecine HD""VX 35mb""Franquia ilimitada"29.9"OT_MIG_JUL18_FID_4P_PILIM_10GB_D1_TV_BL5_CBAS_OF3"</t>
  </si>
  <si>
    <t>10000False"TV Mix Cinema HD""VX 35mb""Franquia ilimitada"29.9"OT_MIG_JUL18_FID_4P_PILIM_10GB_D1_TV_BL5_CBAS_OF3"</t>
  </si>
  <si>
    <t>10000False"TV Total HD""VX 35mb""Franquia ilimitada"29.9"OT_MIG_JUL18_FID_4P_PILIM_10GB_D1_TV_BL5_CBAS_OF3"</t>
  </si>
  <si>
    <t>10000False"TV Total HBOMAX HD""VX 35mb""Franquia ilimitada"29.9"OT_MIG_JUL18_FID_4P_PILIM_10GB_D1_TV_BL5_CBAS_OF3"</t>
  </si>
  <si>
    <t>10000False"TV Total Telecine HD""VX 35mb""Franquia ilimitada"29.9"OT_MIG_JUL18_FID_4P_PILIM_10GB_D1_TV_BL5_CBAS_OF3"</t>
  </si>
  <si>
    <t>10000False"TV Total Cinema HD""VX 35mb""Franquia ilimitada"29.9"OT_MIG_JUL18_FID_4P_PILIM_10GB_D1_TV_BL5_CBAS_OF3"</t>
  </si>
  <si>
    <t>10000True"TV Total HD""VX 35mb""Franquia ilimitada"29.9"OT_MIG_JUL18_FID_4P_PILIM_10GB_D1_TV_BL5_CBAS_OF3"</t>
  </si>
  <si>
    <t>10000True"TV Total HBOMAX HD""VX 35mb""Franquia ilimitada"29.9"OT_MIG_JUL18_FID_4P_PILIM_10GB_D1_TV_BL5_CBAS_OF3"</t>
  </si>
  <si>
    <t>10000True"TV Total Telecine HD""VX 35mb""Franquia ilimitada"29.9"OT_MIG_JUL18_FID_4P_PILIM_10GB_D1_TV_BL5_CBAS_OF3"</t>
  </si>
  <si>
    <t>10000True"TV Total Cinema HD""VX 35mb""Franquia ilimitada"29.9"OT_MIG_JUL18_FID_4P_PILIM_10GB_D1_TV_BL5_CBAS_OF3"</t>
  </si>
  <si>
    <t>"OT_MIG_JUL18_FID_4P_PILIM_10GB_D2_TV_BL2_OF3"</t>
  </si>
  <si>
    <t>10000False"TV Start HD""VX Até 2mb""Franquia ilimitada"39.9"OT_MIG_JUL18_FID_4P_PILIM_10GB_D2_TV_BL2_OF3"</t>
  </si>
  <si>
    <t>10000False"TV Mix HD""VX Até 2mb""Franquia ilimitada"39.9"OT_MIG_JUL18_FID_4P_PILIM_10GB_D2_TV_BL2_OF3"</t>
  </si>
  <si>
    <t>10000False"TV Mix HBOMAX HD""VX Até 2mb""Franquia ilimitada"39.9"OT_MIG_JUL18_FID_4P_PILIM_10GB_D2_TV_BL2_OF3"</t>
  </si>
  <si>
    <t>10000False"TV Mix Telecine HD""VX Até 2mb""Franquia ilimitada"39.9"OT_MIG_JUL18_FID_4P_PILIM_10GB_D2_TV_BL2_OF3"</t>
  </si>
  <si>
    <t>10000False"TV Mix Cinema HD""VX Até 2mb""Franquia ilimitada"39.9"OT_MIG_JUL18_FID_4P_PILIM_10GB_D2_TV_BL2_OF3"</t>
  </si>
  <si>
    <t>10000False"TV Total HD""VX Até 2mb""Franquia ilimitada"39.9"OT_MIG_JUL18_FID_4P_PILIM_10GB_D2_TV_BL2_OF3"</t>
  </si>
  <si>
    <t>10000False"TV Total HBOMAX HD""VX Até 2mb""Franquia ilimitada"39.9"OT_MIG_JUL18_FID_4P_PILIM_10GB_D2_TV_BL2_OF3"</t>
  </si>
  <si>
    <t>10000False"TV Total Telecine HD""VX Até 2mb""Franquia ilimitada"39.9"OT_MIG_JUL18_FID_4P_PILIM_10GB_D2_TV_BL2_OF3"</t>
  </si>
  <si>
    <t>10000False"TV Total Cinema HD""VX Até 2mb""Franquia ilimitada"39.9"OT_MIG_JUL18_FID_4P_PILIM_10GB_D2_TV_BL2_OF3"</t>
  </si>
  <si>
    <t>10000True"TV Total HD""VX Até 2mb""Franquia ilimitada"39.9"OT_MIG_JUL18_FID_4P_PILIM_10GB_D2_TV_BL2_OF3"</t>
  </si>
  <si>
    <t>10000True"TV Total HBOMAX HD""VX Até 2mb""Franquia ilimitada"39.9"OT_MIG_JUL18_FID_4P_PILIM_10GB_D2_TV_BL2_OF3"</t>
  </si>
  <si>
    <t>10000True"TV Total Telecine HD""VX Até 2mb""Franquia ilimitada"39.9"OT_MIG_JUL18_FID_4P_PILIM_10GB_D2_TV_BL2_OF3"</t>
  </si>
  <si>
    <t>10000True"TV Total Cinema HD""VX Até 2mb""Franquia ilimitada"39.9"OT_MIG_JUL18_FID_4P_PILIM_10GB_D2_TV_BL2_OF3"</t>
  </si>
  <si>
    <t>10000False"TV Start HD""BLM 10gb""Franquia ilimitada"39.9"OT_MIG_JUL18_FID_4P_PILIM_10GB_D2_TV_BL2_OF3"</t>
  </si>
  <si>
    <t>10000False"TV Mix HD""BLM 10gb""Franquia ilimitada"39.9"OT_MIG_JUL18_FID_4P_PILIM_10GB_D2_TV_BL2_OF3"</t>
  </si>
  <si>
    <t>10000False"TV Mix HBOMAX HD""BLM 10gb""Franquia ilimitada"39.9"OT_MIG_JUL18_FID_4P_PILIM_10GB_D2_TV_BL2_OF3"</t>
  </si>
  <si>
    <t>10000False"TV Mix Telecine HD""BLM 10gb""Franquia ilimitada"39.9"OT_MIG_JUL18_FID_4P_PILIM_10GB_D2_TV_BL2_OF3"</t>
  </si>
  <si>
    <t>10000False"TV Mix Cinema HD""BLM 10gb""Franquia ilimitada"39.9"OT_MIG_JUL18_FID_4P_PILIM_10GB_D2_TV_BL2_OF3"</t>
  </si>
  <si>
    <t>10000False"TV Total HD""BLM 10gb""Franquia ilimitada"39.9"OT_MIG_JUL18_FID_4P_PILIM_10GB_D2_TV_BL2_OF3"</t>
  </si>
  <si>
    <t>10000False"TV Total HBOMAX HD""BLM 10gb""Franquia ilimitada"39.9"OT_MIG_JUL18_FID_4P_PILIM_10GB_D2_TV_BL2_OF3"</t>
  </si>
  <si>
    <t>10000False"TV Total Telecine HD""BLM 10gb""Franquia ilimitada"39.9"OT_MIG_JUL18_FID_4P_PILIM_10GB_D2_TV_BL2_OF3"</t>
  </si>
  <si>
    <t>10000False"TV Total Cinema HD""BLM 10gb""Franquia ilimitada"39.9"OT_MIG_JUL18_FID_4P_PILIM_10GB_D2_TV_BL2_OF3"</t>
  </si>
  <si>
    <t>10000True"TV Total HD""BLM 10gb""Franquia ilimitada"39.9"OT_MIG_JUL18_FID_4P_PILIM_10GB_D2_TV_BL2_OF3"</t>
  </si>
  <si>
    <t>10000True"TV Total HBOMAX HD""BLM 10gb""Franquia ilimitada"39.9"OT_MIG_JUL18_FID_4P_PILIM_10GB_D2_TV_BL2_OF3"</t>
  </si>
  <si>
    <t>10000True"TV Total Telecine HD""BLM 10gb""Franquia ilimitada"39.9"OT_MIG_JUL18_FID_4P_PILIM_10GB_D2_TV_BL2_OF3"</t>
  </si>
  <si>
    <t>10000True"TV Total Cinema HD""BLM 10gb""Franquia ilimitada"39.9"OT_MIG_JUL18_FID_4P_PILIM_10GB_D2_TV_BL2_OF3"</t>
  </si>
  <si>
    <t>"OT_MIG_JUL18_FID_4P_PILIM_10GB_D2_TV_BL5_CBAS_OF3"</t>
  </si>
  <si>
    <t>10000False"TV Start HD""VX Até 15mb""Franquia ilimitada"39.9"OT_MIG_JUL18_FID_4P_PILIM_10GB_D2_TV_BL5_CBAS_OF3"</t>
  </si>
  <si>
    <t>10000False"TV Mix HD""VX Até 15mb""Franquia ilimitada"39.9"OT_MIG_JUL18_FID_4P_PILIM_10GB_D2_TV_BL5_CBAS_OF3"</t>
  </si>
  <si>
    <t>10000False"TV Mix HBOMAX HD""VX Até 15mb""Franquia ilimitada"39.9"OT_MIG_JUL18_FID_4P_PILIM_10GB_D2_TV_BL5_CBAS_OF3"</t>
  </si>
  <si>
    <t>10000False"TV Mix Telecine HD""VX Até 15mb""Franquia ilimitada"39.9"OT_MIG_JUL18_FID_4P_PILIM_10GB_D2_TV_BL5_CBAS_OF3"</t>
  </si>
  <si>
    <t>10000False"TV Mix Cinema HD""VX Até 15mb""Franquia ilimitada"39.9"OT_MIG_JUL18_FID_4P_PILIM_10GB_D2_TV_BL5_CBAS_OF3"</t>
  </si>
  <si>
    <t>10000False"TV Total HD""VX Até 15mb""Franquia ilimitada"39.9"OT_MIG_JUL18_FID_4P_PILIM_10GB_D2_TV_BL5_CBAS_OF3"</t>
  </si>
  <si>
    <t>10000False"TV Total HBOMAX HD""VX Até 15mb""Franquia ilimitada"39.9"OT_MIG_JUL18_FID_4P_PILIM_10GB_D2_TV_BL5_CBAS_OF3"</t>
  </si>
  <si>
    <t>10000False"TV Total Telecine HD""VX Até 15mb""Franquia ilimitada"39.9"OT_MIG_JUL18_FID_4P_PILIM_10GB_D2_TV_BL5_CBAS_OF3"</t>
  </si>
  <si>
    <t>10000False"TV Total Cinema HD""VX Até 15mb""Franquia ilimitada"39.9"OT_MIG_JUL18_FID_4P_PILIM_10GB_D2_TV_BL5_CBAS_OF3"</t>
  </si>
  <si>
    <t>10000True"TV Total HD""VX Até 15mb""Franquia ilimitada"39.9"OT_MIG_JUL18_FID_4P_PILIM_10GB_D2_TV_BL5_CBAS_OF3"</t>
  </si>
  <si>
    <t>10000True"TV Total HBOMAX HD""VX Até 15mb""Franquia ilimitada"39.9"OT_MIG_JUL18_FID_4P_PILIM_10GB_D2_TV_BL5_CBAS_OF3"</t>
  </si>
  <si>
    <t>10000True"TV Total Telecine HD""VX Até 15mb""Franquia ilimitada"39.9"OT_MIG_JUL18_FID_4P_PILIM_10GB_D2_TV_BL5_CBAS_OF3"</t>
  </si>
  <si>
    <t>10000True"TV Total Cinema HD""VX Até 15mb""Franquia ilimitada"39.9"OT_MIG_JUL18_FID_4P_PILIM_10GB_D2_TV_BL5_CBAS_OF3"</t>
  </si>
  <si>
    <t>10000False"TV Start HD""VX Até 25mb""Franquia ilimitada"39.9"OT_MIG_JUL18_FID_4P_PILIM_10GB_D2_TV_BL5_CBAS_OF3"</t>
  </si>
  <si>
    <t>10000False"TV Mix HD""VX Até 25mb""Franquia ilimitada"39.9"OT_MIG_JUL18_FID_4P_PILIM_10GB_D2_TV_BL5_CBAS_OF3"</t>
  </si>
  <si>
    <t>10000False"TV Mix HBOMAX HD""VX Até 25mb""Franquia ilimitada"39.9"OT_MIG_JUL18_FID_4P_PILIM_10GB_D2_TV_BL5_CBAS_OF3"</t>
  </si>
  <si>
    <t>10000False"TV Mix Telecine HD""VX Até 25mb""Franquia ilimitada"39.9"OT_MIG_JUL18_FID_4P_PILIM_10GB_D2_TV_BL5_CBAS_OF3"</t>
  </si>
  <si>
    <t>10000False"TV Mix Cinema HD""VX Até 25mb""Franquia ilimitada"39.9"OT_MIG_JUL18_FID_4P_PILIM_10GB_D2_TV_BL5_CBAS_OF3"</t>
  </si>
  <si>
    <t>10000False"TV Total HD""VX Até 25mb""Franquia ilimitada"39.9"OT_MIG_JUL18_FID_4P_PILIM_10GB_D2_TV_BL5_CBAS_OF3"</t>
  </si>
  <si>
    <t>10000False"TV Total HBOMAX HD""VX Até 25mb""Franquia ilimitada"39.9"OT_MIG_JUL18_FID_4P_PILIM_10GB_D2_TV_BL5_CBAS_OF3"</t>
  </si>
  <si>
    <t>10000False"TV Total Telecine HD""VX Até 25mb""Franquia ilimitada"39.9"OT_MIG_JUL18_FID_4P_PILIM_10GB_D2_TV_BL5_CBAS_OF3"</t>
  </si>
  <si>
    <t>10000False"TV Total Cinema HD""VX Até 25mb""Franquia ilimitada"39.9"OT_MIG_JUL18_FID_4P_PILIM_10GB_D2_TV_BL5_CBAS_OF3"</t>
  </si>
  <si>
    <t>10000True"TV Total HD""VX Até 25mb""Franquia ilimitada"39.9"OT_MIG_JUL18_FID_4P_PILIM_10GB_D2_TV_BL5_CBAS_OF3"</t>
  </si>
  <si>
    <t>10000True"TV Total HBOMAX HD""VX Até 25mb""Franquia ilimitada"39.9"OT_MIG_JUL18_FID_4P_PILIM_10GB_D2_TV_BL5_CBAS_OF3"</t>
  </si>
  <si>
    <t>10000True"TV Total Telecine HD""VX Até 25mb""Franquia ilimitada"39.9"OT_MIG_JUL18_FID_4P_PILIM_10GB_D2_TV_BL5_CBAS_OF3"</t>
  </si>
  <si>
    <t>10000True"TV Total Cinema HD""VX Até 25mb""Franquia ilimitada"39.9"OT_MIG_JUL18_FID_4P_PILIM_10GB_D2_TV_BL5_CBAS_OF3"</t>
  </si>
  <si>
    <t>10000False"TV Start HD""VX 35mb""Franquia ilimitada"39.9"OT_MIG_JUL18_FID_4P_PILIM_10GB_D2_TV_BL5_CBAS_OF3"</t>
  </si>
  <si>
    <t>10000False"TV Mix HD""VX 35mb""Franquia ilimitada"39.9"OT_MIG_JUL18_FID_4P_PILIM_10GB_D2_TV_BL5_CBAS_OF3"</t>
  </si>
  <si>
    <t>10000False"TV Mix HBOMAX HD""VX 35mb""Franquia ilimitada"39.9"OT_MIG_JUL18_FID_4P_PILIM_10GB_D2_TV_BL5_CBAS_OF3"</t>
  </si>
  <si>
    <t>10000False"TV Mix Telecine HD""VX 35mb""Franquia ilimitada"39.9"OT_MIG_JUL18_FID_4P_PILIM_10GB_D2_TV_BL5_CBAS_OF3"</t>
  </si>
  <si>
    <t>10000False"TV Mix Cinema HD""VX 35mb""Franquia ilimitada"39.9"OT_MIG_JUL18_FID_4P_PILIM_10GB_D2_TV_BL5_CBAS_OF3"</t>
  </si>
  <si>
    <t>10000False"TV Total HD""VX 35mb""Franquia ilimitada"39.9"OT_MIG_JUL18_FID_4P_PILIM_10GB_D2_TV_BL5_CBAS_OF3"</t>
  </si>
  <si>
    <t>10000False"TV Total HBOMAX HD""VX 35mb""Franquia ilimitada"39.9"OT_MIG_JUL18_FID_4P_PILIM_10GB_D2_TV_BL5_CBAS_OF3"</t>
  </si>
  <si>
    <t>10000False"TV Total Telecine HD""VX 35mb""Franquia ilimitada"39.9"OT_MIG_JUL18_FID_4P_PILIM_10GB_D2_TV_BL5_CBAS_OF3"</t>
  </si>
  <si>
    <t>10000False"TV Total Cinema HD""VX 35mb""Franquia ilimitada"39.9"OT_MIG_JUL18_FID_4P_PILIM_10GB_D2_TV_BL5_CBAS_OF3"</t>
  </si>
  <si>
    <t>10000True"TV Total HD""VX 35mb""Franquia ilimitada"39.9"OT_MIG_JUL18_FID_4P_PILIM_10GB_D2_TV_BL5_CBAS_OF3"</t>
  </si>
  <si>
    <t>10000True"TV Total HBOMAX HD""VX 35mb""Franquia ilimitada"39.9"OT_MIG_JUL18_FID_4P_PILIM_10GB_D2_TV_BL5_CBAS_OF3"</t>
  </si>
  <si>
    <t>10000True"TV Total Telecine HD""VX 35mb""Franquia ilimitada"39.9"OT_MIG_JUL18_FID_4P_PILIM_10GB_D2_TV_BL5_CBAS_OF3"</t>
  </si>
  <si>
    <t>10000True"TV Total Cinema HD""VX 35mb""Franquia ilimitada"39.9"OT_MIG_JUL18_FID_4P_PILIM_10GB_D2_TV_BL5_CBAS_OF3"</t>
  </si>
  <si>
    <t>"OT_MIG_JUL18_FID_4P_PILIM_10GB_D1_LV_BL2_OF3"</t>
  </si>
  <si>
    <t>10000False"TV Livre HD""VX Até 2mb""Franquia ilimitada"29.9"OT_MIG_JUL18_FID_4P_PILIM_10GB_D1_LV_BL2_OF3"</t>
  </si>
  <si>
    <t>10000False"TV Livre HD""BLM 10gb""Franquia ilimitada"29.9"OT_MIG_JUL18_FID_4P_PILIM_10GB_D1_LV_BL2_OF3"</t>
  </si>
  <si>
    <t>"OT_MIG_JUL18_FID_4P_PILIM_10GB_D1_LV_BL5_CBAS_OF3"</t>
  </si>
  <si>
    <t>10000False"TV Livre HD""VX Até 15mb""Franquia ilimitada"29.9"OT_MIG_JUL18_FID_4P_PILIM_10GB_D1_LV_BL5_CBAS_OF3"</t>
  </si>
  <si>
    <t>10000False"TV Livre HD""VX Até 25mb""Franquia ilimitada"29.9"OT_MIG_JUL18_FID_4P_PILIM_10GB_D1_LV_BL5_CBAS_OF3"</t>
  </si>
  <si>
    <t>10000False"TV Livre HD""VX 35mb""Franquia ilimitada"29.9"OT_MIG_JUL18_FID_4P_PILIM_10GB_D1_LV_BL5_CBAS_OF3"</t>
  </si>
  <si>
    <t>"OT_MIG_JUL18_FID_4P_PILIM_10GB_D2_LV_BL2_OF3"</t>
  </si>
  <si>
    <t>10000False"TV Livre HD""VX Até 2mb""Franquia ilimitada"39.9"OT_MIG_JUL18_FID_4P_PILIM_10GB_D2_LV_BL2_OF3"</t>
  </si>
  <si>
    <t>10000False"TV Livre HD""BLM 10gb""Franquia ilimitada"39.9"OT_MIG_JUL18_FID_4P_PILIM_10GB_D2_LV_BL2_OF3"</t>
  </si>
  <si>
    <t>"OT_MIG_JUL18_FID_4P_PILIM_10GB_D2_LV_BL5_CBAS_OF3"</t>
  </si>
  <si>
    <t>10000False"TV Livre HD""VX Até 15mb""Franquia ilimitada"39.9"OT_MIG_JUL18_FID_4P_PILIM_10GB_D2_LV_BL5_CBAS_OF3"</t>
  </si>
  <si>
    <t>10000False"TV Livre HD""VX Até 25mb""Franquia ilimitada"39.9"OT_MIG_JUL18_FID_4P_PILIM_10GB_D2_LV_BL5_CBAS_OF3"</t>
  </si>
  <si>
    <t>10000False"TV Livre HD""VX 35mb""Franquia ilimitada"39.9"OT_MIG_JUL18_FID_4P_PILIM_10GB_D2_LV_BL5_CBAS_OF3"</t>
  </si>
  <si>
    <t>"OT_MIG_JUL18_FID_4P_PILIM_10GB_D1_TV_BL2_OF4"</t>
  </si>
  <si>
    <t>10000False"TV Start HD""VX Até 2mb""Franquia ilimitada"29.9"OT_MIG_JUL18_FID_4P_PILIM_10GB_D1_TV_BL2_OF4"</t>
  </si>
  <si>
    <t>10000False"TV Mix HD""VX Até 2mb""Franquia ilimitada"29.9"OT_MIG_JUL18_FID_4P_PILIM_10GB_D1_TV_BL2_OF4"</t>
  </si>
  <si>
    <t>10000False"TV Mix HBOMAX HD""VX Até 2mb""Franquia ilimitada"29.9"OT_MIG_JUL18_FID_4P_PILIM_10GB_D1_TV_BL2_OF4"</t>
  </si>
  <si>
    <t>10000False"TV Mix Telecine HD""VX Até 2mb""Franquia ilimitada"29.9"OT_MIG_JUL18_FID_4P_PILIM_10GB_D1_TV_BL2_OF4"</t>
  </si>
  <si>
    <t>10000False"TV Mix Cinema HD""VX Até 2mb""Franquia ilimitada"29.9"OT_MIG_JUL18_FID_4P_PILIM_10GB_D1_TV_BL2_OF4"</t>
  </si>
  <si>
    <t>10000False"TV Total HD""VX Até 2mb""Franquia ilimitada"29.9"OT_MIG_JUL18_FID_4P_PILIM_10GB_D1_TV_BL2_OF4"</t>
  </si>
  <si>
    <t>10000False"TV Total HBOMAX HD""VX Até 2mb""Franquia ilimitada"29.9"OT_MIG_JUL18_FID_4P_PILIM_10GB_D1_TV_BL2_OF4"</t>
  </si>
  <si>
    <t>10000False"TV Total Telecine HD""VX Até 2mb""Franquia ilimitada"29.9"OT_MIG_JUL18_FID_4P_PILIM_10GB_D1_TV_BL2_OF4"</t>
  </si>
  <si>
    <t>10000False"TV Total Cinema HD""VX Até 2mb""Franquia ilimitada"29.9"OT_MIG_JUL18_FID_4P_PILIM_10GB_D1_TV_BL2_OF4"</t>
  </si>
  <si>
    <t>10000True"TV Total HD""VX Até 2mb""Franquia ilimitada"29.9"OT_MIG_JUL18_FID_4P_PILIM_10GB_D1_TV_BL2_OF4"</t>
  </si>
  <si>
    <t>10000True"TV Total HBOMAX HD""VX Até 2mb""Franquia ilimitada"29.9"OT_MIG_JUL18_FID_4P_PILIM_10GB_D1_TV_BL2_OF4"</t>
  </si>
  <si>
    <t>10000True"TV Total Telecine HD""VX Até 2mb""Franquia ilimitada"29.9"OT_MIG_JUL18_FID_4P_PILIM_10GB_D1_TV_BL2_OF4"</t>
  </si>
  <si>
    <t>10000True"TV Total Cinema HD""VX Até 2mb""Franquia ilimitada"29.9"OT_MIG_JUL18_FID_4P_PILIM_10GB_D1_TV_BL2_OF4"</t>
  </si>
  <si>
    <t>10000False"TV Start HD""BLM 10gb""Franquia ilimitada"29.9"OT_MIG_JUL18_FID_4P_PILIM_10GB_D1_TV_BL2_OF4"</t>
  </si>
  <si>
    <t>10000False"TV Mix HD""BLM 10gb""Franquia ilimitada"29.9"OT_MIG_JUL18_FID_4P_PILIM_10GB_D1_TV_BL2_OF4"</t>
  </si>
  <si>
    <t>10000False"TV Mix HBOMAX HD""BLM 10gb""Franquia ilimitada"29.9"OT_MIG_JUL18_FID_4P_PILIM_10GB_D1_TV_BL2_OF4"</t>
  </si>
  <si>
    <t>10000False"TV Mix Telecine HD""BLM 10gb""Franquia ilimitada"29.9"OT_MIG_JUL18_FID_4P_PILIM_10GB_D1_TV_BL2_OF4"</t>
  </si>
  <si>
    <t>10000False"TV Mix Cinema HD""BLM 10gb""Franquia ilimitada"29.9"OT_MIG_JUL18_FID_4P_PILIM_10GB_D1_TV_BL2_OF4"</t>
  </si>
  <si>
    <t>10000False"TV Total HD""BLM 10gb""Franquia ilimitada"29.9"OT_MIG_JUL18_FID_4P_PILIM_10GB_D1_TV_BL2_OF4"</t>
  </si>
  <si>
    <t>10000False"TV Total HBOMAX HD""BLM 10gb""Franquia ilimitada"29.9"OT_MIG_JUL18_FID_4P_PILIM_10GB_D1_TV_BL2_OF4"</t>
  </si>
  <si>
    <t>10000False"TV Total Telecine HD""BLM 10gb""Franquia ilimitada"29.9"OT_MIG_JUL18_FID_4P_PILIM_10GB_D1_TV_BL2_OF4"</t>
  </si>
  <si>
    <t>10000False"TV Total Cinema HD""BLM 10gb""Franquia ilimitada"29.9"OT_MIG_JUL18_FID_4P_PILIM_10GB_D1_TV_BL2_OF4"</t>
  </si>
  <si>
    <t>10000True"TV Total HD""BLM 10gb""Franquia ilimitada"29.9"OT_MIG_JUL18_FID_4P_PILIM_10GB_D1_TV_BL2_OF4"</t>
  </si>
  <si>
    <t>10000True"TV Total HBOMAX HD""BLM 10gb""Franquia ilimitada"29.9"OT_MIG_JUL18_FID_4P_PILIM_10GB_D1_TV_BL2_OF4"</t>
  </si>
  <si>
    <t>10000True"TV Total Telecine HD""BLM 10gb""Franquia ilimitada"29.9"OT_MIG_JUL18_FID_4P_PILIM_10GB_D1_TV_BL2_OF4"</t>
  </si>
  <si>
    <t>10000True"TV Total Cinema HD""BLM 10gb""Franquia ilimitada"29.9"OT_MIG_JUL18_FID_4P_PILIM_10GB_D1_TV_BL2_OF4"</t>
  </si>
  <si>
    <t>"OT_MIG_JUL18_FID_4P_PILIM_10GB_D1_TV_BL5_CBAS_OF4"</t>
  </si>
  <si>
    <t>10000False"TV Start HD""VX Até 15mb""Franquia ilimitada"29.9"OT_MIG_JUL18_FID_4P_PILIM_10GB_D1_TV_BL5_CBAS_OF4"</t>
  </si>
  <si>
    <t>10000False"TV Mix HD""VX Até 15mb""Franquia ilimitada"29.9"OT_MIG_JUL18_FID_4P_PILIM_10GB_D1_TV_BL5_CBAS_OF4"</t>
  </si>
  <si>
    <t>10000False"TV Mix HBOMAX HD""VX Até 15mb""Franquia ilimitada"29.9"OT_MIG_JUL18_FID_4P_PILIM_10GB_D1_TV_BL5_CBAS_OF4"</t>
  </si>
  <si>
    <t>10000False"TV Mix Telecine HD""VX Até 15mb""Franquia ilimitada"29.9"OT_MIG_JUL18_FID_4P_PILIM_10GB_D1_TV_BL5_CBAS_OF4"</t>
  </si>
  <si>
    <t>10000False"TV Mix Cinema HD""VX Até 15mb""Franquia ilimitada"29.9"OT_MIG_JUL18_FID_4P_PILIM_10GB_D1_TV_BL5_CBAS_OF4"</t>
  </si>
  <si>
    <t>10000False"TV Total HD""VX Até 15mb""Franquia ilimitada"29.9"OT_MIG_JUL18_FID_4P_PILIM_10GB_D1_TV_BL5_CBAS_OF4"</t>
  </si>
  <si>
    <t>10000False"TV Total HBOMAX HD""VX Até 15mb""Franquia ilimitada"29.9"OT_MIG_JUL18_FID_4P_PILIM_10GB_D1_TV_BL5_CBAS_OF4"</t>
  </si>
  <si>
    <t>10000False"TV Total Telecine HD""VX Até 15mb""Franquia ilimitada"29.9"OT_MIG_JUL18_FID_4P_PILIM_10GB_D1_TV_BL5_CBAS_OF4"</t>
  </si>
  <si>
    <t>10000False"TV Total Cinema HD""VX Até 15mb""Franquia ilimitada"29.9"OT_MIG_JUL18_FID_4P_PILIM_10GB_D1_TV_BL5_CBAS_OF4"</t>
  </si>
  <si>
    <t>10000True"TV Total HD""VX Até 15mb""Franquia ilimitada"29.9"OT_MIG_JUL18_FID_4P_PILIM_10GB_D1_TV_BL5_CBAS_OF4"</t>
  </si>
  <si>
    <t>10000True"TV Total HBOMAX HD""VX Até 15mb""Franquia ilimitada"29.9"OT_MIG_JUL18_FID_4P_PILIM_10GB_D1_TV_BL5_CBAS_OF4"</t>
  </si>
  <si>
    <t>10000True"TV Total Telecine HD""VX Até 15mb""Franquia ilimitada"29.9"OT_MIG_JUL18_FID_4P_PILIM_10GB_D1_TV_BL5_CBAS_OF4"</t>
  </si>
  <si>
    <t>10000True"TV Total Cinema HD""VX Até 15mb""Franquia ilimitada"29.9"OT_MIG_JUL18_FID_4P_PILIM_10GB_D1_TV_BL5_CBAS_OF4"</t>
  </si>
  <si>
    <t>10000False"TV Start HD""VX Até 25mb""Franquia ilimitada"29.9"OT_MIG_JUL18_FID_4P_PILIM_10GB_D1_TV_BL5_CBAS_OF4"</t>
  </si>
  <si>
    <t>10000False"TV Mix HD""VX Até 25mb""Franquia ilimitada"29.9"OT_MIG_JUL18_FID_4P_PILIM_10GB_D1_TV_BL5_CBAS_OF4"</t>
  </si>
  <si>
    <t>10000False"TV Mix HBOMAX HD""VX Até 25mb""Franquia ilimitada"29.9"OT_MIG_JUL18_FID_4P_PILIM_10GB_D1_TV_BL5_CBAS_OF4"</t>
  </si>
  <si>
    <t>10000False"TV Mix Telecine HD""VX Até 25mb""Franquia ilimitada"29.9"OT_MIG_JUL18_FID_4P_PILIM_10GB_D1_TV_BL5_CBAS_OF4"</t>
  </si>
  <si>
    <t>10000False"TV Mix Cinema HD""VX Até 25mb""Franquia ilimitada"29.9"OT_MIG_JUL18_FID_4P_PILIM_10GB_D1_TV_BL5_CBAS_OF4"</t>
  </si>
  <si>
    <t>10000False"TV Total HD""VX Até 25mb""Franquia ilimitada"29.9"OT_MIG_JUL18_FID_4P_PILIM_10GB_D1_TV_BL5_CBAS_OF4"</t>
  </si>
  <si>
    <t>10000False"TV Total HBOMAX HD""VX Até 25mb""Franquia ilimitada"29.9"OT_MIG_JUL18_FID_4P_PILIM_10GB_D1_TV_BL5_CBAS_OF4"</t>
  </si>
  <si>
    <t>10000False"TV Total Telecine HD""VX Até 25mb""Franquia ilimitada"29.9"OT_MIG_JUL18_FID_4P_PILIM_10GB_D1_TV_BL5_CBAS_OF4"</t>
  </si>
  <si>
    <t>10000False"TV Total Cinema HD""VX Até 25mb""Franquia ilimitada"29.9"OT_MIG_JUL18_FID_4P_PILIM_10GB_D1_TV_BL5_CBAS_OF4"</t>
  </si>
  <si>
    <t>10000True"TV Total HD""VX Até 25mb""Franquia ilimitada"29.9"OT_MIG_JUL18_FID_4P_PILIM_10GB_D1_TV_BL5_CBAS_OF4"</t>
  </si>
  <si>
    <t>10000True"TV Total HBOMAX HD""VX Até 25mb""Franquia ilimitada"29.9"OT_MIG_JUL18_FID_4P_PILIM_10GB_D1_TV_BL5_CBAS_OF4"</t>
  </si>
  <si>
    <t>10000True"TV Total Telecine HD""VX Até 25mb""Franquia ilimitada"29.9"OT_MIG_JUL18_FID_4P_PILIM_10GB_D1_TV_BL5_CBAS_OF4"</t>
  </si>
  <si>
    <t>10000True"TV Total Cinema HD""VX Até 25mb""Franquia ilimitada"29.9"OT_MIG_JUL18_FID_4P_PILIM_10GB_D1_TV_BL5_CBAS_OF4"</t>
  </si>
  <si>
    <t>10000False"TV Start HD""VX 35mb""Franquia ilimitada"29.9"OT_MIG_JUL18_FID_4P_PILIM_10GB_D1_TV_BL5_CBAS_OF4"</t>
  </si>
  <si>
    <t>10000False"TV Mix HD""VX 35mb""Franquia ilimitada"29.9"OT_MIG_JUL18_FID_4P_PILIM_10GB_D1_TV_BL5_CBAS_OF4"</t>
  </si>
  <si>
    <t>10000False"TV Mix HBOMAX HD""VX 35mb""Franquia ilimitada"29.9"OT_MIG_JUL18_FID_4P_PILIM_10GB_D1_TV_BL5_CBAS_OF4"</t>
  </si>
  <si>
    <t>10000False"TV Mix Telecine HD""VX 35mb""Franquia ilimitada"29.9"OT_MIG_JUL18_FID_4P_PILIM_10GB_D1_TV_BL5_CBAS_OF4"</t>
  </si>
  <si>
    <t>10000False"TV Mix Cinema HD""VX 35mb""Franquia ilimitada"29.9"OT_MIG_JUL18_FID_4P_PILIM_10GB_D1_TV_BL5_CBAS_OF4"</t>
  </si>
  <si>
    <t>10000False"TV Total HD""VX 35mb""Franquia ilimitada"29.9"OT_MIG_JUL18_FID_4P_PILIM_10GB_D1_TV_BL5_CBAS_OF4"</t>
  </si>
  <si>
    <t>10000False"TV Total HBOMAX HD""VX 35mb""Franquia ilimitada"29.9"OT_MIG_JUL18_FID_4P_PILIM_10GB_D1_TV_BL5_CBAS_OF4"</t>
  </si>
  <si>
    <t>10000False"TV Total Telecine HD""VX 35mb""Franquia ilimitada"29.9"OT_MIG_JUL18_FID_4P_PILIM_10GB_D1_TV_BL5_CBAS_OF4"</t>
  </si>
  <si>
    <t>10000False"TV Total Cinema HD""VX 35mb""Franquia ilimitada"29.9"OT_MIG_JUL18_FID_4P_PILIM_10GB_D1_TV_BL5_CBAS_OF4"</t>
  </si>
  <si>
    <t>10000True"TV Total HD""VX 35mb""Franquia ilimitada"29.9"OT_MIG_JUL18_FID_4P_PILIM_10GB_D1_TV_BL5_CBAS_OF4"</t>
  </si>
  <si>
    <t>10000True"TV Total HBOMAX HD""VX 35mb""Franquia ilimitada"29.9"OT_MIG_JUL18_FID_4P_PILIM_10GB_D1_TV_BL5_CBAS_OF4"</t>
  </si>
  <si>
    <t>10000True"TV Total Telecine HD""VX 35mb""Franquia ilimitada"29.9"OT_MIG_JUL18_FID_4P_PILIM_10GB_D1_TV_BL5_CBAS_OF4"</t>
  </si>
  <si>
    <t>10000True"TV Total Cinema HD""VX 35mb""Franquia ilimitada"29.9"OT_MIG_JUL18_FID_4P_PILIM_10GB_D1_TV_BL5_CBAS_OF4"</t>
  </si>
  <si>
    <t>"OT_MIG_JUL18_FID_4P_PILIM_10GB_D2_TV_BL2_OF4"</t>
  </si>
  <si>
    <t>10000False"TV Start HD""VX Até 2mb""Franquia ilimitada"39.9"OT_MIG_JUL18_FID_4P_PILIM_10GB_D2_TV_BL2_OF4"</t>
  </si>
  <si>
    <t>10000False"TV Mix HD""VX Até 2mb""Franquia ilimitada"39.9"OT_MIG_JUL18_FID_4P_PILIM_10GB_D2_TV_BL2_OF4"</t>
  </si>
  <si>
    <t>10000False"TV Mix HBOMAX HD""VX Até 2mb""Franquia ilimitada"39.9"OT_MIG_JUL18_FID_4P_PILIM_10GB_D2_TV_BL2_OF4"</t>
  </si>
  <si>
    <t>10000False"TV Mix Telecine HD""VX Até 2mb""Franquia ilimitada"39.9"OT_MIG_JUL18_FID_4P_PILIM_10GB_D2_TV_BL2_OF4"</t>
  </si>
  <si>
    <t>10000False"TV Mix Cinema HD""VX Até 2mb""Franquia ilimitada"39.9"OT_MIG_JUL18_FID_4P_PILIM_10GB_D2_TV_BL2_OF4"</t>
  </si>
  <si>
    <t>10000False"TV Total HD""VX Até 2mb""Franquia ilimitada"39.9"OT_MIG_JUL18_FID_4P_PILIM_10GB_D2_TV_BL2_OF4"</t>
  </si>
  <si>
    <t>10000False"TV Total HBOMAX HD""VX Até 2mb""Franquia ilimitada"39.9"OT_MIG_JUL18_FID_4P_PILIM_10GB_D2_TV_BL2_OF4"</t>
  </si>
  <si>
    <t>10000False"TV Total Telecine HD""VX Até 2mb""Franquia ilimitada"39.9"OT_MIG_JUL18_FID_4P_PILIM_10GB_D2_TV_BL2_OF4"</t>
  </si>
  <si>
    <t>10000False"TV Total Cinema HD""VX Até 2mb""Franquia ilimitada"39.9"OT_MIG_JUL18_FID_4P_PILIM_10GB_D2_TV_BL2_OF4"</t>
  </si>
  <si>
    <t>10000True"TV Total HD""VX Até 2mb""Franquia ilimitada"39.9"OT_MIG_JUL18_FID_4P_PILIM_10GB_D2_TV_BL2_OF4"</t>
  </si>
  <si>
    <t>10000True"TV Total HBOMAX HD""VX Até 2mb""Franquia ilimitada"39.9"OT_MIG_JUL18_FID_4P_PILIM_10GB_D2_TV_BL2_OF4"</t>
  </si>
  <si>
    <t>10000True"TV Total Telecine HD""VX Até 2mb""Franquia ilimitada"39.9"OT_MIG_JUL18_FID_4P_PILIM_10GB_D2_TV_BL2_OF4"</t>
  </si>
  <si>
    <t>10000True"TV Total Cinema HD""VX Até 2mb""Franquia ilimitada"39.9"OT_MIG_JUL18_FID_4P_PILIM_10GB_D2_TV_BL2_OF4"</t>
  </si>
  <si>
    <t>10000False"TV Start HD""BLM 10gb""Franquia ilimitada"39.9"OT_MIG_JUL18_FID_4P_PILIM_10GB_D2_TV_BL2_OF4"</t>
  </si>
  <si>
    <t>10000False"TV Mix HD""BLM 10gb""Franquia ilimitada"39.9"OT_MIG_JUL18_FID_4P_PILIM_10GB_D2_TV_BL2_OF4"</t>
  </si>
  <si>
    <t>10000False"TV Mix HBOMAX HD""BLM 10gb""Franquia ilimitada"39.9"OT_MIG_JUL18_FID_4P_PILIM_10GB_D2_TV_BL2_OF4"</t>
  </si>
  <si>
    <t>10000False"TV Mix Telecine HD""BLM 10gb""Franquia ilimitada"39.9"OT_MIG_JUL18_FID_4P_PILIM_10GB_D2_TV_BL2_OF4"</t>
  </si>
  <si>
    <t>10000False"TV Mix Cinema HD""BLM 10gb""Franquia ilimitada"39.9"OT_MIG_JUL18_FID_4P_PILIM_10GB_D2_TV_BL2_OF4"</t>
  </si>
  <si>
    <t>10000False"TV Total HD""BLM 10gb""Franquia ilimitada"39.9"OT_MIG_JUL18_FID_4P_PILIM_10GB_D2_TV_BL2_OF4"</t>
  </si>
  <si>
    <t>10000False"TV Total HBOMAX HD""BLM 10gb""Franquia ilimitada"39.9"OT_MIG_JUL18_FID_4P_PILIM_10GB_D2_TV_BL2_OF4"</t>
  </si>
  <si>
    <t>10000False"TV Total Telecine HD""BLM 10gb""Franquia ilimitada"39.9"OT_MIG_JUL18_FID_4P_PILIM_10GB_D2_TV_BL2_OF4"</t>
  </si>
  <si>
    <t>10000False"TV Total Cinema HD""BLM 10gb""Franquia ilimitada"39.9"OT_MIG_JUL18_FID_4P_PILIM_10GB_D2_TV_BL2_OF4"</t>
  </si>
  <si>
    <t>10000True"TV Total HD""BLM 10gb""Franquia ilimitada"39.9"OT_MIG_JUL18_FID_4P_PILIM_10GB_D2_TV_BL2_OF4"</t>
  </si>
  <si>
    <t>10000True"TV Total HBOMAX HD""BLM 10gb""Franquia ilimitada"39.9"OT_MIG_JUL18_FID_4P_PILIM_10GB_D2_TV_BL2_OF4"</t>
  </si>
  <si>
    <t>10000True"TV Total Telecine HD""BLM 10gb""Franquia ilimitada"39.9"OT_MIG_JUL18_FID_4P_PILIM_10GB_D2_TV_BL2_OF4"</t>
  </si>
  <si>
    <t>10000True"TV Total Cinema HD""BLM 10gb""Franquia ilimitada"39.9"OT_MIG_JUL18_FID_4P_PILIM_10GB_D2_TV_BL2_OF4"</t>
  </si>
  <si>
    <t>"OT_MIG_JUL18_FID_4P_PILIM_10GB_D2_TV_BL5_CBAS_OF4"</t>
  </si>
  <si>
    <t>10000False"TV Start HD""VX Até 15mb""Franquia ilimitada"39.9"OT_MIG_JUL18_FID_4P_PILIM_10GB_D2_TV_BL5_CBAS_OF4"</t>
  </si>
  <si>
    <t>10000False"TV Mix HD""VX Até 15mb""Franquia ilimitada"39.9"OT_MIG_JUL18_FID_4P_PILIM_10GB_D2_TV_BL5_CBAS_OF4"</t>
  </si>
  <si>
    <t>10000False"TV Mix HBOMAX HD""VX Até 15mb""Franquia ilimitada"39.9"OT_MIG_JUL18_FID_4P_PILIM_10GB_D2_TV_BL5_CBAS_OF4"</t>
  </si>
  <si>
    <t>10000False"TV Mix Telecine HD""VX Até 15mb""Franquia ilimitada"39.9"OT_MIG_JUL18_FID_4P_PILIM_10GB_D2_TV_BL5_CBAS_OF4"</t>
  </si>
  <si>
    <t>10000False"TV Mix Cinema HD""VX Até 15mb""Franquia ilimitada"39.9"OT_MIG_JUL18_FID_4P_PILIM_10GB_D2_TV_BL5_CBAS_OF4"</t>
  </si>
  <si>
    <t>10000False"TV Total HD""VX Até 15mb""Franquia ilimitada"39.9"OT_MIG_JUL18_FID_4P_PILIM_10GB_D2_TV_BL5_CBAS_OF4"</t>
  </si>
  <si>
    <t>10000False"TV Total HBOMAX HD""VX Até 15mb""Franquia ilimitada"39.9"OT_MIG_JUL18_FID_4P_PILIM_10GB_D2_TV_BL5_CBAS_OF4"</t>
  </si>
  <si>
    <t>10000False"TV Total Telecine HD""VX Até 15mb""Franquia ilimitada"39.9"OT_MIG_JUL18_FID_4P_PILIM_10GB_D2_TV_BL5_CBAS_OF4"</t>
  </si>
  <si>
    <t>10000False"TV Total Cinema HD""VX Até 15mb""Franquia ilimitada"39.9"OT_MIG_JUL18_FID_4P_PILIM_10GB_D2_TV_BL5_CBAS_OF4"</t>
  </si>
  <si>
    <t>10000True"TV Total HD""VX Até 15mb""Franquia ilimitada"39.9"OT_MIG_JUL18_FID_4P_PILIM_10GB_D2_TV_BL5_CBAS_OF4"</t>
  </si>
  <si>
    <t>10000True"TV Total HBOMAX HD""VX Até 15mb""Franquia ilimitada"39.9"OT_MIG_JUL18_FID_4P_PILIM_10GB_D2_TV_BL5_CBAS_OF4"</t>
  </si>
  <si>
    <t>10000True"TV Total Telecine HD""VX Até 15mb""Franquia ilimitada"39.9"OT_MIG_JUL18_FID_4P_PILIM_10GB_D2_TV_BL5_CBAS_OF4"</t>
  </si>
  <si>
    <t>10000True"TV Total Cinema HD""VX Até 15mb""Franquia ilimitada"39.9"OT_MIG_JUL18_FID_4P_PILIM_10GB_D2_TV_BL5_CBAS_OF4"</t>
  </si>
  <si>
    <t>10000False"TV Start HD""VX Até 25mb""Franquia ilimitada"39.9"OT_MIG_JUL18_FID_4P_PILIM_10GB_D2_TV_BL5_CBAS_OF4"</t>
  </si>
  <si>
    <t>10000False"TV Mix HD""VX Até 25mb""Franquia ilimitada"39.9"OT_MIG_JUL18_FID_4P_PILIM_10GB_D2_TV_BL5_CBAS_OF4"</t>
  </si>
  <si>
    <t>10000False"TV Mix HBOMAX HD""VX Até 25mb""Franquia ilimitada"39.9"OT_MIG_JUL18_FID_4P_PILIM_10GB_D2_TV_BL5_CBAS_OF4"</t>
  </si>
  <si>
    <t>10000False"TV Mix Telecine HD""VX Até 25mb""Franquia ilimitada"39.9"OT_MIG_JUL18_FID_4P_PILIM_10GB_D2_TV_BL5_CBAS_OF4"</t>
  </si>
  <si>
    <t>10000False"TV Mix Cinema HD""VX Até 25mb""Franquia ilimitada"39.9"OT_MIG_JUL18_FID_4P_PILIM_10GB_D2_TV_BL5_CBAS_OF4"</t>
  </si>
  <si>
    <t>10000False"TV Total HD""VX Até 25mb""Franquia ilimitada"39.9"OT_MIG_JUL18_FID_4P_PILIM_10GB_D2_TV_BL5_CBAS_OF4"</t>
  </si>
  <si>
    <t>10000False"TV Total HBOMAX HD""VX Até 25mb""Franquia ilimitada"39.9"OT_MIG_JUL18_FID_4P_PILIM_10GB_D2_TV_BL5_CBAS_OF4"</t>
  </si>
  <si>
    <t>10000False"TV Total Telecine HD""VX Até 25mb""Franquia ilimitada"39.9"OT_MIG_JUL18_FID_4P_PILIM_10GB_D2_TV_BL5_CBAS_OF4"</t>
  </si>
  <si>
    <t>10000False"TV Total Cinema HD""VX Até 25mb""Franquia ilimitada"39.9"OT_MIG_JUL18_FID_4P_PILIM_10GB_D2_TV_BL5_CBAS_OF4"</t>
  </si>
  <si>
    <t>10000True"TV Total HD""VX Até 25mb""Franquia ilimitada"39.9"OT_MIG_JUL18_FID_4P_PILIM_10GB_D2_TV_BL5_CBAS_OF4"</t>
  </si>
  <si>
    <t>10000True"TV Total HBOMAX HD""VX Até 25mb""Franquia ilimitada"39.9"OT_MIG_JUL18_FID_4P_PILIM_10GB_D2_TV_BL5_CBAS_OF4"</t>
  </si>
  <si>
    <t>10000True"TV Total Telecine HD""VX Até 25mb""Franquia ilimitada"39.9"OT_MIG_JUL18_FID_4P_PILIM_10GB_D2_TV_BL5_CBAS_OF4"</t>
  </si>
  <si>
    <t>10000True"TV Total Cinema HD""VX Até 25mb""Franquia ilimitada"39.9"OT_MIG_JUL18_FID_4P_PILIM_10GB_D2_TV_BL5_CBAS_OF4"</t>
  </si>
  <si>
    <t>10000False"TV Start HD""VX 35mb""Franquia ilimitada"39.9"OT_MIG_JUL18_FID_4P_PILIM_10GB_D2_TV_BL5_CBAS_OF4"</t>
  </si>
  <si>
    <t>10000False"TV Mix HD""VX 35mb""Franquia ilimitada"39.9"OT_MIG_JUL18_FID_4P_PILIM_10GB_D2_TV_BL5_CBAS_OF4"</t>
  </si>
  <si>
    <t>10000False"TV Mix HBOMAX HD""VX 35mb""Franquia ilimitada"39.9"OT_MIG_JUL18_FID_4P_PILIM_10GB_D2_TV_BL5_CBAS_OF4"</t>
  </si>
  <si>
    <t>10000False"TV Mix Telecine HD""VX 35mb""Franquia ilimitada"39.9"OT_MIG_JUL18_FID_4P_PILIM_10GB_D2_TV_BL5_CBAS_OF4"</t>
  </si>
  <si>
    <t>10000False"TV Mix Cinema HD""VX 35mb""Franquia ilimitada"39.9"OT_MIG_JUL18_FID_4P_PILIM_10GB_D2_TV_BL5_CBAS_OF4"</t>
  </si>
  <si>
    <t>10000False"TV Total HD""VX 35mb""Franquia ilimitada"39.9"OT_MIG_JUL18_FID_4P_PILIM_10GB_D2_TV_BL5_CBAS_OF4"</t>
  </si>
  <si>
    <t>10000False"TV Total HBOMAX HD""VX 35mb""Franquia ilimitada"39.9"OT_MIG_JUL18_FID_4P_PILIM_10GB_D2_TV_BL5_CBAS_OF4"</t>
  </si>
  <si>
    <t>10000False"TV Total Telecine HD""VX 35mb""Franquia ilimitada"39.9"OT_MIG_JUL18_FID_4P_PILIM_10GB_D2_TV_BL5_CBAS_OF4"</t>
  </si>
  <si>
    <t>10000False"TV Total Cinema HD""VX 35mb""Franquia ilimitada"39.9"OT_MIG_JUL18_FID_4P_PILIM_10GB_D2_TV_BL5_CBAS_OF4"</t>
  </si>
  <si>
    <t>10000True"TV Total HD""VX 35mb""Franquia ilimitada"39.9"OT_MIG_JUL18_FID_4P_PILIM_10GB_D2_TV_BL5_CBAS_OF4"</t>
  </si>
  <si>
    <t>10000True"TV Total HBOMAX HD""VX 35mb""Franquia ilimitada"39.9"OT_MIG_JUL18_FID_4P_PILIM_10GB_D2_TV_BL5_CBAS_OF4"</t>
  </si>
  <si>
    <t>10000True"TV Total Telecine HD""VX 35mb""Franquia ilimitada"39.9"OT_MIG_JUL18_FID_4P_PILIM_10GB_D2_TV_BL5_CBAS_OF4"</t>
  </si>
  <si>
    <t>10000True"TV Total Cinema HD""VX 35mb""Franquia ilimitada"39.9"OT_MIG_JUL18_FID_4P_PILIM_10GB_D2_TV_BL5_CBAS_OF4"</t>
  </si>
  <si>
    <t>"OT_MIG_JUL18_FID_4P_PILIM_10GB_D1_LV_BL2_OF4"</t>
  </si>
  <si>
    <t>10000False"TV Livre HD""VX Até 2mb""Franquia ilimitada"29.9"OT_MIG_JUL18_FID_4P_PILIM_10GB_D1_LV_BL2_OF4"</t>
  </si>
  <si>
    <t>10000False"TV Livre HD""BLM 10gb""Franquia ilimitada"29.9"OT_MIG_JUL18_FID_4P_PILIM_10GB_D1_LV_BL2_OF4"</t>
  </si>
  <si>
    <t>"OT_MIG_JUL18_FID_4P_PILIM_10GB_D1_LV_BL5_CBAS_OF4"</t>
  </si>
  <si>
    <t>10000False"TV Livre HD""VX Até 15mb""Franquia ilimitada"29.9"OT_MIG_JUL18_FID_4P_PILIM_10GB_D1_LV_BL5_CBAS_OF4"</t>
  </si>
  <si>
    <t>10000False"TV Livre HD""VX Até 25mb""Franquia ilimitada"29.9"OT_MIG_JUL18_FID_4P_PILIM_10GB_D1_LV_BL5_CBAS_OF4"</t>
  </si>
  <si>
    <t>10000False"TV Livre HD""VX 35mb""Franquia ilimitada"29.9"OT_MIG_JUL18_FID_4P_PILIM_10GB_D1_LV_BL5_CBAS_OF4"</t>
  </si>
  <si>
    <t>"OT_MIG_JUL18_FID_4P_PILIM_10GB_D2_LV_BL2_OF4"</t>
  </si>
  <si>
    <t>10000False"TV Livre HD""VX Até 2mb""Franquia ilimitada"39.9"OT_MIG_JUL18_FID_4P_PILIM_10GB_D2_LV_BL2_OF4"</t>
  </si>
  <si>
    <t>10000False"TV Livre HD""BLM 10gb""Franquia ilimitada"39.9"OT_MIG_JUL18_FID_4P_PILIM_10GB_D2_LV_BL2_OF4"</t>
  </si>
  <si>
    <t>"OT_MIG_JUL18_FID_4P_PILIM_10GB_D2_LV_BL5_CBAS_OF4"</t>
  </si>
  <si>
    <t>10000False"TV Livre HD""VX Até 15mb""Franquia ilimitada"39.9"OT_MIG_JUL18_FID_4P_PILIM_10GB_D2_LV_BL5_CBAS_OF4"</t>
  </si>
  <si>
    <t>10000False"TV Livre HD""VX Até 25mb""Franquia ilimitada"39.9"OT_MIG_JUL18_FID_4P_PILIM_10GB_D2_LV_BL5_CBAS_OF4"</t>
  </si>
  <si>
    <t>10000False"TV Livre HD""VX 35mb""Franquia ilimitada"39.9"OT_MIG_JUL18_FID_4P_PILIM_10GB_D2_LV_BL5_CBAS_OF4"</t>
  </si>
  <si>
    <t>"OT_MIG_JUL18_FID_4P_PILIM_14GB_D1_TV_BL2_OF1"</t>
  </si>
  <si>
    <t>"oi total fixo + oi mais 14gb + banda larga"</t>
  </si>
  <si>
    <t>14000False"TV Start HD""VX Até 2mb""Franquia ilimitada"29.9"OT_MIG_JUL18_FID_4P_PILIM_14GB_D1_TV_BL2_OF1"</t>
  </si>
  <si>
    <t>14000False"TV Mix HD""VX Até 2mb""Franquia ilimitada"29.9"OT_MIG_JUL18_FID_4P_PILIM_14GB_D1_TV_BL2_OF1"</t>
  </si>
  <si>
    <t>14000False"TV Mix HBOMAX HD""VX Até 2mb""Franquia ilimitada"29.9"OT_MIG_JUL18_FID_4P_PILIM_14GB_D1_TV_BL2_OF1"</t>
  </si>
  <si>
    <t>14000False"TV Mix Telecine HD""VX Até 2mb""Franquia ilimitada"29.9"OT_MIG_JUL18_FID_4P_PILIM_14GB_D1_TV_BL2_OF1"</t>
  </si>
  <si>
    <t>14000False"TV Mix Cinema HD""VX Até 2mb""Franquia ilimitada"29.9"OT_MIG_JUL18_FID_4P_PILIM_14GB_D1_TV_BL2_OF1"</t>
  </si>
  <si>
    <t>14000False"TV Total HD""VX Até 2mb""Franquia ilimitada"29.9"OT_MIG_JUL18_FID_4P_PILIM_14GB_D1_TV_BL2_OF1"</t>
  </si>
  <si>
    <t>14000False"TV Total HBOMAX HD""VX Até 2mb""Franquia ilimitada"29.9"OT_MIG_JUL18_FID_4P_PILIM_14GB_D1_TV_BL2_OF1"</t>
  </si>
  <si>
    <t>14000False"TV Total Telecine HD""VX Até 2mb""Franquia ilimitada"29.9"OT_MIG_JUL18_FID_4P_PILIM_14GB_D1_TV_BL2_OF1"</t>
  </si>
  <si>
    <t>14000False"TV Total Cinema HD""VX Até 2mb""Franquia ilimitada"29.9"OT_MIG_JUL18_FID_4P_PILIM_14GB_D1_TV_BL2_OF1"</t>
  </si>
  <si>
    <t>14000True"TV Total HD""VX Até 2mb""Franquia ilimitada"29.9"OT_MIG_JUL18_FID_4P_PILIM_14GB_D1_TV_BL2_OF1"</t>
  </si>
  <si>
    <t>14000True"TV Total HBOMAX HD""VX Até 2mb""Franquia ilimitada"29.9"OT_MIG_JUL18_FID_4P_PILIM_14GB_D1_TV_BL2_OF1"</t>
  </si>
  <si>
    <t>14000True"TV Total Telecine HD""VX Até 2mb""Franquia ilimitada"29.9"OT_MIG_JUL18_FID_4P_PILIM_14GB_D1_TV_BL2_OF1"</t>
  </si>
  <si>
    <t>14000True"TV Total Cinema HD""VX Até 2mb""Franquia ilimitada"29.9"OT_MIG_JUL18_FID_4P_PILIM_14GB_D1_TV_BL2_OF1"</t>
  </si>
  <si>
    <t>14000False"TV Start HD""BLM 10gb""Franquia ilimitada"29.9"OT_MIG_JUL18_FID_4P_PILIM_14GB_D1_TV_BL2_OF1"</t>
  </si>
  <si>
    <t>14000False"TV Mix HD""BLM 10gb""Franquia ilimitada"29.9"OT_MIG_JUL18_FID_4P_PILIM_14GB_D1_TV_BL2_OF1"</t>
  </si>
  <si>
    <t>14000False"TV Mix HBOMAX HD""BLM 10gb""Franquia ilimitada"29.9"OT_MIG_JUL18_FID_4P_PILIM_14GB_D1_TV_BL2_OF1"</t>
  </si>
  <si>
    <t>14000False"TV Mix Telecine HD""BLM 10gb""Franquia ilimitada"29.9"OT_MIG_JUL18_FID_4P_PILIM_14GB_D1_TV_BL2_OF1"</t>
  </si>
  <si>
    <t>14000False"TV Mix Cinema HD""BLM 10gb""Franquia ilimitada"29.9"OT_MIG_JUL18_FID_4P_PILIM_14GB_D1_TV_BL2_OF1"</t>
  </si>
  <si>
    <t>14000False"TV Total HD""BLM 10gb""Franquia ilimitada"29.9"OT_MIG_JUL18_FID_4P_PILIM_14GB_D1_TV_BL2_OF1"</t>
  </si>
  <si>
    <t>14000False"TV Total HBOMAX HD""BLM 10gb""Franquia ilimitada"29.9"OT_MIG_JUL18_FID_4P_PILIM_14GB_D1_TV_BL2_OF1"</t>
  </si>
  <si>
    <t>14000False"TV Total Telecine HD""BLM 10gb""Franquia ilimitada"29.9"OT_MIG_JUL18_FID_4P_PILIM_14GB_D1_TV_BL2_OF1"</t>
  </si>
  <si>
    <t>14000False"TV Total Cinema HD""BLM 10gb""Franquia ilimitada"29.9"OT_MIG_JUL18_FID_4P_PILIM_14GB_D1_TV_BL2_OF1"</t>
  </si>
  <si>
    <t>14000True"TV Total HD""BLM 10gb""Franquia ilimitada"29.9"OT_MIG_JUL18_FID_4P_PILIM_14GB_D1_TV_BL2_OF1"</t>
  </si>
  <si>
    <t>14000True"TV Total HBOMAX HD""BLM 10gb""Franquia ilimitada"29.9"OT_MIG_JUL18_FID_4P_PILIM_14GB_D1_TV_BL2_OF1"</t>
  </si>
  <si>
    <t>14000True"TV Total Telecine HD""BLM 10gb""Franquia ilimitada"29.9"OT_MIG_JUL18_FID_4P_PILIM_14GB_D1_TV_BL2_OF1"</t>
  </si>
  <si>
    <t>14000True"TV Total Cinema HD""BLM 10gb""Franquia ilimitada"29.9"OT_MIG_JUL18_FID_4P_PILIM_14GB_D1_TV_BL2_OF1"</t>
  </si>
  <si>
    <t>"OT_MIG_JUL18_FID_4P_PILIM_14GB_D1_TV_BL5_CBAS_OF1"</t>
  </si>
  <si>
    <t>14000False"TV Start HD""VX Até 15mb""Franquia ilimitada"29.9"OT_MIG_JUL18_FID_4P_PILIM_14GB_D1_TV_BL5_CBAS_OF1"</t>
  </si>
  <si>
    <t>14000False"TV Mix HD""VX Até 15mb""Franquia ilimitada"29.9"OT_MIG_JUL18_FID_4P_PILIM_14GB_D1_TV_BL5_CBAS_OF1"</t>
  </si>
  <si>
    <t>14000False"TV Mix HBOMAX HD""VX Até 15mb""Franquia ilimitada"29.9"OT_MIG_JUL18_FID_4P_PILIM_14GB_D1_TV_BL5_CBAS_OF1"</t>
  </si>
  <si>
    <t>14000False"TV Mix Telecine HD""VX Até 15mb""Franquia ilimitada"29.9"OT_MIG_JUL18_FID_4P_PILIM_14GB_D1_TV_BL5_CBAS_OF1"</t>
  </si>
  <si>
    <t>14000False"TV Mix Cinema HD""VX Até 15mb""Franquia ilimitada"29.9"OT_MIG_JUL18_FID_4P_PILIM_14GB_D1_TV_BL5_CBAS_OF1"</t>
  </si>
  <si>
    <t>14000False"TV Total HD""VX Até 15mb""Franquia ilimitada"29.9"OT_MIG_JUL18_FID_4P_PILIM_14GB_D1_TV_BL5_CBAS_OF1"</t>
  </si>
  <si>
    <t>14000False"TV Total HBOMAX HD""VX Até 15mb""Franquia ilimitada"29.9"OT_MIG_JUL18_FID_4P_PILIM_14GB_D1_TV_BL5_CBAS_OF1"</t>
  </si>
  <si>
    <t>14000False"TV Total Telecine HD""VX Até 15mb""Franquia ilimitada"29.9"OT_MIG_JUL18_FID_4P_PILIM_14GB_D1_TV_BL5_CBAS_OF1"</t>
  </si>
  <si>
    <t>14000False"TV Total Cinema HD""VX Até 15mb""Franquia ilimitada"29.9"OT_MIG_JUL18_FID_4P_PILIM_14GB_D1_TV_BL5_CBAS_OF1"</t>
  </si>
  <si>
    <t>14000True"TV Total HD""VX Até 15mb""Franquia ilimitada"29.9"OT_MIG_JUL18_FID_4P_PILIM_14GB_D1_TV_BL5_CBAS_OF1"</t>
  </si>
  <si>
    <t>14000True"TV Total HBOMAX HD""VX Até 15mb""Franquia ilimitada"29.9"OT_MIG_JUL18_FID_4P_PILIM_14GB_D1_TV_BL5_CBAS_OF1"</t>
  </si>
  <si>
    <t>14000True"TV Total Telecine HD""VX Até 15mb""Franquia ilimitada"29.9"OT_MIG_JUL18_FID_4P_PILIM_14GB_D1_TV_BL5_CBAS_OF1"</t>
  </si>
  <si>
    <t>14000True"TV Total Cinema HD""VX Até 15mb""Franquia ilimitada"29.9"OT_MIG_JUL18_FID_4P_PILIM_14GB_D1_TV_BL5_CBAS_OF1"</t>
  </si>
  <si>
    <t>14000False"TV Start HD""VX Até 25mb""Franquia ilimitada"29.9"OT_MIG_JUL18_FID_4P_PILIM_14GB_D1_TV_BL5_CBAS_OF1"</t>
  </si>
  <si>
    <t>14000False"TV Mix HD""VX Até 25mb""Franquia ilimitada"29.9"OT_MIG_JUL18_FID_4P_PILIM_14GB_D1_TV_BL5_CBAS_OF1"</t>
  </si>
  <si>
    <t>14000False"TV Mix HBOMAX HD""VX Até 25mb""Franquia ilimitada"29.9"OT_MIG_JUL18_FID_4P_PILIM_14GB_D1_TV_BL5_CBAS_OF1"</t>
  </si>
  <si>
    <t>14000False"TV Mix Telecine HD""VX Até 25mb""Franquia ilimitada"29.9"OT_MIG_JUL18_FID_4P_PILIM_14GB_D1_TV_BL5_CBAS_OF1"</t>
  </si>
  <si>
    <t>14000False"TV Mix Cinema HD""VX Até 25mb""Franquia ilimitada"29.9"OT_MIG_JUL18_FID_4P_PILIM_14GB_D1_TV_BL5_CBAS_OF1"</t>
  </si>
  <si>
    <t>14000False"TV Total HD""VX Até 25mb""Franquia ilimitada"29.9"OT_MIG_JUL18_FID_4P_PILIM_14GB_D1_TV_BL5_CBAS_OF1"</t>
  </si>
  <si>
    <t>14000False"TV Total HBOMAX HD""VX Até 25mb""Franquia ilimitada"29.9"OT_MIG_JUL18_FID_4P_PILIM_14GB_D1_TV_BL5_CBAS_OF1"</t>
  </si>
  <si>
    <t>14000False"TV Total Telecine HD""VX Até 25mb""Franquia ilimitada"29.9"OT_MIG_JUL18_FID_4P_PILIM_14GB_D1_TV_BL5_CBAS_OF1"</t>
  </si>
  <si>
    <t>14000False"TV Total Cinema HD""VX Até 25mb""Franquia ilimitada"29.9"OT_MIG_JUL18_FID_4P_PILIM_14GB_D1_TV_BL5_CBAS_OF1"</t>
  </si>
  <si>
    <t>14000True"TV Total HD""VX Até 25mb""Franquia ilimitada"29.9"OT_MIG_JUL18_FID_4P_PILIM_14GB_D1_TV_BL5_CBAS_OF1"</t>
  </si>
  <si>
    <t>14000True"TV Total HBOMAX HD""VX Até 25mb""Franquia ilimitada"29.9"OT_MIG_JUL18_FID_4P_PILIM_14GB_D1_TV_BL5_CBAS_OF1"</t>
  </si>
  <si>
    <t>14000True"TV Total Telecine HD""VX Até 25mb""Franquia ilimitada"29.9"OT_MIG_JUL18_FID_4P_PILIM_14GB_D1_TV_BL5_CBAS_OF1"</t>
  </si>
  <si>
    <t>14000True"TV Total Cinema HD""VX Até 25mb""Franquia ilimitada"29.9"OT_MIG_JUL18_FID_4P_PILIM_14GB_D1_TV_BL5_CBAS_OF1"</t>
  </si>
  <si>
    <t>14000False"TV Start HD""VX 35mb""Franquia ilimitada"29.9"OT_MIG_JUL18_FID_4P_PILIM_14GB_D1_TV_BL5_CBAS_OF1"</t>
  </si>
  <si>
    <t>14000False"TV Mix HD""VX 35mb""Franquia ilimitada"29.9"OT_MIG_JUL18_FID_4P_PILIM_14GB_D1_TV_BL5_CBAS_OF1"</t>
  </si>
  <si>
    <t>14000False"TV Mix HBOMAX HD""VX 35mb""Franquia ilimitada"29.9"OT_MIG_JUL18_FID_4P_PILIM_14GB_D1_TV_BL5_CBAS_OF1"</t>
  </si>
  <si>
    <t>14000False"TV Mix Telecine HD""VX 35mb""Franquia ilimitada"29.9"OT_MIG_JUL18_FID_4P_PILIM_14GB_D1_TV_BL5_CBAS_OF1"</t>
  </si>
  <si>
    <t>14000False"TV Mix Cinema HD""VX 35mb""Franquia ilimitada"29.9"OT_MIG_JUL18_FID_4P_PILIM_14GB_D1_TV_BL5_CBAS_OF1"</t>
  </si>
  <si>
    <t>14000False"TV Total HD""VX 35mb""Franquia ilimitada"29.9"OT_MIG_JUL18_FID_4P_PILIM_14GB_D1_TV_BL5_CBAS_OF1"</t>
  </si>
  <si>
    <t>14000False"TV Total HBOMAX HD""VX 35mb""Franquia ilimitada"29.9"OT_MIG_JUL18_FID_4P_PILIM_14GB_D1_TV_BL5_CBAS_OF1"</t>
  </si>
  <si>
    <t>14000False"TV Total Telecine HD""VX 35mb""Franquia ilimitada"29.9"OT_MIG_JUL18_FID_4P_PILIM_14GB_D1_TV_BL5_CBAS_OF1"</t>
  </si>
  <si>
    <t>14000False"TV Total Cinema HD""VX 35mb""Franquia ilimitada"29.9"OT_MIG_JUL18_FID_4P_PILIM_14GB_D1_TV_BL5_CBAS_OF1"</t>
  </si>
  <si>
    <t>14000True"TV Total HD""VX 35mb""Franquia ilimitada"29.9"OT_MIG_JUL18_FID_4P_PILIM_14GB_D1_TV_BL5_CBAS_OF1"</t>
  </si>
  <si>
    <t>14000True"TV Total HBOMAX HD""VX 35mb""Franquia ilimitada"29.9"OT_MIG_JUL18_FID_4P_PILIM_14GB_D1_TV_BL5_CBAS_OF1"</t>
  </si>
  <si>
    <t>14000True"TV Total Telecine HD""VX 35mb""Franquia ilimitada"29.9"OT_MIG_JUL18_FID_4P_PILIM_14GB_D1_TV_BL5_CBAS_OF1"</t>
  </si>
  <si>
    <t>14000True"TV Total Cinema HD""VX 35mb""Franquia ilimitada"29.9"OT_MIG_JUL18_FID_4P_PILIM_14GB_D1_TV_BL5_CBAS_OF1"</t>
  </si>
  <si>
    <t>"OT_MIG_JUL18_FID_4P_PILIM_14GB_D2_TV_BL2_OF1"</t>
  </si>
  <si>
    <t>14000False"TV Start HD""VX Até 2mb""Franquia ilimitada"39.9"OT_MIG_JUL18_FID_4P_PILIM_14GB_D2_TV_BL2_OF1"</t>
  </si>
  <si>
    <t>14000False"TV Mix HD""VX Até 2mb""Franquia ilimitada"39.9"OT_MIG_JUL18_FID_4P_PILIM_14GB_D2_TV_BL2_OF1"</t>
  </si>
  <si>
    <t>14000False"TV Mix HBOMAX HD""VX Até 2mb""Franquia ilimitada"39.9"OT_MIG_JUL18_FID_4P_PILIM_14GB_D2_TV_BL2_OF1"</t>
  </si>
  <si>
    <t>14000False"TV Mix Telecine HD""VX Até 2mb""Franquia ilimitada"39.9"OT_MIG_JUL18_FID_4P_PILIM_14GB_D2_TV_BL2_OF1"</t>
  </si>
  <si>
    <t>14000False"TV Mix Cinema HD""VX Até 2mb""Franquia ilimitada"39.9"OT_MIG_JUL18_FID_4P_PILIM_14GB_D2_TV_BL2_OF1"</t>
  </si>
  <si>
    <t>14000False"TV Total HD""VX Até 2mb""Franquia ilimitada"39.9"OT_MIG_JUL18_FID_4P_PILIM_14GB_D2_TV_BL2_OF1"</t>
  </si>
  <si>
    <t>14000False"TV Total HBOMAX HD""VX Até 2mb""Franquia ilimitada"39.9"OT_MIG_JUL18_FID_4P_PILIM_14GB_D2_TV_BL2_OF1"</t>
  </si>
  <si>
    <t>14000False"TV Total Telecine HD""VX Até 2mb""Franquia ilimitada"39.9"OT_MIG_JUL18_FID_4P_PILIM_14GB_D2_TV_BL2_OF1"</t>
  </si>
  <si>
    <t>14000False"TV Total Cinema HD""VX Até 2mb""Franquia ilimitada"39.9"OT_MIG_JUL18_FID_4P_PILIM_14GB_D2_TV_BL2_OF1"</t>
  </si>
  <si>
    <t>14000True"TV Total HD""VX Até 2mb""Franquia ilimitada"39.9"OT_MIG_JUL18_FID_4P_PILIM_14GB_D2_TV_BL2_OF1"</t>
  </si>
  <si>
    <t>14000True"TV Total HBOMAX HD""VX Até 2mb""Franquia ilimitada"39.9"OT_MIG_JUL18_FID_4P_PILIM_14GB_D2_TV_BL2_OF1"</t>
  </si>
  <si>
    <t>14000True"TV Total Telecine HD""VX Até 2mb""Franquia ilimitada"39.9"OT_MIG_JUL18_FID_4P_PILIM_14GB_D2_TV_BL2_OF1"</t>
  </si>
  <si>
    <t>14000True"TV Total Cinema HD""VX Até 2mb""Franquia ilimitada"39.9"OT_MIG_JUL18_FID_4P_PILIM_14GB_D2_TV_BL2_OF1"</t>
  </si>
  <si>
    <t>14000False"TV Start HD""BLM 10gb""Franquia ilimitada"39.9"OT_MIG_JUL18_FID_4P_PILIM_14GB_D2_TV_BL2_OF1"</t>
  </si>
  <si>
    <t>14000False"TV Mix HD""BLM 10gb""Franquia ilimitada"39.9"OT_MIG_JUL18_FID_4P_PILIM_14GB_D2_TV_BL2_OF1"</t>
  </si>
  <si>
    <t>14000False"TV Mix HBOMAX HD""BLM 10gb""Franquia ilimitada"39.9"OT_MIG_JUL18_FID_4P_PILIM_14GB_D2_TV_BL2_OF1"</t>
  </si>
  <si>
    <t>14000False"TV Mix Telecine HD""BLM 10gb""Franquia ilimitada"39.9"OT_MIG_JUL18_FID_4P_PILIM_14GB_D2_TV_BL2_OF1"</t>
  </si>
  <si>
    <t>14000False"TV Mix Cinema HD""BLM 10gb""Franquia ilimitada"39.9"OT_MIG_JUL18_FID_4P_PILIM_14GB_D2_TV_BL2_OF1"</t>
  </si>
  <si>
    <t>14000False"TV Total HD""BLM 10gb""Franquia ilimitada"39.9"OT_MIG_JUL18_FID_4P_PILIM_14GB_D2_TV_BL2_OF1"</t>
  </si>
  <si>
    <t>14000False"TV Total HBOMAX HD""BLM 10gb""Franquia ilimitada"39.9"OT_MIG_JUL18_FID_4P_PILIM_14GB_D2_TV_BL2_OF1"</t>
  </si>
  <si>
    <t>14000False"TV Total Telecine HD""BLM 10gb""Franquia ilimitada"39.9"OT_MIG_JUL18_FID_4P_PILIM_14GB_D2_TV_BL2_OF1"</t>
  </si>
  <si>
    <t>14000False"TV Total Cinema HD""BLM 10gb""Franquia ilimitada"39.9"OT_MIG_JUL18_FID_4P_PILIM_14GB_D2_TV_BL2_OF1"</t>
  </si>
  <si>
    <t>14000True"TV Total HD""BLM 10gb""Franquia ilimitada"39.9"OT_MIG_JUL18_FID_4P_PILIM_14GB_D2_TV_BL2_OF1"</t>
  </si>
  <si>
    <t>14000True"TV Total HBOMAX HD""BLM 10gb""Franquia ilimitada"39.9"OT_MIG_JUL18_FID_4P_PILIM_14GB_D2_TV_BL2_OF1"</t>
  </si>
  <si>
    <t>14000True"TV Total Telecine HD""BLM 10gb""Franquia ilimitada"39.9"OT_MIG_JUL18_FID_4P_PILIM_14GB_D2_TV_BL2_OF1"</t>
  </si>
  <si>
    <t>14000True"TV Total Cinema HD""BLM 10gb""Franquia ilimitada"39.9"OT_MIG_JUL18_FID_4P_PILIM_14GB_D2_TV_BL2_OF1"</t>
  </si>
  <si>
    <t>"OT_MIG_JUL18_FID_4P_PILIM_14GB_D2_TV_BL5_CBAS_OF1"</t>
  </si>
  <si>
    <t>14000False"TV Start HD""VX Até 15mb""Franquia ilimitada"39.9"OT_MIG_JUL18_FID_4P_PILIM_14GB_D2_TV_BL5_CBAS_OF1"</t>
  </si>
  <si>
    <t>14000False"TV Mix HD""VX Até 15mb""Franquia ilimitada"39.9"OT_MIG_JUL18_FID_4P_PILIM_14GB_D2_TV_BL5_CBAS_OF1"</t>
  </si>
  <si>
    <t>14000False"TV Mix HBOMAX HD""VX Até 15mb""Franquia ilimitada"39.9"OT_MIG_JUL18_FID_4P_PILIM_14GB_D2_TV_BL5_CBAS_OF1"</t>
  </si>
  <si>
    <t>14000False"TV Mix Telecine HD""VX Até 15mb""Franquia ilimitada"39.9"OT_MIG_JUL18_FID_4P_PILIM_14GB_D2_TV_BL5_CBAS_OF1"</t>
  </si>
  <si>
    <t>14000False"TV Mix Cinema HD""VX Até 15mb""Franquia ilimitada"39.9"OT_MIG_JUL18_FID_4P_PILIM_14GB_D2_TV_BL5_CBAS_OF1"</t>
  </si>
  <si>
    <t>14000False"TV Total HD""VX Até 15mb""Franquia ilimitada"39.9"OT_MIG_JUL18_FID_4P_PILIM_14GB_D2_TV_BL5_CBAS_OF1"</t>
  </si>
  <si>
    <t>14000False"TV Total HBOMAX HD""VX Até 15mb""Franquia ilimitada"39.9"OT_MIG_JUL18_FID_4P_PILIM_14GB_D2_TV_BL5_CBAS_OF1"</t>
  </si>
  <si>
    <t>14000False"TV Total Telecine HD""VX Até 15mb""Franquia ilimitada"39.9"OT_MIG_JUL18_FID_4P_PILIM_14GB_D2_TV_BL5_CBAS_OF1"</t>
  </si>
  <si>
    <t>14000False"TV Total Cinema HD""VX Até 15mb""Franquia ilimitada"39.9"OT_MIG_JUL18_FID_4P_PILIM_14GB_D2_TV_BL5_CBAS_OF1"</t>
  </si>
  <si>
    <t>14000True"TV Total HD""VX Até 15mb""Franquia ilimitada"39.9"OT_MIG_JUL18_FID_4P_PILIM_14GB_D2_TV_BL5_CBAS_OF1"</t>
  </si>
  <si>
    <t>14000True"TV Total HBOMAX HD""VX Até 15mb""Franquia ilimitada"39.9"OT_MIG_JUL18_FID_4P_PILIM_14GB_D2_TV_BL5_CBAS_OF1"</t>
  </si>
  <si>
    <t>14000True"TV Total Telecine HD""VX Até 15mb""Franquia ilimitada"39.9"OT_MIG_JUL18_FID_4P_PILIM_14GB_D2_TV_BL5_CBAS_OF1"</t>
  </si>
  <si>
    <t>14000True"TV Total Cinema HD""VX Até 15mb""Franquia ilimitada"39.9"OT_MIG_JUL18_FID_4P_PILIM_14GB_D2_TV_BL5_CBAS_OF1"</t>
  </si>
  <si>
    <t>14000False"TV Start HD""VX Até 25mb""Franquia ilimitada"39.9"OT_MIG_JUL18_FID_4P_PILIM_14GB_D2_TV_BL5_CBAS_OF1"</t>
  </si>
  <si>
    <t>14000False"TV Mix HD""VX Até 25mb""Franquia ilimitada"39.9"OT_MIG_JUL18_FID_4P_PILIM_14GB_D2_TV_BL5_CBAS_OF1"</t>
  </si>
  <si>
    <t>14000False"TV Mix HBOMAX HD""VX Até 25mb""Franquia ilimitada"39.9"OT_MIG_JUL18_FID_4P_PILIM_14GB_D2_TV_BL5_CBAS_OF1"</t>
  </si>
  <si>
    <t>14000False"TV Mix Telecine HD""VX Até 25mb""Franquia ilimitada"39.9"OT_MIG_JUL18_FID_4P_PILIM_14GB_D2_TV_BL5_CBAS_OF1"</t>
  </si>
  <si>
    <t>14000False"TV Mix Cinema HD""VX Até 25mb""Franquia ilimitada"39.9"OT_MIG_JUL18_FID_4P_PILIM_14GB_D2_TV_BL5_CBAS_OF1"</t>
  </si>
  <si>
    <t>14000False"TV Total HD""VX Até 25mb""Franquia ilimitada"39.9"OT_MIG_JUL18_FID_4P_PILIM_14GB_D2_TV_BL5_CBAS_OF1"</t>
  </si>
  <si>
    <t>14000False"TV Total HBOMAX HD""VX Até 25mb""Franquia ilimitada"39.9"OT_MIG_JUL18_FID_4P_PILIM_14GB_D2_TV_BL5_CBAS_OF1"</t>
  </si>
  <si>
    <t>14000False"TV Total Telecine HD""VX Até 25mb""Franquia ilimitada"39.9"OT_MIG_JUL18_FID_4P_PILIM_14GB_D2_TV_BL5_CBAS_OF1"</t>
  </si>
  <si>
    <t>14000False"TV Total Cinema HD""VX Até 25mb""Franquia ilimitada"39.9"OT_MIG_JUL18_FID_4P_PILIM_14GB_D2_TV_BL5_CBAS_OF1"</t>
  </si>
  <si>
    <t>14000True"TV Total HD""VX Até 25mb""Franquia ilimitada"39.9"OT_MIG_JUL18_FID_4P_PILIM_14GB_D2_TV_BL5_CBAS_OF1"</t>
  </si>
  <si>
    <t>14000True"TV Total HBOMAX HD""VX Até 25mb""Franquia ilimitada"39.9"OT_MIG_JUL18_FID_4P_PILIM_14GB_D2_TV_BL5_CBAS_OF1"</t>
  </si>
  <si>
    <t>14000True"TV Total Telecine HD""VX Até 25mb""Franquia ilimitada"39.9"OT_MIG_JUL18_FID_4P_PILIM_14GB_D2_TV_BL5_CBAS_OF1"</t>
  </si>
  <si>
    <t>14000True"TV Total Cinema HD""VX Até 25mb""Franquia ilimitada"39.9"OT_MIG_JUL18_FID_4P_PILIM_14GB_D2_TV_BL5_CBAS_OF1"</t>
  </si>
  <si>
    <t>14000False"TV Start HD""VX 35mb""Franquia ilimitada"39.9"OT_MIG_JUL18_FID_4P_PILIM_14GB_D2_TV_BL5_CBAS_OF1"</t>
  </si>
  <si>
    <t>14000False"TV Mix HD""VX 35mb""Franquia ilimitada"39.9"OT_MIG_JUL18_FID_4P_PILIM_14GB_D2_TV_BL5_CBAS_OF1"</t>
  </si>
  <si>
    <t>14000False"TV Mix HBOMAX HD""VX 35mb""Franquia ilimitada"39.9"OT_MIG_JUL18_FID_4P_PILIM_14GB_D2_TV_BL5_CBAS_OF1"</t>
  </si>
  <si>
    <t>14000False"TV Mix Telecine HD""VX 35mb""Franquia ilimitada"39.9"OT_MIG_JUL18_FID_4P_PILIM_14GB_D2_TV_BL5_CBAS_OF1"</t>
  </si>
  <si>
    <t>14000False"TV Mix Cinema HD""VX 35mb""Franquia ilimitada"39.9"OT_MIG_JUL18_FID_4P_PILIM_14GB_D2_TV_BL5_CBAS_OF1"</t>
  </si>
  <si>
    <t>14000False"TV Total HD""VX 35mb""Franquia ilimitada"39.9"OT_MIG_JUL18_FID_4P_PILIM_14GB_D2_TV_BL5_CBAS_OF1"</t>
  </si>
  <si>
    <t>14000False"TV Total HBOMAX HD""VX 35mb""Franquia ilimitada"39.9"OT_MIG_JUL18_FID_4P_PILIM_14GB_D2_TV_BL5_CBAS_OF1"</t>
  </si>
  <si>
    <t>14000False"TV Total Telecine HD""VX 35mb""Franquia ilimitada"39.9"OT_MIG_JUL18_FID_4P_PILIM_14GB_D2_TV_BL5_CBAS_OF1"</t>
  </si>
  <si>
    <t>14000False"TV Total Cinema HD""VX 35mb""Franquia ilimitada"39.9"OT_MIG_JUL18_FID_4P_PILIM_14GB_D2_TV_BL5_CBAS_OF1"</t>
  </si>
  <si>
    <t>14000True"TV Total HD""VX 35mb""Franquia ilimitada"39.9"OT_MIG_JUL18_FID_4P_PILIM_14GB_D2_TV_BL5_CBAS_OF1"</t>
  </si>
  <si>
    <t>14000True"TV Total HBOMAX HD""VX 35mb""Franquia ilimitada"39.9"OT_MIG_JUL18_FID_4P_PILIM_14GB_D2_TV_BL5_CBAS_OF1"</t>
  </si>
  <si>
    <t>14000True"TV Total Telecine HD""VX 35mb""Franquia ilimitada"39.9"OT_MIG_JUL18_FID_4P_PILIM_14GB_D2_TV_BL5_CBAS_OF1"</t>
  </si>
  <si>
    <t>14000True"TV Total Cinema HD""VX 35mb""Franquia ilimitada"39.9"OT_MIG_JUL18_FID_4P_PILIM_14GB_D2_TV_BL5_CBAS_OF1"</t>
  </si>
  <si>
    <t>"OT_MIG_JUL18_FID_4P_PILIM_14GB_D1_LV_BL2_OF1"</t>
  </si>
  <si>
    <t>14000False"TV Livre HD""VX Até 2mb""Franquia ilimitada"29.9"OT_MIG_JUL18_FID_4P_PILIM_14GB_D1_LV_BL2_OF1"</t>
  </si>
  <si>
    <t>14000False"TV Livre HD""BLM 10gb""Franquia ilimitada"29.9"OT_MIG_JUL18_FID_4P_PILIM_14GB_D1_LV_BL2_OF1"</t>
  </si>
  <si>
    <t>"OT_MIG_JUL18_FID_4P_PILIM_14GB_D1_LV_BL5_CBAS_OF1"</t>
  </si>
  <si>
    <t>14000False"TV Livre HD""VX Até 15mb""Franquia ilimitada"29.9"OT_MIG_JUL18_FID_4P_PILIM_14GB_D1_LV_BL5_CBAS_OF1"</t>
  </si>
  <si>
    <t>14000False"TV Livre HD""VX Até 25mb""Franquia ilimitada"29.9"OT_MIG_JUL18_FID_4P_PILIM_14GB_D1_LV_BL5_CBAS_OF1"</t>
  </si>
  <si>
    <t>14000False"TV Livre HD""VX 35mb""Franquia ilimitada"29.9"OT_MIG_JUL18_FID_4P_PILIM_14GB_D1_LV_BL5_CBAS_OF1"</t>
  </si>
  <si>
    <t>"OT_MIG_JUL18_FID_4P_PILIM_14GB_D2_LV_BL2_OF1"</t>
  </si>
  <si>
    <t>14000False"TV Livre HD""VX Até 2mb""Franquia ilimitada"39.9"OT_MIG_JUL18_FID_4P_PILIM_14GB_D2_LV_BL2_OF1"</t>
  </si>
  <si>
    <t>14000False"TV Livre HD""BLM 10gb""Franquia ilimitada"39.9"OT_MIG_JUL18_FID_4P_PILIM_14GB_D2_LV_BL2_OF1"</t>
  </si>
  <si>
    <t>"OT_MIG_JUL18_FID_4P_PILIM_14GB_D2_LV_BL5_CBAS_OF1"</t>
  </si>
  <si>
    <t>14000False"TV Livre HD""VX Até 15mb""Franquia ilimitada"39.9"OT_MIG_JUL18_FID_4P_PILIM_14GB_D2_LV_BL5_CBAS_OF1"</t>
  </si>
  <si>
    <t>14000False"TV Livre HD""VX Até 25mb""Franquia ilimitada"39.9"OT_MIG_JUL18_FID_4P_PILIM_14GB_D2_LV_BL5_CBAS_OF1"</t>
  </si>
  <si>
    <t>14000False"TV Livre HD""VX 35mb""Franquia ilimitada"39.9"OT_MIG_JUL18_FID_4P_PILIM_14GB_D2_LV_BL5_CBAS_OF1"</t>
  </si>
  <si>
    <t>"OT_MIG_JUL18_FID_4P_PILIM_14GB_D1_TV_BL2_OF4"</t>
  </si>
  <si>
    <t>14000False"TV Start HD""VX Até 2mb""Franquia ilimitada"29.9"OT_MIG_JUL18_FID_4P_PILIM_14GB_D1_TV_BL2_OF4"</t>
  </si>
  <si>
    <t>14000False"TV Mix HD""VX Até 2mb""Franquia ilimitada"29.9"OT_MIG_JUL18_FID_4P_PILIM_14GB_D1_TV_BL2_OF4"</t>
  </si>
  <si>
    <t>14000False"TV Mix HBOMAX HD""VX Até 2mb""Franquia ilimitada"29.9"OT_MIG_JUL18_FID_4P_PILIM_14GB_D1_TV_BL2_OF4"</t>
  </si>
  <si>
    <t>14000False"TV Mix Telecine HD""VX Até 2mb""Franquia ilimitada"29.9"OT_MIG_JUL18_FID_4P_PILIM_14GB_D1_TV_BL2_OF4"</t>
  </si>
  <si>
    <t>14000False"TV Mix Cinema HD""VX Até 2mb""Franquia ilimitada"29.9"OT_MIG_JUL18_FID_4P_PILIM_14GB_D1_TV_BL2_OF4"</t>
  </si>
  <si>
    <t>14000False"TV Total HD""VX Até 2mb""Franquia ilimitada"29.9"OT_MIG_JUL18_FID_4P_PILIM_14GB_D1_TV_BL2_OF4"</t>
  </si>
  <si>
    <t>14000False"TV Total HBOMAX HD""VX Até 2mb""Franquia ilimitada"29.9"OT_MIG_JUL18_FID_4P_PILIM_14GB_D1_TV_BL2_OF4"</t>
  </si>
  <si>
    <t>14000False"TV Total Telecine HD""VX Até 2mb""Franquia ilimitada"29.9"OT_MIG_JUL18_FID_4P_PILIM_14GB_D1_TV_BL2_OF4"</t>
  </si>
  <si>
    <t>14000False"TV Total Cinema HD""VX Até 2mb""Franquia ilimitada"29.9"OT_MIG_JUL18_FID_4P_PILIM_14GB_D1_TV_BL2_OF4"</t>
  </si>
  <si>
    <t>14000True"TV Total HD""VX Até 2mb""Franquia ilimitada"29.9"OT_MIG_JUL18_FID_4P_PILIM_14GB_D1_TV_BL2_OF4"</t>
  </si>
  <si>
    <t>14000True"TV Total HBOMAX HD""VX Até 2mb""Franquia ilimitada"29.9"OT_MIG_JUL18_FID_4P_PILIM_14GB_D1_TV_BL2_OF4"</t>
  </si>
  <si>
    <t>14000True"TV Total Telecine HD""VX Até 2mb""Franquia ilimitada"29.9"OT_MIG_JUL18_FID_4P_PILIM_14GB_D1_TV_BL2_OF4"</t>
  </si>
  <si>
    <t>14000True"TV Total Cinema HD""VX Até 2mb""Franquia ilimitada"29.9"OT_MIG_JUL18_FID_4P_PILIM_14GB_D1_TV_BL2_OF4"</t>
  </si>
  <si>
    <t>14000False"TV Start HD""BLM 10gb""Franquia ilimitada"29.9"OT_MIG_JUL18_FID_4P_PILIM_14GB_D1_TV_BL2_OF4"</t>
  </si>
  <si>
    <t>14000False"TV Mix HD""BLM 10gb""Franquia ilimitada"29.9"OT_MIG_JUL18_FID_4P_PILIM_14GB_D1_TV_BL2_OF4"</t>
  </si>
  <si>
    <t>14000False"TV Mix HBOMAX HD""BLM 10gb""Franquia ilimitada"29.9"OT_MIG_JUL18_FID_4P_PILIM_14GB_D1_TV_BL2_OF4"</t>
  </si>
  <si>
    <t>14000False"TV Mix Telecine HD""BLM 10gb""Franquia ilimitada"29.9"OT_MIG_JUL18_FID_4P_PILIM_14GB_D1_TV_BL2_OF4"</t>
  </si>
  <si>
    <t>14000False"TV Mix Cinema HD""BLM 10gb""Franquia ilimitada"29.9"OT_MIG_JUL18_FID_4P_PILIM_14GB_D1_TV_BL2_OF4"</t>
  </si>
  <si>
    <t>14000False"TV Total HD""BLM 10gb""Franquia ilimitada"29.9"OT_MIG_JUL18_FID_4P_PILIM_14GB_D1_TV_BL2_OF4"</t>
  </si>
  <si>
    <t>14000False"TV Total HBOMAX HD""BLM 10gb""Franquia ilimitada"29.9"OT_MIG_JUL18_FID_4P_PILIM_14GB_D1_TV_BL2_OF4"</t>
  </si>
  <si>
    <t>14000False"TV Total Telecine HD""BLM 10gb""Franquia ilimitada"29.9"OT_MIG_JUL18_FID_4P_PILIM_14GB_D1_TV_BL2_OF4"</t>
  </si>
  <si>
    <t>14000False"TV Total Cinema HD""BLM 10gb""Franquia ilimitada"29.9"OT_MIG_JUL18_FID_4P_PILIM_14GB_D1_TV_BL2_OF4"</t>
  </si>
  <si>
    <t>14000True"TV Total HD""BLM 10gb""Franquia ilimitada"29.9"OT_MIG_JUL18_FID_4P_PILIM_14GB_D1_TV_BL2_OF4"</t>
  </si>
  <si>
    <t>14000True"TV Total HBOMAX HD""BLM 10gb""Franquia ilimitada"29.9"OT_MIG_JUL18_FID_4P_PILIM_14GB_D1_TV_BL2_OF4"</t>
  </si>
  <si>
    <t>14000True"TV Total Telecine HD""BLM 10gb""Franquia ilimitada"29.9"OT_MIG_JUL18_FID_4P_PILIM_14GB_D1_TV_BL2_OF4"</t>
  </si>
  <si>
    <t>14000True"TV Total Cinema HD""BLM 10gb""Franquia ilimitada"29.9"OT_MIG_JUL18_FID_4P_PILIM_14GB_D1_TV_BL2_OF4"</t>
  </si>
  <si>
    <t>"OT_MIG_JUL18_FID_4P_PILIM_14GB_D1_TV_BL5_CBAS_OF4"</t>
  </si>
  <si>
    <t>14000False"TV Start HD""VX Até 15mb""Franquia ilimitada"29.9"OT_MIG_JUL18_FID_4P_PILIM_14GB_D1_TV_BL5_CBAS_OF4"</t>
  </si>
  <si>
    <t>14000False"TV Mix HD""VX Até 15mb""Franquia ilimitada"29.9"OT_MIG_JUL18_FID_4P_PILIM_14GB_D1_TV_BL5_CBAS_OF4"</t>
  </si>
  <si>
    <t>14000False"TV Mix HBOMAX HD""VX Até 15mb""Franquia ilimitada"29.9"OT_MIG_JUL18_FID_4P_PILIM_14GB_D1_TV_BL5_CBAS_OF4"</t>
  </si>
  <si>
    <t>14000False"TV Mix Telecine HD""VX Até 15mb""Franquia ilimitada"29.9"OT_MIG_JUL18_FID_4P_PILIM_14GB_D1_TV_BL5_CBAS_OF4"</t>
  </si>
  <si>
    <t>14000False"TV Mix Cinema HD""VX Até 15mb""Franquia ilimitada"29.9"OT_MIG_JUL18_FID_4P_PILIM_14GB_D1_TV_BL5_CBAS_OF4"</t>
  </si>
  <si>
    <t>14000False"TV Total HD""VX Até 15mb""Franquia ilimitada"29.9"OT_MIG_JUL18_FID_4P_PILIM_14GB_D1_TV_BL5_CBAS_OF4"</t>
  </si>
  <si>
    <t>14000False"TV Total HBOMAX HD""VX Até 15mb""Franquia ilimitada"29.9"OT_MIG_JUL18_FID_4P_PILIM_14GB_D1_TV_BL5_CBAS_OF4"</t>
  </si>
  <si>
    <t>14000False"TV Total Telecine HD""VX Até 15mb""Franquia ilimitada"29.9"OT_MIG_JUL18_FID_4P_PILIM_14GB_D1_TV_BL5_CBAS_OF4"</t>
  </si>
  <si>
    <t>14000False"TV Total Cinema HD""VX Até 15mb""Franquia ilimitada"29.9"OT_MIG_JUL18_FID_4P_PILIM_14GB_D1_TV_BL5_CBAS_OF4"</t>
  </si>
  <si>
    <t>14000True"TV Total HD""VX Até 15mb""Franquia ilimitada"29.9"OT_MIG_JUL18_FID_4P_PILIM_14GB_D1_TV_BL5_CBAS_OF4"</t>
  </si>
  <si>
    <t>14000True"TV Total HBOMAX HD""VX Até 15mb""Franquia ilimitada"29.9"OT_MIG_JUL18_FID_4P_PILIM_14GB_D1_TV_BL5_CBAS_OF4"</t>
  </si>
  <si>
    <t>14000True"TV Total Telecine HD""VX Até 15mb""Franquia ilimitada"29.9"OT_MIG_JUL18_FID_4P_PILIM_14GB_D1_TV_BL5_CBAS_OF4"</t>
  </si>
  <si>
    <t>14000True"TV Total Cinema HD""VX Até 15mb""Franquia ilimitada"29.9"OT_MIG_JUL18_FID_4P_PILIM_14GB_D1_TV_BL5_CBAS_OF4"</t>
  </si>
  <si>
    <t>14000False"TV Start HD""VX Até 25mb""Franquia ilimitada"29.9"OT_MIG_JUL18_FID_4P_PILIM_14GB_D1_TV_BL5_CBAS_OF4"</t>
  </si>
  <si>
    <t>14000False"TV Mix HD""VX Até 25mb""Franquia ilimitada"29.9"OT_MIG_JUL18_FID_4P_PILIM_14GB_D1_TV_BL5_CBAS_OF4"</t>
  </si>
  <si>
    <t>14000False"TV Mix HBOMAX HD""VX Até 25mb""Franquia ilimitada"29.9"OT_MIG_JUL18_FID_4P_PILIM_14GB_D1_TV_BL5_CBAS_OF4"</t>
  </si>
  <si>
    <t>14000False"TV Mix Telecine HD""VX Até 25mb""Franquia ilimitada"29.9"OT_MIG_JUL18_FID_4P_PILIM_14GB_D1_TV_BL5_CBAS_OF4"</t>
  </si>
  <si>
    <t>14000False"TV Mix Cinema HD""VX Até 25mb""Franquia ilimitada"29.9"OT_MIG_JUL18_FID_4P_PILIM_14GB_D1_TV_BL5_CBAS_OF4"</t>
  </si>
  <si>
    <t>14000False"TV Total HD""VX Até 25mb""Franquia ilimitada"29.9"OT_MIG_JUL18_FID_4P_PILIM_14GB_D1_TV_BL5_CBAS_OF4"</t>
  </si>
  <si>
    <t>14000False"TV Total HBOMAX HD""VX Até 25mb""Franquia ilimitada"29.9"OT_MIG_JUL18_FID_4P_PILIM_14GB_D1_TV_BL5_CBAS_OF4"</t>
  </si>
  <si>
    <t>14000False"TV Total Telecine HD""VX Até 25mb""Franquia ilimitada"29.9"OT_MIG_JUL18_FID_4P_PILIM_14GB_D1_TV_BL5_CBAS_OF4"</t>
  </si>
  <si>
    <t>14000False"TV Total Cinema HD""VX Até 25mb""Franquia ilimitada"29.9"OT_MIG_JUL18_FID_4P_PILIM_14GB_D1_TV_BL5_CBAS_OF4"</t>
  </si>
  <si>
    <t>14000True"TV Total HD""VX Até 25mb""Franquia ilimitada"29.9"OT_MIG_JUL18_FID_4P_PILIM_14GB_D1_TV_BL5_CBAS_OF4"</t>
  </si>
  <si>
    <t>14000True"TV Total HBOMAX HD""VX Até 25mb""Franquia ilimitada"29.9"OT_MIG_JUL18_FID_4P_PILIM_14GB_D1_TV_BL5_CBAS_OF4"</t>
  </si>
  <si>
    <t>14000True"TV Total Telecine HD""VX Até 25mb""Franquia ilimitada"29.9"OT_MIG_JUL18_FID_4P_PILIM_14GB_D1_TV_BL5_CBAS_OF4"</t>
  </si>
  <si>
    <t>14000True"TV Total Cinema HD""VX Até 25mb""Franquia ilimitada"29.9"OT_MIG_JUL18_FID_4P_PILIM_14GB_D1_TV_BL5_CBAS_OF4"</t>
  </si>
  <si>
    <t>14000False"TV Start HD""VX 35mb""Franquia ilimitada"29.9"OT_MIG_JUL18_FID_4P_PILIM_14GB_D1_TV_BL5_CBAS_OF4"</t>
  </si>
  <si>
    <t>14000False"TV Mix HD""VX 35mb""Franquia ilimitada"29.9"OT_MIG_JUL18_FID_4P_PILIM_14GB_D1_TV_BL5_CBAS_OF4"</t>
  </si>
  <si>
    <t>14000False"TV Mix HBOMAX HD""VX 35mb""Franquia ilimitada"29.9"OT_MIG_JUL18_FID_4P_PILIM_14GB_D1_TV_BL5_CBAS_OF4"</t>
  </si>
  <si>
    <t>14000False"TV Mix Telecine HD""VX 35mb""Franquia ilimitada"29.9"OT_MIG_JUL18_FID_4P_PILIM_14GB_D1_TV_BL5_CBAS_OF4"</t>
  </si>
  <si>
    <t>14000False"TV Mix Cinema HD""VX 35mb""Franquia ilimitada"29.9"OT_MIG_JUL18_FID_4P_PILIM_14GB_D1_TV_BL5_CBAS_OF4"</t>
  </si>
  <si>
    <t>14000False"TV Total HD""VX 35mb""Franquia ilimitada"29.9"OT_MIG_JUL18_FID_4P_PILIM_14GB_D1_TV_BL5_CBAS_OF4"</t>
  </si>
  <si>
    <t>14000False"TV Total HBOMAX HD""VX 35mb""Franquia ilimitada"29.9"OT_MIG_JUL18_FID_4P_PILIM_14GB_D1_TV_BL5_CBAS_OF4"</t>
  </si>
  <si>
    <t>14000False"TV Total Telecine HD""VX 35mb""Franquia ilimitada"29.9"OT_MIG_JUL18_FID_4P_PILIM_14GB_D1_TV_BL5_CBAS_OF4"</t>
  </si>
  <si>
    <t>14000False"TV Total Cinema HD""VX 35mb""Franquia ilimitada"29.9"OT_MIG_JUL18_FID_4P_PILIM_14GB_D1_TV_BL5_CBAS_OF4"</t>
  </si>
  <si>
    <t>14000True"TV Total HD""VX 35mb""Franquia ilimitada"29.9"OT_MIG_JUL18_FID_4P_PILIM_14GB_D1_TV_BL5_CBAS_OF4"</t>
  </si>
  <si>
    <t>14000True"TV Total HBOMAX HD""VX 35mb""Franquia ilimitada"29.9"OT_MIG_JUL18_FID_4P_PILIM_14GB_D1_TV_BL5_CBAS_OF4"</t>
  </si>
  <si>
    <t>14000True"TV Total Telecine HD""VX 35mb""Franquia ilimitada"29.9"OT_MIG_JUL18_FID_4P_PILIM_14GB_D1_TV_BL5_CBAS_OF4"</t>
  </si>
  <si>
    <t>14000True"TV Total Cinema HD""VX 35mb""Franquia ilimitada"29.9"OT_MIG_JUL18_FID_4P_PILIM_14GB_D1_TV_BL5_CBAS_OF4"</t>
  </si>
  <si>
    <t>"OT_MIG_JUL18_FID_4P_PILIM_14GB_D2_TV_BL2_OF4"</t>
  </si>
  <si>
    <t>14000False"TV Start HD""VX Até 2mb""Franquia ilimitada"39.9"OT_MIG_JUL18_FID_4P_PILIM_14GB_D2_TV_BL2_OF4"</t>
  </si>
  <si>
    <t>14000False"TV Mix HD""VX Até 2mb""Franquia ilimitada"39.9"OT_MIG_JUL18_FID_4P_PILIM_14GB_D2_TV_BL2_OF4"</t>
  </si>
  <si>
    <t>14000False"TV Mix HBOMAX HD""VX Até 2mb""Franquia ilimitada"39.9"OT_MIG_JUL18_FID_4P_PILIM_14GB_D2_TV_BL2_OF4"</t>
  </si>
  <si>
    <t>14000False"TV Mix Telecine HD""VX Até 2mb""Franquia ilimitada"39.9"OT_MIG_JUL18_FID_4P_PILIM_14GB_D2_TV_BL2_OF4"</t>
  </si>
  <si>
    <t>14000False"TV Mix Cinema HD""VX Até 2mb""Franquia ilimitada"39.9"OT_MIG_JUL18_FID_4P_PILIM_14GB_D2_TV_BL2_OF4"</t>
  </si>
  <si>
    <t>14000False"TV Total HD""VX Até 2mb""Franquia ilimitada"39.9"OT_MIG_JUL18_FID_4P_PILIM_14GB_D2_TV_BL2_OF4"</t>
  </si>
  <si>
    <t>14000False"TV Total HBOMAX HD""VX Até 2mb""Franquia ilimitada"39.9"OT_MIG_JUL18_FID_4P_PILIM_14GB_D2_TV_BL2_OF4"</t>
  </si>
  <si>
    <t>14000False"TV Total Telecine HD""VX Até 2mb""Franquia ilimitada"39.9"OT_MIG_JUL18_FID_4P_PILIM_14GB_D2_TV_BL2_OF4"</t>
  </si>
  <si>
    <t>14000False"TV Total Cinema HD""VX Até 2mb""Franquia ilimitada"39.9"OT_MIG_JUL18_FID_4P_PILIM_14GB_D2_TV_BL2_OF4"</t>
  </si>
  <si>
    <t>14000True"TV Total HD""VX Até 2mb""Franquia ilimitada"39.9"OT_MIG_JUL18_FID_4P_PILIM_14GB_D2_TV_BL2_OF4"</t>
  </si>
  <si>
    <t>14000True"TV Total HBOMAX HD""VX Até 2mb""Franquia ilimitada"39.9"OT_MIG_JUL18_FID_4P_PILIM_14GB_D2_TV_BL2_OF4"</t>
  </si>
  <si>
    <t>14000True"TV Total Telecine HD""VX Até 2mb""Franquia ilimitada"39.9"OT_MIG_JUL18_FID_4P_PILIM_14GB_D2_TV_BL2_OF4"</t>
  </si>
  <si>
    <t>14000True"TV Total Cinema HD""VX Até 2mb""Franquia ilimitada"39.9"OT_MIG_JUL18_FID_4P_PILIM_14GB_D2_TV_BL2_OF4"</t>
  </si>
  <si>
    <t>14000False"TV Start HD""BLM 10gb""Franquia ilimitada"39.9"OT_MIG_JUL18_FID_4P_PILIM_14GB_D2_TV_BL2_OF4"</t>
  </si>
  <si>
    <t>14000False"TV Mix HD""BLM 10gb""Franquia ilimitada"39.9"OT_MIG_JUL18_FID_4P_PILIM_14GB_D2_TV_BL2_OF4"</t>
  </si>
  <si>
    <t>14000False"TV Mix HBOMAX HD""BLM 10gb""Franquia ilimitada"39.9"OT_MIG_JUL18_FID_4P_PILIM_14GB_D2_TV_BL2_OF4"</t>
  </si>
  <si>
    <t>14000False"TV Mix Telecine HD""BLM 10gb""Franquia ilimitada"39.9"OT_MIG_JUL18_FID_4P_PILIM_14GB_D2_TV_BL2_OF4"</t>
  </si>
  <si>
    <t>14000False"TV Mix Cinema HD""BLM 10gb""Franquia ilimitada"39.9"OT_MIG_JUL18_FID_4P_PILIM_14GB_D2_TV_BL2_OF4"</t>
  </si>
  <si>
    <t>14000False"TV Total HD""BLM 10gb""Franquia ilimitada"39.9"OT_MIG_JUL18_FID_4P_PILIM_14GB_D2_TV_BL2_OF4"</t>
  </si>
  <si>
    <t>14000False"TV Total HBOMAX HD""BLM 10gb""Franquia ilimitada"39.9"OT_MIG_JUL18_FID_4P_PILIM_14GB_D2_TV_BL2_OF4"</t>
  </si>
  <si>
    <t>14000False"TV Total Telecine HD""BLM 10gb""Franquia ilimitada"39.9"OT_MIG_JUL18_FID_4P_PILIM_14GB_D2_TV_BL2_OF4"</t>
  </si>
  <si>
    <t>14000False"TV Total Cinema HD""BLM 10gb""Franquia ilimitada"39.9"OT_MIG_JUL18_FID_4P_PILIM_14GB_D2_TV_BL2_OF4"</t>
  </si>
  <si>
    <t>14000True"TV Total HD""BLM 10gb""Franquia ilimitada"39.9"OT_MIG_JUL18_FID_4P_PILIM_14GB_D2_TV_BL2_OF4"</t>
  </si>
  <si>
    <t>14000True"TV Total HBOMAX HD""BLM 10gb""Franquia ilimitada"39.9"OT_MIG_JUL18_FID_4P_PILIM_14GB_D2_TV_BL2_OF4"</t>
  </si>
  <si>
    <t>14000True"TV Total Telecine HD""BLM 10gb""Franquia ilimitada"39.9"OT_MIG_JUL18_FID_4P_PILIM_14GB_D2_TV_BL2_OF4"</t>
  </si>
  <si>
    <t>14000True"TV Total Cinema HD""BLM 10gb""Franquia ilimitada"39.9"OT_MIG_JUL18_FID_4P_PILIM_14GB_D2_TV_BL2_OF4"</t>
  </si>
  <si>
    <t>"OT_MIG_JUL18_FID_4P_PILIM_14GB_D2_TV_BL5_CBAS_OF4"</t>
  </si>
  <si>
    <t>14000False"TV Start HD""VX Até 15mb""Franquia ilimitada"39.9"OT_MIG_JUL18_FID_4P_PILIM_14GB_D2_TV_BL5_CBAS_OF4"</t>
  </si>
  <si>
    <t>14000False"TV Mix HD""VX Até 15mb""Franquia ilimitada"39.9"OT_MIG_JUL18_FID_4P_PILIM_14GB_D2_TV_BL5_CBAS_OF4"</t>
  </si>
  <si>
    <t>14000False"TV Mix HBOMAX HD""VX Até 15mb""Franquia ilimitada"39.9"OT_MIG_JUL18_FID_4P_PILIM_14GB_D2_TV_BL5_CBAS_OF4"</t>
  </si>
  <si>
    <t>14000False"TV Mix Telecine HD""VX Até 15mb""Franquia ilimitada"39.9"OT_MIG_JUL18_FID_4P_PILIM_14GB_D2_TV_BL5_CBAS_OF4"</t>
  </si>
  <si>
    <t>14000False"TV Mix Cinema HD""VX Até 15mb""Franquia ilimitada"39.9"OT_MIG_JUL18_FID_4P_PILIM_14GB_D2_TV_BL5_CBAS_OF4"</t>
  </si>
  <si>
    <t>14000False"TV Total HD""VX Até 15mb""Franquia ilimitada"39.9"OT_MIG_JUL18_FID_4P_PILIM_14GB_D2_TV_BL5_CBAS_OF4"</t>
  </si>
  <si>
    <t>14000False"TV Total HBOMAX HD""VX Até 15mb""Franquia ilimitada"39.9"OT_MIG_JUL18_FID_4P_PILIM_14GB_D2_TV_BL5_CBAS_OF4"</t>
  </si>
  <si>
    <t>14000False"TV Total Telecine HD""VX Até 15mb""Franquia ilimitada"39.9"OT_MIG_JUL18_FID_4P_PILIM_14GB_D2_TV_BL5_CBAS_OF4"</t>
  </si>
  <si>
    <t>14000False"TV Total Cinema HD""VX Até 15mb""Franquia ilimitada"39.9"OT_MIG_JUL18_FID_4P_PILIM_14GB_D2_TV_BL5_CBAS_OF4"</t>
  </si>
  <si>
    <t>14000True"TV Total HD""VX Até 15mb""Franquia ilimitada"39.9"OT_MIG_JUL18_FID_4P_PILIM_14GB_D2_TV_BL5_CBAS_OF4"</t>
  </si>
  <si>
    <t>14000True"TV Total HBOMAX HD""VX Até 15mb""Franquia ilimitada"39.9"OT_MIG_JUL18_FID_4P_PILIM_14GB_D2_TV_BL5_CBAS_OF4"</t>
  </si>
  <si>
    <t>14000True"TV Total Telecine HD""VX Até 15mb""Franquia ilimitada"39.9"OT_MIG_JUL18_FID_4P_PILIM_14GB_D2_TV_BL5_CBAS_OF4"</t>
  </si>
  <si>
    <t>14000True"TV Total Cinema HD""VX Até 15mb""Franquia ilimitada"39.9"OT_MIG_JUL18_FID_4P_PILIM_14GB_D2_TV_BL5_CBAS_OF4"</t>
  </si>
  <si>
    <t>14000False"TV Start HD""VX Até 25mb""Franquia ilimitada"39.9"OT_MIG_JUL18_FID_4P_PILIM_14GB_D2_TV_BL5_CBAS_OF4"</t>
  </si>
  <si>
    <t>14000False"TV Mix HD""VX Até 25mb""Franquia ilimitada"39.9"OT_MIG_JUL18_FID_4P_PILIM_14GB_D2_TV_BL5_CBAS_OF4"</t>
  </si>
  <si>
    <t>14000False"TV Mix HBOMAX HD""VX Até 25mb""Franquia ilimitada"39.9"OT_MIG_JUL18_FID_4P_PILIM_14GB_D2_TV_BL5_CBAS_OF4"</t>
  </si>
  <si>
    <t>14000False"TV Mix Telecine HD""VX Até 25mb""Franquia ilimitada"39.9"OT_MIG_JUL18_FID_4P_PILIM_14GB_D2_TV_BL5_CBAS_OF4"</t>
  </si>
  <si>
    <t>14000False"TV Mix Cinema HD""VX Até 25mb""Franquia ilimitada"39.9"OT_MIG_JUL18_FID_4P_PILIM_14GB_D2_TV_BL5_CBAS_OF4"</t>
  </si>
  <si>
    <t>14000False"TV Total HD""VX Até 25mb""Franquia ilimitada"39.9"OT_MIG_JUL18_FID_4P_PILIM_14GB_D2_TV_BL5_CBAS_OF4"</t>
  </si>
  <si>
    <t>14000False"TV Total HBOMAX HD""VX Até 25mb""Franquia ilimitada"39.9"OT_MIG_JUL18_FID_4P_PILIM_14GB_D2_TV_BL5_CBAS_OF4"</t>
  </si>
  <si>
    <t>14000False"TV Total Telecine HD""VX Até 25mb""Franquia ilimitada"39.9"OT_MIG_JUL18_FID_4P_PILIM_14GB_D2_TV_BL5_CBAS_OF4"</t>
  </si>
  <si>
    <t>14000False"TV Total Cinema HD""VX Até 25mb""Franquia ilimitada"39.9"OT_MIG_JUL18_FID_4P_PILIM_14GB_D2_TV_BL5_CBAS_OF4"</t>
  </si>
  <si>
    <t>14000True"TV Total HD""VX Até 25mb""Franquia ilimitada"39.9"OT_MIG_JUL18_FID_4P_PILIM_14GB_D2_TV_BL5_CBAS_OF4"</t>
  </si>
  <si>
    <t>14000True"TV Total HBOMAX HD""VX Até 25mb""Franquia ilimitada"39.9"OT_MIG_JUL18_FID_4P_PILIM_14GB_D2_TV_BL5_CBAS_OF4"</t>
  </si>
  <si>
    <t>14000True"TV Total Telecine HD""VX Até 25mb""Franquia ilimitada"39.9"OT_MIG_JUL18_FID_4P_PILIM_14GB_D2_TV_BL5_CBAS_OF4"</t>
  </si>
  <si>
    <t>14000True"TV Total Cinema HD""VX Até 25mb""Franquia ilimitada"39.9"OT_MIG_JUL18_FID_4P_PILIM_14GB_D2_TV_BL5_CBAS_OF4"</t>
  </si>
  <si>
    <t>14000False"TV Start HD""VX 35mb""Franquia ilimitada"39.9"OT_MIG_JUL18_FID_4P_PILIM_14GB_D2_TV_BL5_CBAS_OF4"</t>
  </si>
  <si>
    <t>14000False"TV Mix HD""VX 35mb""Franquia ilimitada"39.9"OT_MIG_JUL18_FID_4P_PILIM_14GB_D2_TV_BL5_CBAS_OF4"</t>
  </si>
  <si>
    <t>14000False"TV Mix HBOMAX HD""VX 35mb""Franquia ilimitada"39.9"OT_MIG_JUL18_FID_4P_PILIM_14GB_D2_TV_BL5_CBAS_OF4"</t>
  </si>
  <si>
    <t>14000False"TV Mix Telecine HD""VX 35mb""Franquia ilimitada"39.9"OT_MIG_JUL18_FID_4P_PILIM_14GB_D2_TV_BL5_CBAS_OF4"</t>
  </si>
  <si>
    <t>14000False"TV Mix Cinema HD""VX 35mb""Franquia ilimitada"39.9"OT_MIG_JUL18_FID_4P_PILIM_14GB_D2_TV_BL5_CBAS_OF4"</t>
  </si>
  <si>
    <t>14000False"TV Total HD""VX 35mb""Franquia ilimitada"39.9"OT_MIG_JUL18_FID_4P_PILIM_14GB_D2_TV_BL5_CBAS_OF4"</t>
  </si>
  <si>
    <t>14000False"TV Total HBOMAX HD""VX 35mb""Franquia ilimitada"39.9"OT_MIG_JUL18_FID_4P_PILIM_14GB_D2_TV_BL5_CBAS_OF4"</t>
  </si>
  <si>
    <t>14000False"TV Total Telecine HD""VX 35mb""Franquia ilimitada"39.9"OT_MIG_JUL18_FID_4P_PILIM_14GB_D2_TV_BL5_CBAS_OF4"</t>
  </si>
  <si>
    <t>14000False"TV Total Cinema HD""VX 35mb""Franquia ilimitada"39.9"OT_MIG_JUL18_FID_4P_PILIM_14GB_D2_TV_BL5_CBAS_OF4"</t>
  </si>
  <si>
    <t>14000True"TV Total HD""VX 35mb""Franquia ilimitada"39.9"OT_MIG_JUL18_FID_4P_PILIM_14GB_D2_TV_BL5_CBAS_OF4"</t>
  </si>
  <si>
    <t>14000True"TV Total HBOMAX HD""VX 35mb""Franquia ilimitada"39.9"OT_MIG_JUL18_FID_4P_PILIM_14GB_D2_TV_BL5_CBAS_OF4"</t>
  </si>
  <si>
    <t>14000True"TV Total Telecine HD""VX 35mb""Franquia ilimitada"39.9"OT_MIG_JUL18_FID_4P_PILIM_14GB_D2_TV_BL5_CBAS_OF4"</t>
  </si>
  <si>
    <t>14000True"TV Total Cinema HD""VX 35mb""Franquia ilimitada"39.9"OT_MIG_JUL18_FID_4P_PILIM_14GB_D2_TV_BL5_CBAS_OF4"</t>
  </si>
  <si>
    <t>"OT_MIG_JUL18_FID_4P_PILIM_14GB_D1_LV_BL2_OF4"</t>
  </si>
  <si>
    <t>14000False"TV Livre HD""VX Até 2mb""Franquia ilimitada"29.9"OT_MIG_JUL18_FID_4P_PILIM_14GB_D1_LV_BL2_OF4"</t>
  </si>
  <si>
    <t>14000False"TV Livre HD""BLM 10gb""Franquia ilimitada"29.9"OT_MIG_JUL18_FID_4P_PILIM_14GB_D1_LV_BL2_OF4"</t>
  </si>
  <si>
    <t>"OT_MIG_JUL18_FID_4P_PILIM_14GB_D1_LV_BL5_CBAS_OF4"</t>
  </si>
  <si>
    <t>14000False"TV Livre HD""VX Até 15mb""Franquia ilimitada"29.9"OT_MIG_JUL18_FID_4P_PILIM_14GB_D1_LV_BL5_CBAS_OF4"</t>
  </si>
  <si>
    <t>14000False"TV Livre HD""VX Até 25mb""Franquia ilimitada"29.9"OT_MIG_JUL18_FID_4P_PILIM_14GB_D1_LV_BL5_CBAS_OF4"</t>
  </si>
  <si>
    <t>14000False"TV Livre HD""VX 35mb""Franquia ilimitada"29.9"OT_MIG_JUL18_FID_4P_PILIM_14GB_D1_LV_BL5_CBAS_OF4"</t>
  </si>
  <si>
    <t>"OT_MIG_JUL18_FID_4P_PILIM_14GB_D2_LV_BL2_OF4"</t>
  </si>
  <si>
    <t>14000False"TV Livre HD""VX Até 2mb""Franquia ilimitada"39.9"OT_MIG_JUL18_FID_4P_PILIM_14GB_D2_LV_BL2_OF4"</t>
  </si>
  <si>
    <t>14000False"TV Livre HD""BLM 10gb""Franquia ilimitada"39.9"OT_MIG_JUL18_FID_4P_PILIM_14GB_D2_LV_BL2_OF4"</t>
  </si>
  <si>
    <t>"OT_MIG_JUL18_FID_4P_PILIM_14GB_D2_LV_BL5_CBAS_OF4"</t>
  </si>
  <si>
    <t>14000False"TV Livre HD""VX Até 15mb""Franquia ilimitada"39.9"OT_MIG_JUL18_FID_4P_PILIM_14GB_D2_LV_BL5_CBAS_OF4"</t>
  </si>
  <si>
    <t>14000False"TV Livre HD""VX Até 25mb""Franquia ilimitada"39.9"OT_MIG_JUL18_FID_4P_PILIM_14GB_D2_LV_BL5_CBAS_OF4"</t>
  </si>
  <si>
    <t>14000False"TV Livre HD""VX 35mb""Franquia ilimitada"39.9"OT_MIG_JUL18_FID_4P_PILIM_14GB_D2_LV_BL5_CBAS_OF4"</t>
  </si>
  <si>
    <t>"OT_MIG_JUL18_FID_4P_PILIM_20GB_D1_TV_BL2_OF1"</t>
  </si>
  <si>
    <t>"oi total fixo + oi mais 20gb + banda larga"</t>
  </si>
  <si>
    <t>20000False"TV Start HD""VX Até 2mb""Franquia ilimitada"29.9"OT_MIG_JUL18_FID_4P_PILIM_20GB_D1_TV_BL2_OF1"</t>
  </si>
  <si>
    <t>20000False"TV Mix HD""VX Até 2mb""Franquia ilimitada"29.9"OT_MIG_JUL18_FID_4P_PILIM_20GB_D1_TV_BL2_OF1"</t>
  </si>
  <si>
    <t>20000False"TV Mix HBOMAX HD""VX Até 2mb""Franquia ilimitada"29.9"OT_MIG_JUL18_FID_4P_PILIM_20GB_D1_TV_BL2_OF1"</t>
  </si>
  <si>
    <t>20000False"TV Mix Telecine HD""VX Até 2mb""Franquia ilimitada"29.9"OT_MIG_JUL18_FID_4P_PILIM_20GB_D1_TV_BL2_OF1"</t>
  </si>
  <si>
    <t>20000False"TV Mix Cinema HD""VX Até 2mb""Franquia ilimitada"29.9"OT_MIG_JUL18_FID_4P_PILIM_20GB_D1_TV_BL2_OF1"</t>
  </si>
  <si>
    <t>20000False"TV Total HD""VX Até 2mb""Franquia ilimitada"29.9"OT_MIG_JUL18_FID_4P_PILIM_20GB_D1_TV_BL2_OF1"</t>
  </si>
  <si>
    <t>20000False"TV Total HBOMAX HD""VX Até 2mb""Franquia ilimitada"29.9"OT_MIG_JUL18_FID_4P_PILIM_20GB_D1_TV_BL2_OF1"</t>
  </si>
  <si>
    <t>20000False"TV Total Telecine HD""VX Até 2mb""Franquia ilimitada"29.9"OT_MIG_JUL18_FID_4P_PILIM_20GB_D1_TV_BL2_OF1"</t>
  </si>
  <si>
    <t>20000False"TV Total Cinema HD""VX Até 2mb""Franquia ilimitada"29.9"OT_MIG_JUL18_FID_4P_PILIM_20GB_D1_TV_BL2_OF1"</t>
  </si>
  <si>
    <t>20000True"TV Total HD""VX Até 2mb""Franquia ilimitada"29.9"OT_MIG_JUL18_FID_4P_PILIM_20GB_D1_TV_BL2_OF1"</t>
  </si>
  <si>
    <t>20000True"TV Total HBOMAX HD""VX Até 2mb""Franquia ilimitada"29.9"OT_MIG_JUL18_FID_4P_PILIM_20GB_D1_TV_BL2_OF1"</t>
  </si>
  <si>
    <t>20000True"TV Total Telecine HD""VX Até 2mb""Franquia ilimitada"29.9"OT_MIG_JUL18_FID_4P_PILIM_20GB_D1_TV_BL2_OF1"</t>
  </si>
  <si>
    <t>20000True"TV Total Cinema HD""VX Até 2mb""Franquia ilimitada"29.9"OT_MIG_JUL18_FID_4P_PILIM_20GB_D1_TV_BL2_OF1"</t>
  </si>
  <si>
    <t>20000False"TV Start HD""BLM 10gb""Franquia ilimitada"29.9"OT_MIG_JUL18_FID_4P_PILIM_20GB_D1_TV_BL2_OF1"</t>
  </si>
  <si>
    <t>20000False"TV Mix HD""BLM 10gb""Franquia ilimitada"29.9"OT_MIG_JUL18_FID_4P_PILIM_20GB_D1_TV_BL2_OF1"</t>
  </si>
  <si>
    <t>20000False"TV Mix HBOMAX HD""BLM 10gb""Franquia ilimitada"29.9"OT_MIG_JUL18_FID_4P_PILIM_20GB_D1_TV_BL2_OF1"</t>
  </si>
  <si>
    <t>20000False"TV Mix Telecine HD""BLM 10gb""Franquia ilimitada"29.9"OT_MIG_JUL18_FID_4P_PILIM_20GB_D1_TV_BL2_OF1"</t>
  </si>
  <si>
    <t>20000False"TV Mix Cinema HD""BLM 10gb""Franquia ilimitada"29.9"OT_MIG_JUL18_FID_4P_PILIM_20GB_D1_TV_BL2_OF1"</t>
  </si>
  <si>
    <t>20000False"TV Total HD""BLM 10gb""Franquia ilimitada"29.9"OT_MIG_JUL18_FID_4P_PILIM_20GB_D1_TV_BL2_OF1"</t>
  </si>
  <si>
    <t>20000False"TV Total HBOMAX HD""BLM 10gb""Franquia ilimitada"29.9"OT_MIG_JUL18_FID_4P_PILIM_20GB_D1_TV_BL2_OF1"</t>
  </si>
  <si>
    <t>20000False"TV Total Telecine HD""BLM 10gb""Franquia ilimitada"29.9"OT_MIG_JUL18_FID_4P_PILIM_20GB_D1_TV_BL2_OF1"</t>
  </si>
  <si>
    <t>20000False"TV Total Cinema HD""BLM 10gb""Franquia ilimitada"29.9"OT_MIG_JUL18_FID_4P_PILIM_20GB_D1_TV_BL2_OF1"</t>
  </si>
  <si>
    <t>20000True"TV Total HD""BLM 10gb""Franquia ilimitada"29.9"OT_MIG_JUL18_FID_4P_PILIM_20GB_D1_TV_BL2_OF1"</t>
  </si>
  <si>
    <t>20000True"TV Total HBOMAX HD""BLM 10gb""Franquia ilimitada"29.9"OT_MIG_JUL18_FID_4P_PILIM_20GB_D1_TV_BL2_OF1"</t>
  </si>
  <si>
    <t>20000True"TV Total Telecine HD""BLM 10gb""Franquia ilimitada"29.9"OT_MIG_JUL18_FID_4P_PILIM_20GB_D1_TV_BL2_OF1"</t>
  </si>
  <si>
    <t>20000True"TV Total Cinema HD""BLM 10gb""Franquia ilimitada"29.9"OT_MIG_JUL18_FID_4P_PILIM_20GB_D1_TV_BL2_OF1"</t>
  </si>
  <si>
    <t>"OT_MIG_JUL18_FID_4P_PILIM_20GB_D1_TV_BL5_CBAS_OF1"</t>
  </si>
  <si>
    <t>20000False"TV Start HD""VX Até 15mb""Franquia ilimitada"29.9"OT_MIG_JUL18_FID_4P_PILIM_20GB_D1_TV_BL5_CBAS_OF1"</t>
  </si>
  <si>
    <t>20000False"TV Mix HD""VX Até 15mb""Franquia ilimitada"29.9"OT_MIG_JUL18_FID_4P_PILIM_20GB_D1_TV_BL5_CBAS_OF1"</t>
  </si>
  <si>
    <t>20000False"TV Mix HBOMAX HD""VX Até 15mb""Franquia ilimitada"29.9"OT_MIG_JUL18_FID_4P_PILIM_20GB_D1_TV_BL5_CBAS_OF1"</t>
  </si>
  <si>
    <t>20000False"TV Mix Telecine HD""VX Até 15mb""Franquia ilimitada"29.9"OT_MIG_JUL18_FID_4P_PILIM_20GB_D1_TV_BL5_CBAS_OF1"</t>
  </si>
  <si>
    <t>20000False"TV Mix Cinema HD""VX Até 15mb""Franquia ilimitada"29.9"OT_MIG_JUL18_FID_4P_PILIM_20GB_D1_TV_BL5_CBAS_OF1"</t>
  </si>
  <si>
    <t>20000False"TV Total HD""VX Até 15mb""Franquia ilimitada"29.9"OT_MIG_JUL18_FID_4P_PILIM_20GB_D1_TV_BL5_CBAS_OF1"</t>
  </si>
  <si>
    <t>20000False"TV Total HBOMAX HD""VX Até 15mb""Franquia ilimitada"29.9"OT_MIG_JUL18_FID_4P_PILIM_20GB_D1_TV_BL5_CBAS_OF1"</t>
  </si>
  <si>
    <t>20000False"TV Total Telecine HD""VX Até 15mb""Franquia ilimitada"29.9"OT_MIG_JUL18_FID_4P_PILIM_20GB_D1_TV_BL5_CBAS_OF1"</t>
  </si>
  <si>
    <t>20000False"TV Total Cinema HD""VX Até 15mb""Franquia ilimitada"29.9"OT_MIG_JUL18_FID_4P_PILIM_20GB_D1_TV_BL5_CBAS_OF1"</t>
  </si>
  <si>
    <t>20000True"TV Total HD""VX Até 15mb""Franquia ilimitada"29.9"OT_MIG_JUL18_FID_4P_PILIM_20GB_D1_TV_BL5_CBAS_OF1"</t>
  </si>
  <si>
    <t>20000True"TV Total HBOMAX HD""VX Até 15mb""Franquia ilimitada"29.9"OT_MIG_JUL18_FID_4P_PILIM_20GB_D1_TV_BL5_CBAS_OF1"</t>
  </si>
  <si>
    <t>20000True"TV Total Telecine HD""VX Até 15mb""Franquia ilimitada"29.9"OT_MIG_JUL18_FID_4P_PILIM_20GB_D1_TV_BL5_CBAS_OF1"</t>
  </si>
  <si>
    <t>20000True"TV Total Cinema HD""VX Até 15mb""Franquia ilimitada"29.9"OT_MIG_JUL18_FID_4P_PILIM_20GB_D1_TV_BL5_CBAS_OF1"</t>
  </si>
  <si>
    <t>20000False"TV Start HD""VX Até 25mb""Franquia ilimitada"29.9"OT_MIG_JUL18_FID_4P_PILIM_20GB_D1_TV_BL5_CBAS_OF1"</t>
  </si>
  <si>
    <t>20000False"TV Mix HD""VX Até 25mb""Franquia ilimitada"29.9"OT_MIG_JUL18_FID_4P_PILIM_20GB_D1_TV_BL5_CBAS_OF1"</t>
  </si>
  <si>
    <t>20000False"TV Mix HBOMAX HD""VX Até 25mb""Franquia ilimitada"29.9"OT_MIG_JUL18_FID_4P_PILIM_20GB_D1_TV_BL5_CBAS_OF1"</t>
  </si>
  <si>
    <t>20000False"TV Mix Telecine HD""VX Até 25mb""Franquia ilimitada"29.9"OT_MIG_JUL18_FID_4P_PILIM_20GB_D1_TV_BL5_CBAS_OF1"</t>
  </si>
  <si>
    <t>20000False"TV Mix Cinema HD""VX Até 25mb""Franquia ilimitada"29.9"OT_MIG_JUL18_FID_4P_PILIM_20GB_D1_TV_BL5_CBAS_OF1"</t>
  </si>
  <si>
    <t>20000False"TV Total HD""VX Até 25mb""Franquia ilimitada"29.9"OT_MIG_JUL18_FID_4P_PILIM_20GB_D1_TV_BL5_CBAS_OF1"</t>
  </si>
  <si>
    <t>20000False"TV Total HBOMAX HD""VX Até 25mb""Franquia ilimitada"29.9"OT_MIG_JUL18_FID_4P_PILIM_20GB_D1_TV_BL5_CBAS_OF1"</t>
  </si>
  <si>
    <t>20000False"TV Total Telecine HD""VX Até 25mb""Franquia ilimitada"29.9"OT_MIG_JUL18_FID_4P_PILIM_20GB_D1_TV_BL5_CBAS_OF1"</t>
  </si>
  <si>
    <t>20000False"TV Total Cinema HD""VX Até 25mb""Franquia ilimitada"29.9"OT_MIG_JUL18_FID_4P_PILIM_20GB_D1_TV_BL5_CBAS_OF1"</t>
  </si>
  <si>
    <t>20000True"TV Total HD""VX Até 25mb""Franquia ilimitada"29.9"OT_MIG_JUL18_FID_4P_PILIM_20GB_D1_TV_BL5_CBAS_OF1"</t>
  </si>
  <si>
    <t>20000True"TV Total HBOMAX HD""VX Até 25mb""Franquia ilimitada"29.9"OT_MIG_JUL18_FID_4P_PILIM_20GB_D1_TV_BL5_CBAS_OF1"</t>
  </si>
  <si>
    <t>20000True"TV Total Telecine HD""VX Até 25mb""Franquia ilimitada"29.9"OT_MIG_JUL18_FID_4P_PILIM_20GB_D1_TV_BL5_CBAS_OF1"</t>
  </si>
  <si>
    <t>20000True"TV Total Cinema HD""VX Até 25mb""Franquia ilimitada"29.9"OT_MIG_JUL18_FID_4P_PILIM_20GB_D1_TV_BL5_CBAS_OF1"</t>
  </si>
  <si>
    <t>20000False"TV Start HD""VX 35mb""Franquia ilimitada"29.9"OT_MIG_JUL18_FID_4P_PILIM_20GB_D1_TV_BL5_CBAS_OF1"</t>
  </si>
  <si>
    <t>20000False"TV Mix HD""VX 35mb""Franquia ilimitada"29.9"OT_MIG_JUL18_FID_4P_PILIM_20GB_D1_TV_BL5_CBAS_OF1"</t>
  </si>
  <si>
    <t>20000False"TV Mix HBOMAX HD""VX 35mb""Franquia ilimitada"29.9"OT_MIG_JUL18_FID_4P_PILIM_20GB_D1_TV_BL5_CBAS_OF1"</t>
  </si>
  <si>
    <t>20000False"TV Mix Telecine HD""VX 35mb""Franquia ilimitada"29.9"OT_MIG_JUL18_FID_4P_PILIM_20GB_D1_TV_BL5_CBAS_OF1"</t>
  </si>
  <si>
    <t>20000False"TV Mix Cinema HD""VX 35mb""Franquia ilimitada"29.9"OT_MIG_JUL18_FID_4P_PILIM_20GB_D1_TV_BL5_CBAS_OF1"</t>
  </si>
  <si>
    <t>20000False"TV Total HD""VX 35mb""Franquia ilimitada"29.9"OT_MIG_JUL18_FID_4P_PILIM_20GB_D1_TV_BL5_CBAS_OF1"</t>
  </si>
  <si>
    <t>20000False"TV Total HBOMAX HD""VX 35mb""Franquia ilimitada"29.9"OT_MIG_JUL18_FID_4P_PILIM_20GB_D1_TV_BL5_CBAS_OF1"</t>
  </si>
  <si>
    <t>20000False"TV Total Telecine HD""VX 35mb""Franquia ilimitada"29.9"OT_MIG_JUL18_FID_4P_PILIM_20GB_D1_TV_BL5_CBAS_OF1"</t>
  </si>
  <si>
    <t>20000False"TV Total Cinema HD""VX 35mb""Franquia ilimitada"29.9"OT_MIG_JUL18_FID_4P_PILIM_20GB_D1_TV_BL5_CBAS_OF1"</t>
  </si>
  <si>
    <t>20000True"TV Total HD""VX 35mb""Franquia ilimitada"29.9"OT_MIG_JUL18_FID_4P_PILIM_20GB_D1_TV_BL5_CBAS_OF1"</t>
  </si>
  <si>
    <t>20000True"TV Total HBOMAX HD""VX 35mb""Franquia ilimitada"29.9"OT_MIG_JUL18_FID_4P_PILIM_20GB_D1_TV_BL5_CBAS_OF1"</t>
  </si>
  <si>
    <t>20000True"TV Total Telecine HD""VX 35mb""Franquia ilimitada"29.9"OT_MIG_JUL18_FID_4P_PILIM_20GB_D1_TV_BL5_CBAS_OF1"</t>
  </si>
  <si>
    <t>20000True"TV Total Cinema HD""VX 35mb""Franquia ilimitada"29.9"OT_MIG_JUL18_FID_4P_PILIM_20GB_D1_TV_BL5_CBAS_OF1"</t>
  </si>
  <si>
    <t>"OT_MIG_JUL18_FID_4P_PILIM_20GB_D2_TV_BL2_OF1"</t>
  </si>
  <si>
    <t>20000False"TV Start HD""VX Até 2mb""Franquia ilimitada"39.9"OT_MIG_JUL18_FID_4P_PILIM_20GB_D2_TV_BL2_OF1"</t>
  </si>
  <si>
    <t>20000False"TV Mix HD""VX Até 2mb""Franquia ilimitada"39.9"OT_MIG_JUL18_FID_4P_PILIM_20GB_D2_TV_BL2_OF1"</t>
  </si>
  <si>
    <t>20000False"TV Mix HBOMAX HD""VX Até 2mb""Franquia ilimitada"39.9"OT_MIG_JUL18_FID_4P_PILIM_20GB_D2_TV_BL2_OF1"</t>
  </si>
  <si>
    <t>20000False"TV Mix Telecine HD""VX Até 2mb""Franquia ilimitada"39.9"OT_MIG_JUL18_FID_4P_PILIM_20GB_D2_TV_BL2_OF1"</t>
  </si>
  <si>
    <t>20000False"TV Mix Cinema HD""VX Até 2mb""Franquia ilimitada"39.9"OT_MIG_JUL18_FID_4P_PILIM_20GB_D2_TV_BL2_OF1"</t>
  </si>
  <si>
    <t>20000False"TV Total HD""VX Até 2mb""Franquia ilimitada"39.9"OT_MIG_JUL18_FID_4P_PILIM_20GB_D2_TV_BL2_OF1"</t>
  </si>
  <si>
    <t>20000False"TV Total HBOMAX HD""VX Até 2mb""Franquia ilimitada"39.9"OT_MIG_JUL18_FID_4P_PILIM_20GB_D2_TV_BL2_OF1"</t>
  </si>
  <si>
    <t>20000False"TV Total Telecine HD""VX Até 2mb""Franquia ilimitada"39.9"OT_MIG_JUL18_FID_4P_PILIM_20GB_D2_TV_BL2_OF1"</t>
  </si>
  <si>
    <t>20000False"TV Total Cinema HD""VX Até 2mb""Franquia ilimitada"39.9"OT_MIG_JUL18_FID_4P_PILIM_20GB_D2_TV_BL2_OF1"</t>
  </si>
  <si>
    <t>20000True"TV Total HD""VX Até 2mb""Franquia ilimitada"39.9"OT_MIG_JUL18_FID_4P_PILIM_20GB_D2_TV_BL2_OF1"</t>
  </si>
  <si>
    <t>20000True"TV Total HBOMAX HD""VX Até 2mb""Franquia ilimitada"39.9"OT_MIG_JUL18_FID_4P_PILIM_20GB_D2_TV_BL2_OF1"</t>
  </si>
  <si>
    <t>20000True"TV Total Telecine HD""VX Até 2mb""Franquia ilimitada"39.9"OT_MIG_JUL18_FID_4P_PILIM_20GB_D2_TV_BL2_OF1"</t>
  </si>
  <si>
    <t>20000True"TV Total Cinema HD""VX Até 2mb""Franquia ilimitada"39.9"OT_MIG_JUL18_FID_4P_PILIM_20GB_D2_TV_BL2_OF1"</t>
  </si>
  <si>
    <t>20000False"TV Start HD""BLM 10gb""Franquia ilimitada"39.9"OT_MIG_JUL18_FID_4P_PILIM_20GB_D2_TV_BL2_OF1"</t>
  </si>
  <si>
    <t>20000False"TV Mix HD""BLM 10gb""Franquia ilimitada"39.9"OT_MIG_JUL18_FID_4P_PILIM_20GB_D2_TV_BL2_OF1"</t>
  </si>
  <si>
    <t>20000False"TV Mix HBOMAX HD""BLM 10gb""Franquia ilimitada"39.9"OT_MIG_JUL18_FID_4P_PILIM_20GB_D2_TV_BL2_OF1"</t>
  </si>
  <si>
    <t>20000False"TV Mix Telecine HD""BLM 10gb""Franquia ilimitada"39.9"OT_MIG_JUL18_FID_4P_PILIM_20GB_D2_TV_BL2_OF1"</t>
  </si>
  <si>
    <t>20000False"TV Mix Cinema HD""BLM 10gb""Franquia ilimitada"39.9"OT_MIG_JUL18_FID_4P_PILIM_20GB_D2_TV_BL2_OF1"</t>
  </si>
  <si>
    <t>20000False"TV Total HD""BLM 10gb""Franquia ilimitada"39.9"OT_MIG_JUL18_FID_4P_PILIM_20GB_D2_TV_BL2_OF1"</t>
  </si>
  <si>
    <t>20000False"TV Total HBOMAX HD""BLM 10gb""Franquia ilimitada"39.9"OT_MIG_JUL18_FID_4P_PILIM_20GB_D2_TV_BL2_OF1"</t>
  </si>
  <si>
    <t>20000False"TV Total Telecine HD""BLM 10gb""Franquia ilimitada"39.9"OT_MIG_JUL18_FID_4P_PILIM_20GB_D2_TV_BL2_OF1"</t>
  </si>
  <si>
    <t>20000False"TV Total Cinema HD""BLM 10gb""Franquia ilimitada"39.9"OT_MIG_JUL18_FID_4P_PILIM_20GB_D2_TV_BL2_OF1"</t>
  </si>
  <si>
    <t>20000True"TV Total HD""BLM 10gb""Franquia ilimitada"39.9"OT_MIG_JUL18_FID_4P_PILIM_20GB_D2_TV_BL2_OF1"</t>
  </si>
  <si>
    <t>20000True"TV Total HBOMAX HD""BLM 10gb""Franquia ilimitada"39.9"OT_MIG_JUL18_FID_4P_PILIM_20GB_D2_TV_BL2_OF1"</t>
  </si>
  <si>
    <t>20000True"TV Total Telecine HD""BLM 10gb""Franquia ilimitada"39.9"OT_MIG_JUL18_FID_4P_PILIM_20GB_D2_TV_BL2_OF1"</t>
  </si>
  <si>
    <t>20000True"TV Total Cinema HD""BLM 10gb""Franquia ilimitada"39.9"OT_MIG_JUL18_FID_4P_PILIM_20GB_D2_TV_BL2_OF1"</t>
  </si>
  <si>
    <t>"OT_MIG_JUL18_FID_4P_PILIM_20GB_D2_TV_BL5_CBAS_OF1"</t>
  </si>
  <si>
    <t>20000False"TV Start HD""VX Até 15mb""Franquia ilimitada"39.9"OT_MIG_JUL18_FID_4P_PILIM_20GB_D2_TV_BL5_CBAS_OF1"</t>
  </si>
  <si>
    <t>20000False"TV Mix HD""VX Até 15mb""Franquia ilimitada"39.9"OT_MIG_JUL18_FID_4P_PILIM_20GB_D2_TV_BL5_CBAS_OF1"</t>
  </si>
  <si>
    <t>20000False"TV Mix HBOMAX HD""VX Até 15mb""Franquia ilimitada"39.9"OT_MIG_JUL18_FID_4P_PILIM_20GB_D2_TV_BL5_CBAS_OF1"</t>
  </si>
  <si>
    <t>20000False"TV Mix Telecine HD""VX Até 15mb""Franquia ilimitada"39.9"OT_MIG_JUL18_FID_4P_PILIM_20GB_D2_TV_BL5_CBAS_OF1"</t>
  </si>
  <si>
    <t>20000False"TV Mix Cinema HD""VX Até 15mb""Franquia ilimitada"39.9"OT_MIG_JUL18_FID_4P_PILIM_20GB_D2_TV_BL5_CBAS_OF1"</t>
  </si>
  <si>
    <t>20000False"TV Total HD""VX Até 15mb""Franquia ilimitada"39.9"OT_MIG_JUL18_FID_4P_PILIM_20GB_D2_TV_BL5_CBAS_OF1"</t>
  </si>
  <si>
    <t>20000False"TV Total HBOMAX HD""VX Até 15mb""Franquia ilimitada"39.9"OT_MIG_JUL18_FID_4P_PILIM_20GB_D2_TV_BL5_CBAS_OF1"</t>
  </si>
  <si>
    <t>20000False"TV Total Telecine HD""VX Até 15mb""Franquia ilimitada"39.9"OT_MIG_JUL18_FID_4P_PILIM_20GB_D2_TV_BL5_CBAS_OF1"</t>
  </si>
  <si>
    <t>20000False"TV Total Cinema HD""VX Até 15mb""Franquia ilimitada"39.9"OT_MIG_JUL18_FID_4P_PILIM_20GB_D2_TV_BL5_CBAS_OF1"</t>
  </si>
  <si>
    <t>20000True"TV Total HD""VX Até 15mb""Franquia ilimitada"39.9"OT_MIG_JUL18_FID_4P_PILIM_20GB_D2_TV_BL5_CBAS_OF1"</t>
  </si>
  <si>
    <t>20000True"TV Total HBOMAX HD""VX Até 15mb""Franquia ilimitada"39.9"OT_MIG_JUL18_FID_4P_PILIM_20GB_D2_TV_BL5_CBAS_OF1"</t>
  </si>
  <si>
    <t>20000True"TV Total Telecine HD""VX Até 15mb""Franquia ilimitada"39.9"OT_MIG_JUL18_FID_4P_PILIM_20GB_D2_TV_BL5_CBAS_OF1"</t>
  </si>
  <si>
    <t>20000True"TV Total Cinema HD""VX Até 15mb""Franquia ilimitada"39.9"OT_MIG_JUL18_FID_4P_PILIM_20GB_D2_TV_BL5_CBAS_OF1"</t>
  </si>
  <si>
    <t>20000False"TV Start HD""VX Até 25mb""Franquia ilimitada"39.9"OT_MIG_JUL18_FID_4P_PILIM_20GB_D2_TV_BL5_CBAS_OF1"</t>
  </si>
  <si>
    <t>20000False"TV Mix HD""VX Até 25mb""Franquia ilimitada"39.9"OT_MIG_JUL18_FID_4P_PILIM_20GB_D2_TV_BL5_CBAS_OF1"</t>
  </si>
  <si>
    <t>20000False"TV Mix HBOMAX HD""VX Até 25mb""Franquia ilimitada"39.9"OT_MIG_JUL18_FID_4P_PILIM_20GB_D2_TV_BL5_CBAS_OF1"</t>
  </si>
  <si>
    <t>20000False"TV Mix Telecine HD""VX Até 25mb""Franquia ilimitada"39.9"OT_MIG_JUL18_FID_4P_PILIM_20GB_D2_TV_BL5_CBAS_OF1"</t>
  </si>
  <si>
    <t>20000False"TV Mix Cinema HD""VX Até 25mb""Franquia ilimitada"39.9"OT_MIG_JUL18_FID_4P_PILIM_20GB_D2_TV_BL5_CBAS_OF1"</t>
  </si>
  <si>
    <t>20000False"TV Total HD""VX Até 25mb""Franquia ilimitada"39.9"OT_MIG_JUL18_FID_4P_PILIM_20GB_D2_TV_BL5_CBAS_OF1"</t>
  </si>
  <si>
    <t>20000False"TV Total HBOMAX HD""VX Até 25mb""Franquia ilimitada"39.9"OT_MIG_JUL18_FID_4P_PILIM_20GB_D2_TV_BL5_CBAS_OF1"</t>
  </si>
  <si>
    <t>20000False"TV Total Telecine HD""VX Até 25mb""Franquia ilimitada"39.9"OT_MIG_JUL18_FID_4P_PILIM_20GB_D2_TV_BL5_CBAS_OF1"</t>
  </si>
  <si>
    <t>20000False"TV Total Cinema HD""VX Até 25mb""Franquia ilimitada"39.9"OT_MIG_JUL18_FID_4P_PILIM_20GB_D2_TV_BL5_CBAS_OF1"</t>
  </si>
  <si>
    <t>20000True"TV Total HD""VX Até 25mb""Franquia ilimitada"39.9"OT_MIG_JUL18_FID_4P_PILIM_20GB_D2_TV_BL5_CBAS_OF1"</t>
  </si>
  <si>
    <t>20000True"TV Total HBOMAX HD""VX Até 25mb""Franquia ilimitada"39.9"OT_MIG_JUL18_FID_4P_PILIM_20GB_D2_TV_BL5_CBAS_OF1"</t>
  </si>
  <si>
    <t>20000True"TV Total Telecine HD""VX Até 25mb""Franquia ilimitada"39.9"OT_MIG_JUL18_FID_4P_PILIM_20GB_D2_TV_BL5_CBAS_OF1"</t>
  </si>
  <si>
    <t>20000True"TV Total Cinema HD""VX Até 25mb""Franquia ilimitada"39.9"OT_MIG_JUL18_FID_4P_PILIM_20GB_D2_TV_BL5_CBAS_OF1"</t>
  </si>
  <si>
    <t>20000False"TV Start HD""VX 35mb""Franquia ilimitada"39.9"OT_MIG_JUL18_FID_4P_PILIM_20GB_D2_TV_BL5_CBAS_OF1"</t>
  </si>
  <si>
    <t>20000False"TV Mix HD""VX 35mb""Franquia ilimitada"39.9"OT_MIG_JUL18_FID_4P_PILIM_20GB_D2_TV_BL5_CBAS_OF1"</t>
  </si>
  <si>
    <t>20000False"TV Mix HBOMAX HD""VX 35mb""Franquia ilimitada"39.9"OT_MIG_JUL18_FID_4P_PILIM_20GB_D2_TV_BL5_CBAS_OF1"</t>
  </si>
  <si>
    <t>20000False"TV Mix Telecine HD""VX 35mb""Franquia ilimitada"39.9"OT_MIG_JUL18_FID_4P_PILIM_20GB_D2_TV_BL5_CBAS_OF1"</t>
  </si>
  <si>
    <t>20000False"TV Mix Cinema HD""VX 35mb""Franquia ilimitada"39.9"OT_MIG_JUL18_FID_4P_PILIM_20GB_D2_TV_BL5_CBAS_OF1"</t>
  </si>
  <si>
    <t>20000False"TV Total HD""VX 35mb""Franquia ilimitada"39.9"OT_MIG_JUL18_FID_4P_PILIM_20GB_D2_TV_BL5_CBAS_OF1"</t>
  </si>
  <si>
    <t>20000False"TV Total HBOMAX HD""VX 35mb""Franquia ilimitada"39.9"OT_MIG_JUL18_FID_4P_PILIM_20GB_D2_TV_BL5_CBAS_OF1"</t>
  </si>
  <si>
    <t>20000False"TV Total Telecine HD""VX 35mb""Franquia ilimitada"39.9"OT_MIG_JUL18_FID_4P_PILIM_20GB_D2_TV_BL5_CBAS_OF1"</t>
  </si>
  <si>
    <t>20000False"TV Total Cinema HD""VX 35mb""Franquia ilimitada"39.9"OT_MIG_JUL18_FID_4P_PILIM_20GB_D2_TV_BL5_CBAS_OF1"</t>
  </si>
  <si>
    <t>20000True"TV Total HD""VX 35mb""Franquia ilimitada"39.9"OT_MIG_JUL18_FID_4P_PILIM_20GB_D2_TV_BL5_CBAS_OF1"</t>
  </si>
  <si>
    <t>20000True"TV Total HBOMAX HD""VX 35mb""Franquia ilimitada"39.9"OT_MIG_JUL18_FID_4P_PILIM_20GB_D2_TV_BL5_CBAS_OF1"</t>
  </si>
  <si>
    <t>20000True"TV Total Telecine HD""VX 35mb""Franquia ilimitada"39.9"OT_MIG_JUL18_FID_4P_PILIM_20GB_D2_TV_BL5_CBAS_OF1"</t>
  </si>
  <si>
    <t>20000True"TV Total Cinema HD""VX 35mb""Franquia ilimitada"39.9"OT_MIG_JUL18_FID_4P_PILIM_20GB_D2_TV_BL5_CBAS_OF1"</t>
  </si>
  <si>
    <t>"OT_MIG_JUL18_FID_4P_PILIM_20GB_D1_LV_BL2_OF1"</t>
  </si>
  <si>
    <t>20000False"TV Livre HD""VX Até 2mb""Franquia ilimitada"29.9"OT_MIG_JUL18_FID_4P_PILIM_20GB_D1_LV_BL2_OF1"</t>
  </si>
  <si>
    <t>20000False"TV Livre HD""BLM 10gb""Franquia ilimitada"29.9"OT_MIG_JUL18_FID_4P_PILIM_20GB_D1_LV_BL2_OF1"</t>
  </si>
  <si>
    <t>"OT_MIG_JUL18_FID_4P_PILIM_20GB_D1_LV_BL5_CBAS_OF1"</t>
  </si>
  <si>
    <t>20000False"TV Livre HD""VX Até 15mb""Franquia ilimitada"29.9"OT_MIG_JUL18_FID_4P_PILIM_20GB_D1_LV_BL5_CBAS_OF1"</t>
  </si>
  <si>
    <t>20000False"TV Livre HD""VX Até 25mb""Franquia ilimitada"29.9"OT_MIG_JUL18_FID_4P_PILIM_20GB_D1_LV_BL5_CBAS_OF1"</t>
  </si>
  <si>
    <t>20000False"TV Livre HD""VX 35mb""Franquia ilimitada"29.9"OT_MIG_JUL18_FID_4P_PILIM_20GB_D1_LV_BL5_CBAS_OF1"</t>
  </si>
  <si>
    <t>"OT_MIG_JUL18_FID_4P_PILIM_20GB_D2_LV_BL2_OF1"</t>
  </si>
  <si>
    <t>20000False"TV Livre HD""VX Até 2mb""Franquia ilimitada"39.9"OT_MIG_JUL18_FID_4P_PILIM_20GB_D2_LV_BL2_OF1"</t>
  </si>
  <si>
    <t>20000False"TV Livre HD""BLM 10gb""Franquia ilimitada"39.9"OT_MIG_JUL18_FID_4P_PILIM_20GB_D2_LV_BL2_OF1"</t>
  </si>
  <si>
    <t>"OT_MIG_JUL18_FID_4P_PILIM_20GB_D2_LV_BL5_CBAS_OF1"</t>
  </si>
  <si>
    <t>20000False"TV Livre HD""VX Até 15mb""Franquia ilimitada"39.9"OT_MIG_JUL18_FID_4P_PILIM_20GB_D2_LV_BL5_CBAS_OF1"</t>
  </si>
  <si>
    <t>20000False"TV Livre HD""VX Até 25mb""Franquia ilimitada"39.9"OT_MIG_JUL18_FID_4P_PILIM_20GB_D2_LV_BL5_CBAS_OF1"</t>
  </si>
  <si>
    <t>20000False"TV Livre HD""VX 35mb""Franquia ilimitada"39.9"OT_MIG_JUL18_FID_4P_PILIM_20GB_D2_LV_BL5_CBAS_OF1"</t>
  </si>
  <si>
    <t>"OT_MIG_JUL18_FID_4P_PILIM_20GB_D1_TV_BL2_OF4"</t>
  </si>
  <si>
    <t>20000False"TV Start HD""VX Até 2mb""Franquia ilimitada"29.9"OT_MIG_JUL18_FID_4P_PILIM_20GB_D1_TV_BL2_OF4"</t>
  </si>
  <si>
    <t>20000False"TV Mix HD""VX Até 2mb""Franquia ilimitada"29.9"OT_MIG_JUL18_FID_4P_PILIM_20GB_D1_TV_BL2_OF4"</t>
  </si>
  <si>
    <t>20000False"TV Mix HBOMAX HD""VX Até 2mb""Franquia ilimitada"29.9"OT_MIG_JUL18_FID_4P_PILIM_20GB_D1_TV_BL2_OF4"</t>
  </si>
  <si>
    <t>20000False"TV Mix Telecine HD""VX Até 2mb""Franquia ilimitada"29.9"OT_MIG_JUL18_FID_4P_PILIM_20GB_D1_TV_BL2_OF4"</t>
  </si>
  <si>
    <t>20000False"TV Mix Cinema HD""VX Até 2mb""Franquia ilimitada"29.9"OT_MIG_JUL18_FID_4P_PILIM_20GB_D1_TV_BL2_OF4"</t>
  </si>
  <si>
    <t>20000False"TV Total HD""VX Até 2mb""Franquia ilimitada"29.9"OT_MIG_JUL18_FID_4P_PILIM_20GB_D1_TV_BL2_OF4"</t>
  </si>
  <si>
    <t>20000False"TV Total HBOMAX HD""VX Até 2mb""Franquia ilimitada"29.9"OT_MIG_JUL18_FID_4P_PILIM_20GB_D1_TV_BL2_OF4"</t>
  </si>
  <si>
    <t>20000False"TV Total Telecine HD""VX Até 2mb""Franquia ilimitada"29.9"OT_MIG_JUL18_FID_4P_PILIM_20GB_D1_TV_BL2_OF4"</t>
  </si>
  <si>
    <t>20000False"TV Total Cinema HD""VX Até 2mb""Franquia ilimitada"29.9"OT_MIG_JUL18_FID_4P_PILIM_20GB_D1_TV_BL2_OF4"</t>
  </si>
  <si>
    <t>20000True"TV Total HD""VX Até 2mb""Franquia ilimitada"29.9"OT_MIG_JUL18_FID_4P_PILIM_20GB_D1_TV_BL2_OF4"</t>
  </si>
  <si>
    <t>20000True"TV Total HBOMAX HD""VX Até 2mb""Franquia ilimitada"29.9"OT_MIG_JUL18_FID_4P_PILIM_20GB_D1_TV_BL2_OF4"</t>
  </si>
  <si>
    <t>20000True"TV Total Telecine HD""VX Até 2mb""Franquia ilimitada"29.9"OT_MIG_JUL18_FID_4P_PILIM_20GB_D1_TV_BL2_OF4"</t>
  </si>
  <si>
    <t>20000True"TV Total Cinema HD""VX Até 2mb""Franquia ilimitada"29.9"OT_MIG_JUL18_FID_4P_PILIM_20GB_D1_TV_BL2_OF4"</t>
  </si>
  <si>
    <t>20000False"TV Start HD""BLM 10gb""Franquia ilimitada"29.9"OT_MIG_JUL18_FID_4P_PILIM_20GB_D1_TV_BL2_OF4"</t>
  </si>
  <si>
    <t>20000False"TV Mix HD""BLM 10gb""Franquia ilimitada"29.9"OT_MIG_JUL18_FID_4P_PILIM_20GB_D1_TV_BL2_OF4"</t>
  </si>
  <si>
    <t>20000False"TV Mix HBOMAX HD""BLM 10gb""Franquia ilimitada"29.9"OT_MIG_JUL18_FID_4P_PILIM_20GB_D1_TV_BL2_OF4"</t>
  </si>
  <si>
    <t>20000False"TV Mix Telecine HD""BLM 10gb""Franquia ilimitada"29.9"OT_MIG_JUL18_FID_4P_PILIM_20GB_D1_TV_BL2_OF4"</t>
  </si>
  <si>
    <t>20000False"TV Mix Cinema HD""BLM 10gb""Franquia ilimitada"29.9"OT_MIG_JUL18_FID_4P_PILIM_20GB_D1_TV_BL2_OF4"</t>
  </si>
  <si>
    <t>20000False"TV Total HD""BLM 10gb""Franquia ilimitada"29.9"OT_MIG_JUL18_FID_4P_PILIM_20GB_D1_TV_BL2_OF4"</t>
  </si>
  <si>
    <t>20000False"TV Total HBOMAX HD""BLM 10gb""Franquia ilimitada"29.9"OT_MIG_JUL18_FID_4P_PILIM_20GB_D1_TV_BL2_OF4"</t>
  </si>
  <si>
    <t>20000False"TV Total Telecine HD""BLM 10gb""Franquia ilimitada"29.9"OT_MIG_JUL18_FID_4P_PILIM_20GB_D1_TV_BL2_OF4"</t>
  </si>
  <si>
    <t>20000False"TV Total Cinema HD""BLM 10gb""Franquia ilimitada"29.9"OT_MIG_JUL18_FID_4P_PILIM_20GB_D1_TV_BL2_OF4"</t>
  </si>
  <si>
    <t>20000True"TV Total HD""BLM 10gb""Franquia ilimitada"29.9"OT_MIG_JUL18_FID_4P_PILIM_20GB_D1_TV_BL2_OF4"</t>
  </si>
  <si>
    <t>20000True"TV Total HBOMAX HD""BLM 10gb""Franquia ilimitada"29.9"OT_MIG_JUL18_FID_4P_PILIM_20GB_D1_TV_BL2_OF4"</t>
  </si>
  <si>
    <t>20000True"TV Total Telecine HD""BLM 10gb""Franquia ilimitada"29.9"OT_MIG_JUL18_FID_4P_PILIM_20GB_D1_TV_BL2_OF4"</t>
  </si>
  <si>
    <t>20000True"TV Total Cinema HD""BLM 10gb""Franquia ilimitada"29.9"OT_MIG_JUL18_FID_4P_PILIM_20GB_D1_TV_BL2_OF4"</t>
  </si>
  <si>
    <t>"OT_MIG_JUL18_FID_4P_PILIM_20GB_D1_TV_BL5_CBAS_OF4"</t>
  </si>
  <si>
    <t>20000False"TV Start HD""VX Até 15mb""Franquia ilimitada"29.9"OT_MIG_JUL18_FID_4P_PILIM_20GB_D1_TV_BL5_CBAS_OF4"</t>
  </si>
  <si>
    <t>20000False"TV Mix HD""VX Até 15mb""Franquia ilimitada"29.9"OT_MIG_JUL18_FID_4P_PILIM_20GB_D1_TV_BL5_CBAS_OF4"</t>
  </si>
  <si>
    <t>20000False"TV Mix HBOMAX HD""VX Até 15mb""Franquia ilimitada"29.9"OT_MIG_JUL18_FID_4P_PILIM_20GB_D1_TV_BL5_CBAS_OF4"</t>
  </si>
  <si>
    <t>20000False"TV Mix Telecine HD""VX Até 15mb""Franquia ilimitada"29.9"OT_MIG_JUL18_FID_4P_PILIM_20GB_D1_TV_BL5_CBAS_OF4"</t>
  </si>
  <si>
    <t>20000False"TV Mix Cinema HD""VX Até 15mb""Franquia ilimitada"29.9"OT_MIG_JUL18_FID_4P_PILIM_20GB_D1_TV_BL5_CBAS_OF4"</t>
  </si>
  <si>
    <t>20000False"TV Total HD""VX Até 15mb""Franquia ilimitada"29.9"OT_MIG_JUL18_FID_4P_PILIM_20GB_D1_TV_BL5_CBAS_OF4"</t>
  </si>
  <si>
    <t>20000False"TV Total HBOMAX HD""VX Até 15mb""Franquia ilimitada"29.9"OT_MIG_JUL18_FID_4P_PILIM_20GB_D1_TV_BL5_CBAS_OF4"</t>
  </si>
  <si>
    <t>20000False"TV Total Telecine HD""VX Até 15mb""Franquia ilimitada"29.9"OT_MIG_JUL18_FID_4P_PILIM_20GB_D1_TV_BL5_CBAS_OF4"</t>
  </si>
  <si>
    <t>20000False"TV Total Cinema HD""VX Até 15mb""Franquia ilimitada"29.9"OT_MIG_JUL18_FID_4P_PILIM_20GB_D1_TV_BL5_CBAS_OF4"</t>
  </si>
  <si>
    <t>20000True"TV Total HD""VX Até 15mb""Franquia ilimitada"29.9"OT_MIG_JUL18_FID_4P_PILIM_20GB_D1_TV_BL5_CBAS_OF4"</t>
  </si>
  <si>
    <t>20000True"TV Total HBOMAX HD""VX Até 15mb""Franquia ilimitada"29.9"OT_MIG_JUL18_FID_4P_PILIM_20GB_D1_TV_BL5_CBAS_OF4"</t>
  </si>
  <si>
    <t>20000True"TV Total Telecine HD""VX Até 15mb""Franquia ilimitada"29.9"OT_MIG_JUL18_FID_4P_PILIM_20GB_D1_TV_BL5_CBAS_OF4"</t>
  </si>
  <si>
    <t>20000True"TV Total Cinema HD""VX Até 15mb""Franquia ilimitada"29.9"OT_MIG_JUL18_FID_4P_PILIM_20GB_D1_TV_BL5_CBAS_OF4"</t>
  </si>
  <si>
    <t>20000False"TV Start HD""VX Até 25mb""Franquia ilimitada"29.9"OT_MIG_JUL18_FID_4P_PILIM_20GB_D1_TV_BL5_CBAS_OF4"</t>
  </si>
  <si>
    <t>20000False"TV Mix HD""VX Até 25mb""Franquia ilimitada"29.9"OT_MIG_JUL18_FID_4P_PILIM_20GB_D1_TV_BL5_CBAS_OF4"</t>
  </si>
  <si>
    <t>20000False"TV Mix HBOMAX HD""VX Até 25mb""Franquia ilimitada"29.9"OT_MIG_JUL18_FID_4P_PILIM_20GB_D1_TV_BL5_CBAS_OF4"</t>
  </si>
  <si>
    <t>20000False"TV Mix Telecine HD""VX Até 25mb""Franquia ilimitada"29.9"OT_MIG_JUL18_FID_4P_PILIM_20GB_D1_TV_BL5_CBAS_OF4"</t>
  </si>
  <si>
    <t>20000False"TV Mix Cinema HD""VX Até 25mb""Franquia ilimitada"29.9"OT_MIG_JUL18_FID_4P_PILIM_20GB_D1_TV_BL5_CBAS_OF4"</t>
  </si>
  <si>
    <t>20000False"TV Total HD""VX Até 25mb""Franquia ilimitada"29.9"OT_MIG_JUL18_FID_4P_PILIM_20GB_D1_TV_BL5_CBAS_OF4"</t>
  </si>
  <si>
    <t>20000False"TV Total HBOMAX HD""VX Até 25mb""Franquia ilimitada"29.9"OT_MIG_JUL18_FID_4P_PILIM_20GB_D1_TV_BL5_CBAS_OF4"</t>
  </si>
  <si>
    <t>20000False"TV Total Telecine HD""VX Até 25mb""Franquia ilimitada"29.9"OT_MIG_JUL18_FID_4P_PILIM_20GB_D1_TV_BL5_CBAS_OF4"</t>
  </si>
  <si>
    <t>20000False"TV Total Cinema HD""VX Até 25mb""Franquia ilimitada"29.9"OT_MIG_JUL18_FID_4P_PILIM_20GB_D1_TV_BL5_CBAS_OF4"</t>
  </si>
  <si>
    <t>20000True"TV Total HD""VX Até 25mb""Franquia ilimitada"29.9"OT_MIG_JUL18_FID_4P_PILIM_20GB_D1_TV_BL5_CBAS_OF4"</t>
  </si>
  <si>
    <t>20000True"TV Total HBOMAX HD""VX Até 25mb""Franquia ilimitada"29.9"OT_MIG_JUL18_FID_4P_PILIM_20GB_D1_TV_BL5_CBAS_OF4"</t>
  </si>
  <si>
    <t>20000True"TV Total Telecine HD""VX Até 25mb""Franquia ilimitada"29.9"OT_MIG_JUL18_FID_4P_PILIM_20GB_D1_TV_BL5_CBAS_OF4"</t>
  </si>
  <si>
    <t>20000True"TV Total Cinema HD""VX Até 25mb""Franquia ilimitada"29.9"OT_MIG_JUL18_FID_4P_PILIM_20GB_D1_TV_BL5_CBAS_OF4"</t>
  </si>
  <si>
    <t>20000False"TV Start HD""VX 35mb""Franquia ilimitada"29.9"OT_MIG_JUL18_FID_4P_PILIM_20GB_D1_TV_BL5_CBAS_OF4"</t>
  </si>
  <si>
    <t>20000False"TV Mix HD""VX 35mb""Franquia ilimitada"29.9"OT_MIG_JUL18_FID_4P_PILIM_20GB_D1_TV_BL5_CBAS_OF4"</t>
  </si>
  <si>
    <t>20000False"TV Mix HBOMAX HD""VX 35mb""Franquia ilimitada"29.9"OT_MIG_JUL18_FID_4P_PILIM_20GB_D1_TV_BL5_CBAS_OF4"</t>
  </si>
  <si>
    <t>20000False"TV Mix Telecine HD""VX 35mb""Franquia ilimitada"29.9"OT_MIG_JUL18_FID_4P_PILIM_20GB_D1_TV_BL5_CBAS_OF4"</t>
  </si>
  <si>
    <t>20000False"TV Mix Cinema HD""VX 35mb""Franquia ilimitada"29.9"OT_MIG_JUL18_FID_4P_PILIM_20GB_D1_TV_BL5_CBAS_OF4"</t>
  </si>
  <si>
    <t>20000False"TV Total HD""VX 35mb""Franquia ilimitada"29.9"OT_MIG_JUL18_FID_4P_PILIM_20GB_D1_TV_BL5_CBAS_OF4"</t>
  </si>
  <si>
    <t>20000False"TV Total HBOMAX HD""VX 35mb""Franquia ilimitada"29.9"OT_MIG_JUL18_FID_4P_PILIM_20GB_D1_TV_BL5_CBAS_OF4"</t>
  </si>
  <si>
    <t>20000False"TV Total Telecine HD""VX 35mb""Franquia ilimitada"29.9"OT_MIG_JUL18_FID_4P_PILIM_20GB_D1_TV_BL5_CBAS_OF4"</t>
  </si>
  <si>
    <t>20000False"TV Total Cinema HD""VX 35mb""Franquia ilimitada"29.9"OT_MIG_JUL18_FID_4P_PILIM_20GB_D1_TV_BL5_CBAS_OF4"</t>
  </si>
  <si>
    <t>20000True"TV Total HD""VX 35mb""Franquia ilimitada"29.9"OT_MIG_JUL18_FID_4P_PILIM_20GB_D1_TV_BL5_CBAS_OF4"</t>
  </si>
  <si>
    <t>20000True"TV Total HBOMAX HD""VX 35mb""Franquia ilimitada"29.9"OT_MIG_JUL18_FID_4P_PILIM_20GB_D1_TV_BL5_CBAS_OF4"</t>
  </si>
  <si>
    <t>20000True"TV Total Telecine HD""VX 35mb""Franquia ilimitada"29.9"OT_MIG_JUL18_FID_4P_PILIM_20GB_D1_TV_BL5_CBAS_OF4"</t>
  </si>
  <si>
    <t>20000True"TV Total Cinema HD""VX 35mb""Franquia ilimitada"29.9"OT_MIG_JUL18_FID_4P_PILIM_20GB_D1_TV_BL5_CBAS_OF4"</t>
  </si>
  <si>
    <t>"OT_MIG_JUL18_FID_4P_PILIM_20GB_D2_TV_BL2_OF4"</t>
  </si>
  <si>
    <t>20000False"TV Start HD""VX Até 2mb""Franquia ilimitada"39.9"OT_MIG_JUL18_FID_4P_PILIM_20GB_D2_TV_BL2_OF4"</t>
  </si>
  <si>
    <t>20000False"TV Mix HD""VX Até 2mb""Franquia ilimitada"39.9"OT_MIG_JUL18_FID_4P_PILIM_20GB_D2_TV_BL2_OF4"</t>
  </si>
  <si>
    <t>20000False"TV Mix HBOMAX HD""VX Até 2mb""Franquia ilimitada"39.9"OT_MIG_JUL18_FID_4P_PILIM_20GB_D2_TV_BL2_OF4"</t>
  </si>
  <si>
    <t>20000False"TV Mix Telecine HD""VX Até 2mb""Franquia ilimitada"39.9"OT_MIG_JUL18_FID_4P_PILIM_20GB_D2_TV_BL2_OF4"</t>
  </si>
  <si>
    <t>20000False"TV Mix Cinema HD""VX Até 2mb""Franquia ilimitada"39.9"OT_MIG_JUL18_FID_4P_PILIM_20GB_D2_TV_BL2_OF4"</t>
  </si>
  <si>
    <t>20000False"TV Total HD""VX Até 2mb""Franquia ilimitada"39.9"OT_MIG_JUL18_FID_4P_PILIM_20GB_D2_TV_BL2_OF4"</t>
  </si>
  <si>
    <t>20000False"TV Total HBOMAX HD""VX Até 2mb""Franquia ilimitada"39.9"OT_MIG_JUL18_FID_4P_PILIM_20GB_D2_TV_BL2_OF4"</t>
  </si>
  <si>
    <t>20000False"TV Total Telecine HD""VX Até 2mb""Franquia ilimitada"39.9"OT_MIG_JUL18_FID_4P_PILIM_20GB_D2_TV_BL2_OF4"</t>
  </si>
  <si>
    <t>20000False"TV Total Cinema HD""VX Até 2mb""Franquia ilimitada"39.9"OT_MIG_JUL18_FID_4P_PILIM_20GB_D2_TV_BL2_OF4"</t>
  </si>
  <si>
    <t>20000True"TV Total HD""VX Até 2mb""Franquia ilimitada"39.9"OT_MIG_JUL18_FID_4P_PILIM_20GB_D2_TV_BL2_OF4"</t>
  </si>
  <si>
    <t>20000True"TV Total HBOMAX HD""VX Até 2mb""Franquia ilimitada"39.9"OT_MIG_JUL18_FID_4P_PILIM_20GB_D2_TV_BL2_OF4"</t>
  </si>
  <si>
    <t>20000True"TV Total Telecine HD""VX Até 2mb""Franquia ilimitada"39.9"OT_MIG_JUL18_FID_4P_PILIM_20GB_D2_TV_BL2_OF4"</t>
  </si>
  <si>
    <t>20000True"TV Total Cinema HD""VX Até 2mb""Franquia ilimitada"39.9"OT_MIG_JUL18_FID_4P_PILIM_20GB_D2_TV_BL2_OF4"</t>
  </si>
  <si>
    <t>20000False"TV Start HD""BLM 10gb""Franquia ilimitada"39.9"OT_MIG_JUL18_FID_4P_PILIM_20GB_D2_TV_BL2_OF4"</t>
  </si>
  <si>
    <t>20000False"TV Mix HD""BLM 10gb""Franquia ilimitada"39.9"OT_MIG_JUL18_FID_4P_PILIM_20GB_D2_TV_BL2_OF4"</t>
  </si>
  <si>
    <t>20000False"TV Mix HBOMAX HD""BLM 10gb""Franquia ilimitada"39.9"OT_MIG_JUL18_FID_4P_PILIM_20GB_D2_TV_BL2_OF4"</t>
  </si>
  <si>
    <t>20000False"TV Mix Telecine HD""BLM 10gb""Franquia ilimitada"39.9"OT_MIG_JUL18_FID_4P_PILIM_20GB_D2_TV_BL2_OF4"</t>
  </si>
  <si>
    <t>20000False"TV Mix Cinema HD""BLM 10gb""Franquia ilimitada"39.9"OT_MIG_JUL18_FID_4P_PILIM_20GB_D2_TV_BL2_OF4"</t>
  </si>
  <si>
    <t>20000False"TV Total HD""BLM 10gb""Franquia ilimitada"39.9"OT_MIG_JUL18_FID_4P_PILIM_20GB_D2_TV_BL2_OF4"</t>
  </si>
  <si>
    <t>20000False"TV Total HBOMAX HD""BLM 10gb""Franquia ilimitada"39.9"OT_MIG_JUL18_FID_4P_PILIM_20GB_D2_TV_BL2_OF4"</t>
  </si>
  <si>
    <t>20000False"TV Total Telecine HD""BLM 10gb""Franquia ilimitada"39.9"OT_MIG_JUL18_FID_4P_PILIM_20GB_D2_TV_BL2_OF4"</t>
  </si>
  <si>
    <t>20000False"TV Total Cinema HD""BLM 10gb""Franquia ilimitada"39.9"OT_MIG_JUL18_FID_4P_PILIM_20GB_D2_TV_BL2_OF4"</t>
  </si>
  <si>
    <t>20000True"TV Total HD""BLM 10gb""Franquia ilimitada"39.9"OT_MIG_JUL18_FID_4P_PILIM_20GB_D2_TV_BL2_OF4"</t>
  </si>
  <si>
    <t>20000True"TV Total HBOMAX HD""BLM 10gb""Franquia ilimitada"39.9"OT_MIG_JUL18_FID_4P_PILIM_20GB_D2_TV_BL2_OF4"</t>
  </si>
  <si>
    <t>20000True"TV Total Telecine HD""BLM 10gb""Franquia ilimitada"39.9"OT_MIG_JUL18_FID_4P_PILIM_20GB_D2_TV_BL2_OF4"</t>
  </si>
  <si>
    <t>20000True"TV Total Cinema HD""BLM 10gb""Franquia ilimitada"39.9"OT_MIG_JUL18_FID_4P_PILIM_20GB_D2_TV_BL2_OF4"</t>
  </si>
  <si>
    <t>"OT_MIG_JUL18_FID_4P_PILIM_20GB_D2_TV_BL5_CBAS_OF4"</t>
  </si>
  <si>
    <t>20000False"TV Start HD""VX Até 15mb""Franquia ilimitada"39.9"OT_MIG_JUL18_FID_4P_PILIM_20GB_D2_TV_BL5_CBAS_OF4"</t>
  </si>
  <si>
    <t>20000False"TV Mix HD""VX Até 15mb""Franquia ilimitada"39.9"OT_MIG_JUL18_FID_4P_PILIM_20GB_D2_TV_BL5_CBAS_OF4"</t>
  </si>
  <si>
    <t>20000False"TV Mix HBOMAX HD""VX Até 15mb""Franquia ilimitada"39.9"OT_MIG_JUL18_FID_4P_PILIM_20GB_D2_TV_BL5_CBAS_OF4"</t>
  </si>
  <si>
    <t>20000False"TV Mix Telecine HD""VX Até 15mb""Franquia ilimitada"39.9"OT_MIG_JUL18_FID_4P_PILIM_20GB_D2_TV_BL5_CBAS_OF4"</t>
  </si>
  <si>
    <t>20000False"TV Mix Cinema HD""VX Até 15mb""Franquia ilimitada"39.9"OT_MIG_JUL18_FID_4P_PILIM_20GB_D2_TV_BL5_CBAS_OF4"</t>
  </si>
  <si>
    <t>20000False"TV Total HD""VX Até 15mb""Franquia ilimitada"39.9"OT_MIG_JUL18_FID_4P_PILIM_20GB_D2_TV_BL5_CBAS_OF4"</t>
  </si>
  <si>
    <t>20000False"TV Total HBOMAX HD""VX Até 15mb""Franquia ilimitada"39.9"OT_MIG_JUL18_FID_4P_PILIM_20GB_D2_TV_BL5_CBAS_OF4"</t>
  </si>
  <si>
    <t>20000False"TV Total Telecine HD""VX Até 15mb""Franquia ilimitada"39.9"OT_MIG_JUL18_FID_4P_PILIM_20GB_D2_TV_BL5_CBAS_OF4"</t>
  </si>
  <si>
    <t>20000False"TV Total Cinema HD""VX Até 15mb""Franquia ilimitada"39.9"OT_MIG_JUL18_FID_4P_PILIM_20GB_D2_TV_BL5_CBAS_OF4"</t>
  </si>
  <si>
    <t>20000True"TV Total HD""VX Até 15mb""Franquia ilimitada"39.9"OT_MIG_JUL18_FID_4P_PILIM_20GB_D2_TV_BL5_CBAS_OF4"</t>
  </si>
  <si>
    <t>20000True"TV Total HBOMAX HD""VX Até 15mb""Franquia ilimitada"39.9"OT_MIG_JUL18_FID_4P_PILIM_20GB_D2_TV_BL5_CBAS_OF4"</t>
  </si>
  <si>
    <t>20000True"TV Total Telecine HD""VX Até 15mb""Franquia ilimitada"39.9"OT_MIG_JUL18_FID_4P_PILIM_20GB_D2_TV_BL5_CBAS_OF4"</t>
  </si>
  <si>
    <t>20000True"TV Total Cinema HD""VX Até 15mb""Franquia ilimitada"39.9"OT_MIG_JUL18_FID_4P_PILIM_20GB_D2_TV_BL5_CBAS_OF4"</t>
  </si>
  <si>
    <t>20000False"TV Start HD""VX Até 25mb""Franquia ilimitada"39.9"OT_MIG_JUL18_FID_4P_PILIM_20GB_D2_TV_BL5_CBAS_OF4"</t>
  </si>
  <si>
    <t>20000False"TV Mix HD""VX Até 25mb""Franquia ilimitada"39.9"OT_MIG_JUL18_FID_4P_PILIM_20GB_D2_TV_BL5_CBAS_OF4"</t>
  </si>
  <si>
    <t>20000False"TV Mix HBOMAX HD""VX Até 25mb""Franquia ilimitada"39.9"OT_MIG_JUL18_FID_4P_PILIM_20GB_D2_TV_BL5_CBAS_OF4"</t>
  </si>
  <si>
    <t>20000False"TV Mix Telecine HD""VX Até 25mb""Franquia ilimitada"39.9"OT_MIG_JUL18_FID_4P_PILIM_20GB_D2_TV_BL5_CBAS_OF4"</t>
  </si>
  <si>
    <t>20000False"TV Mix Cinema HD""VX Até 25mb""Franquia ilimitada"39.9"OT_MIG_JUL18_FID_4P_PILIM_20GB_D2_TV_BL5_CBAS_OF4"</t>
  </si>
  <si>
    <t>20000False"TV Total HD""VX Até 25mb""Franquia ilimitada"39.9"OT_MIG_JUL18_FID_4P_PILIM_20GB_D2_TV_BL5_CBAS_OF4"</t>
  </si>
  <si>
    <t>20000False"TV Total HBOMAX HD""VX Até 25mb""Franquia ilimitada"39.9"OT_MIG_JUL18_FID_4P_PILIM_20GB_D2_TV_BL5_CBAS_OF4"</t>
  </si>
  <si>
    <t>20000False"TV Total Telecine HD""VX Até 25mb""Franquia ilimitada"39.9"OT_MIG_JUL18_FID_4P_PILIM_20GB_D2_TV_BL5_CBAS_OF4"</t>
  </si>
  <si>
    <t>20000False"TV Total Cinema HD""VX Até 25mb""Franquia ilimitada"39.9"OT_MIG_JUL18_FID_4P_PILIM_20GB_D2_TV_BL5_CBAS_OF4"</t>
  </si>
  <si>
    <t>20000True"TV Total HD""VX Até 25mb""Franquia ilimitada"39.9"OT_MIG_JUL18_FID_4P_PILIM_20GB_D2_TV_BL5_CBAS_OF4"</t>
  </si>
  <si>
    <t>20000True"TV Total HBOMAX HD""VX Até 25mb""Franquia ilimitada"39.9"OT_MIG_JUL18_FID_4P_PILIM_20GB_D2_TV_BL5_CBAS_OF4"</t>
  </si>
  <si>
    <t>20000True"TV Total Telecine HD""VX Até 25mb""Franquia ilimitada"39.9"OT_MIG_JUL18_FID_4P_PILIM_20GB_D2_TV_BL5_CBAS_OF4"</t>
  </si>
  <si>
    <t>20000True"TV Total Cinema HD""VX Até 25mb""Franquia ilimitada"39.9"OT_MIG_JUL18_FID_4P_PILIM_20GB_D2_TV_BL5_CBAS_OF4"</t>
  </si>
  <si>
    <t>20000False"TV Start HD""VX 35mb""Franquia ilimitada"39.9"OT_MIG_JUL18_FID_4P_PILIM_20GB_D2_TV_BL5_CBAS_OF4"</t>
  </si>
  <si>
    <t>20000False"TV Mix HD""VX 35mb""Franquia ilimitada"39.9"OT_MIG_JUL18_FID_4P_PILIM_20GB_D2_TV_BL5_CBAS_OF4"</t>
  </si>
  <si>
    <t>20000False"TV Mix HBOMAX HD""VX 35mb""Franquia ilimitada"39.9"OT_MIG_JUL18_FID_4P_PILIM_20GB_D2_TV_BL5_CBAS_OF4"</t>
  </si>
  <si>
    <t>20000False"TV Mix Telecine HD""VX 35mb""Franquia ilimitada"39.9"OT_MIG_JUL18_FID_4P_PILIM_20GB_D2_TV_BL5_CBAS_OF4"</t>
  </si>
  <si>
    <t>20000False"TV Mix Cinema HD""VX 35mb""Franquia ilimitada"39.9"OT_MIG_JUL18_FID_4P_PILIM_20GB_D2_TV_BL5_CBAS_OF4"</t>
  </si>
  <si>
    <t>20000False"TV Total HD""VX 35mb""Franquia ilimitada"39.9"OT_MIG_JUL18_FID_4P_PILIM_20GB_D2_TV_BL5_CBAS_OF4"</t>
  </si>
  <si>
    <t>20000False"TV Total HBOMAX HD""VX 35mb""Franquia ilimitada"39.9"OT_MIG_JUL18_FID_4P_PILIM_20GB_D2_TV_BL5_CBAS_OF4"</t>
  </si>
  <si>
    <t>20000False"TV Total Telecine HD""VX 35mb""Franquia ilimitada"39.9"OT_MIG_JUL18_FID_4P_PILIM_20GB_D2_TV_BL5_CBAS_OF4"</t>
  </si>
  <si>
    <t>20000False"TV Total Cinema HD""VX 35mb""Franquia ilimitada"39.9"OT_MIG_JUL18_FID_4P_PILIM_20GB_D2_TV_BL5_CBAS_OF4"</t>
  </si>
  <si>
    <t>20000True"TV Total HD""VX 35mb""Franquia ilimitada"39.9"OT_MIG_JUL18_FID_4P_PILIM_20GB_D2_TV_BL5_CBAS_OF4"</t>
  </si>
  <si>
    <t>20000True"TV Total HBOMAX HD""VX 35mb""Franquia ilimitada"39.9"OT_MIG_JUL18_FID_4P_PILIM_20GB_D2_TV_BL5_CBAS_OF4"</t>
  </si>
  <si>
    <t>20000True"TV Total Telecine HD""VX 35mb""Franquia ilimitada"39.9"OT_MIG_JUL18_FID_4P_PILIM_20GB_D2_TV_BL5_CBAS_OF4"</t>
  </si>
  <si>
    <t>20000True"TV Total Cinema HD""VX 35mb""Franquia ilimitada"39.9"OT_MIG_JUL18_FID_4P_PILIM_20GB_D2_TV_BL5_CBAS_OF4"</t>
  </si>
  <si>
    <t>"OT_MIG_JUL18_FID_4P_PILIM_4GB_D3_TV_BL2_OF1"</t>
  </si>
  <si>
    <t>4000False"TV Start HD""VX Até 2mb""Franquia ilimitada"49.9"OT_MIG_JUL18_FID_4P_PILIM_4GB_D3_TV_BL2_OF1"</t>
  </si>
  <si>
    <t>4000False"TV Mix HD""VX Até 2mb""Franquia ilimitada"49.9"OT_MIG_JUL18_FID_4P_PILIM_4GB_D3_TV_BL2_OF1"</t>
  </si>
  <si>
    <t>4000False"TV Mix HBOMAX HD""VX Até 2mb""Franquia ilimitada"49.9"OT_MIG_JUL18_FID_4P_PILIM_4GB_D3_TV_BL2_OF1"</t>
  </si>
  <si>
    <t>4000False"TV Mix Telecine HD""VX Até 2mb""Franquia ilimitada"49.9"OT_MIG_JUL18_FID_4P_PILIM_4GB_D3_TV_BL2_OF1"</t>
  </si>
  <si>
    <t>4000False"TV Mix Cinema HD""VX Até 2mb""Franquia ilimitada"49.9"OT_MIG_JUL18_FID_4P_PILIM_4GB_D3_TV_BL2_OF1"</t>
  </si>
  <si>
    <t>4000False"TV Total HD""VX Até 2mb""Franquia ilimitada"49.9"OT_MIG_JUL18_FID_4P_PILIM_4GB_D3_TV_BL2_OF1"</t>
  </si>
  <si>
    <t>4000False"TV Total HBOMAX HD""VX Até 2mb""Franquia ilimitada"49.9"OT_MIG_JUL18_FID_4P_PILIM_4GB_D3_TV_BL2_OF1"</t>
  </si>
  <si>
    <t>4000False"TV Total Telecine HD""VX Até 2mb""Franquia ilimitada"49.9"OT_MIG_JUL18_FID_4P_PILIM_4GB_D3_TV_BL2_OF1"</t>
  </si>
  <si>
    <t>4000False"TV Total Cinema HD""VX Até 2mb""Franquia ilimitada"49.9"OT_MIG_JUL18_FID_4P_PILIM_4GB_D3_TV_BL2_OF1"</t>
  </si>
  <si>
    <t>4000True"TV Total HD""VX Até 2mb""Franquia ilimitada"49.9"OT_MIG_JUL18_FID_4P_PILIM_4GB_D3_TV_BL2_OF1"</t>
  </si>
  <si>
    <t>4000True"TV Total HBOMAX HD""VX Até 2mb""Franquia ilimitada"49.9"OT_MIG_JUL18_FID_4P_PILIM_4GB_D3_TV_BL2_OF1"</t>
  </si>
  <si>
    <t>4000True"TV Total Telecine HD""VX Até 2mb""Franquia ilimitada"49.9"OT_MIG_JUL18_FID_4P_PILIM_4GB_D3_TV_BL2_OF1"</t>
  </si>
  <si>
    <t>4000True"TV Total Cinema HD""VX Até 2mb""Franquia ilimitada"49.9"OT_MIG_JUL18_FID_4P_PILIM_4GB_D3_TV_BL2_OF1"</t>
  </si>
  <si>
    <t>4000False"TV Start HD""BLM 10gb""Franquia ilimitada"49.9"OT_MIG_JUL18_FID_4P_PILIM_4GB_D3_TV_BL2_OF1"</t>
  </si>
  <si>
    <t>4000False"TV Mix HD""BLM 10gb""Franquia ilimitada"49.9"OT_MIG_JUL18_FID_4P_PILIM_4GB_D3_TV_BL2_OF1"</t>
  </si>
  <si>
    <t>4000False"TV Mix HBOMAX HD""BLM 10gb""Franquia ilimitada"49.9"OT_MIG_JUL18_FID_4P_PILIM_4GB_D3_TV_BL2_OF1"</t>
  </si>
  <si>
    <t>4000False"TV Mix Telecine HD""BLM 10gb""Franquia ilimitada"49.9"OT_MIG_JUL18_FID_4P_PILIM_4GB_D3_TV_BL2_OF1"</t>
  </si>
  <si>
    <t>4000False"TV Mix Cinema HD""BLM 10gb""Franquia ilimitada"49.9"OT_MIG_JUL18_FID_4P_PILIM_4GB_D3_TV_BL2_OF1"</t>
  </si>
  <si>
    <t>4000False"TV Total HD""BLM 10gb""Franquia ilimitada"49.9"OT_MIG_JUL18_FID_4P_PILIM_4GB_D3_TV_BL2_OF1"</t>
  </si>
  <si>
    <t>4000False"TV Total HBOMAX HD""BLM 10gb""Franquia ilimitada"49.9"OT_MIG_JUL18_FID_4P_PILIM_4GB_D3_TV_BL2_OF1"</t>
  </si>
  <si>
    <t>4000False"TV Total Telecine HD""BLM 10gb""Franquia ilimitada"49.9"OT_MIG_JUL18_FID_4P_PILIM_4GB_D3_TV_BL2_OF1"</t>
  </si>
  <si>
    <t>4000False"TV Total Cinema HD""BLM 10gb""Franquia ilimitada"49.9"OT_MIG_JUL18_FID_4P_PILIM_4GB_D3_TV_BL2_OF1"</t>
  </si>
  <si>
    <t>4000True"TV Total HD""BLM 10gb""Franquia ilimitada"49.9"OT_MIG_JUL18_FID_4P_PILIM_4GB_D3_TV_BL2_OF1"</t>
  </si>
  <si>
    <t>4000True"TV Total HBOMAX HD""BLM 10gb""Franquia ilimitada"49.9"OT_MIG_JUL18_FID_4P_PILIM_4GB_D3_TV_BL2_OF1"</t>
  </si>
  <si>
    <t>4000True"TV Total Telecine HD""BLM 10gb""Franquia ilimitada"49.9"OT_MIG_JUL18_FID_4P_PILIM_4GB_D3_TV_BL2_OF1"</t>
  </si>
  <si>
    <t>4000True"TV Total Cinema HD""BLM 10gb""Franquia ilimitada"49.9"OT_MIG_JUL18_FID_4P_PILIM_4GB_D3_TV_BL2_OF1"</t>
  </si>
  <si>
    <t>"OT_MIG_JUL18_FID_4P_PILIM_4GB_D3_TV_BL5_CBAS_OF1"</t>
  </si>
  <si>
    <t>4000False"TV Start HD""VX Até 15mb""Franquia ilimitada"49.9"OT_MIG_JUL18_FID_4P_PILIM_4GB_D3_TV_BL5_CBAS_OF1"</t>
  </si>
  <si>
    <t>4000False"TV Mix HD""VX Até 15mb""Franquia ilimitada"49.9"OT_MIG_JUL18_FID_4P_PILIM_4GB_D3_TV_BL5_CBAS_OF1"</t>
  </si>
  <si>
    <t>4000False"TV Mix HBOMAX HD""VX Até 15mb""Franquia ilimitada"49.9"OT_MIG_JUL18_FID_4P_PILIM_4GB_D3_TV_BL5_CBAS_OF1"</t>
  </si>
  <si>
    <t>4000False"TV Mix Telecine HD""VX Até 15mb""Franquia ilimitada"49.9"OT_MIG_JUL18_FID_4P_PILIM_4GB_D3_TV_BL5_CBAS_OF1"</t>
  </si>
  <si>
    <t>4000False"TV Mix Cinema HD""VX Até 15mb""Franquia ilimitada"49.9"OT_MIG_JUL18_FID_4P_PILIM_4GB_D3_TV_BL5_CBAS_OF1"</t>
  </si>
  <si>
    <t>4000False"TV Total HD""VX Até 15mb""Franquia ilimitada"49.9"OT_MIG_JUL18_FID_4P_PILIM_4GB_D3_TV_BL5_CBAS_OF1"</t>
  </si>
  <si>
    <t>4000False"TV Total HBOMAX HD""VX Até 15mb""Franquia ilimitada"49.9"OT_MIG_JUL18_FID_4P_PILIM_4GB_D3_TV_BL5_CBAS_OF1"</t>
  </si>
  <si>
    <t>4000False"TV Total Telecine HD""VX Até 15mb""Franquia ilimitada"49.9"OT_MIG_JUL18_FID_4P_PILIM_4GB_D3_TV_BL5_CBAS_OF1"</t>
  </si>
  <si>
    <t>4000False"TV Total Cinema HD""VX Até 15mb""Franquia ilimitada"49.9"OT_MIG_JUL18_FID_4P_PILIM_4GB_D3_TV_BL5_CBAS_OF1"</t>
  </si>
  <si>
    <t>4000True"TV Total HD""VX Até 15mb""Franquia ilimitada"49.9"OT_MIG_JUL18_FID_4P_PILIM_4GB_D3_TV_BL5_CBAS_OF1"</t>
  </si>
  <si>
    <t>4000True"TV Total HBOMAX HD""VX Até 15mb""Franquia ilimitada"49.9"OT_MIG_JUL18_FID_4P_PILIM_4GB_D3_TV_BL5_CBAS_OF1"</t>
  </si>
  <si>
    <t>4000True"TV Total Telecine HD""VX Até 15mb""Franquia ilimitada"49.9"OT_MIG_JUL18_FID_4P_PILIM_4GB_D3_TV_BL5_CBAS_OF1"</t>
  </si>
  <si>
    <t>4000True"TV Total Cinema HD""VX Até 15mb""Franquia ilimitada"49.9"OT_MIG_JUL18_FID_4P_PILIM_4GB_D3_TV_BL5_CBAS_OF1"</t>
  </si>
  <si>
    <t>4000False"TV Start HD""VX Até 25mb""Franquia ilimitada"49.9"OT_MIG_JUL18_FID_4P_PILIM_4GB_D3_TV_BL5_CBAS_OF1"</t>
  </si>
  <si>
    <t>4000False"TV Mix HD""VX Até 25mb""Franquia ilimitada"49.9"OT_MIG_JUL18_FID_4P_PILIM_4GB_D3_TV_BL5_CBAS_OF1"</t>
  </si>
  <si>
    <t>4000False"TV Mix HBOMAX HD""VX Até 25mb""Franquia ilimitada"49.9"OT_MIG_JUL18_FID_4P_PILIM_4GB_D3_TV_BL5_CBAS_OF1"</t>
  </si>
  <si>
    <t>4000False"TV Mix Telecine HD""VX Até 25mb""Franquia ilimitada"49.9"OT_MIG_JUL18_FID_4P_PILIM_4GB_D3_TV_BL5_CBAS_OF1"</t>
  </si>
  <si>
    <t>4000False"TV Mix Cinema HD""VX Até 25mb""Franquia ilimitada"49.9"OT_MIG_JUL18_FID_4P_PILIM_4GB_D3_TV_BL5_CBAS_OF1"</t>
  </si>
  <si>
    <t>4000False"TV Total HD""VX Até 25mb""Franquia ilimitada"49.9"OT_MIG_JUL18_FID_4P_PILIM_4GB_D3_TV_BL5_CBAS_OF1"</t>
  </si>
  <si>
    <t>4000False"TV Total HBOMAX HD""VX Até 25mb""Franquia ilimitada"49.9"OT_MIG_JUL18_FID_4P_PILIM_4GB_D3_TV_BL5_CBAS_OF1"</t>
  </si>
  <si>
    <t>4000False"TV Total Telecine HD""VX Até 25mb""Franquia ilimitada"49.9"OT_MIG_JUL18_FID_4P_PILIM_4GB_D3_TV_BL5_CBAS_OF1"</t>
  </si>
  <si>
    <t>4000False"TV Total Cinema HD""VX Até 25mb""Franquia ilimitada"49.9"OT_MIG_JUL18_FID_4P_PILIM_4GB_D3_TV_BL5_CBAS_OF1"</t>
  </si>
  <si>
    <t>4000True"TV Total HD""VX Até 25mb""Franquia ilimitada"49.9"OT_MIG_JUL18_FID_4P_PILIM_4GB_D3_TV_BL5_CBAS_OF1"</t>
  </si>
  <si>
    <t>4000True"TV Total HBOMAX HD""VX Até 25mb""Franquia ilimitada"49.9"OT_MIG_JUL18_FID_4P_PILIM_4GB_D3_TV_BL5_CBAS_OF1"</t>
  </si>
  <si>
    <t>4000True"TV Total Telecine HD""VX Até 25mb""Franquia ilimitada"49.9"OT_MIG_JUL18_FID_4P_PILIM_4GB_D3_TV_BL5_CBAS_OF1"</t>
  </si>
  <si>
    <t>4000True"TV Total Cinema HD""VX Até 25mb""Franquia ilimitada"49.9"OT_MIG_JUL18_FID_4P_PILIM_4GB_D3_TV_BL5_CBAS_OF1"</t>
  </si>
  <si>
    <t>4000False"TV Start HD""VX 35mb""Franquia ilimitada"49.9"OT_MIG_JUL18_FID_4P_PILIM_4GB_D3_TV_BL5_CBAS_OF1"</t>
  </si>
  <si>
    <t>4000False"TV Mix HD""VX 35mb""Franquia ilimitada"49.9"OT_MIG_JUL18_FID_4P_PILIM_4GB_D3_TV_BL5_CBAS_OF1"</t>
  </si>
  <si>
    <t>4000False"TV Mix HBOMAX HD""VX 35mb""Franquia ilimitada"49.9"OT_MIG_JUL18_FID_4P_PILIM_4GB_D3_TV_BL5_CBAS_OF1"</t>
  </si>
  <si>
    <t>4000False"TV Mix Telecine HD""VX 35mb""Franquia ilimitada"49.9"OT_MIG_JUL18_FID_4P_PILIM_4GB_D3_TV_BL5_CBAS_OF1"</t>
  </si>
  <si>
    <t>4000False"TV Mix Cinema HD""VX 35mb""Franquia ilimitada"49.9"OT_MIG_JUL18_FID_4P_PILIM_4GB_D3_TV_BL5_CBAS_OF1"</t>
  </si>
  <si>
    <t>4000False"TV Total HD""VX 35mb""Franquia ilimitada"49.9"OT_MIG_JUL18_FID_4P_PILIM_4GB_D3_TV_BL5_CBAS_OF1"</t>
  </si>
  <si>
    <t>4000False"TV Total HBOMAX HD""VX 35mb""Franquia ilimitada"49.9"OT_MIG_JUL18_FID_4P_PILIM_4GB_D3_TV_BL5_CBAS_OF1"</t>
  </si>
  <si>
    <t>4000False"TV Total Telecine HD""VX 35mb""Franquia ilimitada"49.9"OT_MIG_JUL18_FID_4P_PILIM_4GB_D3_TV_BL5_CBAS_OF1"</t>
  </si>
  <si>
    <t>4000False"TV Total Cinema HD""VX 35mb""Franquia ilimitada"49.9"OT_MIG_JUL18_FID_4P_PILIM_4GB_D3_TV_BL5_CBAS_OF1"</t>
  </si>
  <si>
    <t>4000True"TV Total HD""VX 35mb""Franquia ilimitada"49.9"OT_MIG_JUL18_FID_4P_PILIM_4GB_D3_TV_BL5_CBAS_OF1"</t>
  </si>
  <si>
    <t>4000True"TV Total HBOMAX HD""VX 35mb""Franquia ilimitada"49.9"OT_MIG_JUL18_FID_4P_PILIM_4GB_D3_TV_BL5_CBAS_OF1"</t>
  </si>
  <si>
    <t>4000True"TV Total Telecine HD""VX 35mb""Franquia ilimitada"49.9"OT_MIG_JUL18_FID_4P_PILIM_4GB_D3_TV_BL5_CBAS_OF1"</t>
  </si>
  <si>
    <t>4000True"TV Total Cinema HD""VX 35mb""Franquia ilimitada"49.9"OT_MIG_JUL18_FID_4P_PILIM_4GB_D3_TV_BL5_CBAS_OF1"</t>
  </si>
  <si>
    <t>"OT_MIG_JUL18_FID_4P_PILIM_4GB_D3_LV_BL2_OF1"</t>
  </si>
  <si>
    <t>4000False"TV Livre HD""VX Até 2mb""Franquia ilimitada"49.9"OT_MIG_JUL18_FID_4P_PILIM_4GB_D3_LV_BL2_OF1"</t>
  </si>
  <si>
    <t>4000False"TV Livre HD""BLM 10gb""Franquia ilimitada"49.9"OT_MIG_JUL18_FID_4P_PILIM_4GB_D3_LV_BL2_OF1"</t>
  </si>
  <si>
    <t>"OT_MIG_JUL18_FID_4P_PILIM_4GB_D3_LV_BL5_CBAS_OF1"</t>
  </si>
  <si>
    <t>4000False"TV Livre HD""VX Até 15mb""Franquia ilimitada"49.9"OT_MIG_JUL18_FID_4P_PILIM_4GB_D3_LV_BL5_CBAS_OF1"</t>
  </si>
  <si>
    <t>4000False"TV Livre HD""VX Até 25mb""Franquia ilimitada"49.9"OT_MIG_JUL18_FID_4P_PILIM_4GB_D3_LV_BL5_CBAS_OF1"</t>
  </si>
  <si>
    <t>4000False"TV Livre HD""VX 35mb""Franquia ilimitada"49.9"OT_MIG_JUL18_FID_4P_PILIM_4GB_D3_LV_BL5_CBAS_OF1"</t>
  </si>
  <si>
    <t>"OT_MIG_JUL18_FID_4P_PILIM_4GB_D3_TV_BL2_OF2"</t>
  </si>
  <si>
    <t>4000False"TV Start HD""VX Até 2mb""Franquia ilimitada"49.9"OT_MIG_JUL18_FID_4P_PILIM_4GB_D3_TV_BL2_OF2"</t>
  </si>
  <si>
    <t>4000False"TV Mix HD""VX Até 2mb""Franquia ilimitada"49.9"OT_MIG_JUL18_FID_4P_PILIM_4GB_D3_TV_BL2_OF2"</t>
  </si>
  <si>
    <t>4000False"TV Mix HBOMAX HD""VX Até 2mb""Franquia ilimitada"49.9"OT_MIG_JUL18_FID_4P_PILIM_4GB_D3_TV_BL2_OF2"</t>
  </si>
  <si>
    <t>4000False"TV Mix Telecine HD""VX Até 2mb""Franquia ilimitada"49.9"OT_MIG_JUL18_FID_4P_PILIM_4GB_D3_TV_BL2_OF2"</t>
  </si>
  <si>
    <t>4000False"TV Mix Cinema HD""VX Até 2mb""Franquia ilimitada"49.9"OT_MIG_JUL18_FID_4P_PILIM_4GB_D3_TV_BL2_OF2"</t>
  </si>
  <si>
    <t>4000False"TV Total HD""VX Até 2mb""Franquia ilimitada"49.9"OT_MIG_JUL18_FID_4P_PILIM_4GB_D3_TV_BL2_OF2"</t>
  </si>
  <si>
    <t>4000False"TV Total HBOMAX HD""VX Até 2mb""Franquia ilimitada"49.9"OT_MIG_JUL18_FID_4P_PILIM_4GB_D3_TV_BL2_OF2"</t>
  </si>
  <si>
    <t>4000False"TV Total Telecine HD""VX Até 2mb""Franquia ilimitada"49.9"OT_MIG_JUL18_FID_4P_PILIM_4GB_D3_TV_BL2_OF2"</t>
  </si>
  <si>
    <t>4000False"TV Total Cinema HD""VX Até 2mb""Franquia ilimitada"49.9"OT_MIG_JUL18_FID_4P_PILIM_4GB_D3_TV_BL2_OF2"</t>
  </si>
  <si>
    <t>4000True"TV Total HD""VX Até 2mb""Franquia ilimitada"49.9"OT_MIG_JUL18_FID_4P_PILIM_4GB_D3_TV_BL2_OF2"</t>
  </si>
  <si>
    <t>4000True"TV Total HBOMAX HD""VX Até 2mb""Franquia ilimitada"49.9"OT_MIG_JUL18_FID_4P_PILIM_4GB_D3_TV_BL2_OF2"</t>
  </si>
  <si>
    <t>4000True"TV Total Telecine HD""VX Até 2mb""Franquia ilimitada"49.9"OT_MIG_JUL18_FID_4P_PILIM_4GB_D3_TV_BL2_OF2"</t>
  </si>
  <si>
    <t>4000True"TV Total Cinema HD""VX Até 2mb""Franquia ilimitada"49.9"OT_MIG_JUL18_FID_4P_PILIM_4GB_D3_TV_BL2_OF2"</t>
  </si>
  <si>
    <t>4000False"TV Start HD""BLM 10gb""Franquia ilimitada"49.9"OT_MIG_JUL18_FID_4P_PILIM_4GB_D3_TV_BL2_OF2"</t>
  </si>
  <si>
    <t>4000False"TV Mix HD""BLM 10gb""Franquia ilimitada"49.9"OT_MIG_JUL18_FID_4P_PILIM_4GB_D3_TV_BL2_OF2"</t>
  </si>
  <si>
    <t>4000False"TV Mix HBOMAX HD""BLM 10gb""Franquia ilimitada"49.9"OT_MIG_JUL18_FID_4P_PILIM_4GB_D3_TV_BL2_OF2"</t>
  </si>
  <si>
    <t>4000False"TV Mix Telecine HD""BLM 10gb""Franquia ilimitada"49.9"OT_MIG_JUL18_FID_4P_PILIM_4GB_D3_TV_BL2_OF2"</t>
  </si>
  <si>
    <t>4000False"TV Mix Cinema HD""BLM 10gb""Franquia ilimitada"49.9"OT_MIG_JUL18_FID_4P_PILIM_4GB_D3_TV_BL2_OF2"</t>
  </si>
  <si>
    <t>4000False"TV Total HD""BLM 10gb""Franquia ilimitada"49.9"OT_MIG_JUL18_FID_4P_PILIM_4GB_D3_TV_BL2_OF2"</t>
  </si>
  <si>
    <t>4000False"TV Total HBOMAX HD""BLM 10gb""Franquia ilimitada"49.9"OT_MIG_JUL18_FID_4P_PILIM_4GB_D3_TV_BL2_OF2"</t>
  </si>
  <si>
    <t>4000False"TV Total Telecine HD""BLM 10gb""Franquia ilimitada"49.9"OT_MIG_JUL18_FID_4P_PILIM_4GB_D3_TV_BL2_OF2"</t>
  </si>
  <si>
    <t>4000False"TV Total Cinema HD""BLM 10gb""Franquia ilimitada"49.9"OT_MIG_JUL18_FID_4P_PILIM_4GB_D3_TV_BL2_OF2"</t>
  </si>
  <si>
    <t>4000True"TV Total HD""BLM 10gb""Franquia ilimitada"49.9"OT_MIG_JUL18_FID_4P_PILIM_4GB_D3_TV_BL2_OF2"</t>
  </si>
  <si>
    <t>4000True"TV Total HBOMAX HD""BLM 10gb""Franquia ilimitada"49.9"OT_MIG_JUL18_FID_4P_PILIM_4GB_D3_TV_BL2_OF2"</t>
  </si>
  <si>
    <t>4000True"TV Total Telecine HD""BLM 10gb""Franquia ilimitada"49.9"OT_MIG_JUL18_FID_4P_PILIM_4GB_D3_TV_BL2_OF2"</t>
  </si>
  <si>
    <t>4000True"TV Total Cinema HD""BLM 10gb""Franquia ilimitada"49.9"OT_MIG_JUL18_FID_4P_PILIM_4GB_D3_TV_BL2_OF2"</t>
  </si>
  <si>
    <t>"OT_MIG_JUL18_FID_4P_PILIM_4GB_D3_TV_BL5_CBAS_OF2"</t>
  </si>
  <si>
    <t>4000False"TV Start HD""VX Até 15mb""Franquia ilimitada"49.9"OT_MIG_JUL18_FID_4P_PILIM_4GB_D3_TV_BL5_CBAS_OF2"</t>
  </si>
  <si>
    <t>4000False"TV Mix HD""VX Até 15mb""Franquia ilimitada"49.9"OT_MIG_JUL18_FID_4P_PILIM_4GB_D3_TV_BL5_CBAS_OF2"</t>
  </si>
  <si>
    <t>4000False"TV Mix HBOMAX HD""VX Até 15mb""Franquia ilimitada"49.9"OT_MIG_JUL18_FID_4P_PILIM_4GB_D3_TV_BL5_CBAS_OF2"</t>
  </si>
  <si>
    <t>4000False"TV Mix Telecine HD""VX Até 15mb""Franquia ilimitada"49.9"OT_MIG_JUL18_FID_4P_PILIM_4GB_D3_TV_BL5_CBAS_OF2"</t>
  </si>
  <si>
    <t>4000False"TV Mix Cinema HD""VX Até 15mb""Franquia ilimitada"49.9"OT_MIG_JUL18_FID_4P_PILIM_4GB_D3_TV_BL5_CBAS_OF2"</t>
  </si>
  <si>
    <t>4000False"TV Total HD""VX Até 15mb""Franquia ilimitada"49.9"OT_MIG_JUL18_FID_4P_PILIM_4GB_D3_TV_BL5_CBAS_OF2"</t>
  </si>
  <si>
    <t>4000False"TV Total HBOMAX HD""VX Até 15mb""Franquia ilimitada"49.9"OT_MIG_JUL18_FID_4P_PILIM_4GB_D3_TV_BL5_CBAS_OF2"</t>
  </si>
  <si>
    <t>4000False"TV Total Telecine HD""VX Até 15mb""Franquia ilimitada"49.9"OT_MIG_JUL18_FID_4P_PILIM_4GB_D3_TV_BL5_CBAS_OF2"</t>
  </si>
  <si>
    <t>4000False"TV Total Cinema HD""VX Até 15mb""Franquia ilimitada"49.9"OT_MIG_JUL18_FID_4P_PILIM_4GB_D3_TV_BL5_CBAS_OF2"</t>
  </si>
  <si>
    <t>4000True"TV Total HD""VX Até 15mb""Franquia ilimitada"49.9"OT_MIG_JUL18_FID_4P_PILIM_4GB_D3_TV_BL5_CBAS_OF2"</t>
  </si>
  <si>
    <t>4000True"TV Total HBOMAX HD""VX Até 15mb""Franquia ilimitada"49.9"OT_MIG_JUL18_FID_4P_PILIM_4GB_D3_TV_BL5_CBAS_OF2"</t>
  </si>
  <si>
    <t>4000True"TV Total Telecine HD""VX Até 15mb""Franquia ilimitada"49.9"OT_MIG_JUL18_FID_4P_PILIM_4GB_D3_TV_BL5_CBAS_OF2"</t>
  </si>
  <si>
    <t>4000True"TV Total Cinema HD""VX Até 15mb""Franquia ilimitada"49.9"OT_MIG_JUL18_FID_4P_PILIM_4GB_D3_TV_BL5_CBAS_OF2"</t>
  </si>
  <si>
    <t>4000False"TV Start HD""VX Até 25mb""Franquia ilimitada"49.9"OT_MIG_JUL18_FID_4P_PILIM_4GB_D3_TV_BL5_CBAS_OF2"</t>
  </si>
  <si>
    <t>4000False"TV Mix HD""VX Até 25mb""Franquia ilimitada"49.9"OT_MIG_JUL18_FID_4P_PILIM_4GB_D3_TV_BL5_CBAS_OF2"</t>
  </si>
  <si>
    <t>4000False"TV Mix HBOMAX HD""VX Até 25mb""Franquia ilimitada"49.9"OT_MIG_JUL18_FID_4P_PILIM_4GB_D3_TV_BL5_CBAS_OF2"</t>
  </si>
  <si>
    <t>4000False"TV Mix Telecine HD""VX Até 25mb""Franquia ilimitada"49.9"OT_MIG_JUL18_FID_4P_PILIM_4GB_D3_TV_BL5_CBAS_OF2"</t>
  </si>
  <si>
    <t>4000False"TV Mix Cinema HD""VX Até 25mb""Franquia ilimitada"49.9"OT_MIG_JUL18_FID_4P_PILIM_4GB_D3_TV_BL5_CBAS_OF2"</t>
  </si>
  <si>
    <t>4000False"TV Total HD""VX Até 25mb""Franquia ilimitada"49.9"OT_MIG_JUL18_FID_4P_PILIM_4GB_D3_TV_BL5_CBAS_OF2"</t>
  </si>
  <si>
    <t>4000False"TV Total HBOMAX HD""VX Até 25mb""Franquia ilimitada"49.9"OT_MIG_JUL18_FID_4P_PILIM_4GB_D3_TV_BL5_CBAS_OF2"</t>
  </si>
  <si>
    <t>4000False"TV Total Telecine HD""VX Até 25mb""Franquia ilimitada"49.9"OT_MIG_JUL18_FID_4P_PILIM_4GB_D3_TV_BL5_CBAS_OF2"</t>
  </si>
  <si>
    <t>4000False"TV Total Cinema HD""VX Até 25mb""Franquia ilimitada"49.9"OT_MIG_JUL18_FID_4P_PILIM_4GB_D3_TV_BL5_CBAS_OF2"</t>
  </si>
  <si>
    <t>4000True"TV Total HD""VX Até 25mb""Franquia ilimitada"49.9"OT_MIG_JUL18_FID_4P_PILIM_4GB_D3_TV_BL5_CBAS_OF2"</t>
  </si>
  <si>
    <t>4000True"TV Total HBOMAX HD""VX Até 25mb""Franquia ilimitada"49.9"OT_MIG_JUL18_FID_4P_PILIM_4GB_D3_TV_BL5_CBAS_OF2"</t>
  </si>
  <si>
    <t>4000True"TV Total Telecine HD""VX Até 25mb""Franquia ilimitada"49.9"OT_MIG_JUL18_FID_4P_PILIM_4GB_D3_TV_BL5_CBAS_OF2"</t>
  </si>
  <si>
    <t>4000True"TV Total Cinema HD""VX Até 25mb""Franquia ilimitada"49.9"OT_MIG_JUL18_FID_4P_PILIM_4GB_D3_TV_BL5_CBAS_OF2"</t>
  </si>
  <si>
    <t>4000False"TV Start HD""VX 35mb""Franquia ilimitada"49.9"OT_MIG_JUL18_FID_4P_PILIM_4GB_D3_TV_BL5_CBAS_OF2"</t>
  </si>
  <si>
    <t>4000False"TV Mix HD""VX 35mb""Franquia ilimitada"49.9"OT_MIG_JUL18_FID_4P_PILIM_4GB_D3_TV_BL5_CBAS_OF2"</t>
  </si>
  <si>
    <t>4000False"TV Mix HBOMAX HD""VX 35mb""Franquia ilimitada"49.9"OT_MIG_JUL18_FID_4P_PILIM_4GB_D3_TV_BL5_CBAS_OF2"</t>
  </si>
  <si>
    <t>4000False"TV Mix Telecine HD""VX 35mb""Franquia ilimitada"49.9"OT_MIG_JUL18_FID_4P_PILIM_4GB_D3_TV_BL5_CBAS_OF2"</t>
  </si>
  <si>
    <t>4000False"TV Mix Cinema HD""VX 35mb""Franquia ilimitada"49.9"OT_MIG_JUL18_FID_4P_PILIM_4GB_D3_TV_BL5_CBAS_OF2"</t>
  </si>
  <si>
    <t>4000False"TV Total HD""VX 35mb""Franquia ilimitada"49.9"OT_MIG_JUL18_FID_4P_PILIM_4GB_D3_TV_BL5_CBAS_OF2"</t>
  </si>
  <si>
    <t>4000False"TV Total HBOMAX HD""VX 35mb""Franquia ilimitada"49.9"OT_MIG_JUL18_FID_4P_PILIM_4GB_D3_TV_BL5_CBAS_OF2"</t>
  </si>
  <si>
    <t>4000False"TV Total Telecine HD""VX 35mb""Franquia ilimitada"49.9"OT_MIG_JUL18_FID_4P_PILIM_4GB_D3_TV_BL5_CBAS_OF2"</t>
  </si>
  <si>
    <t>4000False"TV Total Cinema HD""VX 35mb""Franquia ilimitada"49.9"OT_MIG_JUL18_FID_4P_PILIM_4GB_D3_TV_BL5_CBAS_OF2"</t>
  </si>
  <si>
    <t>4000True"TV Total HD""VX 35mb""Franquia ilimitada"49.9"OT_MIG_JUL18_FID_4P_PILIM_4GB_D3_TV_BL5_CBAS_OF2"</t>
  </si>
  <si>
    <t>4000True"TV Total HBOMAX HD""VX 35mb""Franquia ilimitada"49.9"OT_MIG_JUL18_FID_4P_PILIM_4GB_D3_TV_BL5_CBAS_OF2"</t>
  </si>
  <si>
    <t>4000True"TV Total Telecine HD""VX 35mb""Franquia ilimitada"49.9"OT_MIG_JUL18_FID_4P_PILIM_4GB_D3_TV_BL5_CBAS_OF2"</t>
  </si>
  <si>
    <t>4000True"TV Total Cinema HD""VX 35mb""Franquia ilimitada"49.9"OT_MIG_JUL18_FID_4P_PILIM_4GB_D3_TV_BL5_CBAS_OF2"</t>
  </si>
  <si>
    <t>"OT_MIG_JUL18_FID_4P_PILIM_4GB_D3_TV_BL2_OF3"</t>
  </si>
  <si>
    <t>4000False"TV Start HD""VX Até 2mb""Franquia ilimitada"49.9"OT_MIG_JUL18_FID_4P_PILIM_4GB_D3_TV_BL2_OF3"</t>
  </si>
  <si>
    <t>4000False"TV Mix HD""VX Até 2mb""Franquia ilimitada"49.9"OT_MIG_JUL18_FID_4P_PILIM_4GB_D3_TV_BL2_OF3"</t>
  </si>
  <si>
    <t>4000False"TV Mix HBOMAX HD""VX Até 2mb""Franquia ilimitada"49.9"OT_MIG_JUL18_FID_4P_PILIM_4GB_D3_TV_BL2_OF3"</t>
  </si>
  <si>
    <t>4000False"TV Mix Telecine HD""VX Até 2mb""Franquia ilimitada"49.9"OT_MIG_JUL18_FID_4P_PILIM_4GB_D3_TV_BL2_OF3"</t>
  </si>
  <si>
    <t>4000False"TV Mix Cinema HD""VX Até 2mb""Franquia ilimitada"49.9"OT_MIG_JUL18_FID_4P_PILIM_4GB_D3_TV_BL2_OF3"</t>
  </si>
  <si>
    <t>4000False"TV Total HD""VX Até 2mb""Franquia ilimitada"49.9"OT_MIG_JUL18_FID_4P_PILIM_4GB_D3_TV_BL2_OF3"</t>
  </si>
  <si>
    <t>4000False"TV Total HBOMAX HD""VX Até 2mb""Franquia ilimitada"49.9"OT_MIG_JUL18_FID_4P_PILIM_4GB_D3_TV_BL2_OF3"</t>
  </si>
  <si>
    <t>4000False"TV Total Telecine HD""VX Até 2mb""Franquia ilimitada"49.9"OT_MIG_JUL18_FID_4P_PILIM_4GB_D3_TV_BL2_OF3"</t>
  </si>
  <si>
    <t>4000False"TV Total Cinema HD""VX Até 2mb""Franquia ilimitada"49.9"OT_MIG_JUL18_FID_4P_PILIM_4GB_D3_TV_BL2_OF3"</t>
  </si>
  <si>
    <t>4000True"TV Total HD""VX Até 2mb""Franquia ilimitada"49.9"OT_MIG_JUL18_FID_4P_PILIM_4GB_D3_TV_BL2_OF3"</t>
  </si>
  <si>
    <t>4000True"TV Total HBOMAX HD""VX Até 2mb""Franquia ilimitada"49.9"OT_MIG_JUL18_FID_4P_PILIM_4GB_D3_TV_BL2_OF3"</t>
  </si>
  <si>
    <t>4000True"TV Total Telecine HD""VX Até 2mb""Franquia ilimitada"49.9"OT_MIG_JUL18_FID_4P_PILIM_4GB_D3_TV_BL2_OF3"</t>
  </si>
  <si>
    <t>4000True"TV Total Cinema HD""VX Até 2mb""Franquia ilimitada"49.9"OT_MIG_JUL18_FID_4P_PILIM_4GB_D3_TV_BL2_OF3"</t>
  </si>
  <si>
    <t>4000False"TV Start HD""BLM 10gb""Franquia ilimitada"49.9"OT_MIG_JUL18_FID_4P_PILIM_4GB_D3_TV_BL2_OF3"</t>
  </si>
  <si>
    <t>4000False"TV Mix HD""BLM 10gb""Franquia ilimitada"49.9"OT_MIG_JUL18_FID_4P_PILIM_4GB_D3_TV_BL2_OF3"</t>
  </si>
  <si>
    <t>4000False"TV Mix HBOMAX HD""BLM 10gb""Franquia ilimitada"49.9"OT_MIG_JUL18_FID_4P_PILIM_4GB_D3_TV_BL2_OF3"</t>
  </si>
  <si>
    <t>4000False"TV Mix Telecine HD""BLM 10gb""Franquia ilimitada"49.9"OT_MIG_JUL18_FID_4P_PILIM_4GB_D3_TV_BL2_OF3"</t>
  </si>
  <si>
    <t>4000False"TV Mix Cinema HD""BLM 10gb""Franquia ilimitada"49.9"OT_MIG_JUL18_FID_4P_PILIM_4GB_D3_TV_BL2_OF3"</t>
  </si>
  <si>
    <t>4000False"TV Total HD""BLM 10gb""Franquia ilimitada"49.9"OT_MIG_JUL18_FID_4P_PILIM_4GB_D3_TV_BL2_OF3"</t>
  </si>
  <si>
    <t>4000False"TV Total HBOMAX HD""BLM 10gb""Franquia ilimitada"49.9"OT_MIG_JUL18_FID_4P_PILIM_4GB_D3_TV_BL2_OF3"</t>
  </si>
  <si>
    <t>4000False"TV Total Telecine HD""BLM 10gb""Franquia ilimitada"49.9"OT_MIG_JUL18_FID_4P_PILIM_4GB_D3_TV_BL2_OF3"</t>
  </si>
  <si>
    <t>4000False"TV Total Cinema HD""BLM 10gb""Franquia ilimitada"49.9"OT_MIG_JUL18_FID_4P_PILIM_4GB_D3_TV_BL2_OF3"</t>
  </si>
  <si>
    <t>4000True"TV Total HD""BLM 10gb""Franquia ilimitada"49.9"OT_MIG_JUL18_FID_4P_PILIM_4GB_D3_TV_BL2_OF3"</t>
  </si>
  <si>
    <t>4000True"TV Total HBOMAX HD""BLM 10gb""Franquia ilimitada"49.9"OT_MIG_JUL18_FID_4P_PILIM_4GB_D3_TV_BL2_OF3"</t>
  </si>
  <si>
    <t>4000True"TV Total Telecine HD""BLM 10gb""Franquia ilimitada"49.9"OT_MIG_JUL18_FID_4P_PILIM_4GB_D3_TV_BL2_OF3"</t>
  </si>
  <si>
    <t>4000True"TV Total Cinema HD""BLM 10gb""Franquia ilimitada"49.9"OT_MIG_JUL18_FID_4P_PILIM_4GB_D3_TV_BL2_OF3"</t>
  </si>
  <si>
    <t>"OT_MIG_JUL18_FID_4P_PILIM_4GB_D3_TV_BL5_CBAS_OF3"</t>
  </si>
  <si>
    <t>4000False"TV Start HD""VX Até 15mb""Franquia ilimitada"49.9"OT_MIG_JUL18_FID_4P_PILIM_4GB_D3_TV_BL5_CBAS_OF3"</t>
  </si>
  <si>
    <t>4000False"TV Mix HD""VX Até 15mb""Franquia ilimitada"49.9"OT_MIG_JUL18_FID_4P_PILIM_4GB_D3_TV_BL5_CBAS_OF3"</t>
  </si>
  <si>
    <t>4000False"TV Mix HBOMAX HD""VX Até 15mb""Franquia ilimitada"49.9"OT_MIG_JUL18_FID_4P_PILIM_4GB_D3_TV_BL5_CBAS_OF3"</t>
  </si>
  <si>
    <t>4000False"TV Mix Telecine HD""VX Até 15mb""Franquia ilimitada"49.9"OT_MIG_JUL18_FID_4P_PILIM_4GB_D3_TV_BL5_CBAS_OF3"</t>
  </si>
  <si>
    <t>4000False"TV Mix Cinema HD""VX Até 15mb""Franquia ilimitada"49.9"OT_MIG_JUL18_FID_4P_PILIM_4GB_D3_TV_BL5_CBAS_OF3"</t>
  </si>
  <si>
    <t>4000False"TV Total HD""VX Até 15mb""Franquia ilimitada"49.9"OT_MIG_JUL18_FID_4P_PILIM_4GB_D3_TV_BL5_CBAS_OF3"</t>
  </si>
  <si>
    <t>4000False"TV Total HBOMAX HD""VX Até 15mb""Franquia ilimitada"49.9"OT_MIG_JUL18_FID_4P_PILIM_4GB_D3_TV_BL5_CBAS_OF3"</t>
  </si>
  <si>
    <t>4000False"TV Total Telecine HD""VX Até 15mb""Franquia ilimitada"49.9"OT_MIG_JUL18_FID_4P_PILIM_4GB_D3_TV_BL5_CBAS_OF3"</t>
  </si>
  <si>
    <t>4000False"TV Total Cinema HD""VX Até 15mb""Franquia ilimitada"49.9"OT_MIG_JUL18_FID_4P_PILIM_4GB_D3_TV_BL5_CBAS_OF3"</t>
  </si>
  <si>
    <t>4000True"TV Total HD""VX Até 15mb""Franquia ilimitada"49.9"OT_MIG_JUL18_FID_4P_PILIM_4GB_D3_TV_BL5_CBAS_OF3"</t>
  </si>
  <si>
    <t>4000True"TV Total HBOMAX HD""VX Até 15mb""Franquia ilimitada"49.9"OT_MIG_JUL18_FID_4P_PILIM_4GB_D3_TV_BL5_CBAS_OF3"</t>
  </si>
  <si>
    <t>4000True"TV Total Telecine HD""VX Até 15mb""Franquia ilimitada"49.9"OT_MIG_JUL18_FID_4P_PILIM_4GB_D3_TV_BL5_CBAS_OF3"</t>
  </si>
  <si>
    <t>4000True"TV Total Cinema HD""VX Até 15mb""Franquia ilimitada"49.9"OT_MIG_JUL18_FID_4P_PILIM_4GB_D3_TV_BL5_CBAS_OF3"</t>
  </si>
  <si>
    <t>4000False"TV Start HD""VX Até 25mb""Franquia ilimitada"49.9"OT_MIG_JUL18_FID_4P_PILIM_4GB_D3_TV_BL5_CBAS_OF3"</t>
  </si>
  <si>
    <t>4000False"TV Mix HD""VX Até 25mb""Franquia ilimitada"49.9"OT_MIG_JUL18_FID_4P_PILIM_4GB_D3_TV_BL5_CBAS_OF3"</t>
  </si>
  <si>
    <t>4000False"TV Mix HBOMAX HD""VX Até 25mb""Franquia ilimitada"49.9"OT_MIG_JUL18_FID_4P_PILIM_4GB_D3_TV_BL5_CBAS_OF3"</t>
  </si>
  <si>
    <t>4000False"TV Mix Telecine HD""VX Até 25mb""Franquia ilimitada"49.9"OT_MIG_JUL18_FID_4P_PILIM_4GB_D3_TV_BL5_CBAS_OF3"</t>
  </si>
  <si>
    <t>4000False"TV Mix Cinema HD""VX Até 25mb""Franquia ilimitada"49.9"OT_MIG_JUL18_FID_4P_PILIM_4GB_D3_TV_BL5_CBAS_OF3"</t>
  </si>
  <si>
    <t>4000False"TV Total HD""VX Até 25mb""Franquia ilimitada"49.9"OT_MIG_JUL18_FID_4P_PILIM_4GB_D3_TV_BL5_CBAS_OF3"</t>
  </si>
  <si>
    <t>4000False"TV Total HBOMAX HD""VX Até 25mb""Franquia ilimitada"49.9"OT_MIG_JUL18_FID_4P_PILIM_4GB_D3_TV_BL5_CBAS_OF3"</t>
  </si>
  <si>
    <t>4000False"TV Total Telecine HD""VX Até 25mb""Franquia ilimitada"49.9"OT_MIG_JUL18_FID_4P_PILIM_4GB_D3_TV_BL5_CBAS_OF3"</t>
  </si>
  <si>
    <t>4000False"TV Total Cinema HD""VX Até 25mb""Franquia ilimitada"49.9"OT_MIG_JUL18_FID_4P_PILIM_4GB_D3_TV_BL5_CBAS_OF3"</t>
  </si>
  <si>
    <t>4000True"TV Total HD""VX Até 25mb""Franquia ilimitada"49.9"OT_MIG_JUL18_FID_4P_PILIM_4GB_D3_TV_BL5_CBAS_OF3"</t>
  </si>
  <si>
    <t>4000True"TV Total HBOMAX HD""VX Até 25mb""Franquia ilimitada"49.9"OT_MIG_JUL18_FID_4P_PILIM_4GB_D3_TV_BL5_CBAS_OF3"</t>
  </si>
  <si>
    <t>4000True"TV Total Telecine HD""VX Até 25mb""Franquia ilimitada"49.9"OT_MIG_JUL18_FID_4P_PILIM_4GB_D3_TV_BL5_CBAS_OF3"</t>
  </si>
  <si>
    <t>4000True"TV Total Cinema HD""VX Até 25mb""Franquia ilimitada"49.9"OT_MIG_JUL18_FID_4P_PILIM_4GB_D3_TV_BL5_CBAS_OF3"</t>
  </si>
  <si>
    <t>4000False"TV Start HD""VX 35mb""Franquia ilimitada"49.9"OT_MIG_JUL18_FID_4P_PILIM_4GB_D3_TV_BL5_CBAS_OF3"</t>
  </si>
  <si>
    <t>4000False"TV Mix HD""VX 35mb""Franquia ilimitada"49.9"OT_MIG_JUL18_FID_4P_PILIM_4GB_D3_TV_BL5_CBAS_OF3"</t>
  </si>
  <si>
    <t>4000False"TV Mix HBOMAX HD""VX 35mb""Franquia ilimitada"49.9"OT_MIG_JUL18_FID_4P_PILIM_4GB_D3_TV_BL5_CBAS_OF3"</t>
  </si>
  <si>
    <t>4000False"TV Mix Telecine HD""VX 35mb""Franquia ilimitada"49.9"OT_MIG_JUL18_FID_4P_PILIM_4GB_D3_TV_BL5_CBAS_OF3"</t>
  </si>
  <si>
    <t>4000False"TV Mix Cinema HD""VX 35mb""Franquia ilimitada"49.9"OT_MIG_JUL18_FID_4P_PILIM_4GB_D3_TV_BL5_CBAS_OF3"</t>
  </si>
  <si>
    <t>4000False"TV Total HD""VX 35mb""Franquia ilimitada"49.9"OT_MIG_JUL18_FID_4P_PILIM_4GB_D3_TV_BL5_CBAS_OF3"</t>
  </si>
  <si>
    <t>4000False"TV Total HBOMAX HD""VX 35mb""Franquia ilimitada"49.9"OT_MIG_JUL18_FID_4P_PILIM_4GB_D3_TV_BL5_CBAS_OF3"</t>
  </si>
  <si>
    <t>4000False"TV Total Telecine HD""VX 35mb""Franquia ilimitada"49.9"OT_MIG_JUL18_FID_4P_PILIM_4GB_D3_TV_BL5_CBAS_OF3"</t>
  </si>
  <si>
    <t>4000False"TV Total Cinema HD""VX 35mb""Franquia ilimitada"49.9"OT_MIG_JUL18_FID_4P_PILIM_4GB_D3_TV_BL5_CBAS_OF3"</t>
  </si>
  <si>
    <t>4000True"TV Total HD""VX 35mb""Franquia ilimitada"49.9"OT_MIG_JUL18_FID_4P_PILIM_4GB_D3_TV_BL5_CBAS_OF3"</t>
  </si>
  <si>
    <t>4000True"TV Total HBOMAX HD""VX 35mb""Franquia ilimitada"49.9"OT_MIG_JUL18_FID_4P_PILIM_4GB_D3_TV_BL5_CBAS_OF3"</t>
  </si>
  <si>
    <t>4000True"TV Total Telecine HD""VX 35mb""Franquia ilimitada"49.9"OT_MIG_JUL18_FID_4P_PILIM_4GB_D3_TV_BL5_CBAS_OF3"</t>
  </si>
  <si>
    <t>4000True"TV Total Cinema HD""VX 35mb""Franquia ilimitada"49.9"OT_MIG_JUL18_FID_4P_PILIM_4GB_D3_TV_BL5_CBAS_OF3"</t>
  </si>
  <si>
    <t>"OT_MIG_JUL18_FID_4P_PILIM_4GB_D3_TV_BL2_OF4"</t>
  </si>
  <si>
    <t>4000False"TV Start HD""VX Até 2mb""Franquia ilimitada"49.9"OT_MIG_JUL18_FID_4P_PILIM_4GB_D3_TV_BL2_OF4"</t>
  </si>
  <si>
    <t>4000False"TV Mix HD""VX Até 2mb""Franquia ilimitada"49.9"OT_MIG_JUL18_FID_4P_PILIM_4GB_D3_TV_BL2_OF4"</t>
  </si>
  <si>
    <t>4000False"TV Mix HBOMAX HD""VX Até 2mb""Franquia ilimitada"49.9"OT_MIG_JUL18_FID_4P_PILIM_4GB_D3_TV_BL2_OF4"</t>
  </si>
  <si>
    <t>4000False"TV Mix Telecine HD""VX Até 2mb""Franquia ilimitada"49.9"OT_MIG_JUL18_FID_4P_PILIM_4GB_D3_TV_BL2_OF4"</t>
  </si>
  <si>
    <t>4000False"TV Mix Cinema HD""VX Até 2mb""Franquia ilimitada"49.9"OT_MIG_JUL18_FID_4P_PILIM_4GB_D3_TV_BL2_OF4"</t>
  </si>
  <si>
    <t>4000False"TV Total HD""VX Até 2mb""Franquia ilimitada"49.9"OT_MIG_JUL18_FID_4P_PILIM_4GB_D3_TV_BL2_OF4"</t>
  </si>
  <si>
    <t>4000False"TV Total HBOMAX HD""VX Até 2mb""Franquia ilimitada"49.9"OT_MIG_JUL18_FID_4P_PILIM_4GB_D3_TV_BL2_OF4"</t>
  </si>
  <si>
    <t>4000False"TV Total Telecine HD""VX Até 2mb""Franquia ilimitada"49.9"OT_MIG_JUL18_FID_4P_PILIM_4GB_D3_TV_BL2_OF4"</t>
  </si>
  <si>
    <t>4000False"TV Total Cinema HD""VX Até 2mb""Franquia ilimitada"49.9"OT_MIG_JUL18_FID_4P_PILIM_4GB_D3_TV_BL2_OF4"</t>
  </si>
  <si>
    <t>4000True"TV Total HD""VX Até 2mb""Franquia ilimitada"49.9"OT_MIG_JUL18_FID_4P_PILIM_4GB_D3_TV_BL2_OF4"</t>
  </si>
  <si>
    <t>4000True"TV Total HBOMAX HD""VX Até 2mb""Franquia ilimitada"49.9"OT_MIG_JUL18_FID_4P_PILIM_4GB_D3_TV_BL2_OF4"</t>
  </si>
  <si>
    <t>4000True"TV Total Telecine HD""VX Até 2mb""Franquia ilimitada"49.9"OT_MIG_JUL18_FID_4P_PILIM_4GB_D3_TV_BL2_OF4"</t>
  </si>
  <si>
    <t>4000True"TV Total Cinema HD""VX Até 2mb""Franquia ilimitada"49.9"OT_MIG_JUL18_FID_4P_PILIM_4GB_D3_TV_BL2_OF4"</t>
  </si>
  <si>
    <t>4000False"TV Start HD""BLM 10gb""Franquia ilimitada"49.9"OT_MIG_JUL18_FID_4P_PILIM_4GB_D3_TV_BL2_OF4"</t>
  </si>
  <si>
    <t>4000False"TV Mix HD""BLM 10gb""Franquia ilimitada"49.9"OT_MIG_JUL18_FID_4P_PILIM_4GB_D3_TV_BL2_OF4"</t>
  </si>
  <si>
    <t>4000False"TV Mix HBOMAX HD""BLM 10gb""Franquia ilimitada"49.9"OT_MIG_JUL18_FID_4P_PILIM_4GB_D3_TV_BL2_OF4"</t>
  </si>
  <si>
    <t>4000False"TV Mix Telecine HD""BLM 10gb""Franquia ilimitada"49.9"OT_MIG_JUL18_FID_4P_PILIM_4GB_D3_TV_BL2_OF4"</t>
  </si>
  <si>
    <t>4000False"TV Mix Cinema HD""BLM 10gb""Franquia ilimitada"49.9"OT_MIG_JUL18_FID_4P_PILIM_4GB_D3_TV_BL2_OF4"</t>
  </si>
  <si>
    <t>4000False"TV Total HD""BLM 10gb""Franquia ilimitada"49.9"OT_MIG_JUL18_FID_4P_PILIM_4GB_D3_TV_BL2_OF4"</t>
  </si>
  <si>
    <t>4000False"TV Total HBOMAX HD""BLM 10gb""Franquia ilimitada"49.9"OT_MIG_JUL18_FID_4P_PILIM_4GB_D3_TV_BL2_OF4"</t>
  </si>
  <si>
    <t>4000False"TV Total Telecine HD""BLM 10gb""Franquia ilimitada"49.9"OT_MIG_JUL18_FID_4P_PILIM_4GB_D3_TV_BL2_OF4"</t>
  </si>
  <si>
    <t>4000False"TV Total Cinema HD""BLM 10gb""Franquia ilimitada"49.9"OT_MIG_JUL18_FID_4P_PILIM_4GB_D3_TV_BL2_OF4"</t>
  </si>
  <si>
    <t>4000True"TV Total HD""BLM 10gb""Franquia ilimitada"49.9"OT_MIG_JUL18_FID_4P_PILIM_4GB_D3_TV_BL2_OF4"</t>
  </si>
  <si>
    <t>4000True"TV Total HBOMAX HD""BLM 10gb""Franquia ilimitada"49.9"OT_MIG_JUL18_FID_4P_PILIM_4GB_D3_TV_BL2_OF4"</t>
  </si>
  <si>
    <t>4000True"TV Total Telecine HD""BLM 10gb""Franquia ilimitada"49.9"OT_MIG_JUL18_FID_4P_PILIM_4GB_D3_TV_BL2_OF4"</t>
  </si>
  <si>
    <t>4000True"TV Total Cinema HD""BLM 10gb""Franquia ilimitada"49.9"OT_MIG_JUL18_FID_4P_PILIM_4GB_D3_TV_BL2_OF4"</t>
  </si>
  <si>
    <t>"OT_MIG_JUL18_FID_4P_PILIM_4GB_D3_TV_BL5_CBAS_OF4"</t>
  </si>
  <si>
    <t>4000False"TV Start HD""VX Até 15mb""Franquia ilimitada"49.9"OT_MIG_JUL18_FID_4P_PILIM_4GB_D3_TV_BL5_CBAS_OF4"</t>
  </si>
  <si>
    <t>4000False"TV Mix HD""VX Até 15mb""Franquia ilimitada"49.9"OT_MIG_JUL18_FID_4P_PILIM_4GB_D3_TV_BL5_CBAS_OF4"</t>
  </si>
  <si>
    <t>4000False"TV Mix HBOMAX HD""VX Até 15mb""Franquia ilimitada"49.9"OT_MIG_JUL18_FID_4P_PILIM_4GB_D3_TV_BL5_CBAS_OF4"</t>
  </si>
  <si>
    <t>4000False"TV Mix Telecine HD""VX Até 15mb""Franquia ilimitada"49.9"OT_MIG_JUL18_FID_4P_PILIM_4GB_D3_TV_BL5_CBAS_OF4"</t>
  </si>
  <si>
    <t>4000False"TV Mix Cinema HD""VX Até 15mb""Franquia ilimitada"49.9"OT_MIG_JUL18_FID_4P_PILIM_4GB_D3_TV_BL5_CBAS_OF4"</t>
  </si>
  <si>
    <t>4000False"TV Total HD""VX Até 15mb""Franquia ilimitada"49.9"OT_MIG_JUL18_FID_4P_PILIM_4GB_D3_TV_BL5_CBAS_OF4"</t>
  </si>
  <si>
    <t>4000False"TV Total HBOMAX HD""VX Até 15mb""Franquia ilimitada"49.9"OT_MIG_JUL18_FID_4P_PILIM_4GB_D3_TV_BL5_CBAS_OF4"</t>
  </si>
  <si>
    <t>4000False"TV Total Telecine HD""VX Até 15mb""Franquia ilimitada"49.9"OT_MIG_JUL18_FID_4P_PILIM_4GB_D3_TV_BL5_CBAS_OF4"</t>
  </si>
  <si>
    <t>4000False"TV Total Cinema HD""VX Até 15mb""Franquia ilimitada"49.9"OT_MIG_JUL18_FID_4P_PILIM_4GB_D3_TV_BL5_CBAS_OF4"</t>
  </si>
  <si>
    <t>4000True"TV Total HD""VX Até 15mb""Franquia ilimitada"49.9"OT_MIG_JUL18_FID_4P_PILIM_4GB_D3_TV_BL5_CBAS_OF4"</t>
  </si>
  <si>
    <t>4000True"TV Total HBOMAX HD""VX Até 15mb""Franquia ilimitada"49.9"OT_MIG_JUL18_FID_4P_PILIM_4GB_D3_TV_BL5_CBAS_OF4"</t>
  </si>
  <si>
    <t>4000True"TV Total Telecine HD""VX Até 15mb""Franquia ilimitada"49.9"OT_MIG_JUL18_FID_4P_PILIM_4GB_D3_TV_BL5_CBAS_OF4"</t>
  </si>
  <si>
    <t>4000True"TV Total Cinema HD""VX Até 15mb""Franquia ilimitada"49.9"OT_MIG_JUL18_FID_4P_PILIM_4GB_D3_TV_BL5_CBAS_OF4"</t>
  </si>
  <si>
    <t>4000False"TV Start HD""VX Até 25mb""Franquia ilimitada"49.9"OT_MIG_JUL18_FID_4P_PILIM_4GB_D3_TV_BL5_CBAS_OF4"</t>
  </si>
  <si>
    <t>4000False"TV Mix HD""VX Até 25mb""Franquia ilimitada"49.9"OT_MIG_JUL18_FID_4P_PILIM_4GB_D3_TV_BL5_CBAS_OF4"</t>
  </si>
  <si>
    <t>4000False"TV Mix HBOMAX HD""VX Até 25mb""Franquia ilimitada"49.9"OT_MIG_JUL18_FID_4P_PILIM_4GB_D3_TV_BL5_CBAS_OF4"</t>
  </si>
  <si>
    <t>4000False"TV Mix Telecine HD""VX Até 25mb""Franquia ilimitada"49.9"OT_MIG_JUL18_FID_4P_PILIM_4GB_D3_TV_BL5_CBAS_OF4"</t>
  </si>
  <si>
    <t>4000False"TV Mix Cinema HD""VX Até 25mb""Franquia ilimitada"49.9"OT_MIG_JUL18_FID_4P_PILIM_4GB_D3_TV_BL5_CBAS_OF4"</t>
  </si>
  <si>
    <t>4000False"TV Total HD""VX Até 25mb""Franquia ilimitada"49.9"OT_MIG_JUL18_FID_4P_PILIM_4GB_D3_TV_BL5_CBAS_OF4"</t>
  </si>
  <si>
    <t>4000False"TV Total HBOMAX HD""VX Até 25mb""Franquia ilimitada"49.9"OT_MIG_JUL18_FID_4P_PILIM_4GB_D3_TV_BL5_CBAS_OF4"</t>
  </si>
  <si>
    <t>4000False"TV Total Telecine HD""VX Até 25mb""Franquia ilimitada"49.9"OT_MIG_JUL18_FID_4P_PILIM_4GB_D3_TV_BL5_CBAS_OF4"</t>
  </si>
  <si>
    <t>4000False"TV Total Cinema HD""VX Até 25mb""Franquia ilimitada"49.9"OT_MIG_JUL18_FID_4P_PILIM_4GB_D3_TV_BL5_CBAS_OF4"</t>
  </si>
  <si>
    <t>4000True"TV Total HD""VX Até 25mb""Franquia ilimitada"49.9"OT_MIG_JUL18_FID_4P_PILIM_4GB_D3_TV_BL5_CBAS_OF4"</t>
  </si>
  <si>
    <t>4000True"TV Total HBOMAX HD""VX Até 25mb""Franquia ilimitada"49.9"OT_MIG_JUL18_FID_4P_PILIM_4GB_D3_TV_BL5_CBAS_OF4"</t>
  </si>
  <si>
    <t>4000True"TV Total Telecine HD""VX Até 25mb""Franquia ilimitada"49.9"OT_MIG_JUL18_FID_4P_PILIM_4GB_D3_TV_BL5_CBAS_OF4"</t>
  </si>
  <si>
    <t>4000True"TV Total Cinema HD""VX Até 25mb""Franquia ilimitada"49.9"OT_MIG_JUL18_FID_4P_PILIM_4GB_D3_TV_BL5_CBAS_OF4"</t>
  </si>
  <si>
    <t>4000False"TV Start HD""VX 35mb""Franquia ilimitada"49.9"OT_MIG_JUL18_FID_4P_PILIM_4GB_D3_TV_BL5_CBAS_OF4"</t>
  </si>
  <si>
    <t>4000False"TV Mix HD""VX 35mb""Franquia ilimitada"49.9"OT_MIG_JUL18_FID_4P_PILIM_4GB_D3_TV_BL5_CBAS_OF4"</t>
  </si>
  <si>
    <t>4000False"TV Mix HBOMAX HD""VX 35mb""Franquia ilimitada"49.9"OT_MIG_JUL18_FID_4P_PILIM_4GB_D3_TV_BL5_CBAS_OF4"</t>
  </si>
  <si>
    <t>4000False"TV Mix Telecine HD""VX 35mb""Franquia ilimitada"49.9"OT_MIG_JUL18_FID_4P_PILIM_4GB_D3_TV_BL5_CBAS_OF4"</t>
  </si>
  <si>
    <t>4000False"TV Mix Cinema HD""VX 35mb""Franquia ilimitada"49.9"OT_MIG_JUL18_FID_4P_PILIM_4GB_D3_TV_BL5_CBAS_OF4"</t>
  </si>
  <si>
    <t>4000False"TV Total HD""VX 35mb""Franquia ilimitada"49.9"OT_MIG_JUL18_FID_4P_PILIM_4GB_D3_TV_BL5_CBAS_OF4"</t>
  </si>
  <si>
    <t>4000False"TV Total HBOMAX HD""VX 35mb""Franquia ilimitada"49.9"OT_MIG_JUL18_FID_4P_PILIM_4GB_D3_TV_BL5_CBAS_OF4"</t>
  </si>
  <si>
    <t>4000False"TV Total Telecine HD""VX 35mb""Franquia ilimitada"49.9"OT_MIG_JUL18_FID_4P_PILIM_4GB_D3_TV_BL5_CBAS_OF4"</t>
  </si>
  <si>
    <t>4000False"TV Total Cinema HD""VX 35mb""Franquia ilimitada"49.9"OT_MIG_JUL18_FID_4P_PILIM_4GB_D3_TV_BL5_CBAS_OF4"</t>
  </si>
  <si>
    <t>4000True"TV Total HD""VX 35mb""Franquia ilimitada"49.9"OT_MIG_JUL18_FID_4P_PILIM_4GB_D3_TV_BL5_CBAS_OF4"</t>
  </si>
  <si>
    <t>4000True"TV Total HBOMAX HD""VX 35mb""Franquia ilimitada"49.9"OT_MIG_JUL18_FID_4P_PILIM_4GB_D3_TV_BL5_CBAS_OF4"</t>
  </si>
  <si>
    <t>4000True"TV Total Telecine HD""VX 35mb""Franquia ilimitada"49.9"OT_MIG_JUL18_FID_4P_PILIM_4GB_D3_TV_BL5_CBAS_OF4"</t>
  </si>
  <si>
    <t>4000True"TV Total Cinema HD""VX 35mb""Franquia ilimitada"49.9"OT_MIG_JUL18_FID_4P_PILIM_4GB_D3_TV_BL5_CBAS_OF4"</t>
  </si>
  <si>
    <t>"OT_MIG_JUL18_FID_4P_PILIM_4GB_D3_LV_BL2_OF4"</t>
  </si>
  <si>
    <t>4000False"TV Livre HD""VX Até 2mb""Franquia ilimitada"49.9"OT_MIG_JUL18_FID_4P_PILIM_4GB_D3_LV_BL2_OF4"</t>
  </si>
  <si>
    <t>4000False"TV Livre HD""BLM 10gb""Franquia ilimitada"49.9"OT_MIG_JUL18_FID_4P_PILIM_4GB_D3_LV_BL2_OF4"</t>
  </si>
  <si>
    <t>"OT_MIG_JUL18_FID_4P_PILIM_4GB_D3_LV_BL5_CBAS_OF4"</t>
  </si>
  <si>
    <t>4000False"TV Livre HD""VX Até 15mb""Franquia ilimitada"49.9"OT_MIG_JUL18_FID_4P_PILIM_4GB_D3_LV_BL5_CBAS_OF4"</t>
  </si>
  <si>
    <t>4000False"TV Livre HD""VX Até 25mb""Franquia ilimitada"49.9"OT_MIG_JUL18_FID_4P_PILIM_4GB_D3_LV_BL5_CBAS_OF4"</t>
  </si>
  <si>
    <t>4000False"TV Livre HD""VX 35mb""Franquia ilimitada"49.9"OT_MIG_JUL18_FID_4P_PILIM_4GB_D3_LV_BL5_CBAS_OF4"</t>
  </si>
  <si>
    <t>"OT_MIG_JUL18_FID_4P_PILIM_7GB_D3_TV_BL2_OF1"</t>
  </si>
  <si>
    <t>7000False"TV Start HD""VX Até 2mb""Franquia ilimitada"49.9"OT_MIG_JUL18_FID_4P_PILIM_7GB_D3_TV_BL2_OF1"</t>
  </si>
  <si>
    <t>7000False"TV Mix HD""VX Até 2mb""Franquia ilimitada"49.9"OT_MIG_JUL18_FID_4P_PILIM_7GB_D3_TV_BL2_OF1"</t>
  </si>
  <si>
    <t>7000False"TV Mix HBOMAX HD""VX Até 2mb""Franquia ilimitada"49.9"OT_MIG_JUL18_FID_4P_PILIM_7GB_D3_TV_BL2_OF1"</t>
  </si>
  <si>
    <t>7000False"TV Mix Telecine HD""VX Até 2mb""Franquia ilimitada"49.9"OT_MIG_JUL18_FID_4P_PILIM_7GB_D3_TV_BL2_OF1"</t>
  </si>
  <si>
    <t>7000False"TV Mix Cinema HD""VX Até 2mb""Franquia ilimitada"49.9"OT_MIG_JUL18_FID_4P_PILIM_7GB_D3_TV_BL2_OF1"</t>
  </si>
  <si>
    <t>7000False"TV Total HD""VX Até 2mb""Franquia ilimitada"49.9"OT_MIG_JUL18_FID_4P_PILIM_7GB_D3_TV_BL2_OF1"</t>
  </si>
  <si>
    <t>7000False"TV Total HBOMAX HD""VX Até 2mb""Franquia ilimitada"49.9"OT_MIG_JUL18_FID_4P_PILIM_7GB_D3_TV_BL2_OF1"</t>
  </si>
  <si>
    <t>7000False"TV Total Telecine HD""VX Até 2mb""Franquia ilimitada"49.9"OT_MIG_JUL18_FID_4P_PILIM_7GB_D3_TV_BL2_OF1"</t>
  </si>
  <si>
    <t>7000False"TV Total Cinema HD""VX Até 2mb""Franquia ilimitada"49.9"OT_MIG_JUL18_FID_4P_PILIM_7GB_D3_TV_BL2_OF1"</t>
  </si>
  <si>
    <t>7000True"TV Total HD""VX Até 2mb""Franquia ilimitada"49.9"OT_MIG_JUL18_FID_4P_PILIM_7GB_D3_TV_BL2_OF1"</t>
  </si>
  <si>
    <t>7000True"TV Total HBOMAX HD""VX Até 2mb""Franquia ilimitada"49.9"OT_MIG_JUL18_FID_4P_PILIM_7GB_D3_TV_BL2_OF1"</t>
  </si>
  <si>
    <t>7000True"TV Total Telecine HD""VX Até 2mb""Franquia ilimitada"49.9"OT_MIG_JUL18_FID_4P_PILIM_7GB_D3_TV_BL2_OF1"</t>
  </si>
  <si>
    <t>7000True"TV Total Cinema HD""VX Até 2mb""Franquia ilimitada"49.9"OT_MIG_JUL18_FID_4P_PILIM_7GB_D3_TV_BL2_OF1"</t>
  </si>
  <si>
    <t>7000False"TV Start HD""BLM 10gb""Franquia ilimitada"49.9"OT_MIG_JUL18_FID_4P_PILIM_7GB_D3_TV_BL2_OF1"</t>
  </si>
  <si>
    <t>7000False"TV Mix HD""BLM 10gb""Franquia ilimitada"49.9"OT_MIG_JUL18_FID_4P_PILIM_7GB_D3_TV_BL2_OF1"</t>
  </si>
  <si>
    <t>7000False"TV Mix HBOMAX HD""BLM 10gb""Franquia ilimitada"49.9"OT_MIG_JUL18_FID_4P_PILIM_7GB_D3_TV_BL2_OF1"</t>
  </si>
  <si>
    <t>7000False"TV Mix Telecine HD""BLM 10gb""Franquia ilimitada"49.9"OT_MIG_JUL18_FID_4P_PILIM_7GB_D3_TV_BL2_OF1"</t>
  </si>
  <si>
    <t>7000False"TV Mix Cinema HD""BLM 10gb""Franquia ilimitada"49.9"OT_MIG_JUL18_FID_4P_PILIM_7GB_D3_TV_BL2_OF1"</t>
  </si>
  <si>
    <t>7000False"TV Total HD""BLM 10gb""Franquia ilimitada"49.9"OT_MIG_JUL18_FID_4P_PILIM_7GB_D3_TV_BL2_OF1"</t>
  </si>
  <si>
    <t>7000False"TV Total HBOMAX HD""BLM 10gb""Franquia ilimitada"49.9"OT_MIG_JUL18_FID_4P_PILIM_7GB_D3_TV_BL2_OF1"</t>
  </si>
  <si>
    <t>7000False"TV Total Telecine HD""BLM 10gb""Franquia ilimitada"49.9"OT_MIG_JUL18_FID_4P_PILIM_7GB_D3_TV_BL2_OF1"</t>
  </si>
  <si>
    <t>7000False"TV Total Cinema HD""BLM 10gb""Franquia ilimitada"49.9"OT_MIG_JUL18_FID_4P_PILIM_7GB_D3_TV_BL2_OF1"</t>
  </si>
  <si>
    <t>7000True"TV Total HD""BLM 10gb""Franquia ilimitada"49.9"OT_MIG_JUL18_FID_4P_PILIM_7GB_D3_TV_BL2_OF1"</t>
  </si>
  <si>
    <t>7000True"TV Total HBOMAX HD""BLM 10gb""Franquia ilimitada"49.9"OT_MIG_JUL18_FID_4P_PILIM_7GB_D3_TV_BL2_OF1"</t>
  </si>
  <si>
    <t>7000True"TV Total Telecine HD""BLM 10gb""Franquia ilimitada"49.9"OT_MIG_JUL18_FID_4P_PILIM_7GB_D3_TV_BL2_OF1"</t>
  </si>
  <si>
    <t>7000True"TV Total Cinema HD""BLM 10gb""Franquia ilimitada"49.9"OT_MIG_JUL18_FID_4P_PILIM_7GB_D3_TV_BL2_OF1"</t>
  </si>
  <si>
    <t>"OT_MIG_JUL18_FID_4P_PILIM_7GB_D3_TV_BL5_CBAS_OF1"</t>
  </si>
  <si>
    <t>7000False"TV Start HD""VX Até 15mb""Franquia ilimitada"49.9"OT_MIG_JUL18_FID_4P_PILIM_7GB_D3_TV_BL5_CBAS_OF1"</t>
  </si>
  <si>
    <t>7000False"TV Mix HD""VX Até 15mb""Franquia ilimitada"49.9"OT_MIG_JUL18_FID_4P_PILIM_7GB_D3_TV_BL5_CBAS_OF1"</t>
  </si>
  <si>
    <t>7000False"TV Mix HBOMAX HD""VX Até 15mb""Franquia ilimitada"49.9"OT_MIG_JUL18_FID_4P_PILIM_7GB_D3_TV_BL5_CBAS_OF1"</t>
  </si>
  <si>
    <t>7000False"TV Mix Telecine HD""VX Até 15mb""Franquia ilimitada"49.9"OT_MIG_JUL18_FID_4P_PILIM_7GB_D3_TV_BL5_CBAS_OF1"</t>
  </si>
  <si>
    <t>7000False"TV Mix Cinema HD""VX Até 15mb""Franquia ilimitada"49.9"OT_MIG_JUL18_FID_4P_PILIM_7GB_D3_TV_BL5_CBAS_OF1"</t>
  </si>
  <si>
    <t>7000False"TV Total HD""VX Até 15mb""Franquia ilimitada"49.9"OT_MIG_JUL18_FID_4P_PILIM_7GB_D3_TV_BL5_CBAS_OF1"</t>
  </si>
  <si>
    <t>7000False"TV Total HBOMAX HD""VX Até 15mb""Franquia ilimitada"49.9"OT_MIG_JUL18_FID_4P_PILIM_7GB_D3_TV_BL5_CBAS_OF1"</t>
  </si>
  <si>
    <t>7000False"TV Total Telecine HD""VX Até 15mb""Franquia ilimitada"49.9"OT_MIG_JUL18_FID_4P_PILIM_7GB_D3_TV_BL5_CBAS_OF1"</t>
  </si>
  <si>
    <t>7000False"TV Total Cinema HD""VX Até 15mb""Franquia ilimitada"49.9"OT_MIG_JUL18_FID_4P_PILIM_7GB_D3_TV_BL5_CBAS_OF1"</t>
  </si>
  <si>
    <t>7000True"TV Total HD""VX Até 15mb""Franquia ilimitada"49.9"OT_MIG_JUL18_FID_4P_PILIM_7GB_D3_TV_BL5_CBAS_OF1"</t>
  </si>
  <si>
    <t>7000True"TV Total HBOMAX HD""VX Até 15mb""Franquia ilimitada"49.9"OT_MIG_JUL18_FID_4P_PILIM_7GB_D3_TV_BL5_CBAS_OF1"</t>
  </si>
  <si>
    <t>7000True"TV Total Telecine HD""VX Até 15mb""Franquia ilimitada"49.9"OT_MIG_JUL18_FID_4P_PILIM_7GB_D3_TV_BL5_CBAS_OF1"</t>
  </si>
  <si>
    <t>7000True"TV Total Cinema HD""VX Até 15mb""Franquia ilimitada"49.9"OT_MIG_JUL18_FID_4P_PILIM_7GB_D3_TV_BL5_CBAS_OF1"</t>
  </si>
  <si>
    <t>7000False"TV Start HD""VX Até 25mb""Franquia ilimitada"49.9"OT_MIG_JUL18_FID_4P_PILIM_7GB_D3_TV_BL5_CBAS_OF1"</t>
  </si>
  <si>
    <t>7000False"TV Mix HD""VX Até 25mb""Franquia ilimitada"49.9"OT_MIG_JUL18_FID_4P_PILIM_7GB_D3_TV_BL5_CBAS_OF1"</t>
  </si>
  <si>
    <t>7000False"TV Mix HBOMAX HD""VX Até 25mb""Franquia ilimitada"49.9"OT_MIG_JUL18_FID_4P_PILIM_7GB_D3_TV_BL5_CBAS_OF1"</t>
  </si>
  <si>
    <t>7000False"TV Mix Telecine HD""VX Até 25mb""Franquia ilimitada"49.9"OT_MIG_JUL18_FID_4P_PILIM_7GB_D3_TV_BL5_CBAS_OF1"</t>
  </si>
  <si>
    <t>7000False"TV Mix Cinema HD""VX Até 25mb""Franquia ilimitada"49.9"OT_MIG_JUL18_FID_4P_PILIM_7GB_D3_TV_BL5_CBAS_OF1"</t>
  </si>
  <si>
    <t>7000False"TV Total HD""VX Até 25mb""Franquia ilimitada"49.9"OT_MIG_JUL18_FID_4P_PILIM_7GB_D3_TV_BL5_CBAS_OF1"</t>
  </si>
  <si>
    <t>7000False"TV Total HBOMAX HD""VX Até 25mb""Franquia ilimitada"49.9"OT_MIG_JUL18_FID_4P_PILIM_7GB_D3_TV_BL5_CBAS_OF1"</t>
  </si>
  <si>
    <t>7000False"TV Total Telecine HD""VX Até 25mb""Franquia ilimitada"49.9"OT_MIG_JUL18_FID_4P_PILIM_7GB_D3_TV_BL5_CBAS_OF1"</t>
  </si>
  <si>
    <t>7000False"TV Total Cinema HD""VX Até 25mb""Franquia ilimitada"49.9"OT_MIG_JUL18_FID_4P_PILIM_7GB_D3_TV_BL5_CBAS_OF1"</t>
  </si>
  <si>
    <t>7000True"TV Total HD""VX Até 25mb""Franquia ilimitada"49.9"OT_MIG_JUL18_FID_4P_PILIM_7GB_D3_TV_BL5_CBAS_OF1"</t>
  </si>
  <si>
    <t>7000True"TV Total HBOMAX HD""VX Até 25mb""Franquia ilimitada"49.9"OT_MIG_JUL18_FID_4P_PILIM_7GB_D3_TV_BL5_CBAS_OF1"</t>
  </si>
  <si>
    <t>7000True"TV Total Telecine HD""VX Até 25mb""Franquia ilimitada"49.9"OT_MIG_JUL18_FID_4P_PILIM_7GB_D3_TV_BL5_CBAS_OF1"</t>
  </si>
  <si>
    <t>7000True"TV Total Cinema HD""VX Até 25mb""Franquia ilimitada"49.9"OT_MIG_JUL18_FID_4P_PILIM_7GB_D3_TV_BL5_CBAS_OF1"</t>
  </si>
  <si>
    <t>7000False"TV Start HD""VX 35mb""Franquia ilimitada"49.9"OT_MIG_JUL18_FID_4P_PILIM_7GB_D3_TV_BL5_CBAS_OF1"</t>
  </si>
  <si>
    <t>7000False"TV Mix HD""VX 35mb""Franquia ilimitada"49.9"OT_MIG_JUL18_FID_4P_PILIM_7GB_D3_TV_BL5_CBAS_OF1"</t>
  </si>
  <si>
    <t>7000False"TV Mix HBOMAX HD""VX 35mb""Franquia ilimitada"49.9"OT_MIG_JUL18_FID_4P_PILIM_7GB_D3_TV_BL5_CBAS_OF1"</t>
  </si>
  <si>
    <t>7000False"TV Mix Telecine HD""VX 35mb""Franquia ilimitada"49.9"OT_MIG_JUL18_FID_4P_PILIM_7GB_D3_TV_BL5_CBAS_OF1"</t>
  </si>
  <si>
    <t>7000False"TV Mix Cinema HD""VX 35mb""Franquia ilimitada"49.9"OT_MIG_JUL18_FID_4P_PILIM_7GB_D3_TV_BL5_CBAS_OF1"</t>
  </si>
  <si>
    <t>7000False"TV Total HD""VX 35mb""Franquia ilimitada"49.9"OT_MIG_JUL18_FID_4P_PILIM_7GB_D3_TV_BL5_CBAS_OF1"</t>
  </si>
  <si>
    <t>7000False"TV Total HBOMAX HD""VX 35mb""Franquia ilimitada"49.9"OT_MIG_JUL18_FID_4P_PILIM_7GB_D3_TV_BL5_CBAS_OF1"</t>
  </si>
  <si>
    <t>7000False"TV Total Telecine HD""VX 35mb""Franquia ilimitada"49.9"OT_MIG_JUL18_FID_4P_PILIM_7GB_D3_TV_BL5_CBAS_OF1"</t>
  </si>
  <si>
    <t>7000False"TV Total Cinema HD""VX 35mb""Franquia ilimitada"49.9"OT_MIG_JUL18_FID_4P_PILIM_7GB_D3_TV_BL5_CBAS_OF1"</t>
  </si>
  <si>
    <t>7000True"TV Total HD""VX 35mb""Franquia ilimitada"49.9"OT_MIG_JUL18_FID_4P_PILIM_7GB_D3_TV_BL5_CBAS_OF1"</t>
  </si>
  <si>
    <t>7000True"TV Total HBOMAX HD""VX 35mb""Franquia ilimitada"49.9"OT_MIG_JUL18_FID_4P_PILIM_7GB_D3_TV_BL5_CBAS_OF1"</t>
  </si>
  <si>
    <t>7000True"TV Total Telecine HD""VX 35mb""Franquia ilimitada"49.9"OT_MIG_JUL18_FID_4P_PILIM_7GB_D3_TV_BL5_CBAS_OF1"</t>
  </si>
  <si>
    <t>7000True"TV Total Cinema HD""VX 35mb""Franquia ilimitada"49.9"OT_MIG_JUL18_FID_4P_PILIM_7GB_D3_TV_BL5_CBAS_OF1"</t>
  </si>
  <si>
    <t>"OT_MIG_JUL18_FID_4P_PILIM_7GB_D3_LV_BL2_OF1"</t>
  </si>
  <si>
    <t>7000False"TV Livre HD""VX Até 2mb""Franquia ilimitada"49.9"OT_MIG_JUL18_FID_4P_PILIM_7GB_D3_LV_BL2_OF1"</t>
  </si>
  <si>
    <t>7000False"TV Livre HD""BLM 10gb""Franquia ilimitada"49.9"OT_MIG_JUL18_FID_4P_PILIM_7GB_D3_LV_BL2_OF1"</t>
  </si>
  <si>
    <t>"OT_MIG_JUL18_FID_4P_PILIM_7GB_D3_LV_BL5_CBAS_OF1"</t>
  </si>
  <si>
    <t>7000False"TV Livre HD""VX Até 15mb""Franquia ilimitada"49.9"OT_MIG_JUL18_FID_4P_PILIM_7GB_D3_LV_BL5_CBAS_OF1"</t>
  </si>
  <si>
    <t>7000False"TV Livre HD""VX Até 25mb""Franquia ilimitada"49.9"OT_MIG_JUL18_FID_4P_PILIM_7GB_D3_LV_BL5_CBAS_OF1"</t>
  </si>
  <si>
    <t>7000False"TV Livre HD""VX 35mb""Franquia ilimitada"49.9"OT_MIG_JUL18_FID_4P_PILIM_7GB_D3_LV_BL5_CBAS_OF1"</t>
  </si>
  <si>
    <t>"OT_MIG_JUL18_FID_4P_PILIM_7GB_D3_TV_BL2_OF2"</t>
  </si>
  <si>
    <t>7000False"TV Start HD""VX Até 2mb""Franquia ilimitada"49.9"OT_MIG_JUL18_FID_4P_PILIM_7GB_D3_TV_BL2_OF2"</t>
  </si>
  <si>
    <t>7000False"TV Mix HD""VX Até 2mb""Franquia ilimitada"49.9"OT_MIG_JUL18_FID_4P_PILIM_7GB_D3_TV_BL2_OF2"</t>
  </si>
  <si>
    <t>7000False"TV Mix HBOMAX HD""VX Até 2mb""Franquia ilimitada"49.9"OT_MIG_JUL18_FID_4P_PILIM_7GB_D3_TV_BL2_OF2"</t>
  </si>
  <si>
    <t>7000False"TV Mix Telecine HD""VX Até 2mb""Franquia ilimitada"49.9"OT_MIG_JUL18_FID_4P_PILIM_7GB_D3_TV_BL2_OF2"</t>
  </si>
  <si>
    <t>7000False"TV Mix Cinema HD""VX Até 2mb""Franquia ilimitada"49.9"OT_MIG_JUL18_FID_4P_PILIM_7GB_D3_TV_BL2_OF2"</t>
  </si>
  <si>
    <t>7000False"TV Total HD""VX Até 2mb""Franquia ilimitada"49.9"OT_MIG_JUL18_FID_4P_PILIM_7GB_D3_TV_BL2_OF2"</t>
  </si>
  <si>
    <t>7000False"TV Total HBOMAX HD""VX Até 2mb""Franquia ilimitada"49.9"OT_MIG_JUL18_FID_4P_PILIM_7GB_D3_TV_BL2_OF2"</t>
  </si>
  <si>
    <t>7000False"TV Total Telecine HD""VX Até 2mb""Franquia ilimitada"49.9"OT_MIG_JUL18_FID_4P_PILIM_7GB_D3_TV_BL2_OF2"</t>
  </si>
  <si>
    <t>7000False"TV Total Cinema HD""VX Até 2mb""Franquia ilimitada"49.9"OT_MIG_JUL18_FID_4P_PILIM_7GB_D3_TV_BL2_OF2"</t>
  </si>
  <si>
    <t>7000True"TV Total HD""VX Até 2mb""Franquia ilimitada"49.9"OT_MIG_JUL18_FID_4P_PILIM_7GB_D3_TV_BL2_OF2"</t>
  </si>
  <si>
    <t>7000True"TV Total HBOMAX HD""VX Até 2mb""Franquia ilimitada"49.9"OT_MIG_JUL18_FID_4P_PILIM_7GB_D3_TV_BL2_OF2"</t>
  </si>
  <si>
    <t>7000True"TV Total Telecine HD""VX Até 2mb""Franquia ilimitada"49.9"OT_MIG_JUL18_FID_4P_PILIM_7GB_D3_TV_BL2_OF2"</t>
  </si>
  <si>
    <t>7000True"TV Total Cinema HD""VX Até 2mb""Franquia ilimitada"49.9"OT_MIG_JUL18_FID_4P_PILIM_7GB_D3_TV_BL2_OF2"</t>
  </si>
  <si>
    <t>7000False"TV Start HD""BLM 10gb""Franquia ilimitada"49.9"OT_MIG_JUL18_FID_4P_PILIM_7GB_D3_TV_BL2_OF2"</t>
  </si>
  <si>
    <t>7000False"TV Mix HD""BLM 10gb""Franquia ilimitada"49.9"OT_MIG_JUL18_FID_4P_PILIM_7GB_D3_TV_BL2_OF2"</t>
  </si>
  <si>
    <t>7000False"TV Mix HBOMAX HD""BLM 10gb""Franquia ilimitada"49.9"OT_MIG_JUL18_FID_4P_PILIM_7GB_D3_TV_BL2_OF2"</t>
  </si>
  <si>
    <t>7000False"TV Mix Telecine HD""BLM 10gb""Franquia ilimitada"49.9"OT_MIG_JUL18_FID_4P_PILIM_7GB_D3_TV_BL2_OF2"</t>
  </si>
  <si>
    <t>7000False"TV Mix Cinema HD""BLM 10gb""Franquia ilimitada"49.9"OT_MIG_JUL18_FID_4P_PILIM_7GB_D3_TV_BL2_OF2"</t>
  </si>
  <si>
    <t>7000False"TV Total HD""BLM 10gb""Franquia ilimitada"49.9"OT_MIG_JUL18_FID_4P_PILIM_7GB_D3_TV_BL2_OF2"</t>
  </si>
  <si>
    <t>7000False"TV Total HBOMAX HD""BLM 10gb""Franquia ilimitada"49.9"OT_MIG_JUL18_FID_4P_PILIM_7GB_D3_TV_BL2_OF2"</t>
  </si>
  <si>
    <t>7000False"TV Total Telecine HD""BLM 10gb""Franquia ilimitada"49.9"OT_MIG_JUL18_FID_4P_PILIM_7GB_D3_TV_BL2_OF2"</t>
  </si>
  <si>
    <t>7000False"TV Total Cinema HD""BLM 10gb""Franquia ilimitada"49.9"OT_MIG_JUL18_FID_4P_PILIM_7GB_D3_TV_BL2_OF2"</t>
  </si>
  <si>
    <t>7000True"TV Total HD""BLM 10gb""Franquia ilimitada"49.9"OT_MIG_JUL18_FID_4P_PILIM_7GB_D3_TV_BL2_OF2"</t>
  </si>
  <si>
    <t>7000True"TV Total HBOMAX HD""BLM 10gb""Franquia ilimitada"49.9"OT_MIG_JUL18_FID_4P_PILIM_7GB_D3_TV_BL2_OF2"</t>
  </si>
  <si>
    <t>7000True"TV Total Telecine HD""BLM 10gb""Franquia ilimitada"49.9"OT_MIG_JUL18_FID_4P_PILIM_7GB_D3_TV_BL2_OF2"</t>
  </si>
  <si>
    <t>7000True"TV Total Cinema HD""BLM 10gb""Franquia ilimitada"49.9"OT_MIG_JUL18_FID_4P_PILIM_7GB_D3_TV_BL2_OF2"</t>
  </si>
  <si>
    <t>"OT_MIG_JUL18_FID_4P_PILIM_7GB_D3_TV_BL5_CBAS_OF2"</t>
  </si>
  <si>
    <t>7000False"TV Start HD""VX Até 15mb""Franquia ilimitada"49.9"OT_MIG_JUL18_FID_4P_PILIM_7GB_D3_TV_BL5_CBAS_OF2"</t>
  </si>
  <si>
    <t>7000False"TV Mix HD""VX Até 15mb""Franquia ilimitada"49.9"OT_MIG_JUL18_FID_4P_PILIM_7GB_D3_TV_BL5_CBAS_OF2"</t>
  </si>
  <si>
    <t>7000False"TV Mix HBOMAX HD""VX Até 15mb""Franquia ilimitada"49.9"OT_MIG_JUL18_FID_4P_PILIM_7GB_D3_TV_BL5_CBAS_OF2"</t>
  </si>
  <si>
    <t>7000False"TV Mix Telecine HD""VX Até 15mb""Franquia ilimitada"49.9"OT_MIG_JUL18_FID_4P_PILIM_7GB_D3_TV_BL5_CBAS_OF2"</t>
  </si>
  <si>
    <t>7000False"TV Mix Cinema HD""VX Até 15mb""Franquia ilimitada"49.9"OT_MIG_JUL18_FID_4P_PILIM_7GB_D3_TV_BL5_CBAS_OF2"</t>
  </si>
  <si>
    <t>7000False"TV Total HD""VX Até 15mb""Franquia ilimitada"49.9"OT_MIG_JUL18_FID_4P_PILIM_7GB_D3_TV_BL5_CBAS_OF2"</t>
  </si>
  <si>
    <t>7000False"TV Total HBOMAX HD""VX Até 15mb""Franquia ilimitada"49.9"OT_MIG_JUL18_FID_4P_PILIM_7GB_D3_TV_BL5_CBAS_OF2"</t>
  </si>
  <si>
    <t>7000False"TV Total Telecine HD""VX Até 15mb""Franquia ilimitada"49.9"OT_MIG_JUL18_FID_4P_PILIM_7GB_D3_TV_BL5_CBAS_OF2"</t>
  </si>
  <si>
    <t>7000False"TV Total Cinema HD""VX Até 15mb""Franquia ilimitada"49.9"OT_MIG_JUL18_FID_4P_PILIM_7GB_D3_TV_BL5_CBAS_OF2"</t>
  </si>
  <si>
    <t>7000True"TV Total HD""VX Até 15mb""Franquia ilimitada"49.9"OT_MIG_JUL18_FID_4P_PILIM_7GB_D3_TV_BL5_CBAS_OF2"</t>
  </si>
  <si>
    <t>7000True"TV Total HBOMAX HD""VX Até 15mb""Franquia ilimitada"49.9"OT_MIG_JUL18_FID_4P_PILIM_7GB_D3_TV_BL5_CBAS_OF2"</t>
  </si>
  <si>
    <t>7000True"TV Total Telecine HD""VX Até 15mb""Franquia ilimitada"49.9"OT_MIG_JUL18_FID_4P_PILIM_7GB_D3_TV_BL5_CBAS_OF2"</t>
  </si>
  <si>
    <t>7000True"TV Total Cinema HD""VX Até 15mb""Franquia ilimitada"49.9"OT_MIG_JUL18_FID_4P_PILIM_7GB_D3_TV_BL5_CBAS_OF2"</t>
  </si>
  <si>
    <t>7000False"TV Start HD""VX Até 25mb""Franquia ilimitada"49.9"OT_MIG_JUL18_FID_4P_PILIM_7GB_D3_TV_BL5_CBAS_OF2"</t>
  </si>
  <si>
    <t>7000False"TV Mix HD""VX Até 25mb""Franquia ilimitada"49.9"OT_MIG_JUL18_FID_4P_PILIM_7GB_D3_TV_BL5_CBAS_OF2"</t>
  </si>
  <si>
    <t>7000False"TV Mix HBOMAX HD""VX Até 25mb""Franquia ilimitada"49.9"OT_MIG_JUL18_FID_4P_PILIM_7GB_D3_TV_BL5_CBAS_OF2"</t>
  </si>
  <si>
    <t>7000False"TV Mix Telecine HD""VX Até 25mb""Franquia ilimitada"49.9"OT_MIG_JUL18_FID_4P_PILIM_7GB_D3_TV_BL5_CBAS_OF2"</t>
  </si>
  <si>
    <t>7000False"TV Mix Cinema HD""VX Até 25mb""Franquia ilimitada"49.9"OT_MIG_JUL18_FID_4P_PILIM_7GB_D3_TV_BL5_CBAS_OF2"</t>
  </si>
  <si>
    <t>7000False"TV Total HD""VX Até 25mb""Franquia ilimitada"49.9"OT_MIG_JUL18_FID_4P_PILIM_7GB_D3_TV_BL5_CBAS_OF2"</t>
  </si>
  <si>
    <t>7000False"TV Total HBOMAX HD""VX Até 25mb""Franquia ilimitada"49.9"OT_MIG_JUL18_FID_4P_PILIM_7GB_D3_TV_BL5_CBAS_OF2"</t>
  </si>
  <si>
    <t>7000False"TV Total Telecine HD""VX Até 25mb""Franquia ilimitada"49.9"OT_MIG_JUL18_FID_4P_PILIM_7GB_D3_TV_BL5_CBAS_OF2"</t>
  </si>
  <si>
    <t>7000False"TV Total Cinema HD""VX Até 25mb""Franquia ilimitada"49.9"OT_MIG_JUL18_FID_4P_PILIM_7GB_D3_TV_BL5_CBAS_OF2"</t>
  </si>
  <si>
    <t>7000True"TV Total HD""VX Até 25mb""Franquia ilimitada"49.9"OT_MIG_JUL18_FID_4P_PILIM_7GB_D3_TV_BL5_CBAS_OF2"</t>
  </si>
  <si>
    <t>7000True"TV Total HBOMAX HD""VX Até 25mb""Franquia ilimitada"49.9"OT_MIG_JUL18_FID_4P_PILIM_7GB_D3_TV_BL5_CBAS_OF2"</t>
  </si>
  <si>
    <t>7000True"TV Total Telecine HD""VX Até 25mb""Franquia ilimitada"49.9"OT_MIG_JUL18_FID_4P_PILIM_7GB_D3_TV_BL5_CBAS_OF2"</t>
  </si>
  <si>
    <t>7000True"TV Total Cinema HD""VX Até 25mb""Franquia ilimitada"49.9"OT_MIG_JUL18_FID_4P_PILIM_7GB_D3_TV_BL5_CBAS_OF2"</t>
  </si>
  <si>
    <t>7000False"TV Start HD""VX 35mb""Franquia ilimitada"49.9"OT_MIG_JUL18_FID_4P_PILIM_7GB_D3_TV_BL5_CBAS_OF2"</t>
  </si>
  <si>
    <t>7000False"TV Mix HD""VX 35mb""Franquia ilimitada"49.9"OT_MIG_JUL18_FID_4P_PILIM_7GB_D3_TV_BL5_CBAS_OF2"</t>
  </si>
  <si>
    <t>7000False"TV Mix HBOMAX HD""VX 35mb""Franquia ilimitada"49.9"OT_MIG_JUL18_FID_4P_PILIM_7GB_D3_TV_BL5_CBAS_OF2"</t>
  </si>
  <si>
    <t>7000False"TV Mix Telecine HD""VX 35mb""Franquia ilimitada"49.9"OT_MIG_JUL18_FID_4P_PILIM_7GB_D3_TV_BL5_CBAS_OF2"</t>
  </si>
  <si>
    <t>7000False"TV Mix Cinema HD""VX 35mb""Franquia ilimitada"49.9"OT_MIG_JUL18_FID_4P_PILIM_7GB_D3_TV_BL5_CBAS_OF2"</t>
  </si>
  <si>
    <t>7000False"TV Total HD""VX 35mb""Franquia ilimitada"49.9"OT_MIG_JUL18_FID_4P_PILIM_7GB_D3_TV_BL5_CBAS_OF2"</t>
  </si>
  <si>
    <t>7000False"TV Total HBOMAX HD""VX 35mb""Franquia ilimitada"49.9"OT_MIG_JUL18_FID_4P_PILIM_7GB_D3_TV_BL5_CBAS_OF2"</t>
  </si>
  <si>
    <t>7000False"TV Total Telecine HD""VX 35mb""Franquia ilimitada"49.9"OT_MIG_JUL18_FID_4P_PILIM_7GB_D3_TV_BL5_CBAS_OF2"</t>
  </si>
  <si>
    <t>7000False"TV Total Cinema HD""VX 35mb""Franquia ilimitada"49.9"OT_MIG_JUL18_FID_4P_PILIM_7GB_D3_TV_BL5_CBAS_OF2"</t>
  </si>
  <si>
    <t>7000True"TV Total HD""VX 35mb""Franquia ilimitada"49.9"OT_MIG_JUL18_FID_4P_PILIM_7GB_D3_TV_BL5_CBAS_OF2"</t>
  </si>
  <si>
    <t>7000True"TV Total HBOMAX HD""VX 35mb""Franquia ilimitada"49.9"OT_MIG_JUL18_FID_4P_PILIM_7GB_D3_TV_BL5_CBAS_OF2"</t>
  </si>
  <si>
    <t>7000True"TV Total Telecine HD""VX 35mb""Franquia ilimitada"49.9"OT_MIG_JUL18_FID_4P_PILIM_7GB_D3_TV_BL5_CBAS_OF2"</t>
  </si>
  <si>
    <t>7000True"TV Total Cinema HD""VX 35mb""Franquia ilimitada"49.9"OT_MIG_JUL18_FID_4P_PILIM_7GB_D3_TV_BL5_CBAS_OF2"</t>
  </si>
  <si>
    <t>"OT_MIG_JUL18_FID_4P_PILIM_7GB_D3_TV_BL2_OF3"</t>
  </si>
  <si>
    <t>7000False"TV Start HD""VX Até 2mb""Franquia ilimitada"49.9"OT_MIG_JUL18_FID_4P_PILIM_7GB_D3_TV_BL2_OF3"</t>
  </si>
  <si>
    <t>7000False"TV Mix HD""VX Até 2mb""Franquia ilimitada"49.9"OT_MIG_JUL18_FID_4P_PILIM_7GB_D3_TV_BL2_OF3"</t>
  </si>
  <si>
    <t>7000False"TV Mix HBOMAX HD""VX Até 2mb""Franquia ilimitada"49.9"OT_MIG_JUL18_FID_4P_PILIM_7GB_D3_TV_BL2_OF3"</t>
  </si>
  <si>
    <t>7000False"TV Mix Telecine HD""VX Até 2mb""Franquia ilimitada"49.9"OT_MIG_JUL18_FID_4P_PILIM_7GB_D3_TV_BL2_OF3"</t>
  </si>
  <si>
    <t>7000False"TV Mix Cinema HD""VX Até 2mb""Franquia ilimitada"49.9"OT_MIG_JUL18_FID_4P_PILIM_7GB_D3_TV_BL2_OF3"</t>
  </si>
  <si>
    <t>7000False"TV Total HD""VX Até 2mb""Franquia ilimitada"49.9"OT_MIG_JUL18_FID_4P_PILIM_7GB_D3_TV_BL2_OF3"</t>
  </si>
  <si>
    <t>7000False"TV Total HBOMAX HD""VX Até 2mb""Franquia ilimitada"49.9"OT_MIG_JUL18_FID_4P_PILIM_7GB_D3_TV_BL2_OF3"</t>
  </si>
  <si>
    <t>7000False"TV Total Telecine HD""VX Até 2mb""Franquia ilimitada"49.9"OT_MIG_JUL18_FID_4P_PILIM_7GB_D3_TV_BL2_OF3"</t>
  </si>
  <si>
    <t>7000False"TV Total Cinema HD""VX Até 2mb""Franquia ilimitada"49.9"OT_MIG_JUL18_FID_4P_PILIM_7GB_D3_TV_BL2_OF3"</t>
  </si>
  <si>
    <t>7000True"TV Total HD""VX Até 2mb""Franquia ilimitada"49.9"OT_MIG_JUL18_FID_4P_PILIM_7GB_D3_TV_BL2_OF3"</t>
  </si>
  <si>
    <t>7000True"TV Total HBOMAX HD""VX Até 2mb""Franquia ilimitada"49.9"OT_MIG_JUL18_FID_4P_PILIM_7GB_D3_TV_BL2_OF3"</t>
  </si>
  <si>
    <t>7000True"TV Total Telecine HD""VX Até 2mb""Franquia ilimitada"49.9"OT_MIG_JUL18_FID_4P_PILIM_7GB_D3_TV_BL2_OF3"</t>
  </si>
  <si>
    <t>7000False"TV Start HD""BLM 10gb""Franquia ilimitada"49.9"OT_MIG_JUL18_FID_4P_PILIM_7GB_D3_TV_BL2_OF3"</t>
  </si>
  <si>
    <t>7000False"TV Mix HD""BLM 10gb""Franquia ilimitada"49.9"OT_MIG_JUL18_FID_4P_PILIM_7GB_D3_TV_BL2_OF3"</t>
  </si>
  <si>
    <t>7000False"TV Mix HBOMAX HD""BLM 10gb""Franquia ilimitada"49.9"OT_MIG_JUL18_FID_4P_PILIM_7GB_D3_TV_BL2_OF3"</t>
  </si>
  <si>
    <t>7000False"TV Mix Telecine HD""BLM 10gb""Franquia ilimitada"49.9"OT_MIG_JUL18_FID_4P_PILIM_7GB_D3_TV_BL2_OF3"</t>
  </si>
  <si>
    <t>7000False"TV Mix Cinema HD""BLM 10gb""Franquia ilimitada"49.9"OT_MIG_JUL18_FID_4P_PILIM_7GB_D3_TV_BL2_OF3"</t>
  </si>
  <si>
    <t>7000False"TV Total HD""BLM 10gb""Franquia ilimitada"49.9"OT_MIG_JUL18_FID_4P_PILIM_7GB_D3_TV_BL2_OF3"</t>
  </si>
  <si>
    <t>7000False"TV Total HBOMAX HD""BLM 10gb""Franquia ilimitada"49.9"OT_MIG_JUL18_FID_4P_PILIM_7GB_D3_TV_BL2_OF3"</t>
  </si>
  <si>
    <t>7000False"TV Total Telecine HD""BLM 10gb""Franquia ilimitada"49.9"OT_MIG_JUL18_FID_4P_PILIM_7GB_D3_TV_BL2_OF3"</t>
  </si>
  <si>
    <t>7000False"TV Total Cinema HD""BLM 10gb""Franquia ilimitada"49.9"OT_MIG_JUL18_FID_4P_PILIM_7GB_D3_TV_BL2_OF3"</t>
  </si>
  <si>
    <t>7000True"TV Total HD""BLM 10gb""Franquia ilimitada"49.9"OT_MIG_JUL18_FID_4P_PILIM_7GB_D3_TV_BL2_OF3"</t>
  </si>
  <si>
    <t>7000True"TV Total HBOMAX HD""BLM 10gb""Franquia ilimitada"49.9"OT_MIG_JUL18_FID_4P_PILIM_7GB_D3_TV_BL2_OF3"</t>
  </si>
  <si>
    <t>7000True"TV Total Telecine HD""BLM 10gb""Franquia ilimitada"49.9"OT_MIG_JUL18_FID_4P_PILIM_7GB_D3_TV_BL2_OF3"</t>
  </si>
  <si>
    <t>"OT_MIG_JUL18_FID_4P_PILIM_7GB_D3_TV_BL5_CBAS_OF3"</t>
  </si>
  <si>
    <t>7000False"TV Start HD""VX Até 15mb""Franquia ilimitada"49.9"OT_MIG_JUL18_FID_4P_PILIM_7GB_D3_TV_BL5_CBAS_OF3"</t>
  </si>
  <si>
    <t>7000False"TV Mix HD""VX Até 15mb""Franquia ilimitada"49.9"OT_MIG_JUL18_FID_4P_PILIM_7GB_D3_TV_BL5_CBAS_OF3"</t>
  </si>
  <si>
    <t>7000False"TV Mix HBOMAX HD""VX Até 15mb""Franquia ilimitada"49.9"OT_MIG_JUL18_FID_4P_PILIM_7GB_D3_TV_BL5_CBAS_OF3"</t>
  </si>
  <si>
    <t>7000False"TV Mix Telecine HD""VX Até 15mb""Franquia ilimitada"49.9"OT_MIG_JUL18_FID_4P_PILIM_7GB_D3_TV_BL5_CBAS_OF3"</t>
  </si>
  <si>
    <t>7000False"TV Mix Cinema HD""VX Até 15mb""Franquia ilimitada"49.9"OT_MIG_JUL18_FID_4P_PILIM_7GB_D3_TV_BL5_CBAS_OF3"</t>
  </si>
  <si>
    <t>7000False"TV Total HD""VX Até 15mb""Franquia ilimitada"49.9"OT_MIG_JUL18_FID_4P_PILIM_7GB_D3_TV_BL5_CBAS_OF3"</t>
  </si>
  <si>
    <t>7000False"TV Total HBOMAX HD""VX Até 15mb""Franquia ilimitada"49.9"OT_MIG_JUL18_FID_4P_PILIM_7GB_D3_TV_BL5_CBAS_OF3"</t>
  </si>
  <si>
    <t>7000False"TV Total Telecine HD""VX Até 15mb""Franquia ilimitada"49.9"OT_MIG_JUL18_FID_4P_PILIM_7GB_D3_TV_BL5_CBAS_OF3"</t>
  </si>
  <si>
    <t>7000False"TV Total Cinema HD""VX Até 15mb""Franquia ilimitada"49.9"OT_MIG_JUL18_FID_4P_PILIM_7GB_D3_TV_BL5_CBAS_OF3"</t>
  </si>
  <si>
    <t>7000True"TV Total HD""VX Até 15mb""Franquia ilimitada"49.9"OT_MIG_JUL18_FID_4P_PILIM_7GB_D3_TV_BL5_CBAS_OF3"</t>
  </si>
  <si>
    <t>7000True"TV Total HBOMAX HD""VX Até 15mb""Franquia ilimitada"49.9"OT_MIG_JUL18_FID_4P_PILIM_7GB_D3_TV_BL5_CBAS_OF3"</t>
  </si>
  <si>
    <t>7000True"TV Total Telecine HD""VX Até 15mb""Franquia ilimitada"49.9"OT_MIG_JUL18_FID_4P_PILIM_7GB_D3_TV_BL5_CBAS_OF3"</t>
  </si>
  <si>
    <t>7000False"TV Start HD""VX Até 25mb""Franquia ilimitada"49.9"OT_MIG_JUL18_FID_4P_PILIM_7GB_D3_TV_BL5_CBAS_OF3"</t>
  </si>
  <si>
    <t>7000False"TV Mix HD""VX Até 25mb""Franquia ilimitada"49.9"OT_MIG_JUL18_FID_4P_PILIM_7GB_D3_TV_BL5_CBAS_OF3"</t>
  </si>
  <si>
    <t>7000False"TV Mix HBOMAX HD""VX Até 25mb""Franquia ilimitada"49.9"OT_MIG_JUL18_FID_4P_PILIM_7GB_D3_TV_BL5_CBAS_OF3"</t>
  </si>
  <si>
    <t>7000False"TV Mix Telecine HD""VX Até 25mb""Franquia ilimitada"49.9"OT_MIG_JUL18_FID_4P_PILIM_7GB_D3_TV_BL5_CBAS_OF3"</t>
  </si>
  <si>
    <t>7000False"TV Mix Cinema HD""VX Até 25mb""Franquia ilimitada"49.9"OT_MIG_JUL18_FID_4P_PILIM_7GB_D3_TV_BL5_CBAS_OF3"</t>
  </si>
  <si>
    <t>7000False"TV Total HD""VX Até 25mb""Franquia ilimitada"49.9"OT_MIG_JUL18_FID_4P_PILIM_7GB_D3_TV_BL5_CBAS_OF3"</t>
  </si>
  <si>
    <t>7000False"TV Total HBOMAX HD""VX Até 25mb""Franquia ilimitada"49.9"OT_MIG_JUL18_FID_4P_PILIM_7GB_D3_TV_BL5_CBAS_OF3"</t>
  </si>
  <si>
    <t>7000False"TV Total Telecine HD""VX Até 25mb""Franquia ilimitada"49.9"OT_MIG_JUL18_FID_4P_PILIM_7GB_D3_TV_BL5_CBAS_OF3"</t>
  </si>
  <si>
    <t>7000False"TV Total Cinema HD""VX Até 25mb""Franquia ilimitada"49.9"OT_MIG_JUL18_FID_4P_PILIM_7GB_D3_TV_BL5_CBAS_OF3"</t>
  </si>
  <si>
    <t>7000True"TV Total HD""VX Até 25mb""Franquia ilimitada"49.9"OT_MIG_JUL18_FID_4P_PILIM_7GB_D3_TV_BL5_CBAS_OF3"</t>
  </si>
  <si>
    <t>7000True"TV Total HBOMAX HD""VX Até 25mb""Franquia ilimitada"49.9"OT_MIG_JUL18_FID_4P_PILIM_7GB_D3_TV_BL5_CBAS_OF3"</t>
  </si>
  <si>
    <t>7000True"TV Total Telecine HD""VX Até 25mb""Franquia ilimitada"49.9"OT_MIG_JUL18_FID_4P_PILIM_7GB_D3_TV_BL5_CBAS_OF3"</t>
  </si>
  <si>
    <t>7000False"TV Start HD""VX 35mb""Franquia ilimitada"49.9"OT_MIG_JUL18_FID_4P_PILIM_7GB_D3_TV_BL5_CBAS_OF3"</t>
  </si>
  <si>
    <t>7000False"TV Mix HD""VX 35mb""Franquia ilimitada"49.9"OT_MIG_JUL18_FID_4P_PILIM_7GB_D3_TV_BL5_CBAS_OF3"</t>
  </si>
  <si>
    <t>7000False"TV Mix HBOMAX HD""VX 35mb""Franquia ilimitada"49.9"OT_MIG_JUL18_FID_4P_PILIM_7GB_D3_TV_BL5_CBAS_OF3"</t>
  </si>
  <si>
    <t>7000False"TV Mix Telecine HD""VX 35mb""Franquia ilimitada"49.9"OT_MIG_JUL18_FID_4P_PILIM_7GB_D3_TV_BL5_CBAS_OF3"</t>
  </si>
  <si>
    <t>7000False"TV Mix Cinema HD""VX 35mb""Franquia ilimitada"49.9"OT_MIG_JUL18_FID_4P_PILIM_7GB_D3_TV_BL5_CBAS_OF3"</t>
  </si>
  <si>
    <t>7000False"TV Total HD""VX 35mb""Franquia ilimitada"49.9"OT_MIG_JUL18_FID_4P_PILIM_7GB_D3_TV_BL5_CBAS_OF3"</t>
  </si>
  <si>
    <t>7000False"TV Total HBOMAX HD""VX 35mb""Franquia ilimitada"49.9"OT_MIG_JUL18_FID_4P_PILIM_7GB_D3_TV_BL5_CBAS_OF3"</t>
  </si>
  <si>
    <t>7000False"TV Total Telecine HD""VX 35mb""Franquia ilimitada"49.9"OT_MIG_JUL18_FID_4P_PILIM_7GB_D3_TV_BL5_CBAS_OF3"</t>
  </si>
  <si>
    <t>7000False"TV Total Cinema HD""VX 35mb""Franquia ilimitada"49.9"OT_MIG_JUL18_FID_4P_PILIM_7GB_D3_TV_BL5_CBAS_OF3"</t>
  </si>
  <si>
    <t>7000True"TV Total HD""VX 35mb""Franquia ilimitada"49.9"OT_MIG_JUL18_FID_4P_PILIM_7GB_D3_TV_BL5_CBAS_OF3"</t>
  </si>
  <si>
    <t>7000True"TV Total HBOMAX HD""VX 35mb""Franquia ilimitada"49.9"OT_MIG_JUL18_FID_4P_PILIM_7GB_D3_TV_BL5_CBAS_OF3"</t>
  </si>
  <si>
    <t>7000True"TV Total Telecine HD""VX 35mb""Franquia ilimitada"49.9"OT_MIG_JUL18_FID_4P_PILIM_7GB_D3_TV_BL5_CBAS_OF3"</t>
  </si>
  <si>
    <t>"OT_MIG_JUL18_FID_4P_PILIM_7GB_D3_LV_BL2_OF3"</t>
  </si>
  <si>
    <t>7000False"TV Livre HD""VX Até 2mb""Franquia ilimitada"49.9"OT_MIG_JUL18_FID_4P_PILIM_7GB_D3_LV_BL2_OF3"</t>
  </si>
  <si>
    <t>7000False"TV Livre HD""BLM 10gb""Franquia ilimitada"49.9"OT_MIG_JUL18_FID_4P_PILIM_7GB_D3_LV_BL2_OF3"</t>
  </si>
  <si>
    <t>"OT_MIG_JUL18_FID_4P_PILIM_7GB_D3_LV_BL5_CBAS_OF3"</t>
  </si>
  <si>
    <t>7000False"TV Livre HD""VX Até 15mb""Franquia ilimitada"49.9"OT_MIG_JUL18_FID_4P_PILIM_7GB_D3_LV_BL5_CBAS_OF3"</t>
  </si>
  <si>
    <t>7000False"TV Livre HD""VX Até 25mb""Franquia ilimitada"49.9"OT_MIG_JUL18_FID_4P_PILIM_7GB_D3_LV_BL5_CBAS_OF3"</t>
  </si>
  <si>
    <t>7000False"TV Livre HD""VX 35mb""Franquia ilimitada"49.9"OT_MIG_JUL18_FID_4P_PILIM_7GB_D3_LV_BL5_CBAS_OF3"</t>
  </si>
  <si>
    <t>"OT_MIG_JUL18_FID_4P_PILIM_7GB_D3_TV_BL2_OF4"</t>
  </si>
  <si>
    <t>7000False"TV Start HD""VX Até 2mb""Franquia ilimitada"49.9"OT_MIG_JUL18_FID_4P_PILIM_7GB_D3_TV_BL2_OF4"</t>
  </si>
  <si>
    <t>7000False"TV Mix HD""VX Até 2mb""Franquia ilimitada"49.9"OT_MIG_JUL18_FID_4P_PILIM_7GB_D3_TV_BL2_OF4"</t>
  </si>
  <si>
    <t>7000False"TV Mix HBOMAX HD""VX Até 2mb""Franquia ilimitada"49.9"OT_MIG_JUL18_FID_4P_PILIM_7GB_D3_TV_BL2_OF4"</t>
  </si>
  <si>
    <t>7000False"TV Mix Telecine HD""VX Até 2mb""Franquia ilimitada"49.9"OT_MIG_JUL18_FID_4P_PILIM_7GB_D3_TV_BL2_OF4"</t>
  </si>
  <si>
    <t>7000False"TV Mix Cinema HD""VX Até 2mb""Franquia ilimitada"49.9"OT_MIG_JUL18_FID_4P_PILIM_7GB_D3_TV_BL2_OF4"</t>
  </si>
  <si>
    <t>7000False"TV Total HD""VX Até 2mb""Franquia ilimitada"49.9"OT_MIG_JUL18_FID_4P_PILIM_7GB_D3_TV_BL2_OF4"</t>
  </si>
  <si>
    <t>7000False"TV Total HBOMAX HD""VX Até 2mb""Franquia ilimitada"49.9"OT_MIG_JUL18_FID_4P_PILIM_7GB_D3_TV_BL2_OF4"</t>
  </si>
  <si>
    <t>7000False"TV Total Telecine HD""VX Até 2mb""Franquia ilimitada"49.9"OT_MIG_JUL18_FID_4P_PILIM_7GB_D3_TV_BL2_OF4"</t>
  </si>
  <si>
    <t>7000False"TV Total Cinema HD""VX Até 2mb""Franquia ilimitada"49.9"OT_MIG_JUL18_FID_4P_PILIM_7GB_D3_TV_BL2_OF4"</t>
  </si>
  <si>
    <t>7000True"TV Total HD""VX Até 2mb""Franquia ilimitada"49.9"OT_MIG_JUL18_FID_4P_PILIM_7GB_D3_TV_BL2_OF4"</t>
  </si>
  <si>
    <t>7000True"TV Total HBOMAX HD""VX Até 2mb""Franquia ilimitada"49.9"OT_MIG_JUL18_FID_4P_PILIM_7GB_D3_TV_BL2_OF4"</t>
  </si>
  <si>
    <t>7000True"TV Total Telecine HD""VX Até 2mb""Franquia ilimitada"49.9"OT_MIG_JUL18_FID_4P_PILIM_7GB_D3_TV_BL2_OF4"</t>
  </si>
  <si>
    <t>7000True"TV Total Cinema HD""VX Até 2mb""Franquia ilimitada"49.9"OT_MIG_JUL18_FID_4P_PILIM_7GB_D3_TV_BL2_OF4"</t>
  </si>
  <si>
    <t>7000False"TV Start HD""BLM 10gb""Franquia ilimitada"49.9"OT_MIG_JUL18_FID_4P_PILIM_7GB_D3_TV_BL2_OF4"</t>
  </si>
  <si>
    <t>7000False"TV Mix HD""BLM 10gb""Franquia ilimitada"49.9"OT_MIG_JUL18_FID_4P_PILIM_7GB_D3_TV_BL2_OF4"</t>
  </si>
  <si>
    <t>7000False"TV Mix HBOMAX HD""BLM 10gb""Franquia ilimitada"49.9"OT_MIG_JUL18_FID_4P_PILIM_7GB_D3_TV_BL2_OF4"</t>
  </si>
  <si>
    <t>7000False"TV Mix Telecine HD""BLM 10gb""Franquia ilimitada"49.9"OT_MIG_JUL18_FID_4P_PILIM_7GB_D3_TV_BL2_OF4"</t>
  </si>
  <si>
    <t>7000False"TV Mix Cinema HD""BLM 10gb""Franquia ilimitada"49.9"OT_MIG_JUL18_FID_4P_PILIM_7GB_D3_TV_BL2_OF4"</t>
  </si>
  <si>
    <t>7000False"TV Total HD""BLM 10gb""Franquia ilimitada"49.9"OT_MIG_JUL18_FID_4P_PILIM_7GB_D3_TV_BL2_OF4"</t>
  </si>
  <si>
    <t>7000False"TV Total HBOMAX HD""BLM 10gb""Franquia ilimitada"49.9"OT_MIG_JUL18_FID_4P_PILIM_7GB_D3_TV_BL2_OF4"</t>
  </si>
  <si>
    <t>7000False"TV Total Telecine HD""BLM 10gb""Franquia ilimitada"49.9"OT_MIG_JUL18_FID_4P_PILIM_7GB_D3_TV_BL2_OF4"</t>
  </si>
  <si>
    <t>7000False"TV Total Cinema HD""BLM 10gb""Franquia ilimitada"49.9"OT_MIG_JUL18_FID_4P_PILIM_7GB_D3_TV_BL2_OF4"</t>
  </si>
  <si>
    <t>7000True"TV Total HD""BLM 10gb""Franquia ilimitada"49.9"OT_MIG_JUL18_FID_4P_PILIM_7GB_D3_TV_BL2_OF4"</t>
  </si>
  <si>
    <t>7000True"TV Total HBOMAX HD""BLM 10gb""Franquia ilimitada"49.9"OT_MIG_JUL18_FID_4P_PILIM_7GB_D3_TV_BL2_OF4"</t>
  </si>
  <si>
    <t>7000True"TV Total Telecine HD""BLM 10gb""Franquia ilimitada"49.9"OT_MIG_JUL18_FID_4P_PILIM_7GB_D3_TV_BL2_OF4"</t>
  </si>
  <si>
    <t>7000True"TV Total Cinema HD""BLM 10gb""Franquia ilimitada"49.9"OT_MIG_JUL18_FID_4P_PILIM_7GB_D3_TV_BL2_OF4"</t>
  </si>
  <si>
    <t>"OT_MIG_JUL18_FID_4P_PILIM_7GB_D3_TV_BL5_CBAS_OF4"</t>
  </si>
  <si>
    <t>7000False"TV Start HD""VX Até 15mb""Franquia ilimitada"49.9"OT_MIG_JUL18_FID_4P_PILIM_7GB_D3_TV_BL5_CBAS_OF4"</t>
  </si>
  <si>
    <t>7000False"TV Mix HD""VX Até 15mb""Franquia ilimitada"49.9"OT_MIG_JUL18_FID_4P_PILIM_7GB_D3_TV_BL5_CBAS_OF4"</t>
  </si>
  <si>
    <t>7000False"TV Mix HBOMAX HD""VX Até 15mb""Franquia ilimitada"49.9"OT_MIG_JUL18_FID_4P_PILIM_7GB_D3_TV_BL5_CBAS_OF4"</t>
  </si>
  <si>
    <t>7000False"TV Mix Telecine HD""VX Até 15mb""Franquia ilimitada"49.9"OT_MIG_JUL18_FID_4P_PILIM_7GB_D3_TV_BL5_CBAS_OF4"</t>
  </si>
  <si>
    <t>7000False"TV Mix Cinema HD""VX Até 15mb""Franquia ilimitada"49.9"OT_MIG_JUL18_FID_4P_PILIM_7GB_D3_TV_BL5_CBAS_OF4"</t>
  </si>
  <si>
    <t>7000False"TV Total HD""VX Até 15mb""Franquia ilimitada"49.9"OT_MIG_JUL18_FID_4P_PILIM_7GB_D3_TV_BL5_CBAS_OF4"</t>
  </si>
  <si>
    <t>7000False"TV Total HBOMAX HD""VX Até 15mb""Franquia ilimitada"49.9"OT_MIG_JUL18_FID_4P_PILIM_7GB_D3_TV_BL5_CBAS_OF4"</t>
  </si>
  <si>
    <t>7000False"TV Total Telecine HD""VX Até 15mb""Franquia ilimitada"49.9"OT_MIG_JUL18_FID_4P_PILIM_7GB_D3_TV_BL5_CBAS_OF4"</t>
  </si>
  <si>
    <t>7000False"TV Total Cinema HD""VX Até 15mb""Franquia ilimitada"49.9"OT_MIG_JUL18_FID_4P_PILIM_7GB_D3_TV_BL5_CBAS_OF4"</t>
  </si>
  <si>
    <t>7000True"TV Total HD""VX Até 15mb""Franquia ilimitada"49.9"OT_MIG_JUL18_FID_4P_PILIM_7GB_D3_TV_BL5_CBAS_OF4"</t>
  </si>
  <si>
    <t>7000True"TV Total HBOMAX HD""VX Até 15mb""Franquia ilimitada"49.9"OT_MIG_JUL18_FID_4P_PILIM_7GB_D3_TV_BL5_CBAS_OF4"</t>
  </si>
  <si>
    <t>7000True"TV Total Telecine HD""VX Até 15mb""Franquia ilimitada"49.9"OT_MIG_JUL18_FID_4P_PILIM_7GB_D3_TV_BL5_CBAS_OF4"</t>
  </si>
  <si>
    <t>7000True"TV Total Cinema HD""VX Até 15mb""Franquia ilimitada"49.9"OT_MIG_JUL18_FID_4P_PILIM_7GB_D3_TV_BL5_CBAS_OF4"</t>
  </si>
  <si>
    <t>7000False"TV Start HD""VX Até 25mb""Franquia ilimitada"49.9"OT_MIG_JUL18_FID_4P_PILIM_7GB_D3_TV_BL5_CBAS_OF4"</t>
  </si>
  <si>
    <t>7000False"TV Mix HD""VX Até 25mb""Franquia ilimitada"49.9"OT_MIG_JUL18_FID_4P_PILIM_7GB_D3_TV_BL5_CBAS_OF4"</t>
  </si>
  <si>
    <t>7000False"TV Mix HBOMAX HD""VX Até 25mb""Franquia ilimitada"49.9"OT_MIG_JUL18_FID_4P_PILIM_7GB_D3_TV_BL5_CBAS_OF4"</t>
  </si>
  <si>
    <t>7000False"TV Mix Telecine HD""VX Até 25mb""Franquia ilimitada"49.9"OT_MIG_JUL18_FID_4P_PILIM_7GB_D3_TV_BL5_CBAS_OF4"</t>
  </si>
  <si>
    <t>7000False"TV Mix Cinema HD""VX Até 25mb""Franquia ilimitada"49.9"OT_MIG_JUL18_FID_4P_PILIM_7GB_D3_TV_BL5_CBAS_OF4"</t>
  </si>
  <si>
    <t>7000False"TV Total HD""VX Até 25mb""Franquia ilimitada"49.9"OT_MIG_JUL18_FID_4P_PILIM_7GB_D3_TV_BL5_CBAS_OF4"</t>
  </si>
  <si>
    <t>7000False"TV Total HBOMAX HD""VX Até 25mb""Franquia ilimitada"49.9"OT_MIG_JUL18_FID_4P_PILIM_7GB_D3_TV_BL5_CBAS_OF4"</t>
  </si>
  <si>
    <t>7000False"TV Total Telecine HD""VX Até 25mb""Franquia ilimitada"49.9"OT_MIG_JUL18_FID_4P_PILIM_7GB_D3_TV_BL5_CBAS_OF4"</t>
  </si>
  <si>
    <t>7000False"TV Total Cinema HD""VX Até 25mb""Franquia ilimitada"49.9"OT_MIG_JUL18_FID_4P_PILIM_7GB_D3_TV_BL5_CBAS_OF4"</t>
  </si>
  <si>
    <t>7000True"TV Total HD""VX Até 25mb""Franquia ilimitada"49.9"OT_MIG_JUL18_FID_4P_PILIM_7GB_D3_TV_BL5_CBAS_OF4"</t>
  </si>
  <si>
    <t>7000True"TV Total HBOMAX HD""VX Até 25mb""Franquia ilimitada"49.9"OT_MIG_JUL18_FID_4P_PILIM_7GB_D3_TV_BL5_CBAS_OF4"</t>
  </si>
  <si>
    <t>7000True"TV Total Telecine HD""VX Até 25mb""Franquia ilimitada"49.9"OT_MIG_JUL18_FID_4P_PILIM_7GB_D3_TV_BL5_CBAS_OF4"</t>
  </si>
  <si>
    <t>7000True"TV Total Cinema HD""VX Até 25mb""Franquia ilimitada"49.9"OT_MIG_JUL18_FID_4P_PILIM_7GB_D3_TV_BL5_CBAS_OF4"</t>
  </si>
  <si>
    <t>7000False"TV Start HD""VX 35mb""Franquia ilimitada"49.9"OT_MIG_JUL18_FID_4P_PILIM_7GB_D3_TV_BL5_CBAS_OF4"</t>
  </si>
  <si>
    <t>7000False"TV Mix HD""VX 35mb""Franquia ilimitada"49.9"OT_MIG_JUL18_FID_4P_PILIM_7GB_D3_TV_BL5_CBAS_OF4"</t>
  </si>
  <si>
    <t>7000False"TV Mix HBOMAX HD""VX 35mb""Franquia ilimitada"49.9"OT_MIG_JUL18_FID_4P_PILIM_7GB_D3_TV_BL5_CBAS_OF4"</t>
  </si>
  <si>
    <t>7000False"TV Mix Telecine HD""VX 35mb""Franquia ilimitada"49.9"OT_MIG_JUL18_FID_4P_PILIM_7GB_D3_TV_BL5_CBAS_OF4"</t>
  </si>
  <si>
    <t>7000False"TV Mix Cinema HD""VX 35mb""Franquia ilimitada"49.9"OT_MIG_JUL18_FID_4P_PILIM_7GB_D3_TV_BL5_CBAS_OF4"</t>
  </si>
  <si>
    <t>7000False"TV Total HD""VX 35mb""Franquia ilimitada"49.9"OT_MIG_JUL18_FID_4P_PILIM_7GB_D3_TV_BL5_CBAS_OF4"</t>
  </si>
  <si>
    <t>7000False"TV Total HBOMAX HD""VX 35mb""Franquia ilimitada"49.9"OT_MIG_JUL18_FID_4P_PILIM_7GB_D3_TV_BL5_CBAS_OF4"</t>
  </si>
  <si>
    <t>7000False"TV Total Telecine HD""VX 35mb""Franquia ilimitada"49.9"OT_MIG_JUL18_FID_4P_PILIM_7GB_D3_TV_BL5_CBAS_OF4"</t>
  </si>
  <si>
    <t>7000False"TV Total Cinema HD""VX 35mb""Franquia ilimitada"49.9"OT_MIG_JUL18_FID_4P_PILIM_7GB_D3_TV_BL5_CBAS_OF4"</t>
  </si>
  <si>
    <t>7000True"TV Total HD""VX 35mb""Franquia ilimitada"49.9"OT_MIG_JUL18_FID_4P_PILIM_7GB_D3_TV_BL5_CBAS_OF4"</t>
  </si>
  <si>
    <t>7000True"TV Total HBOMAX HD""VX 35mb""Franquia ilimitada"49.9"OT_MIG_JUL18_FID_4P_PILIM_7GB_D3_TV_BL5_CBAS_OF4"</t>
  </si>
  <si>
    <t>7000True"TV Total Telecine HD""VX 35mb""Franquia ilimitada"49.9"OT_MIG_JUL18_FID_4P_PILIM_7GB_D3_TV_BL5_CBAS_OF4"</t>
  </si>
  <si>
    <t>7000True"TV Total Cinema HD""VX 35mb""Franquia ilimitada"49.9"OT_MIG_JUL18_FID_4P_PILIM_7GB_D3_TV_BL5_CBAS_OF4"</t>
  </si>
  <si>
    <t>"OT_MIG_JUL18_FID_4P_PILIM_10GB_D3_TV_BL2_OF1"</t>
  </si>
  <si>
    <t>10000False"TV Start HD""VX Até 2mb""Franquia ilimitada"49.9"OT_MIG_JUL18_FID_4P_PILIM_10GB_D3_TV_BL2_OF1"</t>
  </si>
  <si>
    <t>10000False"TV Mix HD""VX Até 2mb""Franquia ilimitada"49.9"OT_MIG_JUL18_FID_4P_PILIM_10GB_D3_TV_BL2_OF1"</t>
  </si>
  <si>
    <t>10000False"TV Mix HBOMAX HD""VX Até 2mb""Franquia ilimitada"49.9"OT_MIG_JUL18_FID_4P_PILIM_10GB_D3_TV_BL2_OF1"</t>
  </si>
  <si>
    <t>10000False"TV Mix Telecine HD""VX Até 2mb""Franquia ilimitada"49.9"OT_MIG_JUL18_FID_4P_PILIM_10GB_D3_TV_BL2_OF1"</t>
  </si>
  <si>
    <t>10000False"TV Mix Cinema HD""VX Até 2mb""Franquia ilimitada"49.9"OT_MIG_JUL18_FID_4P_PILIM_10GB_D3_TV_BL2_OF1"</t>
  </si>
  <si>
    <t>10000False"TV Total HD""VX Até 2mb""Franquia ilimitada"49.9"OT_MIG_JUL18_FID_4P_PILIM_10GB_D3_TV_BL2_OF1"</t>
  </si>
  <si>
    <t>10000False"TV Total HBOMAX HD""VX Até 2mb""Franquia ilimitada"49.9"OT_MIG_JUL18_FID_4P_PILIM_10GB_D3_TV_BL2_OF1"</t>
  </si>
  <si>
    <t>10000False"TV Total Telecine HD""VX Até 2mb""Franquia ilimitada"49.9"OT_MIG_JUL18_FID_4P_PILIM_10GB_D3_TV_BL2_OF1"</t>
  </si>
  <si>
    <t>10000False"TV Total Cinema HD""VX Até 2mb""Franquia ilimitada"49.9"OT_MIG_JUL18_FID_4P_PILIM_10GB_D3_TV_BL2_OF1"</t>
  </si>
  <si>
    <t>10000True"TV Total HD""VX Até 2mb""Franquia ilimitada"49.9"OT_MIG_JUL18_FID_4P_PILIM_10GB_D3_TV_BL2_OF1"</t>
  </si>
  <si>
    <t>10000True"TV Total HBOMAX HD""VX Até 2mb""Franquia ilimitada"49.9"OT_MIG_JUL18_FID_4P_PILIM_10GB_D3_TV_BL2_OF1"</t>
  </si>
  <si>
    <t>10000True"TV Total Telecine HD""VX Até 2mb""Franquia ilimitada"49.9"OT_MIG_JUL18_FID_4P_PILIM_10GB_D3_TV_BL2_OF1"</t>
  </si>
  <si>
    <t>10000True"TV Total Cinema HD""VX Até 2mb""Franquia ilimitada"49.9"OT_MIG_JUL18_FID_4P_PILIM_10GB_D3_TV_BL2_OF1"</t>
  </si>
  <si>
    <t>10000False"TV Start HD""BLM 10gb""Franquia ilimitada"49.9"OT_MIG_JUL18_FID_4P_PILIM_10GB_D3_TV_BL2_OF1"</t>
  </si>
  <si>
    <t>10000False"TV Mix HD""BLM 10gb""Franquia ilimitada"49.9"OT_MIG_JUL18_FID_4P_PILIM_10GB_D3_TV_BL2_OF1"</t>
  </si>
  <si>
    <t>10000False"TV Mix HBOMAX HD""BLM 10gb""Franquia ilimitada"49.9"OT_MIG_JUL18_FID_4P_PILIM_10GB_D3_TV_BL2_OF1"</t>
  </si>
  <si>
    <t>10000False"TV Mix Telecine HD""BLM 10gb""Franquia ilimitada"49.9"OT_MIG_JUL18_FID_4P_PILIM_10GB_D3_TV_BL2_OF1"</t>
  </si>
  <si>
    <t>10000False"TV Mix Cinema HD""BLM 10gb""Franquia ilimitada"49.9"OT_MIG_JUL18_FID_4P_PILIM_10GB_D3_TV_BL2_OF1"</t>
  </si>
  <si>
    <t>10000False"TV Total HD""BLM 10gb""Franquia ilimitada"49.9"OT_MIG_JUL18_FID_4P_PILIM_10GB_D3_TV_BL2_OF1"</t>
  </si>
  <si>
    <t>10000False"TV Total HBOMAX HD""BLM 10gb""Franquia ilimitada"49.9"OT_MIG_JUL18_FID_4P_PILIM_10GB_D3_TV_BL2_OF1"</t>
  </si>
  <si>
    <t>10000False"TV Total Telecine HD""BLM 10gb""Franquia ilimitada"49.9"OT_MIG_JUL18_FID_4P_PILIM_10GB_D3_TV_BL2_OF1"</t>
  </si>
  <si>
    <t>10000False"TV Total Cinema HD""BLM 10gb""Franquia ilimitada"49.9"OT_MIG_JUL18_FID_4P_PILIM_10GB_D3_TV_BL2_OF1"</t>
  </si>
  <si>
    <t>10000True"TV Total HD""BLM 10gb""Franquia ilimitada"49.9"OT_MIG_JUL18_FID_4P_PILIM_10GB_D3_TV_BL2_OF1"</t>
  </si>
  <si>
    <t>10000True"TV Total HBOMAX HD""BLM 10gb""Franquia ilimitada"49.9"OT_MIG_JUL18_FID_4P_PILIM_10GB_D3_TV_BL2_OF1"</t>
  </si>
  <si>
    <t>10000True"TV Total Telecine HD""BLM 10gb""Franquia ilimitada"49.9"OT_MIG_JUL18_FID_4P_PILIM_10GB_D3_TV_BL2_OF1"</t>
  </si>
  <si>
    <t>10000True"TV Total Cinema HD""BLM 10gb""Franquia ilimitada"49.9"OT_MIG_JUL18_FID_4P_PILIM_10GB_D3_TV_BL2_OF1"</t>
  </si>
  <si>
    <t>"OT_MIG_JUL18_FID_4P_PILIM_10GB_D3_TV_BL5_CBAS_OF1"</t>
  </si>
  <si>
    <t>10000False"TV Start HD""VX Até 15mb""Franquia ilimitada"49.9"OT_MIG_JUL18_FID_4P_PILIM_10GB_D3_TV_BL5_CBAS_OF1"</t>
  </si>
  <si>
    <t>10000False"TV Mix HD""VX Até 15mb""Franquia ilimitada"49.9"OT_MIG_JUL18_FID_4P_PILIM_10GB_D3_TV_BL5_CBAS_OF1"</t>
  </si>
  <si>
    <t>10000False"TV Mix HBOMAX HD""VX Até 15mb""Franquia ilimitada"49.9"OT_MIG_JUL18_FID_4P_PILIM_10GB_D3_TV_BL5_CBAS_OF1"</t>
  </si>
  <si>
    <t>10000False"TV Mix Telecine HD""VX Até 15mb""Franquia ilimitada"49.9"OT_MIG_JUL18_FID_4P_PILIM_10GB_D3_TV_BL5_CBAS_OF1"</t>
  </si>
  <si>
    <t>10000False"TV Mix Cinema HD""VX Até 15mb""Franquia ilimitada"49.9"OT_MIG_JUL18_FID_4P_PILIM_10GB_D3_TV_BL5_CBAS_OF1"</t>
  </si>
  <si>
    <t>10000False"TV Total HD""VX Até 15mb""Franquia ilimitada"49.9"OT_MIG_JUL18_FID_4P_PILIM_10GB_D3_TV_BL5_CBAS_OF1"</t>
  </si>
  <si>
    <t>10000False"TV Total HBOMAX HD""VX Até 15mb""Franquia ilimitada"49.9"OT_MIG_JUL18_FID_4P_PILIM_10GB_D3_TV_BL5_CBAS_OF1"</t>
  </si>
  <si>
    <t>10000False"TV Total Telecine HD""VX Até 15mb""Franquia ilimitada"49.9"OT_MIG_JUL18_FID_4P_PILIM_10GB_D3_TV_BL5_CBAS_OF1"</t>
  </si>
  <si>
    <t>10000False"TV Total Cinema HD""VX Até 15mb""Franquia ilimitada"49.9"OT_MIG_JUL18_FID_4P_PILIM_10GB_D3_TV_BL5_CBAS_OF1"</t>
  </si>
  <si>
    <t>10000True"TV Total HD""VX Até 15mb""Franquia ilimitada"49.9"OT_MIG_JUL18_FID_4P_PILIM_10GB_D3_TV_BL5_CBAS_OF1"</t>
  </si>
  <si>
    <t>10000True"TV Total HBOMAX HD""VX Até 15mb""Franquia ilimitada"49.9"OT_MIG_JUL18_FID_4P_PILIM_10GB_D3_TV_BL5_CBAS_OF1"</t>
  </si>
  <si>
    <t>10000True"TV Total Telecine HD""VX Até 15mb""Franquia ilimitada"49.9"OT_MIG_JUL18_FID_4P_PILIM_10GB_D3_TV_BL5_CBAS_OF1"</t>
  </si>
  <si>
    <t>10000True"TV Total Cinema HD""VX Até 15mb""Franquia ilimitada"49.9"OT_MIG_JUL18_FID_4P_PILIM_10GB_D3_TV_BL5_CBAS_OF1"</t>
  </si>
  <si>
    <t>10000False"TV Start HD""VX Até 25mb""Franquia ilimitada"49.9"OT_MIG_JUL18_FID_4P_PILIM_10GB_D3_TV_BL5_CBAS_OF1"</t>
  </si>
  <si>
    <t>10000False"TV Mix HD""VX Até 25mb""Franquia ilimitada"49.9"OT_MIG_JUL18_FID_4P_PILIM_10GB_D3_TV_BL5_CBAS_OF1"</t>
  </si>
  <si>
    <t>10000False"TV Mix HBOMAX HD""VX Até 25mb""Franquia ilimitada"49.9"OT_MIG_JUL18_FID_4P_PILIM_10GB_D3_TV_BL5_CBAS_OF1"</t>
  </si>
  <si>
    <t>10000False"TV Mix Telecine HD""VX Até 25mb""Franquia ilimitada"49.9"OT_MIG_JUL18_FID_4P_PILIM_10GB_D3_TV_BL5_CBAS_OF1"</t>
  </si>
  <si>
    <t>10000False"TV Mix Cinema HD""VX Até 25mb""Franquia ilimitada"49.9"OT_MIG_JUL18_FID_4P_PILIM_10GB_D3_TV_BL5_CBAS_OF1"</t>
  </si>
  <si>
    <t>10000False"TV Total HD""VX Até 25mb""Franquia ilimitada"49.9"OT_MIG_JUL18_FID_4P_PILIM_10GB_D3_TV_BL5_CBAS_OF1"</t>
  </si>
  <si>
    <t>10000False"TV Total HBOMAX HD""VX Até 25mb""Franquia ilimitada"49.9"OT_MIG_JUL18_FID_4P_PILIM_10GB_D3_TV_BL5_CBAS_OF1"</t>
  </si>
  <si>
    <t>10000False"TV Total Telecine HD""VX Até 25mb""Franquia ilimitada"49.9"OT_MIG_JUL18_FID_4P_PILIM_10GB_D3_TV_BL5_CBAS_OF1"</t>
  </si>
  <si>
    <t>10000False"TV Total Cinema HD""VX Até 25mb""Franquia ilimitada"49.9"OT_MIG_JUL18_FID_4P_PILIM_10GB_D3_TV_BL5_CBAS_OF1"</t>
  </si>
  <si>
    <t>10000True"TV Total HD""VX Até 25mb""Franquia ilimitada"49.9"OT_MIG_JUL18_FID_4P_PILIM_10GB_D3_TV_BL5_CBAS_OF1"</t>
  </si>
  <si>
    <t>10000True"TV Total HBOMAX HD""VX Até 25mb""Franquia ilimitada"49.9"OT_MIG_JUL18_FID_4P_PILIM_10GB_D3_TV_BL5_CBAS_OF1"</t>
  </si>
  <si>
    <t>10000True"TV Total Telecine HD""VX Até 25mb""Franquia ilimitada"49.9"OT_MIG_JUL18_FID_4P_PILIM_10GB_D3_TV_BL5_CBAS_OF1"</t>
  </si>
  <si>
    <t>10000True"TV Total Cinema HD""VX Até 25mb""Franquia ilimitada"49.9"OT_MIG_JUL18_FID_4P_PILIM_10GB_D3_TV_BL5_CBAS_OF1"</t>
  </si>
  <si>
    <t>10000False"TV Start HD""VX 35mb""Franquia ilimitada"49.9"OT_MIG_JUL18_FID_4P_PILIM_10GB_D3_TV_BL5_CBAS_OF1"</t>
  </si>
  <si>
    <t>10000False"TV Mix HD""VX 35mb""Franquia ilimitada"49.9"OT_MIG_JUL18_FID_4P_PILIM_10GB_D3_TV_BL5_CBAS_OF1"</t>
  </si>
  <si>
    <t>10000False"TV Mix HBOMAX HD""VX 35mb""Franquia ilimitada"49.9"OT_MIG_JUL18_FID_4P_PILIM_10GB_D3_TV_BL5_CBAS_OF1"</t>
  </si>
  <si>
    <t>10000False"TV Mix Telecine HD""VX 35mb""Franquia ilimitada"49.9"OT_MIG_JUL18_FID_4P_PILIM_10GB_D3_TV_BL5_CBAS_OF1"</t>
  </si>
  <si>
    <t>10000False"TV Mix Cinema HD""VX 35mb""Franquia ilimitada"49.9"OT_MIG_JUL18_FID_4P_PILIM_10GB_D3_TV_BL5_CBAS_OF1"</t>
  </si>
  <si>
    <t>10000False"TV Total HD""VX 35mb""Franquia ilimitada"49.9"OT_MIG_JUL18_FID_4P_PILIM_10GB_D3_TV_BL5_CBAS_OF1"</t>
  </si>
  <si>
    <t>10000False"TV Total HBOMAX HD""VX 35mb""Franquia ilimitada"49.9"OT_MIG_JUL18_FID_4P_PILIM_10GB_D3_TV_BL5_CBAS_OF1"</t>
  </si>
  <si>
    <t>10000False"TV Total Telecine HD""VX 35mb""Franquia ilimitada"49.9"OT_MIG_JUL18_FID_4P_PILIM_10GB_D3_TV_BL5_CBAS_OF1"</t>
  </si>
  <si>
    <t>10000False"TV Total Cinema HD""VX 35mb""Franquia ilimitada"49.9"OT_MIG_JUL18_FID_4P_PILIM_10GB_D3_TV_BL5_CBAS_OF1"</t>
  </si>
  <si>
    <t>10000True"TV Total HD""VX 35mb""Franquia ilimitada"49.9"OT_MIG_JUL18_FID_4P_PILIM_10GB_D3_TV_BL5_CBAS_OF1"</t>
  </si>
  <si>
    <t>10000True"TV Total HBOMAX HD""VX 35mb""Franquia ilimitada"49.9"OT_MIG_JUL18_FID_4P_PILIM_10GB_D3_TV_BL5_CBAS_OF1"</t>
  </si>
  <si>
    <t>10000True"TV Total Telecine HD""VX 35mb""Franquia ilimitada"49.9"OT_MIG_JUL18_FID_4P_PILIM_10GB_D3_TV_BL5_CBAS_OF1"</t>
  </si>
  <si>
    <t>10000True"TV Total Cinema HD""VX 35mb""Franquia ilimitada"49.9"OT_MIG_JUL18_FID_4P_PILIM_10GB_D3_TV_BL5_CBAS_OF1"</t>
  </si>
  <si>
    <t>"OT_MIG_JUL18_FID_4P_PILIM_10GB_D3_LV_BL2_OF1"</t>
  </si>
  <si>
    <t>10000False"TV Livre HD""VX Até 2mb""Franquia ilimitada"49.9"OT_MIG_JUL18_FID_4P_PILIM_10GB_D3_LV_BL2_OF1"</t>
  </si>
  <si>
    <t>10000False"TV Livre HD""BLM 10gb""Franquia ilimitada"49.9"OT_MIG_JUL18_FID_4P_PILIM_10GB_D3_LV_BL2_OF1"</t>
  </si>
  <si>
    <t>"OT_MIG_JUL18_FID_4P_PILIM_10GB_D3_LV_BL5_CBAS_OF1"</t>
  </si>
  <si>
    <t>10000False"TV Livre HD""VX Até 15mb""Franquia ilimitada"49.9"OT_MIG_JUL18_FID_4P_PILIM_10GB_D3_LV_BL5_CBAS_OF1"</t>
  </si>
  <si>
    <t>10000False"TV Livre HD""VX Até 25mb""Franquia ilimitada"49.9"OT_MIG_JUL18_FID_4P_PILIM_10GB_D3_LV_BL5_CBAS_OF1"</t>
  </si>
  <si>
    <t>10000False"TV Livre HD""VX 35mb""Franquia ilimitada"49.9"OT_MIG_JUL18_FID_4P_PILIM_10GB_D3_LV_BL5_CBAS_OF1"</t>
  </si>
  <si>
    <t>"OT_MIG_JUL18_FID_4P_PILIM_10GB_D3_TV_BL2_OF2"</t>
  </si>
  <si>
    <t>10000False"TV Start HD""VX Até 2mb""Franquia ilimitada"49.9"OT_MIG_JUL18_FID_4P_PILIM_10GB_D3_TV_BL2_OF2"</t>
  </si>
  <si>
    <t>10000False"TV Mix HD""VX Até 2mb""Franquia ilimitada"49.9"OT_MIG_JUL18_FID_4P_PILIM_10GB_D3_TV_BL2_OF2"</t>
  </si>
  <si>
    <t>10000False"TV Mix HBOMAX HD""VX Até 2mb""Franquia ilimitada"49.9"OT_MIG_JUL18_FID_4P_PILIM_10GB_D3_TV_BL2_OF2"</t>
  </si>
  <si>
    <t>10000False"TV Mix Telecine HD""VX Até 2mb""Franquia ilimitada"49.9"OT_MIG_JUL18_FID_4P_PILIM_10GB_D3_TV_BL2_OF2"</t>
  </si>
  <si>
    <t>10000False"TV Mix Cinema HD""VX Até 2mb""Franquia ilimitada"49.9"OT_MIG_JUL18_FID_4P_PILIM_10GB_D3_TV_BL2_OF2"</t>
  </si>
  <si>
    <t>10000False"TV Total HD""VX Até 2mb""Franquia ilimitada"49.9"OT_MIG_JUL18_FID_4P_PILIM_10GB_D3_TV_BL2_OF2"</t>
  </si>
  <si>
    <t>10000False"TV Total HBOMAX HD""VX Até 2mb""Franquia ilimitada"49.9"OT_MIG_JUL18_FID_4P_PILIM_10GB_D3_TV_BL2_OF2"</t>
  </si>
  <si>
    <t>10000False"TV Total Telecine HD""VX Até 2mb""Franquia ilimitada"49.9"OT_MIG_JUL18_FID_4P_PILIM_10GB_D3_TV_BL2_OF2"</t>
  </si>
  <si>
    <t>10000False"TV Total Cinema HD""VX Até 2mb""Franquia ilimitada"49.9"OT_MIG_JUL18_FID_4P_PILIM_10GB_D3_TV_BL2_OF2"</t>
  </si>
  <si>
    <t>10000True"TV Total HD""VX Até 2mb""Franquia ilimitada"49.9"OT_MIG_JUL18_FID_4P_PILIM_10GB_D3_TV_BL2_OF2"</t>
  </si>
  <si>
    <t>10000True"TV Total HBOMAX HD""VX Até 2mb""Franquia ilimitada"49.9"OT_MIG_JUL18_FID_4P_PILIM_10GB_D3_TV_BL2_OF2"</t>
  </si>
  <si>
    <t>10000True"TV Total Telecine HD""VX Até 2mb""Franquia ilimitada"49.9"OT_MIG_JUL18_FID_4P_PILIM_10GB_D3_TV_BL2_OF2"</t>
  </si>
  <si>
    <t>10000True"TV Total Cinema HD""VX Até 2mb""Franquia ilimitada"49.9"OT_MIG_JUL18_FID_4P_PILIM_10GB_D3_TV_BL2_OF2"</t>
  </si>
  <si>
    <t>10000False"TV Start HD""BLM 10gb""Franquia ilimitada"49.9"OT_MIG_JUL18_FID_4P_PILIM_10GB_D3_TV_BL2_OF2"</t>
  </si>
  <si>
    <t>10000False"TV Mix HD""BLM 10gb""Franquia ilimitada"49.9"OT_MIG_JUL18_FID_4P_PILIM_10GB_D3_TV_BL2_OF2"</t>
  </si>
  <si>
    <t>10000False"TV Mix HBOMAX HD""BLM 10gb""Franquia ilimitada"49.9"OT_MIG_JUL18_FID_4P_PILIM_10GB_D3_TV_BL2_OF2"</t>
  </si>
  <si>
    <t>10000False"TV Mix Telecine HD""BLM 10gb""Franquia ilimitada"49.9"OT_MIG_JUL18_FID_4P_PILIM_10GB_D3_TV_BL2_OF2"</t>
  </si>
  <si>
    <t>10000False"TV Mix Cinema HD""BLM 10gb""Franquia ilimitada"49.9"OT_MIG_JUL18_FID_4P_PILIM_10GB_D3_TV_BL2_OF2"</t>
  </si>
  <si>
    <t>10000False"TV Total HD""BLM 10gb""Franquia ilimitada"49.9"OT_MIG_JUL18_FID_4P_PILIM_10GB_D3_TV_BL2_OF2"</t>
  </si>
  <si>
    <t>10000False"TV Total HBOMAX HD""BLM 10gb""Franquia ilimitada"49.9"OT_MIG_JUL18_FID_4P_PILIM_10GB_D3_TV_BL2_OF2"</t>
  </si>
  <si>
    <t>10000False"TV Total Telecine HD""BLM 10gb""Franquia ilimitada"49.9"OT_MIG_JUL18_FID_4P_PILIM_10GB_D3_TV_BL2_OF2"</t>
  </si>
  <si>
    <t>10000False"TV Total Cinema HD""BLM 10gb""Franquia ilimitada"49.9"OT_MIG_JUL18_FID_4P_PILIM_10GB_D3_TV_BL2_OF2"</t>
  </si>
  <si>
    <t>10000True"TV Total HD""BLM 10gb""Franquia ilimitada"49.9"OT_MIG_JUL18_FID_4P_PILIM_10GB_D3_TV_BL2_OF2"</t>
  </si>
  <si>
    <t>10000True"TV Total HBOMAX HD""BLM 10gb""Franquia ilimitada"49.9"OT_MIG_JUL18_FID_4P_PILIM_10GB_D3_TV_BL2_OF2"</t>
  </si>
  <si>
    <t>10000True"TV Total Telecine HD""BLM 10gb""Franquia ilimitada"49.9"OT_MIG_JUL18_FID_4P_PILIM_10GB_D3_TV_BL2_OF2"</t>
  </si>
  <si>
    <t>10000True"TV Total Cinema HD""BLM 10gb""Franquia ilimitada"49.9"OT_MIG_JUL18_FID_4P_PILIM_10GB_D3_TV_BL2_OF2"</t>
  </si>
  <si>
    <t>"OT_MIG_JUL18_FID_4P_PILIM_10GB_D3_TV_BL5_CBAS_OF2"</t>
  </si>
  <si>
    <t>10000False"TV Start HD""VX Até 15mb""Franquia ilimitada"49.9"OT_MIG_JUL18_FID_4P_PILIM_10GB_D3_TV_BL5_CBAS_OF2"</t>
  </si>
  <si>
    <t>10000False"TV Mix HD""VX Até 15mb""Franquia ilimitada"49.9"OT_MIG_JUL18_FID_4P_PILIM_10GB_D3_TV_BL5_CBAS_OF2"</t>
  </si>
  <si>
    <t>10000False"TV Mix HBOMAX HD""VX Até 15mb""Franquia ilimitada"49.9"OT_MIG_JUL18_FID_4P_PILIM_10GB_D3_TV_BL5_CBAS_OF2"</t>
  </si>
  <si>
    <t>10000False"TV Mix Telecine HD""VX Até 15mb""Franquia ilimitada"49.9"OT_MIG_JUL18_FID_4P_PILIM_10GB_D3_TV_BL5_CBAS_OF2"</t>
  </si>
  <si>
    <t>10000False"TV Mix Cinema HD""VX Até 15mb""Franquia ilimitada"49.9"OT_MIG_JUL18_FID_4P_PILIM_10GB_D3_TV_BL5_CBAS_OF2"</t>
  </si>
  <si>
    <t>10000False"TV Total HD""VX Até 15mb""Franquia ilimitada"49.9"OT_MIG_JUL18_FID_4P_PILIM_10GB_D3_TV_BL5_CBAS_OF2"</t>
  </si>
  <si>
    <t>10000False"TV Total HBOMAX HD""VX Até 15mb""Franquia ilimitada"49.9"OT_MIG_JUL18_FID_4P_PILIM_10GB_D3_TV_BL5_CBAS_OF2"</t>
  </si>
  <si>
    <t>10000False"TV Total Telecine HD""VX Até 15mb""Franquia ilimitada"49.9"OT_MIG_JUL18_FID_4P_PILIM_10GB_D3_TV_BL5_CBAS_OF2"</t>
  </si>
  <si>
    <t>10000False"TV Total Cinema HD""VX Até 15mb""Franquia ilimitada"49.9"OT_MIG_JUL18_FID_4P_PILIM_10GB_D3_TV_BL5_CBAS_OF2"</t>
  </si>
  <si>
    <t>10000True"TV Total HD""VX Até 15mb""Franquia ilimitada"49.9"OT_MIG_JUL18_FID_4P_PILIM_10GB_D3_TV_BL5_CBAS_OF2"</t>
  </si>
  <si>
    <t>10000True"TV Total HBOMAX HD""VX Até 15mb""Franquia ilimitada"49.9"OT_MIG_JUL18_FID_4P_PILIM_10GB_D3_TV_BL5_CBAS_OF2"</t>
  </si>
  <si>
    <t>10000True"TV Total Telecine HD""VX Até 15mb""Franquia ilimitada"49.9"OT_MIG_JUL18_FID_4P_PILIM_10GB_D3_TV_BL5_CBAS_OF2"</t>
  </si>
  <si>
    <t>10000True"TV Total Cinema HD""VX Até 15mb""Franquia ilimitada"49.9"OT_MIG_JUL18_FID_4P_PILIM_10GB_D3_TV_BL5_CBAS_OF2"</t>
  </si>
  <si>
    <t>10000False"TV Start HD""VX Até 25mb""Franquia ilimitada"49.9"OT_MIG_JUL18_FID_4P_PILIM_10GB_D3_TV_BL5_CBAS_OF2"</t>
  </si>
  <si>
    <t>10000False"TV Mix HD""VX Até 25mb""Franquia ilimitada"49.9"OT_MIG_JUL18_FID_4P_PILIM_10GB_D3_TV_BL5_CBAS_OF2"</t>
  </si>
  <si>
    <t>10000False"TV Mix HBOMAX HD""VX Até 25mb""Franquia ilimitada"49.9"OT_MIG_JUL18_FID_4P_PILIM_10GB_D3_TV_BL5_CBAS_OF2"</t>
  </si>
  <si>
    <t>10000False"TV Mix Telecine HD""VX Até 25mb""Franquia ilimitada"49.9"OT_MIG_JUL18_FID_4P_PILIM_10GB_D3_TV_BL5_CBAS_OF2"</t>
  </si>
  <si>
    <t>10000False"TV Mix Cinema HD""VX Até 25mb""Franquia ilimitada"49.9"OT_MIG_JUL18_FID_4P_PILIM_10GB_D3_TV_BL5_CBAS_OF2"</t>
  </si>
  <si>
    <t>10000False"TV Total HD""VX Até 25mb""Franquia ilimitada"49.9"OT_MIG_JUL18_FID_4P_PILIM_10GB_D3_TV_BL5_CBAS_OF2"</t>
  </si>
  <si>
    <t>10000False"TV Total HBOMAX HD""VX Até 25mb""Franquia ilimitada"49.9"OT_MIG_JUL18_FID_4P_PILIM_10GB_D3_TV_BL5_CBAS_OF2"</t>
  </si>
  <si>
    <t>10000False"TV Total Telecine HD""VX Até 25mb""Franquia ilimitada"49.9"OT_MIG_JUL18_FID_4P_PILIM_10GB_D3_TV_BL5_CBAS_OF2"</t>
  </si>
  <si>
    <t>10000False"TV Total Cinema HD""VX Até 25mb""Franquia ilimitada"49.9"OT_MIG_JUL18_FID_4P_PILIM_10GB_D3_TV_BL5_CBAS_OF2"</t>
  </si>
  <si>
    <t>10000True"TV Total HD""VX Até 25mb""Franquia ilimitada"49.9"OT_MIG_JUL18_FID_4P_PILIM_10GB_D3_TV_BL5_CBAS_OF2"</t>
  </si>
  <si>
    <t>10000True"TV Total HBOMAX HD""VX Até 25mb""Franquia ilimitada"49.9"OT_MIG_JUL18_FID_4P_PILIM_10GB_D3_TV_BL5_CBAS_OF2"</t>
  </si>
  <si>
    <t>10000True"TV Total Telecine HD""VX Até 25mb""Franquia ilimitada"49.9"OT_MIG_JUL18_FID_4P_PILIM_10GB_D3_TV_BL5_CBAS_OF2"</t>
  </si>
  <si>
    <t>10000True"TV Total Cinema HD""VX Até 25mb""Franquia ilimitada"49.9"OT_MIG_JUL18_FID_4P_PILIM_10GB_D3_TV_BL5_CBAS_OF2"</t>
  </si>
  <si>
    <t>10000False"TV Start HD""VX 35mb""Franquia ilimitada"49.9"OT_MIG_JUL18_FID_4P_PILIM_10GB_D3_TV_BL5_CBAS_OF2"</t>
  </si>
  <si>
    <t>10000False"TV Mix HD""VX 35mb""Franquia ilimitada"49.9"OT_MIG_JUL18_FID_4P_PILIM_10GB_D3_TV_BL5_CBAS_OF2"</t>
  </si>
  <si>
    <t>10000False"TV Mix HBOMAX HD""VX 35mb""Franquia ilimitada"49.9"OT_MIG_JUL18_FID_4P_PILIM_10GB_D3_TV_BL5_CBAS_OF2"</t>
  </si>
  <si>
    <t>10000False"TV Mix Telecine HD""VX 35mb""Franquia ilimitada"49.9"OT_MIG_JUL18_FID_4P_PILIM_10GB_D3_TV_BL5_CBAS_OF2"</t>
  </si>
  <si>
    <t>10000False"TV Mix Cinema HD""VX 35mb""Franquia ilimitada"49.9"OT_MIG_JUL18_FID_4P_PILIM_10GB_D3_TV_BL5_CBAS_OF2"</t>
  </si>
  <si>
    <t>10000False"TV Total HD""VX 35mb""Franquia ilimitada"49.9"OT_MIG_JUL18_FID_4P_PILIM_10GB_D3_TV_BL5_CBAS_OF2"</t>
  </si>
  <si>
    <t>10000False"TV Total HBOMAX HD""VX 35mb""Franquia ilimitada"49.9"OT_MIG_JUL18_FID_4P_PILIM_10GB_D3_TV_BL5_CBAS_OF2"</t>
  </si>
  <si>
    <t>10000False"TV Total Telecine HD""VX 35mb""Franquia ilimitada"49.9"OT_MIG_JUL18_FID_4P_PILIM_10GB_D3_TV_BL5_CBAS_OF2"</t>
  </si>
  <si>
    <t>10000False"TV Total Cinema HD""VX 35mb""Franquia ilimitada"49.9"OT_MIG_JUL18_FID_4P_PILIM_10GB_D3_TV_BL5_CBAS_OF2"</t>
  </si>
  <si>
    <t>10000True"TV Total HD""VX 35mb""Franquia ilimitada"49.9"OT_MIG_JUL18_FID_4P_PILIM_10GB_D3_TV_BL5_CBAS_OF2"</t>
  </si>
  <si>
    <t>10000True"TV Total HBOMAX HD""VX 35mb""Franquia ilimitada"49.9"OT_MIG_JUL18_FID_4P_PILIM_10GB_D3_TV_BL5_CBAS_OF2"</t>
  </si>
  <si>
    <t>10000True"TV Total Telecine HD""VX 35mb""Franquia ilimitada"49.9"OT_MIG_JUL18_FID_4P_PILIM_10GB_D3_TV_BL5_CBAS_OF2"</t>
  </si>
  <si>
    <t>10000True"TV Total Cinema HD""VX 35mb""Franquia ilimitada"49.9"OT_MIG_JUL18_FID_4P_PILIM_10GB_D3_TV_BL5_CBAS_OF2"</t>
  </si>
  <si>
    <t>"OT_MIG_JUL18_FID_4P_PILIM_10GB_D3_TV_BL2_OF3"</t>
  </si>
  <si>
    <t>10000False"TV Start HD""VX Até 2mb""Franquia ilimitada"49.9"OT_MIG_JUL18_FID_4P_PILIM_10GB_D3_TV_BL2_OF3"</t>
  </si>
  <si>
    <t>10000False"TV Mix HD""VX Até 2mb""Franquia ilimitada"49.9"OT_MIG_JUL18_FID_4P_PILIM_10GB_D3_TV_BL2_OF3"</t>
  </si>
  <si>
    <t>10000False"TV Mix HBOMAX HD""VX Até 2mb""Franquia ilimitada"49.9"OT_MIG_JUL18_FID_4P_PILIM_10GB_D3_TV_BL2_OF3"</t>
  </si>
  <si>
    <t>10000False"TV Mix Telecine HD""VX Até 2mb""Franquia ilimitada"49.9"OT_MIG_JUL18_FID_4P_PILIM_10GB_D3_TV_BL2_OF3"</t>
  </si>
  <si>
    <t>10000False"TV Mix Cinema HD""VX Até 2mb""Franquia ilimitada"49.9"OT_MIG_JUL18_FID_4P_PILIM_10GB_D3_TV_BL2_OF3"</t>
  </si>
  <si>
    <t>10000False"TV Total HD""VX Até 2mb""Franquia ilimitada"49.9"OT_MIG_JUL18_FID_4P_PILIM_10GB_D3_TV_BL2_OF3"</t>
  </si>
  <si>
    <t>10000False"TV Total HBOMAX HD""VX Até 2mb""Franquia ilimitada"49.9"OT_MIG_JUL18_FID_4P_PILIM_10GB_D3_TV_BL2_OF3"</t>
  </si>
  <si>
    <t>10000False"TV Total Telecine HD""VX Até 2mb""Franquia ilimitada"49.9"OT_MIG_JUL18_FID_4P_PILIM_10GB_D3_TV_BL2_OF3"</t>
  </si>
  <si>
    <t>10000False"TV Total Cinema HD""VX Até 2mb""Franquia ilimitada"49.9"OT_MIG_JUL18_FID_4P_PILIM_10GB_D3_TV_BL2_OF3"</t>
  </si>
  <si>
    <t>10000True"TV Total HD""VX Até 2mb""Franquia ilimitada"49.9"OT_MIG_JUL18_FID_4P_PILIM_10GB_D3_TV_BL2_OF3"</t>
  </si>
  <si>
    <t>10000True"TV Total HBOMAX HD""VX Até 2mb""Franquia ilimitada"49.9"OT_MIG_JUL18_FID_4P_PILIM_10GB_D3_TV_BL2_OF3"</t>
  </si>
  <si>
    <t>10000True"TV Total Telecine HD""VX Até 2mb""Franquia ilimitada"49.9"OT_MIG_JUL18_FID_4P_PILIM_10GB_D3_TV_BL2_OF3"</t>
  </si>
  <si>
    <t>10000True"TV Total Cinema HD""VX Até 2mb""Franquia ilimitada"49.9"OT_MIG_JUL18_FID_4P_PILIM_10GB_D3_TV_BL2_OF3"</t>
  </si>
  <si>
    <t>10000False"TV Start HD""BLM 10gb""Franquia ilimitada"49.9"OT_MIG_JUL18_FID_4P_PILIM_10GB_D3_TV_BL2_OF3"</t>
  </si>
  <si>
    <t>10000False"TV Mix HD""BLM 10gb""Franquia ilimitada"49.9"OT_MIG_JUL18_FID_4P_PILIM_10GB_D3_TV_BL2_OF3"</t>
  </si>
  <si>
    <t>10000False"TV Mix HBOMAX HD""BLM 10gb""Franquia ilimitada"49.9"OT_MIG_JUL18_FID_4P_PILIM_10GB_D3_TV_BL2_OF3"</t>
  </si>
  <si>
    <t>10000False"TV Mix Telecine HD""BLM 10gb""Franquia ilimitada"49.9"OT_MIG_JUL18_FID_4P_PILIM_10GB_D3_TV_BL2_OF3"</t>
  </si>
  <si>
    <t>10000False"TV Mix Cinema HD""BLM 10gb""Franquia ilimitada"49.9"OT_MIG_JUL18_FID_4P_PILIM_10GB_D3_TV_BL2_OF3"</t>
  </si>
  <si>
    <t>10000False"TV Total HD""BLM 10gb""Franquia ilimitada"49.9"OT_MIG_JUL18_FID_4P_PILIM_10GB_D3_TV_BL2_OF3"</t>
  </si>
  <si>
    <t>10000False"TV Total HBOMAX HD""BLM 10gb""Franquia ilimitada"49.9"OT_MIG_JUL18_FID_4P_PILIM_10GB_D3_TV_BL2_OF3"</t>
  </si>
  <si>
    <t>10000False"TV Total Telecine HD""BLM 10gb""Franquia ilimitada"49.9"OT_MIG_JUL18_FID_4P_PILIM_10GB_D3_TV_BL2_OF3"</t>
  </si>
  <si>
    <t>10000False"TV Total Cinema HD""BLM 10gb""Franquia ilimitada"49.9"OT_MIG_JUL18_FID_4P_PILIM_10GB_D3_TV_BL2_OF3"</t>
  </si>
  <si>
    <t>10000True"TV Total HD""BLM 10gb""Franquia ilimitada"49.9"OT_MIG_JUL18_FID_4P_PILIM_10GB_D3_TV_BL2_OF3"</t>
  </si>
  <si>
    <t>10000True"TV Total HBOMAX HD""BLM 10gb""Franquia ilimitada"49.9"OT_MIG_JUL18_FID_4P_PILIM_10GB_D3_TV_BL2_OF3"</t>
  </si>
  <si>
    <t>10000True"TV Total Telecine HD""BLM 10gb""Franquia ilimitada"49.9"OT_MIG_JUL18_FID_4P_PILIM_10GB_D3_TV_BL2_OF3"</t>
  </si>
  <si>
    <t>10000True"TV Total Cinema HD""BLM 10gb""Franquia ilimitada"49.9"OT_MIG_JUL18_FID_4P_PILIM_10GB_D3_TV_BL2_OF3"</t>
  </si>
  <si>
    <t>"OT_MIG_JUL18_FID_4P_PILIM_10GB_D3_TV_BL5_CBAS_OF3"</t>
  </si>
  <si>
    <t>10000False"TV Start HD""VX Até 15mb""Franquia ilimitada"49.9"OT_MIG_JUL18_FID_4P_PILIM_10GB_D3_TV_BL5_CBAS_OF3"</t>
  </si>
  <si>
    <t>10000False"TV Mix HD""VX Até 15mb""Franquia ilimitada"49.9"OT_MIG_JUL18_FID_4P_PILIM_10GB_D3_TV_BL5_CBAS_OF3"</t>
  </si>
  <si>
    <t>10000False"TV Mix HBOMAX HD""VX Até 15mb""Franquia ilimitada"49.9"OT_MIG_JUL18_FID_4P_PILIM_10GB_D3_TV_BL5_CBAS_OF3"</t>
  </si>
  <si>
    <t>10000False"TV Mix Telecine HD""VX Até 15mb""Franquia ilimitada"49.9"OT_MIG_JUL18_FID_4P_PILIM_10GB_D3_TV_BL5_CBAS_OF3"</t>
  </si>
  <si>
    <t>10000False"TV Mix Cinema HD""VX Até 15mb""Franquia ilimitada"49.9"OT_MIG_JUL18_FID_4P_PILIM_10GB_D3_TV_BL5_CBAS_OF3"</t>
  </si>
  <si>
    <t>10000False"TV Total HD""VX Até 15mb""Franquia ilimitada"49.9"OT_MIG_JUL18_FID_4P_PILIM_10GB_D3_TV_BL5_CBAS_OF3"</t>
  </si>
  <si>
    <t>10000False"TV Total HBOMAX HD""VX Até 15mb""Franquia ilimitada"49.9"OT_MIG_JUL18_FID_4P_PILIM_10GB_D3_TV_BL5_CBAS_OF3"</t>
  </si>
  <si>
    <t>10000False"TV Total Telecine HD""VX Até 15mb""Franquia ilimitada"49.9"OT_MIG_JUL18_FID_4P_PILIM_10GB_D3_TV_BL5_CBAS_OF3"</t>
  </si>
  <si>
    <t>10000False"TV Total Cinema HD""VX Até 15mb""Franquia ilimitada"49.9"OT_MIG_JUL18_FID_4P_PILIM_10GB_D3_TV_BL5_CBAS_OF3"</t>
  </si>
  <si>
    <t>10000True"TV Total HD""VX Até 15mb""Franquia ilimitada"49.9"OT_MIG_JUL18_FID_4P_PILIM_10GB_D3_TV_BL5_CBAS_OF3"</t>
  </si>
  <si>
    <t>10000True"TV Total HBOMAX HD""VX Até 15mb""Franquia ilimitada"49.9"OT_MIG_JUL18_FID_4P_PILIM_10GB_D3_TV_BL5_CBAS_OF3"</t>
  </si>
  <si>
    <t>10000True"TV Total Telecine HD""VX Até 15mb""Franquia ilimitada"49.9"OT_MIG_JUL18_FID_4P_PILIM_10GB_D3_TV_BL5_CBAS_OF3"</t>
  </si>
  <si>
    <t>10000True"TV Total Cinema HD""VX Até 15mb""Franquia ilimitada"49.9"OT_MIG_JUL18_FID_4P_PILIM_10GB_D3_TV_BL5_CBAS_OF3"</t>
  </si>
  <si>
    <t>10000False"TV Start HD""VX Até 25mb""Franquia ilimitada"49.9"OT_MIG_JUL18_FID_4P_PILIM_10GB_D3_TV_BL5_CBAS_OF3"</t>
  </si>
  <si>
    <t>10000False"TV Mix HD""VX Até 25mb""Franquia ilimitada"49.9"OT_MIG_JUL18_FID_4P_PILIM_10GB_D3_TV_BL5_CBAS_OF3"</t>
  </si>
  <si>
    <t>10000False"TV Mix HBOMAX HD""VX Até 25mb""Franquia ilimitada"49.9"OT_MIG_JUL18_FID_4P_PILIM_10GB_D3_TV_BL5_CBAS_OF3"</t>
  </si>
  <si>
    <t>10000False"TV Mix Telecine HD""VX Até 25mb""Franquia ilimitada"49.9"OT_MIG_JUL18_FID_4P_PILIM_10GB_D3_TV_BL5_CBAS_OF3"</t>
  </si>
  <si>
    <t>10000False"TV Mix Cinema HD""VX Até 25mb""Franquia ilimitada"49.9"OT_MIG_JUL18_FID_4P_PILIM_10GB_D3_TV_BL5_CBAS_OF3"</t>
  </si>
  <si>
    <t>10000False"TV Total HD""VX Até 25mb""Franquia ilimitada"49.9"OT_MIG_JUL18_FID_4P_PILIM_10GB_D3_TV_BL5_CBAS_OF3"</t>
  </si>
  <si>
    <t>10000False"TV Total HBOMAX HD""VX Até 25mb""Franquia ilimitada"49.9"OT_MIG_JUL18_FID_4P_PILIM_10GB_D3_TV_BL5_CBAS_OF3"</t>
  </si>
  <si>
    <t>10000False"TV Total Telecine HD""VX Até 25mb""Franquia ilimitada"49.9"OT_MIG_JUL18_FID_4P_PILIM_10GB_D3_TV_BL5_CBAS_OF3"</t>
  </si>
  <si>
    <t>10000False"TV Total Cinema HD""VX Até 25mb""Franquia ilimitada"49.9"OT_MIG_JUL18_FID_4P_PILIM_10GB_D3_TV_BL5_CBAS_OF3"</t>
  </si>
  <si>
    <t>10000True"TV Total HD""VX Até 25mb""Franquia ilimitada"49.9"OT_MIG_JUL18_FID_4P_PILIM_10GB_D3_TV_BL5_CBAS_OF3"</t>
  </si>
  <si>
    <t>10000True"TV Total HBOMAX HD""VX Até 25mb""Franquia ilimitada"49.9"OT_MIG_JUL18_FID_4P_PILIM_10GB_D3_TV_BL5_CBAS_OF3"</t>
  </si>
  <si>
    <t>10000True"TV Total Telecine HD""VX Até 25mb""Franquia ilimitada"49.9"OT_MIG_JUL18_FID_4P_PILIM_10GB_D3_TV_BL5_CBAS_OF3"</t>
  </si>
  <si>
    <t>10000True"TV Total Cinema HD""VX Até 25mb""Franquia ilimitada"49.9"OT_MIG_JUL18_FID_4P_PILIM_10GB_D3_TV_BL5_CBAS_OF3"</t>
  </si>
  <si>
    <t>10000False"TV Start HD""VX 35mb""Franquia ilimitada"49.9"OT_MIG_JUL18_FID_4P_PILIM_10GB_D3_TV_BL5_CBAS_OF3"</t>
  </si>
  <si>
    <t>10000False"TV Mix HD""VX 35mb""Franquia ilimitada"49.9"OT_MIG_JUL18_FID_4P_PILIM_10GB_D3_TV_BL5_CBAS_OF3"</t>
  </si>
  <si>
    <t>10000False"TV Mix HBOMAX HD""VX 35mb""Franquia ilimitada"49.9"OT_MIG_JUL18_FID_4P_PILIM_10GB_D3_TV_BL5_CBAS_OF3"</t>
  </si>
  <si>
    <t>10000False"TV Mix Telecine HD""VX 35mb""Franquia ilimitada"49.9"OT_MIG_JUL18_FID_4P_PILIM_10GB_D3_TV_BL5_CBAS_OF3"</t>
  </si>
  <si>
    <t>10000False"TV Mix Cinema HD""VX 35mb""Franquia ilimitada"49.9"OT_MIG_JUL18_FID_4P_PILIM_10GB_D3_TV_BL5_CBAS_OF3"</t>
  </si>
  <si>
    <t>10000False"TV Total HD""VX 35mb""Franquia ilimitada"49.9"OT_MIG_JUL18_FID_4P_PILIM_10GB_D3_TV_BL5_CBAS_OF3"</t>
  </si>
  <si>
    <t>10000False"TV Total HBOMAX HD""VX 35mb""Franquia ilimitada"49.9"OT_MIG_JUL18_FID_4P_PILIM_10GB_D3_TV_BL5_CBAS_OF3"</t>
  </si>
  <si>
    <t>10000False"TV Total Telecine HD""VX 35mb""Franquia ilimitada"49.9"OT_MIG_JUL18_FID_4P_PILIM_10GB_D3_TV_BL5_CBAS_OF3"</t>
  </si>
  <si>
    <t>10000False"TV Total Cinema HD""VX 35mb""Franquia ilimitada"49.9"OT_MIG_JUL18_FID_4P_PILIM_10GB_D3_TV_BL5_CBAS_OF3"</t>
  </si>
  <si>
    <t>10000True"TV Total HD""VX 35mb""Franquia ilimitada"49.9"OT_MIG_JUL18_FID_4P_PILIM_10GB_D3_TV_BL5_CBAS_OF3"</t>
  </si>
  <si>
    <t>10000True"TV Total HBOMAX HD""VX 35mb""Franquia ilimitada"49.9"OT_MIG_JUL18_FID_4P_PILIM_10GB_D3_TV_BL5_CBAS_OF3"</t>
  </si>
  <si>
    <t>10000True"TV Total Telecine HD""VX 35mb""Franquia ilimitada"49.9"OT_MIG_JUL18_FID_4P_PILIM_10GB_D3_TV_BL5_CBAS_OF3"</t>
  </si>
  <si>
    <t>10000True"TV Total Cinema HD""VX 35mb""Franquia ilimitada"49.9"OT_MIG_JUL18_FID_4P_PILIM_10GB_D3_TV_BL5_CBAS_OF3"</t>
  </si>
  <si>
    <t>"OT_MIG_JUL18_FID_4P_PILIM_10GB_D3_LV_BL2_OF3"</t>
  </si>
  <si>
    <t>10000False"TV Livre HD""VX Até 2mb""Franquia ilimitada"49.9"OT_MIG_JUL18_FID_4P_PILIM_10GB_D3_LV_BL2_OF3"</t>
  </si>
  <si>
    <t>10000False"TV Livre HD""BLM 10gb""Franquia ilimitada"49.9"OT_MIG_JUL18_FID_4P_PILIM_10GB_D3_LV_BL2_OF3"</t>
  </si>
  <si>
    <t>"OT_MIG_JUL18_FID_4P_PILIM_10GB_D3_LV_BL5_CBAS_OF3"</t>
  </si>
  <si>
    <t>10000False"TV Livre HD""VX Até 15mb""Franquia ilimitada"49.9"OT_MIG_JUL18_FID_4P_PILIM_10GB_D3_LV_BL5_CBAS_OF3"</t>
  </si>
  <si>
    <t>10000False"TV Livre HD""VX Até 25mb""Franquia ilimitada"49.9"OT_MIG_JUL18_FID_4P_PILIM_10GB_D3_LV_BL5_CBAS_OF3"</t>
  </si>
  <si>
    <t>10000False"TV Livre HD""VX 35mb""Franquia ilimitada"49.9"OT_MIG_JUL18_FID_4P_PILIM_10GB_D3_LV_BL5_CBAS_OF3"</t>
  </si>
  <si>
    <t>"OT_MIG_JUL18_FID_4P_PILIM_10GB_D3_TV_BL2_OF4"</t>
  </si>
  <si>
    <t>10000False"TV Start HD""VX Até 2mb""Franquia ilimitada"49.9"OT_MIG_JUL18_FID_4P_PILIM_10GB_D3_TV_BL2_OF4"</t>
  </si>
  <si>
    <t>10000False"TV Mix HD""VX Até 2mb""Franquia ilimitada"49.9"OT_MIG_JUL18_FID_4P_PILIM_10GB_D3_TV_BL2_OF4"</t>
  </si>
  <si>
    <t>10000False"TV Mix HBOMAX HD""VX Até 2mb""Franquia ilimitada"49.9"OT_MIG_JUL18_FID_4P_PILIM_10GB_D3_TV_BL2_OF4"</t>
  </si>
  <si>
    <t>10000False"TV Mix Telecine HD""VX Até 2mb""Franquia ilimitada"49.9"OT_MIG_JUL18_FID_4P_PILIM_10GB_D3_TV_BL2_OF4"</t>
  </si>
  <si>
    <t>10000False"TV Mix Cinema HD""VX Até 2mb""Franquia ilimitada"49.9"OT_MIG_JUL18_FID_4P_PILIM_10GB_D3_TV_BL2_OF4"</t>
  </si>
  <si>
    <t>10000False"TV Total HD""VX Até 2mb""Franquia ilimitada"49.9"OT_MIG_JUL18_FID_4P_PILIM_10GB_D3_TV_BL2_OF4"</t>
  </si>
  <si>
    <t>10000False"TV Total HBOMAX HD""VX Até 2mb""Franquia ilimitada"49.9"OT_MIG_JUL18_FID_4P_PILIM_10GB_D3_TV_BL2_OF4"</t>
  </si>
  <si>
    <t>10000False"TV Total Telecine HD""VX Até 2mb""Franquia ilimitada"49.9"OT_MIG_JUL18_FID_4P_PILIM_10GB_D3_TV_BL2_OF4"</t>
  </si>
  <si>
    <t>10000False"TV Total Cinema HD""VX Até 2mb""Franquia ilimitada"49.9"OT_MIG_JUL18_FID_4P_PILIM_10GB_D3_TV_BL2_OF4"</t>
  </si>
  <si>
    <t>10000True"TV Total HD""VX Até 2mb""Franquia ilimitada"49.9"OT_MIG_JUL18_FID_4P_PILIM_10GB_D3_TV_BL2_OF4"</t>
  </si>
  <si>
    <t>10000True"TV Total HBOMAX HD""VX Até 2mb""Franquia ilimitada"49.9"OT_MIG_JUL18_FID_4P_PILIM_10GB_D3_TV_BL2_OF4"</t>
  </si>
  <si>
    <t>10000True"TV Total Telecine HD""VX Até 2mb""Franquia ilimitada"49.9"OT_MIG_JUL18_FID_4P_PILIM_10GB_D3_TV_BL2_OF4"</t>
  </si>
  <si>
    <t>10000True"TV Total Cinema HD""VX Até 2mb""Franquia ilimitada"49.9"OT_MIG_JUL18_FID_4P_PILIM_10GB_D3_TV_BL2_OF4"</t>
  </si>
  <si>
    <t>10000False"TV Start HD""BLM 10gb""Franquia ilimitada"49.9"OT_MIG_JUL18_FID_4P_PILIM_10GB_D3_TV_BL2_OF4"</t>
  </si>
  <si>
    <t>10000False"TV Mix HD""BLM 10gb""Franquia ilimitada"49.9"OT_MIG_JUL18_FID_4P_PILIM_10GB_D3_TV_BL2_OF4"</t>
  </si>
  <si>
    <t>10000False"TV Mix HBOMAX HD""BLM 10gb""Franquia ilimitada"49.9"OT_MIG_JUL18_FID_4P_PILIM_10GB_D3_TV_BL2_OF4"</t>
  </si>
  <si>
    <t>10000False"TV Mix Telecine HD""BLM 10gb""Franquia ilimitada"49.9"OT_MIG_JUL18_FID_4P_PILIM_10GB_D3_TV_BL2_OF4"</t>
  </si>
  <si>
    <t>10000False"TV Mix Cinema HD""BLM 10gb""Franquia ilimitada"49.9"OT_MIG_JUL18_FID_4P_PILIM_10GB_D3_TV_BL2_OF4"</t>
  </si>
  <si>
    <t>10000False"TV Total HD""BLM 10gb""Franquia ilimitada"49.9"OT_MIG_JUL18_FID_4P_PILIM_10GB_D3_TV_BL2_OF4"</t>
  </si>
  <si>
    <t>10000False"TV Total HBOMAX HD""BLM 10gb""Franquia ilimitada"49.9"OT_MIG_JUL18_FID_4P_PILIM_10GB_D3_TV_BL2_OF4"</t>
  </si>
  <si>
    <t>10000False"TV Total Telecine HD""BLM 10gb""Franquia ilimitada"49.9"OT_MIG_JUL18_FID_4P_PILIM_10GB_D3_TV_BL2_OF4"</t>
  </si>
  <si>
    <t>10000False"TV Total Cinema HD""BLM 10gb""Franquia ilimitada"49.9"OT_MIG_JUL18_FID_4P_PILIM_10GB_D3_TV_BL2_OF4"</t>
  </si>
  <si>
    <t>10000True"TV Total HD""BLM 10gb""Franquia ilimitada"49.9"OT_MIG_JUL18_FID_4P_PILIM_10GB_D3_TV_BL2_OF4"</t>
  </si>
  <si>
    <t>10000True"TV Total HBOMAX HD""BLM 10gb""Franquia ilimitada"49.9"OT_MIG_JUL18_FID_4P_PILIM_10GB_D3_TV_BL2_OF4"</t>
  </si>
  <si>
    <t>10000True"TV Total Telecine HD""BLM 10gb""Franquia ilimitada"49.9"OT_MIG_JUL18_FID_4P_PILIM_10GB_D3_TV_BL2_OF4"</t>
  </si>
  <si>
    <t>10000True"TV Total Cinema HD""BLM 10gb""Franquia ilimitada"49.9"OT_MIG_JUL18_FID_4P_PILIM_10GB_D3_TV_BL2_OF4"</t>
  </si>
  <si>
    <t>"OT_MIG_JUL18_FID_4P_PILIM_10GB_D3_TV_BL5_CBAS_OF4"</t>
  </si>
  <si>
    <t>10000False"TV Start HD""VX Até 15mb""Franquia ilimitada"49.9"OT_MIG_JUL18_FID_4P_PILIM_10GB_D3_TV_BL5_CBAS_OF4"</t>
  </si>
  <si>
    <t>10000False"TV Mix HD""VX Até 15mb""Franquia ilimitada"49.9"OT_MIG_JUL18_FID_4P_PILIM_10GB_D3_TV_BL5_CBAS_OF4"</t>
  </si>
  <si>
    <t>10000False"TV Mix HBOMAX HD""VX Até 15mb""Franquia ilimitada"49.9"OT_MIG_JUL18_FID_4P_PILIM_10GB_D3_TV_BL5_CBAS_OF4"</t>
  </si>
  <si>
    <t>10000False"TV Mix Telecine HD""VX Até 15mb""Franquia ilimitada"49.9"OT_MIG_JUL18_FID_4P_PILIM_10GB_D3_TV_BL5_CBAS_OF4"</t>
  </si>
  <si>
    <t>10000False"TV Mix Cinema HD""VX Até 15mb""Franquia ilimitada"49.9"OT_MIG_JUL18_FID_4P_PILIM_10GB_D3_TV_BL5_CBAS_OF4"</t>
  </si>
  <si>
    <t>10000False"TV Total HD""VX Até 15mb""Franquia ilimitada"49.9"OT_MIG_JUL18_FID_4P_PILIM_10GB_D3_TV_BL5_CBAS_OF4"</t>
  </si>
  <si>
    <t>10000False"TV Total HBOMAX HD""VX Até 15mb""Franquia ilimitada"49.9"OT_MIG_JUL18_FID_4P_PILIM_10GB_D3_TV_BL5_CBAS_OF4"</t>
  </si>
  <si>
    <t>10000False"TV Total Telecine HD""VX Até 15mb""Franquia ilimitada"49.9"OT_MIG_JUL18_FID_4P_PILIM_10GB_D3_TV_BL5_CBAS_OF4"</t>
  </si>
  <si>
    <t>10000False"TV Total Cinema HD""VX Até 15mb""Franquia ilimitada"49.9"OT_MIG_JUL18_FID_4P_PILIM_10GB_D3_TV_BL5_CBAS_OF4"</t>
  </si>
  <si>
    <t>10000True"TV Total HD""VX Até 15mb""Franquia ilimitada"49.9"OT_MIG_JUL18_FID_4P_PILIM_10GB_D3_TV_BL5_CBAS_OF4"</t>
  </si>
  <si>
    <t>10000True"TV Total HBOMAX HD""VX Até 15mb""Franquia ilimitada"49.9"OT_MIG_JUL18_FID_4P_PILIM_10GB_D3_TV_BL5_CBAS_OF4"</t>
  </si>
  <si>
    <t>10000True"TV Total Telecine HD""VX Até 15mb""Franquia ilimitada"49.9"OT_MIG_JUL18_FID_4P_PILIM_10GB_D3_TV_BL5_CBAS_OF4"</t>
  </si>
  <si>
    <t>10000True"TV Total Cinema HD""VX Até 15mb""Franquia ilimitada"49.9"OT_MIG_JUL18_FID_4P_PILIM_10GB_D3_TV_BL5_CBAS_OF4"</t>
  </si>
  <si>
    <t>10000False"TV Start HD""VX Até 25mb""Franquia ilimitada"49.9"OT_MIG_JUL18_FID_4P_PILIM_10GB_D3_TV_BL5_CBAS_OF4"</t>
  </si>
  <si>
    <t>10000False"TV Mix HD""VX Até 25mb""Franquia ilimitada"49.9"OT_MIG_JUL18_FID_4P_PILIM_10GB_D3_TV_BL5_CBAS_OF4"</t>
  </si>
  <si>
    <t>10000False"TV Mix HBOMAX HD""VX Até 25mb""Franquia ilimitada"49.9"OT_MIG_JUL18_FID_4P_PILIM_10GB_D3_TV_BL5_CBAS_OF4"</t>
  </si>
  <si>
    <t>10000False"TV Mix Telecine HD""VX Até 25mb""Franquia ilimitada"49.9"OT_MIG_JUL18_FID_4P_PILIM_10GB_D3_TV_BL5_CBAS_OF4"</t>
  </si>
  <si>
    <t>10000False"TV Mix Cinema HD""VX Até 25mb""Franquia ilimitada"49.9"OT_MIG_JUL18_FID_4P_PILIM_10GB_D3_TV_BL5_CBAS_OF4"</t>
  </si>
  <si>
    <t>10000False"TV Total HD""VX Até 25mb""Franquia ilimitada"49.9"OT_MIG_JUL18_FID_4P_PILIM_10GB_D3_TV_BL5_CBAS_OF4"</t>
  </si>
  <si>
    <t>10000False"TV Total HBOMAX HD""VX Até 25mb""Franquia ilimitada"49.9"OT_MIG_JUL18_FID_4P_PILIM_10GB_D3_TV_BL5_CBAS_OF4"</t>
  </si>
  <si>
    <t>10000False"TV Total Telecine HD""VX Até 25mb""Franquia ilimitada"49.9"OT_MIG_JUL18_FID_4P_PILIM_10GB_D3_TV_BL5_CBAS_OF4"</t>
  </si>
  <si>
    <t>10000False"TV Total Cinema HD""VX Até 25mb""Franquia ilimitada"49.9"OT_MIG_JUL18_FID_4P_PILIM_10GB_D3_TV_BL5_CBAS_OF4"</t>
  </si>
  <si>
    <t>10000True"TV Total HD""VX Até 25mb""Franquia ilimitada"49.9"OT_MIG_JUL18_FID_4P_PILIM_10GB_D3_TV_BL5_CBAS_OF4"</t>
  </si>
  <si>
    <t>10000True"TV Total HBOMAX HD""VX Até 25mb""Franquia ilimitada"49.9"OT_MIG_JUL18_FID_4P_PILIM_10GB_D3_TV_BL5_CBAS_OF4"</t>
  </si>
  <si>
    <t>10000True"TV Total Telecine HD""VX Até 25mb""Franquia ilimitada"49.9"OT_MIG_JUL18_FID_4P_PILIM_10GB_D3_TV_BL5_CBAS_OF4"</t>
  </si>
  <si>
    <t>10000True"TV Total Cinema HD""VX Até 25mb""Franquia ilimitada"49.9"OT_MIG_JUL18_FID_4P_PILIM_10GB_D3_TV_BL5_CBAS_OF4"</t>
  </si>
  <si>
    <t>10000False"TV Start HD""VX 35mb""Franquia ilimitada"49.9"OT_MIG_JUL18_FID_4P_PILIM_10GB_D3_TV_BL5_CBAS_OF4"</t>
  </si>
  <si>
    <t>10000False"TV Mix HD""VX 35mb""Franquia ilimitada"49.9"OT_MIG_JUL18_FID_4P_PILIM_10GB_D3_TV_BL5_CBAS_OF4"</t>
  </si>
  <si>
    <t>10000False"TV Mix HBOMAX HD""VX 35mb""Franquia ilimitada"49.9"OT_MIG_JUL18_FID_4P_PILIM_10GB_D3_TV_BL5_CBAS_OF4"</t>
  </si>
  <si>
    <t>10000False"TV Mix Telecine HD""VX 35mb""Franquia ilimitada"49.9"OT_MIG_JUL18_FID_4P_PILIM_10GB_D3_TV_BL5_CBAS_OF4"</t>
  </si>
  <si>
    <t>10000False"TV Mix Cinema HD""VX 35mb""Franquia ilimitada"49.9"OT_MIG_JUL18_FID_4P_PILIM_10GB_D3_TV_BL5_CBAS_OF4"</t>
  </si>
  <si>
    <t>10000False"TV Total HD""VX 35mb""Franquia ilimitada"49.9"OT_MIG_JUL18_FID_4P_PILIM_10GB_D3_TV_BL5_CBAS_OF4"</t>
  </si>
  <si>
    <t>10000False"TV Total HBOMAX HD""VX 35mb""Franquia ilimitada"49.9"OT_MIG_JUL18_FID_4P_PILIM_10GB_D3_TV_BL5_CBAS_OF4"</t>
  </si>
  <si>
    <t>10000False"TV Total Telecine HD""VX 35mb""Franquia ilimitada"49.9"OT_MIG_JUL18_FID_4P_PILIM_10GB_D3_TV_BL5_CBAS_OF4"</t>
  </si>
  <si>
    <t>10000False"TV Total Cinema HD""VX 35mb""Franquia ilimitada"49.9"OT_MIG_JUL18_FID_4P_PILIM_10GB_D3_TV_BL5_CBAS_OF4"</t>
  </si>
  <si>
    <t>10000True"TV Total HD""VX 35mb""Franquia ilimitada"49.9"OT_MIG_JUL18_FID_4P_PILIM_10GB_D3_TV_BL5_CBAS_OF4"</t>
  </si>
  <si>
    <t>10000True"TV Total HBOMAX HD""VX 35mb""Franquia ilimitada"49.9"OT_MIG_JUL18_FID_4P_PILIM_10GB_D3_TV_BL5_CBAS_OF4"</t>
  </si>
  <si>
    <t>10000True"TV Total Telecine HD""VX 35mb""Franquia ilimitada"49.9"OT_MIG_JUL18_FID_4P_PILIM_10GB_D3_TV_BL5_CBAS_OF4"</t>
  </si>
  <si>
    <t>10000True"TV Total Cinema HD""VX 35mb""Franquia ilimitada"49.9"OT_MIG_JUL18_FID_4P_PILIM_10GB_D3_TV_BL5_CBAS_OF4"</t>
  </si>
  <si>
    <t>"OT_MIG_JUL18_FID_4P_PILIM_10GB_D3_LV_BL2_OF4"</t>
  </si>
  <si>
    <t>10000False"TV Livre HD""VX Até 2mb""Franquia ilimitada"49.9"OT_MIG_JUL18_FID_4P_PILIM_10GB_D3_LV_BL2_OF4"</t>
  </si>
  <si>
    <t>10000False"TV Livre HD""BLM 10gb""Franquia ilimitada"49.9"OT_MIG_JUL18_FID_4P_PILIM_10GB_D3_LV_BL2_OF4"</t>
  </si>
  <si>
    <t>"OT_MIG_JUL18_FID_4P_PILIM_10GB_D3_LV_BL5_CBAS_OF4"</t>
  </si>
  <si>
    <t>10000False"TV Livre HD""VX Até 15mb""Franquia ilimitada"49.9"OT_MIG_JUL18_FID_4P_PILIM_10GB_D3_LV_BL5_CBAS_OF4"</t>
  </si>
  <si>
    <t>10000False"TV Livre HD""VX Até 25mb""Franquia ilimitada"49.9"OT_MIG_JUL18_FID_4P_PILIM_10GB_D3_LV_BL5_CBAS_OF4"</t>
  </si>
  <si>
    <t>10000False"TV Livre HD""VX 35mb""Franquia ilimitada"49.9"OT_MIG_JUL18_FID_4P_PILIM_10GB_D3_LV_BL5_CBAS_OF4"</t>
  </si>
  <si>
    <t>"OT_MIG_JUL18_FID_4P_PILIM_14GB_D3_TV_BL2_OF1"</t>
  </si>
  <si>
    <t>14000False"TV Start HD""VX Até 2mb""Franquia ilimitada"49.9"OT_MIG_JUL18_FID_4P_PILIM_14GB_D3_TV_BL2_OF1"</t>
  </si>
  <si>
    <t>14000False"TV Mix HD""VX Até 2mb""Franquia ilimitada"49.9"OT_MIG_JUL18_FID_4P_PILIM_14GB_D3_TV_BL2_OF1"</t>
  </si>
  <si>
    <t>14000False"TV Mix HBOMAX HD""VX Até 2mb""Franquia ilimitada"49.9"OT_MIG_JUL18_FID_4P_PILIM_14GB_D3_TV_BL2_OF1"</t>
  </si>
  <si>
    <t>14000False"TV Mix Telecine HD""VX Até 2mb""Franquia ilimitada"49.9"OT_MIG_JUL18_FID_4P_PILIM_14GB_D3_TV_BL2_OF1"</t>
  </si>
  <si>
    <t>14000False"TV Mix Cinema HD""VX Até 2mb""Franquia ilimitada"49.9"OT_MIG_JUL18_FID_4P_PILIM_14GB_D3_TV_BL2_OF1"</t>
  </si>
  <si>
    <t>14000False"TV Total HD""VX Até 2mb""Franquia ilimitada"49.9"OT_MIG_JUL18_FID_4P_PILIM_14GB_D3_TV_BL2_OF1"</t>
  </si>
  <si>
    <t>14000False"TV Total HBOMAX HD""VX Até 2mb""Franquia ilimitada"49.9"OT_MIG_JUL18_FID_4P_PILIM_14GB_D3_TV_BL2_OF1"</t>
  </si>
  <si>
    <t>14000False"TV Total Telecine HD""VX Até 2mb""Franquia ilimitada"49.9"OT_MIG_JUL18_FID_4P_PILIM_14GB_D3_TV_BL2_OF1"</t>
  </si>
  <si>
    <t>14000False"TV Total Cinema HD""VX Até 2mb""Franquia ilimitada"49.9"OT_MIG_JUL18_FID_4P_PILIM_14GB_D3_TV_BL2_OF1"</t>
  </si>
  <si>
    <t>14000True"TV Total HD""VX Até 2mb""Franquia ilimitada"49.9"OT_MIG_JUL18_FID_4P_PILIM_14GB_D3_TV_BL2_OF1"</t>
  </si>
  <si>
    <t>14000True"TV Total HBOMAX HD""VX Até 2mb""Franquia ilimitada"49.9"OT_MIG_JUL18_FID_4P_PILIM_14GB_D3_TV_BL2_OF1"</t>
  </si>
  <si>
    <t>14000True"TV Total Telecine HD""VX Até 2mb""Franquia ilimitada"49.9"OT_MIG_JUL18_FID_4P_PILIM_14GB_D3_TV_BL2_OF1"</t>
  </si>
  <si>
    <t>14000True"TV Total Cinema HD""VX Até 2mb""Franquia ilimitada"49.9"OT_MIG_JUL18_FID_4P_PILIM_14GB_D3_TV_BL2_OF1"</t>
  </si>
  <si>
    <t>14000False"TV Start HD""BLM 10gb""Franquia ilimitada"49.9"OT_MIG_JUL18_FID_4P_PILIM_14GB_D3_TV_BL2_OF1"</t>
  </si>
  <si>
    <t>14000False"TV Mix HD""BLM 10gb""Franquia ilimitada"49.9"OT_MIG_JUL18_FID_4P_PILIM_14GB_D3_TV_BL2_OF1"</t>
  </si>
  <si>
    <t>14000False"TV Mix HBOMAX HD""BLM 10gb""Franquia ilimitada"49.9"OT_MIG_JUL18_FID_4P_PILIM_14GB_D3_TV_BL2_OF1"</t>
  </si>
  <si>
    <t>14000False"TV Mix Telecine HD""BLM 10gb""Franquia ilimitada"49.9"OT_MIG_JUL18_FID_4P_PILIM_14GB_D3_TV_BL2_OF1"</t>
  </si>
  <si>
    <t>14000False"TV Mix Cinema HD""BLM 10gb""Franquia ilimitada"49.9"OT_MIG_JUL18_FID_4P_PILIM_14GB_D3_TV_BL2_OF1"</t>
  </si>
  <si>
    <t>14000False"TV Total HD""BLM 10gb""Franquia ilimitada"49.9"OT_MIG_JUL18_FID_4P_PILIM_14GB_D3_TV_BL2_OF1"</t>
  </si>
  <si>
    <t>14000False"TV Total HBOMAX HD""BLM 10gb""Franquia ilimitada"49.9"OT_MIG_JUL18_FID_4P_PILIM_14GB_D3_TV_BL2_OF1"</t>
  </si>
  <si>
    <t>14000False"TV Total Telecine HD""BLM 10gb""Franquia ilimitada"49.9"OT_MIG_JUL18_FID_4P_PILIM_14GB_D3_TV_BL2_OF1"</t>
  </si>
  <si>
    <t>14000False"TV Total Cinema HD""BLM 10gb""Franquia ilimitada"49.9"OT_MIG_JUL18_FID_4P_PILIM_14GB_D3_TV_BL2_OF1"</t>
  </si>
  <si>
    <t>14000True"TV Total HD""BLM 10gb""Franquia ilimitada"49.9"OT_MIG_JUL18_FID_4P_PILIM_14GB_D3_TV_BL2_OF1"</t>
  </si>
  <si>
    <t>14000True"TV Total HBOMAX HD""BLM 10gb""Franquia ilimitada"49.9"OT_MIG_JUL18_FID_4P_PILIM_14GB_D3_TV_BL2_OF1"</t>
  </si>
  <si>
    <t>14000True"TV Total Telecine HD""BLM 10gb""Franquia ilimitada"49.9"OT_MIG_JUL18_FID_4P_PILIM_14GB_D3_TV_BL2_OF1"</t>
  </si>
  <si>
    <t>14000True"TV Total Cinema HD""BLM 10gb""Franquia ilimitada"49.9"OT_MIG_JUL18_FID_4P_PILIM_14GB_D3_TV_BL2_OF1"</t>
  </si>
  <si>
    <t>"OT_MIG_JUL18_FID_4P_PILIM_14GB_D3_TV_BL5_CBAS_OF1"</t>
  </si>
  <si>
    <t>14000False"TV Start HD""VX Até 15mb""Franquia ilimitada"49.9"OT_MIG_JUL18_FID_4P_PILIM_14GB_D3_TV_BL5_CBAS_OF1"</t>
  </si>
  <si>
    <t>14000False"TV Mix HD""VX Até 15mb""Franquia ilimitada"49.9"OT_MIG_JUL18_FID_4P_PILIM_14GB_D3_TV_BL5_CBAS_OF1"</t>
  </si>
  <si>
    <t>14000False"TV Mix HBOMAX HD""VX Até 15mb""Franquia ilimitada"49.9"OT_MIG_JUL18_FID_4P_PILIM_14GB_D3_TV_BL5_CBAS_OF1"</t>
  </si>
  <si>
    <t>14000False"TV Mix Telecine HD""VX Até 15mb""Franquia ilimitada"49.9"OT_MIG_JUL18_FID_4P_PILIM_14GB_D3_TV_BL5_CBAS_OF1"</t>
  </si>
  <si>
    <t>14000False"TV Mix Cinema HD""VX Até 15mb""Franquia ilimitada"49.9"OT_MIG_JUL18_FID_4P_PILIM_14GB_D3_TV_BL5_CBAS_OF1"</t>
  </si>
  <si>
    <t>14000False"TV Total HD""VX Até 15mb""Franquia ilimitada"49.9"OT_MIG_JUL18_FID_4P_PILIM_14GB_D3_TV_BL5_CBAS_OF1"</t>
  </si>
  <si>
    <t>14000False"TV Total HBOMAX HD""VX Até 15mb""Franquia ilimitada"49.9"OT_MIG_JUL18_FID_4P_PILIM_14GB_D3_TV_BL5_CBAS_OF1"</t>
  </si>
  <si>
    <t>14000False"TV Total Telecine HD""VX Até 15mb""Franquia ilimitada"49.9"OT_MIG_JUL18_FID_4P_PILIM_14GB_D3_TV_BL5_CBAS_OF1"</t>
  </si>
  <si>
    <t>14000False"TV Total Cinema HD""VX Até 15mb""Franquia ilimitada"49.9"OT_MIG_JUL18_FID_4P_PILIM_14GB_D3_TV_BL5_CBAS_OF1"</t>
  </si>
  <si>
    <t>14000True"TV Total HD""VX Até 15mb""Franquia ilimitada"49.9"OT_MIG_JUL18_FID_4P_PILIM_14GB_D3_TV_BL5_CBAS_OF1"</t>
  </si>
  <si>
    <t>14000True"TV Total HBOMAX HD""VX Até 15mb""Franquia ilimitada"49.9"OT_MIG_JUL18_FID_4P_PILIM_14GB_D3_TV_BL5_CBAS_OF1"</t>
  </si>
  <si>
    <t>14000True"TV Total Telecine HD""VX Até 15mb""Franquia ilimitada"49.9"OT_MIG_JUL18_FID_4P_PILIM_14GB_D3_TV_BL5_CBAS_OF1"</t>
  </si>
  <si>
    <t>14000True"TV Total Cinema HD""VX Até 15mb""Franquia ilimitada"49.9"OT_MIG_JUL18_FID_4P_PILIM_14GB_D3_TV_BL5_CBAS_OF1"</t>
  </si>
  <si>
    <t>14000False"TV Start HD""VX Até 25mb""Franquia ilimitada"49.9"OT_MIG_JUL18_FID_4P_PILIM_14GB_D3_TV_BL5_CBAS_OF1"</t>
  </si>
  <si>
    <t>14000False"TV Mix HD""VX Até 25mb""Franquia ilimitada"49.9"OT_MIG_JUL18_FID_4P_PILIM_14GB_D3_TV_BL5_CBAS_OF1"</t>
  </si>
  <si>
    <t>14000False"TV Mix HBOMAX HD""VX Até 25mb""Franquia ilimitada"49.9"OT_MIG_JUL18_FID_4P_PILIM_14GB_D3_TV_BL5_CBAS_OF1"</t>
  </si>
  <si>
    <t>14000False"TV Mix Telecine HD""VX Até 25mb""Franquia ilimitada"49.9"OT_MIG_JUL18_FID_4P_PILIM_14GB_D3_TV_BL5_CBAS_OF1"</t>
  </si>
  <si>
    <t>14000False"TV Mix Cinema HD""VX Até 25mb""Franquia ilimitada"49.9"OT_MIG_JUL18_FID_4P_PILIM_14GB_D3_TV_BL5_CBAS_OF1"</t>
  </si>
  <si>
    <t>14000False"TV Total HD""VX Até 25mb""Franquia ilimitada"49.9"OT_MIG_JUL18_FID_4P_PILIM_14GB_D3_TV_BL5_CBAS_OF1"</t>
  </si>
  <si>
    <t>14000False"TV Total HBOMAX HD""VX Até 25mb""Franquia ilimitada"49.9"OT_MIG_JUL18_FID_4P_PILIM_14GB_D3_TV_BL5_CBAS_OF1"</t>
  </si>
  <si>
    <t>14000False"TV Total Telecine HD""VX Até 25mb""Franquia ilimitada"49.9"OT_MIG_JUL18_FID_4P_PILIM_14GB_D3_TV_BL5_CBAS_OF1"</t>
  </si>
  <si>
    <t>14000False"TV Total Cinema HD""VX Até 25mb""Franquia ilimitada"49.9"OT_MIG_JUL18_FID_4P_PILIM_14GB_D3_TV_BL5_CBAS_OF1"</t>
  </si>
  <si>
    <t>14000True"TV Total HD""VX Até 25mb""Franquia ilimitada"49.9"OT_MIG_JUL18_FID_4P_PILIM_14GB_D3_TV_BL5_CBAS_OF1"</t>
  </si>
  <si>
    <t>14000True"TV Total HBOMAX HD""VX Até 25mb""Franquia ilimitada"49.9"OT_MIG_JUL18_FID_4P_PILIM_14GB_D3_TV_BL5_CBAS_OF1"</t>
  </si>
  <si>
    <t>14000True"TV Total Telecine HD""VX Até 25mb""Franquia ilimitada"49.9"OT_MIG_JUL18_FID_4P_PILIM_14GB_D3_TV_BL5_CBAS_OF1"</t>
  </si>
  <si>
    <t>14000True"TV Total Cinema HD""VX Até 25mb""Franquia ilimitada"49.9"OT_MIG_JUL18_FID_4P_PILIM_14GB_D3_TV_BL5_CBAS_OF1"</t>
  </si>
  <si>
    <t>14000False"TV Start HD""VX 35mb""Franquia ilimitada"49.9"OT_MIG_JUL18_FID_4P_PILIM_14GB_D3_TV_BL5_CBAS_OF1"</t>
  </si>
  <si>
    <t>14000False"TV Mix HD""VX 35mb""Franquia ilimitada"49.9"OT_MIG_JUL18_FID_4P_PILIM_14GB_D3_TV_BL5_CBAS_OF1"</t>
  </si>
  <si>
    <t>14000False"TV Mix HBOMAX HD""VX 35mb""Franquia ilimitada"49.9"OT_MIG_JUL18_FID_4P_PILIM_14GB_D3_TV_BL5_CBAS_OF1"</t>
  </si>
  <si>
    <t>14000False"TV Mix Telecine HD""VX 35mb""Franquia ilimitada"49.9"OT_MIG_JUL18_FID_4P_PILIM_14GB_D3_TV_BL5_CBAS_OF1"</t>
  </si>
  <si>
    <t>14000False"TV Mix Cinema HD""VX 35mb""Franquia ilimitada"49.9"OT_MIG_JUL18_FID_4P_PILIM_14GB_D3_TV_BL5_CBAS_OF1"</t>
  </si>
  <si>
    <t>14000False"TV Total HD""VX 35mb""Franquia ilimitada"49.9"OT_MIG_JUL18_FID_4P_PILIM_14GB_D3_TV_BL5_CBAS_OF1"</t>
  </si>
  <si>
    <t>14000False"TV Total HBOMAX HD""VX 35mb""Franquia ilimitada"49.9"OT_MIG_JUL18_FID_4P_PILIM_14GB_D3_TV_BL5_CBAS_OF1"</t>
  </si>
  <si>
    <t>14000False"TV Total Telecine HD""VX 35mb""Franquia ilimitada"49.9"OT_MIG_JUL18_FID_4P_PILIM_14GB_D3_TV_BL5_CBAS_OF1"</t>
  </si>
  <si>
    <t>14000False"TV Total Cinema HD""VX 35mb""Franquia ilimitada"49.9"OT_MIG_JUL18_FID_4P_PILIM_14GB_D3_TV_BL5_CBAS_OF1"</t>
  </si>
  <si>
    <t>14000True"TV Total HD""VX 35mb""Franquia ilimitada"49.9"OT_MIG_JUL18_FID_4P_PILIM_14GB_D3_TV_BL5_CBAS_OF1"</t>
  </si>
  <si>
    <t>14000True"TV Total HBOMAX HD""VX 35mb""Franquia ilimitada"49.9"OT_MIG_JUL18_FID_4P_PILIM_14GB_D3_TV_BL5_CBAS_OF1"</t>
  </si>
  <si>
    <t>14000True"TV Total Telecine HD""VX 35mb""Franquia ilimitada"49.9"OT_MIG_JUL18_FID_4P_PILIM_14GB_D3_TV_BL5_CBAS_OF1"</t>
  </si>
  <si>
    <t>14000True"TV Total Cinema HD""VX 35mb""Franquia ilimitada"49.9"OT_MIG_JUL18_FID_4P_PILIM_14GB_D3_TV_BL5_CBAS_OF1"</t>
  </si>
  <si>
    <t>"OT_MIG_JUL18_FID_4P_PILIM_14GB_D3_LV_BL2_OF1"</t>
  </si>
  <si>
    <t>14000False"TV Livre HD""VX Até 2mb""Franquia ilimitada"49.9"OT_MIG_JUL18_FID_4P_PILIM_14GB_D3_LV_BL2_OF1"</t>
  </si>
  <si>
    <t>14000False"TV Livre HD""BLM 10gb""Franquia ilimitada"49.9"OT_MIG_JUL18_FID_4P_PILIM_14GB_D3_LV_BL2_OF1"</t>
  </si>
  <si>
    <t>"OT_MIG_JUL18_FID_4P_PILIM_14GB_D3_LV_BL5_CBAS_OF1"</t>
  </si>
  <si>
    <t>14000False"TV Livre HD""VX Até 15mb""Franquia ilimitada"49.9"OT_MIG_JUL18_FID_4P_PILIM_14GB_D3_LV_BL5_CBAS_OF1"</t>
  </si>
  <si>
    <t>14000False"TV Livre HD""VX Até 25mb""Franquia ilimitada"49.9"OT_MIG_JUL18_FID_4P_PILIM_14GB_D3_LV_BL5_CBAS_OF1"</t>
  </si>
  <si>
    <t>14000False"TV Livre HD""VX 35mb""Franquia ilimitada"49.9"OT_MIG_JUL18_FID_4P_PILIM_14GB_D3_LV_BL5_CBAS_OF1"</t>
  </si>
  <si>
    <t>"OT_MIG_JUL18_FID_4P_PILIM_14GB_D3_TV_BL2_OF4"</t>
  </si>
  <si>
    <t>14000False"TV Start HD""VX Até 2mb""Franquia ilimitada"49.9"OT_MIG_JUL18_FID_4P_PILIM_14GB_D3_TV_BL2_OF4"</t>
  </si>
  <si>
    <t>14000False"TV Mix HD""VX Até 2mb""Franquia ilimitada"49.9"OT_MIG_JUL18_FID_4P_PILIM_14GB_D3_TV_BL2_OF4"</t>
  </si>
  <si>
    <t>14000False"TV Mix HBOMAX HD""VX Até 2mb""Franquia ilimitada"49.9"OT_MIG_JUL18_FID_4P_PILIM_14GB_D3_TV_BL2_OF4"</t>
  </si>
  <si>
    <t>14000False"TV Mix Telecine HD""VX Até 2mb""Franquia ilimitada"49.9"OT_MIG_JUL18_FID_4P_PILIM_14GB_D3_TV_BL2_OF4"</t>
  </si>
  <si>
    <t>14000False"TV Mix Cinema HD""VX Até 2mb""Franquia ilimitada"49.9"OT_MIG_JUL18_FID_4P_PILIM_14GB_D3_TV_BL2_OF4"</t>
  </si>
  <si>
    <t>14000False"TV Total HD""VX Até 2mb""Franquia ilimitada"49.9"OT_MIG_JUL18_FID_4P_PILIM_14GB_D3_TV_BL2_OF4"</t>
  </si>
  <si>
    <t>14000False"TV Total HBOMAX HD""VX Até 2mb""Franquia ilimitada"49.9"OT_MIG_JUL18_FID_4P_PILIM_14GB_D3_TV_BL2_OF4"</t>
  </si>
  <si>
    <t>14000False"TV Total Telecine HD""VX Até 2mb""Franquia ilimitada"49.9"OT_MIG_JUL18_FID_4P_PILIM_14GB_D3_TV_BL2_OF4"</t>
  </si>
  <si>
    <t>14000False"TV Total Cinema HD""VX Até 2mb""Franquia ilimitada"49.9"OT_MIG_JUL18_FID_4P_PILIM_14GB_D3_TV_BL2_OF4"</t>
  </si>
  <si>
    <t>14000True"TV Total HD""VX Até 2mb""Franquia ilimitada"49.9"OT_MIG_JUL18_FID_4P_PILIM_14GB_D3_TV_BL2_OF4"</t>
  </si>
  <si>
    <t>14000True"TV Total HBOMAX HD""VX Até 2mb""Franquia ilimitada"49.9"OT_MIG_JUL18_FID_4P_PILIM_14GB_D3_TV_BL2_OF4"</t>
  </si>
  <si>
    <t>14000True"TV Total Telecine HD""VX Até 2mb""Franquia ilimitada"49.9"OT_MIG_JUL18_FID_4P_PILIM_14GB_D3_TV_BL2_OF4"</t>
  </si>
  <si>
    <t>14000True"TV Total Cinema HD""VX Até 2mb""Franquia ilimitada"49.9"OT_MIG_JUL18_FID_4P_PILIM_14GB_D3_TV_BL2_OF4"</t>
  </si>
  <si>
    <t>14000False"TV Start HD""BLM 10gb""Franquia ilimitada"49.9"OT_MIG_JUL18_FID_4P_PILIM_14GB_D3_TV_BL2_OF4"</t>
  </si>
  <si>
    <t>14000False"TV Mix HD""BLM 10gb""Franquia ilimitada"49.9"OT_MIG_JUL18_FID_4P_PILIM_14GB_D3_TV_BL2_OF4"</t>
  </si>
  <si>
    <t>14000False"TV Mix HBOMAX HD""BLM 10gb""Franquia ilimitada"49.9"OT_MIG_JUL18_FID_4P_PILIM_14GB_D3_TV_BL2_OF4"</t>
  </si>
  <si>
    <t>14000False"TV Mix Telecine HD""BLM 10gb""Franquia ilimitada"49.9"OT_MIG_JUL18_FID_4P_PILIM_14GB_D3_TV_BL2_OF4"</t>
  </si>
  <si>
    <t>14000False"TV Mix Cinema HD""BLM 10gb""Franquia ilimitada"49.9"OT_MIG_JUL18_FID_4P_PILIM_14GB_D3_TV_BL2_OF4"</t>
  </si>
  <si>
    <t>14000False"TV Total HD""BLM 10gb""Franquia ilimitada"49.9"OT_MIG_JUL18_FID_4P_PILIM_14GB_D3_TV_BL2_OF4"</t>
  </si>
  <si>
    <t>14000False"TV Total HBOMAX HD""BLM 10gb""Franquia ilimitada"49.9"OT_MIG_JUL18_FID_4P_PILIM_14GB_D3_TV_BL2_OF4"</t>
  </si>
  <si>
    <t>14000False"TV Total Telecine HD""BLM 10gb""Franquia ilimitada"49.9"OT_MIG_JUL18_FID_4P_PILIM_14GB_D3_TV_BL2_OF4"</t>
  </si>
  <si>
    <t>14000False"TV Total Cinema HD""BLM 10gb""Franquia ilimitada"49.9"OT_MIG_JUL18_FID_4P_PILIM_14GB_D3_TV_BL2_OF4"</t>
  </si>
  <si>
    <t>14000True"TV Total HD""BLM 10gb""Franquia ilimitada"49.9"OT_MIG_JUL18_FID_4P_PILIM_14GB_D3_TV_BL2_OF4"</t>
  </si>
  <si>
    <t>14000True"TV Total HBOMAX HD""BLM 10gb""Franquia ilimitada"49.9"OT_MIG_JUL18_FID_4P_PILIM_14GB_D3_TV_BL2_OF4"</t>
  </si>
  <si>
    <t>14000True"TV Total Telecine HD""BLM 10gb""Franquia ilimitada"49.9"OT_MIG_JUL18_FID_4P_PILIM_14GB_D3_TV_BL2_OF4"</t>
  </si>
  <si>
    <t>14000True"TV Total Cinema HD""BLM 10gb""Franquia ilimitada"49.9"OT_MIG_JUL18_FID_4P_PILIM_14GB_D3_TV_BL2_OF4"</t>
  </si>
  <si>
    <t>"OT_MIG_JUL18_FID_4P_PILIM_14GB_D3_TV_BL5_CBAS_OF4"</t>
  </si>
  <si>
    <t>14000False"TV Start HD""VX Até 15mb""Franquia ilimitada"49.9"OT_MIG_JUL18_FID_4P_PILIM_14GB_D3_TV_BL5_CBAS_OF4"</t>
  </si>
  <si>
    <t>14000False"TV Mix HD""VX Até 15mb""Franquia ilimitada"49.9"OT_MIG_JUL18_FID_4P_PILIM_14GB_D3_TV_BL5_CBAS_OF4"</t>
  </si>
  <si>
    <t>14000False"TV Mix HBOMAX HD""VX Até 15mb""Franquia ilimitada"49.9"OT_MIG_JUL18_FID_4P_PILIM_14GB_D3_TV_BL5_CBAS_OF4"</t>
  </si>
  <si>
    <t>14000False"TV Mix Telecine HD""VX Até 15mb""Franquia ilimitada"49.9"OT_MIG_JUL18_FID_4P_PILIM_14GB_D3_TV_BL5_CBAS_OF4"</t>
  </si>
  <si>
    <t>14000False"TV Mix Cinema HD""VX Até 15mb""Franquia ilimitada"49.9"OT_MIG_JUL18_FID_4P_PILIM_14GB_D3_TV_BL5_CBAS_OF4"</t>
  </si>
  <si>
    <t>14000False"TV Total HD""VX Até 15mb""Franquia ilimitada"49.9"OT_MIG_JUL18_FID_4P_PILIM_14GB_D3_TV_BL5_CBAS_OF4"</t>
  </si>
  <si>
    <t>14000False"TV Total HBOMAX HD""VX Até 15mb""Franquia ilimitada"49.9"OT_MIG_JUL18_FID_4P_PILIM_14GB_D3_TV_BL5_CBAS_OF4"</t>
  </si>
  <si>
    <t>14000False"TV Total Telecine HD""VX Até 15mb""Franquia ilimitada"49.9"OT_MIG_JUL18_FID_4P_PILIM_14GB_D3_TV_BL5_CBAS_OF4"</t>
  </si>
  <si>
    <t>14000False"TV Total Cinema HD""VX Até 15mb""Franquia ilimitada"49.9"OT_MIG_JUL18_FID_4P_PILIM_14GB_D3_TV_BL5_CBAS_OF4"</t>
  </si>
  <si>
    <t>14000True"TV Total HD""VX Até 15mb""Franquia ilimitada"49.9"OT_MIG_JUL18_FID_4P_PILIM_14GB_D3_TV_BL5_CBAS_OF4"</t>
  </si>
  <si>
    <t>14000True"TV Total HBOMAX HD""VX Até 15mb""Franquia ilimitada"49.9"OT_MIG_JUL18_FID_4P_PILIM_14GB_D3_TV_BL5_CBAS_OF4"</t>
  </si>
  <si>
    <t>14000True"TV Total Telecine HD""VX Até 15mb""Franquia ilimitada"49.9"OT_MIG_JUL18_FID_4P_PILIM_14GB_D3_TV_BL5_CBAS_OF4"</t>
  </si>
  <si>
    <t>14000True"TV Total Cinema HD""VX Até 15mb""Franquia ilimitada"49.9"OT_MIG_JUL18_FID_4P_PILIM_14GB_D3_TV_BL5_CBAS_OF4"</t>
  </si>
  <si>
    <t>14000False"TV Start HD""VX Até 25mb""Franquia ilimitada"49.9"OT_MIG_JUL18_FID_4P_PILIM_14GB_D3_TV_BL5_CBAS_OF4"</t>
  </si>
  <si>
    <t>14000False"TV Mix HD""VX Até 25mb""Franquia ilimitada"49.9"OT_MIG_JUL18_FID_4P_PILIM_14GB_D3_TV_BL5_CBAS_OF4"</t>
  </si>
  <si>
    <t>14000False"TV Mix HBOMAX HD""VX Até 25mb""Franquia ilimitada"49.9"OT_MIG_JUL18_FID_4P_PILIM_14GB_D3_TV_BL5_CBAS_OF4"</t>
  </si>
  <si>
    <t>14000False"TV Mix Telecine HD""VX Até 25mb""Franquia ilimitada"49.9"OT_MIG_JUL18_FID_4P_PILIM_14GB_D3_TV_BL5_CBAS_OF4"</t>
  </si>
  <si>
    <t>14000False"TV Mix Cinema HD""VX Até 25mb""Franquia ilimitada"49.9"OT_MIG_JUL18_FID_4P_PILIM_14GB_D3_TV_BL5_CBAS_OF4"</t>
  </si>
  <si>
    <t>14000False"TV Total HD""VX Até 25mb""Franquia ilimitada"49.9"OT_MIG_JUL18_FID_4P_PILIM_14GB_D3_TV_BL5_CBAS_OF4"</t>
  </si>
  <si>
    <t>14000False"TV Total HBOMAX HD""VX Até 25mb""Franquia ilimitada"49.9"OT_MIG_JUL18_FID_4P_PILIM_14GB_D3_TV_BL5_CBAS_OF4"</t>
  </si>
  <si>
    <t>14000False"TV Total Telecine HD""VX Até 25mb""Franquia ilimitada"49.9"OT_MIG_JUL18_FID_4P_PILIM_14GB_D3_TV_BL5_CBAS_OF4"</t>
  </si>
  <si>
    <t>14000False"TV Total Cinema HD""VX Até 25mb""Franquia ilimitada"49.9"OT_MIG_JUL18_FID_4P_PILIM_14GB_D3_TV_BL5_CBAS_OF4"</t>
  </si>
  <si>
    <t>14000True"TV Total HD""VX Até 25mb""Franquia ilimitada"49.9"OT_MIG_JUL18_FID_4P_PILIM_14GB_D3_TV_BL5_CBAS_OF4"</t>
  </si>
  <si>
    <t>14000True"TV Total HBOMAX HD""VX Até 25mb""Franquia ilimitada"49.9"OT_MIG_JUL18_FID_4P_PILIM_14GB_D3_TV_BL5_CBAS_OF4"</t>
  </si>
  <si>
    <t>14000True"TV Total Telecine HD""VX Até 25mb""Franquia ilimitada"49.9"OT_MIG_JUL18_FID_4P_PILIM_14GB_D3_TV_BL5_CBAS_OF4"</t>
  </si>
  <si>
    <t>14000True"TV Total Cinema HD""VX Até 25mb""Franquia ilimitada"49.9"OT_MIG_JUL18_FID_4P_PILIM_14GB_D3_TV_BL5_CBAS_OF4"</t>
  </si>
  <si>
    <t>14000False"TV Start HD""VX 35mb""Franquia ilimitada"49.9"OT_MIG_JUL18_FID_4P_PILIM_14GB_D3_TV_BL5_CBAS_OF4"</t>
  </si>
  <si>
    <t>14000False"TV Mix HD""VX 35mb""Franquia ilimitada"49.9"OT_MIG_JUL18_FID_4P_PILIM_14GB_D3_TV_BL5_CBAS_OF4"</t>
  </si>
  <si>
    <t>14000False"TV Mix HBOMAX HD""VX 35mb""Franquia ilimitada"49.9"OT_MIG_JUL18_FID_4P_PILIM_14GB_D3_TV_BL5_CBAS_OF4"</t>
  </si>
  <si>
    <t>14000False"TV Mix Telecine HD""VX 35mb""Franquia ilimitada"49.9"OT_MIG_JUL18_FID_4P_PILIM_14GB_D3_TV_BL5_CBAS_OF4"</t>
  </si>
  <si>
    <t>14000False"TV Mix Cinema HD""VX 35mb""Franquia ilimitada"49.9"OT_MIG_JUL18_FID_4P_PILIM_14GB_D3_TV_BL5_CBAS_OF4"</t>
  </si>
  <si>
    <t>14000False"TV Total HD""VX 35mb""Franquia ilimitada"49.9"OT_MIG_JUL18_FID_4P_PILIM_14GB_D3_TV_BL5_CBAS_OF4"</t>
  </si>
  <si>
    <t>14000False"TV Total HBOMAX HD""VX 35mb""Franquia ilimitada"49.9"OT_MIG_JUL18_FID_4P_PILIM_14GB_D3_TV_BL5_CBAS_OF4"</t>
  </si>
  <si>
    <t>14000False"TV Total Telecine HD""VX 35mb""Franquia ilimitada"49.9"OT_MIG_JUL18_FID_4P_PILIM_14GB_D3_TV_BL5_CBAS_OF4"</t>
  </si>
  <si>
    <t>14000False"TV Total Cinema HD""VX 35mb""Franquia ilimitada"49.9"OT_MIG_JUL18_FID_4P_PILIM_14GB_D3_TV_BL5_CBAS_OF4"</t>
  </si>
  <si>
    <t>14000True"TV Total HD""VX 35mb""Franquia ilimitada"49.9"OT_MIG_JUL18_FID_4P_PILIM_14GB_D3_TV_BL5_CBAS_OF4"</t>
  </si>
  <si>
    <t>14000True"TV Total HBOMAX HD""VX 35mb""Franquia ilimitada"49.9"OT_MIG_JUL18_FID_4P_PILIM_14GB_D3_TV_BL5_CBAS_OF4"</t>
  </si>
  <si>
    <t>14000True"TV Total Telecine HD""VX 35mb""Franquia ilimitada"49.9"OT_MIG_JUL18_FID_4P_PILIM_14GB_D3_TV_BL5_CBAS_OF4"</t>
  </si>
  <si>
    <t>14000True"TV Total Cinema HD""VX 35mb""Franquia ilimitada"49.9"OT_MIG_JUL18_FID_4P_PILIM_14GB_D3_TV_BL5_CBAS_OF4"</t>
  </si>
  <si>
    <t>"OT_MIG_JUL18_FID_4P_PILIM_14GB_D3_LV_BL2_OF4"</t>
  </si>
  <si>
    <t>14000False"TV Livre HD""VX Até 2mb""Franquia ilimitada"49.9"OT_MIG_JUL18_FID_4P_PILIM_14GB_D3_LV_BL2_OF4"</t>
  </si>
  <si>
    <t>14000False"TV Livre HD""BLM 10gb""Franquia ilimitada"49.9"OT_MIG_JUL18_FID_4P_PILIM_14GB_D3_LV_BL2_OF4"</t>
  </si>
  <si>
    <t>"OT_MIG_JUL18_FID_4P_PILIM_14GB_D3_LV_BL5_CBAS_OF4"</t>
  </si>
  <si>
    <t>14000False"TV Livre HD""VX Até 15mb""Franquia ilimitada"49.9"OT_MIG_JUL18_FID_4P_PILIM_14GB_D3_LV_BL5_CBAS_OF4"</t>
  </si>
  <si>
    <t>14000False"TV Livre HD""VX Até 25mb""Franquia ilimitada"49.9"OT_MIG_JUL18_FID_4P_PILIM_14GB_D3_LV_BL5_CBAS_OF4"</t>
  </si>
  <si>
    <t>14000False"TV Livre HD""VX 35mb""Franquia ilimitada"49.9"OT_MIG_JUL18_FID_4P_PILIM_14GB_D3_LV_BL5_CBAS_OF4"</t>
  </si>
  <si>
    <t>"OT_MIG_JUL18_FID_4P_PILIM_20GB_D3_TV_BL2_OF1"</t>
  </si>
  <si>
    <t>20000False"TV Start HD""VX Até 2mb""Franquia ilimitada"49.9"OT_MIG_JUL18_FID_4P_PILIM_20GB_D3_TV_BL2_OF1"</t>
  </si>
  <si>
    <t>20000False"TV Mix HD""VX Até 2mb""Franquia ilimitada"49.9"OT_MIG_JUL18_FID_4P_PILIM_20GB_D3_TV_BL2_OF1"</t>
  </si>
  <si>
    <t>20000False"TV Mix HBOMAX HD""VX Até 2mb""Franquia ilimitada"49.9"OT_MIG_JUL18_FID_4P_PILIM_20GB_D3_TV_BL2_OF1"</t>
  </si>
  <si>
    <t>20000False"TV Mix Telecine HD""VX Até 2mb""Franquia ilimitada"49.9"OT_MIG_JUL18_FID_4P_PILIM_20GB_D3_TV_BL2_OF1"</t>
  </si>
  <si>
    <t>20000False"TV Mix Cinema HD""VX Até 2mb""Franquia ilimitada"49.9"OT_MIG_JUL18_FID_4P_PILIM_20GB_D3_TV_BL2_OF1"</t>
  </si>
  <si>
    <t>20000False"TV Total HD""VX Até 2mb""Franquia ilimitada"49.9"OT_MIG_JUL18_FID_4P_PILIM_20GB_D3_TV_BL2_OF1"</t>
  </si>
  <si>
    <t>20000False"TV Total HBOMAX HD""VX Até 2mb""Franquia ilimitada"49.9"OT_MIG_JUL18_FID_4P_PILIM_20GB_D3_TV_BL2_OF1"</t>
  </si>
  <si>
    <t>20000False"TV Total Telecine HD""VX Até 2mb""Franquia ilimitada"49.9"OT_MIG_JUL18_FID_4P_PILIM_20GB_D3_TV_BL2_OF1"</t>
  </si>
  <si>
    <t>20000False"TV Total Cinema HD""VX Até 2mb""Franquia ilimitada"49.9"OT_MIG_JUL18_FID_4P_PILIM_20GB_D3_TV_BL2_OF1"</t>
  </si>
  <si>
    <t>20000True"TV Total HD""VX Até 2mb""Franquia ilimitada"49.9"OT_MIG_JUL18_FID_4P_PILIM_20GB_D3_TV_BL2_OF1"</t>
  </si>
  <si>
    <t>20000True"TV Total HBOMAX HD""VX Até 2mb""Franquia ilimitada"49.9"OT_MIG_JUL18_FID_4P_PILIM_20GB_D3_TV_BL2_OF1"</t>
  </si>
  <si>
    <t>20000True"TV Total Telecine HD""VX Até 2mb""Franquia ilimitada"49.9"OT_MIG_JUL18_FID_4P_PILIM_20GB_D3_TV_BL2_OF1"</t>
  </si>
  <si>
    <t>20000True"TV Total Cinema HD""VX Até 2mb""Franquia ilimitada"49.9"OT_MIG_JUL18_FID_4P_PILIM_20GB_D3_TV_BL2_OF1"</t>
  </si>
  <si>
    <t>20000False"TV Start HD""BLM 10gb""Franquia ilimitada"49.9"OT_MIG_JUL18_FID_4P_PILIM_20GB_D3_TV_BL2_OF1"</t>
  </si>
  <si>
    <t>20000False"TV Mix HD""BLM 10gb""Franquia ilimitada"49.9"OT_MIG_JUL18_FID_4P_PILIM_20GB_D3_TV_BL2_OF1"</t>
  </si>
  <si>
    <t>20000False"TV Mix HBOMAX HD""BLM 10gb""Franquia ilimitada"49.9"OT_MIG_JUL18_FID_4P_PILIM_20GB_D3_TV_BL2_OF1"</t>
  </si>
  <si>
    <t>20000False"TV Mix Telecine HD""BLM 10gb""Franquia ilimitada"49.9"OT_MIG_JUL18_FID_4P_PILIM_20GB_D3_TV_BL2_OF1"</t>
  </si>
  <si>
    <t>20000False"TV Mix Cinema HD""BLM 10gb""Franquia ilimitada"49.9"OT_MIG_JUL18_FID_4P_PILIM_20GB_D3_TV_BL2_OF1"</t>
  </si>
  <si>
    <t>20000False"TV Total HD""BLM 10gb""Franquia ilimitada"49.9"OT_MIG_JUL18_FID_4P_PILIM_20GB_D3_TV_BL2_OF1"</t>
  </si>
  <si>
    <t>20000False"TV Total HBOMAX HD""BLM 10gb""Franquia ilimitada"49.9"OT_MIG_JUL18_FID_4P_PILIM_20GB_D3_TV_BL2_OF1"</t>
  </si>
  <si>
    <t>20000False"TV Total Telecine HD""BLM 10gb""Franquia ilimitada"49.9"OT_MIG_JUL18_FID_4P_PILIM_20GB_D3_TV_BL2_OF1"</t>
  </si>
  <si>
    <t>20000False"TV Total Cinema HD""BLM 10gb""Franquia ilimitada"49.9"OT_MIG_JUL18_FID_4P_PILIM_20GB_D3_TV_BL2_OF1"</t>
  </si>
  <si>
    <t>20000True"TV Total HD""BLM 10gb""Franquia ilimitada"49.9"OT_MIG_JUL18_FID_4P_PILIM_20GB_D3_TV_BL2_OF1"</t>
  </si>
  <si>
    <t>20000True"TV Total HBOMAX HD""BLM 10gb""Franquia ilimitada"49.9"OT_MIG_JUL18_FID_4P_PILIM_20GB_D3_TV_BL2_OF1"</t>
  </si>
  <si>
    <t>20000True"TV Total Telecine HD""BLM 10gb""Franquia ilimitada"49.9"OT_MIG_JUL18_FID_4P_PILIM_20GB_D3_TV_BL2_OF1"</t>
  </si>
  <si>
    <t>20000True"TV Total Cinema HD""BLM 10gb""Franquia ilimitada"49.9"OT_MIG_JUL18_FID_4P_PILIM_20GB_D3_TV_BL2_OF1"</t>
  </si>
  <si>
    <t>"OT_MIG_JUL18_FID_4P_PILIM_20GB_D3_TV_BL5_CBAS_OF1"</t>
  </si>
  <si>
    <t>20000False"TV Start HD""VX Até 15mb""Franquia ilimitada"49.9"OT_MIG_JUL18_FID_4P_PILIM_20GB_D3_TV_BL5_CBAS_OF1"</t>
  </si>
  <si>
    <t>20000False"TV Mix HD""VX Até 15mb""Franquia ilimitada"49.9"OT_MIG_JUL18_FID_4P_PILIM_20GB_D3_TV_BL5_CBAS_OF1"</t>
  </si>
  <si>
    <t>20000False"TV Mix HBOMAX HD""VX Até 15mb""Franquia ilimitada"49.9"OT_MIG_JUL18_FID_4P_PILIM_20GB_D3_TV_BL5_CBAS_OF1"</t>
  </si>
  <si>
    <t>20000False"TV Mix Telecine HD""VX Até 15mb""Franquia ilimitada"49.9"OT_MIG_JUL18_FID_4P_PILIM_20GB_D3_TV_BL5_CBAS_OF1"</t>
  </si>
  <si>
    <t>20000False"TV Mix Cinema HD""VX Até 15mb""Franquia ilimitada"49.9"OT_MIG_JUL18_FID_4P_PILIM_20GB_D3_TV_BL5_CBAS_OF1"</t>
  </si>
  <si>
    <t>20000False"TV Total HD""VX Até 15mb""Franquia ilimitada"49.9"OT_MIG_JUL18_FID_4P_PILIM_20GB_D3_TV_BL5_CBAS_OF1"</t>
  </si>
  <si>
    <t>20000False"TV Total HBOMAX HD""VX Até 15mb""Franquia ilimitada"49.9"OT_MIG_JUL18_FID_4P_PILIM_20GB_D3_TV_BL5_CBAS_OF1"</t>
  </si>
  <si>
    <t>20000False"TV Total Telecine HD""VX Até 15mb""Franquia ilimitada"49.9"OT_MIG_JUL18_FID_4P_PILIM_20GB_D3_TV_BL5_CBAS_OF1"</t>
  </si>
  <si>
    <t>20000False"TV Total Cinema HD""VX Até 15mb""Franquia ilimitada"49.9"OT_MIG_JUL18_FID_4P_PILIM_20GB_D3_TV_BL5_CBAS_OF1"</t>
  </si>
  <si>
    <t>20000True"TV Total HD""VX Até 15mb""Franquia ilimitada"49.9"OT_MIG_JUL18_FID_4P_PILIM_20GB_D3_TV_BL5_CBAS_OF1"</t>
  </si>
  <si>
    <t>20000True"TV Total HBOMAX HD""VX Até 15mb""Franquia ilimitada"49.9"OT_MIG_JUL18_FID_4P_PILIM_20GB_D3_TV_BL5_CBAS_OF1"</t>
  </si>
  <si>
    <t>20000True"TV Total Telecine HD""VX Até 15mb""Franquia ilimitada"49.9"OT_MIG_JUL18_FID_4P_PILIM_20GB_D3_TV_BL5_CBAS_OF1"</t>
  </si>
  <si>
    <t>20000True"TV Total Cinema HD""VX Até 15mb""Franquia ilimitada"49.9"OT_MIG_JUL18_FID_4P_PILIM_20GB_D3_TV_BL5_CBAS_OF1"</t>
  </si>
  <si>
    <t>20000False"TV Start HD""VX Até 25mb""Franquia ilimitada"49.9"OT_MIG_JUL18_FID_4P_PILIM_20GB_D3_TV_BL5_CBAS_OF1"</t>
  </si>
  <si>
    <t>20000False"TV Mix HD""VX Até 25mb""Franquia ilimitada"49.9"OT_MIG_JUL18_FID_4P_PILIM_20GB_D3_TV_BL5_CBAS_OF1"</t>
  </si>
  <si>
    <t>20000False"TV Mix HBOMAX HD""VX Até 25mb""Franquia ilimitada"49.9"OT_MIG_JUL18_FID_4P_PILIM_20GB_D3_TV_BL5_CBAS_OF1"</t>
  </si>
  <si>
    <t>20000False"TV Mix Telecine HD""VX Até 25mb""Franquia ilimitada"49.9"OT_MIG_JUL18_FID_4P_PILIM_20GB_D3_TV_BL5_CBAS_OF1"</t>
  </si>
  <si>
    <t>20000False"TV Mix Cinema HD""VX Até 25mb""Franquia ilimitada"49.9"OT_MIG_JUL18_FID_4P_PILIM_20GB_D3_TV_BL5_CBAS_OF1"</t>
  </si>
  <si>
    <t>20000False"TV Total HD""VX Até 25mb""Franquia ilimitada"49.9"OT_MIG_JUL18_FID_4P_PILIM_20GB_D3_TV_BL5_CBAS_OF1"</t>
  </si>
  <si>
    <t>20000False"TV Total HBOMAX HD""VX Até 25mb""Franquia ilimitada"49.9"OT_MIG_JUL18_FID_4P_PILIM_20GB_D3_TV_BL5_CBAS_OF1"</t>
  </si>
  <si>
    <t>20000False"TV Total Telecine HD""VX Até 25mb""Franquia ilimitada"49.9"OT_MIG_JUL18_FID_4P_PILIM_20GB_D3_TV_BL5_CBAS_OF1"</t>
  </si>
  <si>
    <t>20000False"TV Total Cinema HD""VX Até 25mb""Franquia ilimitada"49.9"OT_MIG_JUL18_FID_4P_PILIM_20GB_D3_TV_BL5_CBAS_OF1"</t>
  </si>
  <si>
    <t>20000True"TV Total HD""VX Até 25mb""Franquia ilimitada"49.9"OT_MIG_JUL18_FID_4P_PILIM_20GB_D3_TV_BL5_CBAS_OF1"</t>
  </si>
  <si>
    <t>20000True"TV Total HBOMAX HD""VX Até 25mb""Franquia ilimitada"49.9"OT_MIG_JUL18_FID_4P_PILIM_20GB_D3_TV_BL5_CBAS_OF1"</t>
  </si>
  <si>
    <t>20000True"TV Total Telecine HD""VX Até 25mb""Franquia ilimitada"49.9"OT_MIG_JUL18_FID_4P_PILIM_20GB_D3_TV_BL5_CBAS_OF1"</t>
  </si>
  <si>
    <t>20000True"TV Total Cinema HD""VX Até 25mb""Franquia ilimitada"49.9"OT_MIG_JUL18_FID_4P_PILIM_20GB_D3_TV_BL5_CBAS_OF1"</t>
  </si>
  <si>
    <t>20000False"TV Start HD""VX 35mb""Franquia ilimitada"49.9"OT_MIG_JUL18_FID_4P_PILIM_20GB_D3_TV_BL5_CBAS_OF1"</t>
  </si>
  <si>
    <t>20000False"TV Mix HD""VX 35mb""Franquia ilimitada"49.9"OT_MIG_JUL18_FID_4P_PILIM_20GB_D3_TV_BL5_CBAS_OF1"</t>
  </si>
  <si>
    <t>20000False"TV Mix HBOMAX HD""VX 35mb""Franquia ilimitada"49.9"OT_MIG_JUL18_FID_4P_PILIM_20GB_D3_TV_BL5_CBAS_OF1"</t>
  </si>
  <si>
    <t>20000False"TV Mix Telecine HD""VX 35mb""Franquia ilimitada"49.9"OT_MIG_JUL18_FID_4P_PILIM_20GB_D3_TV_BL5_CBAS_OF1"</t>
  </si>
  <si>
    <t>20000False"TV Mix Cinema HD""VX 35mb""Franquia ilimitada"49.9"OT_MIG_JUL18_FID_4P_PILIM_20GB_D3_TV_BL5_CBAS_OF1"</t>
  </si>
  <si>
    <t>20000False"TV Total HD""VX 35mb""Franquia ilimitada"49.9"OT_MIG_JUL18_FID_4P_PILIM_20GB_D3_TV_BL5_CBAS_OF1"</t>
  </si>
  <si>
    <t>20000False"TV Total HBOMAX HD""VX 35mb""Franquia ilimitada"49.9"OT_MIG_JUL18_FID_4P_PILIM_20GB_D3_TV_BL5_CBAS_OF1"</t>
  </si>
  <si>
    <t>20000False"TV Total Telecine HD""VX 35mb""Franquia ilimitada"49.9"OT_MIG_JUL18_FID_4P_PILIM_20GB_D3_TV_BL5_CBAS_OF1"</t>
  </si>
  <si>
    <t>20000False"TV Total Cinema HD""VX 35mb""Franquia ilimitada"49.9"OT_MIG_JUL18_FID_4P_PILIM_20GB_D3_TV_BL5_CBAS_OF1"</t>
  </si>
  <si>
    <t>20000True"TV Total HD""VX 35mb""Franquia ilimitada"49.9"OT_MIG_JUL18_FID_4P_PILIM_20GB_D3_TV_BL5_CBAS_OF1"</t>
  </si>
  <si>
    <t>20000True"TV Total HBOMAX HD""VX 35mb""Franquia ilimitada"49.9"OT_MIG_JUL18_FID_4P_PILIM_20GB_D3_TV_BL5_CBAS_OF1"</t>
  </si>
  <si>
    <t>20000True"TV Total Telecine HD""VX 35mb""Franquia ilimitada"49.9"OT_MIG_JUL18_FID_4P_PILIM_20GB_D3_TV_BL5_CBAS_OF1"</t>
  </si>
  <si>
    <t>20000True"TV Total Cinema HD""VX 35mb""Franquia ilimitada"49.9"OT_MIG_JUL18_FID_4P_PILIM_20GB_D3_TV_BL5_CBAS_OF1"</t>
  </si>
  <si>
    <t>"OT_MIG_JUL18_FID_4P_PILIM_20GB_D3_LV_BL2_OF1"</t>
  </si>
  <si>
    <t>20000False"TV Livre HD""VX Até 2mb""Franquia ilimitada"49.9"OT_MIG_JUL18_FID_4P_PILIM_20GB_D3_LV_BL2_OF1"</t>
  </si>
  <si>
    <t>20000False"TV Livre HD""BLM 10gb""Franquia ilimitada"49.9"OT_MIG_JUL18_FID_4P_PILIM_20GB_D3_LV_BL2_OF1"</t>
  </si>
  <si>
    <t>"OT_MIG_JUL18_FID_4P_PILIM_20GB_D3_LV_BL5_CBAS_OF1"</t>
  </si>
  <si>
    <t>20000False"TV Livre HD""VX Até 15mb""Franquia ilimitada"49.9"OT_MIG_JUL18_FID_4P_PILIM_20GB_D3_LV_BL5_CBAS_OF1"</t>
  </si>
  <si>
    <t>20000False"TV Livre HD""VX Até 25mb""Franquia ilimitada"49.9"OT_MIG_JUL18_FID_4P_PILIM_20GB_D3_LV_BL5_CBAS_OF1"</t>
  </si>
  <si>
    <t>20000False"TV Livre HD""VX 35mb""Franquia ilimitada"49.9"OT_MIG_JUL18_FID_4P_PILIM_20GB_D3_LV_BL5_CBAS_OF1"</t>
  </si>
  <si>
    <t>"OT_MIG_JUL18_FID_4P_PILIM_20GB_D3_TV_BL2_OF4"</t>
  </si>
  <si>
    <t>20000False"TV Start HD""VX Até 2mb""Franquia ilimitada"49.9"OT_MIG_JUL18_FID_4P_PILIM_20GB_D3_TV_BL2_OF4"</t>
  </si>
  <si>
    <t>20000False"TV Mix HD""VX Até 2mb""Franquia ilimitada"49.9"OT_MIG_JUL18_FID_4P_PILIM_20GB_D3_TV_BL2_OF4"</t>
  </si>
  <si>
    <t>20000False"TV Mix HBOMAX HD""VX Até 2mb""Franquia ilimitada"49.9"OT_MIG_JUL18_FID_4P_PILIM_20GB_D3_TV_BL2_OF4"</t>
  </si>
  <si>
    <t>20000False"TV Mix Telecine HD""VX Até 2mb""Franquia ilimitada"49.9"OT_MIG_JUL18_FID_4P_PILIM_20GB_D3_TV_BL2_OF4"</t>
  </si>
  <si>
    <t>20000False"TV Mix Cinema HD""VX Até 2mb""Franquia ilimitada"49.9"OT_MIG_JUL18_FID_4P_PILIM_20GB_D3_TV_BL2_OF4"</t>
  </si>
  <si>
    <t>20000False"TV Total HD""VX Até 2mb""Franquia ilimitada"49.9"OT_MIG_JUL18_FID_4P_PILIM_20GB_D3_TV_BL2_OF4"</t>
  </si>
  <si>
    <t>20000False"TV Total HBOMAX HD""VX Até 2mb""Franquia ilimitada"49.9"OT_MIG_JUL18_FID_4P_PILIM_20GB_D3_TV_BL2_OF4"</t>
  </si>
  <si>
    <t>20000False"TV Total Telecine HD""VX Até 2mb""Franquia ilimitada"49.9"OT_MIG_JUL18_FID_4P_PILIM_20GB_D3_TV_BL2_OF4"</t>
  </si>
  <si>
    <t>20000False"TV Total Cinema HD""VX Até 2mb""Franquia ilimitada"49.9"OT_MIG_JUL18_FID_4P_PILIM_20GB_D3_TV_BL2_OF4"</t>
  </si>
  <si>
    <t>20000True"TV Total HD""VX Até 2mb""Franquia ilimitada"49.9"OT_MIG_JUL18_FID_4P_PILIM_20GB_D3_TV_BL2_OF4"</t>
  </si>
  <si>
    <t>20000True"TV Total HBOMAX HD""VX Até 2mb""Franquia ilimitada"49.9"OT_MIG_JUL18_FID_4P_PILIM_20GB_D3_TV_BL2_OF4"</t>
  </si>
  <si>
    <t>20000True"TV Total Telecine HD""VX Até 2mb""Franquia ilimitada"49.9"OT_MIG_JUL18_FID_4P_PILIM_20GB_D3_TV_BL2_OF4"</t>
  </si>
  <si>
    <t>20000True"TV Total Cinema HD""VX Até 2mb""Franquia ilimitada"49.9"OT_MIG_JUL18_FID_4P_PILIM_20GB_D3_TV_BL2_OF4"</t>
  </si>
  <si>
    <t>20000False"TV Start HD""BLM 10gb""Franquia ilimitada"49.9"OT_MIG_JUL18_FID_4P_PILIM_20GB_D3_TV_BL2_OF4"</t>
  </si>
  <si>
    <t>20000False"TV Mix HD""BLM 10gb""Franquia ilimitada"49.9"OT_MIG_JUL18_FID_4P_PILIM_20GB_D3_TV_BL2_OF4"</t>
  </si>
  <si>
    <t>20000False"TV Mix HBOMAX HD""BLM 10gb""Franquia ilimitada"49.9"OT_MIG_JUL18_FID_4P_PILIM_20GB_D3_TV_BL2_OF4"</t>
  </si>
  <si>
    <t>20000False"TV Mix Telecine HD""BLM 10gb""Franquia ilimitada"49.9"OT_MIG_JUL18_FID_4P_PILIM_20GB_D3_TV_BL2_OF4"</t>
  </si>
  <si>
    <t>20000False"TV Mix Cinema HD""BLM 10gb""Franquia ilimitada"49.9"OT_MIG_JUL18_FID_4P_PILIM_20GB_D3_TV_BL2_OF4"</t>
  </si>
  <si>
    <t>20000False"TV Total HD""BLM 10gb""Franquia ilimitada"49.9"OT_MIG_JUL18_FID_4P_PILIM_20GB_D3_TV_BL2_OF4"</t>
  </si>
  <si>
    <t>20000False"TV Total HBOMAX HD""BLM 10gb""Franquia ilimitada"49.9"OT_MIG_JUL18_FID_4P_PILIM_20GB_D3_TV_BL2_OF4"</t>
  </si>
  <si>
    <t>20000False"TV Total Telecine HD""BLM 10gb""Franquia ilimitada"49.9"OT_MIG_JUL18_FID_4P_PILIM_20GB_D3_TV_BL2_OF4"</t>
  </si>
  <si>
    <t>20000False"TV Total Cinema HD""BLM 10gb""Franquia ilimitada"49.9"OT_MIG_JUL18_FID_4P_PILIM_20GB_D3_TV_BL2_OF4"</t>
  </si>
  <si>
    <t>20000True"TV Total HD""BLM 10gb""Franquia ilimitada"49.9"OT_MIG_JUL18_FID_4P_PILIM_20GB_D3_TV_BL2_OF4"</t>
  </si>
  <si>
    <t>20000True"TV Total HBOMAX HD""BLM 10gb""Franquia ilimitada"49.9"OT_MIG_JUL18_FID_4P_PILIM_20GB_D3_TV_BL2_OF4"</t>
  </si>
  <si>
    <t>20000True"TV Total Telecine HD""BLM 10gb""Franquia ilimitada"49.9"OT_MIG_JUL18_FID_4P_PILIM_20GB_D3_TV_BL2_OF4"</t>
  </si>
  <si>
    <t>20000True"TV Total Cinema HD""BLM 10gb""Franquia ilimitada"49.9"OT_MIG_JUL18_FID_4P_PILIM_20GB_D3_TV_BL2_OF4"</t>
  </si>
  <si>
    <t>"OT_MIG_JUL18_FID_4P_PILIM_20GB_D3_TV_BL5_CBAS_OF4"</t>
  </si>
  <si>
    <t>20000False"TV Start HD""VX Até 15mb""Franquia ilimitada"49.9"OT_MIG_JUL18_FID_4P_PILIM_20GB_D3_TV_BL5_CBAS_OF4"</t>
  </si>
  <si>
    <t>20000False"TV Mix HD""VX Até 15mb""Franquia ilimitada"49.9"OT_MIG_JUL18_FID_4P_PILIM_20GB_D3_TV_BL5_CBAS_OF4"</t>
  </si>
  <si>
    <t>20000False"TV Mix HBOMAX HD""VX Até 15mb""Franquia ilimitada"49.9"OT_MIG_JUL18_FID_4P_PILIM_20GB_D3_TV_BL5_CBAS_OF4"</t>
  </si>
  <si>
    <t>20000False"TV Mix Telecine HD""VX Até 15mb""Franquia ilimitada"49.9"OT_MIG_JUL18_FID_4P_PILIM_20GB_D3_TV_BL5_CBAS_OF4"</t>
  </si>
  <si>
    <t>20000False"TV Mix Cinema HD""VX Até 15mb""Franquia ilimitada"49.9"OT_MIG_JUL18_FID_4P_PILIM_20GB_D3_TV_BL5_CBAS_OF4"</t>
  </si>
  <si>
    <t>20000False"TV Total HD""VX Até 15mb""Franquia ilimitada"49.9"OT_MIG_JUL18_FID_4P_PILIM_20GB_D3_TV_BL5_CBAS_OF4"</t>
  </si>
  <si>
    <t>20000False"TV Total HBOMAX HD""VX Até 15mb""Franquia ilimitada"49.9"OT_MIG_JUL18_FID_4P_PILIM_20GB_D3_TV_BL5_CBAS_OF4"</t>
  </si>
  <si>
    <t>20000False"TV Total Telecine HD""VX Até 15mb""Franquia ilimitada"49.9"OT_MIG_JUL18_FID_4P_PILIM_20GB_D3_TV_BL5_CBAS_OF4"</t>
  </si>
  <si>
    <t>20000False"TV Total Cinema HD""VX Até 15mb""Franquia ilimitada"49.9"OT_MIG_JUL18_FID_4P_PILIM_20GB_D3_TV_BL5_CBAS_OF4"</t>
  </si>
  <si>
    <t>20000True"TV Total HD""VX Até 15mb""Franquia ilimitada"49.9"OT_MIG_JUL18_FID_4P_PILIM_20GB_D3_TV_BL5_CBAS_OF4"</t>
  </si>
  <si>
    <t>20000True"TV Total HBOMAX HD""VX Até 15mb""Franquia ilimitada"49.9"OT_MIG_JUL18_FID_4P_PILIM_20GB_D3_TV_BL5_CBAS_OF4"</t>
  </si>
  <si>
    <t>20000True"TV Total Telecine HD""VX Até 15mb""Franquia ilimitada"49.9"OT_MIG_JUL18_FID_4P_PILIM_20GB_D3_TV_BL5_CBAS_OF4"</t>
  </si>
  <si>
    <t>20000True"TV Total Cinema HD""VX Até 15mb""Franquia ilimitada"49.9"OT_MIG_JUL18_FID_4P_PILIM_20GB_D3_TV_BL5_CBAS_OF4"</t>
  </si>
  <si>
    <t>20000False"TV Start HD""VX Até 25mb""Franquia ilimitada"49.9"OT_MIG_JUL18_FID_4P_PILIM_20GB_D3_TV_BL5_CBAS_OF4"</t>
  </si>
  <si>
    <t>20000False"TV Mix HD""VX Até 25mb""Franquia ilimitada"49.9"OT_MIG_JUL18_FID_4P_PILIM_20GB_D3_TV_BL5_CBAS_OF4"</t>
  </si>
  <si>
    <t>20000False"TV Mix HBOMAX HD""VX Até 25mb""Franquia ilimitada"49.9"OT_MIG_JUL18_FID_4P_PILIM_20GB_D3_TV_BL5_CBAS_OF4"</t>
  </si>
  <si>
    <t>20000False"TV Mix Telecine HD""VX Até 25mb""Franquia ilimitada"49.9"OT_MIG_JUL18_FID_4P_PILIM_20GB_D3_TV_BL5_CBAS_OF4"</t>
  </si>
  <si>
    <t>20000False"TV Mix Cinema HD""VX Até 25mb""Franquia ilimitada"49.9"OT_MIG_JUL18_FID_4P_PILIM_20GB_D3_TV_BL5_CBAS_OF4"</t>
  </si>
  <si>
    <t>20000False"TV Total HD""VX Até 25mb""Franquia ilimitada"49.9"OT_MIG_JUL18_FID_4P_PILIM_20GB_D3_TV_BL5_CBAS_OF4"</t>
  </si>
  <si>
    <t>20000False"TV Total HBOMAX HD""VX Até 25mb""Franquia ilimitada"49.9"OT_MIG_JUL18_FID_4P_PILIM_20GB_D3_TV_BL5_CBAS_OF4"</t>
  </si>
  <si>
    <t>20000False"TV Total Telecine HD""VX Até 25mb""Franquia ilimitada"49.9"OT_MIG_JUL18_FID_4P_PILIM_20GB_D3_TV_BL5_CBAS_OF4"</t>
  </si>
  <si>
    <t>20000False"TV Total Cinema HD""VX Até 25mb""Franquia ilimitada"49.9"OT_MIG_JUL18_FID_4P_PILIM_20GB_D3_TV_BL5_CBAS_OF4"</t>
  </si>
  <si>
    <t>20000True"TV Total HD""VX Até 25mb""Franquia ilimitada"49.9"OT_MIG_JUL18_FID_4P_PILIM_20GB_D3_TV_BL5_CBAS_OF4"</t>
  </si>
  <si>
    <t>20000True"TV Total HBOMAX HD""VX Até 25mb""Franquia ilimitada"49.9"OT_MIG_JUL18_FID_4P_PILIM_20GB_D3_TV_BL5_CBAS_OF4"</t>
  </si>
  <si>
    <t>20000True"TV Total Telecine HD""VX Até 25mb""Franquia ilimitada"49.9"OT_MIG_JUL18_FID_4P_PILIM_20GB_D3_TV_BL5_CBAS_OF4"</t>
  </si>
  <si>
    <t>20000True"TV Total Cinema HD""VX Até 25mb""Franquia ilimitada"49.9"OT_MIG_JUL18_FID_4P_PILIM_20GB_D3_TV_BL5_CBAS_OF4"</t>
  </si>
  <si>
    <t>20000False"TV Start HD""VX 35mb""Franquia ilimitada"49.9"OT_MIG_JUL18_FID_4P_PILIM_20GB_D3_TV_BL5_CBAS_OF4"</t>
  </si>
  <si>
    <t>20000False"TV Mix HD""VX 35mb""Franquia ilimitada"49.9"OT_MIG_JUL18_FID_4P_PILIM_20GB_D3_TV_BL5_CBAS_OF4"</t>
  </si>
  <si>
    <t>20000False"TV Mix HBOMAX HD""VX 35mb""Franquia ilimitada"49.9"OT_MIG_JUL18_FID_4P_PILIM_20GB_D3_TV_BL5_CBAS_OF4"</t>
  </si>
  <si>
    <t>20000False"TV Mix Telecine HD""VX 35mb""Franquia ilimitada"49.9"OT_MIG_JUL18_FID_4P_PILIM_20GB_D3_TV_BL5_CBAS_OF4"</t>
  </si>
  <si>
    <t>20000False"TV Mix Cinema HD""VX 35mb""Franquia ilimitada"49.9"OT_MIG_JUL18_FID_4P_PILIM_20GB_D3_TV_BL5_CBAS_OF4"</t>
  </si>
  <si>
    <t>20000False"TV Total HD""VX 35mb""Franquia ilimitada"49.9"OT_MIG_JUL18_FID_4P_PILIM_20GB_D3_TV_BL5_CBAS_OF4"</t>
  </si>
  <si>
    <t>20000False"TV Total HBOMAX HD""VX 35mb""Franquia ilimitada"49.9"OT_MIG_JUL18_FID_4P_PILIM_20GB_D3_TV_BL5_CBAS_OF4"</t>
  </si>
  <si>
    <t>20000False"TV Total Telecine HD""VX 35mb""Franquia ilimitada"49.9"OT_MIG_JUL18_FID_4P_PILIM_20GB_D3_TV_BL5_CBAS_OF4"</t>
  </si>
  <si>
    <t>20000False"TV Total Cinema HD""VX 35mb""Franquia ilimitada"49.9"OT_MIG_JUL18_FID_4P_PILIM_20GB_D3_TV_BL5_CBAS_OF4"</t>
  </si>
  <si>
    <t>20000True"TV Total HD""VX 35mb""Franquia ilimitada"49.9"OT_MIG_JUL18_FID_4P_PILIM_20GB_D3_TV_BL5_CBAS_OF4"</t>
  </si>
  <si>
    <t>20000True"TV Total HBOMAX HD""VX 35mb""Franquia ilimitada"49.9"OT_MIG_JUL18_FID_4P_PILIM_20GB_D3_TV_BL5_CBAS_OF4"</t>
  </si>
  <si>
    <t>20000True"TV Total Telecine HD""VX 35mb""Franquia ilimitada"49.9"OT_MIG_JUL18_FID_4P_PILIM_20GB_D3_TV_BL5_CBAS_OF4"</t>
  </si>
  <si>
    <t>20000True"TV Total Cinema HD""VX 35mb""Franquia ilimitada"49.9"OT_MIG_JUL18_FID_4P_PILIM_20GB_D3_TV_BL5_CBAS_OF4"</t>
  </si>
  <si>
    <t>if</t>
  </si>
  <si>
    <t>else if</t>
  </si>
  <si>
    <t>Nova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</si>
</sst>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9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4PNFID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82835\Rule-Declare-DecisionTableedit_8283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IG6263"/>
  <sheetViews>
    <sheetView tabSelected="1" workbookViewId="0">
      <selection activeCell="E7" sqref="E7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28515625" customWidth="1"/>
    <col min="5" max="5" width="25.28515625" bestFit="1" customWidth="1"/>
    <col min="6" max="6" width="12.5703125" style="109" bestFit="1" customWidth="1"/>
    <col min="7" max="7" width="16.7109375" bestFit="1" customWidth="1"/>
    <col min="8" max="8" width="27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27.7109375" bestFit="1" customWidth="1"/>
    <col min="14" max="14" width="16.28515625" bestFit="1" customWidth="1"/>
    <col min="15" max="15" width="38.7109375" style="110" bestFit="1" customWidth="1"/>
    <col min="16" max="16" width="7" bestFit="1" customWidth="1"/>
    <col min="17" max="17" width="28.85546875" bestFit="1" customWidth="1"/>
    <col min="18" max="18" width="24.28515625" style="110" bestFit="1" customWidth="1"/>
    <col min="19" max="19" width="32.42578125" style="110" bestFit="1" customWidth="1"/>
    <col min="20" max="20" width="23.42578125" style="110" bestFit="1" customWidth="1"/>
    <col min="21" max="21" width="21.140625" style="110" bestFit="1" customWidth="1"/>
    <col min="22" max="22" width="21.5703125" bestFit="1" customWidth="1"/>
    <col min="23" max="23" width="22" bestFit="1" customWidth="1"/>
    <col min="24" max="24" width="32.5703125" bestFit="1" customWidth="1"/>
    <col min="25" max="25" width="32.7109375" bestFit="1" customWidth="1"/>
    <col min="26" max="26" width="31.5703125" bestFit="1" customWidth="1"/>
    <col min="27" max="27" width="27.7109375" bestFit="1" customWidth="1"/>
    <col min="28" max="28" width="30" bestFit="1" customWidth="1"/>
    <col min="29" max="29" width="30.28515625" bestFit="1" customWidth="1"/>
    <col min="30" max="30" width="28" bestFit="1" customWidth="1"/>
    <col min="31" max="31" width="38" bestFit="1" customWidth="1"/>
    <col min="32" max="32" width="57.5703125" bestFit="1" customWidth="1"/>
    <col min="33" max="34" width="56" bestFit="1" customWidth="1"/>
    <col min="35" max="35" width="34.28515625" bestFit="1" customWidth="1"/>
    <col min="36" max="36" width="52.42578125" bestFit="1" customWidth="1"/>
    <col min="37" max="37" width="54.28515625" bestFit="1" customWidth="1"/>
    <col min="38" max="38" width="56" bestFit="1" customWidth="1"/>
    <col min="39" max="39" width="38.5703125" bestFit="1" customWidth="1"/>
    <col min="40" max="40" width="17.140625" bestFit="1" customWidth="1"/>
    <col min="41" max="41" width="16.7109375" bestFit="1" customWidth="1"/>
    <col min="42" max="42" width="16" bestFit="1" customWidth="1"/>
    <col min="43" max="43" width="10.7109375" bestFit="1" customWidth="1"/>
    <col min="44" max="44" width="9.42578125" bestFit="1" customWidth="1"/>
    <col min="45" max="45" width="14.85546875" bestFit="1" customWidth="1"/>
    <col min="46" max="46" width="18.42578125" bestFit="1" customWidth="1"/>
    <col min="47" max="47" width="18" bestFit="1" customWidth="1"/>
    <col min="48" max="48" width="16.7109375" hidden="1" customWidth="1"/>
    <col min="49" max="49" width="15.7109375" bestFit="1" customWidth="1"/>
    <col min="50" max="50" width="18" bestFit="1" customWidth="1"/>
    <col min="51" max="51" width="19.5703125" customWidth="1"/>
    <col min="53" max="53" width="0" hidden="1" customWidth="1"/>
  </cols>
  <sheetData>
    <row r="2" spans="1:48 2508:2508 3621:3621" x14ac:dyDescent="0.25">
      <c r="A2">
        <v>1</v>
      </c>
      <c r="B2">
        <v>2</v>
      </c>
      <c r="C2">
        <v>3</v>
      </c>
      <c r="D2">
        <v>4</v>
      </c>
      <c r="E2">
        <v>5</v>
      </c>
      <c r="F2" s="109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 s="110">
        <v>15</v>
      </c>
      <c r="P2">
        <v>16</v>
      </c>
      <c r="Q2">
        <v>17</v>
      </c>
      <c r="R2" s="110">
        <v>18</v>
      </c>
      <c r="S2" s="110">
        <v>19</v>
      </c>
      <c r="T2" s="110">
        <v>20</v>
      </c>
      <c r="U2" s="110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</row>
    <row r="3" spans="1:48 2508:2508 3621:362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111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300</v>
      </c>
      <c r="P3" s="4" t="s">
        <v>15</v>
      </c>
      <c r="Q3" s="5" t="s">
        <v>316</v>
      </c>
      <c r="R3" s="5" t="s">
        <v>304</v>
      </c>
      <c r="S3" s="5" t="s">
        <v>305</v>
      </c>
      <c r="T3" s="5" t="s">
        <v>306</v>
      </c>
      <c r="U3" s="5" t="s">
        <v>307</v>
      </c>
      <c r="V3" s="5" t="s">
        <v>308</v>
      </c>
      <c r="W3" s="5" t="s">
        <v>309</v>
      </c>
      <c r="X3" s="5" t="s">
        <v>310</v>
      </c>
      <c r="Y3" s="5" t="s">
        <v>311</v>
      </c>
      <c r="Z3" s="5" t="s">
        <v>312</v>
      </c>
      <c r="AA3" s="5" t="s">
        <v>313</v>
      </c>
      <c r="AB3" s="5" t="s">
        <v>12</v>
      </c>
      <c r="AC3" s="5" t="s">
        <v>16</v>
      </c>
      <c r="AD3" s="5" t="s">
        <v>17</v>
      </c>
      <c r="AE3" s="5" t="s">
        <v>314</v>
      </c>
      <c r="AF3" s="5" t="s">
        <v>317</v>
      </c>
      <c r="AG3" s="5" t="s">
        <v>318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58</v>
      </c>
      <c r="AS3" s="5" t="s">
        <v>29</v>
      </c>
      <c r="AT3" s="5" t="s">
        <v>59</v>
      </c>
    </row>
    <row r="4" spans="1:48 2508:2508 3621:3621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112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301</v>
      </c>
      <c r="P4" s="10"/>
      <c r="Q4" s="5" t="s">
        <v>319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320</v>
      </c>
      <c r="AG4" s="5" t="s">
        <v>321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60</v>
      </c>
      <c r="AS4" s="5" t="s">
        <v>29</v>
      </c>
      <c r="AT4" s="5" t="s">
        <v>59</v>
      </c>
    </row>
    <row r="5" spans="1:48 2508:2508 3621:3621" x14ac:dyDescent="0.25">
      <c r="A5" t="s">
        <v>3322</v>
      </c>
      <c r="B5" t="s">
        <v>302</v>
      </c>
      <c r="C5" t="s">
        <v>62</v>
      </c>
      <c r="D5">
        <v>99999</v>
      </c>
      <c r="F5" s="109">
        <v>10000</v>
      </c>
      <c r="G5" t="b">
        <v>0</v>
      </c>
      <c r="H5" t="s">
        <v>742</v>
      </c>
      <c r="K5" t="s">
        <v>349</v>
      </c>
      <c r="L5" t="s">
        <v>303</v>
      </c>
      <c r="M5" t="s">
        <v>323</v>
      </c>
      <c r="N5" t="s">
        <v>63</v>
      </c>
      <c r="O5" s="110">
        <v>29.9</v>
      </c>
      <c r="R5" s="110">
        <v>197.69000000000003</v>
      </c>
      <c r="S5" s="110">
        <v>79.900000000000006</v>
      </c>
      <c r="T5" s="110">
        <v>0</v>
      </c>
      <c r="U5" s="110">
        <v>42.99</v>
      </c>
      <c r="X5">
        <v>29.9</v>
      </c>
      <c r="Y5">
        <v>44.9</v>
      </c>
      <c r="Z5">
        <v>44.9</v>
      </c>
      <c r="AA5">
        <v>0</v>
      </c>
      <c r="AB5" t="s">
        <v>324</v>
      </c>
      <c r="AF5" t="s">
        <v>1443</v>
      </c>
      <c r="AG5" t="s">
        <v>1443</v>
      </c>
      <c r="AH5" t="s">
        <v>1175</v>
      </c>
      <c r="AI5">
        <v>99999</v>
      </c>
      <c r="AJ5">
        <v>99999</v>
      </c>
      <c r="AK5">
        <v>699</v>
      </c>
      <c r="AL5" t="b">
        <v>1</v>
      </c>
      <c r="AM5" t="b">
        <v>1</v>
      </c>
      <c r="AN5" t="b">
        <v>0</v>
      </c>
      <c r="AO5">
        <v>99999</v>
      </c>
      <c r="AP5" t="s">
        <v>64</v>
      </c>
      <c r="AR5" t="b">
        <v>0</v>
      </c>
      <c r="AS5">
        <v>12</v>
      </c>
      <c r="AT5" t="s">
        <v>327</v>
      </c>
      <c r="AV5" t="s">
        <v>1445</v>
      </c>
      <c r="CRL5">
        <v>12</v>
      </c>
      <c r="EIG5">
        <v>12</v>
      </c>
    </row>
    <row r="6" spans="1:48 2508:2508 3621:3621" x14ac:dyDescent="0.25">
      <c r="A6" t="s">
        <v>3323</v>
      </c>
      <c r="B6" t="s">
        <v>302</v>
      </c>
      <c r="C6" t="s">
        <v>62</v>
      </c>
      <c r="D6">
        <v>99999</v>
      </c>
      <c r="F6" s="109">
        <v>10000</v>
      </c>
      <c r="G6" t="b">
        <v>0</v>
      </c>
      <c r="H6" t="s">
        <v>742</v>
      </c>
      <c r="K6" t="s">
        <v>349</v>
      </c>
      <c r="L6" t="s">
        <v>303</v>
      </c>
      <c r="M6" t="s">
        <v>323</v>
      </c>
      <c r="N6" t="s">
        <v>63</v>
      </c>
      <c r="O6" s="110">
        <v>29.9</v>
      </c>
      <c r="R6" s="110">
        <v>209.88999999999996</v>
      </c>
      <c r="S6" s="110">
        <v>85</v>
      </c>
      <c r="T6" s="110">
        <v>0</v>
      </c>
      <c r="U6" s="110">
        <v>42.99</v>
      </c>
      <c r="X6">
        <v>36.999999999999972</v>
      </c>
      <c r="Y6">
        <v>44.9</v>
      </c>
      <c r="Z6">
        <v>44.9</v>
      </c>
      <c r="AA6">
        <v>0</v>
      </c>
      <c r="AB6" t="s">
        <v>324</v>
      </c>
      <c r="AF6" t="s">
        <v>1591</v>
      </c>
      <c r="AG6" t="s">
        <v>1591</v>
      </c>
      <c r="AH6" t="s">
        <v>1175</v>
      </c>
      <c r="AI6">
        <v>99999</v>
      </c>
      <c r="AJ6">
        <v>99999</v>
      </c>
      <c r="AK6">
        <v>699</v>
      </c>
      <c r="AL6" t="b">
        <v>1</v>
      </c>
      <c r="AM6" t="b">
        <v>1</v>
      </c>
      <c r="AN6" t="b">
        <v>0</v>
      </c>
      <c r="AO6">
        <v>99999</v>
      </c>
      <c r="AP6" t="s">
        <v>64</v>
      </c>
      <c r="AR6" t="b">
        <v>0</v>
      </c>
      <c r="AS6">
        <v>12</v>
      </c>
      <c r="AT6" t="s">
        <v>327</v>
      </c>
      <c r="AV6" t="s">
        <v>1593</v>
      </c>
      <c r="CRL6">
        <v>12</v>
      </c>
    </row>
    <row r="7" spans="1:48 2508:2508 3621:3621" x14ac:dyDescent="0.25">
      <c r="A7" t="s">
        <v>3323</v>
      </c>
      <c r="B7" t="s">
        <v>302</v>
      </c>
      <c r="C7" t="s">
        <v>62</v>
      </c>
      <c r="D7">
        <v>99999</v>
      </c>
      <c r="F7" s="109">
        <v>10000</v>
      </c>
      <c r="G7" t="b">
        <v>0</v>
      </c>
      <c r="H7" t="s">
        <v>742</v>
      </c>
      <c r="K7" t="s">
        <v>349</v>
      </c>
      <c r="L7" t="s">
        <v>303</v>
      </c>
      <c r="M7" t="s">
        <v>323</v>
      </c>
      <c r="N7" t="s">
        <v>63</v>
      </c>
      <c r="O7" s="110">
        <v>39.9</v>
      </c>
      <c r="R7" s="110">
        <v>197.69000000000003</v>
      </c>
      <c r="S7" s="110">
        <v>79.900000000000006</v>
      </c>
      <c r="T7" s="110">
        <v>0</v>
      </c>
      <c r="U7" s="110">
        <v>42.99</v>
      </c>
      <c r="X7">
        <v>29.9</v>
      </c>
      <c r="Y7">
        <v>44.9</v>
      </c>
      <c r="Z7">
        <v>44.9</v>
      </c>
      <c r="AA7">
        <v>0</v>
      </c>
      <c r="AB7" t="s">
        <v>324</v>
      </c>
      <c r="AF7" t="s">
        <v>1450</v>
      </c>
      <c r="AG7" t="s">
        <v>1450</v>
      </c>
      <c r="AH7" t="s">
        <v>1175</v>
      </c>
      <c r="AI7">
        <v>99999</v>
      </c>
      <c r="AJ7">
        <v>99999</v>
      </c>
      <c r="AK7">
        <v>699</v>
      </c>
      <c r="AL7" t="b">
        <v>1</v>
      </c>
      <c r="AM7" t="b">
        <v>1</v>
      </c>
      <c r="AN7" t="b">
        <v>0</v>
      </c>
      <c r="AO7">
        <v>99999</v>
      </c>
      <c r="AP7" t="s">
        <v>64</v>
      </c>
      <c r="AR7" t="b">
        <v>0</v>
      </c>
      <c r="AS7">
        <v>12</v>
      </c>
      <c r="AT7" t="s">
        <v>327</v>
      </c>
      <c r="AV7" t="s">
        <v>1452</v>
      </c>
      <c r="CRL7">
        <v>12</v>
      </c>
    </row>
    <row r="8" spans="1:48 2508:2508 3621:3621" x14ac:dyDescent="0.25">
      <c r="A8" t="s">
        <v>3323</v>
      </c>
      <c r="B8" t="s">
        <v>302</v>
      </c>
      <c r="C8" t="s">
        <v>62</v>
      </c>
      <c r="D8">
        <v>99999</v>
      </c>
      <c r="F8" s="109">
        <v>10000</v>
      </c>
      <c r="G8" t="b">
        <v>0</v>
      </c>
      <c r="H8" t="s">
        <v>742</v>
      </c>
      <c r="K8" t="s">
        <v>349</v>
      </c>
      <c r="L8" t="s">
        <v>303</v>
      </c>
      <c r="M8" t="s">
        <v>323</v>
      </c>
      <c r="N8" t="s">
        <v>63</v>
      </c>
      <c r="O8" s="110">
        <v>39.9</v>
      </c>
      <c r="R8" s="110">
        <v>209.88999999999996</v>
      </c>
      <c r="S8" s="110">
        <v>85</v>
      </c>
      <c r="T8" s="110">
        <v>0</v>
      </c>
      <c r="U8" s="110">
        <v>42.99</v>
      </c>
      <c r="X8">
        <v>36.999999999999972</v>
      </c>
      <c r="Y8">
        <v>44.9</v>
      </c>
      <c r="Z8">
        <v>44.9</v>
      </c>
      <c r="AA8">
        <v>0</v>
      </c>
      <c r="AB8" t="s">
        <v>324</v>
      </c>
      <c r="AF8" t="s">
        <v>1598</v>
      </c>
      <c r="AG8" t="s">
        <v>1598</v>
      </c>
      <c r="AH8" t="s">
        <v>1175</v>
      </c>
      <c r="AI8">
        <v>99999</v>
      </c>
      <c r="AJ8">
        <v>99999</v>
      </c>
      <c r="AK8">
        <v>699</v>
      </c>
      <c r="AL8" t="b">
        <v>1</v>
      </c>
      <c r="AM8" t="b">
        <v>1</v>
      </c>
      <c r="AN8" t="b">
        <v>0</v>
      </c>
      <c r="AO8">
        <v>99999</v>
      </c>
      <c r="AP8" t="s">
        <v>64</v>
      </c>
      <c r="AR8" t="b">
        <v>0</v>
      </c>
      <c r="AS8">
        <v>12</v>
      </c>
      <c r="AT8" t="s">
        <v>327</v>
      </c>
      <c r="AV8" t="s">
        <v>1600</v>
      </c>
      <c r="CRL8">
        <v>12</v>
      </c>
    </row>
    <row r="9" spans="1:48 2508:2508 3621:3621" x14ac:dyDescent="0.25">
      <c r="A9" t="s">
        <v>3323</v>
      </c>
      <c r="B9" t="s">
        <v>302</v>
      </c>
      <c r="C9" t="s">
        <v>62</v>
      </c>
      <c r="D9">
        <v>99999</v>
      </c>
      <c r="F9" s="109">
        <v>10000</v>
      </c>
      <c r="G9" t="b">
        <v>0</v>
      </c>
      <c r="H9" t="s">
        <v>742</v>
      </c>
      <c r="K9" t="s">
        <v>349</v>
      </c>
      <c r="L9" t="s">
        <v>303</v>
      </c>
      <c r="M9" t="s">
        <v>323</v>
      </c>
      <c r="N9" t="s">
        <v>63</v>
      </c>
      <c r="O9" s="110">
        <v>49.9</v>
      </c>
      <c r="R9" s="110">
        <v>239.79</v>
      </c>
      <c r="S9" s="110">
        <v>130</v>
      </c>
      <c r="T9" s="110">
        <v>0</v>
      </c>
      <c r="U9" s="110">
        <v>34.99</v>
      </c>
      <c r="X9">
        <v>29.9</v>
      </c>
      <c r="Y9">
        <v>44.9</v>
      </c>
      <c r="Z9">
        <v>44.9</v>
      </c>
      <c r="AA9">
        <v>0</v>
      </c>
      <c r="AB9" t="s">
        <v>324</v>
      </c>
      <c r="AF9" t="s">
        <v>2811</v>
      </c>
      <c r="AG9" t="s">
        <v>2811</v>
      </c>
      <c r="AH9" t="s">
        <v>1175</v>
      </c>
      <c r="AI9">
        <v>99999</v>
      </c>
      <c r="AJ9">
        <v>99999</v>
      </c>
      <c r="AK9">
        <v>699</v>
      </c>
      <c r="AL9" t="b">
        <v>1</v>
      </c>
      <c r="AM9" t="b">
        <v>1</v>
      </c>
      <c r="AN9" t="b">
        <v>0</v>
      </c>
      <c r="AO9">
        <v>99999</v>
      </c>
      <c r="AP9" t="s">
        <v>64</v>
      </c>
      <c r="AR9" t="b">
        <v>0</v>
      </c>
      <c r="AS9">
        <v>12</v>
      </c>
      <c r="AT9" t="s">
        <v>327</v>
      </c>
      <c r="AV9" t="s">
        <v>2813</v>
      </c>
      <c r="CRL9">
        <v>12</v>
      </c>
    </row>
    <row r="10" spans="1:48 2508:2508 3621:3621" x14ac:dyDescent="0.25">
      <c r="A10" t="s">
        <v>3323</v>
      </c>
      <c r="B10" t="s">
        <v>302</v>
      </c>
      <c r="C10" t="s">
        <v>62</v>
      </c>
      <c r="D10">
        <v>99999</v>
      </c>
      <c r="F10" s="109">
        <v>10000</v>
      </c>
      <c r="G10" t="b">
        <v>0</v>
      </c>
      <c r="H10" t="s">
        <v>742</v>
      </c>
      <c r="K10" t="s">
        <v>349</v>
      </c>
      <c r="L10" t="s">
        <v>303</v>
      </c>
      <c r="M10" t="s">
        <v>323</v>
      </c>
      <c r="N10" t="s">
        <v>63</v>
      </c>
      <c r="O10" s="110">
        <v>49.9</v>
      </c>
      <c r="R10" s="110">
        <v>247.79</v>
      </c>
      <c r="S10" s="110">
        <v>130</v>
      </c>
      <c r="T10" s="110">
        <v>0</v>
      </c>
      <c r="U10" s="110">
        <v>42.99</v>
      </c>
      <c r="X10">
        <v>29.9</v>
      </c>
      <c r="Y10">
        <v>44.9</v>
      </c>
      <c r="Z10">
        <v>44.9</v>
      </c>
      <c r="AA10">
        <v>0</v>
      </c>
      <c r="AB10" t="s">
        <v>324</v>
      </c>
      <c r="AF10" t="s">
        <v>2952</v>
      </c>
      <c r="AG10" t="s">
        <v>2952</v>
      </c>
      <c r="AH10" t="s">
        <v>1175</v>
      </c>
      <c r="AI10">
        <v>99999</v>
      </c>
      <c r="AJ10">
        <v>99999</v>
      </c>
      <c r="AK10">
        <v>699</v>
      </c>
      <c r="AL10" t="b">
        <v>1</v>
      </c>
      <c r="AM10" t="b">
        <v>1</v>
      </c>
      <c r="AN10" t="b">
        <v>0</v>
      </c>
      <c r="AO10">
        <v>99999</v>
      </c>
      <c r="AP10" t="s">
        <v>64</v>
      </c>
      <c r="AR10" t="b">
        <v>0</v>
      </c>
      <c r="AS10">
        <v>12</v>
      </c>
      <c r="AT10" t="s">
        <v>327</v>
      </c>
      <c r="AV10" t="s">
        <v>2954</v>
      </c>
      <c r="CRL10">
        <v>12</v>
      </c>
    </row>
    <row r="11" spans="1:48 2508:2508 3621:3621" x14ac:dyDescent="0.25">
      <c r="A11" t="s">
        <v>3323</v>
      </c>
      <c r="B11" t="s">
        <v>302</v>
      </c>
      <c r="C11" t="s">
        <v>62</v>
      </c>
      <c r="D11">
        <v>99999</v>
      </c>
      <c r="F11" s="109">
        <v>10000</v>
      </c>
      <c r="G11" t="b">
        <v>0</v>
      </c>
      <c r="H11" t="s">
        <v>742</v>
      </c>
      <c r="K11" t="s">
        <v>349</v>
      </c>
      <c r="L11" t="s">
        <v>303</v>
      </c>
      <c r="M11" t="s">
        <v>323</v>
      </c>
      <c r="N11" t="s">
        <v>63</v>
      </c>
      <c r="O11" s="110">
        <v>49.9</v>
      </c>
      <c r="R11" s="110">
        <v>254.88999999999996</v>
      </c>
      <c r="S11" s="110">
        <v>130</v>
      </c>
      <c r="T11" s="110">
        <v>0</v>
      </c>
      <c r="U11" s="110">
        <v>42.99</v>
      </c>
      <c r="X11">
        <v>36.999999999999972</v>
      </c>
      <c r="Y11">
        <v>44.9</v>
      </c>
      <c r="Z11">
        <v>44.9</v>
      </c>
      <c r="AA11">
        <v>0</v>
      </c>
      <c r="AB11" t="s">
        <v>324</v>
      </c>
      <c r="AF11" t="s">
        <v>3026</v>
      </c>
      <c r="AG11" t="s">
        <v>3026</v>
      </c>
      <c r="AH11" t="s">
        <v>1175</v>
      </c>
      <c r="AI11">
        <v>99999</v>
      </c>
      <c r="AJ11">
        <v>99999</v>
      </c>
      <c r="AK11">
        <v>699</v>
      </c>
      <c r="AL11" t="b">
        <v>1</v>
      </c>
      <c r="AM11" t="b">
        <v>1</v>
      </c>
      <c r="AN11" t="b">
        <v>0</v>
      </c>
      <c r="AO11">
        <v>99999</v>
      </c>
      <c r="AP11" t="s">
        <v>64</v>
      </c>
      <c r="AR11" t="b">
        <v>0</v>
      </c>
      <c r="AS11">
        <v>12</v>
      </c>
      <c r="AT11" t="s">
        <v>327</v>
      </c>
      <c r="AV11" t="s">
        <v>3028</v>
      </c>
      <c r="CRL11">
        <v>12</v>
      </c>
    </row>
    <row r="12" spans="1:48 2508:2508 3621:3621" x14ac:dyDescent="0.25">
      <c r="A12" t="s">
        <v>3323</v>
      </c>
      <c r="B12" t="s">
        <v>302</v>
      </c>
      <c r="C12" t="s">
        <v>62</v>
      </c>
      <c r="D12">
        <v>99999</v>
      </c>
      <c r="F12" s="109">
        <v>10000</v>
      </c>
      <c r="G12" t="b">
        <v>0</v>
      </c>
      <c r="H12" t="s">
        <v>742</v>
      </c>
      <c r="K12" t="s">
        <v>393</v>
      </c>
      <c r="L12" t="s">
        <v>303</v>
      </c>
      <c r="M12" t="s">
        <v>323</v>
      </c>
      <c r="N12" t="s">
        <v>63</v>
      </c>
      <c r="O12" s="110">
        <v>29.9</v>
      </c>
      <c r="R12" s="110">
        <v>222.69000000000003</v>
      </c>
      <c r="S12" s="110">
        <v>79.900000000000006</v>
      </c>
      <c r="T12" s="110">
        <v>0</v>
      </c>
      <c r="U12" s="110">
        <v>42.99</v>
      </c>
      <c r="X12">
        <v>29.9</v>
      </c>
      <c r="Y12">
        <v>69.900000000000006</v>
      </c>
      <c r="Z12">
        <v>69.900000000000006</v>
      </c>
      <c r="AA12">
        <v>0</v>
      </c>
      <c r="AB12" t="s">
        <v>363</v>
      </c>
      <c r="AF12" t="s">
        <v>1446</v>
      </c>
      <c r="AG12" t="s">
        <v>1446</v>
      </c>
      <c r="AH12" t="s">
        <v>1175</v>
      </c>
      <c r="AI12">
        <v>99999</v>
      </c>
      <c r="AJ12">
        <v>99999</v>
      </c>
      <c r="AK12">
        <v>699</v>
      </c>
      <c r="AL12" t="b">
        <v>1</v>
      </c>
      <c r="AM12" t="b">
        <v>1</v>
      </c>
      <c r="AN12" t="b">
        <v>0</v>
      </c>
      <c r="AO12">
        <v>99999</v>
      </c>
      <c r="AP12" t="s">
        <v>64</v>
      </c>
      <c r="AR12" t="b">
        <v>0</v>
      </c>
      <c r="AS12">
        <v>12</v>
      </c>
      <c r="AT12" t="s">
        <v>327</v>
      </c>
      <c r="AV12" t="s">
        <v>1449</v>
      </c>
      <c r="CRL12">
        <v>12</v>
      </c>
    </row>
    <row r="13" spans="1:48 2508:2508 3621:3621" x14ac:dyDescent="0.25">
      <c r="A13" t="s">
        <v>3323</v>
      </c>
      <c r="B13" t="s">
        <v>302</v>
      </c>
      <c r="C13" t="s">
        <v>62</v>
      </c>
      <c r="D13">
        <v>99999</v>
      </c>
      <c r="F13" s="109">
        <v>10000</v>
      </c>
      <c r="G13" t="b">
        <v>0</v>
      </c>
      <c r="H13" t="s">
        <v>742</v>
      </c>
      <c r="K13" t="s">
        <v>393</v>
      </c>
      <c r="L13" t="s">
        <v>303</v>
      </c>
      <c r="M13" t="s">
        <v>323</v>
      </c>
      <c r="N13" t="s">
        <v>63</v>
      </c>
      <c r="O13" s="110">
        <v>29.9</v>
      </c>
      <c r="R13" s="110">
        <v>234.89</v>
      </c>
      <c r="S13" s="110">
        <v>85</v>
      </c>
      <c r="T13" s="110">
        <v>0</v>
      </c>
      <c r="U13" s="110">
        <v>42.99</v>
      </c>
      <c r="X13">
        <v>36.999999999999972</v>
      </c>
      <c r="Y13">
        <v>69.900000000000006</v>
      </c>
      <c r="Z13">
        <v>69.900000000000006</v>
      </c>
      <c r="AA13">
        <v>0</v>
      </c>
      <c r="AB13" t="s">
        <v>363</v>
      </c>
      <c r="AF13" t="s">
        <v>1594</v>
      </c>
      <c r="AG13" t="s">
        <v>1594</v>
      </c>
      <c r="AH13" t="s">
        <v>1175</v>
      </c>
      <c r="AI13">
        <v>99999</v>
      </c>
      <c r="AJ13">
        <v>99999</v>
      </c>
      <c r="AK13">
        <v>699</v>
      </c>
      <c r="AL13" t="b">
        <v>1</v>
      </c>
      <c r="AM13" t="b">
        <v>1</v>
      </c>
      <c r="AN13" t="b">
        <v>0</v>
      </c>
      <c r="AO13">
        <v>99999</v>
      </c>
      <c r="AP13" t="s">
        <v>64</v>
      </c>
      <c r="AR13" t="b">
        <v>0</v>
      </c>
      <c r="AS13">
        <v>12</v>
      </c>
      <c r="AT13" t="s">
        <v>327</v>
      </c>
      <c r="AV13" t="s">
        <v>1597</v>
      </c>
      <c r="CRL13">
        <v>12</v>
      </c>
    </row>
    <row r="14" spans="1:48 2508:2508 3621:3621" x14ac:dyDescent="0.25">
      <c r="A14" t="s">
        <v>3323</v>
      </c>
      <c r="B14" t="s">
        <v>302</v>
      </c>
      <c r="C14" t="s">
        <v>62</v>
      </c>
      <c r="D14">
        <v>99999</v>
      </c>
      <c r="F14" s="109">
        <v>10000</v>
      </c>
      <c r="G14" t="b">
        <v>0</v>
      </c>
      <c r="H14" t="s">
        <v>742</v>
      </c>
      <c r="K14" t="s">
        <v>393</v>
      </c>
      <c r="L14" t="s">
        <v>303</v>
      </c>
      <c r="M14" t="s">
        <v>323</v>
      </c>
      <c r="N14" t="s">
        <v>63</v>
      </c>
      <c r="O14" s="110">
        <v>39.9</v>
      </c>
      <c r="R14" s="110">
        <v>222.69000000000003</v>
      </c>
      <c r="S14" s="110">
        <v>79.900000000000006</v>
      </c>
      <c r="T14" s="110">
        <v>0</v>
      </c>
      <c r="U14" s="110">
        <v>42.99</v>
      </c>
      <c r="X14">
        <v>29.9</v>
      </c>
      <c r="Y14">
        <v>69.900000000000006</v>
      </c>
      <c r="Z14">
        <v>69.900000000000006</v>
      </c>
      <c r="AA14">
        <v>0</v>
      </c>
      <c r="AB14" t="s">
        <v>363</v>
      </c>
      <c r="AF14" t="s">
        <v>1453</v>
      </c>
      <c r="AG14" t="s">
        <v>1453</v>
      </c>
      <c r="AH14" t="s">
        <v>1175</v>
      </c>
      <c r="AI14">
        <v>99999</v>
      </c>
      <c r="AJ14">
        <v>99999</v>
      </c>
      <c r="AK14">
        <v>699</v>
      </c>
      <c r="AL14" t="b">
        <v>1</v>
      </c>
      <c r="AM14" t="b">
        <v>1</v>
      </c>
      <c r="AN14" t="b">
        <v>0</v>
      </c>
      <c r="AO14">
        <v>99999</v>
      </c>
      <c r="AP14" t="s">
        <v>64</v>
      </c>
      <c r="AR14" t="b">
        <v>0</v>
      </c>
      <c r="AS14">
        <v>12</v>
      </c>
      <c r="AT14" t="s">
        <v>327</v>
      </c>
      <c r="AV14" t="s">
        <v>1456</v>
      </c>
      <c r="CRL14">
        <v>12</v>
      </c>
    </row>
    <row r="15" spans="1:48 2508:2508 3621:3621" x14ac:dyDescent="0.25">
      <c r="A15" t="s">
        <v>3323</v>
      </c>
      <c r="B15" t="s">
        <v>302</v>
      </c>
      <c r="C15" t="s">
        <v>62</v>
      </c>
      <c r="D15">
        <v>99999</v>
      </c>
      <c r="F15" s="109">
        <v>10000</v>
      </c>
      <c r="G15" t="b">
        <v>0</v>
      </c>
      <c r="H15" t="s">
        <v>742</v>
      </c>
      <c r="K15" t="s">
        <v>393</v>
      </c>
      <c r="L15" t="s">
        <v>303</v>
      </c>
      <c r="M15" t="s">
        <v>323</v>
      </c>
      <c r="N15" t="s">
        <v>63</v>
      </c>
      <c r="O15" s="110">
        <v>39.9</v>
      </c>
      <c r="R15" s="110">
        <v>234.89</v>
      </c>
      <c r="S15" s="110">
        <v>85</v>
      </c>
      <c r="T15" s="110">
        <v>0</v>
      </c>
      <c r="U15" s="110">
        <v>42.99</v>
      </c>
      <c r="X15">
        <v>36.999999999999972</v>
      </c>
      <c r="Y15">
        <v>69.900000000000006</v>
      </c>
      <c r="Z15">
        <v>69.900000000000006</v>
      </c>
      <c r="AA15">
        <v>0</v>
      </c>
      <c r="AB15" t="s">
        <v>363</v>
      </c>
      <c r="AF15" t="s">
        <v>1601</v>
      </c>
      <c r="AG15" t="s">
        <v>1601</v>
      </c>
      <c r="AH15" t="s">
        <v>1175</v>
      </c>
      <c r="AI15">
        <v>99999</v>
      </c>
      <c r="AJ15">
        <v>99999</v>
      </c>
      <c r="AK15">
        <v>699</v>
      </c>
      <c r="AL15" t="b">
        <v>1</v>
      </c>
      <c r="AM15" t="b">
        <v>1</v>
      </c>
      <c r="AN15" t="b">
        <v>0</v>
      </c>
      <c r="AO15">
        <v>99999</v>
      </c>
      <c r="AP15" t="s">
        <v>64</v>
      </c>
      <c r="AR15" t="b">
        <v>0</v>
      </c>
      <c r="AS15">
        <v>12</v>
      </c>
      <c r="AT15" t="s">
        <v>327</v>
      </c>
      <c r="AV15" t="s">
        <v>1604</v>
      </c>
      <c r="CRL15">
        <v>12</v>
      </c>
    </row>
    <row r="16" spans="1:48 2508:2508 3621:3621" x14ac:dyDescent="0.25">
      <c r="A16" t="s">
        <v>3323</v>
      </c>
      <c r="B16" t="s">
        <v>302</v>
      </c>
      <c r="C16" t="s">
        <v>62</v>
      </c>
      <c r="D16">
        <v>99999</v>
      </c>
      <c r="F16" s="109">
        <v>10000</v>
      </c>
      <c r="G16" t="b">
        <v>0</v>
      </c>
      <c r="H16" t="s">
        <v>742</v>
      </c>
      <c r="K16" t="s">
        <v>393</v>
      </c>
      <c r="L16" t="s">
        <v>303</v>
      </c>
      <c r="M16" t="s">
        <v>323</v>
      </c>
      <c r="N16" t="s">
        <v>63</v>
      </c>
      <c r="O16" s="110">
        <v>49.9</v>
      </c>
      <c r="R16" s="110">
        <v>264.79000000000002</v>
      </c>
      <c r="S16" s="110">
        <v>130</v>
      </c>
      <c r="T16" s="110">
        <v>0</v>
      </c>
      <c r="U16" s="110">
        <v>34.99</v>
      </c>
      <c r="X16">
        <v>29.9</v>
      </c>
      <c r="Y16">
        <v>69.900000000000006</v>
      </c>
      <c r="Z16">
        <v>69.900000000000006</v>
      </c>
      <c r="AA16">
        <v>0</v>
      </c>
      <c r="AB16" t="s">
        <v>363</v>
      </c>
      <c r="AF16" t="s">
        <v>2814</v>
      </c>
      <c r="AG16" t="s">
        <v>2814</v>
      </c>
      <c r="AH16" t="s">
        <v>1175</v>
      </c>
      <c r="AI16">
        <v>99999</v>
      </c>
      <c r="AJ16">
        <v>99999</v>
      </c>
      <c r="AK16">
        <v>699</v>
      </c>
      <c r="AL16" t="b">
        <v>1</v>
      </c>
      <c r="AM16" t="b">
        <v>1</v>
      </c>
      <c r="AN16" t="b">
        <v>0</v>
      </c>
      <c r="AO16">
        <v>99999</v>
      </c>
      <c r="AP16" t="s">
        <v>64</v>
      </c>
      <c r="AR16" t="b">
        <v>0</v>
      </c>
      <c r="AS16">
        <v>12</v>
      </c>
      <c r="AT16" t="s">
        <v>327</v>
      </c>
      <c r="AV16" t="s">
        <v>2817</v>
      </c>
      <c r="CRL16">
        <v>12</v>
      </c>
    </row>
    <row r="17" spans="1:48 2508:2508" x14ac:dyDescent="0.25">
      <c r="A17" t="s">
        <v>3323</v>
      </c>
      <c r="B17" t="s">
        <v>302</v>
      </c>
      <c r="C17" t="s">
        <v>62</v>
      </c>
      <c r="D17">
        <v>99999</v>
      </c>
      <c r="F17" s="109">
        <v>10000</v>
      </c>
      <c r="G17" t="b">
        <v>0</v>
      </c>
      <c r="H17" t="s">
        <v>742</v>
      </c>
      <c r="K17" t="s">
        <v>393</v>
      </c>
      <c r="L17" t="s">
        <v>303</v>
      </c>
      <c r="M17" t="s">
        <v>323</v>
      </c>
      <c r="N17" t="s">
        <v>63</v>
      </c>
      <c r="O17" s="110">
        <v>49.9</v>
      </c>
      <c r="R17" s="110">
        <v>272.79000000000002</v>
      </c>
      <c r="S17" s="110">
        <v>130</v>
      </c>
      <c r="T17" s="110">
        <v>0</v>
      </c>
      <c r="U17" s="110">
        <v>42.99</v>
      </c>
      <c r="X17">
        <v>29.9</v>
      </c>
      <c r="Y17">
        <v>69.900000000000006</v>
      </c>
      <c r="Z17">
        <v>69.900000000000006</v>
      </c>
      <c r="AA17">
        <v>0</v>
      </c>
      <c r="AB17" t="s">
        <v>363</v>
      </c>
      <c r="AF17" t="s">
        <v>2955</v>
      </c>
      <c r="AG17" t="s">
        <v>2955</v>
      </c>
      <c r="AH17" t="s">
        <v>1175</v>
      </c>
      <c r="AI17">
        <v>99999</v>
      </c>
      <c r="AJ17">
        <v>99999</v>
      </c>
      <c r="AK17">
        <v>699</v>
      </c>
      <c r="AL17" t="b">
        <v>1</v>
      </c>
      <c r="AM17" t="b">
        <v>1</v>
      </c>
      <c r="AN17" t="b">
        <v>0</v>
      </c>
      <c r="AO17">
        <v>99999</v>
      </c>
      <c r="AP17" t="s">
        <v>64</v>
      </c>
      <c r="AR17" t="b">
        <v>0</v>
      </c>
      <c r="AS17">
        <v>12</v>
      </c>
      <c r="AT17" t="s">
        <v>327</v>
      </c>
      <c r="AV17" t="s">
        <v>2958</v>
      </c>
      <c r="CRL17">
        <v>12</v>
      </c>
    </row>
    <row r="18" spans="1:48 2508:2508" x14ac:dyDescent="0.25">
      <c r="A18" t="s">
        <v>3323</v>
      </c>
      <c r="B18" t="s">
        <v>302</v>
      </c>
      <c r="C18" t="s">
        <v>62</v>
      </c>
      <c r="D18">
        <v>99999</v>
      </c>
      <c r="F18" s="109">
        <v>10000</v>
      </c>
      <c r="G18" t="b">
        <v>0</v>
      </c>
      <c r="H18" t="s">
        <v>742</v>
      </c>
      <c r="K18" t="s">
        <v>393</v>
      </c>
      <c r="L18" t="s">
        <v>303</v>
      </c>
      <c r="M18" t="s">
        <v>323</v>
      </c>
      <c r="N18" t="s">
        <v>63</v>
      </c>
      <c r="O18" s="110">
        <v>49.9</v>
      </c>
      <c r="R18" s="110">
        <v>279.89</v>
      </c>
      <c r="S18" s="110">
        <v>130</v>
      </c>
      <c r="T18" s="110">
        <v>0</v>
      </c>
      <c r="U18" s="110">
        <v>42.99</v>
      </c>
      <c r="X18">
        <v>36.999999999999972</v>
      </c>
      <c r="Y18">
        <v>69.900000000000006</v>
      </c>
      <c r="Z18">
        <v>69.900000000000006</v>
      </c>
      <c r="AA18">
        <v>0</v>
      </c>
      <c r="AB18" t="s">
        <v>363</v>
      </c>
      <c r="AF18" t="s">
        <v>3029</v>
      </c>
      <c r="AG18" t="s">
        <v>3029</v>
      </c>
      <c r="AH18" t="s">
        <v>1175</v>
      </c>
      <c r="AI18">
        <v>99999</v>
      </c>
      <c r="AJ18">
        <v>99999</v>
      </c>
      <c r="AK18">
        <v>699</v>
      </c>
      <c r="AL18" t="b">
        <v>1</v>
      </c>
      <c r="AM18" t="b">
        <v>1</v>
      </c>
      <c r="AN18" t="b">
        <v>0</v>
      </c>
      <c r="AO18">
        <v>99999</v>
      </c>
      <c r="AP18" t="s">
        <v>64</v>
      </c>
      <c r="AR18" t="b">
        <v>0</v>
      </c>
      <c r="AS18">
        <v>12</v>
      </c>
      <c r="AT18" t="s">
        <v>327</v>
      </c>
      <c r="AV18" t="s">
        <v>3032</v>
      </c>
      <c r="CRL18">
        <v>12</v>
      </c>
    </row>
    <row r="19" spans="1:48 2508:2508" x14ac:dyDescent="0.25">
      <c r="A19" t="s">
        <v>3323</v>
      </c>
      <c r="B19" t="s">
        <v>302</v>
      </c>
      <c r="C19" t="s">
        <v>62</v>
      </c>
      <c r="D19">
        <v>99999</v>
      </c>
      <c r="F19" s="109">
        <v>10000</v>
      </c>
      <c r="G19" t="b">
        <v>0</v>
      </c>
      <c r="H19" t="s">
        <v>742</v>
      </c>
      <c r="K19" t="s">
        <v>364</v>
      </c>
      <c r="L19" t="s">
        <v>303</v>
      </c>
      <c r="M19" t="s">
        <v>323</v>
      </c>
      <c r="N19" t="s">
        <v>63</v>
      </c>
      <c r="O19" s="110">
        <v>29.9</v>
      </c>
      <c r="R19" s="110">
        <v>202.69000000000003</v>
      </c>
      <c r="S19" s="110">
        <v>79.900000000000006</v>
      </c>
      <c r="T19" s="110">
        <v>0</v>
      </c>
      <c r="U19" s="110">
        <v>42.99</v>
      </c>
      <c r="X19">
        <v>29.9</v>
      </c>
      <c r="Y19">
        <v>49.9</v>
      </c>
      <c r="Z19">
        <v>49.9</v>
      </c>
      <c r="AA19">
        <v>0</v>
      </c>
      <c r="AB19" t="s">
        <v>363</v>
      </c>
      <c r="AF19" t="s">
        <v>1446</v>
      </c>
      <c r="AG19" t="s">
        <v>1446</v>
      </c>
      <c r="AH19" t="s">
        <v>1175</v>
      </c>
      <c r="AI19">
        <v>99999</v>
      </c>
      <c r="AJ19">
        <v>99999</v>
      </c>
      <c r="AK19">
        <v>699</v>
      </c>
      <c r="AL19" t="b">
        <v>1</v>
      </c>
      <c r="AM19" t="b">
        <v>1</v>
      </c>
      <c r="AN19" t="b">
        <v>0</v>
      </c>
      <c r="AO19">
        <v>99999</v>
      </c>
      <c r="AP19" t="s">
        <v>64</v>
      </c>
      <c r="AR19" t="b">
        <v>0</v>
      </c>
      <c r="AS19">
        <v>12</v>
      </c>
      <c r="AT19" t="s">
        <v>327</v>
      </c>
      <c r="AV19" t="s">
        <v>1447</v>
      </c>
      <c r="CRL19">
        <v>12</v>
      </c>
    </row>
    <row r="20" spans="1:48 2508:2508" x14ac:dyDescent="0.25">
      <c r="A20" t="s">
        <v>3323</v>
      </c>
      <c r="B20" t="s">
        <v>302</v>
      </c>
      <c r="C20" t="s">
        <v>62</v>
      </c>
      <c r="D20">
        <v>99999</v>
      </c>
      <c r="F20" s="109">
        <v>10000</v>
      </c>
      <c r="G20" t="b">
        <v>0</v>
      </c>
      <c r="H20" t="s">
        <v>742</v>
      </c>
      <c r="K20" t="s">
        <v>364</v>
      </c>
      <c r="L20" t="s">
        <v>303</v>
      </c>
      <c r="M20" t="s">
        <v>323</v>
      </c>
      <c r="N20" t="s">
        <v>63</v>
      </c>
      <c r="O20" s="110">
        <v>29.9</v>
      </c>
      <c r="R20" s="110">
        <v>214.88999999999996</v>
      </c>
      <c r="S20" s="110">
        <v>85</v>
      </c>
      <c r="T20" s="110">
        <v>0</v>
      </c>
      <c r="U20" s="110">
        <v>42.99</v>
      </c>
      <c r="X20">
        <v>36.999999999999972</v>
      </c>
      <c r="Y20">
        <v>49.9</v>
      </c>
      <c r="Z20">
        <v>49.9</v>
      </c>
      <c r="AA20">
        <v>0</v>
      </c>
      <c r="AB20" t="s">
        <v>363</v>
      </c>
      <c r="AF20" t="s">
        <v>1594</v>
      </c>
      <c r="AG20" t="s">
        <v>1594</v>
      </c>
      <c r="AH20" t="s">
        <v>1175</v>
      </c>
      <c r="AI20">
        <v>99999</v>
      </c>
      <c r="AJ20">
        <v>99999</v>
      </c>
      <c r="AK20">
        <v>699</v>
      </c>
      <c r="AL20" t="b">
        <v>1</v>
      </c>
      <c r="AM20" t="b">
        <v>1</v>
      </c>
      <c r="AN20" t="b">
        <v>0</v>
      </c>
      <c r="AO20">
        <v>99999</v>
      </c>
      <c r="AP20" t="s">
        <v>64</v>
      </c>
      <c r="AR20" t="b">
        <v>0</v>
      </c>
      <c r="AS20">
        <v>12</v>
      </c>
      <c r="AT20" t="s">
        <v>327</v>
      </c>
      <c r="AV20" t="s">
        <v>1595</v>
      </c>
      <c r="CRL20">
        <v>12</v>
      </c>
    </row>
    <row r="21" spans="1:48 2508:2508" x14ac:dyDescent="0.25">
      <c r="A21" t="s">
        <v>3323</v>
      </c>
      <c r="B21" t="s">
        <v>302</v>
      </c>
      <c r="C21" t="s">
        <v>62</v>
      </c>
      <c r="D21">
        <v>99999</v>
      </c>
      <c r="F21" s="109">
        <v>10000</v>
      </c>
      <c r="G21" t="b">
        <v>0</v>
      </c>
      <c r="H21" t="s">
        <v>742</v>
      </c>
      <c r="K21" t="s">
        <v>364</v>
      </c>
      <c r="L21" t="s">
        <v>303</v>
      </c>
      <c r="M21" t="s">
        <v>323</v>
      </c>
      <c r="N21" t="s">
        <v>63</v>
      </c>
      <c r="O21" s="110">
        <v>39.9</v>
      </c>
      <c r="R21" s="110">
        <v>202.69000000000003</v>
      </c>
      <c r="S21" s="110">
        <v>79.900000000000006</v>
      </c>
      <c r="T21" s="110">
        <v>0</v>
      </c>
      <c r="U21" s="110">
        <v>42.99</v>
      </c>
      <c r="X21">
        <v>29.9</v>
      </c>
      <c r="Y21">
        <v>49.9</v>
      </c>
      <c r="Z21">
        <v>49.9</v>
      </c>
      <c r="AA21">
        <v>0</v>
      </c>
      <c r="AB21" t="s">
        <v>363</v>
      </c>
      <c r="AF21" t="s">
        <v>1453</v>
      </c>
      <c r="AG21" t="s">
        <v>1453</v>
      </c>
      <c r="AH21" t="s">
        <v>1175</v>
      </c>
      <c r="AI21">
        <v>99999</v>
      </c>
      <c r="AJ21">
        <v>99999</v>
      </c>
      <c r="AK21">
        <v>699</v>
      </c>
      <c r="AL21" t="b">
        <v>1</v>
      </c>
      <c r="AM21" t="b">
        <v>1</v>
      </c>
      <c r="AN21" t="b">
        <v>0</v>
      </c>
      <c r="AO21">
        <v>99999</v>
      </c>
      <c r="AP21" t="s">
        <v>64</v>
      </c>
      <c r="AR21" t="b">
        <v>0</v>
      </c>
      <c r="AS21">
        <v>12</v>
      </c>
      <c r="AT21" t="s">
        <v>327</v>
      </c>
      <c r="AV21" t="s">
        <v>1454</v>
      </c>
      <c r="CRL21">
        <v>12</v>
      </c>
    </row>
    <row r="22" spans="1:48 2508:2508" x14ac:dyDescent="0.25">
      <c r="A22" t="s">
        <v>3323</v>
      </c>
      <c r="B22" t="s">
        <v>302</v>
      </c>
      <c r="C22" t="s">
        <v>62</v>
      </c>
      <c r="D22">
        <v>99999</v>
      </c>
      <c r="F22" s="109">
        <v>10000</v>
      </c>
      <c r="G22" t="b">
        <v>0</v>
      </c>
      <c r="H22" t="s">
        <v>742</v>
      </c>
      <c r="K22" t="s">
        <v>364</v>
      </c>
      <c r="L22" t="s">
        <v>303</v>
      </c>
      <c r="M22" t="s">
        <v>323</v>
      </c>
      <c r="N22" t="s">
        <v>63</v>
      </c>
      <c r="O22" s="110">
        <v>39.9</v>
      </c>
      <c r="R22" s="110">
        <v>214.88999999999996</v>
      </c>
      <c r="S22" s="110">
        <v>85</v>
      </c>
      <c r="T22" s="110">
        <v>0</v>
      </c>
      <c r="U22" s="110">
        <v>42.99</v>
      </c>
      <c r="X22">
        <v>36.999999999999972</v>
      </c>
      <c r="Y22">
        <v>49.9</v>
      </c>
      <c r="Z22">
        <v>49.9</v>
      </c>
      <c r="AA22">
        <v>0</v>
      </c>
      <c r="AB22" t="s">
        <v>363</v>
      </c>
      <c r="AF22" t="s">
        <v>1601</v>
      </c>
      <c r="AG22" t="s">
        <v>1601</v>
      </c>
      <c r="AH22" t="s">
        <v>1175</v>
      </c>
      <c r="AI22">
        <v>99999</v>
      </c>
      <c r="AJ22">
        <v>99999</v>
      </c>
      <c r="AK22">
        <v>699</v>
      </c>
      <c r="AL22" t="b">
        <v>1</v>
      </c>
      <c r="AM22" t="b">
        <v>1</v>
      </c>
      <c r="AN22" t="b">
        <v>0</v>
      </c>
      <c r="AO22">
        <v>99999</v>
      </c>
      <c r="AP22" t="s">
        <v>64</v>
      </c>
      <c r="AR22" t="b">
        <v>0</v>
      </c>
      <c r="AS22">
        <v>12</v>
      </c>
      <c r="AT22" t="s">
        <v>327</v>
      </c>
      <c r="AV22" t="s">
        <v>1602</v>
      </c>
      <c r="CRL22">
        <v>12</v>
      </c>
    </row>
    <row r="23" spans="1:48 2508:2508" x14ac:dyDescent="0.25">
      <c r="A23" t="s">
        <v>3323</v>
      </c>
      <c r="B23" t="s">
        <v>302</v>
      </c>
      <c r="C23" t="s">
        <v>62</v>
      </c>
      <c r="D23">
        <v>99999</v>
      </c>
      <c r="F23" s="109">
        <v>10000</v>
      </c>
      <c r="G23" t="b">
        <v>0</v>
      </c>
      <c r="H23" t="s">
        <v>742</v>
      </c>
      <c r="K23" t="s">
        <v>364</v>
      </c>
      <c r="L23" t="s">
        <v>303</v>
      </c>
      <c r="M23" t="s">
        <v>323</v>
      </c>
      <c r="N23" t="s">
        <v>63</v>
      </c>
      <c r="O23" s="110">
        <v>49.9</v>
      </c>
      <c r="R23" s="110">
        <v>244.79</v>
      </c>
      <c r="S23" s="110">
        <v>130</v>
      </c>
      <c r="T23" s="110">
        <v>0</v>
      </c>
      <c r="U23" s="110">
        <v>34.99</v>
      </c>
      <c r="X23">
        <v>29.9</v>
      </c>
      <c r="Y23">
        <v>49.9</v>
      </c>
      <c r="Z23">
        <v>49.9</v>
      </c>
      <c r="AA23">
        <v>0</v>
      </c>
      <c r="AB23" t="s">
        <v>363</v>
      </c>
      <c r="AF23" t="s">
        <v>2814</v>
      </c>
      <c r="AG23" t="s">
        <v>2814</v>
      </c>
      <c r="AH23" t="s">
        <v>1175</v>
      </c>
      <c r="AI23">
        <v>99999</v>
      </c>
      <c r="AJ23">
        <v>99999</v>
      </c>
      <c r="AK23">
        <v>699</v>
      </c>
      <c r="AL23" t="b">
        <v>1</v>
      </c>
      <c r="AM23" t="b">
        <v>1</v>
      </c>
      <c r="AN23" t="b">
        <v>0</v>
      </c>
      <c r="AO23">
        <v>99999</v>
      </c>
      <c r="AP23" t="s">
        <v>64</v>
      </c>
      <c r="AR23" t="b">
        <v>0</v>
      </c>
      <c r="AS23">
        <v>12</v>
      </c>
      <c r="AT23" t="s">
        <v>327</v>
      </c>
      <c r="AV23" t="s">
        <v>2815</v>
      </c>
      <c r="CRL23">
        <v>12</v>
      </c>
    </row>
    <row r="24" spans="1:48 2508:2508" x14ac:dyDescent="0.25">
      <c r="A24" t="s">
        <v>3323</v>
      </c>
      <c r="B24" t="s">
        <v>302</v>
      </c>
      <c r="C24" t="s">
        <v>62</v>
      </c>
      <c r="D24">
        <v>99999</v>
      </c>
      <c r="F24" s="109">
        <v>10000</v>
      </c>
      <c r="G24" t="b">
        <v>0</v>
      </c>
      <c r="H24" t="s">
        <v>742</v>
      </c>
      <c r="K24" t="s">
        <v>364</v>
      </c>
      <c r="L24" t="s">
        <v>303</v>
      </c>
      <c r="M24" t="s">
        <v>323</v>
      </c>
      <c r="N24" t="s">
        <v>63</v>
      </c>
      <c r="O24" s="110">
        <v>49.9</v>
      </c>
      <c r="R24" s="110">
        <v>252.79</v>
      </c>
      <c r="S24" s="110">
        <v>130</v>
      </c>
      <c r="T24" s="110">
        <v>0</v>
      </c>
      <c r="U24" s="110">
        <v>42.99</v>
      </c>
      <c r="X24">
        <v>29.9</v>
      </c>
      <c r="Y24">
        <v>49.9</v>
      </c>
      <c r="Z24">
        <v>49.9</v>
      </c>
      <c r="AA24">
        <v>0</v>
      </c>
      <c r="AB24" t="s">
        <v>363</v>
      </c>
      <c r="AF24" t="s">
        <v>2955</v>
      </c>
      <c r="AG24" t="s">
        <v>2955</v>
      </c>
      <c r="AH24" t="s">
        <v>1175</v>
      </c>
      <c r="AI24">
        <v>99999</v>
      </c>
      <c r="AJ24">
        <v>99999</v>
      </c>
      <c r="AK24">
        <v>699</v>
      </c>
      <c r="AL24" t="b">
        <v>1</v>
      </c>
      <c r="AM24" t="b">
        <v>1</v>
      </c>
      <c r="AN24" t="b">
        <v>0</v>
      </c>
      <c r="AO24">
        <v>99999</v>
      </c>
      <c r="AP24" t="s">
        <v>64</v>
      </c>
      <c r="AR24" t="b">
        <v>0</v>
      </c>
      <c r="AS24">
        <v>12</v>
      </c>
      <c r="AT24" t="s">
        <v>327</v>
      </c>
      <c r="AV24" t="s">
        <v>2956</v>
      </c>
      <c r="CRL24">
        <v>12</v>
      </c>
    </row>
    <row r="25" spans="1:48 2508:2508" x14ac:dyDescent="0.25">
      <c r="A25" t="s">
        <v>3323</v>
      </c>
      <c r="B25" t="s">
        <v>302</v>
      </c>
      <c r="C25" t="s">
        <v>62</v>
      </c>
      <c r="D25">
        <v>99999</v>
      </c>
      <c r="F25" s="109">
        <v>10000</v>
      </c>
      <c r="G25" t="b">
        <v>0</v>
      </c>
      <c r="H25" t="s">
        <v>742</v>
      </c>
      <c r="K25" t="s">
        <v>364</v>
      </c>
      <c r="L25" t="s">
        <v>303</v>
      </c>
      <c r="M25" t="s">
        <v>323</v>
      </c>
      <c r="N25" t="s">
        <v>63</v>
      </c>
      <c r="O25" s="110">
        <v>49.9</v>
      </c>
      <c r="R25" s="110">
        <v>259.89</v>
      </c>
      <c r="S25" s="110">
        <v>130</v>
      </c>
      <c r="T25" s="110">
        <v>0</v>
      </c>
      <c r="U25" s="110">
        <v>42.99</v>
      </c>
      <c r="X25">
        <v>36.999999999999972</v>
      </c>
      <c r="Y25">
        <v>49.9</v>
      </c>
      <c r="Z25">
        <v>49.9</v>
      </c>
      <c r="AA25">
        <v>0</v>
      </c>
      <c r="AB25" t="s">
        <v>363</v>
      </c>
      <c r="AF25" t="s">
        <v>3029</v>
      </c>
      <c r="AG25" t="s">
        <v>3029</v>
      </c>
      <c r="AH25" t="s">
        <v>1175</v>
      </c>
      <c r="AI25">
        <v>99999</v>
      </c>
      <c r="AJ25">
        <v>99999</v>
      </c>
      <c r="AK25">
        <v>699</v>
      </c>
      <c r="AL25" t="b">
        <v>1</v>
      </c>
      <c r="AM25" t="b">
        <v>1</v>
      </c>
      <c r="AN25" t="b">
        <v>0</v>
      </c>
      <c r="AO25">
        <v>99999</v>
      </c>
      <c r="AP25" t="s">
        <v>64</v>
      </c>
      <c r="AR25" t="b">
        <v>0</v>
      </c>
      <c r="AS25">
        <v>12</v>
      </c>
      <c r="AT25" t="s">
        <v>327</v>
      </c>
      <c r="AV25" t="s">
        <v>3030</v>
      </c>
      <c r="CRL25">
        <v>12</v>
      </c>
    </row>
    <row r="26" spans="1:48 2508:2508" x14ac:dyDescent="0.25">
      <c r="A26" t="s">
        <v>3323</v>
      </c>
      <c r="B26" t="s">
        <v>302</v>
      </c>
      <c r="C26" t="s">
        <v>62</v>
      </c>
      <c r="D26">
        <v>99999</v>
      </c>
      <c r="F26" s="109">
        <v>10000</v>
      </c>
      <c r="G26" t="b">
        <v>0</v>
      </c>
      <c r="H26" t="s">
        <v>742</v>
      </c>
      <c r="K26" t="s">
        <v>379</v>
      </c>
      <c r="L26" t="s">
        <v>303</v>
      </c>
      <c r="M26" t="s">
        <v>323</v>
      </c>
      <c r="N26" t="s">
        <v>63</v>
      </c>
      <c r="O26" s="110">
        <v>29.9</v>
      </c>
      <c r="R26" s="110">
        <v>212.69000000000003</v>
      </c>
      <c r="S26" s="110">
        <v>79.900000000000006</v>
      </c>
      <c r="T26" s="110">
        <v>0</v>
      </c>
      <c r="U26" s="110">
        <v>42.99</v>
      </c>
      <c r="X26">
        <v>29.9</v>
      </c>
      <c r="Y26">
        <v>59.9</v>
      </c>
      <c r="Z26">
        <v>59.9</v>
      </c>
      <c r="AA26">
        <v>0</v>
      </c>
      <c r="AB26" t="s">
        <v>363</v>
      </c>
      <c r="AF26" t="s">
        <v>1446</v>
      </c>
      <c r="AG26" t="s">
        <v>1446</v>
      </c>
      <c r="AH26" t="s">
        <v>1175</v>
      </c>
      <c r="AI26">
        <v>99999</v>
      </c>
      <c r="AJ26">
        <v>99999</v>
      </c>
      <c r="AK26">
        <v>699</v>
      </c>
      <c r="AL26" t="b">
        <v>1</v>
      </c>
      <c r="AM26" t="b">
        <v>1</v>
      </c>
      <c r="AN26" t="b">
        <v>0</v>
      </c>
      <c r="AO26">
        <v>99999</v>
      </c>
      <c r="AP26" t="s">
        <v>64</v>
      </c>
      <c r="AR26" t="b">
        <v>0</v>
      </c>
      <c r="AS26">
        <v>12</v>
      </c>
      <c r="AT26" t="s">
        <v>327</v>
      </c>
      <c r="AV26" t="s">
        <v>1448</v>
      </c>
      <c r="CRL26">
        <v>12</v>
      </c>
    </row>
    <row r="27" spans="1:48 2508:2508" x14ac:dyDescent="0.25">
      <c r="A27" t="s">
        <v>3323</v>
      </c>
      <c r="B27" t="s">
        <v>302</v>
      </c>
      <c r="C27" t="s">
        <v>62</v>
      </c>
      <c r="D27">
        <v>99999</v>
      </c>
      <c r="F27" s="109">
        <v>10000</v>
      </c>
      <c r="G27" t="b">
        <v>0</v>
      </c>
      <c r="H27" t="s">
        <v>742</v>
      </c>
      <c r="K27" t="s">
        <v>379</v>
      </c>
      <c r="L27" t="s">
        <v>303</v>
      </c>
      <c r="M27" t="s">
        <v>323</v>
      </c>
      <c r="N27" t="s">
        <v>63</v>
      </c>
      <c r="O27" s="110">
        <v>29.9</v>
      </c>
      <c r="R27" s="110">
        <v>224.88999999999996</v>
      </c>
      <c r="S27" s="110">
        <v>85</v>
      </c>
      <c r="T27" s="110">
        <v>0</v>
      </c>
      <c r="U27" s="110">
        <v>42.99</v>
      </c>
      <c r="X27">
        <v>36.999999999999972</v>
      </c>
      <c r="Y27">
        <v>59.9</v>
      </c>
      <c r="Z27">
        <v>59.9</v>
      </c>
      <c r="AA27">
        <v>0</v>
      </c>
      <c r="AB27" t="s">
        <v>363</v>
      </c>
      <c r="AF27" t="s">
        <v>1594</v>
      </c>
      <c r="AG27" t="s">
        <v>1594</v>
      </c>
      <c r="AH27" t="s">
        <v>1175</v>
      </c>
      <c r="AI27">
        <v>99999</v>
      </c>
      <c r="AJ27">
        <v>99999</v>
      </c>
      <c r="AK27">
        <v>699</v>
      </c>
      <c r="AL27" t="b">
        <v>1</v>
      </c>
      <c r="AM27" t="b">
        <v>1</v>
      </c>
      <c r="AN27" t="b">
        <v>0</v>
      </c>
      <c r="AO27">
        <v>99999</v>
      </c>
      <c r="AP27" t="s">
        <v>64</v>
      </c>
      <c r="AR27" t="b">
        <v>0</v>
      </c>
      <c r="AS27">
        <v>12</v>
      </c>
      <c r="AT27" t="s">
        <v>327</v>
      </c>
      <c r="AV27" t="s">
        <v>1596</v>
      </c>
      <c r="CRL27">
        <v>12</v>
      </c>
    </row>
    <row r="28" spans="1:48 2508:2508" x14ac:dyDescent="0.25">
      <c r="A28" t="s">
        <v>3323</v>
      </c>
      <c r="B28" t="s">
        <v>302</v>
      </c>
      <c r="C28" t="s">
        <v>62</v>
      </c>
      <c r="D28">
        <v>99999</v>
      </c>
      <c r="F28" s="109">
        <v>10000</v>
      </c>
      <c r="G28" t="b">
        <v>0</v>
      </c>
      <c r="H28" t="s">
        <v>742</v>
      </c>
      <c r="K28" t="s">
        <v>379</v>
      </c>
      <c r="L28" t="s">
        <v>303</v>
      </c>
      <c r="M28" t="s">
        <v>323</v>
      </c>
      <c r="N28" t="s">
        <v>63</v>
      </c>
      <c r="O28" s="110">
        <v>39.9</v>
      </c>
      <c r="R28" s="110">
        <v>212.69000000000003</v>
      </c>
      <c r="S28" s="110">
        <v>79.900000000000006</v>
      </c>
      <c r="T28" s="110">
        <v>0</v>
      </c>
      <c r="U28" s="110">
        <v>42.99</v>
      </c>
      <c r="X28">
        <v>29.9</v>
      </c>
      <c r="Y28">
        <v>59.9</v>
      </c>
      <c r="Z28">
        <v>59.9</v>
      </c>
      <c r="AA28">
        <v>0</v>
      </c>
      <c r="AB28" t="s">
        <v>363</v>
      </c>
      <c r="AF28" t="s">
        <v>1453</v>
      </c>
      <c r="AG28" t="s">
        <v>1453</v>
      </c>
      <c r="AH28" t="s">
        <v>1175</v>
      </c>
      <c r="AI28">
        <v>99999</v>
      </c>
      <c r="AJ28">
        <v>99999</v>
      </c>
      <c r="AK28">
        <v>699</v>
      </c>
      <c r="AL28" t="b">
        <v>1</v>
      </c>
      <c r="AM28" t="b">
        <v>1</v>
      </c>
      <c r="AN28" t="b">
        <v>0</v>
      </c>
      <c r="AO28">
        <v>99999</v>
      </c>
      <c r="AP28" t="s">
        <v>64</v>
      </c>
      <c r="AR28" t="b">
        <v>0</v>
      </c>
      <c r="AS28">
        <v>12</v>
      </c>
      <c r="AT28" t="s">
        <v>327</v>
      </c>
      <c r="AV28" t="s">
        <v>1455</v>
      </c>
      <c r="CRL28">
        <v>12</v>
      </c>
    </row>
    <row r="29" spans="1:48 2508:2508" x14ac:dyDescent="0.25">
      <c r="A29" t="s">
        <v>3323</v>
      </c>
      <c r="B29" t="s">
        <v>302</v>
      </c>
      <c r="C29" t="s">
        <v>62</v>
      </c>
      <c r="D29">
        <v>99999</v>
      </c>
      <c r="F29" s="109">
        <v>10000</v>
      </c>
      <c r="G29" t="b">
        <v>0</v>
      </c>
      <c r="H29" t="s">
        <v>742</v>
      </c>
      <c r="K29" t="s">
        <v>379</v>
      </c>
      <c r="L29" t="s">
        <v>303</v>
      </c>
      <c r="M29" t="s">
        <v>323</v>
      </c>
      <c r="N29" t="s">
        <v>63</v>
      </c>
      <c r="O29" s="110">
        <v>39.9</v>
      </c>
      <c r="R29" s="110">
        <v>224.88999999999996</v>
      </c>
      <c r="S29" s="110">
        <v>85</v>
      </c>
      <c r="T29" s="110">
        <v>0</v>
      </c>
      <c r="U29" s="110">
        <v>42.99</v>
      </c>
      <c r="X29">
        <v>36.999999999999972</v>
      </c>
      <c r="Y29">
        <v>59.9</v>
      </c>
      <c r="Z29">
        <v>59.9</v>
      </c>
      <c r="AA29">
        <v>0</v>
      </c>
      <c r="AB29" t="s">
        <v>363</v>
      </c>
      <c r="AF29" t="s">
        <v>1601</v>
      </c>
      <c r="AG29" t="s">
        <v>1601</v>
      </c>
      <c r="AH29" t="s">
        <v>1175</v>
      </c>
      <c r="AI29">
        <v>99999</v>
      </c>
      <c r="AJ29">
        <v>99999</v>
      </c>
      <c r="AK29">
        <v>699</v>
      </c>
      <c r="AL29" t="b">
        <v>1</v>
      </c>
      <c r="AM29" t="b">
        <v>1</v>
      </c>
      <c r="AN29" t="b">
        <v>0</v>
      </c>
      <c r="AO29">
        <v>99999</v>
      </c>
      <c r="AP29" t="s">
        <v>64</v>
      </c>
      <c r="AR29" t="b">
        <v>0</v>
      </c>
      <c r="AS29">
        <v>12</v>
      </c>
      <c r="AT29" t="s">
        <v>327</v>
      </c>
      <c r="AV29" t="s">
        <v>1603</v>
      </c>
      <c r="CRL29">
        <v>12</v>
      </c>
    </row>
    <row r="30" spans="1:48 2508:2508" x14ac:dyDescent="0.25">
      <c r="A30" t="s">
        <v>3323</v>
      </c>
      <c r="B30" t="s">
        <v>302</v>
      </c>
      <c r="C30" t="s">
        <v>62</v>
      </c>
      <c r="D30">
        <v>99999</v>
      </c>
      <c r="F30" s="109">
        <v>10000</v>
      </c>
      <c r="G30" t="b">
        <v>0</v>
      </c>
      <c r="H30" t="s">
        <v>742</v>
      </c>
      <c r="K30" t="s">
        <v>379</v>
      </c>
      <c r="L30" t="s">
        <v>303</v>
      </c>
      <c r="M30" t="s">
        <v>323</v>
      </c>
      <c r="N30" t="s">
        <v>63</v>
      </c>
      <c r="O30" s="110">
        <v>49.9</v>
      </c>
      <c r="R30" s="110">
        <v>254.79</v>
      </c>
      <c r="S30" s="110">
        <v>130</v>
      </c>
      <c r="T30" s="110">
        <v>0</v>
      </c>
      <c r="U30" s="110">
        <v>34.99</v>
      </c>
      <c r="X30">
        <v>29.9</v>
      </c>
      <c r="Y30">
        <v>59.9</v>
      </c>
      <c r="Z30">
        <v>59.9</v>
      </c>
      <c r="AA30">
        <v>0</v>
      </c>
      <c r="AB30" t="s">
        <v>363</v>
      </c>
      <c r="AF30" t="s">
        <v>2814</v>
      </c>
      <c r="AG30" t="s">
        <v>2814</v>
      </c>
      <c r="AH30" t="s">
        <v>1175</v>
      </c>
      <c r="AI30">
        <v>99999</v>
      </c>
      <c r="AJ30">
        <v>99999</v>
      </c>
      <c r="AK30">
        <v>699</v>
      </c>
      <c r="AL30" t="b">
        <v>1</v>
      </c>
      <c r="AM30" t="b">
        <v>1</v>
      </c>
      <c r="AN30" t="b">
        <v>0</v>
      </c>
      <c r="AO30">
        <v>99999</v>
      </c>
      <c r="AP30" t="s">
        <v>64</v>
      </c>
      <c r="AR30" t="b">
        <v>0</v>
      </c>
      <c r="AS30">
        <v>12</v>
      </c>
      <c r="AT30" t="s">
        <v>327</v>
      </c>
      <c r="AV30" t="s">
        <v>2816</v>
      </c>
      <c r="CRL30">
        <v>12</v>
      </c>
    </row>
    <row r="31" spans="1:48 2508:2508" x14ac:dyDescent="0.25">
      <c r="A31" t="s">
        <v>3323</v>
      </c>
      <c r="B31" t="s">
        <v>302</v>
      </c>
      <c r="C31" t="s">
        <v>62</v>
      </c>
      <c r="D31">
        <v>99999</v>
      </c>
      <c r="F31" s="109">
        <v>10000</v>
      </c>
      <c r="G31" t="b">
        <v>0</v>
      </c>
      <c r="H31" t="s">
        <v>742</v>
      </c>
      <c r="K31" t="s">
        <v>379</v>
      </c>
      <c r="L31" t="s">
        <v>303</v>
      </c>
      <c r="M31" t="s">
        <v>323</v>
      </c>
      <c r="N31" t="s">
        <v>63</v>
      </c>
      <c r="O31" s="110">
        <v>49.9</v>
      </c>
      <c r="R31" s="110">
        <v>262.78999999999996</v>
      </c>
      <c r="S31" s="110">
        <v>130</v>
      </c>
      <c r="T31" s="110">
        <v>0</v>
      </c>
      <c r="U31" s="110">
        <v>42.99</v>
      </c>
      <c r="X31">
        <v>29.9</v>
      </c>
      <c r="Y31">
        <v>59.9</v>
      </c>
      <c r="Z31">
        <v>59.9</v>
      </c>
      <c r="AA31">
        <v>0</v>
      </c>
      <c r="AB31" t="s">
        <v>363</v>
      </c>
      <c r="AF31" t="s">
        <v>2955</v>
      </c>
      <c r="AG31" t="s">
        <v>2955</v>
      </c>
      <c r="AH31" t="s">
        <v>1175</v>
      </c>
      <c r="AI31">
        <v>99999</v>
      </c>
      <c r="AJ31">
        <v>99999</v>
      </c>
      <c r="AK31">
        <v>699</v>
      </c>
      <c r="AL31" t="b">
        <v>1</v>
      </c>
      <c r="AM31" t="b">
        <v>1</v>
      </c>
      <c r="AN31" t="b">
        <v>0</v>
      </c>
      <c r="AO31">
        <v>99999</v>
      </c>
      <c r="AP31" t="s">
        <v>64</v>
      </c>
      <c r="AR31" t="b">
        <v>0</v>
      </c>
      <c r="AS31">
        <v>12</v>
      </c>
      <c r="AT31" t="s">
        <v>327</v>
      </c>
      <c r="AV31" t="s">
        <v>2957</v>
      </c>
      <c r="CRL31">
        <v>12</v>
      </c>
    </row>
    <row r="32" spans="1:48 2508:2508" x14ac:dyDescent="0.25">
      <c r="A32" t="s">
        <v>3323</v>
      </c>
      <c r="B32" t="s">
        <v>302</v>
      </c>
      <c r="C32" t="s">
        <v>62</v>
      </c>
      <c r="D32">
        <v>99999</v>
      </c>
      <c r="F32" s="109">
        <v>10000</v>
      </c>
      <c r="G32" t="b">
        <v>0</v>
      </c>
      <c r="H32" t="s">
        <v>742</v>
      </c>
      <c r="K32" t="s">
        <v>379</v>
      </c>
      <c r="L32" t="s">
        <v>303</v>
      </c>
      <c r="M32" t="s">
        <v>323</v>
      </c>
      <c r="N32" t="s">
        <v>63</v>
      </c>
      <c r="O32" s="110">
        <v>49.9</v>
      </c>
      <c r="R32" s="110">
        <v>269.89</v>
      </c>
      <c r="S32" s="110">
        <v>130</v>
      </c>
      <c r="T32" s="110">
        <v>0</v>
      </c>
      <c r="U32" s="110">
        <v>42.99</v>
      </c>
      <c r="X32">
        <v>36.999999999999972</v>
      </c>
      <c r="Y32">
        <v>59.9</v>
      </c>
      <c r="Z32">
        <v>59.9</v>
      </c>
      <c r="AA32">
        <v>0</v>
      </c>
      <c r="AB32" t="s">
        <v>363</v>
      </c>
      <c r="AF32" t="s">
        <v>3029</v>
      </c>
      <c r="AG32" t="s">
        <v>3029</v>
      </c>
      <c r="AH32" t="s">
        <v>1175</v>
      </c>
      <c r="AI32">
        <v>99999</v>
      </c>
      <c r="AJ32">
        <v>99999</v>
      </c>
      <c r="AK32">
        <v>699</v>
      </c>
      <c r="AL32" t="b">
        <v>1</v>
      </c>
      <c r="AM32" t="b">
        <v>1</v>
      </c>
      <c r="AN32" t="b">
        <v>0</v>
      </c>
      <c r="AO32">
        <v>99999</v>
      </c>
      <c r="AP32" t="s">
        <v>64</v>
      </c>
      <c r="AR32" t="b">
        <v>0</v>
      </c>
      <c r="AS32">
        <v>12</v>
      </c>
      <c r="AT32" t="s">
        <v>327</v>
      </c>
      <c r="AV32" t="s">
        <v>3031</v>
      </c>
      <c r="CRL32">
        <v>12</v>
      </c>
    </row>
    <row r="33" spans="1:48 2508:2508" x14ac:dyDescent="0.25">
      <c r="A33" t="s">
        <v>3323</v>
      </c>
      <c r="B33" t="s">
        <v>302</v>
      </c>
      <c r="C33" t="s">
        <v>62</v>
      </c>
      <c r="D33">
        <v>99999</v>
      </c>
      <c r="F33" s="109">
        <v>10000</v>
      </c>
      <c r="G33" t="b">
        <v>0</v>
      </c>
      <c r="H33" t="s">
        <v>742</v>
      </c>
      <c r="K33" t="s">
        <v>61</v>
      </c>
      <c r="L33" t="s">
        <v>303</v>
      </c>
      <c r="M33" t="s">
        <v>323</v>
      </c>
      <c r="N33" t="s">
        <v>63</v>
      </c>
      <c r="O33" s="110">
        <v>29.9</v>
      </c>
      <c r="R33" s="110">
        <v>197.69000000000003</v>
      </c>
      <c r="S33" s="110">
        <v>79.900000000000006</v>
      </c>
      <c r="T33" s="110">
        <v>0</v>
      </c>
      <c r="U33" s="110">
        <v>42.99</v>
      </c>
      <c r="X33">
        <v>29.9</v>
      </c>
      <c r="Y33">
        <v>44.9</v>
      </c>
      <c r="Z33">
        <v>44.9</v>
      </c>
      <c r="AA33">
        <v>0</v>
      </c>
      <c r="AB33" t="s">
        <v>324</v>
      </c>
      <c r="AF33" t="s">
        <v>1443</v>
      </c>
      <c r="AG33" t="s">
        <v>1443</v>
      </c>
      <c r="AH33" t="s">
        <v>1175</v>
      </c>
      <c r="AI33">
        <v>99999</v>
      </c>
      <c r="AJ33">
        <v>99999</v>
      </c>
      <c r="AK33">
        <v>699</v>
      </c>
      <c r="AL33" t="b">
        <v>1</v>
      </c>
      <c r="AM33" t="b">
        <v>1</v>
      </c>
      <c r="AN33" t="b">
        <v>0</v>
      </c>
      <c r="AO33">
        <v>99999</v>
      </c>
      <c r="AP33" t="s">
        <v>64</v>
      </c>
      <c r="AR33" t="b">
        <v>0</v>
      </c>
      <c r="AS33">
        <v>12</v>
      </c>
      <c r="AT33" t="s">
        <v>327</v>
      </c>
      <c r="AV33" t="s">
        <v>1444</v>
      </c>
      <c r="CRL33">
        <v>12</v>
      </c>
    </row>
    <row r="34" spans="1:48 2508:2508" x14ac:dyDescent="0.25">
      <c r="A34" t="s">
        <v>3323</v>
      </c>
      <c r="B34" t="s">
        <v>302</v>
      </c>
      <c r="C34" t="s">
        <v>62</v>
      </c>
      <c r="D34">
        <v>99999</v>
      </c>
      <c r="F34" s="109">
        <v>10000</v>
      </c>
      <c r="G34" t="b">
        <v>0</v>
      </c>
      <c r="H34" t="s">
        <v>742</v>
      </c>
      <c r="K34" t="s">
        <v>61</v>
      </c>
      <c r="L34" t="s">
        <v>303</v>
      </c>
      <c r="M34" t="s">
        <v>323</v>
      </c>
      <c r="N34" t="s">
        <v>63</v>
      </c>
      <c r="O34" s="110">
        <v>29.9</v>
      </c>
      <c r="R34" s="110">
        <v>209.88999999999996</v>
      </c>
      <c r="S34" s="110">
        <v>85</v>
      </c>
      <c r="T34" s="110">
        <v>0</v>
      </c>
      <c r="U34" s="110">
        <v>42.99</v>
      </c>
      <c r="X34">
        <v>36.999999999999972</v>
      </c>
      <c r="Y34">
        <v>44.9</v>
      </c>
      <c r="Z34">
        <v>44.9</v>
      </c>
      <c r="AA34">
        <v>0</v>
      </c>
      <c r="AB34" t="s">
        <v>324</v>
      </c>
      <c r="AF34" t="s">
        <v>1591</v>
      </c>
      <c r="AG34" t="s">
        <v>1591</v>
      </c>
      <c r="AH34" t="s">
        <v>1175</v>
      </c>
      <c r="AI34">
        <v>99999</v>
      </c>
      <c r="AJ34">
        <v>99999</v>
      </c>
      <c r="AK34">
        <v>699</v>
      </c>
      <c r="AL34" t="b">
        <v>1</v>
      </c>
      <c r="AM34" t="b">
        <v>1</v>
      </c>
      <c r="AN34" t="b">
        <v>0</v>
      </c>
      <c r="AO34">
        <v>99999</v>
      </c>
      <c r="AP34" t="s">
        <v>64</v>
      </c>
      <c r="AR34" t="b">
        <v>0</v>
      </c>
      <c r="AS34">
        <v>12</v>
      </c>
      <c r="AT34" t="s">
        <v>327</v>
      </c>
      <c r="AV34" t="s">
        <v>1592</v>
      </c>
      <c r="CRL34">
        <v>12</v>
      </c>
    </row>
    <row r="35" spans="1:48 2508:2508" x14ac:dyDescent="0.25">
      <c r="A35" t="s">
        <v>3323</v>
      </c>
      <c r="B35" t="s">
        <v>302</v>
      </c>
      <c r="C35" t="s">
        <v>62</v>
      </c>
      <c r="D35">
        <v>99999</v>
      </c>
      <c r="F35" s="109">
        <v>10000</v>
      </c>
      <c r="G35" t="b">
        <v>0</v>
      </c>
      <c r="H35" t="s">
        <v>742</v>
      </c>
      <c r="K35" t="s">
        <v>61</v>
      </c>
      <c r="L35" t="s">
        <v>303</v>
      </c>
      <c r="M35" t="s">
        <v>323</v>
      </c>
      <c r="N35" t="s">
        <v>63</v>
      </c>
      <c r="O35" s="110">
        <v>39.9</v>
      </c>
      <c r="R35" s="110">
        <v>197.69000000000003</v>
      </c>
      <c r="S35" s="110">
        <v>79.900000000000006</v>
      </c>
      <c r="T35" s="110">
        <v>0</v>
      </c>
      <c r="U35" s="110">
        <v>42.99</v>
      </c>
      <c r="X35">
        <v>29.9</v>
      </c>
      <c r="Y35">
        <v>44.9</v>
      </c>
      <c r="Z35">
        <v>44.9</v>
      </c>
      <c r="AA35">
        <v>0</v>
      </c>
      <c r="AB35" t="s">
        <v>324</v>
      </c>
      <c r="AF35" t="s">
        <v>1450</v>
      </c>
      <c r="AG35" t="s">
        <v>1450</v>
      </c>
      <c r="AH35" t="s">
        <v>1175</v>
      </c>
      <c r="AI35">
        <v>99999</v>
      </c>
      <c r="AJ35">
        <v>99999</v>
      </c>
      <c r="AK35">
        <v>699</v>
      </c>
      <c r="AL35" t="b">
        <v>1</v>
      </c>
      <c r="AM35" t="b">
        <v>1</v>
      </c>
      <c r="AN35" t="b">
        <v>0</v>
      </c>
      <c r="AO35">
        <v>99999</v>
      </c>
      <c r="AP35" t="s">
        <v>64</v>
      </c>
      <c r="AR35" t="b">
        <v>0</v>
      </c>
      <c r="AS35">
        <v>12</v>
      </c>
      <c r="AT35" t="s">
        <v>327</v>
      </c>
      <c r="AV35" t="s">
        <v>1451</v>
      </c>
      <c r="CRL35">
        <v>12</v>
      </c>
    </row>
    <row r="36" spans="1:48 2508:2508" x14ac:dyDescent="0.25">
      <c r="A36" t="s">
        <v>3323</v>
      </c>
      <c r="B36" t="s">
        <v>302</v>
      </c>
      <c r="C36" t="s">
        <v>62</v>
      </c>
      <c r="D36">
        <v>99999</v>
      </c>
      <c r="F36" s="109">
        <v>10000</v>
      </c>
      <c r="G36" t="b">
        <v>0</v>
      </c>
      <c r="H36" t="s">
        <v>742</v>
      </c>
      <c r="K36" t="s">
        <v>61</v>
      </c>
      <c r="L36" t="s">
        <v>303</v>
      </c>
      <c r="M36" t="s">
        <v>323</v>
      </c>
      <c r="N36" t="s">
        <v>63</v>
      </c>
      <c r="O36" s="110">
        <v>39.9</v>
      </c>
      <c r="R36" s="110">
        <v>209.88999999999996</v>
      </c>
      <c r="S36" s="110">
        <v>85</v>
      </c>
      <c r="T36" s="110">
        <v>0</v>
      </c>
      <c r="U36" s="110">
        <v>42.99</v>
      </c>
      <c r="X36">
        <v>36.999999999999972</v>
      </c>
      <c r="Y36">
        <v>44.9</v>
      </c>
      <c r="Z36">
        <v>44.9</v>
      </c>
      <c r="AA36">
        <v>0</v>
      </c>
      <c r="AB36" t="s">
        <v>324</v>
      </c>
      <c r="AF36" t="s">
        <v>1598</v>
      </c>
      <c r="AG36" t="s">
        <v>1598</v>
      </c>
      <c r="AH36" t="s">
        <v>1175</v>
      </c>
      <c r="AI36">
        <v>99999</v>
      </c>
      <c r="AJ36">
        <v>99999</v>
      </c>
      <c r="AK36">
        <v>699</v>
      </c>
      <c r="AL36" t="b">
        <v>1</v>
      </c>
      <c r="AM36" t="b">
        <v>1</v>
      </c>
      <c r="AN36" t="b">
        <v>0</v>
      </c>
      <c r="AO36">
        <v>99999</v>
      </c>
      <c r="AP36" t="s">
        <v>64</v>
      </c>
      <c r="AR36" t="b">
        <v>0</v>
      </c>
      <c r="AS36">
        <v>12</v>
      </c>
      <c r="AT36" t="s">
        <v>327</v>
      </c>
      <c r="AV36" t="s">
        <v>1599</v>
      </c>
      <c r="CRL36">
        <v>12</v>
      </c>
    </row>
    <row r="37" spans="1:48 2508:2508" x14ac:dyDescent="0.25">
      <c r="A37" t="s">
        <v>3323</v>
      </c>
      <c r="B37" t="s">
        <v>302</v>
      </c>
      <c r="C37" t="s">
        <v>62</v>
      </c>
      <c r="D37">
        <v>99999</v>
      </c>
      <c r="F37" s="109">
        <v>10000</v>
      </c>
      <c r="G37" t="b">
        <v>0</v>
      </c>
      <c r="H37" t="s">
        <v>742</v>
      </c>
      <c r="K37" t="s">
        <v>61</v>
      </c>
      <c r="L37" t="s">
        <v>303</v>
      </c>
      <c r="M37" t="s">
        <v>323</v>
      </c>
      <c r="N37" t="s">
        <v>63</v>
      </c>
      <c r="O37" s="110">
        <v>49.9</v>
      </c>
      <c r="R37" s="110">
        <v>239.79</v>
      </c>
      <c r="S37" s="110">
        <v>130</v>
      </c>
      <c r="T37" s="110">
        <v>0</v>
      </c>
      <c r="U37" s="110">
        <v>34.99</v>
      </c>
      <c r="X37">
        <v>29.9</v>
      </c>
      <c r="Y37">
        <v>44.9</v>
      </c>
      <c r="Z37">
        <v>44.9</v>
      </c>
      <c r="AA37">
        <v>0</v>
      </c>
      <c r="AB37" t="s">
        <v>324</v>
      </c>
      <c r="AF37" t="s">
        <v>2811</v>
      </c>
      <c r="AG37" t="s">
        <v>2811</v>
      </c>
      <c r="AH37" t="s">
        <v>1175</v>
      </c>
      <c r="AI37">
        <v>99999</v>
      </c>
      <c r="AJ37">
        <v>99999</v>
      </c>
      <c r="AK37">
        <v>699</v>
      </c>
      <c r="AL37" t="b">
        <v>1</v>
      </c>
      <c r="AM37" t="b">
        <v>1</v>
      </c>
      <c r="AN37" t="b">
        <v>0</v>
      </c>
      <c r="AO37">
        <v>99999</v>
      </c>
      <c r="AP37" t="s">
        <v>64</v>
      </c>
      <c r="AR37" t="b">
        <v>0</v>
      </c>
      <c r="AS37">
        <v>12</v>
      </c>
      <c r="AT37" t="s">
        <v>327</v>
      </c>
      <c r="AV37" t="s">
        <v>2812</v>
      </c>
      <c r="CRL37">
        <v>12</v>
      </c>
    </row>
    <row r="38" spans="1:48 2508:2508" x14ac:dyDescent="0.25">
      <c r="A38" t="s">
        <v>3323</v>
      </c>
      <c r="B38" t="s">
        <v>302</v>
      </c>
      <c r="C38" t="s">
        <v>62</v>
      </c>
      <c r="D38">
        <v>99999</v>
      </c>
      <c r="F38" s="109">
        <v>10000</v>
      </c>
      <c r="G38" t="b">
        <v>0</v>
      </c>
      <c r="H38" t="s">
        <v>742</v>
      </c>
      <c r="K38" t="s">
        <v>61</v>
      </c>
      <c r="L38" t="s">
        <v>303</v>
      </c>
      <c r="M38" t="s">
        <v>323</v>
      </c>
      <c r="N38" t="s">
        <v>63</v>
      </c>
      <c r="O38" s="110">
        <v>49.9</v>
      </c>
      <c r="R38" s="110">
        <v>247.79</v>
      </c>
      <c r="S38" s="110">
        <v>130</v>
      </c>
      <c r="T38" s="110">
        <v>0</v>
      </c>
      <c r="U38" s="110">
        <v>42.99</v>
      </c>
      <c r="X38">
        <v>29.9</v>
      </c>
      <c r="Y38">
        <v>44.9</v>
      </c>
      <c r="Z38">
        <v>44.9</v>
      </c>
      <c r="AA38">
        <v>0</v>
      </c>
      <c r="AB38" t="s">
        <v>324</v>
      </c>
      <c r="AF38" t="s">
        <v>2952</v>
      </c>
      <c r="AG38" t="s">
        <v>2952</v>
      </c>
      <c r="AH38" t="s">
        <v>1175</v>
      </c>
      <c r="AI38">
        <v>99999</v>
      </c>
      <c r="AJ38">
        <v>99999</v>
      </c>
      <c r="AK38">
        <v>699</v>
      </c>
      <c r="AL38" t="b">
        <v>1</v>
      </c>
      <c r="AM38" t="b">
        <v>1</v>
      </c>
      <c r="AN38" t="b">
        <v>0</v>
      </c>
      <c r="AO38">
        <v>99999</v>
      </c>
      <c r="AP38" t="s">
        <v>64</v>
      </c>
      <c r="AR38" t="b">
        <v>0</v>
      </c>
      <c r="AS38">
        <v>12</v>
      </c>
      <c r="AT38" t="s">
        <v>327</v>
      </c>
      <c r="AV38" t="s">
        <v>2953</v>
      </c>
      <c r="CRL38">
        <v>12</v>
      </c>
    </row>
    <row r="39" spans="1:48 2508:2508" x14ac:dyDescent="0.25">
      <c r="A39" t="s">
        <v>3323</v>
      </c>
      <c r="B39" t="s">
        <v>302</v>
      </c>
      <c r="C39" t="s">
        <v>62</v>
      </c>
      <c r="D39">
        <v>99999</v>
      </c>
      <c r="F39" s="109">
        <v>10000</v>
      </c>
      <c r="G39" t="b">
        <v>0</v>
      </c>
      <c r="H39" t="s">
        <v>742</v>
      </c>
      <c r="K39" t="s">
        <v>61</v>
      </c>
      <c r="L39" t="s">
        <v>303</v>
      </c>
      <c r="M39" t="s">
        <v>323</v>
      </c>
      <c r="N39" t="s">
        <v>63</v>
      </c>
      <c r="O39" s="110">
        <v>49.9</v>
      </c>
      <c r="R39" s="110">
        <v>254.88999999999996</v>
      </c>
      <c r="S39" s="110">
        <v>130</v>
      </c>
      <c r="T39" s="110">
        <v>0</v>
      </c>
      <c r="U39" s="110">
        <v>42.99</v>
      </c>
      <c r="X39">
        <v>36.999999999999972</v>
      </c>
      <c r="Y39">
        <v>44.9</v>
      </c>
      <c r="Z39">
        <v>44.9</v>
      </c>
      <c r="AA39">
        <v>0</v>
      </c>
      <c r="AB39" t="s">
        <v>324</v>
      </c>
      <c r="AF39" t="s">
        <v>3026</v>
      </c>
      <c r="AG39" t="s">
        <v>3026</v>
      </c>
      <c r="AH39" t="s">
        <v>1175</v>
      </c>
      <c r="AI39">
        <v>99999</v>
      </c>
      <c r="AJ39">
        <v>99999</v>
      </c>
      <c r="AK39">
        <v>699</v>
      </c>
      <c r="AL39" t="b">
        <v>1</v>
      </c>
      <c r="AM39" t="b">
        <v>1</v>
      </c>
      <c r="AN39" t="b">
        <v>0</v>
      </c>
      <c r="AO39">
        <v>99999</v>
      </c>
      <c r="AP39" t="s">
        <v>64</v>
      </c>
      <c r="AR39" t="b">
        <v>0</v>
      </c>
      <c r="AS39">
        <v>12</v>
      </c>
      <c r="AT39" t="s">
        <v>327</v>
      </c>
      <c r="AV39" t="s">
        <v>3027</v>
      </c>
      <c r="CRL39">
        <v>12</v>
      </c>
    </row>
    <row r="40" spans="1:48 2508:2508" x14ac:dyDescent="0.25">
      <c r="A40" t="s">
        <v>3323</v>
      </c>
      <c r="B40" t="s">
        <v>302</v>
      </c>
      <c r="C40" t="s">
        <v>62</v>
      </c>
      <c r="D40">
        <v>99999</v>
      </c>
      <c r="F40" s="109">
        <v>10000</v>
      </c>
      <c r="G40" t="b">
        <v>0</v>
      </c>
      <c r="H40" t="s">
        <v>335</v>
      </c>
      <c r="K40" t="s">
        <v>349</v>
      </c>
      <c r="L40" t="s">
        <v>303</v>
      </c>
      <c r="M40" t="s">
        <v>323</v>
      </c>
      <c r="N40" t="s">
        <v>63</v>
      </c>
      <c r="O40" s="110">
        <v>29.9</v>
      </c>
      <c r="R40" s="110">
        <v>319.89</v>
      </c>
      <c r="S40" s="110">
        <v>79.900000000000006</v>
      </c>
      <c r="T40" s="110">
        <v>0</v>
      </c>
      <c r="U40" s="110">
        <v>42.99</v>
      </c>
      <c r="X40">
        <v>152.09999999999994</v>
      </c>
      <c r="Y40">
        <v>44.9</v>
      </c>
      <c r="Z40">
        <v>44.9</v>
      </c>
      <c r="AA40">
        <v>0</v>
      </c>
      <c r="AB40" t="s">
        <v>324</v>
      </c>
      <c r="AF40" t="s">
        <v>1174</v>
      </c>
      <c r="AG40" t="s">
        <v>1174</v>
      </c>
      <c r="AH40" t="s">
        <v>1175</v>
      </c>
      <c r="AI40">
        <v>99999</v>
      </c>
      <c r="AJ40">
        <v>99999</v>
      </c>
      <c r="AK40">
        <v>699</v>
      </c>
      <c r="AL40" t="b">
        <v>1</v>
      </c>
      <c r="AM40" t="b">
        <v>1</v>
      </c>
      <c r="AN40" t="b">
        <v>0</v>
      </c>
      <c r="AO40">
        <v>99999</v>
      </c>
      <c r="AP40" t="s">
        <v>64</v>
      </c>
      <c r="AR40" t="b">
        <v>0</v>
      </c>
      <c r="AS40">
        <v>12</v>
      </c>
      <c r="AT40" t="s">
        <v>327</v>
      </c>
      <c r="AV40" t="s">
        <v>1193</v>
      </c>
      <c r="CRL40">
        <v>12</v>
      </c>
    </row>
    <row r="41" spans="1:48 2508:2508" x14ac:dyDescent="0.25">
      <c r="A41" t="s">
        <v>3323</v>
      </c>
      <c r="B41" t="s">
        <v>302</v>
      </c>
      <c r="C41" t="s">
        <v>62</v>
      </c>
      <c r="D41">
        <v>99999</v>
      </c>
      <c r="F41" s="109">
        <v>10000</v>
      </c>
      <c r="G41" t="b">
        <v>0</v>
      </c>
      <c r="H41" t="s">
        <v>335</v>
      </c>
      <c r="K41" t="s">
        <v>349</v>
      </c>
      <c r="L41" t="s">
        <v>303</v>
      </c>
      <c r="M41" t="s">
        <v>323</v>
      </c>
      <c r="N41" t="s">
        <v>63</v>
      </c>
      <c r="O41" s="110">
        <v>29.9</v>
      </c>
      <c r="R41" s="110">
        <v>339.89</v>
      </c>
      <c r="S41" s="110">
        <v>79.900000000000006</v>
      </c>
      <c r="T41" s="110">
        <v>0</v>
      </c>
      <c r="U41" s="110">
        <v>42.99</v>
      </c>
      <c r="X41">
        <v>172.09999999999994</v>
      </c>
      <c r="Y41">
        <v>44.9</v>
      </c>
      <c r="Z41">
        <v>44.9</v>
      </c>
      <c r="AA41">
        <v>0</v>
      </c>
      <c r="AB41" t="s">
        <v>324</v>
      </c>
      <c r="AF41" t="s">
        <v>1309</v>
      </c>
      <c r="AG41" t="s">
        <v>1309</v>
      </c>
      <c r="AH41" t="s">
        <v>1175</v>
      </c>
      <c r="AI41">
        <v>99999</v>
      </c>
      <c r="AJ41">
        <v>99999</v>
      </c>
      <c r="AK41">
        <v>699</v>
      </c>
      <c r="AL41" t="b">
        <v>1</v>
      </c>
      <c r="AM41" t="b">
        <v>1</v>
      </c>
      <c r="AN41" t="b">
        <v>0</v>
      </c>
      <c r="AO41">
        <v>99999</v>
      </c>
      <c r="AP41" t="s">
        <v>64</v>
      </c>
      <c r="AR41" t="b">
        <v>0</v>
      </c>
      <c r="AS41">
        <v>12</v>
      </c>
      <c r="AT41" t="s">
        <v>327</v>
      </c>
      <c r="AV41" t="s">
        <v>1327</v>
      </c>
      <c r="CRL41">
        <v>12</v>
      </c>
    </row>
    <row r="42" spans="1:48 2508:2508" x14ac:dyDescent="0.25">
      <c r="A42" t="s">
        <v>3323</v>
      </c>
      <c r="B42" t="s">
        <v>302</v>
      </c>
      <c r="C42" t="s">
        <v>62</v>
      </c>
      <c r="D42">
        <v>99999</v>
      </c>
      <c r="F42" s="109">
        <v>10000</v>
      </c>
      <c r="G42" t="b">
        <v>0</v>
      </c>
      <c r="H42" t="s">
        <v>335</v>
      </c>
      <c r="K42" t="s">
        <v>349</v>
      </c>
      <c r="L42" t="s">
        <v>303</v>
      </c>
      <c r="M42" t="s">
        <v>323</v>
      </c>
      <c r="N42" t="s">
        <v>63</v>
      </c>
      <c r="O42" s="110">
        <v>29.9</v>
      </c>
      <c r="R42" s="110">
        <v>359.88999999999993</v>
      </c>
      <c r="S42" s="110">
        <v>85</v>
      </c>
      <c r="T42" s="110">
        <v>0</v>
      </c>
      <c r="U42" s="110">
        <v>42.99</v>
      </c>
      <c r="X42">
        <v>186.99999999999994</v>
      </c>
      <c r="Y42">
        <v>44.9</v>
      </c>
      <c r="Z42">
        <v>44.9</v>
      </c>
      <c r="AA42">
        <v>0</v>
      </c>
      <c r="AB42" t="s">
        <v>324</v>
      </c>
      <c r="AF42" t="s">
        <v>1457</v>
      </c>
      <c r="AG42" t="s">
        <v>1457</v>
      </c>
      <c r="AH42" t="s">
        <v>1175</v>
      </c>
      <c r="AI42">
        <v>99999</v>
      </c>
      <c r="AJ42">
        <v>99999</v>
      </c>
      <c r="AK42">
        <v>699</v>
      </c>
      <c r="AL42" t="b">
        <v>1</v>
      </c>
      <c r="AM42" t="b">
        <v>1</v>
      </c>
      <c r="AN42" t="b">
        <v>0</v>
      </c>
      <c r="AO42">
        <v>99999</v>
      </c>
      <c r="AP42" t="s">
        <v>64</v>
      </c>
      <c r="AR42" t="b">
        <v>0</v>
      </c>
      <c r="AS42">
        <v>12</v>
      </c>
      <c r="AT42" t="s">
        <v>327</v>
      </c>
      <c r="AV42" t="s">
        <v>1475</v>
      </c>
      <c r="CRL42">
        <v>12</v>
      </c>
    </row>
    <row r="43" spans="1:48 2508:2508" x14ac:dyDescent="0.25">
      <c r="A43" t="s">
        <v>3323</v>
      </c>
      <c r="B43" t="s">
        <v>302</v>
      </c>
      <c r="C43" t="s">
        <v>62</v>
      </c>
      <c r="D43">
        <v>99999</v>
      </c>
      <c r="F43" s="109">
        <v>10000</v>
      </c>
      <c r="G43" t="b">
        <v>0</v>
      </c>
      <c r="H43" t="s">
        <v>335</v>
      </c>
      <c r="K43" t="s">
        <v>349</v>
      </c>
      <c r="L43" t="s">
        <v>303</v>
      </c>
      <c r="M43" t="s">
        <v>323</v>
      </c>
      <c r="N43" t="s">
        <v>63</v>
      </c>
      <c r="O43" s="110">
        <v>39.9</v>
      </c>
      <c r="R43" s="110">
        <v>319.89</v>
      </c>
      <c r="S43" s="110">
        <v>79.900000000000006</v>
      </c>
      <c r="T43" s="110">
        <v>0</v>
      </c>
      <c r="U43" s="110">
        <v>42.99</v>
      </c>
      <c r="X43">
        <v>152.09999999999994</v>
      </c>
      <c r="Y43">
        <v>44.9</v>
      </c>
      <c r="Z43">
        <v>44.9</v>
      </c>
      <c r="AA43">
        <v>0</v>
      </c>
      <c r="AB43" t="s">
        <v>324</v>
      </c>
      <c r="AF43" t="s">
        <v>1242</v>
      </c>
      <c r="AG43" t="s">
        <v>1242</v>
      </c>
      <c r="AH43" t="s">
        <v>1175</v>
      </c>
      <c r="AI43">
        <v>99999</v>
      </c>
      <c r="AJ43">
        <v>99999</v>
      </c>
      <c r="AK43">
        <v>699</v>
      </c>
      <c r="AL43" t="b">
        <v>1</v>
      </c>
      <c r="AM43" t="b">
        <v>1</v>
      </c>
      <c r="AN43" t="b">
        <v>0</v>
      </c>
      <c r="AO43">
        <v>99999</v>
      </c>
      <c r="AP43" t="s">
        <v>64</v>
      </c>
      <c r="AR43" t="b">
        <v>0</v>
      </c>
      <c r="AS43">
        <v>12</v>
      </c>
      <c r="AT43" t="s">
        <v>327</v>
      </c>
      <c r="AV43" t="s">
        <v>1260</v>
      </c>
      <c r="CRL43">
        <v>12</v>
      </c>
    </row>
    <row r="44" spans="1:48 2508:2508" x14ac:dyDescent="0.25">
      <c r="A44" t="s">
        <v>3323</v>
      </c>
      <c r="B44" t="s">
        <v>302</v>
      </c>
      <c r="C44" t="s">
        <v>62</v>
      </c>
      <c r="D44">
        <v>99999</v>
      </c>
      <c r="F44" s="109">
        <v>10000</v>
      </c>
      <c r="G44" t="b">
        <v>0</v>
      </c>
      <c r="H44" t="s">
        <v>335</v>
      </c>
      <c r="K44" t="s">
        <v>349</v>
      </c>
      <c r="L44" t="s">
        <v>303</v>
      </c>
      <c r="M44" t="s">
        <v>323</v>
      </c>
      <c r="N44" t="s">
        <v>63</v>
      </c>
      <c r="O44" s="110">
        <v>39.9</v>
      </c>
      <c r="R44" s="110">
        <v>339.89</v>
      </c>
      <c r="S44" s="110">
        <v>79.900000000000006</v>
      </c>
      <c r="T44" s="110">
        <v>0</v>
      </c>
      <c r="U44" s="110">
        <v>42.99</v>
      </c>
      <c r="X44">
        <v>172.09999999999994</v>
      </c>
      <c r="Y44">
        <v>44.9</v>
      </c>
      <c r="Z44">
        <v>44.9</v>
      </c>
      <c r="AA44">
        <v>0</v>
      </c>
      <c r="AB44" t="s">
        <v>324</v>
      </c>
      <c r="AF44" t="s">
        <v>1376</v>
      </c>
      <c r="AG44" t="s">
        <v>1376</v>
      </c>
      <c r="AH44" t="s">
        <v>1175</v>
      </c>
      <c r="AI44">
        <v>99999</v>
      </c>
      <c r="AJ44">
        <v>99999</v>
      </c>
      <c r="AK44">
        <v>699</v>
      </c>
      <c r="AL44" t="b">
        <v>1</v>
      </c>
      <c r="AM44" t="b">
        <v>1</v>
      </c>
      <c r="AN44" t="b">
        <v>0</v>
      </c>
      <c r="AO44">
        <v>99999</v>
      </c>
      <c r="AP44" t="s">
        <v>64</v>
      </c>
      <c r="AR44" t="b">
        <v>0</v>
      </c>
      <c r="AS44">
        <v>12</v>
      </c>
      <c r="AT44" t="s">
        <v>327</v>
      </c>
      <c r="AV44" t="s">
        <v>1394</v>
      </c>
      <c r="CRL44">
        <v>12</v>
      </c>
    </row>
    <row r="45" spans="1:48 2508:2508" x14ac:dyDescent="0.25">
      <c r="A45" t="s">
        <v>3323</v>
      </c>
      <c r="B45" t="s">
        <v>302</v>
      </c>
      <c r="C45" t="s">
        <v>62</v>
      </c>
      <c r="D45">
        <v>99999</v>
      </c>
      <c r="F45" s="109">
        <v>10000</v>
      </c>
      <c r="G45" t="b">
        <v>0</v>
      </c>
      <c r="H45" t="s">
        <v>335</v>
      </c>
      <c r="K45" t="s">
        <v>349</v>
      </c>
      <c r="L45" t="s">
        <v>303</v>
      </c>
      <c r="M45" t="s">
        <v>323</v>
      </c>
      <c r="N45" t="s">
        <v>63</v>
      </c>
      <c r="O45" s="110">
        <v>39.9</v>
      </c>
      <c r="R45" s="110">
        <v>359.88999999999993</v>
      </c>
      <c r="S45" s="110">
        <v>85</v>
      </c>
      <c r="T45" s="110">
        <v>0</v>
      </c>
      <c r="U45" s="110">
        <v>42.99</v>
      </c>
      <c r="X45">
        <v>186.99999999999994</v>
      </c>
      <c r="Y45">
        <v>44.9</v>
      </c>
      <c r="Z45">
        <v>44.9</v>
      </c>
      <c r="AA45">
        <v>0</v>
      </c>
      <c r="AB45" t="s">
        <v>324</v>
      </c>
      <c r="AF45" t="s">
        <v>1524</v>
      </c>
      <c r="AG45" t="s">
        <v>1524</v>
      </c>
      <c r="AH45" t="s">
        <v>1175</v>
      </c>
      <c r="AI45">
        <v>99999</v>
      </c>
      <c r="AJ45">
        <v>99999</v>
      </c>
      <c r="AK45">
        <v>699</v>
      </c>
      <c r="AL45" t="b">
        <v>1</v>
      </c>
      <c r="AM45" t="b">
        <v>1</v>
      </c>
      <c r="AN45" t="b">
        <v>0</v>
      </c>
      <c r="AO45">
        <v>99999</v>
      </c>
      <c r="AP45" t="s">
        <v>64</v>
      </c>
      <c r="AR45" t="b">
        <v>0</v>
      </c>
      <c r="AS45">
        <v>12</v>
      </c>
      <c r="AT45" t="s">
        <v>327</v>
      </c>
      <c r="AV45" t="s">
        <v>1542</v>
      </c>
      <c r="CRL45">
        <v>12</v>
      </c>
    </row>
    <row r="46" spans="1:48 2508:2508" x14ac:dyDescent="0.25">
      <c r="A46" t="s">
        <v>3323</v>
      </c>
      <c r="B46" t="s">
        <v>302</v>
      </c>
      <c r="C46" t="s">
        <v>62</v>
      </c>
      <c r="D46">
        <v>99999</v>
      </c>
      <c r="F46" s="109">
        <v>10000</v>
      </c>
      <c r="G46" t="b">
        <v>0</v>
      </c>
      <c r="H46" t="s">
        <v>335</v>
      </c>
      <c r="K46" t="s">
        <v>349</v>
      </c>
      <c r="L46" t="s">
        <v>303</v>
      </c>
      <c r="M46" t="s">
        <v>323</v>
      </c>
      <c r="N46" t="s">
        <v>63</v>
      </c>
      <c r="O46" s="110">
        <v>49.9</v>
      </c>
      <c r="R46" s="110">
        <v>345.68999999999994</v>
      </c>
      <c r="S46" s="110">
        <v>130</v>
      </c>
      <c r="T46" s="110">
        <v>0</v>
      </c>
      <c r="U46" s="110">
        <v>34.99</v>
      </c>
      <c r="X46">
        <v>135.79999999999995</v>
      </c>
      <c r="Y46">
        <v>44.9</v>
      </c>
      <c r="Z46">
        <v>44.9</v>
      </c>
      <c r="AA46">
        <v>0</v>
      </c>
      <c r="AB46" t="s">
        <v>324</v>
      </c>
      <c r="AF46" t="s">
        <v>2744</v>
      </c>
      <c r="AG46" t="s">
        <v>2744</v>
      </c>
      <c r="AH46" t="s">
        <v>1175</v>
      </c>
      <c r="AI46">
        <v>99999</v>
      </c>
      <c r="AJ46">
        <v>99999</v>
      </c>
      <c r="AK46">
        <v>699</v>
      </c>
      <c r="AL46" t="b">
        <v>1</v>
      </c>
      <c r="AM46" t="b">
        <v>1</v>
      </c>
      <c r="AN46" t="b">
        <v>0</v>
      </c>
      <c r="AO46">
        <v>99999</v>
      </c>
      <c r="AP46" t="s">
        <v>64</v>
      </c>
      <c r="AR46" t="b">
        <v>0</v>
      </c>
      <c r="AS46">
        <v>12</v>
      </c>
      <c r="AT46" t="s">
        <v>327</v>
      </c>
      <c r="AV46" t="s">
        <v>2762</v>
      </c>
      <c r="CRL46">
        <v>12</v>
      </c>
    </row>
    <row r="47" spans="1:48 2508:2508" x14ac:dyDescent="0.25">
      <c r="A47" t="s">
        <v>3323</v>
      </c>
      <c r="B47" t="s">
        <v>302</v>
      </c>
      <c r="C47" t="s">
        <v>62</v>
      </c>
      <c r="D47">
        <v>99999</v>
      </c>
      <c r="F47" s="109">
        <v>10000</v>
      </c>
      <c r="G47" t="b">
        <v>0</v>
      </c>
      <c r="H47" t="s">
        <v>335</v>
      </c>
      <c r="K47" t="s">
        <v>349</v>
      </c>
      <c r="L47" t="s">
        <v>303</v>
      </c>
      <c r="M47" t="s">
        <v>323</v>
      </c>
      <c r="N47" t="s">
        <v>63</v>
      </c>
      <c r="O47" s="110">
        <v>49.9</v>
      </c>
      <c r="R47" s="110">
        <v>369.9899999999999</v>
      </c>
      <c r="S47" s="110">
        <v>130</v>
      </c>
      <c r="T47" s="110">
        <v>0</v>
      </c>
      <c r="U47" s="110">
        <v>42.99</v>
      </c>
      <c r="X47">
        <v>152.09999999999994</v>
      </c>
      <c r="Y47">
        <v>44.9</v>
      </c>
      <c r="Z47">
        <v>44.9</v>
      </c>
      <c r="AA47">
        <v>0</v>
      </c>
      <c r="AB47" t="s">
        <v>324</v>
      </c>
      <c r="AF47" t="s">
        <v>2818</v>
      </c>
      <c r="AG47" t="s">
        <v>2818</v>
      </c>
      <c r="AH47" t="s">
        <v>1175</v>
      </c>
      <c r="AI47">
        <v>99999</v>
      </c>
      <c r="AJ47">
        <v>99999</v>
      </c>
      <c r="AK47">
        <v>699</v>
      </c>
      <c r="AL47" t="b">
        <v>1</v>
      </c>
      <c r="AM47" t="b">
        <v>1</v>
      </c>
      <c r="AN47" t="b">
        <v>0</v>
      </c>
      <c r="AO47">
        <v>99999</v>
      </c>
      <c r="AP47" t="s">
        <v>64</v>
      </c>
      <c r="AR47" t="b">
        <v>0</v>
      </c>
      <c r="AS47">
        <v>12</v>
      </c>
      <c r="AT47" t="s">
        <v>327</v>
      </c>
      <c r="AV47" t="s">
        <v>2836</v>
      </c>
      <c r="CRL47">
        <v>12</v>
      </c>
    </row>
    <row r="48" spans="1:48 2508:2508" x14ac:dyDescent="0.25">
      <c r="A48" t="s">
        <v>3323</v>
      </c>
      <c r="B48" t="s">
        <v>302</v>
      </c>
      <c r="C48" t="s">
        <v>62</v>
      </c>
      <c r="D48">
        <v>99999</v>
      </c>
      <c r="F48" s="109">
        <v>10000</v>
      </c>
      <c r="G48" t="b">
        <v>0</v>
      </c>
      <c r="H48" t="s">
        <v>335</v>
      </c>
      <c r="K48" t="s">
        <v>349</v>
      </c>
      <c r="L48" t="s">
        <v>303</v>
      </c>
      <c r="M48" t="s">
        <v>323</v>
      </c>
      <c r="N48" t="s">
        <v>63</v>
      </c>
      <c r="O48" s="110">
        <v>49.9</v>
      </c>
      <c r="R48" s="110">
        <v>389.9899999999999</v>
      </c>
      <c r="S48" s="110">
        <v>130</v>
      </c>
      <c r="T48" s="110">
        <v>0</v>
      </c>
      <c r="U48" s="110">
        <v>42.99</v>
      </c>
      <c r="X48">
        <v>172.09999999999994</v>
      </c>
      <c r="Y48">
        <v>44.9</v>
      </c>
      <c r="Z48">
        <v>44.9</v>
      </c>
      <c r="AA48">
        <v>0</v>
      </c>
      <c r="AB48" t="s">
        <v>324</v>
      </c>
      <c r="AF48" t="s">
        <v>2885</v>
      </c>
      <c r="AG48" t="s">
        <v>2885</v>
      </c>
      <c r="AH48" t="s">
        <v>1175</v>
      </c>
      <c r="AI48">
        <v>99999</v>
      </c>
      <c r="AJ48">
        <v>99999</v>
      </c>
      <c r="AK48">
        <v>699</v>
      </c>
      <c r="AL48" t="b">
        <v>1</v>
      </c>
      <c r="AM48" t="b">
        <v>1</v>
      </c>
      <c r="AN48" t="b">
        <v>0</v>
      </c>
      <c r="AO48">
        <v>99999</v>
      </c>
      <c r="AP48" t="s">
        <v>64</v>
      </c>
      <c r="AR48" t="b">
        <v>0</v>
      </c>
      <c r="AS48">
        <v>12</v>
      </c>
      <c r="AT48" t="s">
        <v>327</v>
      </c>
      <c r="AV48" t="s">
        <v>2903</v>
      </c>
      <c r="CRL48">
        <v>12</v>
      </c>
    </row>
    <row r="49" spans="1:48 2508:2508" x14ac:dyDescent="0.25">
      <c r="A49" t="s">
        <v>3323</v>
      </c>
      <c r="B49" t="s">
        <v>302</v>
      </c>
      <c r="C49" t="s">
        <v>62</v>
      </c>
      <c r="D49">
        <v>99999</v>
      </c>
      <c r="F49" s="109">
        <v>10000</v>
      </c>
      <c r="G49" t="b">
        <v>0</v>
      </c>
      <c r="H49" t="s">
        <v>335</v>
      </c>
      <c r="K49" t="s">
        <v>349</v>
      </c>
      <c r="L49" t="s">
        <v>303</v>
      </c>
      <c r="M49" t="s">
        <v>323</v>
      </c>
      <c r="N49" t="s">
        <v>63</v>
      </c>
      <c r="O49" s="110">
        <v>49.9</v>
      </c>
      <c r="R49" s="110">
        <v>404.88999999999993</v>
      </c>
      <c r="S49" s="110">
        <v>130</v>
      </c>
      <c r="T49" s="110">
        <v>0</v>
      </c>
      <c r="U49" s="110">
        <v>42.99</v>
      </c>
      <c r="X49">
        <v>186.99999999999994</v>
      </c>
      <c r="Y49">
        <v>44.9</v>
      </c>
      <c r="Z49">
        <v>44.9</v>
      </c>
      <c r="AA49">
        <v>0</v>
      </c>
      <c r="AB49" t="s">
        <v>324</v>
      </c>
      <c r="AF49" t="s">
        <v>2959</v>
      </c>
      <c r="AG49" t="s">
        <v>2959</v>
      </c>
      <c r="AH49" t="s">
        <v>1175</v>
      </c>
      <c r="AI49">
        <v>99999</v>
      </c>
      <c r="AJ49">
        <v>99999</v>
      </c>
      <c r="AK49">
        <v>699</v>
      </c>
      <c r="AL49" t="b">
        <v>1</v>
      </c>
      <c r="AM49" t="b">
        <v>1</v>
      </c>
      <c r="AN49" t="b">
        <v>0</v>
      </c>
      <c r="AO49">
        <v>99999</v>
      </c>
      <c r="AP49" t="s">
        <v>64</v>
      </c>
      <c r="AR49" t="b">
        <v>0</v>
      </c>
      <c r="AS49">
        <v>12</v>
      </c>
      <c r="AT49" t="s">
        <v>327</v>
      </c>
      <c r="AV49" t="s">
        <v>2977</v>
      </c>
      <c r="CRL49">
        <v>12</v>
      </c>
    </row>
    <row r="50" spans="1:48 2508:2508" x14ac:dyDescent="0.25">
      <c r="A50" t="s">
        <v>3323</v>
      </c>
      <c r="B50" t="s">
        <v>302</v>
      </c>
      <c r="C50" t="s">
        <v>62</v>
      </c>
      <c r="D50">
        <v>99999</v>
      </c>
      <c r="F50" s="109">
        <v>10000</v>
      </c>
      <c r="G50" t="b">
        <v>0</v>
      </c>
      <c r="H50" t="s">
        <v>335</v>
      </c>
      <c r="K50" t="s">
        <v>393</v>
      </c>
      <c r="L50" t="s">
        <v>303</v>
      </c>
      <c r="M50" t="s">
        <v>323</v>
      </c>
      <c r="N50" t="s">
        <v>63</v>
      </c>
      <c r="O50" s="110">
        <v>29.9</v>
      </c>
      <c r="R50" s="110">
        <v>344.89</v>
      </c>
      <c r="S50" s="110">
        <v>79.900000000000006</v>
      </c>
      <c r="T50" s="110">
        <v>0</v>
      </c>
      <c r="U50" s="110">
        <v>42.99</v>
      </c>
      <c r="X50">
        <v>152.09999999999994</v>
      </c>
      <c r="Y50">
        <v>69.900000000000006</v>
      </c>
      <c r="Z50">
        <v>69.900000000000006</v>
      </c>
      <c r="AA50">
        <v>0</v>
      </c>
      <c r="AB50" t="s">
        <v>363</v>
      </c>
      <c r="AF50" t="s">
        <v>1202</v>
      </c>
      <c r="AG50" t="s">
        <v>1202</v>
      </c>
      <c r="AH50" t="s">
        <v>1175</v>
      </c>
      <c r="AI50">
        <v>99999</v>
      </c>
      <c r="AJ50">
        <v>99999</v>
      </c>
      <c r="AK50">
        <v>699</v>
      </c>
      <c r="AL50" t="b">
        <v>1</v>
      </c>
      <c r="AM50" t="b">
        <v>1</v>
      </c>
      <c r="AN50" t="b">
        <v>0</v>
      </c>
      <c r="AO50">
        <v>99999</v>
      </c>
      <c r="AP50" t="s">
        <v>64</v>
      </c>
      <c r="AR50" t="b">
        <v>0</v>
      </c>
      <c r="AS50">
        <v>12</v>
      </c>
      <c r="AT50" t="s">
        <v>327</v>
      </c>
      <c r="AV50" t="s">
        <v>1233</v>
      </c>
      <c r="CRL50">
        <v>12</v>
      </c>
    </row>
    <row r="51" spans="1:48 2508:2508" x14ac:dyDescent="0.25">
      <c r="A51" t="s">
        <v>3323</v>
      </c>
      <c r="B51" t="s">
        <v>302</v>
      </c>
      <c r="C51" t="s">
        <v>62</v>
      </c>
      <c r="D51">
        <v>99999</v>
      </c>
      <c r="F51" s="109">
        <v>10000</v>
      </c>
      <c r="G51" t="b">
        <v>0</v>
      </c>
      <c r="H51" t="s">
        <v>335</v>
      </c>
      <c r="K51" t="s">
        <v>393</v>
      </c>
      <c r="L51" t="s">
        <v>303</v>
      </c>
      <c r="M51" t="s">
        <v>323</v>
      </c>
      <c r="N51" t="s">
        <v>63</v>
      </c>
      <c r="O51" s="110">
        <v>29.9</v>
      </c>
      <c r="R51" s="110">
        <v>364.89</v>
      </c>
      <c r="S51" s="110">
        <v>79.900000000000006</v>
      </c>
      <c r="T51" s="110">
        <v>0</v>
      </c>
      <c r="U51" s="110">
        <v>42.99</v>
      </c>
      <c r="X51">
        <v>172.09999999999994</v>
      </c>
      <c r="Y51">
        <v>69.900000000000006</v>
      </c>
      <c r="Z51">
        <v>69.900000000000006</v>
      </c>
      <c r="AA51">
        <v>0</v>
      </c>
      <c r="AB51" t="s">
        <v>363</v>
      </c>
      <c r="AF51" t="s">
        <v>1336</v>
      </c>
      <c r="AG51" t="s">
        <v>1336</v>
      </c>
      <c r="AH51" t="s">
        <v>1175</v>
      </c>
      <c r="AI51">
        <v>99999</v>
      </c>
      <c r="AJ51">
        <v>99999</v>
      </c>
      <c r="AK51">
        <v>699</v>
      </c>
      <c r="AL51" t="b">
        <v>1</v>
      </c>
      <c r="AM51" t="b">
        <v>1</v>
      </c>
      <c r="AN51" t="b">
        <v>0</v>
      </c>
      <c r="AO51">
        <v>99999</v>
      </c>
      <c r="AP51" t="s">
        <v>64</v>
      </c>
      <c r="AR51" t="b">
        <v>0</v>
      </c>
      <c r="AS51">
        <v>12</v>
      </c>
      <c r="AT51" t="s">
        <v>327</v>
      </c>
      <c r="AV51" t="s">
        <v>1367</v>
      </c>
      <c r="CRL51">
        <v>12</v>
      </c>
    </row>
    <row r="52" spans="1:48 2508:2508" x14ac:dyDescent="0.25">
      <c r="A52" t="s">
        <v>3323</v>
      </c>
      <c r="B52" t="s">
        <v>302</v>
      </c>
      <c r="C52" t="s">
        <v>62</v>
      </c>
      <c r="D52">
        <v>99999</v>
      </c>
      <c r="F52" s="109">
        <v>10000</v>
      </c>
      <c r="G52" t="b">
        <v>0</v>
      </c>
      <c r="H52" t="s">
        <v>335</v>
      </c>
      <c r="K52" t="s">
        <v>393</v>
      </c>
      <c r="L52" t="s">
        <v>303</v>
      </c>
      <c r="M52" t="s">
        <v>323</v>
      </c>
      <c r="N52" t="s">
        <v>63</v>
      </c>
      <c r="O52" s="110">
        <v>29.9</v>
      </c>
      <c r="R52" s="110">
        <v>384.89</v>
      </c>
      <c r="S52" s="110">
        <v>85</v>
      </c>
      <c r="T52" s="110">
        <v>0</v>
      </c>
      <c r="U52" s="110">
        <v>42.99</v>
      </c>
      <c r="X52">
        <v>186.99999999999994</v>
      </c>
      <c r="Y52">
        <v>69.900000000000006</v>
      </c>
      <c r="Z52">
        <v>69.900000000000006</v>
      </c>
      <c r="AA52">
        <v>0</v>
      </c>
      <c r="AB52" t="s">
        <v>363</v>
      </c>
      <c r="AF52" t="s">
        <v>1484</v>
      </c>
      <c r="AG52" t="s">
        <v>1484</v>
      </c>
      <c r="AH52" t="s">
        <v>1175</v>
      </c>
      <c r="AI52">
        <v>99999</v>
      </c>
      <c r="AJ52">
        <v>99999</v>
      </c>
      <c r="AK52">
        <v>699</v>
      </c>
      <c r="AL52" t="b">
        <v>1</v>
      </c>
      <c r="AM52" t="b">
        <v>1</v>
      </c>
      <c r="AN52" t="b">
        <v>0</v>
      </c>
      <c r="AO52">
        <v>99999</v>
      </c>
      <c r="AP52" t="s">
        <v>64</v>
      </c>
      <c r="AR52" t="b">
        <v>0</v>
      </c>
      <c r="AS52">
        <v>12</v>
      </c>
      <c r="AT52" t="s">
        <v>327</v>
      </c>
      <c r="AV52" t="s">
        <v>1515</v>
      </c>
      <c r="CRL52">
        <v>12</v>
      </c>
    </row>
    <row r="53" spans="1:48 2508:2508" x14ac:dyDescent="0.25">
      <c r="A53" t="s">
        <v>3323</v>
      </c>
      <c r="B53" t="s">
        <v>302</v>
      </c>
      <c r="C53" t="s">
        <v>62</v>
      </c>
      <c r="D53">
        <v>99999</v>
      </c>
      <c r="F53" s="109">
        <v>10000</v>
      </c>
      <c r="G53" t="b">
        <v>0</v>
      </c>
      <c r="H53" t="s">
        <v>335</v>
      </c>
      <c r="K53" t="s">
        <v>393</v>
      </c>
      <c r="L53" t="s">
        <v>303</v>
      </c>
      <c r="M53" t="s">
        <v>323</v>
      </c>
      <c r="N53" t="s">
        <v>63</v>
      </c>
      <c r="O53" s="110">
        <v>39.9</v>
      </c>
      <c r="R53" s="110">
        <v>344.89</v>
      </c>
      <c r="S53" s="110">
        <v>79.900000000000006</v>
      </c>
      <c r="T53" s="110">
        <v>0</v>
      </c>
      <c r="U53" s="110">
        <v>42.99</v>
      </c>
      <c r="X53">
        <v>152.09999999999994</v>
      </c>
      <c r="Y53">
        <v>69.900000000000006</v>
      </c>
      <c r="Z53">
        <v>69.900000000000006</v>
      </c>
      <c r="AA53">
        <v>0</v>
      </c>
      <c r="AB53" t="s">
        <v>363</v>
      </c>
      <c r="AF53" t="s">
        <v>1269</v>
      </c>
      <c r="AG53" t="s">
        <v>1269</v>
      </c>
      <c r="AH53" t="s">
        <v>1175</v>
      </c>
      <c r="AI53">
        <v>99999</v>
      </c>
      <c r="AJ53">
        <v>99999</v>
      </c>
      <c r="AK53">
        <v>699</v>
      </c>
      <c r="AL53" t="b">
        <v>1</v>
      </c>
      <c r="AM53" t="b">
        <v>1</v>
      </c>
      <c r="AN53" t="b">
        <v>0</v>
      </c>
      <c r="AO53">
        <v>99999</v>
      </c>
      <c r="AP53" t="s">
        <v>64</v>
      </c>
      <c r="AR53" t="b">
        <v>0</v>
      </c>
      <c r="AS53">
        <v>12</v>
      </c>
      <c r="AT53" t="s">
        <v>327</v>
      </c>
      <c r="AV53" t="s">
        <v>1300</v>
      </c>
      <c r="CRL53">
        <v>12</v>
      </c>
    </row>
    <row r="54" spans="1:48 2508:2508" x14ac:dyDescent="0.25">
      <c r="A54" t="s">
        <v>3323</v>
      </c>
      <c r="B54" t="s">
        <v>302</v>
      </c>
      <c r="C54" t="s">
        <v>62</v>
      </c>
      <c r="D54">
        <v>99999</v>
      </c>
      <c r="F54" s="109">
        <v>10000</v>
      </c>
      <c r="G54" t="b">
        <v>0</v>
      </c>
      <c r="H54" t="s">
        <v>335</v>
      </c>
      <c r="K54" t="s">
        <v>393</v>
      </c>
      <c r="L54" t="s">
        <v>303</v>
      </c>
      <c r="M54" t="s">
        <v>323</v>
      </c>
      <c r="N54" t="s">
        <v>63</v>
      </c>
      <c r="O54" s="110">
        <v>39.9</v>
      </c>
      <c r="R54" s="110">
        <v>364.89</v>
      </c>
      <c r="S54" s="110">
        <v>79.900000000000006</v>
      </c>
      <c r="T54" s="110">
        <v>0</v>
      </c>
      <c r="U54" s="110">
        <v>42.99</v>
      </c>
      <c r="X54">
        <v>172.09999999999994</v>
      </c>
      <c r="Y54">
        <v>69.900000000000006</v>
      </c>
      <c r="Z54">
        <v>69.900000000000006</v>
      </c>
      <c r="AA54">
        <v>0</v>
      </c>
      <c r="AB54" t="s">
        <v>363</v>
      </c>
      <c r="AF54" t="s">
        <v>1403</v>
      </c>
      <c r="AG54" t="s">
        <v>1403</v>
      </c>
      <c r="AH54" t="s">
        <v>1175</v>
      </c>
      <c r="AI54">
        <v>99999</v>
      </c>
      <c r="AJ54">
        <v>99999</v>
      </c>
      <c r="AK54">
        <v>699</v>
      </c>
      <c r="AL54" t="b">
        <v>1</v>
      </c>
      <c r="AM54" t="b">
        <v>1</v>
      </c>
      <c r="AN54" t="b">
        <v>0</v>
      </c>
      <c r="AO54">
        <v>99999</v>
      </c>
      <c r="AP54" t="s">
        <v>64</v>
      </c>
      <c r="AR54" t="b">
        <v>0</v>
      </c>
      <c r="AS54">
        <v>12</v>
      </c>
      <c r="AT54" t="s">
        <v>327</v>
      </c>
      <c r="AV54" t="s">
        <v>1434</v>
      </c>
      <c r="CRL54">
        <v>12</v>
      </c>
    </row>
    <row r="55" spans="1:48 2508:2508" x14ac:dyDescent="0.25">
      <c r="A55" t="s">
        <v>3323</v>
      </c>
      <c r="B55" t="s">
        <v>302</v>
      </c>
      <c r="C55" t="s">
        <v>62</v>
      </c>
      <c r="D55">
        <v>99999</v>
      </c>
      <c r="F55" s="109">
        <v>10000</v>
      </c>
      <c r="G55" t="b">
        <v>0</v>
      </c>
      <c r="H55" t="s">
        <v>335</v>
      </c>
      <c r="K55" t="s">
        <v>393</v>
      </c>
      <c r="L55" t="s">
        <v>303</v>
      </c>
      <c r="M55" t="s">
        <v>323</v>
      </c>
      <c r="N55" t="s">
        <v>63</v>
      </c>
      <c r="O55" s="110">
        <v>39.9</v>
      </c>
      <c r="R55" s="110">
        <v>384.89</v>
      </c>
      <c r="S55" s="110">
        <v>85</v>
      </c>
      <c r="T55" s="110">
        <v>0</v>
      </c>
      <c r="U55" s="110">
        <v>42.99</v>
      </c>
      <c r="X55">
        <v>186.99999999999994</v>
      </c>
      <c r="Y55">
        <v>69.900000000000006</v>
      </c>
      <c r="Z55">
        <v>69.900000000000006</v>
      </c>
      <c r="AA55">
        <v>0</v>
      </c>
      <c r="AB55" t="s">
        <v>363</v>
      </c>
      <c r="AF55" t="s">
        <v>1551</v>
      </c>
      <c r="AG55" t="s">
        <v>1551</v>
      </c>
      <c r="AH55" t="s">
        <v>1175</v>
      </c>
      <c r="AI55">
        <v>99999</v>
      </c>
      <c r="AJ55">
        <v>99999</v>
      </c>
      <c r="AK55">
        <v>699</v>
      </c>
      <c r="AL55" t="b">
        <v>1</v>
      </c>
      <c r="AM55" t="b">
        <v>1</v>
      </c>
      <c r="AN55" t="b">
        <v>0</v>
      </c>
      <c r="AO55">
        <v>99999</v>
      </c>
      <c r="AP55" t="s">
        <v>64</v>
      </c>
      <c r="AR55" t="b">
        <v>0</v>
      </c>
      <c r="AS55">
        <v>12</v>
      </c>
      <c r="AT55" t="s">
        <v>327</v>
      </c>
      <c r="AV55" t="s">
        <v>1582</v>
      </c>
      <c r="CRL55">
        <v>12</v>
      </c>
    </row>
    <row r="56" spans="1:48 2508:2508" x14ac:dyDescent="0.25">
      <c r="A56" t="s">
        <v>3323</v>
      </c>
      <c r="B56" t="s">
        <v>302</v>
      </c>
      <c r="C56" t="s">
        <v>62</v>
      </c>
      <c r="D56">
        <v>99999</v>
      </c>
      <c r="F56" s="109">
        <v>10000</v>
      </c>
      <c r="G56" t="b">
        <v>0</v>
      </c>
      <c r="H56" t="s">
        <v>335</v>
      </c>
      <c r="K56" t="s">
        <v>393</v>
      </c>
      <c r="L56" t="s">
        <v>303</v>
      </c>
      <c r="M56" t="s">
        <v>323</v>
      </c>
      <c r="N56" t="s">
        <v>63</v>
      </c>
      <c r="O56" s="110">
        <v>49.9</v>
      </c>
      <c r="R56" s="110">
        <v>370.68999999999994</v>
      </c>
      <c r="S56" s="110">
        <v>130</v>
      </c>
      <c r="T56" s="110">
        <v>0</v>
      </c>
      <c r="U56" s="110">
        <v>34.99</v>
      </c>
      <c r="X56">
        <v>135.79999999999995</v>
      </c>
      <c r="Y56">
        <v>69.900000000000006</v>
      </c>
      <c r="Z56">
        <v>69.900000000000006</v>
      </c>
      <c r="AA56">
        <v>0</v>
      </c>
      <c r="AB56" t="s">
        <v>363</v>
      </c>
      <c r="AF56" t="s">
        <v>2771</v>
      </c>
      <c r="AG56" t="s">
        <v>2771</v>
      </c>
      <c r="AH56" t="s">
        <v>1175</v>
      </c>
      <c r="AI56">
        <v>99999</v>
      </c>
      <c r="AJ56">
        <v>99999</v>
      </c>
      <c r="AK56">
        <v>699</v>
      </c>
      <c r="AL56" t="b">
        <v>1</v>
      </c>
      <c r="AM56" t="b">
        <v>1</v>
      </c>
      <c r="AN56" t="b">
        <v>0</v>
      </c>
      <c r="AO56">
        <v>99999</v>
      </c>
      <c r="AP56" t="s">
        <v>64</v>
      </c>
      <c r="AR56" t="b">
        <v>0</v>
      </c>
      <c r="AS56">
        <v>12</v>
      </c>
      <c r="AT56" t="s">
        <v>327</v>
      </c>
      <c r="AV56" t="s">
        <v>2802</v>
      </c>
      <c r="CRL56">
        <v>12</v>
      </c>
    </row>
    <row r="57" spans="1:48 2508:2508" x14ac:dyDescent="0.25">
      <c r="A57" t="s">
        <v>3323</v>
      </c>
      <c r="B57" t="s">
        <v>302</v>
      </c>
      <c r="C57" t="s">
        <v>62</v>
      </c>
      <c r="D57">
        <v>99999</v>
      </c>
      <c r="F57" s="109">
        <v>10000</v>
      </c>
      <c r="G57" t="b">
        <v>0</v>
      </c>
      <c r="H57" t="s">
        <v>335</v>
      </c>
      <c r="K57" t="s">
        <v>393</v>
      </c>
      <c r="L57" t="s">
        <v>303</v>
      </c>
      <c r="M57" t="s">
        <v>323</v>
      </c>
      <c r="N57" t="s">
        <v>63</v>
      </c>
      <c r="O57" s="110">
        <v>49.9</v>
      </c>
      <c r="R57" s="110">
        <v>394.98999999999995</v>
      </c>
      <c r="S57" s="110">
        <v>130</v>
      </c>
      <c r="T57" s="110">
        <v>0</v>
      </c>
      <c r="U57" s="110">
        <v>42.99</v>
      </c>
      <c r="X57">
        <v>152.09999999999994</v>
      </c>
      <c r="Y57">
        <v>69.900000000000006</v>
      </c>
      <c r="Z57">
        <v>69.900000000000006</v>
      </c>
      <c r="AA57">
        <v>0</v>
      </c>
      <c r="AB57" t="s">
        <v>363</v>
      </c>
      <c r="AF57" t="s">
        <v>2845</v>
      </c>
      <c r="AG57" t="s">
        <v>2845</v>
      </c>
      <c r="AH57" t="s">
        <v>1175</v>
      </c>
      <c r="AI57">
        <v>99999</v>
      </c>
      <c r="AJ57">
        <v>99999</v>
      </c>
      <c r="AK57">
        <v>699</v>
      </c>
      <c r="AL57" t="b">
        <v>1</v>
      </c>
      <c r="AM57" t="b">
        <v>1</v>
      </c>
      <c r="AN57" t="b">
        <v>0</v>
      </c>
      <c r="AO57">
        <v>99999</v>
      </c>
      <c r="AP57" t="s">
        <v>64</v>
      </c>
      <c r="AR57" t="b">
        <v>0</v>
      </c>
      <c r="AS57">
        <v>12</v>
      </c>
      <c r="AT57" t="s">
        <v>327</v>
      </c>
      <c r="AV57" t="s">
        <v>2876</v>
      </c>
      <c r="CRL57">
        <v>12</v>
      </c>
    </row>
    <row r="58" spans="1:48 2508:2508" x14ac:dyDescent="0.25">
      <c r="A58" t="s">
        <v>3323</v>
      </c>
      <c r="B58" t="s">
        <v>302</v>
      </c>
      <c r="C58" t="s">
        <v>62</v>
      </c>
      <c r="D58">
        <v>99999</v>
      </c>
      <c r="F58" s="109">
        <v>10000</v>
      </c>
      <c r="G58" t="b">
        <v>0</v>
      </c>
      <c r="H58" t="s">
        <v>335</v>
      </c>
      <c r="K58" t="s">
        <v>393</v>
      </c>
      <c r="L58" t="s">
        <v>303</v>
      </c>
      <c r="M58" t="s">
        <v>323</v>
      </c>
      <c r="N58" t="s">
        <v>63</v>
      </c>
      <c r="O58" s="110">
        <v>49.9</v>
      </c>
      <c r="R58" s="110">
        <v>414.98999999999995</v>
      </c>
      <c r="S58" s="110">
        <v>130</v>
      </c>
      <c r="T58" s="110">
        <v>0</v>
      </c>
      <c r="U58" s="110">
        <v>42.99</v>
      </c>
      <c r="X58">
        <v>172.09999999999994</v>
      </c>
      <c r="Y58">
        <v>69.900000000000006</v>
      </c>
      <c r="Z58">
        <v>69.900000000000006</v>
      </c>
      <c r="AA58">
        <v>0</v>
      </c>
      <c r="AB58" t="s">
        <v>363</v>
      </c>
      <c r="AF58" t="s">
        <v>2912</v>
      </c>
      <c r="AG58" t="s">
        <v>2912</v>
      </c>
      <c r="AH58" t="s">
        <v>1175</v>
      </c>
      <c r="AI58">
        <v>99999</v>
      </c>
      <c r="AJ58">
        <v>99999</v>
      </c>
      <c r="AK58">
        <v>699</v>
      </c>
      <c r="AL58" t="b">
        <v>1</v>
      </c>
      <c r="AM58" t="b">
        <v>1</v>
      </c>
      <c r="AN58" t="b">
        <v>0</v>
      </c>
      <c r="AO58">
        <v>99999</v>
      </c>
      <c r="AP58" t="s">
        <v>64</v>
      </c>
      <c r="AR58" t="b">
        <v>0</v>
      </c>
      <c r="AS58">
        <v>12</v>
      </c>
      <c r="AT58" t="s">
        <v>327</v>
      </c>
      <c r="AV58" t="s">
        <v>2943</v>
      </c>
      <c r="CRL58">
        <v>12</v>
      </c>
    </row>
    <row r="59" spans="1:48 2508:2508" x14ac:dyDescent="0.25">
      <c r="A59" t="s">
        <v>3323</v>
      </c>
      <c r="B59" t="s">
        <v>302</v>
      </c>
      <c r="C59" t="s">
        <v>62</v>
      </c>
      <c r="D59">
        <v>99999</v>
      </c>
      <c r="F59" s="109">
        <v>10000</v>
      </c>
      <c r="G59" t="b">
        <v>0</v>
      </c>
      <c r="H59" t="s">
        <v>335</v>
      </c>
      <c r="K59" t="s">
        <v>393</v>
      </c>
      <c r="L59" t="s">
        <v>303</v>
      </c>
      <c r="M59" t="s">
        <v>323</v>
      </c>
      <c r="N59" t="s">
        <v>63</v>
      </c>
      <c r="O59" s="110">
        <v>49.9</v>
      </c>
      <c r="R59" s="110">
        <v>429.89</v>
      </c>
      <c r="S59" s="110">
        <v>130</v>
      </c>
      <c r="T59" s="110">
        <v>0</v>
      </c>
      <c r="U59" s="110">
        <v>42.99</v>
      </c>
      <c r="X59">
        <v>186.99999999999994</v>
      </c>
      <c r="Y59">
        <v>69.900000000000006</v>
      </c>
      <c r="Z59">
        <v>69.900000000000006</v>
      </c>
      <c r="AA59">
        <v>0</v>
      </c>
      <c r="AB59" t="s">
        <v>363</v>
      </c>
      <c r="AF59" t="s">
        <v>2986</v>
      </c>
      <c r="AG59" t="s">
        <v>2986</v>
      </c>
      <c r="AH59" t="s">
        <v>1175</v>
      </c>
      <c r="AI59">
        <v>99999</v>
      </c>
      <c r="AJ59">
        <v>99999</v>
      </c>
      <c r="AK59">
        <v>699</v>
      </c>
      <c r="AL59" t="b">
        <v>1</v>
      </c>
      <c r="AM59" t="b">
        <v>1</v>
      </c>
      <c r="AN59" t="b">
        <v>0</v>
      </c>
      <c r="AO59">
        <v>99999</v>
      </c>
      <c r="AP59" t="s">
        <v>64</v>
      </c>
      <c r="AR59" t="b">
        <v>0</v>
      </c>
      <c r="AS59">
        <v>12</v>
      </c>
      <c r="AT59" t="s">
        <v>327</v>
      </c>
      <c r="AV59" t="s">
        <v>3017</v>
      </c>
      <c r="CRL59">
        <v>12</v>
      </c>
    </row>
    <row r="60" spans="1:48 2508:2508" x14ac:dyDescent="0.25">
      <c r="A60" t="s">
        <v>3323</v>
      </c>
      <c r="B60" t="s">
        <v>302</v>
      </c>
      <c r="C60" t="s">
        <v>62</v>
      </c>
      <c r="D60">
        <v>99999</v>
      </c>
      <c r="F60" s="109">
        <v>10000</v>
      </c>
      <c r="G60" t="b">
        <v>0</v>
      </c>
      <c r="H60" t="s">
        <v>335</v>
      </c>
      <c r="K60" t="s">
        <v>364</v>
      </c>
      <c r="L60" t="s">
        <v>303</v>
      </c>
      <c r="M60" t="s">
        <v>323</v>
      </c>
      <c r="N60" t="s">
        <v>63</v>
      </c>
      <c r="O60" s="110">
        <v>29.9</v>
      </c>
      <c r="R60" s="110">
        <v>324.89</v>
      </c>
      <c r="S60" s="110">
        <v>79.900000000000006</v>
      </c>
      <c r="T60" s="110">
        <v>0</v>
      </c>
      <c r="U60" s="110">
        <v>42.99</v>
      </c>
      <c r="X60">
        <v>152.09999999999994</v>
      </c>
      <c r="Y60">
        <v>49.9</v>
      </c>
      <c r="Z60">
        <v>49.9</v>
      </c>
      <c r="AA60">
        <v>0</v>
      </c>
      <c r="AB60" t="s">
        <v>363</v>
      </c>
      <c r="AF60" t="s">
        <v>1202</v>
      </c>
      <c r="AG60" t="s">
        <v>1202</v>
      </c>
      <c r="AH60" t="s">
        <v>1175</v>
      </c>
      <c r="AI60">
        <v>99999</v>
      </c>
      <c r="AJ60">
        <v>99999</v>
      </c>
      <c r="AK60">
        <v>699</v>
      </c>
      <c r="AL60" t="b">
        <v>1</v>
      </c>
      <c r="AM60" t="b">
        <v>1</v>
      </c>
      <c r="AN60" t="b">
        <v>0</v>
      </c>
      <c r="AO60">
        <v>99999</v>
      </c>
      <c r="AP60" t="s">
        <v>64</v>
      </c>
      <c r="AR60" t="b">
        <v>0</v>
      </c>
      <c r="AS60">
        <v>12</v>
      </c>
      <c r="AT60" t="s">
        <v>327</v>
      </c>
      <c r="AV60" t="s">
        <v>1207</v>
      </c>
      <c r="CRL60">
        <v>12</v>
      </c>
    </row>
    <row r="61" spans="1:48 2508:2508" x14ac:dyDescent="0.25">
      <c r="A61" t="s">
        <v>3323</v>
      </c>
      <c r="B61" t="s">
        <v>302</v>
      </c>
      <c r="C61" t="s">
        <v>62</v>
      </c>
      <c r="D61">
        <v>99999</v>
      </c>
      <c r="F61" s="109">
        <v>10000</v>
      </c>
      <c r="G61" t="b">
        <v>0</v>
      </c>
      <c r="H61" t="s">
        <v>335</v>
      </c>
      <c r="K61" t="s">
        <v>364</v>
      </c>
      <c r="L61" t="s">
        <v>303</v>
      </c>
      <c r="M61" t="s">
        <v>323</v>
      </c>
      <c r="N61" t="s">
        <v>63</v>
      </c>
      <c r="O61" s="110">
        <v>29.9</v>
      </c>
      <c r="R61" s="110">
        <v>344.89</v>
      </c>
      <c r="S61" s="110">
        <v>79.900000000000006</v>
      </c>
      <c r="T61" s="110">
        <v>0</v>
      </c>
      <c r="U61" s="110">
        <v>42.99</v>
      </c>
      <c r="X61">
        <v>172.09999999999994</v>
      </c>
      <c r="Y61">
        <v>49.9</v>
      </c>
      <c r="Z61">
        <v>49.9</v>
      </c>
      <c r="AA61">
        <v>0</v>
      </c>
      <c r="AB61" t="s">
        <v>363</v>
      </c>
      <c r="AF61" t="s">
        <v>1336</v>
      </c>
      <c r="AG61" t="s">
        <v>1336</v>
      </c>
      <c r="AH61" t="s">
        <v>1175</v>
      </c>
      <c r="AI61">
        <v>99999</v>
      </c>
      <c r="AJ61">
        <v>99999</v>
      </c>
      <c r="AK61">
        <v>699</v>
      </c>
      <c r="AL61" t="b">
        <v>1</v>
      </c>
      <c r="AM61" t="b">
        <v>1</v>
      </c>
      <c r="AN61" t="b">
        <v>0</v>
      </c>
      <c r="AO61">
        <v>99999</v>
      </c>
      <c r="AP61" t="s">
        <v>64</v>
      </c>
      <c r="AR61" t="b">
        <v>0</v>
      </c>
      <c r="AS61">
        <v>12</v>
      </c>
      <c r="AT61" t="s">
        <v>327</v>
      </c>
      <c r="AV61" t="s">
        <v>1341</v>
      </c>
      <c r="CRL61">
        <v>12</v>
      </c>
    </row>
    <row r="62" spans="1:48 2508:2508" x14ac:dyDescent="0.25">
      <c r="A62" t="s">
        <v>3323</v>
      </c>
      <c r="B62" t="s">
        <v>302</v>
      </c>
      <c r="C62" t="s">
        <v>62</v>
      </c>
      <c r="D62">
        <v>99999</v>
      </c>
      <c r="F62" s="109">
        <v>10000</v>
      </c>
      <c r="G62" t="b">
        <v>0</v>
      </c>
      <c r="H62" t="s">
        <v>335</v>
      </c>
      <c r="K62" t="s">
        <v>364</v>
      </c>
      <c r="L62" t="s">
        <v>303</v>
      </c>
      <c r="M62" t="s">
        <v>323</v>
      </c>
      <c r="N62" t="s">
        <v>63</v>
      </c>
      <c r="O62" s="110">
        <v>29.9</v>
      </c>
      <c r="R62" s="110">
        <v>364.88999999999993</v>
      </c>
      <c r="S62" s="110">
        <v>85</v>
      </c>
      <c r="T62" s="110">
        <v>0</v>
      </c>
      <c r="U62" s="110">
        <v>42.99</v>
      </c>
      <c r="X62">
        <v>186.99999999999994</v>
      </c>
      <c r="Y62">
        <v>49.9</v>
      </c>
      <c r="Z62">
        <v>49.9</v>
      </c>
      <c r="AA62">
        <v>0</v>
      </c>
      <c r="AB62" t="s">
        <v>363</v>
      </c>
      <c r="AF62" t="s">
        <v>1484</v>
      </c>
      <c r="AG62" t="s">
        <v>1484</v>
      </c>
      <c r="AH62" t="s">
        <v>1175</v>
      </c>
      <c r="AI62">
        <v>99999</v>
      </c>
      <c r="AJ62">
        <v>99999</v>
      </c>
      <c r="AK62">
        <v>699</v>
      </c>
      <c r="AL62" t="b">
        <v>1</v>
      </c>
      <c r="AM62" t="b">
        <v>1</v>
      </c>
      <c r="AN62" t="b">
        <v>0</v>
      </c>
      <c r="AO62">
        <v>99999</v>
      </c>
      <c r="AP62" t="s">
        <v>64</v>
      </c>
      <c r="AR62" t="b">
        <v>0</v>
      </c>
      <c r="AS62">
        <v>12</v>
      </c>
      <c r="AT62" t="s">
        <v>327</v>
      </c>
      <c r="AV62" t="s">
        <v>1489</v>
      </c>
      <c r="CRL62">
        <v>12</v>
      </c>
    </row>
    <row r="63" spans="1:48 2508:2508" x14ac:dyDescent="0.25">
      <c r="A63" t="s">
        <v>3323</v>
      </c>
      <c r="B63" t="s">
        <v>302</v>
      </c>
      <c r="C63" t="s">
        <v>62</v>
      </c>
      <c r="D63">
        <v>99999</v>
      </c>
      <c r="F63" s="109">
        <v>10000</v>
      </c>
      <c r="G63" t="b">
        <v>0</v>
      </c>
      <c r="H63" t="s">
        <v>335</v>
      </c>
      <c r="K63" t="s">
        <v>364</v>
      </c>
      <c r="L63" t="s">
        <v>303</v>
      </c>
      <c r="M63" t="s">
        <v>323</v>
      </c>
      <c r="N63" t="s">
        <v>63</v>
      </c>
      <c r="O63" s="110">
        <v>39.9</v>
      </c>
      <c r="R63" s="110">
        <v>324.89</v>
      </c>
      <c r="S63" s="110">
        <v>79.900000000000006</v>
      </c>
      <c r="T63" s="110">
        <v>0</v>
      </c>
      <c r="U63" s="110">
        <v>42.99</v>
      </c>
      <c r="X63">
        <v>152.09999999999994</v>
      </c>
      <c r="Y63">
        <v>49.9</v>
      </c>
      <c r="Z63">
        <v>49.9</v>
      </c>
      <c r="AA63">
        <v>0</v>
      </c>
      <c r="AB63" t="s">
        <v>363</v>
      </c>
      <c r="AF63" t="s">
        <v>1269</v>
      </c>
      <c r="AG63" t="s">
        <v>1269</v>
      </c>
      <c r="AH63" t="s">
        <v>1175</v>
      </c>
      <c r="AI63">
        <v>99999</v>
      </c>
      <c r="AJ63">
        <v>99999</v>
      </c>
      <c r="AK63">
        <v>699</v>
      </c>
      <c r="AL63" t="b">
        <v>1</v>
      </c>
      <c r="AM63" t="b">
        <v>1</v>
      </c>
      <c r="AN63" t="b">
        <v>0</v>
      </c>
      <c r="AO63">
        <v>99999</v>
      </c>
      <c r="AP63" t="s">
        <v>64</v>
      </c>
      <c r="AR63" t="b">
        <v>0</v>
      </c>
      <c r="AS63">
        <v>12</v>
      </c>
      <c r="AT63" t="s">
        <v>327</v>
      </c>
      <c r="AV63" t="s">
        <v>1274</v>
      </c>
      <c r="CRL63">
        <v>12</v>
      </c>
    </row>
    <row r="64" spans="1:48 2508:2508" x14ac:dyDescent="0.25">
      <c r="A64" t="s">
        <v>3323</v>
      </c>
      <c r="B64" t="s">
        <v>302</v>
      </c>
      <c r="C64" t="s">
        <v>62</v>
      </c>
      <c r="D64">
        <v>99999</v>
      </c>
      <c r="F64" s="109">
        <v>10000</v>
      </c>
      <c r="G64" t="b">
        <v>0</v>
      </c>
      <c r="H64" t="s">
        <v>335</v>
      </c>
      <c r="K64" t="s">
        <v>364</v>
      </c>
      <c r="L64" t="s">
        <v>303</v>
      </c>
      <c r="M64" t="s">
        <v>323</v>
      </c>
      <c r="N64" t="s">
        <v>63</v>
      </c>
      <c r="O64" s="110">
        <v>39.9</v>
      </c>
      <c r="R64" s="110">
        <v>344.89</v>
      </c>
      <c r="S64" s="110">
        <v>79.900000000000006</v>
      </c>
      <c r="T64" s="110">
        <v>0</v>
      </c>
      <c r="U64" s="110">
        <v>42.99</v>
      </c>
      <c r="X64">
        <v>172.09999999999994</v>
      </c>
      <c r="Y64">
        <v>49.9</v>
      </c>
      <c r="Z64">
        <v>49.9</v>
      </c>
      <c r="AA64">
        <v>0</v>
      </c>
      <c r="AB64" t="s">
        <v>363</v>
      </c>
      <c r="AF64" t="s">
        <v>1403</v>
      </c>
      <c r="AG64" t="s">
        <v>1403</v>
      </c>
      <c r="AH64" t="s">
        <v>1175</v>
      </c>
      <c r="AI64">
        <v>99999</v>
      </c>
      <c r="AJ64">
        <v>99999</v>
      </c>
      <c r="AK64">
        <v>699</v>
      </c>
      <c r="AL64" t="b">
        <v>1</v>
      </c>
      <c r="AM64" t="b">
        <v>1</v>
      </c>
      <c r="AN64" t="b">
        <v>0</v>
      </c>
      <c r="AO64">
        <v>99999</v>
      </c>
      <c r="AP64" t="s">
        <v>64</v>
      </c>
      <c r="AR64" t="b">
        <v>0</v>
      </c>
      <c r="AS64">
        <v>12</v>
      </c>
      <c r="AT64" t="s">
        <v>327</v>
      </c>
      <c r="AV64" t="s">
        <v>1408</v>
      </c>
      <c r="CRL64">
        <v>12</v>
      </c>
    </row>
    <row r="65" spans="1:48 2508:2508" x14ac:dyDescent="0.25">
      <c r="A65" t="s">
        <v>3323</v>
      </c>
      <c r="B65" t="s">
        <v>302</v>
      </c>
      <c r="C65" t="s">
        <v>62</v>
      </c>
      <c r="D65">
        <v>99999</v>
      </c>
      <c r="F65" s="109">
        <v>10000</v>
      </c>
      <c r="G65" t="b">
        <v>0</v>
      </c>
      <c r="H65" t="s">
        <v>335</v>
      </c>
      <c r="K65" t="s">
        <v>364</v>
      </c>
      <c r="L65" t="s">
        <v>303</v>
      </c>
      <c r="M65" t="s">
        <v>323</v>
      </c>
      <c r="N65" t="s">
        <v>63</v>
      </c>
      <c r="O65" s="110">
        <v>39.9</v>
      </c>
      <c r="R65" s="110">
        <v>364.88999999999993</v>
      </c>
      <c r="S65" s="110">
        <v>85</v>
      </c>
      <c r="T65" s="110">
        <v>0</v>
      </c>
      <c r="U65" s="110">
        <v>42.99</v>
      </c>
      <c r="X65">
        <v>186.99999999999994</v>
      </c>
      <c r="Y65">
        <v>49.9</v>
      </c>
      <c r="Z65">
        <v>49.9</v>
      </c>
      <c r="AA65">
        <v>0</v>
      </c>
      <c r="AB65" t="s">
        <v>363</v>
      </c>
      <c r="AF65" t="s">
        <v>1551</v>
      </c>
      <c r="AG65" t="s">
        <v>1551</v>
      </c>
      <c r="AH65" t="s">
        <v>1175</v>
      </c>
      <c r="AI65">
        <v>99999</v>
      </c>
      <c r="AJ65">
        <v>99999</v>
      </c>
      <c r="AK65">
        <v>699</v>
      </c>
      <c r="AL65" t="b">
        <v>1</v>
      </c>
      <c r="AM65" t="b">
        <v>1</v>
      </c>
      <c r="AN65" t="b">
        <v>0</v>
      </c>
      <c r="AO65">
        <v>99999</v>
      </c>
      <c r="AP65" t="s">
        <v>64</v>
      </c>
      <c r="AR65" t="b">
        <v>0</v>
      </c>
      <c r="AS65">
        <v>12</v>
      </c>
      <c r="AT65" t="s">
        <v>327</v>
      </c>
      <c r="AV65" t="s">
        <v>1556</v>
      </c>
      <c r="CRL65">
        <v>12</v>
      </c>
    </row>
    <row r="66" spans="1:48 2508:2508" x14ac:dyDescent="0.25">
      <c r="A66" t="s">
        <v>3323</v>
      </c>
      <c r="B66" t="s">
        <v>302</v>
      </c>
      <c r="C66" t="s">
        <v>62</v>
      </c>
      <c r="D66">
        <v>99999</v>
      </c>
      <c r="F66" s="109">
        <v>10000</v>
      </c>
      <c r="G66" t="b">
        <v>0</v>
      </c>
      <c r="H66" t="s">
        <v>335</v>
      </c>
      <c r="K66" t="s">
        <v>364</v>
      </c>
      <c r="L66" t="s">
        <v>303</v>
      </c>
      <c r="M66" t="s">
        <v>323</v>
      </c>
      <c r="N66" t="s">
        <v>63</v>
      </c>
      <c r="O66" s="110">
        <v>49.9</v>
      </c>
      <c r="R66" s="110">
        <v>350.68999999999994</v>
      </c>
      <c r="S66" s="110">
        <v>130</v>
      </c>
      <c r="T66" s="110">
        <v>0</v>
      </c>
      <c r="U66" s="110">
        <v>34.99</v>
      </c>
      <c r="X66">
        <v>135.79999999999995</v>
      </c>
      <c r="Y66">
        <v>49.9</v>
      </c>
      <c r="Z66">
        <v>49.9</v>
      </c>
      <c r="AA66">
        <v>0</v>
      </c>
      <c r="AB66" t="s">
        <v>363</v>
      </c>
      <c r="AF66" t="s">
        <v>2771</v>
      </c>
      <c r="AG66" t="s">
        <v>2771</v>
      </c>
      <c r="AH66" t="s">
        <v>1175</v>
      </c>
      <c r="AI66">
        <v>99999</v>
      </c>
      <c r="AJ66">
        <v>99999</v>
      </c>
      <c r="AK66">
        <v>699</v>
      </c>
      <c r="AL66" t="b">
        <v>1</v>
      </c>
      <c r="AM66" t="b">
        <v>1</v>
      </c>
      <c r="AN66" t="b">
        <v>0</v>
      </c>
      <c r="AO66">
        <v>99999</v>
      </c>
      <c r="AP66" t="s">
        <v>64</v>
      </c>
      <c r="AR66" t="b">
        <v>0</v>
      </c>
      <c r="AS66">
        <v>12</v>
      </c>
      <c r="AT66" t="s">
        <v>327</v>
      </c>
      <c r="AV66" t="s">
        <v>2776</v>
      </c>
      <c r="CRL66">
        <v>12</v>
      </c>
    </row>
    <row r="67" spans="1:48 2508:2508" x14ac:dyDescent="0.25">
      <c r="A67" t="s">
        <v>3323</v>
      </c>
      <c r="B67" t="s">
        <v>302</v>
      </c>
      <c r="C67" t="s">
        <v>62</v>
      </c>
      <c r="D67">
        <v>99999</v>
      </c>
      <c r="F67" s="109">
        <v>10000</v>
      </c>
      <c r="G67" t="b">
        <v>0</v>
      </c>
      <c r="H67" t="s">
        <v>335</v>
      </c>
      <c r="K67" t="s">
        <v>364</v>
      </c>
      <c r="L67" t="s">
        <v>303</v>
      </c>
      <c r="M67" t="s">
        <v>323</v>
      </c>
      <c r="N67" t="s">
        <v>63</v>
      </c>
      <c r="O67" s="110">
        <v>49.9</v>
      </c>
      <c r="R67" s="110">
        <v>374.9899999999999</v>
      </c>
      <c r="S67" s="110">
        <v>130</v>
      </c>
      <c r="T67" s="110">
        <v>0</v>
      </c>
      <c r="U67" s="110">
        <v>42.99</v>
      </c>
      <c r="X67">
        <v>152.09999999999994</v>
      </c>
      <c r="Y67">
        <v>49.9</v>
      </c>
      <c r="Z67">
        <v>49.9</v>
      </c>
      <c r="AA67">
        <v>0</v>
      </c>
      <c r="AB67" t="s">
        <v>363</v>
      </c>
      <c r="AF67" t="s">
        <v>2845</v>
      </c>
      <c r="AG67" t="s">
        <v>2845</v>
      </c>
      <c r="AH67" t="s">
        <v>1175</v>
      </c>
      <c r="AI67">
        <v>99999</v>
      </c>
      <c r="AJ67">
        <v>99999</v>
      </c>
      <c r="AK67">
        <v>699</v>
      </c>
      <c r="AL67" t="b">
        <v>1</v>
      </c>
      <c r="AM67" t="b">
        <v>1</v>
      </c>
      <c r="AN67" t="b">
        <v>0</v>
      </c>
      <c r="AO67">
        <v>99999</v>
      </c>
      <c r="AP67" t="s">
        <v>64</v>
      </c>
      <c r="AR67" t="b">
        <v>0</v>
      </c>
      <c r="AS67">
        <v>12</v>
      </c>
      <c r="AT67" t="s">
        <v>327</v>
      </c>
      <c r="AV67" t="s">
        <v>2850</v>
      </c>
      <c r="CRL67">
        <v>12</v>
      </c>
    </row>
    <row r="68" spans="1:48 2508:2508" x14ac:dyDescent="0.25">
      <c r="A68" t="s">
        <v>3323</v>
      </c>
      <c r="B68" t="s">
        <v>302</v>
      </c>
      <c r="C68" t="s">
        <v>62</v>
      </c>
      <c r="D68">
        <v>99999</v>
      </c>
      <c r="F68" s="109">
        <v>10000</v>
      </c>
      <c r="G68" t="b">
        <v>0</v>
      </c>
      <c r="H68" t="s">
        <v>335</v>
      </c>
      <c r="K68" t="s">
        <v>364</v>
      </c>
      <c r="L68" t="s">
        <v>303</v>
      </c>
      <c r="M68" t="s">
        <v>323</v>
      </c>
      <c r="N68" t="s">
        <v>63</v>
      </c>
      <c r="O68" s="110">
        <v>49.9</v>
      </c>
      <c r="R68" s="110">
        <v>394.9899999999999</v>
      </c>
      <c r="S68" s="110">
        <v>130</v>
      </c>
      <c r="T68" s="110">
        <v>0</v>
      </c>
      <c r="U68" s="110">
        <v>42.99</v>
      </c>
      <c r="X68">
        <v>172.09999999999994</v>
      </c>
      <c r="Y68">
        <v>49.9</v>
      </c>
      <c r="Z68">
        <v>49.9</v>
      </c>
      <c r="AA68">
        <v>0</v>
      </c>
      <c r="AB68" t="s">
        <v>363</v>
      </c>
      <c r="AF68" t="s">
        <v>2912</v>
      </c>
      <c r="AG68" t="s">
        <v>2912</v>
      </c>
      <c r="AH68" t="s">
        <v>1175</v>
      </c>
      <c r="AI68">
        <v>99999</v>
      </c>
      <c r="AJ68">
        <v>99999</v>
      </c>
      <c r="AK68">
        <v>699</v>
      </c>
      <c r="AL68" t="b">
        <v>1</v>
      </c>
      <c r="AM68" t="b">
        <v>1</v>
      </c>
      <c r="AN68" t="b">
        <v>0</v>
      </c>
      <c r="AO68">
        <v>99999</v>
      </c>
      <c r="AP68" t="s">
        <v>64</v>
      </c>
      <c r="AR68" t="b">
        <v>0</v>
      </c>
      <c r="AS68">
        <v>12</v>
      </c>
      <c r="AT68" t="s">
        <v>327</v>
      </c>
      <c r="AV68" t="s">
        <v>2917</v>
      </c>
      <c r="CRL68">
        <v>12</v>
      </c>
    </row>
    <row r="69" spans="1:48 2508:2508" x14ac:dyDescent="0.25">
      <c r="A69" t="s">
        <v>3323</v>
      </c>
      <c r="B69" t="s">
        <v>302</v>
      </c>
      <c r="C69" t="s">
        <v>62</v>
      </c>
      <c r="D69">
        <v>99999</v>
      </c>
      <c r="F69" s="109">
        <v>10000</v>
      </c>
      <c r="G69" t="b">
        <v>0</v>
      </c>
      <c r="H69" t="s">
        <v>335</v>
      </c>
      <c r="K69" t="s">
        <v>364</v>
      </c>
      <c r="L69" t="s">
        <v>303</v>
      </c>
      <c r="M69" t="s">
        <v>323</v>
      </c>
      <c r="N69" t="s">
        <v>63</v>
      </c>
      <c r="O69" s="110">
        <v>49.9</v>
      </c>
      <c r="R69" s="110">
        <v>409.88999999999993</v>
      </c>
      <c r="S69" s="110">
        <v>130</v>
      </c>
      <c r="T69" s="110">
        <v>0</v>
      </c>
      <c r="U69" s="110">
        <v>42.99</v>
      </c>
      <c r="X69">
        <v>186.99999999999994</v>
      </c>
      <c r="Y69">
        <v>49.9</v>
      </c>
      <c r="Z69">
        <v>49.9</v>
      </c>
      <c r="AA69">
        <v>0</v>
      </c>
      <c r="AB69" t="s">
        <v>363</v>
      </c>
      <c r="AF69" t="s">
        <v>2986</v>
      </c>
      <c r="AG69" t="s">
        <v>2986</v>
      </c>
      <c r="AH69" t="s">
        <v>1175</v>
      </c>
      <c r="AI69">
        <v>99999</v>
      </c>
      <c r="AJ69">
        <v>99999</v>
      </c>
      <c r="AK69">
        <v>699</v>
      </c>
      <c r="AL69" t="b">
        <v>1</v>
      </c>
      <c r="AM69" t="b">
        <v>1</v>
      </c>
      <c r="AN69" t="b">
        <v>0</v>
      </c>
      <c r="AO69">
        <v>99999</v>
      </c>
      <c r="AP69" t="s">
        <v>64</v>
      </c>
      <c r="AR69" t="b">
        <v>0</v>
      </c>
      <c r="AS69">
        <v>12</v>
      </c>
      <c r="AT69" t="s">
        <v>327</v>
      </c>
      <c r="AV69" t="s">
        <v>2991</v>
      </c>
      <c r="CRL69">
        <v>12</v>
      </c>
    </row>
    <row r="70" spans="1:48 2508:2508" x14ac:dyDescent="0.25">
      <c r="A70" t="s">
        <v>3323</v>
      </c>
      <c r="B70" t="s">
        <v>302</v>
      </c>
      <c r="C70" t="s">
        <v>62</v>
      </c>
      <c r="D70">
        <v>99999</v>
      </c>
      <c r="F70" s="109">
        <v>10000</v>
      </c>
      <c r="G70" t="b">
        <v>0</v>
      </c>
      <c r="H70" t="s">
        <v>335</v>
      </c>
      <c r="K70" t="s">
        <v>379</v>
      </c>
      <c r="L70" t="s">
        <v>303</v>
      </c>
      <c r="M70" t="s">
        <v>323</v>
      </c>
      <c r="N70" t="s">
        <v>63</v>
      </c>
      <c r="O70" s="110">
        <v>29.9</v>
      </c>
      <c r="R70" s="110">
        <v>334.89</v>
      </c>
      <c r="S70" s="110">
        <v>79.900000000000006</v>
      </c>
      <c r="T70" s="110">
        <v>0</v>
      </c>
      <c r="U70" s="110">
        <v>42.99</v>
      </c>
      <c r="X70">
        <v>152.09999999999994</v>
      </c>
      <c r="Y70">
        <v>59.9</v>
      </c>
      <c r="Z70">
        <v>59.9</v>
      </c>
      <c r="AA70">
        <v>0</v>
      </c>
      <c r="AB70" t="s">
        <v>363</v>
      </c>
      <c r="AF70" t="s">
        <v>1202</v>
      </c>
      <c r="AG70" t="s">
        <v>1202</v>
      </c>
      <c r="AH70" t="s">
        <v>1175</v>
      </c>
      <c r="AI70">
        <v>99999</v>
      </c>
      <c r="AJ70">
        <v>99999</v>
      </c>
      <c r="AK70">
        <v>699</v>
      </c>
      <c r="AL70" t="b">
        <v>1</v>
      </c>
      <c r="AM70" t="b">
        <v>1</v>
      </c>
      <c r="AN70" t="b">
        <v>0</v>
      </c>
      <c r="AO70">
        <v>99999</v>
      </c>
      <c r="AP70" t="s">
        <v>64</v>
      </c>
      <c r="AR70" t="b">
        <v>0</v>
      </c>
      <c r="AS70">
        <v>12</v>
      </c>
      <c r="AT70" t="s">
        <v>327</v>
      </c>
      <c r="AV70" t="s">
        <v>1220</v>
      </c>
      <c r="CRL70">
        <v>12</v>
      </c>
    </row>
    <row r="71" spans="1:48 2508:2508" x14ac:dyDescent="0.25">
      <c r="A71" t="s">
        <v>3323</v>
      </c>
      <c r="B71" t="s">
        <v>302</v>
      </c>
      <c r="C71" t="s">
        <v>62</v>
      </c>
      <c r="D71">
        <v>99999</v>
      </c>
      <c r="F71" s="109">
        <v>10000</v>
      </c>
      <c r="G71" t="b">
        <v>0</v>
      </c>
      <c r="H71" t="s">
        <v>335</v>
      </c>
      <c r="K71" t="s">
        <v>379</v>
      </c>
      <c r="L71" t="s">
        <v>303</v>
      </c>
      <c r="M71" t="s">
        <v>323</v>
      </c>
      <c r="N71" t="s">
        <v>63</v>
      </c>
      <c r="O71" s="110">
        <v>29.9</v>
      </c>
      <c r="R71" s="110">
        <v>354.89</v>
      </c>
      <c r="S71" s="110">
        <v>79.900000000000006</v>
      </c>
      <c r="T71" s="110">
        <v>0</v>
      </c>
      <c r="U71" s="110">
        <v>42.99</v>
      </c>
      <c r="X71">
        <v>172.09999999999994</v>
      </c>
      <c r="Y71">
        <v>59.9</v>
      </c>
      <c r="Z71">
        <v>59.9</v>
      </c>
      <c r="AA71">
        <v>0</v>
      </c>
      <c r="AB71" t="s">
        <v>363</v>
      </c>
      <c r="AF71" t="s">
        <v>1336</v>
      </c>
      <c r="AG71" t="s">
        <v>1336</v>
      </c>
      <c r="AH71" t="s">
        <v>1175</v>
      </c>
      <c r="AI71">
        <v>99999</v>
      </c>
      <c r="AJ71">
        <v>99999</v>
      </c>
      <c r="AK71">
        <v>699</v>
      </c>
      <c r="AL71" t="b">
        <v>1</v>
      </c>
      <c r="AM71" t="b">
        <v>1</v>
      </c>
      <c r="AN71" t="b">
        <v>0</v>
      </c>
      <c r="AO71">
        <v>99999</v>
      </c>
      <c r="AP71" t="s">
        <v>64</v>
      </c>
      <c r="AR71" t="b">
        <v>0</v>
      </c>
      <c r="AS71">
        <v>12</v>
      </c>
      <c r="AT71" t="s">
        <v>327</v>
      </c>
      <c r="AV71" t="s">
        <v>1354</v>
      </c>
      <c r="CRL71">
        <v>12</v>
      </c>
    </row>
    <row r="72" spans="1:48 2508:2508" x14ac:dyDescent="0.25">
      <c r="A72" t="s">
        <v>3323</v>
      </c>
      <c r="B72" t="s">
        <v>302</v>
      </c>
      <c r="C72" t="s">
        <v>62</v>
      </c>
      <c r="D72">
        <v>99999</v>
      </c>
      <c r="F72" s="109">
        <v>10000</v>
      </c>
      <c r="G72" t="b">
        <v>0</v>
      </c>
      <c r="H72" t="s">
        <v>335</v>
      </c>
      <c r="K72" t="s">
        <v>379</v>
      </c>
      <c r="L72" t="s">
        <v>303</v>
      </c>
      <c r="M72" t="s">
        <v>323</v>
      </c>
      <c r="N72" t="s">
        <v>63</v>
      </c>
      <c r="O72" s="110">
        <v>29.9</v>
      </c>
      <c r="R72" s="110">
        <v>374.88999999999993</v>
      </c>
      <c r="S72" s="110">
        <v>85</v>
      </c>
      <c r="T72" s="110">
        <v>0</v>
      </c>
      <c r="U72" s="110">
        <v>42.99</v>
      </c>
      <c r="X72">
        <v>186.99999999999994</v>
      </c>
      <c r="Y72">
        <v>59.9</v>
      </c>
      <c r="Z72">
        <v>59.9</v>
      </c>
      <c r="AA72">
        <v>0</v>
      </c>
      <c r="AB72" t="s">
        <v>363</v>
      </c>
      <c r="AF72" t="s">
        <v>1484</v>
      </c>
      <c r="AG72" t="s">
        <v>1484</v>
      </c>
      <c r="AH72" t="s">
        <v>1175</v>
      </c>
      <c r="AI72">
        <v>99999</v>
      </c>
      <c r="AJ72">
        <v>99999</v>
      </c>
      <c r="AK72">
        <v>699</v>
      </c>
      <c r="AL72" t="b">
        <v>1</v>
      </c>
      <c r="AM72" t="b">
        <v>1</v>
      </c>
      <c r="AN72" t="b">
        <v>0</v>
      </c>
      <c r="AO72">
        <v>99999</v>
      </c>
      <c r="AP72" t="s">
        <v>64</v>
      </c>
      <c r="AR72" t="b">
        <v>0</v>
      </c>
      <c r="AS72">
        <v>12</v>
      </c>
      <c r="AT72" t="s">
        <v>327</v>
      </c>
      <c r="AV72" t="s">
        <v>1502</v>
      </c>
      <c r="CRL72">
        <v>12</v>
      </c>
    </row>
    <row r="73" spans="1:48 2508:2508" x14ac:dyDescent="0.25">
      <c r="A73" t="s">
        <v>3323</v>
      </c>
      <c r="B73" t="s">
        <v>302</v>
      </c>
      <c r="C73" t="s">
        <v>62</v>
      </c>
      <c r="D73">
        <v>99999</v>
      </c>
      <c r="F73" s="109">
        <v>10000</v>
      </c>
      <c r="G73" t="b">
        <v>0</v>
      </c>
      <c r="H73" t="s">
        <v>335</v>
      </c>
      <c r="K73" t="s">
        <v>379</v>
      </c>
      <c r="L73" t="s">
        <v>303</v>
      </c>
      <c r="M73" t="s">
        <v>323</v>
      </c>
      <c r="N73" t="s">
        <v>63</v>
      </c>
      <c r="O73" s="110">
        <v>39.9</v>
      </c>
      <c r="R73" s="110">
        <v>334.89</v>
      </c>
      <c r="S73" s="110">
        <v>79.900000000000006</v>
      </c>
      <c r="T73" s="110">
        <v>0</v>
      </c>
      <c r="U73" s="110">
        <v>42.99</v>
      </c>
      <c r="X73">
        <v>152.09999999999994</v>
      </c>
      <c r="Y73">
        <v>59.9</v>
      </c>
      <c r="Z73">
        <v>59.9</v>
      </c>
      <c r="AA73">
        <v>0</v>
      </c>
      <c r="AB73" t="s">
        <v>363</v>
      </c>
      <c r="AF73" t="s">
        <v>1269</v>
      </c>
      <c r="AG73" t="s">
        <v>1269</v>
      </c>
      <c r="AH73" t="s">
        <v>1175</v>
      </c>
      <c r="AI73">
        <v>99999</v>
      </c>
      <c r="AJ73">
        <v>99999</v>
      </c>
      <c r="AK73">
        <v>699</v>
      </c>
      <c r="AL73" t="b">
        <v>1</v>
      </c>
      <c r="AM73" t="b">
        <v>1</v>
      </c>
      <c r="AN73" t="b">
        <v>0</v>
      </c>
      <c r="AO73">
        <v>99999</v>
      </c>
      <c r="AP73" t="s">
        <v>64</v>
      </c>
      <c r="AR73" t="b">
        <v>0</v>
      </c>
      <c r="AS73">
        <v>12</v>
      </c>
      <c r="AT73" t="s">
        <v>327</v>
      </c>
      <c r="AV73" t="s">
        <v>1287</v>
      </c>
      <c r="CRL73">
        <v>12</v>
      </c>
    </row>
    <row r="74" spans="1:48 2508:2508" x14ac:dyDescent="0.25">
      <c r="A74" t="s">
        <v>3323</v>
      </c>
      <c r="B74" t="s">
        <v>302</v>
      </c>
      <c r="C74" t="s">
        <v>62</v>
      </c>
      <c r="D74">
        <v>99999</v>
      </c>
      <c r="F74" s="109">
        <v>10000</v>
      </c>
      <c r="G74" t="b">
        <v>0</v>
      </c>
      <c r="H74" t="s">
        <v>335</v>
      </c>
      <c r="K74" t="s">
        <v>379</v>
      </c>
      <c r="L74" t="s">
        <v>303</v>
      </c>
      <c r="M74" t="s">
        <v>323</v>
      </c>
      <c r="N74" t="s">
        <v>63</v>
      </c>
      <c r="O74" s="110">
        <v>39.9</v>
      </c>
      <c r="R74" s="110">
        <v>354.89</v>
      </c>
      <c r="S74" s="110">
        <v>79.900000000000006</v>
      </c>
      <c r="T74" s="110">
        <v>0</v>
      </c>
      <c r="U74" s="110">
        <v>42.99</v>
      </c>
      <c r="X74">
        <v>172.09999999999994</v>
      </c>
      <c r="Y74">
        <v>59.9</v>
      </c>
      <c r="Z74">
        <v>59.9</v>
      </c>
      <c r="AA74">
        <v>0</v>
      </c>
      <c r="AB74" t="s">
        <v>363</v>
      </c>
      <c r="AF74" t="s">
        <v>1403</v>
      </c>
      <c r="AG74" t="s">
        <v>1403</v>
      </c>
      <c r="AH74" t="s">
        <v>1175</v>
      </c>
      <c r="AI74">
        <v>99999</v>
      </c>
      <c r="AJ74">
        <v>99999</v>
      </c>
      <c r="AK74">
        <v>699</v>
      </c>
      <c r="AL74" t="b">
        <v>1</v>
      </c>
      <c r="AM74" t="b">
        <v>1</v>
      </c>
      <c r="AN74" t="b">
        <v>0</v>
      </c>
      <c r="AO74">
        <v>99999</v>
      </c>
      <c r="AP74" t="s">
        <v>64</v>
      </c>
      <c r="AR74" t="b">
        <v>0</v>
      </c>
      <c r="AS74">
        <v>12</v>
      </c>
      <c r="AT74" t="s">
        <v>327</v>
      </c>
      <c r="AV74" t="s">
        <v>1421</v>
      </c>
      <c r="CRL74">
        <v>12</v>
      </c>
    </row>
    <row r="75" spans="1:48 2508:2508" x14ac:dyDescent="0.25">
      <c r="A75" t="s">
        <v>3323</v>
      </c>
      <c r="B75" t="s">
        <v>302</v>
      </c>
      <c r="C75" t="s">
        <v>62</v>
      </c>
      <c r="D75">
        <v>99999</v>
      </c>
      <c r="F75" s="109">
        <v>10000</v>
      </c>
      <c r="G75" t="b">
        <v>0</v>
      </c>
      <c r="H75" t="s">
        <v>335</v>
      </c>
      <c r="K75" t="s">
        <v>379</v>
      </c>
      <c r="L75" t="s">
        <v>303</v>
      </c>
      <c r="M75" t="s">
        <v>323</v>
      </c>
      <c r="N75" t="s">
        <v>63</v>
      </c>
      <c r="O75" s="110">
        <v>39.9</v>
      </c>
      <c r="R75" s="110">
        <v>374.88999999999993</v>
      </c>
      <c r="S75" s="110">
        <v>85</v>
      </c>
      <c r="T75" s="110">
        <v>0</v>
      </c>
      <c r="U75" s="110">
        <v>42.99</v>
      </c>
      <c r="X75">
        <v>186.99999999999994</v>
      </c>
      <c r="Y75">
        <v>59.9</v>
      </c>
      <c r="Z75">
        <v>59.9</v>
      </c>
      <c r="AA75">
        <v>0</v>
      </c>
      <c r="AB75" t="s">
        <v>363</v>
      </c>
      <c r="AF75" t="s">
        <v>1551</v>
      </c>
      <c r="AG75" t="s">
        <v>1551</v>
      </c>
      <c r="AH75" t="s">
        <v>1175</v>
      </c>
      <c r="AI75">
        <v>99999</v>
      </c>
      <c r="AJ75">
        <v>99999</v>
      </c>
      <c r="AK75">
        <v>699</v>
      </c>
      <c r="AL75" t="b">
        <v>1</v>
      </c>
      <c r="AM75" t="b">
        <v>1</v>
      </c>
      <c r="AN75" t="b">
        <v>0</v>
      </c>
      <c r="AO75">
        <v>99999</v>
      </c>
      <c r="AP75" t="s">
        <v>64</v>
      </c>
      <c r="AR75" t="b">
        <v>0</v>
      </c>
      <c r="AS75">
        <v>12</v>
      </c>
      <c r="AT75" t="s">
        <v>327</v>
      </c>
      <c r="AV75" t="s">
        <v>1569</v>
      </c>
      <c r="CRL75">
        <v>12</v>
      </c>
    </row>
    <row r="76" spans="1:48 2508:2508" x14ac:dyDescent="0.25">
      <c r="A76" t="s">
        <v>3323</v>
      </c>
      <c r="B76" t="s">
        <v>302</v>
      </c>
      <c r="C76" t="s">
        <v>62</v>
      </c>
      <c r="D76">
        <v>99999</v>
      </c>
      <c r="F76" s="109">
        <v>10000</v>
      </c>
      <c r="G76" t="b">
        <v>0</v>
      </c>
      <c r="H76" t="s">
        <v>335</v>
      </c>
      <c r="K76" t="s">
        <v>379</v>
      </c>
      <c r="L76" t="s">
        <v>303</v>
      </c>
      <c r="M76" t="s">
        <v>323</v>
      </c>
      <c r="N76" t="s">
        <v>63</v>
      </c>
      <c r="O76" s="110">
        <v>49.9</v>
      </c>
      <c r="R76" s="110">
        <v>360.68999999999994</v>
      </c>
      <c r="S76" s="110">
        <v>130</v>
      </c>
      <c r="T76" s="110">
        <v>0</v>
      </c>
      <c r="U76" s="110">
        <v>34.99</v>
      </c>
      <c r="X76">
        <v>135.79999999999995</v>
      </c>
      <c r="Y76">
        <v>59.9</v>
      </c>
      <c r="Z76">
        <v>59.9</v>
      </c>
      <c r="AA76">
        <v>0</v>
      </c>
      <c r="AB76" t="s">
        <v>363</v>
      </c>
      <c r="AF76" t="s">
        <v>2771</v>
      </c>
      <c r="AG76" t="s">
        <v>2771</v>
      </c>
      <c r="AH76" t="s">
        <v>1175</v>
      </c>
      <c r="AI76">
        <v>99999</v>
      </c>
      <c r="AJ76">
        <v>99999</v>
      </c>
      <c r="AK76">
        <v>699</v>
      </c>
      <c r="AL76" t="b">
        <v>1</v>
      </c>
      <c r="AM76" t="b">
        <v>1</v>
      </c>
      <c r="AN76" t="b">
        <v>0</v>
      </c>
      <c r="AO76">
        <v>99999</v>
      </c>
      <c r="AP76" t="s">
        <v>64</v>
      </c>
      <c r="AR76" t="b">
        <v>0</v>
      </c>
      <c r="AS76">
        <v>12</v>
      </c>
      <c r="AT76" t="s">
        <v>327</v>
      </c>
      <c r="AV76" t="s">
        <v>2789</v>
      </c>
      <c r="CRL76">
        <v>12</v>
      </c>
    </row>
    <row r="77" spans="1:48 2508:2508" x14ac:dyDescent="0.25">
      <c r="A77" t="s">
        <v>3323</v>
      </c>
      <c r="B77" t="s">
        <v>302</v>
      </c>
      <c r="C77" t="s">
        <v>62</v>
      </c>
      <c r="D77">
        <v>99999</v>
      </c>
      <c r="F77" s="109">
        <v>10000</v>
      </c>
      <c r="G77" t="b">
        <v>0</v>
      </c>
      <c r="H77" t="s">
        <v>335</v>
      </c>
      <c r="K77" t="s">
        <v>379</v>
      </c>
      <c r="L77" t="s">
        <v>303</v>
      </c>
      <c r="M77" t="s">
        <v>323</v>
      </c>
      <c r="N77" t="s">
        <v>63</v>
      </c>
      <c r="O77" s="110">
        <v>49.9</v>
      </c>
      <c r="R77" s="110">
        <v>384.9899999999999</v>
      </c>
      <c r="S77" s="110">
        <v>130</v>
      </c>
      <c r="T77" s="110">
        <v>0</v>
      </c>
      <c r="U77" s="110">
        <v>42.99</v>
      </c>
      <c r="X77">
        <v>152.09999999999994</v>
      </c>
      <c r="Y77">
        <v>59.9</v>
      </c>
      <c r="Z77">
        <v>59.9</v>
      </c>
      <c r="AA77">
        <v>0</v>
      </c>
      <c r="AB77" t="s">
        <v>363</v>
      </c>
      <c r="AF77" t="s">
        <v>2845</v>
      </c>
      <c r="AG77" t="s">
        <v>2845</v>
      </c>
      <c r="AH77" t="s">
        <v>1175</v>
      </c>
      <c r="AI77">
        <v>99999</v>
      </c>
      <c r="AJ77">
        <v>99999</v>
      </c>
      <c r="AK77">
        <v>699</v>
      </c>
      <c r="AL77" t="b">
        <v>1</v>
      </c>
      <c r="AM77" t="b">
        <v>1</v>
      </c>
      <c r="AN77" t="b">
        <v>0</v>
      </c>
      <c r="AO77">
        <v>99999</v>
      </c>
      <c r="AP77" t="s">
        <v>64</v>
      </c>
      <c r="AR77" t="b">
        <v>0</v>
      </c>
      <c r="AS77">
        <v>12</v>
      </c>
      <c r="AT77" t="s">
        <v>327</v>
      </c>
      <c r="AV77" t="s">
        <v>2863</v>
      </c>
      <c r="CRL77">
        <v>12</v>
      </c>
    </row>
    <row r="78" spans="1:48 2508:2508" x14ac:dyDescent="0.25">
      <c r="A78" t="s">
        <v>3323</v>
      </c>
      <c r="B78" t="s">
        <v>302</v>
      </c>
      <c r="C78" t="s">
        <v>62</v>
      </c>
      <c r="D78">
        <v>99999</v>
      </c>
      <c r="F78" s="109">
        <v>10000</v>
      </c>
      <c r="G78" t="b">
        <v>0</v>
      </c>
      <c r="H78" t="s">
        <v>335</v>
      </c>
      <c r="K78" t="s">
        <v>379</v>
      </c>
      <c r="L78" t="s">
        <v>303</v>
      </c>
      <c r="M78" t="s">
        <v>323</v>
      </c>
      <c r="N78" t="s">
        <v>63</v>
      </c>
      <c r="O78" s="110">
        <v>49.9</v>
      </c>
      <c r="R78" s="110">
        <v>404.9899999999999</v>
      </c>
      <c r="S78" s="110">
        <v>130</v>
      </c>
      <c r="T78" s="110">
        <v>0</v>
      </c>
      <c r="U78" s="110">
        <v>42.99</v>
      </c>
      <c r="X78">
        <v>172.09999999999994</v>
      </c>
      <c r="Y78">
        <v>59.9</v>
      </c>
      <c r="Z78">
        <v>59.9</v>
      </c>
      <c r="AA78">
        <v>0</v>
      </c>
      <c r="AB78" t="s">
        <v>363</v>
      </c>
      <c r="AF78" t="s">
        <v>2912</v>
      </c>
      <c r="AG78" t="s">
        <v>2912</v>
      </c>
      <c r="AH78" t="s">
        <v>1175</v>
      </c>
      <c r="AI78">
        <v>99999</v>
      </c>
      <c r="AJ78">
        <v>99999</v>
      </c>
      <c r="AK78">
        <v>699</v>
      </c>
      <c r="AL78" t="b">
        <v>1</v>
      </c>
      <c r="AM78" t="b">
        <v>1</v>
      </c>
      <c r="AN78" t="b">
        <v>0</v>
      </c>
      <c r="AO78">
        <v>99999</v>
      </c>
      <c r="AP78" t="s">
        <v>64</v>
      </c>
      <c r="AR78" t="b">
        <v>0</v>
      </c>
      <c r="AS78">
        <v>12</v>
      </c>
      <c r="AT78" t="s">
        <v>327</v>
      </c>
      <c r="AV78" t="s">
        <v>2930</v>
      </c>
      <c r="CRL78">
        <v>12</v>
      </c>
    </row>
    <row r="79" spans="1:48 2508:2508" x14ac:dyDescent="0.25">
      <c r="A79" t="s">
        <v>3323</v>
      </c>
      <c r="B79" t="s">
        <v>302</v>
      </c>
      <c r="C79" t="s">
        <v>62</v>
      </c>
      <c r="D79">
        <v>99999</v>
      </c>
      <c r="F79" s="109">
        <v>10000</v>
      </c>
      <c r="G79" t="b">
        <v>0</v>
      </c>
      <c r="H79" t="s">
        <v>335</v>
      </c>
      <c r="K79" t="s">
        <v>379</v>
      </c>
      <c r="L79" t="s">
        <v>303</v>
      </c>
      <c r="M79" t="s">
        <v>323</v>
      </c>
      <c r="N79" t="s">
        <v>63</v>
      </c>
      <c r="O79" s="110">
        <v>49.9</v>
      </c>
      <c r="R79" s="110">
        <v>419.88999999999993</v>
      </c>
      <c r="S79" s="110">
        <v>130</v>
      </c>
      <c r="T79" s="110">
        <v>0</v>
      </c>
      <c r="U79" s="110">
        <v>42.99</v>
      </c>
      <c r="X79">
        <v>186.99999999999994</v>
      </c>
      <c r="Y79">
        <v>59.9</v>
      </c>
      <c r="Z79">
        <v>59.9</v>
      </c>
      <c r="AA79">
        <v>0</v>
      </c>
      <c r="AB79" t="s">
        <v>363</v>
      </c>
      <c r="AF79" t="s">
        <v>2986</v>
      </c>
      <c r="AG79" t="s">
        <v>2986</v>
      </c>
      <c r="AH79" t="s">
        <v>1175</v>
      </c>
      <c r="AI79">
        <v>99999</v>
      </c>
      <c r="AJ79">
        <v>99999</v>
      </c>
      <c r="AK79">
        <v>699</v>
      </c>
      <c r="AL79" t="b">
        <v>1</v>
      </c>
      <c r="AM79" t="b">
        <v>1</v>
      </c>
      <c r="AN79" t="b">
        <v>0</v>
      </c>
      <c r="AO79">
        <v>99999</v>
      </c>
      <c r="AP79" t="s">
        <v>64</v>
      </c>
      <c r="AR79" t="b">
        <v>0</v>
      </c>
      <c r="AS79">
        <v>12</v>
      </c>
      <c r="AT79" t="s">
        <v>327</v>
      </c>
      <c r="AV79" t="s">
        <v>3004</v>
      </c>
      <c r="CRL79">
        <v>12</v>
      </c>
    </row>
    <row r="80" spans="1:48 2508:2508" x14ac:dyDescent="0.25">
      <c r="A80" t="s">
        <v>3323</v>
      </c>
      <c r="B80" t="s">
        <v>302</v>
      </c>
      <c r="C80" t="s">
        <v>62</v>
      </c>
      <c r="D80">
        <v>99999</v>
      </c>
      <c r="F80" s="109">
        <v>10000</v>
      </c>
      <c r="G80" t="b">
        <v>0</v>
      </c>
      <c r="H80" t="s">
        <v>335</v>
      </c>
      <c r="K80" t="s">
        <v>61</v>
      </c>
      <c r="L80" t="s">
        <v>303</v>
      </c>
      <c r="M80" t="s">
        <v>323</v>
      </c>
      <c r="N80" t="s">
        <v>63</v>
      </c>
      <c r="O80" s="110">
        <v>29.9</v>
      </c>
      <c r="R80" s="110">
        <v>319.89</v>
      </c>
      <c r="S80" s="110">
        <v>79.900000000000006</v>
      </c>
      <c r="T80" s="110">
        <v>0</v>
      </c>
      <c r="U80" s="110">
        <v>42.99</v>
      </c>
      <c r="X80">
        <v>152.09999999999994</v>
      </c>
      <c r="Y80">
        <v>44.9</v>
      </c>
      <c r="Z80">
        <v>44.9</v>
      </c>
      <c r="AA80">
        <v>0</v>
      </c>
      <c r="AB80" t="s">
        <v>324</v>
      </c>
      <c r="AF80" t="s">
        <v>1174</v>
      </c>
      <c r="AG80" t="s">
        <v>1174</v>
      </c>
      <c r="AH80" t="s">
        <v>1175</v>
      </c>
      <c r="AI80">
        <v>99999</v>
      </c>
      <c r="AJ80">
        <v>99999</v>
      </c>
      <c r="AK80">
        <v>699</v>
      </c>
      <c r="AL80" t="b">
        <v>1</v>
      </c>
      <c r="AM80" t="b">
        <v>1</v>
      </c>
      <c r="AN80" t="b">
        <v>0</v>
      </c>
      <c r="AO80">
        <v>99999</v>
      </c>
      <c r="AP80" t="s">
        <v>64</v>
      </c>
      <c r="AR80" t="b">
        <v>0</v>
      </c>
      <c r="AS80">
        <v>12</v>
      </c>
      <c r="AT80" t="s">
        <v>327</v>
      </c>
      <c r="AV80" t="s">
        <v>1180</v>
      </c>
      <c r="CRL80">
        <v>12</v>
      </c>
    </row>
    <row r="81" spans="1:48 2508:2508" x14ac:dyDescent="0.25">
      <c r="A81" t="s">
        <v>3323</v>
      </c>
      <c r="B81" t="s">
        <v>302</v>
      </c>
      <c r="C81" t="s">
        <v>62</v>
      </c>
      <c r="D81">
        <v>99999</v>
      </c>
      <c r="F81" s="109">
        <v>10000</v>
      </c>
      <c r="G81" t="b">
        <v>0</v>
      </c>
      <c r="H81" t="s">
        <v>335</v>
      </c>
      <c r="K81" t="s">
        <v>61</v>
      </c>
      <c r="L81" t="s">
        <v>303</v>
      </c>
      <c r="M81" t="s">
        <v>323</v>
      </c>
      <c r="N81" t="s">
        <v>63</v>
      </c>
      <c r="O81" s="110">
        <v>29.9</v>
      </c>
      <c r="R81" s="110">
        <v>339.89</v>
      </c>
      <c r="S81" s="110">
        <v>79.900000000000006</v>
      </c>
      <c r="T81" s="110">
        <v>0</v>
      </c>
      <c r="U81" s="110">
        <v>42.99</v>
      </c>
      <c r="X81">
        <v>172.09999999999994</v>
      </c>
      <c r="Y81">
        <v>44.9</v>
      </c>
      <c r="Z81">
        <v>44.9</v>
      </c>
      <c r="AA81">
        <v>0</v>
      </c>
      <c r="AB81" t="s">
        <v>324</v>
      </c>
      <c r="AF81" t="s">
        <v>1309</v>
      </c>
      <c r="AG81" t="s">
        <v>1309</v>
      </c>
      <c r="AH81" t="s">
        <v>1175</v>
      </c>
      <c r="AI81">
        <v>99999</v>
      </c>
      <c r="AJ81">
        <v>99999</v>
      </c>
      <c r="AK81">
        <v>699</v>
      </c>
      <c r="AL81" t="b">
        <v>1</v>
      </c>
      <c r="AM81" t="b">
        <v>1</v>
      </c>
      <c r="AN81" t="b">
        <v>0</v>
      </c>
      <c r="AO81">
        <v>99999</v>
      </c>
      <c r="AP81" t="s">
        <v>64</v>
      </c>
      <c r="AR81" t="b">
        <v>0</v>
      </c>
      <c r="AS81">
        <v>12</v>
      </c>
      <c r="AT81" t="s">
        <v>327</v>
      </c>
      <c r="AV81" t="s">
        <v>1314</v>
      </c>
      <c r="CRL81">
        <v>12</v>
      </c>
    </row>
    <row r="82" spans="1:48 2508:2508" x14ac:dyDescent="0.25">
      <c r="A82" t="s">
        <v>3323</v>
      </c>
      <c r="B82" t="s">
        <v>302</v>
      </c>
      <c r="C82" t="s">
        <v>62</v>
      </c>
      <c r="D82">
        <v>99999</v>
      </c>
      <c r="F82" s="109">
        <v>10000</v>
      </c>
      <c r="G82" t="b">
        <v>0</v>
      </c>
      <c r="H82" t="s">
        <v>335</v>
      </c>
      <c r="K82" t="s">
        <v>61</v>
      </c>
      <c r="L82" t="s">
        <v>303</v>
      </c>
      <c r="M82" t="s">
        <v>323</v>
      </c>
      <c r="N82" t="s">
        <v>63</v>
      </c>
      <c r="O82" s="110">
        <v>29.9</v>
      </c>
      <c r="R82" s="110">
        <v>359.88999999999993</v>
      </c>
      <c r="S82" s="110">
        <v>85</v>
      </c>
      <c r="T82" s="110">
        <v>0</v>
      </c>
      <c r="U82" s="110">
        <v>42.99</v>
      </c>
      <c r="X82">
        <v>186.99999999999994</v>
      </c>
      <c r="Y82">
        <v>44.9</v>
      </c>
      <c r="Z82">
        <v>44.9</v>
      </c>
      <c r="AA82">
        <v>0</v>
      </c>
      <c r="AB82" t="s">
        <v>324</v>
      </c>
      <c r="AF82" t="s">
        <v>1457</v>
      </c>
      <c r="AG82" t="s">
        <v>1457</v>
      </c>
      <c r="AH82" t="s">
        <v>1175</v>
      </c>
      <c r="AI82">
        <v>99999</v>
      </c>
      <c r="AJ82">
        <v>99999</v>
      </c>
      <c r="AK82">
        <v>699</v>
      </c>
      <c r="AL82" t="b">
        <v>1</v>
      </c>
      <c r="AM82" t="b">
        <v>1</v>
      </c>
      <c r="AN82" t="b">
        <v>0</v>
      </c>
      <c r="AO82">
        <v>99999</v>
      </c>
      <c r="AP82" t="s">
        <v>64</v>
      </c>
      <c r="AR82" t="b">
        <v>0</v>
      </c>
      <c r="AS82">
        <v>12</v>
      </c>
      <c r="AT82" t="s">
        <v>327</v>
      </c>
      <c r="AV82" t="s">
        <v>1462</v>
      </c>
      <c r="CRL82">
        <v>12</v>
      </c>
    </row>
    <row r="83" spans="1:48 2508:2508" x14ac:dyDescent="0.25">
      <c r="A83" t="s">
        <v>3323</v>
      </c>
      <c r="B83" t="s">
        <v>302</v>
      </c>
      <c r="C83" t="s">
        <v>62</v>
      </c>
      <c r="D83">
        <v>99999</v>
      </c>
      <c r="F83" s="109">
        <v>10000</v>
      </c>
      <c r="G83" t="b">
        <v>0</v>
      </c>
      <c r="H83" t="s">
        <v>335</v>
      </c>
      <c r="K83" t="s">
        <v>61</v>
      </c>
      <c r="L83" t="s">
        <v>303</v>
      </c>
      <c r="M83" t="s">
        <v>323</v>
      </c>
      <c r="N83" t="s">
        <v>63</v>
      </c>
      <c r="O83" s="110">
        <v>39.9</v>
      </c>
      <c r="R83" s="110">
        <v>319.89</v>
      </c>
      <c r="S83" s="110">
        <v>79.900000000000006</v>
      </c>
      <c r="T83" s="110">
        <v>0</v>
      </c>
      <c r="U83" s="110">
        <v>42.99</v>
      </c>
      <c r="X83">
        <v>152.09999999999994</v>
      </c>
      <c r="Y83">
        <v>44.9</v>
      </c>
      <c r="Z83">
        <v>44.9</v>
      </c>
      <c r="AA83">
        <v>0</v>
      </c>
      <c r="AB83" t="s">
        <v>324</v>
      </c>
      <c r="AF83" t="s">
        <v>1242</v>
      </c>
      <c r="AG83" t="s">
        <v>1242</v>
      </c>
      <c r="AH83" t="s">
        <v>1175</v>
      </c>
      <c r="AI83">
        <v>99999</v>
      </c>
      <c r="AJ83">
        <v>99999</v>
      </c>
      <c r="AK83">
        <v>699</v>
      </c>
      <c r="AL83" t="b">
        <v>1</v>
      </c>
      <c r="AM83" t="b">
        <v>1</v>
      </c>
      <c r="AN83" t="b">
        <v>0</v>
      </c>
      <c r="AO83">
        <v>99999</v>
      </c>
      <c r="AP83" t="s">
        <v>64</v>
      </c>
      <c r="AR83" t="b">
        <v>0</v>
      </c>
      <c r="AS83">
        <v>12</v>
      </c>
      <c r="AT83" t="s">
        <v>327</v>
      </c>
      <c r="AV83" t="s">
        <v>1247</v>
      </c>
      <c r="CRL83">
        <v>12</v>
      </c>
    </row>
    <row r="84" spans="1:48 2508:2508" x14ac:dyDescent="0.25">
      <c r="A84" t="s">
        <v>3323</v>
      </c>
      <c r="B84" t="s">
        <v>302</v>
      </c>
      <c r="C84" t="s">
        <v>62</v>
      </c>
      <c r="D84">
        <v>99999</v>
      </c>
      <c r="F84" s="109">
        <v>10000</v>
      </c>
      <c r="G84" t="b">
        <v>0</v>
      </c>
      <c r="H84" t="s">
        <v>335</v>
      </c>
      <c r="K84" t="s">
        <v>61</v>
      </c>
      <c r="L84" t="s">
        <v>303</v>
      </c>
      <c r="M84" t="s">
        <v>323</v>
      </c>
      <c r="N84" t="s">
        <v>63</v>
      </c>
      <c r="O84" s="110">
        <v>39.9</v>
      </c>
      <c r="R84" s="110">
        <v>339.89</v>
      </c>
      <c r="S84" s="110">
        <v>79.900000000000006</v>
      </c>
      <c r="T84" s="110">
        <v>0</v>
      </c>
      <c r="U84" s="110">
        <v>42.99</v>
      </c>
      <c r="X84">
        <v>172.09999999999994</v>
      </c>
      <c r="Y84">
        <v>44.9</v>
      </c>
      <c r="Z84">
        <v>44.9</v>
      </c>
      <c r="AA84">
        <v>0</v>
      </c>
      <c r="AB84" t="s">
        <v>324</v>
      </c>
      <c r="AF84" t="s">
        <v>1376</v>
      </c>
      <c r="AG84" t="s">
        <v>1376</v>
      </c>
      <c r="AH84" t="s">
        <v>1175</v>
      </c>
      <c r="AI84">
        <v>99999</v>
      </c>
      <c r="AJ84">
        <v>99999</v>
      </c>
      <c r="AK84">
        <v>699</v>
      </c>
      <c r="AL84" t="b">
        <v>1</v>
      </c>
      <c r="AM84" t="b">
        <v>1</v>
      </c>
      <c r="AN84" t="b">
        <v>0</v>
      </c>
      <c r="AO84">
        <v>99999</v>
      </c>
      <c r="AP84" t="s">
        <v>64</v>
      </c>
      <c r="AR84" t="b">
        <v>0</v>
      </c>
      <c r="AS84">
        <v>12</v>
      </c>
      <c r="AT84" t="s">
        <v>327</v>
      </c>
      <c r="AV84" t="s">
        <v>1381</v>
      </c>
      <c r="CRL84">
        <v>12</v>
      </c>
    </row>
    <row r="85" spans="1:48 2508:2508" x14ac:dyDescent="0.25">
      <c r="A85" t="s">
        <v>3323</v>
      </c>
      <c r="B85" t="s">
        <v>302</v>
      </c>
      <c r="C85" t="s">
        <v>62</v>
      </c>
      <c r="D85">
        <v>99999</v>
      </c>
      <c r="F85" s="109">
        <v>10000</v>
      </c>
      <c r="G85" t="b">
        <v>0</v>
      </c>
      <c r="H85" t="s">
        <v>335</v>
      </c>
      <c r="K85" t="s">
        <v>61</v>
      </c>
      <c r="L85" t="s">
        <v>303</v>
      </c>
      <c r="M85" t="s">
        <v>323</v>
      </c>
      <c r="N85" t="s">
        <v>63</v>
      </c>
      <c r="O85" s="110">
        <v>39.9</v>
      </c>
      <c r="R85" s="110">
        <v>359.88999999999993</v>
      </c>
      <c r="S85" s="110">
        <v>85</v>
      </c>
      <c r="T85" s="110">
        <v>0</v>
      </c>
      <c r="U85" s="110">
        <v>42.99</v>
      </c>
      <c r="X85">
        <v>186.99999999999994</v>
      </c>
      <c r="Y85">
        <v>44.9</v>
      </c>
      <c r="Z85">
        <v>44.9</v>
      </c>
      <c r="AA85">
        <v>0</v>
      </c>
      <c r="AB85" t="s">
        <v>324</v>
      </c>
      <c r="AF85" t="s">
        <v>1524</v>
      </c>
      <c r="AG85" t="s">
        <v>1524</v>
      </c>
      <c r="AH85" t="s">
        <v>1175</v>
      </c>
      <c r="AI85">
        <v>99999</v>
      </c>
      <c r="AJ85">
        <v>99999</v>
      </c>
      <c r="AK85">
        <v>699</v>
      </c>
      <c r="AL85" t="b">
        <v>1</v>
      </c>
      <c r="AM85" t="b">
        <v>1</v>
      </c>
      <c r="AN85" t="b">
        <v>0</v>
      </c>
      <c r="AO85">
        <v>99999</v>
      </c>
      <c r="AP85" t="s">
        <v>64</v>
      </c>
      <c r="AR85" t="b">
        <v>0</v>
      </c>
      <c r="AS85">
        <v>12</v>
      </c>
      <c r="AT85" t="s">
        <v>327</v>
      </c>
      <c r="AV85" t="s">
        <v>1529</v>
      </c>
      <c r="CRL85">
        <v>12</v>
      </c>
    </row>
    <row r="86" spans="1:48 2508:2508" x14ac:dyDescent="0.25">
      <c r="A86" t="s">
        <v>3323</v>
      </c>
      <c r="B86" t="s">
        <v>302</v>
      </c>
      <c r="C86" t="s">
        <v>62</v>
      </c>
      <c r="D86">
        <v>99999</v>
      </c>
      <c r="F86" s="109">
        <v>10000</v>
      </c>
      <c r="G86" t="b">
        <v>0</v>
      </c>
      <c r="H86" t="s">
        <v>335</v>
      </c>
      <c r="K86" t="s">
        <v>61</v>
      </c>
      <c r="L86" t="s">
        <v>303</v>
      </c>
      <c r="M86" t="s">
        <v>323</v>
      </c>
      <c r="N86" t="s">
        <v>63</v>
      </c>
      <c r="O86" s="110">
        <v>49.9</v>
      </c>
      <c r="R86" s="110">
        <v>345.68999999999994</v>
      </c>
      <c r="S86" s="110">
        <v>130</v>
      </c>
      <c r="T86" s="110">
        <v>0</v>
      </c>
      <c r="U86" s="110">
        <v>34.99</v>
      </c>
      <c r="X86">
        <v>135.79999999999995</v>
      </c>
      <c r="Y86">
        <v>44.9</v>
      </c>
      <c r="Z86">
        <v>44.9</v>
      </c>
      <c r="AA86">
        <v>0</v>
      </c>
      <c r="AB86" t="s">
        <v>324</v>
      </c>
      <c r="AF86" t="s">
        <v>2744</v>
      </c>
      <c r="AG86" t="s">
        <v>2744</v>
      </c>
      <c r="AH86" t="s">
        <v>1175</v>
      </c>
      <c r="AI86">
        <v>99999</v>
      </c>
      <c r="AJ86">
        <v>99999</v>
      </c>
      <c r="AK86">
        <v>699</v>
      </c>
      <c r="AL86" t="b">
        <v>1</v>
      </c>
      <c r="AM86" t="b">
        <v>1</v>
      </c>
      <c r="AN86" t="b">
        <v>0</v>
      </c>
      <c r="AO86">
        <v>99999</v>
      </c>
      <c r="AP86" t="s">
        <v>64</v>
      </c>
      <c r="AR86" t="b">
        <v>0</v>
      </c>
      <c r="AS86">
        <v>12</v>
      </c>
      <c r="AT86" t="s">
        <v>327</v>
      </c>
      <c r="AV86" t="s">
        <v>2749</v>
      </c>
      <c r="CRL86">
        <v>12</v>
      </c>
    </row>
    <row r="87" spans="1:48 2508:2508" x14ac:dyDescent="0.25">
      <c r="A87" t="s">
        <v>3323</v>
      </c>
      <c r="B87" t="s">
        <v>302</v>
      </c>
      <c r="C87" t="s">
        <v>62</v>
      </c>
      <c r="D87">
        <v>99999</v>
      </c>
      <c r="F87" s="109">
        <v>10000</v>
      </c>
      <c r="G87" t="b">
        <v>0</v>
      </c>
      <c r="H87" t="s">
        <v>335</v>
      </c>
      <c r="K87" t="s">
        <v>61</v>
      </c>
      <c r="L87" t="s">
        <v>303</v>
      </c>
      <c r="M87" t="s">
        <v>323</v>
      </c>
      <c r="N87" t="s">
        <v>63</v>
      </c>
      <c r="O87" s="110">
        <v>49.9</v>
      </c>
      <c r="R87" s="110">
        <v>369.9899999999999</v>
      </c>
      <c r="S87" s="110">
        <v>130</v>
      </c>
      <c r="T87" s="110">
        <v>0</v>
      </c>
      <c r="U87" s="110">
        <v>42.99</v>
      </c>
      <c r="X87">
        <v>152.09999999999994</v>
      </c>
      <c r="Y87">
        <v>44.9</v>
      </c>
      <c r="Z87">
        <v>44.9</v>
      </c>
      <c r="AA87">
        <v>0</v>
      </c>
      <c r="AB87" t="s">
        <v>324</v>
      </c>
      <c r="AF87" t="s">
        <v>2818</v>
      </c>
      <c r="AG87" t="s">
        <v>2818</v>
      </c>
      <c r="AH87" t="s">
        <v>1175</v>
      </c>
      <c r="AI87">
        <v>99999</v>
      </c>
      <c r="AJ87">
        <v>99999</v>
      </c>
      <c r="AK87">
        <v>699</v>
      </c>
      <c r="AL87" t="b">
        <v>1</v>
      </c>
      <c r="AM87" t="b">
        <v>1</v>
      </c>
      <c r="AN87" t="b">
        <v>0</v>
      </c>
      <c r="AO87">
        <v>99999</v>
      </c>
      <c r="AP87" t="s">
        <v>64</v>
      </c>
      <c r="AR87" t="b">
        <v>0</v>
      </c>
      <c r="AS87">
        <v>12</v>
      </c>
      <c r="AT87" t="s">
        <v>327</v>
      </c>
      <c r="AV87" t="s">
        <v>2823</v>
      </c>
      <c r="CRL87">
        <v>12</v>
      </c>
    </row>
    <row r="88" spans="1:48 2508:2508" x14ac:dyDescent="0.25">
      <c r="A88" t="s">
        <v>3323</v>
      </c>
      <c r="B88" t="s">
        <v>302</v>
      </c>
      <c r="C88" t="s">
        <v>62</v>
      </c>
      <c r="D88">
        <v>99999</v>
      </c>
      <c r="F88" s="109">
        <v>10000</v>
      </c>
      <c r="G88" t="b">
        <v>0</v>
      </c>
      <c r="H88" t="s">
        <v>335</v>
      </c>
      <c r="K88" t="s">
        <v>61</v>
      </c>
      <c r="L88" t="s">
        <v>303</v>
      </c>
      <c r="M88" t="s">
        <v>323</v>
      </c>
      <c r="N88" t="s">
        <v>63</v>
      </c>
      <c r="O88" s="110">
        <v>49.9</v>
      </c>
      <c r="R88" s="110">
        <v>389.9899999999999</v>
      </c>
      <c r="S88" s="110">
        <v>130</v>
      </c>
      <c r="T88" s="110">
        <v>0</v>
      </c>
      <c r="U88" s="110">
        <v>42.99</v>
      </c>
      <c r="X88">
        <v>172.09999999999994</v>
      </c>
      <c r="Y88">
        <v>44.9</v>
      </c>
      <c r="Z88">
        <v>44.9</v>
      </c>
      <c r="AA88">
        <v>0</v>
      </c>
      <c r="AB88" t="s">
        <v>324</v>
      </c>
      <c r="AF88" t="s">
        <v>2885</v>
      </c>
      <c r="AG88" t="s">
        <v>2885</v>
      </c>
      <c r="AH88" t="s">
        <v>1175</v>
      </c>
      <c r="AI88">
        <v>99999</v>
      </c>
      <c r="AJ88">
        <v>99999</v>
      </c>
      <c r="AK88">
        <v>699</v>
      </c>
      <c r="AL88" t="b">
        <v>1</v>
      </c>
      <c r="AM88" t="b">
        <v>1</v>
      </c>
      <c r="AN88" t="b">
        <v>0</v>
      </c>
      <c r="AO88">
        <v>99999</v>
      </c>
      <c r="AP88" t="s">
        <v>64</v>
      </c>
      <c r="AR88" t="b">
        <v>0</v>
      </c>
      <c r="AS88">
        <v>12</v>
      </c>
      <c r="AT88" t="s">
        <v>327</v>
      </c>
      <c r="AV88" t="s">
        <v>2890</v>
      </c>
      <c r="CRL88">
        <v>12</v>
      </c>
    </row>
    <row r="89" spans="1:48 2508:2508" x14ac:dyDescent="0.25">
      <c r="A89" t="s">
        <v>3323</v>
      </c>
      <c r="B89" t="s">
        <v>302</v>
      </c>
      <c r="C89" t="s">
        <v>62</v>
      </c>
      <c r="D89">
        <v>99999</v>
      </c>
      <c r="F89" s="109">
        <v>10000</v>
      </c>
      <c r="G89" t="b">
        <v>0</v>
      </c>
      <c r="H89" t="s">
        <v>335</v>
      </c>
      <c r="K89" t="s">
        <v>61</v>
      </c>
      <c r="L89" t="s">
        <v>303</v>
      </c>
      <c r="M89" t="s">
        <v>323</v>
      </c>
      <c r="N89" t="s">
        <v>63</v>
      </c>
      <c r="O89" s="110">
        <v>49.9</v>
      </c>
      <c r="R89" s="110">
        <v>404.88999999999993</v>
      </c>
      <c r="S89" s="110">
        <v>130</v>
      </c>
      <c r="T89" s="110">
        <v>0</v>
      </c>
      <c r="U89" s="110">
        <v>42.99</v>
      </c>
      <c r="X89">
        <v>186.99999999999994</v>
      </c>
      <c r="Y89">
        <v>44.9</v>
      </c>
      <c r="Z89">
        <v>44.9</v>
      </c>
      <c r="AA89">
        <v>0</v>
      </c>
      <c r="AB89" t="s">
        <v>324</v>
      </c>
      <c r="AF89" t="s">
        <v>2959</v>
      </c>
      <c r="AG89" t="s">
        <v>2959</v>
      </c>
      <c r="AH89" t="s">
        <v>1175</v>
      </c>
      <c r="AI89">
        <v>99999</v>
      </c>
      <c r="AJ89">
        <v>99999</v>
      </c>
      <c r="AK89">
        <v>699</v>
      </c>
      <c r="AL89" t="b">
        <v>1</v>
      </c>
      <c r="AM89" t="b">
        <v>1</v>
      </c>
      <c r="AN89" t="b">
        <v>0</v>
      </c>
      <c r="AO89">
        <v>99999</v>
      </c>
      <c r="AP89" t="s">
        <v>64</v>
      </c>
      <c r="AR89" t="b">
        <v>0</v>
      </c>
      <c r="AS89">
        <v>12</v>
      </c>
      <c r="AT89" t="s">
        <v>327</v>
      </c>
      <c r="AV89" t="s">
        <v>2964</v>
      </c>
      <c r="CRL89">
        <v>12</v>
      </c>
    </row>
    <row r="90" spans="1:48 2508:2508" x14ac:dyDescent="0.25">
      <c r="A90" t="s">
        <v>3323</v>
      </c>
      <c r="B90" t="s">
        <v>302</v>
      </c>
      <c r="C90" t="s">
        <v>62</v>
      </c>
      <c r="D90">
        <v>99999</v>
      </c>
      <c r="F90" s="109">
        <v>10000</v>
      </c>
      <c r="G90" t="b">
        <v>0</v>
      </c>
      <c r="H90" t="s">
        <v>331</v>
      </c>
      <c r="K90" t="s">
        <v>349</v>
      </c>
      <c r="L90" t="s">
        <v>303</v>
      </c>
      <c r="M90" t="s">
        <v>323</v>
      </c>
      <c r="N90" t="s">
        <v>63</v>
      </c>
      <c r="O90" s="110">
        <v>29.9</v>
      </c>
      <c r="R90" s="110">
        <v>274.89</v>
      </c>
      <c r="S90" s="110">
        <v>79.900000000000006</v>
      </c>
      <c r="T90" s="110">
        <v>0</v>
      </c>
      <c r="U90" s="110">
        <v>42.99</v>
      </c>
      <c r="X90">
        <v>107.09999999999997</v>
      </c>
      <c r="Y90">
        <v>44.9</v>
      </c>
      <c r="Z90">
        <v>44.9</v>
      </c>
      <c r="AA90">
        <v>0</v>
      </c>
      <c r="AB90" t="s">
        <v>324</v>
      </c>
      <c r="AF90" t="s">
        <v>1174</v>
      </c>
      <c r="AG90" t="s">
        <v>1174</v>
      </c>
      <c r="AH90" t="s">
        <v>1175</v>
      </c>
      <c r="AI90">
        <v>99999</v>
      </c>
      <c r="AJ90">
        <v>99999</v>
      </c>
      <c r="AK90">
        <v>699</v>
      </c>
      <c r="AL90" t="b">
        <v>1</v>
      </c>
      <c r="AM90" t="b">
        <v>1</v>
      </c>
      <c r="AN90" t="b">
        <v>0</v>
      </c>
      <c r="AO90">
        <v>99999</v>
      </c>
      <c r="AP90" t="s">
        <v>64</v>
      </c>
      <c r="AR90" t="b">
        <v>0</v>
      </c>
      <c r="AS90">
        <v>12</v>
      </c>
      <c r="AT90" t="s">
        <v>327</v>
      </c>
      <c r="AV90" t="s">
        <v>1191</v>
      </c>
      <c r="CRL90">
        <v>12</v>
      </c>
    </row>
    <row r="91" spans="1:48 2508:2508" x14ac:dyDescent="0.25">
      <c r="A91" t="s">
        <v>3323</v>
      </c>
      <c r="B91" t="s">
        <v>302</v>
      </c>
      <c r="C91" t="s">
        <v>62</v>
      </c>
      <c r="D91">
        <v>99999</v>
      </c>
      <c r="F91" s="109">
        <v>10000</v>
      </c>
      <c r="G91" t="b">
        <v>0</v>
      </c>
      <c r="H91" t="s">
        <v>331</v>
      </c>
      <c r="K91" t="s">
        <v>349</v>
      </c>
      <c r="L91" t="s">
        <v>303</v>
      </c>
      <c r="M91" t="s">
        <v>323</v>
      </c>
      <c r="N91" t="s">
        <v>63</v>
      </c>
      <c r="O91" s="110">
        <v>29.9</v>
      </c>
      <c r="R91" s="110">
        <v>294.89</v>
      </c>
      <c r="S91" s="110">
        <v>79.900000000000006</v>
      </c>
      <c r="T91" s="110">
        <v>0</v>
      </c>
      <c r="U91" s="110">
        <v>42.99</v>
      </c>
      <c r="X91">
        <v>127.09999999999997</v>
      </c>
      <c r="Y91">
        <v>44.9</v>
      </c>
      <c r="Z91">
        <v>44.9</v>
      </c>
      <c r="AA91">
        <v>0</v>
      </c>
      <c r="AB91" t="s">
        <v>324</v>
      </c>
      <c r="AF91" t="s">
        <v>1309</v>
      </c>
      <c r="AG91" t="s">
        <v>1309</v>
      </c>
      <c r="AH91" t="s">
        <v>1175</v>
      </c>
      <c r="AI91">
        <v>99999</v>
      </c>
      <c r="AJ91">
        <v>99999</v>
      </c>
      <c r="AK91">
        <v>699</v>
      </c>
      <c r="AL91" t="b">
        <v>1</v>
      </c>
      <c r="AM91" t="b">
        <v>1</v>
      </c>
      <c r="AN91" t="b">
        <v>0</v>
      </c>
      <c r="AO91">
        <v>99999</v>
      </c>
      <c r="AP91" t="s">
        <v>64</v>
      </c>
      <c r="AR91" t="b">
        <v>0</v>
      </c>
      <c r="AS91">
        <v>12</v>
      </c>
      <c r="AT91" t="s">
        <v>327</v>
      </c>
      <c r="AV91" t="s">
        <v>1325</v>
      </c>
      <c r="CRL91">
        <v>12</v>
      </c>
    </row>
    <row r="92" spans="1:48 2508:2508" x14ac:dyDescent="0.25">
      <c r="A92" t="s">
        <v>3323</v>
      </c>
      <c r="B92" t="s">
        <v>302</v>
      </c>
      <c r="C92" t="s">
        <v>62</v>
      </c>
      <c r="D92">
        <v>99999</v>
      </c>
      <c r="F92" s="109">
        <v>10000</v>
      </c>
      <c r="G92" t="b">
        <v>0</v>
      </c>
      <c r="H92" t="s">
        <v>331</v>
      </c>
      <c r="K92" t="s">
        <v>349</v>
      </c>
      <c r="L92" t="s">
        <v>303</v>
      </c>
      <c r="M92" t="s">
        <v>323</v>
      </c>
      <c r="N92" t="s">
        <v>63</v>
      </c>
      <c r="O92" s="110">
        <v>29.9</v>
      </c>
      <c r="R92" s="110">
        <v>314.89</v>
      </c>
      <c r="S92" s="110">
        <v>85</v>
      </c>
      <c r="T92" s="110">
        <v>0</v>
      </c>
      <c r="U92" s="110">
        <v>42.99</v>
      </c>
      <c r="X92">
        <v>141.99999999999997</v>
      </c>
      <c r="Y92">
        <v>44.9</v>
      </c>
      <c r="Z92">
        <v>44.9</v>
      </c>
      <c r="AA92">
        <v>0</v>
      </c>
      <c r="AB92" t="s">
        <v>324</v>
      </c>
      <c r="AF92" t="s">
        <v>1457</v>
      </c>
      <c r="AG92" t="s">
        <v>1457</v>
      </c>
      <c r="AH92" t="s">
        <v>1175</v>
      </c>
      <c r="AI92">
        <v>99999</v>
      </c>
      <c r="AJ92">
        <v>99999</v>
      </c>
      <c r="AK92">
        <v>699</v>
      </c>
      <c r="AL92" t="b">
        <v>1</v>
      </c>
      <c r="AM92" t="b">
        <v>1</v>
      </c>
      <c r="AN92" t="b">
        <v>0</v>
      </c>
      <c r="AO92">
        <v>99999</v>
      </c>
      <c r="AP92" t="s">
        <v>64</v>
      </c>
      <c r="AR92" t="b">
        <v>0</v>
      </c>
      <c r="AS92">
        <v>12</v>
      </c>
      <c r="AT92" t="s">
        <v>327</v>
      </c>
      <c r="AV92" t="s">
        <v>1473</v>
      </c>
      <c r="CRL92">
        <v>12</v>
      </c>
    </row>
    <row r="93" spans="1:48 2508:2508" x14ac:dyDescent="0.25">
      <c r="A93" t="s">
        <v>3323</v>
      </c>
      <c r="B93" t="s">
        <v>302</v>
      </c>
      <c r="C93" t="s">
        <v>62</v>
      </c>
      <c r="D93">
        <v>99999</v>
      </c>
      <c r="F93" s="109">
        <v>10000</v>
      </c>
      <c r="G93" t="b">
        <v>0</v>
      </c>
      <c r="H93" t="s">
        <v>331</v>
      </c>
      <c r="K93" t="s">
        <v>349</v>
      </c>
      <c r="L93" t="s">
        <v>303</v>
      </c>
      <c r="M93" t="s">
        <v>323</v>
      </c>
      <c r="N93" t="s">
        <v>63</v>
      </c>
      <c r="O93" s="110">
        <v>39.9</v>
      </c>
      <c r="R93" s="110">
        <v>274.89</v>
      </c>
      <c r="S93" s="110">
        <v>79.900000000000006</v>
      </c>
      <c r="T93" s="110">
        <v>0</v>
      </c>
      <c r="U93" s="110">
        <v>42.99</v>
      </c>
      <c r="X93">
        <v>107.09999999999997</v>
      </c>
      <c r="Y93">
        <v>44.9</v>
      </c>
      <c r="Z93">
        <v>44.9</v>
      </c>
      <c r="AA93">
        <v>0</v>
      </c>
      <c r="AB93" t="s">
        <v>324</v>
      </c>
      <c r="AF93" t="s">
        <v>1242</v>
      </c>
      <c r="AG93" t="s">
        <v>1242</v>
      </c>
      <c r="AH93" t="s">
        <v>1175</v>
      </c>
      <c r="AI93">
        <v>99999</v>
      </c>
      <c r="AJ93">
        <v>99999</v>
      </c>
      <c r="AK93">
        <v>699</v>
      </c>
      <c r="AL93" t="b">
        <v>1</v>
      </c>
      <c r="AM93" t="b">
        <v>1</v>
      </c>
      <c r="AN93" t="b">
        <v>0</v>
      </c>
      <c r="AO93">
        <v>99999</v>
      </c>
      <c r="AP93" t="s">
        <v>64</v>
      </c>
      <c r="AR93" t="b">
        <v>0</v>
      </c>
      <c r="AS93">
        <v>12</v>
      </c>
      <c r="AT93" t="s">
        <v>327</v>
      </c>
      <c r="AV93" t="s">
        <v>1258</v>
      </c>
      <c r="CRL93">
        <v>12</v>
      </c>
    </row>
    <row r="94" spans="1:48 2508:2508" x14ac:dyDescent="0.25">
      <c r="A94" t="s">
        <v>3323</v>
      </c>
      <c r="B94" t="s">
        <v>302</v>
      </c>
      <c r="C94" t="s">
        <v>62</v>
      </c>
      <c r="D94">
        <v>99999</v>
      </c>
      <c r="F94" s="109">
        <v>10000</v>
      </c>
      <c r="G94" t="b">
        <v>0</v>
      </c>
      <c r="H94" t="s">
        <v>331</v>
      </c>
      <c r="K94" t="s">
        <v>349</v>
      </c>
      <c r="L94" t="s">
        <v>303</v>
      </c>
      <c r="M94" t="s">
        <v>323</v>
      </c>
      <c r="N94" t="s">
        <v>63</v>
      </c>
      <c r="O94" s="110">
        <v>39.9</v>
      </c>
      <c r="R94" s="110">
        <v>294.89</v>
      </c>
      <c r="S94" s="110">
        <v>79.900000000000006</v>
      </c>
      <c r="T94" s="110">
        <v>0</v>
      </c>
      <c r="U94" s="110">
        <v>42.99</v>
      </c>
      <c r="X94">
        <v>127.09999999999997</v>
      </c>
      <c r="Y94">
        <v>44.9</v>
      </c>
      <c r="Z94">
        <v>44.9</v>
      </c>
      <c r="AA94">
        <v>0</v>
      </c>
      <c r="AB94" t="s">
        <v>324</v>
      </c>
      <c r="AF94" t="s">
        <v>1376</v>
      </c>
      <c r="AG94" t="s">
        <v>1376</v>
      </c>
      <c r="AH94" t="s">
        <v>1175</v>
      </c>
      <c r="AI94">
        <v>99999</v>
      </c>
      <c r="AJ94">
        <v>99999</v>
      </c>
      <c r="AK94">
        <v>699</v>
      </c>
      <c r="AL94" t="b">
        <v>1</v>
      </c>
      <c r="AM94" t="b">
        <v>1</v>
      </c>
      <c r="AN94" t="b">
        <v>0</v>
      </c>
      <c r="AO94">
        <v>99999</v>
      </c>
      <c r="AP94" t="s">
        <v>64</v>
      </c>
      <c r="AR94" t="b">
        <v>0</v>
      </c>
      <c r="AS94">
        <v>12</v>
      </c>
      <c r="AT94" t="s">
        <v>327</v>
      </c>
      <c r="AV94" t="s">
        <v>1392</v>
      </c>
      <c r="CRL94">
        <v>12</v>
      </c>
    </row>
    <row r="95" spans="1:48 2508:2508" x14ac:dyDescent="0.25">
      <c r="A95" t="s">
        <v>3323</v>
      </c>
      <c r="B95" t="s">
        <v>302</v>
      </c>
      <c r="C95" t="s">
        <v>62</v>
      </c>
      <c r="D95">
        <v>99999</v>
      </c>
      <c r="F95" s="109">
        <v>10000</v>
      </c>
      <c r="G95" t="b">
        <v>0</v>
      </c>
      <c r="H95" t="s">
        <v>331</v>
      </c>
      <c r="K95" t="s">
        <v>349</v>
      </c>
      <c r="L95" t="s">
        <v>303</v>
      </c>
      <c r="M95" t="s">
        <v>323</v>
      </c>
      <c r="N95" t="s">
        <v>63</v>
      </c>
      <c r="O95" s="110">
        <v>39.9</v>
      </c>
      <c r="R95" s="110">
        <v>314.89</v>
      </c>
      <c r="S95" s="110">
        <v>85</v>
      </c>
      <c r="T95" s="110">
        <v>0</v>
      </c>
      <c r="U95" s="110">
        <v>42.99</v>
      </c>
      <c r="X95">
        <v>141.99999999999997</v>
      </c>
      <c r="Y95">
        <v>44.9</v>
      </c>
      <c r="Z95">
        <v>44.9</v>
      </c>
      <c r="AA95">
        <v>0</v>
      </c>
      <c r="AB95" t="s">
        <v>324</v>
      </c>
      <c r="AF95" t="s">
        <v>1524</v>
      </c>
      <c r="AG95" t="s">
        <v>1524</v>
      </c>
      <c r="AH95" t="s">
        <v>1175</v>
      </c>
      <c r="AI95">
        <v>99999</v>
      </c>
      <c r="AJ95">
        <v>99999</v>
      </c>
      <c r="AK95">
        <v>699</v>
      </c>
      <c r="AL95" t="b">
        <v>1</v>
      </c>
      <c r="AM95" t="b">
        <v>1</v>
      </c>
      <c r="AN95" t="b">
        <v>0</v>
      </c>
      <c r="AO95">
        <v>99999</v>
      </c>
      <c r="AP95" t="s">
        <v>64</v>
      </c>
      <c r="AR95" t="b">
        <v>0</v>
      </c>
      <c r="AS95">
        <v>12</v>
      </c>
      <c r="AT95" t="s">
        <v>327</v>
      </c>
      <c r="AV95" t="s">
        <v>1540</v>
      </c>
      <c r="CRL95">
        <v>12</v>
      </c>
    </row>
    <row r="96" spans="1:48 2508:2508" x14ac:dyDescent="0.25">
      <c r="A96" t="s">
        <v>3323</v>
      </c>
      <c r="B96" t="s">
        <v>302</v>
      </c>
      <c r="C96" t="s">
        <v>62</v>
      </c>
      <c r="D96">
        <v>99999</v>
      </c>
      <c r="F96" s="109">
        <v>10000</v>
      </c>
      <c r="G96" t="b">
        <v>0</v>
      </c>
      <c r="H96" t="s">
        <v>331</v>
      </c>
      <c r="K96" t="s">
        <v>349</v>
      </c>
      <c r="L96" t="s">
        <v>303</v>
      </c>
      <c r="M96" t="s">
        <v>323</v>
      </c>
      <c r="N96" t="s">
        <v>63</v>
      </c>
      <c r="O96" s="110">
        <v>49.9</v>
      </c>
      <c r="R96" s="110">
        <v>300.68999999999994</v>
      </c>
      <c r="S96" s="110">
        <v>130</v>
      </c>
      <c r="T96" s="110">
        <v>0</v>
      </c>
      <c r="U96" s="110">
        <v>34.99</v>
      </c>
      <c r="X96">
        <v>90.799999999999983</v>
      </c>
      <c r="Y96">
        <v>44.9</v>
      </c>
      <c r="Z96">
        <v>44.9</v>
      </c>
      <c r="AA96">
        <v>0</v>
      </c>
      <c r="AB96" t="s">
        <v>324</v>
      </c>
      <c r="AF96" t="s">
        <v>2744</v>
      </c>
      <c r="AG96" t="s">
        <v>2744</v>
      </c>
      <c r="AH96" t="s">
        <v>1175</v>
      </c>
      <c r="AI96">
        <v>99999</v>
      </c>
      <c r="AJ96">
        <v>99999</v>
      </c>
      <c r="AK96">
        <v>699</v>
      </c>
      <c r="AL96" t="b">
        <v>1</v>
      </c>
      <c r="AM96" t="b">
        <v>1</v>
      </c>
      <c r="AN96" t="b">
        <v>0</v>
      </c>
      <c r="AO96">
        <v>99999</v>
      </c>
      <c r="AP96" t="s">
        <v>64</v>
      </c>
      <c r="AR96" t="b">
        <v>0</v>
      </c>
      <c r="AS96">
        <v>12</v>
      </c>
      <c r="AT96" t="s">
        <v>327</v>
      </c>
      <c r="AV96" t="s">
        <v>2760</v>
      </c>
      <c r="CRL96">
        <v>12</v>
      </c>
    </row>
    <row r="97" spans="1:48 2508:2508" x14ac:dyDescent="0.25">
      <c r="A97" t="s">
        <v>3323</v>
      </c>
      <c r="B97" t="s">
        <v>302</v>
      </c>
      <c r="C97" t="s">
        <v>62</v>
      </c>
      <c r="D97">
        <v>99999</v>
      </c>
      <c r="F97" s="109">
        <v>10000</v>
      </c>
      <c r="G97" t="b">
        <v>0</v>
      </c>
      <c r="H97" t="s">
        <v>331</v>
      </c>
      <c r="K97" t="s">
        <v>349</v>
      </c>
      <c r="L97" t="s">
        <v>303</v>
      </c>
      <c r="M97" t="s">
        <v>323</v>
      </c>
      <c r="N97" t="s">
        <v>63</v>
      </c>
      <c r="O97" s="110">
        <v>49.9</v>
      </c>
      <c r="R97" s="110">
        <v>324.98999999999995</v>
      </c>
      <c r="S97" s="110">
        <v>130</v>
      </c>
      <c r="T97" s="110">
        <v>0</v>
      </c>
      <c r="U97" s="110">
        <v>42.99</v>
      </c>
      <c r="X97">
        <v>107.09999999999997</v>
      </c>
      <c r="Y97">
        <v>44.9</v>
      </c>
      <c r="Z97">
        <v>44.9</v>
      </c>
      <c r="AA97">
        <v>0</v>
      </c>
      <c r="AB97" t="s">
        <v>324</v>
      </c>
      <c r="AF97" t="s">
        <v>2818</v>
      </c>
      <c r="AG97" t="s">
        <v>2818</v>
      </c>
      <c r="AH97" t="s">
        <v>1175</v>
      </c>
      <c r="AI97">
        <v>99999</v>
      </c>
      <c r="AJ97">
        <v>99999</v>
      </c>
      <c r="AK97">
        <v>699</v>
      </c>
      <c r="AL97" t="b">
        <v>1</v>
      </c>
      <c r="AM97" t="b">
        <v>1</v>
      </c>
      <c r="AN97" t="b">
        <v>0</v>
      </c>
      <c r="AO97">
        <v>99999</v>
      </c>
      <c r="AP97" t="s">
        <v>64</v>
      </c>
      <c r="AR97" t="b">
        <v>0</v>
      </c>
      <c r="AS97">
        <v>12</v>
      </c>
      <c r="AT97" t="s">
        <v>327</v>
      </c>
      <c r="AV97" t="s">
        <v>2834</v>
      </c>
      <c r="CRL97">
        <v>12</v>
      </c>
    </row>
    <row r="98" spans="1:48 2508:2508" x14ac:dyDescent="0.25">
      <c r="A98" t="s">
        <v>3323</v>
      </c>
      <c r="B98" t="s">
        <v>302</v>
      </c>
      <c r="C98" t="s">
        <v>62</v>
      </c>
      <c r="D98">
        <v>99999</v>
      </c>
      <c r="F98" s="109">
        <v>10000</v>
      </c>
      <c r="G98" t="b">
        <v>0</v>
      </c>
      <c r="H98" t="s">
        <v>331</v>
      </c>
      <c r="K98" t="s">
        <v>349</v>
      </c>
      <c r="L98" t="s">
        <v>303</v>
      </c>
      <c r="M98" t="s">
        <v>323</v>
      </c>
      <c r="N98" t="s">
        <v>63</v>
      </c>
      <c r="O98" s="110">
        <v>49.9</v>
      </c>
      <c r="R98" s="110">
        <v>344.98999999999995</v>
      </c>
      <c r="S98" s="110">
        <v>130</v>
      </c>
      <c r="T98" s="110">
        <v>0</v>
      </c>
      <c r="U98" s="110">
        <v>42.99</v>
      </c>
      <c r="X98">
        <v>127.09999999999997</v>
      </c>
      <c r="Y98">
        <v>44.9</v>
      </c>
      <c r="Z98">
        <v>44.9</v>
      </c>
      <c r="AA98">
        <v>0</v>
      </c>
      <c r="AB98" t="s">
        <v>324</v>
      </c>
      <c r="AF98" t="s">
        <v>2885</v>
      </c>
      <c r="AG98" t="s">
        <v>2885</v>
      </c>
      <c r="AH98" t="s">
        <v>1175</v>
      </c>
      <c r="AI98">
        <v>99999</v>
      </c>
      <c r="AJ98">
        <v>99999</v>
      </c>
      <c r="AK98">
        <v>699</v>
      </c>
      <c r="AL98" t="b">
        <v>1</v>
      </c>
      <c r="AM98" t="b">
        <v>1</v>
      </c>
      <c r="AN98" t="b">
        <v>0</v>
      </c>
      <c r="AO98">
        <v>99999</v>
      </c>
      <c r="AP98" t="s">
        <v>64</v>
      </c>
      <c r="AR98" t="b">
        <v>0</v>
      </c>
      <c r="AS98">
        <v>12</v>
      </c>
      <c r="AT98" t="s">
        <v>327</v>
      </c>
      <c r="AV98" t="s">
        <v>2901</v>
      </c>
      <c r="CRL98">
        <v>12</v>
      </c>
    </row>
    <row r="99" spans="1:48 2508:2508" x14ac:dyDescent="0.25">
      <c r="A99" t="s">
        <v>3323</v>
      </c>
      <c r="B99" t="s">
        <v>302</v>
      </c>
      <c r="C99" t="s">
        <v>62</v>
      </c>
      <c r="D99">
        <v>99999</v>
      </c>
      <c r="F99" s="109">
        <v>10000</v>
      </c>
      <c r="G99" t="b">
        <v>0</v>
      </c>
      <c r="H99" t="s">
        <v>331</v>
      </c>
      <c r="K99" t="s">
        <v>349</v>
      </c>
      <c r="L99" t="s">
        <v>303</v>
      </c>
      <c r="M99" t="s">
        <v>323</v>
      </c>
      <c r="N99" t="s">
        <v>63</v>
      </c>
      <c r="O99" s="110">
        <v>49.9</v>
      </c>
      <c r="R99" s="110">
        <v>359.89</v>
      </c>
      <c r="S99" s="110">
        <v>130</v>
      </c>
      <c r="T99" s="110">
        <v>0</v>
      </c>
      <c r="U99" s="110">
        <v>42.99</v>
      </c>
      <c r="X99">
        <v>141.99999999999997</v>
      </c>
      <c r="Y99">
        <v>44.9</v>
      </c>
      <c r="Z99">
        <v>44.9</v>
      </c>
      <c r="AA99">
        <v>0</v>
      </c>
      <c r="AB99" t="s">
        <v>324</v>
      </c>
      <c r="AF99" t="s">
        <v>2959</v>
      </c>
      <c r="AG99" t="s">
        <v>2959</v>
      </c>
      <c r="AH99" t="s">
        <v>1175</v>
      </c>
      <c r="AI99">
        <v>99999</v>
      </c>
      <c r="AJ99">
        <v>99999</v>
      </c>
      <c r="AK99">
        <v>699</v>
      </c>
      <c r="AL99" t="b">
        <v>1</v>
      </c>
      <c r="AM99" t="b">
        <v>1</v>
      </c>
      <c r="AN99" t="b">
        <v>0</v>
      </c>
      <c r="AO99">
        <v>99999</v>
      </c>
      <c r="AP99" t="s">
        <v>64</v>
      </c>
      <c r="AR99" t="b">
        <v>0</v>
      </c>
      <c r="AS99">
        <v>12</v>
      </c>
      <c r="AT99" t="s">
        <v>327</v>
      </c>
      <c r="AV99" t="s">
        <v>2975</v>
      </c>
      <c r="CRL99">
        <v>12</v>
      </c>
    </row>
    <row r="100" spans="1:48 2508:2508" x14ac:dyDescent="0.25">
      <c r="A100" t="s">
        <v>3323</v>
      </c>
      <c r="B100" t="s">
        <v>302</v>
      </c>
      <c r="C100" t="s">
        <v>62</v>
      </c>
      <c r="D100">
        <v>99999</v>
      </c>
      <c r="F100" s="109">
        <v>10000</v>
      </c>
      <c r="G100" t="b">
        <v>0</v>
      </c>
      <c r="H100" t="s">
        <v>331</v>
      </c>
      <c r="K100" t="s">
        <v>393</v>
      </c>
      <c r="L100" t="s">
        <v>303</v>
      </c>
      <c r="M100" t="s">
        <v>323</v>
      </c>
      <c r="N100" t="s">
        <v>63</v>
      </c>
      <c r="O100" s="110">
        <v>29.9</v>
      </c>
      <c r="R100" s="110">
        <v>299.89</v>
      </c>
      <c r="S100" s="110">
        <v>79.900000000000006</v>
      </c>
      <c r="T100" s="110">
        <v>0</v>
      </c>
      <c r="U100" s="110">
        <v>42.99</v>
      </c>
      <c r="X100">
        <v>107.09999999999997</v>
      </c>
      <c r="Y100">
        <v>69.900000000000006</v>
      </c>
      <c r="Z100">
        <v>69.900000000000006</v>
      </c>
      <c r="AA100">
        <v>0</v>
      </c>
      <c r="AB100" t="s">
        <v>363</v>
      </c>
      <c r="AF100" t="s">
        <v>1202</v>
      </c>
      <c r="AG100" t="s">
        <v>1202</v>
      </c>
      <c r="AH100" t="s">
        <v>1175</v>
      </c>
      <c r="AI100">
        <v>99999</v>
      </c>
      <c r="AJ100">
        <v>99999</v>
      </c>
      <c r="AK100">
        <v>699</v>
      </c>
      <c r="AL100" t="b">
        <v>1</v>
      </c>
      <c r="AM100" t="b">
        <v>1</v>
      </c>
      <c r="AN100" t="b">
        <v>0</v>
      </c>
      <c r="AO100">
        <v>99999</v>
      </c>
      <c r="AP100" t="s">
        <v>64</v>
      </c>
      <c r="AR100" t="b">
        <v>0</v>
      </c>
      <c r="AS100">
        <v>12</v>
      </c>
      <c r="AT100" t="s">
        <v>327</v>
      </c>
      <c r="AV100" t="s">
        <v>1231</v>
      </c>
      <c r="CRL100">
        <v>12</v>
      </c>
    </row>
    <row r="101" spans="1:48 2508:2508" x14ac:dyDescent="0.25">
      <c r="A101" t="s">
        <v>3323</v>
      </c>
      <c r="B101" t="s">
        <v>302</v>
      </c>
      <c r="C101" t="s">
        <v>62</v>
      </c>
      <c r="D101">
        <v>99999</v>
      </c>
      <c r="F101" s="109">
        <v>10000</v>
      </c>
      <c r="G101" t="b">
        <v>0</v>
      </c>
      <c r="H101" t="s">
        <v>331</v>
      </c>
      <c r="K101" t="s">
        <v>393</v>
      </c>
      <c r="L101" t="s">
        <v>303</v>
      </c>
      <c r="M101" t="s">
        <v>323</v>
      </c>
      <c r="N101" t="s">
        <v>63</v>
      </c>
      <c r="O101" s="110">
        <v>29.9</v>
      </c>
      <c r="R101" s="110">
        <v>319.89</v>
      </c>
      <c r="S101" s="110">
        <v>79.900000000000006</v>
      </c>
      <c r="T101" s="110">
        <v>0</v>
      </c>
      <c r="U101" s="110">
        <v>42.99</v>
      </c>
      <c r="X101">
        <v>127.09999999999997</v>
      </c>
      <c r="Y101">
        <v>69.900000000000006</v>
      </c>
      <c r="Z101">
        <v>69.900000000000006</v>
      </c>
      <c r="AA101">
        <v>0</v>
      </c>
      <c r="AB101" t="s">
        <v>363</v>
      </c>
      <c r="AF101" t="s">
        <v>1336</v>
      </c>
      <c r="AG101" t="s">
        <v>1336</v>
      </c>
      <c r="AH101" t="s">
        <v>1175</v>
      </c>
      <c r="AI101">
        <v>99999</v>
      </c>
      <c r="AJ101">
        <v>99999</v>
      </c>
      <c r="AK101">
        <v>699</v>
      </c>
      <c r="AL101" t="b">
        <v>1</v>
      </c>
      <c r="AM101" t="b">
        <v>1</v>
      </c>
      <c r="AN101" t="b">
        <v>0</v>
      </c>
      <c r="AO101">
        <v>99999</v>
      </c>
      <c r="AP101" t="s">
        <v>64</v>
      </c>
      <c r="AR101" t="b">
        <v>0</v>
      </c>
      <c r="AS101">
        <v>12</v>
      </c>
      <c r="AT101" t="s">
        <v>327</v>
      </c>
      <c r="AV101" t="s">
        <v>1365</v>
      </c>
      <c r="CRL101">
        <v>12</v>
      </c>
    </row>
    <row r="102" spans="1:48 2508:2508" x14ac:dyDescent="0.25">
      <c r="A102" t="s">
        <v>3323</v>
      </c>
      <c r="B102" t="s">
        <v>302</v>
      </c>
      <c r="C102" t="s">
        <v>62</v>
      </c>
      <c r="D102">
        <v>99999</v>
      </c>
      <c r="F102" s="109">
        <v>10000</v>
      </c>
      <c r="G102" t="b">
        <v>0</v>
      </c>
      <c r="H102" t="s">
        <v>331</v>
      </c>
      <c r="K102" t="s">
        <v>393</v>
      </c>
      <c r="L102" t="s">
        <v>303</v>
      </c>
      <c r="M102" t="s">
        <v>323</v>
      </c>
      <c r="N102" t="s">
        <v>63</v>
      </c>
      <c r="O102" s="110">
        <v>29.9</v>
      </c>
      <c r="R102" s="110">
        <v>339.89</v>
      </c>
      <c r="S102" s="110">
        <v>85</v>
      </c>
      <c r="T102" s="110">
        <v>0</v>
      </c>
      <c r="U102" s="110">
        <v>42.99</v>
      </c>
      <c r="X102">
        <v>141.99999999999997</v>
      </c>
      <c r="Y102">
        <v>69.900000000000006</v>
      </c>
      <c r="Z102">
        <v>69.900000000000006</v>
      </c>
      <c r="AA102">
        <v>0</v>
      </c>
      <c r="AB102" t="s">
        <v>363</v>
      </c>
      <c r="AF102" t="s">
        <v>1484</v>
      </c>
      <c r="AG102" t="s">
        <v>1484</v>
      </c>
      <c r="AH102" t="s">
        <v>1175</v>
      </c>
      <c r="AI102">
        <v>99999</v>
      </c>
      <c r="AJ102">
        <v>99999</v>
      </c>
      <c r="AK102">
        <v>699</v>
      </c>
      <c r="AL102" t="b">
        <v>1</v>
      </c>
      <c r="AM102" t="b">
        <v>1</v>
      </c>
      <c r="AN102" t="b">
        <v>0</v>
      </c>
      <c r="AO102">
        <v>99999</v>
      </c>
      <c r="AP102" t="s">
        <v>64</v>
      </c>
      <c r="AR102" t="b">
        <v>0</v>
      </c>
      <c r="AS102">
        <v>12</v>
      </c>
      <c r="AT102" t="s">
        <v>327</v>
      </c>
      <c r="AV102" t="s">
        <v>1513</v>
      </c>
      <c r="CRL102">
        <v>12</v>
      </c>
    </row>
    <row r="103" spans="1:48 2508:2508" x14ac:dyDescent="0.25">
      <c r="A103" t="s">
        <v>3323</v>
      </c>
      <c r="B103" t="s">
        <v>302</v>
      </c>
      <c r="C103" t="s">
        <v>62</v>
      </c>
      <c r="D103">
        <v>99999</v>
      </c>
      <c r="F103" s="109">
        <v>10000</v>
      </c>
      <c r="G103" t="b">
        <v>0</v>
      </c>
      <c r="H103" t="s">
        <v>331</v>
      </c>
      <c r="K103" t="s">
        <v>393</v>
      </c>
      <c r="L103" t="s">
        <v>303</v>
      </c>
      <c r="M103" t="s">
        <v>323</v>
      </c>
      <c r="N103" t="s">
        <v>63</v>
      </c>
      <c r="O103" s="110">
        <v>39.9</v>
      </c>
      <c r="R103" s="110">
        <v>299.89</v>
      </c>
      <c r="S103" s="110">
        <v>79.900000000000006</v>
      </c>
      <c r="T103" s="110">
        <v>0</v>
      </c>
      <c r="U103" s="110">
        <v>42.99</v>
      </c>
      <c r="X103">
        <v>107.09999999999997</v>
      </c>
      <c r="Y103">
        <v>69.900000000000006</v>
      </c>
      <c r="Z103">
        <v>69.900000000000006</v>
      </c>
      <c r="AA103">
        <v>0</v>
      </c>
      <c r="AB103" t="s">
        <v>363</v>
      </c>
      <c r="AF103" t="s">
        <v>1269</v>
      </c>
      <c r="AG103" t="s">
        <v>1269</v>
      </c>
      <c r="AH103" t="s">
        <v>1175</v>
      </c>
      <c r="AI103">
        <v>99999</v>
      </c>
      <c r="AJ103">
        <v>99999</v>
      </c>
      <c r="AK103">
        <v>699</v>
      </c>
      <c r="AL103" t="b">
        <v>1</v>
      </c>
      <c r="AM103" t="b">
        <v>1</v>
      </c>
      <c r="AN103" t="b">
        <v>0</v>
      </c>
      <c r="AO103">
        <v>99999</v>
      </c>
      <c r="AP103" t="s">
        <v>64</v>
      </c>
      <c r="AR103" t="b">
        <v>0</v>
      </c>
      <c r="AS103">
        <v>12</v>
      </c>
      <c r="AT103" t="s">
        <v>327</v>
      </c>
      <c r="AV103" t="s">
        <v>1298</v>
      </c>
      <c r="CRL103">
        <v>12</v>
      </c>
    </row>
    <row r="104" spans="1:48 2508:2508" x14ac:dyDescent="0.25">
      <c r="A104" t="s">
        <v>3323</v>
      </c>
      <c r="B104" t="s">
        <v>302</v>
      </c>
      <c r="C104" t="s">
        <v>62</v>
      </c>
      <c r="D104">
        <v>99999</v>
      </c>
      <c r="F104" s="109">
        <v>10000</v>
      </c>
      <c r="G104" t="b">
        <v>0</v>
      </c>
      <c r="H104" t="s">
        <v>331</v>
      </c>
      <c r="K104" t="s">
        <v>393</v>
      </c>
      <c r="L104" t="s">
        <v>303</v>
      </c>
      <c r="M104" t="s">
        <v>323</v>
      </c>
      <c r="N104" t="s">
        <v>63</v>
      </c>
      <c r="O104" s="110">
        <v>39.9</v>
      </c>
      <c r="R104" s="110">
        <v>319.89</v>
      </c>
      <c r="S104" s="110">
        <v>79.900000000000006</v>
      </c>
      <c r="T104" s="110">
        <v>0</v>
      </c>
      <c r="U104" s="110">
        <v>42.99</v>
      </c>
      <c r="X104">
        <v>127.09999999999997</v>
      </c>
      <c r="Y104">
        <v>69.900000000000006</v>
      </c>
      <c r="Z104">
        <v>69.900000000000006</v>
      </c>
      <c r="AA104">
        <v>0</v>
      </c>
      <c r="AB104" t="s">
        <v>363</v>
      </c>
      <c r="AF104" t="s">
        <v>1403</v>
      </c>
      <c r="AG104" t="s">
        <v>1403</v>
      </c>
      <c r="AH104" t="s">
        <v>1175</v>
      </c>
      <c r="AI104">
        <v>99999</v>
      </c>
      <c r="AJ104">
        <v>99999</v>
      </c>
      <c r="AK104">
        <v>699</v>
      </c>
      <c r="AL104" t="b">
        <v>1</v>
      </c>
      <c r="AM104" t="b">
        <v>1</v>
      </c>
      <c r="AN104" t="b">
        <v>0</v>
      </c>
      <c r="AO104">
        <v>99999</v>
      </c>
      <c r="AP104" t="s">
        <v>64</v>
      </c>
      <c r="AR104" t="b">
        <v>0</v>
      </c>
      <c r="AS104">
        <v>12</v>
      </c>
      <c r="AT104" t="s">
        <v>327</v>
      </c>
      <c r="AV104" t="s">
        <v>1432</v>
      </c>
      <c r="CRL104">
        <v>12</v>
      </c>
    </row>
    <row r="105" spans="1:48 2508:2508" x14ac:dyDescent="0.25">
      <c r="A105" t="s">
        <v>3323</v>
      </c>
      <c r="B105" t="s">
        <v>302</v>
      </c>
      <c r="C105" t="s">
        <v>62</v>
      </c>
      <c r="D105">
        <v>99999</v>
      </c>
      <c r="F105" s="109">
        <v>10000</v>
      </c>
      <c r="G105" t="b">
        <v>0</v>
      </c>
      <c r="H105" t="s">
        <v>331</v>
      </c>
      <c r="K105" t="s">
        <v>393</v>
      </c>
      <c r="L105" t="s">
        <v>303</v>
      </c>
      <c r="M105" t="s">
        <v>323</v>
      </c>
      <c r="N105" t="s">
        <v>63</v>
      </c>
      <c r="O105" s="110">
        <v>39.9</v>
      </c>
      <c r="R105" s="110">
        <v>339.89</v>
      </c>
      <c r="S105" s="110">
        <v>85</v>
      </c>
      <c r="T105" s="110">
        <v>0</v>
      </c>
      <c r="U105" s="110">
        <v>42.99</v>
      </c>
      <c r="X105">
        <v>141.99999999999997</v>
      </c>
      <c r="Y105">
        <v>69.900000000000006</v>
      </c>
      <c r="Z105">
        <v>69.900000000000006</v>
      </c>
      <c r="AA105">
        <v>0</v>
      </c>
      <c r="AB105" t="s">
        <v>363</v>
      </c>
      <c r="AF105" t="s">
        <v>1551</v>
      </c>
      <c r="AG105" t="s">
        <v>1551</v>
      </c>
      <c r="AH105" t="s">
        <v>1175</v>
      </c>
      <c r="AI105">
        <v>99999</v>
      </c>
      <c r="AJ105">
        <v>99999</v>
      </c>
      <c r="AK105">
        <v>699</v>
      </c>
      <c r="AL105" t="b">
        <v>1</v>
      </c>
      <c r="AM105" t="b">
        <v>1</v>
      </c>
      <c r="AN105" t="b">
        <v>0</v>
      </c>
      <c r="AO105">
        <v>99999</v>
      </c>
      <c r="AP105" t="s">
        <v>64</v>
      </c>
      <c r="AR105" t="b">
        <v>0</v>
      </c>
      <c r="AS105">
        <v>12</v>
      </c>
      <c r="AT105" t="s">
        <v>327</v>
      </c>
      <c r="AV105" t="s">
        <v>1580</v>
      </c>
      <c r="CRL105">
        <v>12</v>
      </c>
    </row>
    <row r="106" spans="1:48 2508:2508" x14ac:dyDescent="0.25">
      <c r="A106" t="s">
        <v>3323</v>
      </c>
      <c r="B106" t="s">
        <v>302</v>
      </c>
      <c r="C106" t="s">
        <v>62</v>
      </c>
      <c r="D106">
        <v>99999</v>
      </c>
      <c r="F106" s="109">
        <v>10000</v>
      </c>
      <c r="G106" t="b">
        <v>0</v>
      </c>
      <c r="H106" t="s">
        <v>331</v>
      </c>
      <c r="K106" t="s">
        <v>393</v>
      </c>
      <c r="L106" t="s">
        <v>303</v>
      </c>
      <c r="M106" t="s">
        <v>323</v>
      </c>
      <c r="N106" t="s">
        <v>63</v>
      </c>
      <c r="O106" s="110">
        <v>49.9</v>
      </c>
      <c r="R106" s="110">
        <v>325.69</v>
      </c>
      <c r="S106" s="110">
        <v>130</v>
      </c>
      <c r="T106" s="110">
        <v>0</v>
      </c>
      <c r="U106" s="110">
        <v>34.99</v>
      </c>
      <c r="X106">
        <v>90.799999999999983</v>
      </c>
      <c r="Y106">
        <v>69.900000000000006</v>
      </c>
      <c r="Z106">
        <v>69.900000000000006</v>
      </c>
      <c r="AA106">
        <v>0</v>
      </c>
      <c r="AB106" t="s">
        <v>363</v>
      </c>
      <c r="AF106" t="s">
        <v>2771</v>
      </c>
      <c r="AG106" t="s">
        <v>2771</v>
      </c>
      <c r="AH106" t="s">
        <v>1175</v>
      </c>
      <c r="AI106">
        <v>99999</v>
      </c>
      <c r="AJ106">
        <v>99999</v>
      </c>
      <c r="AK106">
        <v>699</v>
      </c>
      <c r="AL106" t="b">
        <v>1</v>
      </c>
      <c r="AM106" t="b">
        <v>1</v>
      </c>
      <c r="AN106" t="b">
        <v>0</v>
      </c>
      <c r="AO106">
        <v>99999</v>
      </c>
      <c r="AP106" t="s">
        <v>64</v>
      </c>
      <c r="AR106" t="b">
        <v>0</v>
      </c>
      <c r="AS106">
        <v>12</v>
      </c>
      <c r="AT106" t="s">
        <v>327</v>
      </c>
      <c r="AV106" t="s">
        <v>2800</v>
      </c>
      <c r="CRL106">
        <v>12</v>
      </c>
    </row>
    <row r="107" spans="1:48 2508:2508" x14ac:dyDescent="0.25">
      <c r="A107" t="s">
        <v>3323</v>
      </c>
      <c r="B107" t="s">
        <v>302</v>
      </c>
      <c r="C107" t="s">
        <v>62</v>
      </c>
      <c r="D107">
        <v>99999</v>
      </c>
      <c r="F107" s="109">
        <v>10000</v>
      </c>
      <c r="G107" t="b">
        <v>0</v>
      </c>
      <c r="H107" t="s">
        <v>331</v>
      </c>
      <c r="K107" t="s">
        <v>393</v>
      </c>
      <c r="L107" t="s">
        <v>303</v>
      </c>
      <c r="M107" t="s">
        <v>323</v>
      </c>
      <c r="N107" t="s">
        <v>63</v>
      </c>
      <c r="O107" s="110">
        <v>49.9</v>
      </c>
      <c r="R107" s="110">
        <v>349.99</v>
      </c>
      <c r="S107" s="110">
        <v>130</v>
      </c>
      <c r="T107" s="110">
        <v>0</v>
      </c>
      <c r="U107" s="110">
        <v>42.99</v>
      </c>
      <c r="X107">
        <v>107.09999999999997</v>
      </c>
      <c r="Y107">
        <v>69.900000000000006</v>
      </c>
      <c r="Z107">
        <v>69.900000000000006</v>
      </c>
      <c r="AA107">
        <v>0</v>
      </c>
      <c r="AB107" t="s">
        <v>363</v>
      </c>
      <c r="AF107" t="s">
        <v>2845</v>
      </c>
      <c r="AG107" t="s">
        <v>2845</v>
      </c>
      <c r="AH107" t="s">
        <v>1175</v>
      </c>
      <c r="AI107">
        <v>99999</v>
      </c>
      <c r="AJ107">
        <v>99999</v>
      </c>
      <c r="AK107">
        <v>699</v>
      </c>
      <c r="AL107" t="b">
        <v>1</v>
      </c>
      <c r="AM107" t="b">
        <v>1</v>
      </c>
      <c r="AN107" t="b">
        <v>0</v>
      </c>
      <c r="AO107">
        <v>99999</v>
      </c>
      <c r="AP107" t="s">
        <v>64</v>
      </c>
      <c r="AR107" t="b">
        <v>0</v>
      </c>
      <c r="AS107">
        <v>12</v>
      </c>
      <c r="AT107" t="s">
        <v>327</v>
      </c>
      <c r="AV107" t="s">
        <v>2874</v>
      </c>
      <c r="CRL107">
        <v>12</v>
      </c>
    </row>
    <row r="108" spans="1:48 2508:2508" x14ac:dyDescent="0.25">
      <c r="A108" t="s">
        <v>3323</v>
      </c>
      <c r="B108" t="s">
        <v>302</v>
      </c>
      <c r="C108" t="s">
        <v>62</v>
      </c>
      <c r="D108">
        <v>99999</v>
      </c>
      <c r="F108" s="109">
        <v>10000</v>
      </c>
      <c r="G108" t="b">
        <v>0</v>
      </c>
      <c r="H108" t="s">
        <v>331</v>
      </c>
      <c r="K108" t="s">
        <v>393</v>
      </c>
      <c r="L108" t="s">
        <v>303</v>
      </c>
      <c r="M108" t="s">
        <v>323</v>
      </c>
      <c r="N108" t="s">
        <v>63</v>
      </c>
      <c r="O108" s="110">
        <v>49.9</v>
      </c>
      <c r="R108" s="110">
        <v>369.99</v>
      </c>
      <c r="S108" s="110">
        <v>130</v>
      </c>
      <c r="T108" s="110">
        <v>0</v>
      </c>
      <c r="U108" s="110">
        <v>42.99</v>
      </c>
      <c r="X108">
        <v>127.09999999999997</v>
      </c>
      <c r="Y108">
        <v>69.900000000000006</v>
      </c>
      <c r="Z108">
        <v>69.900000000000006</v>
      </c>
      <c r="AA108">
        <v>0</v>
      </c>
      <c r="AB108" t="s">
        <v>363</v>
      </c>
      <c r="AF108" t="s">
        <v>2912</v>
      </c>
      <c r="AG108" t="s">
        <v>2912</v>
      </c>
      <c r="AH108" t="s">
        <v>1175</v>
      </c>
      <c r="AI108">
        <v>99999</v>
      </c>
      <c r="AJ108">
        <v>99999</v>
      </c>
      <c r="AK108">
        <v>699</v>
      </c>
      <c r="AL108" t="b">
        <v>1</v>
      </c>
      <c r="AM108" t="b">
        <v>1</v>
      </c>
      <c r="AN108" t="b">
        <v>0</v>
      </c>
      <c r="AO108">
        <v>99999</v>
      </c>
      <c r="AP108" t="s">
        <v>64</v>
      </c>
      <c r="AR108" t="b">
        <v>0</v>
      </c>
      <c r="AS108">
        <v>12</v>
      </c>
      <c r="AT108" t="s">
        <v>327</v>
      </c>
      <c r="AV108" t="s">
        <v>2941</v>
      </c>
      <c r="CRL108">
        <v>12</v>
      </c>
    </row>
    <row r="109" spans="1:48 2508:2508" x14ac:dyDescent="0.25">
      <c r="A109" t="s">
        <v>3323</v>
      </c>
      <c r="B109" t="s">
        <v>302</v>
      </c>
      <c r="C109" t="s">
        <v>62</v>
      </c>
      <c r="D109">
        <v>99999</v>
      </c>
      <c r="F109" s="109">
        <v>10000</v>
      </c>
      <c r="G109" t="b">
        <v>0</v>
      </c>
      <c r="H109" t="s">
        <v>331</v>
      </c>
      <c r="K109" t="s">
        <v>393</v>
      </c>
      <c r="L109" t="s">
        <v>303</v>
      </c>
      <c r="M109" t="s">
        <v>323</v>
      </c>
      <c r="N109" t="s">
        <v>63</v>
      </c>
      <c r="O109" s="110">
        <v>49.9</v>
      </c>
      <c r="R109" s="110">
        <v>384.89</v>
      </c>
      <c r="S109" s="110">
        <v>130</v>
      </c>
      <c r="T109" s="110">
        <v>0</v>
      </c>
      <c r="U109" s="110">
        <v>42.99</v>
      </c>
      <c r="X109">
        <v>141.99999999999997</v>
      </c>
      <c r="Y109">
        <v>69.900000000000006</v>
      </c>
      <c r="Z109">
        <v>69.900000000000006</v>
      </c>
      <c r="AA109">
        <v>0</v>
      </c>
      <c r="AB109" t="s">
        <v>363</v>
      </c>
      <c r="AF109" t="s">
        <v>2986</v>
      </c>
      <c r="AG109" t="s">
        <v>2986</v>
      </c>
      <c r="AH109" t="s">
        <v>1175</v>
      </c>
      <c r="AI109">
        <v>99999</v>
      </c>
      <c r="AJ109">
        <v>99999</v>
      </c>
      <c r="AK109">
        <v>699</v>
      </c>
      <c r="AL109" t="b">
        <v>1</v>
      </c>
      <c r="AM109" t="b">
        <v>1</v>
      </c>
      <c r="AN109" t="b">
        <v>0</v>
      </c>
      <c r="AO109">
        <v>99999</v>
      </c>
      <c r="AP109" t="s">
        <v>64</v>
      </c>
      <c r="AR109" t="b">
        <v>0</v>
      </c>
      <c r="AS109">
        <v>12</v>
      </c>
      <c r="AT109" t="s">
        <v>327</v>
      </c>
      <c r="AV109" t="s">
        <v>3015</v>
      </c>
      <c r="CRL109">
        <v>12</v>
      </c>
    </row>
    <row r="110" spans="1:48 2508:2508" x14ac:dyDescent="0.25">
      <c r="A110" t="s">
        <v>3323</v>
      </c>
      <c r="B110" t="s">
        <v>302</v>
      </c>
      <c r="C110" t="s">
        <v>62</v>
      </c>
      <c r="D110">
        <v>99999</v>
      </c>
      <c r="F110" s="109">
        <v>10000</v>
      </c>
      <c r="G110" t="b">
        <v>0</v>
      </c>
      <c r="H110" t="s">
        <v>331</v>
      </c>
      <c r="K110" t="s">
        <v>364</v>
      </c>
      <c r="L110" t="s">
        <v>303</v>
      </c>
      <c r="M110" t="s">
        <v>323</v>
      </c>
      <c r="N110" t="s">
        <v>63</v>
      </c>
      <c r="O110" s="110">
        <v>29.9</v>
      </c>
      <c r="R110" s="110">
        <v>279.89</v>
      </c>
      <c r="S110" s="110">
        <v>79.900000000000006</v>
      </c>
      <c r="T110" s="110">
        <v>0</v>
      </c>
      <c r="U110" s="110">
        <v>42.99</v>
      </c>
      <c r="X110">
        <v>107.09999999999997</v>
      </c>
      <c r="Y110">
        <v>49.9</v>
      </c>
      <c r="Z110">
        <v>49.9</v>
      </c>
      <c r="AA110">
        <v>0</v>
      </c>
      <c r="AB110" t="s">
        <v>363</v>
      </c>
      <c r="AF110" t="s">
        <v>1202</v>
      </c>
      <c r="AG110" t="s">
        <v>1202</v>
      </c>
      <c r="AH110" t="s">
        <v>1175</v>
      </c>
      <c r="AI110">
        <v>99999</v>
      </c>
      <c r="AJ110">
        <v>99999</v>
      </c>
      <c r="AK110">
        <v>699</v>
      </c>
      <c r="AL110" t="b">
        <v>1</v>
      </c>
      <c r="AM110" t="b">
        <v>1</v>
      </c>
      <c r="AN110" t="b">
        <v>0</v>
      </c>
      <c r="AO110">
        <v>99999</v>
      </c>
      <c r="AP110" t="s">
        <v>64</v>
      </c>
      <c r="AR110" t="b">
        <v>0</v>
      </c>
      <c r="AS110">
        <v>12</v>
      </c>
      <c r="AT110" t="s">
        <v>327</v>
      </c>
      <c r="AV110" t="s">
        <v>1205</v>
      </c>
      <c r="CRL110">
        <v>12</v>
      </c>
    </row>
    <row r="111" spans="1:48 2508:2508" x14ac:dyDescent="0.25">
      <c r="A111" t="s">
        <v>3323</v>
      </c>
      <c r="B111" t="s">
        <v>302</v>
      </c>
      <c r="C111" t="s">
        <v>62</v>
      </c>
      <c r="D111">
        <v>99999</v>
      </c>
      <c r="F111" s="109">
        <v>10000</v>
      </c>
      <c r="G111" t="b">
        <v>0</v>
      </c>
      <c r="H111" t="s">
        <v>331</v>
      </c>
      <c r="K111" t="s">
        <v>364</v>
      </c>
      <c r="L111" t="s">
        <v>303</v>
      </c>
      <c r="M111" t="s">
        <v>323</v>
      </c>
      <c r="N111" t="s">
        <v>63</v>
      </c>
      <c r="O111" s="110">
        <v>29.9</v>
      </c>
      <c r="R111" s="110">
        <v>299.89</v>
      </c>
      <c r="S111" s="110">
        <v>79.900000000000006</v>
      </c>
      <c r="T111" s="110">
        <v>0</v>
      </c>
      <c r="U111" s="110">
        <v>42.99</v>
      </c>
      <c r="X111">
        <v>127.09999999999997</v>
      </c>
      <c r="Y111">
        <v>49.9</v>
      </c>
      <c r="Z111">
        <v>49.9</v>
      </c>
      <c r="AA111">
        <v>0</v>
      </c>
      <c r="AB111" t="s">
        <v>363</v>
      </c>
      <c r="AF111" t="s">
        <v>1336</v>
      </c>
      <c r="AG111" t="s">
        <v>1336</v>
      </c>
      <c r="AH111" t="s">
        <v>1175</v>
      </c>
      <c r="AI111">
        <v>99999</v>
      </c>
      <c r="AJ111">
        <v>99999</v>
      </c>
      <c r="AK111">
        <v>699</v>
      </c>
      <c r="AL111" t="b">
        <v>1</v>
      </c>
      <c r="AM111" t="b">
        <v>1</v>
      </c>
      <c r="AN111" t="b">
        <v>0</v>
      </c>
      <c r="AO111">
        <v>99999</v>
      </c>
      <c r="AP111" t="s">
        <v>64</v>
      </c>
      <c r="AR111" t="b">
        <v>0</v>
      </c>
      <c r="AS111">
        <v>12</v>
      </c>
      <c r="AT111" t="s">
        <v>327</v>
      </c>
      <c r="AV111" t="s">
        <v>1339</v>
      </c>
      <c r="CRL111">
        <v>12</v>
      </c>
    </row>
    <row r="112" spans="1:48 2508:2508" x14ac:dyDescent="0.25">
      <c r="A112" t="s">
        <v>3323</v>
      </c>
      <c r="B112" t="s">
        <v>302</v>
      </c>
      <c r="C112" t="s">
        <v>62</v>
      </c>
      <c r="D112">
        <v>99999</v>
      </c>
      <c r="F112" s="109">
        <v>10000</v>
      </c>
      <c r="G112" t="b">
        <v>0</v>
      </c>
      <c r="H112" t="s">
        <v>331</v>
      </c>
      <c r="K112" t="s">
        <v>364</v>
      </c>
      <c r="L112" t="s">
        <v>303</v>
      </c>
      <c r="M112" t="s">
        <v>323</v>
      </c>
      <c r="N112" t="s">
        <v>63</v>
      </c>
      <c r="O112" s="110">
        <v>29.9</v>
      </c>
      <c r="R112" s="110">
        <v>319.89</v>
      </c>
      <c r="S112" s="110">
        <v>85</v>
      </c>
      <c r="T112" s="110">
        <v>0</v>
      </c>
      <c r="U112" s="110">
        <v>42.99</v>
      </c>
      <c r="X112">
        <v>141.99999999999997</v>
      </c>
      <c r="Y112">
        <v>49.9</v>
      </c>
      <c r="Z112">
        <v>49.9</v>
      </c>
      <c r="AA112">
        <v>0</v>
      </c>
      <c r="AB112" t="s">
        <v>363</v>
      </c>
      <c r="AF112" t="s">
        <v>1484</v>
      </c>
      <c r="AG112" t="s">
        <v>1484</v>
      </c>
      <c r="AH112" t="s">
        <v>1175</v>
      </c>
      <c r="AI112">
        <v>99999</v>
      </c>
      <c r="AJ112">
        <v>99999</v>
      </c>
      <c r="AK112">
        <v>699</v>
      </c>
      <c r="AL112" t="b">
        <v>1</v>
      </c>
      <c r="AM112" t="b">
        <v>1</v>
      </c>
      <c r="AN112" t="b">
        <v>0</v>
      </c>
      <c r="AO112">
        <v>99999</v>
      </c>
      <c r="AP112" t="s">
        <v>64</v>
      </c>
      <c r="AR112" t="b">
        <v>0</v>
      </c>
      <c r="AS112">
        <v>12</v>
      </c>
      <c r="AT112" t="s">
        <v>327</v>
      </c>
      <c r="AV112" t="s">
        <v>1487</v>
      </c>
      <c r="CRL112">
        <v>12</v>
      </c>
    </row>
    <row r="113" spans="1:48 2508:2508" x14ac:dyDescent="0.25">
      <c r="A113" t="s">
        <v>3323</v>
      </c>
      <c r="B113" t="s">
        <v>302</v>
      </c>
      <c r="C113" t="s">
        <v>62</v>
      </c>
      <c r="D113">
        <v>99999</v>
      </c>
      <c r="F113" s="109">
        <v>10000</v>
      </c>
      <c r="G113" t="b">
        <v>0</v>
      </c>
      <c r="H113" t="s">
        <v>331</v>
      </c>
      <c r="K113" t="s">
        <v>364</v>
      </c>
      <c r="L113" t="s">
        <v>303</v>
      </c>
      <c r="M113" t="s">
        <v>323</v>
      </c>
      <c r="N113" t="s">
        <v>63</v>
      </c>
      <c r="O113" s="110">
        <v>39.9</v>
      </c>
      <c r="R113" s="110">
        <v>279.89</v>
      </c>
      <c r="S113" s="110">
        <v>79.900000000000006</v>
      </c>
      <c r="T113" s="110">
        <v>0</v>
      </c>
      <c r="U113" s="110">
        <v>42.99</v>
      </c>
      <c r="X113">
        <v>107.09999999999997</v>
      </c>
      <c r="Y113">
        <v>49.9</v>
      </c>
      <c r="Z113">
        <v>49.9</v>
      </c>
      <c r="AA113">
        <v>0</v>
      </c>
      <c r="AB113" t="s">
        <v>363</v>
      </c>
      <c r="AF113" t="s">
        <v>1269</v>
      </c>
      <c r="AG113" t="s">
        <v>1269</v>
      </c>
      <c r="AH113" t="s">
        <v>1175</v>
      </c>
      <c r="AI113">
        <v>99999</v>
      </c>
      <c r="AJ113">
        <v>99999</v>
      </c>
      <c r="AK113">
        <v>699</v>
      </c>
      <c r="AL113" t="b">
        <v>1</v>
      </c>
      <c r="AM113" t="b">
        <v>1</v>
      </c>
      <c r="AN113" t="b">
        <v>0</v>
      </c>
      <c r="AO113">
        <v>99999</v>
      </c>
      <c r="AP113" t="s">
        <v>64</v>
      </c>
      <c r="AR113" t="b">
        <v>0</v>
      </c>
      <c r="AS113">
        <v>12</v>
      </c>
      <c r="AT113" t="s">
        <v>327</v>
      </c>
      <c r="AV113" t="s">
        <v>1272</v>
      </c>
      <c r="CRL113">
        <v>12</v>
      </c>
    </row>
    <row r="114" spans="1:48 2508:2508" x14ac:dyDescent="0.25">
      <c r="A114" t="s">
        <v>3323</v>
      </c>
      <c r="B114" t="s">
        <v>302</v>
      </c>
      <c r="C114" t="s">
        <v>62</v>
      </c>
      <c r="D114">
        <v>99999</v>
      </c>
      <c r="F114" s="109">
        <v>10000</v>
      </c>
      <c r="G114" t="b">
        <v>0</v>
      </c>
      <c r="H114" t="s">
        <v>331</v>
      </c>
      <c r="K114" t="s">
        <v>364</v>
      </c>
      <c r="L114" t="s">
        <v>303</v>
      </c>
      <c r="M114" t="s">
        <v>323</v>
      </c>
      <c r="N114" t="s">
        <v>63</v>
      </c>
      <c r="O114" s="110">
        <v>39.9</v>
      </c>
      <c r="R114" s="110">
        <v>299.89</v>
      </c>
      <c r="S114" s="110">
        <v>79.900000000000006</v>
      </c>
      <c r="T114" s="110">
        <v>0</v>
      </c>
      <c r="U114" s="110">
        <v>42.99</v>
      </c>
      <c r="X114">
        <v>127.09999999999997</v>
      </c>
      <c r="Y114">
        <v>49.9</v>
      </c>
      <c r="Z114">
        <v>49.9</v>
      </c>
      <c r="AA114">
        <v>0</v>
      </c>
      <c r="AB114" t="s">
        <v>363</v>
      </c>
      <c r="AF114" t="s">
        <v>1403</v>
      </c>
      <c r="AG114" t="s">
        <v>1403</v>
      </c>
      <c r="AH114" t="s">
        <v>1175</v>
      </c>
      <c r="AI114">
        <v>99999</v>
      </c>
      <c r="AJ114">
        <v>99999</v>
      </c>
      <c r="AK114">
        <v>699</v>
      </c>
      <c r="AL114" t="b">
        <v>1</v>
      </c>
      <c r="AM114" t="b">
        <v>1</v>
      </c>
      <c r="AN114" t="b">
        <v>0</v>
      </c>
      <c r="AO114">
        <v>99999</v>
      </c>
      <c r="AP114" t="s">
        <v>64</v>
      </c>
      <c r="AR114" t="b">
        <v>0</v>
      </c>
      <c r="AS114">
        <v>12</v>
      </c>
      <c r="AT114" t="s">
        <v>327</v>
      </c>
      <c r="AV114" t="s">
        <v>1406</v>
      </c>
      <c r="CRL114">
        <v>12</v>
      </c>
    </row>
    <row r="115" spans="1:48 2508:2508" x14ac:dyDescent="0.25">
      <c r="A115" t="s">
        <v>3323</v>
      </c>
      <c r="B115" t="s">
        <v>302</v>
      </c>
      <c r="C115" t="s">
        <v>62</v>
      </c>
      <c r="D115">
        <v>99999</v>
      </c>
      <c r="F115" s="109">
        <v>10000</v>
      </c>
      <c r="G115" t="b">
        <v>0</v>
      </c>
      <c r="H115" t="s">
        <v>331</v>
      </c>
      <c r="K115" t="s">
        <v>364</v>
      </c>
      <c r="L115" t="s">
        <v>303</v>
      </c>
      <c r="M115" t="s">
        <v>323</v>
      </c>
      <c r="N115" t="s">
        <v>63</v>
      </c>
      <c r="O115" s="110">
        <v>39.9</v>
      </c>
      <c r="R115" s="110">
        <v>319.89</v>
      </c>
      <c r="S115" s="110">
        <v>85</v>
      </c>
      <c r="T115" s="110">
        <v>0</v>
      </c>
      <c r="U115" s="110">
        <v>42.99</v>
      </c>
      <c r="X115">
        <v>141.99999999999997</v>
      </c>
      <c r="Y115">
        <v>49.9</v>
      </c>
      <c r="Z115">
        <v>49.9</v>
      </c>
      <c r="AA115">
        <v>0</v>
      </c>
      <c r="AB115" t="s">
        <v>363</v>
      </c>
      <c r="AF115" t="s">
        <v>1551</v>
      </c>
      <c r="AG115" t="s">
        <v>1551</v>
      </c>
      <c r="AH115" t="s">
        <v>1175</v>
      </c>
      <c r="AI115">
        <v>99999</v>
      </c>
      <c r="AJ115">
        <v>99999</v>
      </c>
      <c r="AK115">
        <v>699</v>
      </c>
      <c r="AL115" t="b">
        <v>1</v>
      </c>
      <c r="AM115" t="b">
        <v>1</v>
      </c>
      <c r="AN115" t="b">
        <v>0</v>
      </c>
      <c r="AO115">
        <v>99999</v>
      </c>
      <c r="AP115" t="s">
        <v>64</v>
      </c>
      <c r="AR115" t="b">
        <v>0</v>
      </c>
      <c r="AS115">
        <v>12</v>
      </c>
      <c r="AT115" t="s">
        <v>327</v>
      </c>
      <c r="AV115" t="s">
        <v>1554</v>
      </c>
      <c r="CRL115">
        <v>12</v>
      </c>
    </row>
    <row r="116" spans="1:48 2508:2508" x14ac:dyDescent="0.25">
      <c r="A116" t="s">
        <v>3323</v>
      </c>
      <c r="B116" t="s">
        <v>302</v>
      </c>
      <c r="C116" t="s">
        <v>62</v>
      </c>
      <c r="D116">
        <v>99999</v>
      </c>
      <c r="F116" s="109">
        <v>10000</v>
      </c>
      <c r="G116" t="b">
        <v>0</v>
      </c>
      <c r="H116" t="s">
        <v>331</v>
      </c>
      <c r="K116" t="s">
        <v>364</v>
      </c>
      <c r="L116" t="s">
        <v>303</v>
      </c>
      <c r="M116" t="s">
        <v>323</v>
      </c>
      <c r="N116" t="s">
        <v>63</v>
      </c>
      <c r="O116" s="110">
        <v>49.9</v>
      </c>
      <c r="R116" s="110">
        <v>305.68999999999994</v>
      </c>
      <c r="S116" s="110">
        <v>130</v>
      </c>
      <c r="T116" s="110">
        <v>0</v>
      </c>
      <c r="U116" s="110">
        <v>34.99</v>
      </c>
      <c r="X116">
        <v>90.799999999999983</v>
      </c>
      <c r="Y116">
        <v>49.9</v>
      </c>
      <c r="Z116">
        <v>49.9</v>
      </c>
      <c r="AA116">
        <v>0</v>
      </c>
      <c r="AB116" t="s">
        <v>363</v>
      </c>
      <c r="AF116" t="s">
        <v>2771</v>
      </c>
      <c r="AG116" t="s">
        <v>2771</v>
      </c>
      <c r="AH116" t="s">
        <v>1175</v>
      </c>
      <c r="AI116">
        <v>99999</v>
      </c>
      <c r="AJ116">
        <v>99999</v>
      </c>
      <c r="AK116">
        <v>699</v>
      </c>
      <c r="AL116" t="b">
        <v>1</v>
      </c>
      <c r="AM116" t="b">
        <v>1</v>
      </c>
      <c r="AN116" t="b">
        <v>0</v>
      </c>
      <c r="AO116">
        <v>99999</v>
      </c>
      <c r="AP116" t="s">
        <v>64</v>
      </c>
      <c r="AR116" t="b">
        <v>0</v>
      </c>
      <c r="AS116">
        <v>12</v>
      </c>
      <c r="AT116" t="s">
        <v>327</v>
      </c>
      <c r="AV116" t="s">
        <v>2774</v>
      </c>
      <c r="CRL116">
        <v>12</v>
      </c>
    </row>
    <row r="117" spans="1:48 2508:2508" x14ac:dyDescent="0.25">
      <c r="A117" t="s">
        <v>3323</v>
      </c>
      <c r="B117" t="s">
        <v>302</v>
      </c>
      <c r="C117" t="s">
        <v>62</v>
      </c>
      <c r="D117">
        <v>99999</v>
      </c>
      <c r="F117" s="109">
        <v>10000</v>
      </c>
      <c r="G117" t="b">
        <v>0</v>
      </c>
      <c r="H117" t="s">
        <v>331</v>
      </c>
      <c r="K117" t="s">
        <v>364</v>
      </c>
      <c r="L117" t="s">
        <v>303</v>
      </c>
      <c r="M117" t="s">
        <v>323</v>
      </c>
      <c r="N117" t="s">
        <v>63</v>
      </c>
      <c r="O117" s="110">
        <v>49.9</v>
      </c>
      <c r="R117" s="110">
        <v>329.98999999999995</v>
      </c>
      <c r="S117" s="110">
        <v>130</v>
      </c>
      <c r="T117" s="110">
        <v>0</v>
      </c>
      <c r="U117" s="110">
        <v>42.99</v>
      </c>
      <c r="X117">
        <v>107.09999999999997</v>
      </c>
      <c r="Y117">
        <v>49.9</v>
      </c>
      <c r="Z117">
        <v>49.9</v>
      </c>
      <c r="AA117">
        <v>0</v>
      </c>
      <c r="AB117" t="s">
        <v>363</v>
      </c>
      <c r="AF117" t="s">
        <v>2845</v>
      </c>
      <c r="AG117" t="s">
        <v>2845</v>
      </c>
      <c r="AH117" t="s">
        <v>1175</v>
      </c>
      <c r="AI117">
        <v>99999</v>
      </c>
      <c r="AJ117">
        <v>99999</v>
      </c>
      <c r="AK117">
        <v>699</v>
      </c>
      <c r="AL117" t="b">
        <v>1</v>
      </c>
      <c r="AM117" t="b">
        <v>1</v>
      </c>
      <c r="AN117" t="b">
        <v>0</v>
      </c>
      <c r="AO117">
        <v>99999</v>
      </c>
      <c r="AP117" t="s">
        <v>64</v>
      </c>
      <c r="AR117" t="b">
        <v>0</v>
      </c>
      <c r="AS117">
        <v>12</v>
      </c>
      <c r="AT117" t="s">
        <v>327</v>
      </c>
      <c r="AV117" t="s">
        <v>2848</v>
      </c>
      <c r="CRL117">
        <v>12</v>
      </c>
    </row>
    <row r="118" spans="1:48 2508:2508" x14ac:dyDescent="0.25">
      <c r="A118" t="s">
        <v>3323</v>
      </c>
      <c r="B118" t="s">
        <v>302</v>
      </c>
      <c r="C118" t="s">
        <v>62</v>
      </c>
      <c r="D118">
        <v>99999</v>
      </c>
      <c r="F118" s="109">
        <v>10000</v>
      </c>
      <c r="G118" t="b">
        <v>0</v>
      </c>
      <c r="H118" t="s">
        <v>331</v>
      </c>
      <c r="K118" t="s">
        <v>364</v>
      </c>
      <c r="L118" t="s">
        <v>303</v>
      </c>
      <c r="M118" t="s">
        <v>323</v>
      </c>
      <c r="N118" t="s">
        <v>63</v>
      </c>
      <c r="O118" s="110">
        <v>49.9</v>
      </c>
      <c r="R118" s="110">
        <v>349.98999999999995</v>
      </c>
      <c r="S118" s="110">
        <v>130</v>
      </c>
      <c r="T118" s="110">
        <v>0</v>
      </c>
      <c r="U118" s="110">
        <v>42.99</v>
      </c>
      <c r="X118">
        <v>127.09999999999997</v>
      </c>
      <c r="Y118">
        <v>49.9</v>
      </c>
      <c r="Z118">
        <v>49.9</v>
      </c>
      <c r="AA118">
        <v>0</v>
      </c>
      <c r="AB118" t="s">
        <v>363</v>
      </c>
      <c r="AF118" t="s">
        <v>2912</v>
      </c>
      <c r="AG118" t="s">
        <v>2912</v>
      </c>
      <c r="AH118" t="s">
        <v>1175</v>
      </c>
      <c r="AI118">
        <v>99999</v>
      </c>
      <c r="AJ118">
        <v>99999</v>
      </c>
      <c r="AK118">
        <v>699</v>
      </c>
      <c r="AL118" t="b">
        <v>1</v>
      </c>
      <c r="AM118" t="b">
        <v>1</v>
      </c>
      <c r="AN118" t="b">
        <v>0</v>
      </c>
      <c r="AO118">
        <v>99999</v>
      </c>
      <c r="AP118" t="s">
        <v>64</v>
      </c>
      <c r="AR118" t="b">
        <v>0</v>
      </c>
      <c r="AS118">
        <v>12</v>
      </c>
      <c r="AT118" t="s">
        <v>327</v>
      </c>
      <c r="AV118" t="s">
        <v>2915</v>
      </c>
      <c r="CRL118">
        <v>12</v>
      </c>
    </row>
    <row r="119" spans="1:48 2508:2508" x14ac:dyDescent="0.25">
      <c r="A119" t="s">
        <v>3323</v>
      </c>
      <c r="B119" t="s">
        <v>302</v>
      </c>
      <c r="C119" t="s">
        <v>62</v>
      </c>
      <c r="D119">
        <v>99999</v>
      </c>
      <c r="F119" s="109">
        <v>10000</v>
      </c>
      <c r="G119" t="b">
        <v>0</v>
      </c>
      <c r="H119" t="s">
        <v>331</v>
      </c>
      <c r="K119" t="s">
        <v>364</v>
      </c>
      <c r="L119" t="s">
        <v>303</v>
      </c>
      <c r="M119" t="s">
        <v>323</v>
      </c>
      <c r="N119" t="s">
        <v>63</v>
      </c>
      <c r="O119" s="110">
        <v>49.9</v>
      </c>
      <c r="R119" s="110">
        <v>364.89</v>
      </c>
      <c r="S119" s="110">
        <v>130</v>
      </c>
      <c r="T119" s="110">
        <v>0</v>
      </c>
      <c r="U119" s="110">
        <v>42.99</v>
      </c>
      <c r="X119">
        <v>141.99999999999997</v>
      </c>
      <c r="Y119">
        <v>49.9</v>
      </c>
      <c r="Z119">
        <v>49.9</v>
      </c>
      <c r="AA119">
        <v>0</v>
      </c>
      <c r="AB119" t="s">
        <v>363</v>
      </c>
      <c r="AF119" t="s">
        <v>2986</v>
      </c>
      <c r="AG119" t="s">
        <v>2986</v>
      </c>
      <c r="AH119" t="s">
        <v>1175</v>
      </c>
      <c r="AI119">
        <v>99999</v>
      </c>
      <c r="AJ119">
        <v>99999</v>
      </c>
      <c r="AK119">
        <v>699</v>
      </c>
      <c r="AL119" t="b">
        <v>1</v>
      </c>
      <c r="AM119" t="b">
        <v>1</v>
      </c>
      <c r="AN119" t="b">
        <v>0</v>
      </c>
      <c r="AO119">
        <v>99999</v>
      </c>
      <c r="AP119" t="s">
        <v>64</v>
      </c>
      <c r="AR119" t="b">
        <v>0</v>
      </c>
      <c r="AS119">
        <v>12</v>
      </c>
      <c r="AT119" t="s">
        <v>327</v>
      </c>
      <c r="AV119" t="s">
        <v>2989</v>
      </c>
      <c r="CRL119">
        <v>12</v>
      </c>
    </row>
    <row r="120" spans="1:48 2508:2508" x14ac:dyDescent="0.25">
      <c r="A120" t="s">
        <v>3323</v>
      </c>
      <c r="B120" t="s">
        <v>302</v>
      </c>
      <c r="C120" t="s">
        <v>62</v>
      </c>
      <c r="D120">
        <v>99999</v>
      </c>
      <c r="F120" s="109">
        <v>10000</v>
      </c>
      <c r="G120" t="b">
        <v>0</v>
      </c>
      <c r="H120" t="s">
        <v>331</v>
      </c>
      <c r="K120" t="s">
        <v>379</v>
      </c>
      <c r="L120" t="s">
        <v>303</v>
      </c>
      <c r="M120" t="s">
        <v>323</v>
      </c>
      <c r="N120" t="s">
        <v>63</v>
      </c>
      <c r="O120" s="110">
        <v>29.9</v>
      </c>
      <c r="R120" s="110">
        <v>289.89</v>
      </c>
      <c r="S120" s="110">
        <v>79.900000000000006</v>
      </c>
      <c r="T120" s="110">
        <v>0</v>
      </c>
      <c r="U120" s="110">
        <v>42.99</v>
      </c>
      <c r="X120">
        <v>107.09999999999997</v>
      </c>
      <c r="Y120">
        <v>59.9</v>
      </c>
      <c r="Z120">
        <v>59.9</v>
      </c>
      <c r="AA120">
        <v>0</v>
      </c>
      <c r="AB120" t="s">
        <v>363</v>
      </c>
      <c r="AF120" t="s">
        <v>1202</v>
      </c>
      <c r="AG120" t="s">
        <v>1202</v>
      </c>
      <c r="AH120" t="s">
        <v>1175</v>
      </c>
      <c r="AI120">
        <v>99999</v>
      </c>
      <c r="AJ120">
        <v>99999</v>
      </c>
      <c r="AK120">
        <v>699</v>
      </c>
      <c r="AL120" t="b">
        <v>1</v>
      </c>
      <c r="AM120" t="b">
        <v>1</v>
      </c>
      <c r="AN120" t="b">
        <v>0</v>
      </c>
      <c r="AO120">
        <v>99999</v>
      </c>
      <c r="AP120" t="s">
        <v>64</v>
      </c>
      <c r="AR120" t="b">
        <v>0</v>
      </c>
      <c r="AS120">
        <v>12</v>
      </c>
      <c r="AT120" t="s">
        <v>327</v>
      </c>
      <c r="AV120" t="s">
        <v>1218</v>
      </c>
      <c r="CRL120">
        <v>12</v>
      </c>
    </row>
    <row r="121" spans="1:48 2508:2508" x14ac:dyDescent="0.25">
      <c r="A121" t="s">
        <v>3323</v>
      </c>
      <c r="B121" t="s">
        <v>302</v>
      </c>
      <c r="C121" t="s">
        <v>62</v>
      </c>
      <c r="D121">
        <v>99999</v>
      </c>
      <c r="F121" s="109">
        <v>10000</v>
      </c>
      <c r="G121" t="b">
        <v>0</v>
      </c>
      <c r="H121" t="s">
        <v>331</v>
      </c>
      <c r="K121" t="s">
        <v>379</v>
      </c>
      <c r="L121" t="s">
        <v>303</v>
      </c>
      <c r="M121" t="s">
        <v>323</v>
      </c>
      <c r="N121" t="s">
        <v>63</v>
      </c>
      <c r="O121" s="110">
        <v>29.9</v>
      </c>
      <c r="R121" s="110">
        <v>309.89</v>
      </c>
      <c r="S121" s="110">
        <v>79.900000000000006</v>
      </c>
      <c r="T121" s="110">
        <v>0</v>
      </c>
      <c r="U121" s="110">
        <v>42.99</v>
      </c>
      <c r="X121">
        <v>127.09999999999997</v>
      </c>
      <c r="Y121">
        <v>59.9</v>
      </c>
      <c r="Z121">
        <v>59.9</v>
      </c>
      <c r="AA121">
        <v>0</v>
      </c>
      <c r="AB121" t="s">
        <v>363</v>
      </c>
      <c r="AF121" t="s">
        <v>1336</v>
      </c>
      <c r="AG121" t="s">
        <v>1336</v>
      </c>
      <c r="AH121" t="s">
        <v>1175</v>
      </c>
      <c r="AI121">
        <v>99999</v>
      </c>
      <c r="AJ121">
        <v>99999</v>
      </c>
      <c r="AK121">
        <v>699</v>
      </c>
      <c r="AL121" t="b">
        <v>1</v>
      </c>
      <c r="AM121" t="b">
        <v>1</v>
      </c>
      <c r="AN121" t="b">
        <v>0</v>
      </c>
      <c r="AO121">
        <v>99999</v>
      </c>
      <c r="AP121" t="s">
        <v>64</v>
      </c>
      <c r="AR121" t="b">
        <v>0</v>
      </c>
      <c r="AS121">
        <v>12</v>
      </c>
      <c r="AT121" t="s">
        <v>327</v>
      </c>
      <c r="AV121" t="s">
        <v>1352</v>
      </c>
      <c r="CRL121">
        <v>12</v>
      </c>
    </row>
    <row r="122" spans="1:48 2508:2508" x14ac:dyDescent="0.25">
      <c r="A122" t="s">
        <v>3323</v>
      </c>
      <c r="B122" t="s">
        <v>302</v>
      </c>
      <c r="C122" t="s">
        <v>62</v>
      </c>
      <c r="D122">
        <v>99999</v>
      </c>
      <c r="F122" s="109">
        <v>10000</v>
      </c>
      <c r="G122" t="b">
        <v>0</v>
      </c>
      <c r="H122" t="s">
        <v>331</v>
      </c>
      <c r="K122" t="s">
        <v>379</v>
      </c>
      <c r="L122" t="s">
        <v>303</v>
      </c>
      <c r="M122" t="s">
        <v>323</v>
      </c>
      <c r="N122" t="s">
        <v>63</v>
      </c>
      <c r="O122" s="110">
        <v>29.9</v>
      </c>
      <c r="R122" s="110">
        <v>329.89</v>
      </c>
      <c r="S122" s="110">
        <v>85</v>
      </c>
      <c r="T122" s="110">
        <v>0</v>
      </c>
      <c r="U122" s="110">
        <v>42.99</v>
      </c>
      <c r="X122">
        <v>141.99999999999997</v>
      </c>
      <c r="Y122">
        <v>59.9</v>
      </c>
      <c r="Z122">
        <v>59.9</v>
      </c>
      <c r="AA122">
        <v>0</v>
      </c>
      <c r="AB122" t="s">
        <v>363</v>
      </c>
      <c r="AF122" t="s">
        <v>1484</v>
      </c>
      <c r="AG122" t="s">
        <v>1484</v>
      </c>
      <c r="AH122" t="s">
        <v>1175</v>
      </c>
      <c r="AI122">
        <v>99999</v>
      </c>
      <c r="AJ122">
        <v>99999</v>
      </c>
      <c r="AK122">
        <v>699</v>
      </c>
      <c r="AL122" t="b">
        <v>1</v>
      </c>
      <c r="AM122" t="b">
        <v>1</v>
      </c>
      <c r="AN122" t="b">
        <v>0</v>
      </c>
      <c r="AO122">
        <v>99999</v>
      </c>
      <c r="AP122" t="s">
        <v>64</v>
      </c>
      <c r="AR122" t="b">
        <v>0</v>
      </c>
      <c r="AS122">
        <v>12</v>
      </c>
      <c r="AT122" t="s">
        <v>327</v>
      </c>
      <c r="AV122" t="s">
        <v>1500</v>
      </c>
      <c r="CRL122">
        <v>12</v>
      </c>
    </row>
    <row r="123" spans="1:48 2508:2508" x14ac:dyDescent="0.25">
      <c r="A123" t="s">
        <v>3323</v>
      </c>
      <c r="B123" t="s">
        <v>302</v>
      </c>
      <c r="C123" t="s">
        <v>62</v>
      </c>
      <c r="D123">
        <v>99999</v>
      </c>
      <c r="F123" s="109">
        <v>10000</v>
      </c>
      <c r="G123" t="b">
        <v>0</v>
      </c>
      <c r="H123" t="s">
        <v>331</v>
      </c>
      <c r="K123" t="s">
        <v>379</v>
      </c>
      <c r="L123" t="s">
        <v>303</v>
      </c>
      <c r="M123" t="s">
        <v>323</v>
      </c>
      <c r="N123" t="s">
        <v>63</v>
      </c>
      <c r="O123" s="110">
        <v>39.9</v>
      </c>
      <c r="R123" s="110">
        <v>289.89</v>
      </c>
      <c r="S123" s="110">
        <v>79.900000000000006</v>
      </c>
      <c r="T123" s="110">
        <v>0</v>
      </c>
      <c r="U123" s="110">
        <v>42.99</v>
      </c>
      <c r="X123">
        <v>107.09999999999997</v>
      </c>
      <c r="Y123">
        <v>59.9</v>
      </c>
      <c r="Z123">
        <v>59.9</v>
      </c>
      <c r="AA123">
        <v>0</v>
      </c>
      <c r="AB123" t="s">
        <v>363</v>
      </c>
      <c r="AF123" t="s">
        <v>1269</v>
      </c>
      <c r="AG123" t="s">
        <v>1269</v>
      </c>
      <c r="AH123" t="s">
        <v>1175</v>
      </c>
      <c r="AI123">
        <v>99999</v>
      </c>
      <c r="AJ123">
        <v>99999</v>
      </c>
      <c r="AK123">
        <v>699</v>
      </c>
      <c r="AL123" t="b">
        <v>1</v>
      </c>
      <c r="AM123" t="b">
        <v>1</v>
      </c>
      <c r="AN123" t="b">
        <v>0</v>
      </c>
      <c r="AO123">
        <v>99999</v>
      </c>
      <c r="AP123" t="s">
        <v>64</v>
      </c>
      <c r="AR123" t="b">
        <v>0</v>
      </c>
      <c r="AS123">
        <v>12</v>
      </c>
      <c r="AT123" t="s">
        <v>327</v>
      </c>
      <c r="AV123" t="s">
        <v>1285</v>
      </c>
      <c r="CRL123">
        <v>12</v>
      </c>
    </row>
    <row r="124" spans="1:48 2508:2508" x14ac:dyDescent="0.25">
      <c r="A124" t="s">
        <v>3323</v>
      </c>
      <c r="B124" t="s">
        <v>302</v>
      </c>
      <c r="C124" t="s">
        <v>62</v>
      </c>
      <c r="D124">
        <v>99999</v>
      </c>
      <c r="F124" s="109">
        <v>10000</v>
      </c>
      <c r="G124" t="b">
        <v>0</v>
      </c>
      <c r="H124" t="s">
        <v>331</v>
      </c>
      <c r="K124" t="s">
        <v>379</v>
      </c>
      <c r="L124" t="s">
        <v>303</v>
      </c>
      <c r="M124" t="s">
        <v>323</v>
      </c>
      <c r="N124" t="s">
        <v>63</v>
      </c>
      <c r="O124" s="110">
        <v>39.9</v>
      </c>
      <c r="R124" s="110">
        <v>309.89</v>
      </c>
      <c r="S124" s="110">
        <v>79.900000000000006</v>
      </c>
      <c r="T124" s="110">
        <v>0</v>
      </c>
      <c r="U124" s="110">
        <v>42.99</v>
      </c>
      <c r="X124">
        <v>127.09999999999997</v>
      </c>
      <c r="Y124">
        <v>59.9</v>
      </c>
      <c r="Z124">
        <v>59.9</v>
      </c>
      <c r="AA124">
        <v>0</v>
      </c>
      <c r="AB124" t="s">
        <v>363</v>
      </c>
      <c r="AF124" t="s">
        <v>1403</v>
      </c>
      <c r="AG124" t="s">
        <v>1403</v>
      </c>
      <c r="AH124" t="s">
        <v>1175</v>
      </c>
      <c r="AI124">
        <v>99999</v>
      </c>
      <c r="AJ124">
        <v>99999</v>
      </c>
      <c r="AK124">
        <v>699</v>
      </c>
      <c r="AL124" t="b">
        <v>1</v>
      </c>
      <c r="AM124" t="b">
        <v>1</v>
      </c>
      <c r="AN124" t="b">
        <v>0</v>
      </c>
      <c r="AO124">
        <v>99999</v>
      </c>
      <c r="AP124" t="s">
        <v>64</v>
      </c>
      <c r="AR124" t="b">
        <v>0</v>
      </c>
      <c r="AS124">
        <v>12</v>
      </c>
      <c r="AT124" t="s">
        <v>327</v>
      </c>
      <c r="AV124" t="s">
        <v>1419</v>
      </c>
      <c r="CRL124">
        <v>12</v>
      </c>
    </row>
    <row r="125" spans="1:48 2508:2508" x14ac:dyDescent="0.25">
      <c r="A125" t="s">
        <v>3323</v>
      </c>
      <c r="B125" t="s">
        <v>302</v>
      </c>
      <c r="C125" t="s">
        <v>62</v>
      </c>
      <c r="D125">
        <v>99999</v>
      </c>
      <c r="F125" s="109">
        <v>10000</v>
      </c>
      <c r="G125" t="b">
        <v>0</v>
      </c>
      <c r="H125" t="s">
        <v>331</v>
      </c>
      <c r="K125" t="s">
        <v>379</v>
      </c>
      <c r="L125" t="s">
        <v>303</v>
      </c>
      <c r="M125" t="s">
        <v>323</v>
      </c>
      <c r="N125" t="s">
        <v>63</v>
      </c>
      <c r="O125" s="110">
        <v>39.9</v>
      </c>
      <c r="R125" s="110">
        <v>329.89</v>
      </c>
      <c r="S125" s="110">
        <v>85</v>
      </c>
      <c r="T125" s="110">
        <v>0</v>
      </c>
      <c r="U125" s="110">
        <v>42.99</v>
      </c>
      <c r="X125">
        <v>141.99999999999997</v>
      </c>
      <c r="Y125">
        <v>59.9</v>
      </c>
      <c r="Z125">
        <v>59.9</v>
      </c>
      <c r="AA125">
        <v>0</v>
      </c>
      <c r="AB125" t="s">
        <v>363</v>
      </c>
      <c r="AF125" t="s">
        <v>1551</v>
      </c>
      <c r="AG125" t="s">
        <v>1551</v>
      </c>
      <c r="AH125" t="s">
        <v>1175</v>
      </c>
      <c r="AI125">
        <v>99999</v>
      </c>
      <c r="AJ125">
        <v>99999</v>
      </c>
      <c r="AK125">
        <v>699</v>
      </c>
      <c r="AL125" t="b">
        <v>1</v>
      </c>
      <c r="AM125" t="b">
        <v>1</v>
      </c>
      <c r="AN125" t="b">
        <v>0</v>
      </c>
      <c r="AO125">
        <v>99999</v>
      </c>
      <c r="AP125" t="s">
        <v>64</v>
      </c>
      <c r="AR125" t="b">
        <v>0</v>
      </c>
      <c r="AS125">
        <v>12</v>
      </c>
      <c r="AT125" t="s">
        <v>327</v>
      </c>
      <c r="AV125" t="s">
        <v>1567</v>
      </c>
      <c r="CRL125">
        <v>12</v>
      </c>
    </row>
    <row r="126" spans="1:48 2508:2508" x14ac:dyDescent="0.25">
      <c r="A126" t="s">
        <v>3323</v>
      </c>
      <c r="B126" t="s">
        <v>302</v>
      </c>
      <c r="C126" t="s">
        <v>62</v>
      </c>
      <c r="D126">
        <v>99999</v>
      </c>
      <c r="F126" s="109">
        <v>10000</v>
      </c>
      <c r="G126" t="b">
        <v>0</v>
      </c>
      <c r="H126" t="s">
        <v>331</v>
      </c>
      <c r="K126" t="s">
        <v>379</v>
      </c>
      <c r="L126" t="s">
        <v>303</v>
      </c>
      <c r="M126" t="s">
        <v>323</v>
      </c>
      <c r="N126" t="s">
        <v>63</v>
      </c>
      <c r="O126" s="110">
        <v>49.9</v>
      </c>
      <c r="R126" s="110">
        <v>315.68999999999994</v>
      </c>
      <c r="S126" s="110">
        <v>130</v>
      </c>
      <c r="T126" s="110">
        <v>0</v>
      </c>
      <c r="U126" s="110">
        <v>34.99</v>
      </c>
      <c r="X126">
        <v>90.799999999999983</v>
      </c>
      <c r="Y126">
        <v>59.9</v>
      </c>
      <c r="Z126">
        <v>59.9</v>
      </c>
      <c r="AA126">
        <v>0</v>
      </c>
      <c r="AB126" t="s">
        <v>363</v>
      </c>
      <c r="AF126" t="s">
        <v>2771</v>
      </c>
      <c r="AG126" t="s">
        <v>2771</v>
      </c>
      <c r="AH126" t="s">
        <v>1175</v>
      </c>
      <c r="AI126">
        <v>99999</v>
      </c>
      <c r="AJ126">
        <v>99999</v>
      </c>
      <c r="AK126">
        <v>699</v>
      </c>
      <c r="AL126" t="b">
        <v>1</v>
      </c>
      <c r="AM126" t="b">
        <v>1</v>
      </c>
      <c r="AN126" t="b">
        <v>0</v>
      </c>
      <c r="AO126">
        <v>99999</v>
      </c>
      <c r="AP126" t="s">
        <v>64</v>
      </c>
      <c r="AR126" t="b">
        <v>0</v>
      </c>
      <c r="AS126">
        <v>12</v>
      </c>
      <c r="AT126" t="s">
        <v>327</v>
      </c>
      <c r="AV126" t="s">
        <v>2787</v>
      </c>
      <c r="CRL126">
        <v>12</v>
      </c>
    </row>
    <row r="127" spans="1:48 2508:2508" x14ac:dyDescent="0.25">
      <c r="A127" t="s">
        <v>3323</v>
      </c>
      <c r="B127" t="s">
        <v>302</v>
      </c>
      <c r="C127" t="s">
        <v>62</v>
      </c>
      <c r="D127">
        <v>99999</v>
      </c>
      <c r="F127" s="109">
        <v>10000</v>
      </c>
      <c r="G127" t="b">
        <v>0</v>
      </c>
      <c r="H127" t="s">
        <v>331</v>
      </c>
      <c r="K127" t="s">
        <v>379</v>
      </c>
      <c r="L127" t="s">
        <v>303</v>
      </c>
      <c r="M127" t="s">
        <v>323</v>
      </c>
      <c r="N127" t="s">
        <v>63</v>
      </c>
      <c r="O127" s="110">
        <v>49.9</v>
      </c>
      <c r="R127" s="110">
        <v>339.98999999999995</v>
      </c>
      <c r="S127" s="110">
        <v>130</v>
      </c>
      <c r="T127" s="110">
        <v>0</v>
      </c>
      <c r="U127" s="110">
        <v>42.99</v>
      </c>
      <c r="X127">
        <v>107.09999999999997</v>
      </c>
      <c r="Y127">
        <v>59.9</v>
      </c>
      <c r="Z127">
        <v>59.9</v>
      </c>
      <c r="AA127">
        <v>0</v>
      </c>
      <c r="AB127" t="s">
        <v>363</v>
      </c>
      <c r="AF127" t="s">
        <v>2845</v>
      </c>
      <c r="AG127" t="s">
        <v>2845</v>
      </c>
      <c r="AH127" t="s">
        <v>1175</v>
      </c>
      <c r="AI127">
        <v>99999</v>
      </c>
      <c r="AJ127">
        <v>99999</v>
      </c>
      <c r="AK127">
        <v>699</v>
      </c>
      <c r="AL127" t="b">
        <v>1</v>
      </c>
      <c r="AM127" t="b">
        <v>1</v>
      </c>
      <c r="AN127" t="b">
        <v>0</v>
      </c>
      <c r="AO127">
        <v>99999</v>
      </c>
      <c r="AP127" t="s">
        <v>64</v>
      </c>
      <c r="AR127" t="b">
        <v>0</v>
      </c>
      <c r="AS127">
        <v>12</v>
      </c>
      <c r="AT127" t="s">
        <v>327</v>
      </c>
      <c r="AV127" t="s">
        <v>2861</v>
      </c>
      <c r="CRL127">
        <v>12</v>
      </c>
    </row>
    <row r="128" spans="1:48 2508:2508" x14ac:dyDescent="0.25">
      <c r="A128" t="s">
        <v>3323</v>
      </c>
      <c r="B128" t="s">
        <v>302</v>
      </c>
      <c r="C128" t="s">
        <v>62</v>
      </c>
      <c r="D128">
        <v>99999</v>
      </c>
      <c r="F128" s="109">
        <v>10000</v>
      </c>
      <c r="G128" t="b">
        <v>0</v>
      </c>
      <c r="H128" t="s">
        <v>331</v>
      </c>
      <c r="K128" t="s">
        <v>379</v>
      </c>
      <c r="L128" t="s">
        <v>303</v>
      </c>
      <c r="M128" t="s">
        <v>323</v>
      </c>
      <c r="N128" t="s">
        <v>63</v>
      </c>
      <c r="O128" s="110">
        <v>49.9</v>
      </c>
      <c r="R128" s="110">
        <v>359.98999999999995</v>
      </c>
      <c r="S128" s="110">
        <v>130</v>
      </c>
      <c r="T128" s="110">
        <v>0</v>
      </c>
      <c r="U128" s="110">
        <v>42.99</v>
      </c>
      <c r="X128">
        <v>127.09999999999997</v>
      </c>
      <c r="Y128">
        <v>59.9</v>
      </c>
      <c r="Z128">
        <v>59.9</v>
      </c>
      <c r="AA128">
        <v>0</v>
      </c>
      <c r="AB128" t="s">
        <v>363</v>
      </c>
      <c r="AF128" t="s">
        <v>2912</v>
      </c>
      <c r="AG128" t="s">
        <v>2912</v>
      </c>
      <c r="AH128" t="s">
        <v>1175</v>
      </c>
      <c r="AI128">
        <v>99999</v>
      </c>
      <c r="AJ128">
        <v>99999</v>
      </c>
      <c r="AK128">
        <v>699</v>
      </c>
      <c r="AL128" t="b">
        <v>1</v>
      </c>
      <c r="AM128" t="b">
        <v>1</v>
      </c>
      <c r="AN128" t="b">
        <v>0</v>
      </c>
      <c r="AO128">
        <v>99999</v>
      </c>
      <c r="AP128" t="s">
        <v>64</v>
      </c>
      <c r="AR128" t="b">
        <v>0</v>
      </c>
      <c r="AS128">
        <v>12</v>
      </c>
      <c r="AT128" t="s">
        <v>327</v>
      </c>
      <c r="AV128" t="s">
        <v>2928</v>
      </c>
      <c r="CRL128">
        <v>12</v>
      </c>
    </row>
    <row r="129" spans="1:51 2508:2508" x14ac:dyDescent="0.25">
      <c r="A129" t="s">
        <v>3323</v>
      </c>
      <c r="B129" t="s">
        <v>302</v>
      </c>
      <c r="C129" t="s">
        <v>62</v>
      </c>
      <c r="D129">
        <v>99999</v>
      </c>
      <c r="F129" s="109">
        <v>10000</v>
      </c>
      <c r="G129" t="b">
        <v>0</v>
      </c>
      <c r="H129" t="s">
        <v>331</v>
      </c>
      <c r="K129" t="s">
        <v>379</v>
      </c>
      <c r="L129" t="s">
        <v>303</v>
      </c>
      <c r="M129" t="s">
        <v>323</v>
      </c>
      <c r="N129" t="s">
        <v>63</v>
      </c>
      <c r="O129" s="110">
        <v>49.9</v>
      </c>
      <c r="R129" s="110">
        <v>374.89</v>
      </c>
      <c r="S129" s="110">
        <v>130</v>
      </c>
      <c r="T129" s="110">
        <v>0</v>
      </c>
      <c r="U129" s="110">
        <v>42.99</v>
      </c>
      <c r="X129">
        <v>141.99999999999997</v>
      </c>
      <c r="Y129">
        <v>59.9</v>
      </c>
      <c r="Z129">
        <v>59.9</v>
      </c>
      <c r="AA129">
        <v>0</v>
      </c>
      <c r="AB129" t="s">
        <v>363</v>
      </c>
      <c r="AF129" t="s">
        <v>2986</v>
      </c>
      <c r="AG129" t="s">
        <v>2986</v>
      </c>
      <c r="AH129" t="s">
        <v>1175</v>
      </c>
      <c r="AI129">
        <v>99999</v>
      </c>
      <c r="AJ129">
        <v>99999</v>
      </c>
      <c r="AK129">
        <v>699</v>
      </c>
      <c r="AL129" t="b">
        <v>1</v>
      </c>
      <c r="AM129" t="b">
        <v>1</v>
      </c>
      <c r="AN129" t="b">
        <v>0</v>
      </c>
      <c r="AO129">
        <v>99999</v>
      </c>
      <c r="AP129" t="s">
        <v>64</v>
      </c>
      <c r="AR129" t="b">
        <v>0</v>
      </c>
      <c r="AS129">
        <v>12</v>
      </c>
      <c r="AT129" t="s">
        <v>327</v>
      </c>
      <c r="AV129" t="s">
        <v>3002</v>
      </c>
      <c r="CRL129">
        <v>12</v>
      </c>
    </row>
    <row r="130" spans="1:51 2508:2508" x14ac:dyDescent="0.25">
      <c r="A130" t="s">
        <v>3323</v>
      </c>
      <c r="B130" t="s">
        <v>302</v>
      </c>
      <c r="C130" t="s">
        <v>62</v>
      </c>
      <c r="D130">
        <v>99999</v>
      </c>
      <c r="F130" s="109">
        <v>10000</v>
      </c>
      <c r="G130" t="b">
        <v>0</v>
      </c>
      <c r="H130" t="s">
        <v>331</v>
      </c>
      <c r="K130" t="s">
        <v>61</v>
      </c>
      <c r="L130" t="s">
        <v>303</v>
      </c>
      <c r="M130" t="s">
        <v>323</v>
      </c>
      <c r="N130" t="s">
        <v>63</v>
      </c>
      <c r="O130" s="110">
        <v>29.9</v>
      </c>
      <c r="R130" s="110">
        <v>274.89</v>
      </c>
      <c r="S130" s="110">
        <v>79.900000000000006</v>
      </c>
      <c r="T130" s="110">
        <v>0</v>
      </c>
      <c r="U130" s="110">
        <v>42.99</v>
      </c>
      <c r="X130">
        <v>107.09999999999997</v>
      </c>
      <c r="Y130">
        <v>44.9</v>
      </c>
      <c r="Z130">
        <v>44.9</v>
      </c>
      <c r="AA130">
        <v>0</v>
      </c>
      <c r="AB130" t="s">
        <v>324</v>
      </c>
      <c r="AF130" t="s">
        <v>1174</v>
      </c>
      <c r="AG130" t="s">
        <v>1174</v>
      </c>
      <c r="AH130" t="s">
        <v>1175</v>
      </c>
      <c r="AI130">
        <v>99999</v>
      </c>
      <c r="AJ130">
        <v>99999</v>
      </c>
      <c r="AK130">
        <v>699</v>
      </c>
      <c r="AL130" t="b">
        <v>1</v>
      </c>
      <c r="AM130" t="b">
        <v>1</v>
      </c>
      <c r="AN130" t="b">
        <v>0</v>
      </c>
      <c r="AO130">
        <v>99999</v>
      </c>
      <c r="AP130" t="s">
        <v>64</v>
      </c>
      <c r="AR130" t="b">
        <v>0</v>
      </c>
      <c r="AS130">
        <v>12</v>
      </c>
      <c r="AT130" t="s">
        <v>327</v>
      </c>
      <c r="AV130" t="s">
        <v>1178</v>
      </c>
      <c r="CRL130">
        <v>12</v>
      </c>
    </row>
    <row r="131" spans="1:51 2508:2508" x14ac:dyDescent="0.25">
      <c r="A131" t="s">
        <v>3323</v>
      </c>
      <c r="B131" t="s">
        <v>302</v>
      </c>
      <c r="C131" t="s">
        <v>62</v>
      </c>
      <c r="D131">
        <v>99999</v>
      </c>
      <c r="F131" s="109">
        <v>10000</v>
      </c>
      <c r="G131" t="b">
        <v>0</v>
      </c>
      <c r="H131" t="s">
        <v>331</v>
      </c>
      <c r="K131" t="s">
        <v>61</v>
      </c>
      <c r="L131" t="s">
        <v>303</v>
      </c>
      <c r="M131" t="s">
        <v>323</v>
      </c>
      <c r="N131" t="s">
        <v>63</v>
      </c>
      <c r="O131" s="110">
        <v>29.9</v>
      </c>
      <c r="R131" s="110">
        <v>294.89</v>
      </c>
      <c r="S131" s="110">
        <v>79.900000000000006</v>
      </c>
      <c r="T131" s="110">
        <v>0</v>
      </c>
      <c r="U131" s="110">
        <v>42.99</v>
      </c>
      <c r="X131">
        <v>127.09999999999997</v>
      </c>
      <c r="Y131">
        <v>44.9</v>
      </c>
      <c r="Z131">
        <v>44.9</v>
      </c>
      <c r="AA131">
        <v>0</v>
      </c>
      <c r="AB131" t="s">
        <v>324</v>
      </c>
      <c r="AF131" t="s">
        <v>1309</v>
      </c>
      <c r="AG131" t="s">
        <v>1309</v>
      </c>
      <c r="AH131" t="s">
        <v>1175</v>
      </c>
      <c r="AI131">
        <v>99999</v>
      </c>
      <c r="AJ131">
        <v>99999</v>
      </c>
      <c r="AK131">
        <v>699</v>
      </c>
      <c r="AL131" t="b">
        <v>1</v>
      </c>
      <c r="AM131" t="b">
        <v>1</v>
      </c>
      <c r="AN131" t="b">
        <v>0</v>
      </c>
      <c r="AO131">
        <v>99999</v>
      </c>
      <c r="AP131" t="s">
        <v>64</v>
      </c>
      <c r="AR131" t="b">
        <v>0</v>
      </c>
      <c r="AS131">
        <v>12</v>
      </c>
      <c r="AT131" t="s">
        <v>327</v>
      </c>
      <c r="AV131" t="s">
        <v>1312</v>
      </c>
      <c r="CRL131">
        <v>12</v>
      </c>
    </row>
    <row r="132" spans="1:51 2508:2508" x14ac:dyDescent="0.25">
      <c r="A132" t="s">
        <v>3323</v>
      </c>
      <c r="B132" t="s">
        <v>302</v>
      </c>
      <c r="C132" t="s">
        <v>62</v>
      </c>
      <c r="D132">
        <v>99999</v>
      </c>
      <c r="F132" s="109">
        <v>10000</v>
      </c>
      <c r="G132" t="b">
        <v>0</v>
      </c>
      <c r="H132" t="s">
        <v>331</v>
      </c>
      <c r="K132" t="s">
        <v>61</v>
      </c>
      <c r="L132" t="s">
        <v>303</v>
      </c>
      <c r="M132" t="s">
        <v>323</v>
      </c>
      <c r="N132" t="s">
        <v>63</v>
      </c>
      <c r="O132" s="110">
        <v>29.9</v>
      </c>
      <c r="R132" s="110">
        <v>314.89</v>
      </c>
      <c r="S132" s="110">
        <v>85</v>
      </c>
      <c r="T132" s="110">
        <v>0</v>
      </c>
      <c r="U132" s="110">
        <v>42.99</v>
      </c>
      <c r="X132">
        <v>141.99999999999997</v>
      </c>
      <c r="Y132">
        <v>44.9</v>
      </c>
      <c r="Z132">
        <v>44.9</v>
      </c>
      <c r="AA132">
        <v>0</v>
      </c>
      <c r="AB132" t="s">
        <v>324</v>
      </c>
      <c r="AF132" t="s">
        <v>1457</v>
      </c>
      <c r="AG132" t="s">
        <v>1457</v>
      </c>
      <c r="AH132" t="s">
        <v>1175</v>
      </c>
      <c r="AI132">
        <v>99999</v>
      </c>
      <c r="AJ132">
        <v>99999</v>
      </c>
      <c r="AK132">
        <v>699</v>
      </c>
      <c r="AL132" t="b">
        <v>1</v>
      </c>
      <c r="AM132" t="b">
        <v>1</v>
      </c>
      <c r="AN132" t="b">
        <v>0</v>
      </c>
      <c r="AO132">
        <v>99999</v>
      </c>
      <c r="AP132" t="s">
        <v>64</v>
      </c>
      <c r="AR132" t="b">
        <v>0</v>
      </c>
      <c r="AS132">
        <v>12</v>
      </c>
      <c r="AT132" t="s">
        <v>327</v>
      </c>
      <c r="AV132" t="s">
        <v>1460</v>
      </c>
      <c r="CRL132">
        <v>12</v>
      </c>
    </row>
    <row r="133" spans="1:51 2508:2508" x14ac:dyDescent="0.25">
      <c r="A133" t="s">
        <v>3323</v>
      </c>
      <c r="B133" t="s">
        <v>302</v>
      </c>
      <c r="C133" t="s">
        <v>62</v>
      </c>
      <c r="D133">
        <v>99999</v>
      </c>
      <c r="F133" s="109">
        <v>10000</v>
      </c>
      <c r="G133" t="b">
        <v>0</v>
      </c>
      <c r="H133" t="s">
        <v>331</v>
      </c>
      <c r="K133" t="s">
        <v>61</v>
      </c>
      <c r="L133" t="s">
        <v>303</v>
      </c>
      <c r="M133" t="s">
        <v>323</v>
      </c>
      <c r="N133" t="s">
        <v>63</v>
      </c>
      <c r="O133" s="110">
        <v>39.9</v>
      </c>
      <c r="R133" s="110">
        <v>274.89</v>
      </c>
      <c r="S133" s="110">
        <v>79.900000000000006</v>
      </c>
      <c r="T133" s="110">
        <v>0</v>
      </c>
      <c r="U133" s="110">
        <v>42.99</v>
      </c>
      <c r="X133">
        <v>107.09999999999997</v>
      </c>
      <c r="Y133">
        <v>44.9</v>
      </c>
      <c r="Z133">
        <v>44.9</v>
      </c>
      <c r="AA133">
        <v>0</v>
      </c>
      <c r="AB133" t="s">
        <v>324</v>
      </c>
      <c r="AF133" t="s">
        <v>1242</v>
      </c>
      <c r="AG133" t="s">
        <v>1242</v>
      </c>
      <c r="AH133" t="s">
        <v>1175</v>
      </c>
      <c r="AI133">
        <v>99999</v>
      </c>
      <c r="AJ133">
        <v>99999</v>
      </c>
      <c r="AK133">
        <v>699</v>
      </c>
      <c r="AL133" t="b">
        <v>1</v>
      </c>
      <c r="AM133" t="b">
        <v>1</v>
      </c>
      <c r="AN133" t="b">
        <v>0</v>
      </c>
      <c r="AO133">
        <v>99999</v>
      </c>
      <c r="AP133" t="s">
        <v>64</v>
      </c>
      <c r="AR133" t="b">
        <v>0</v>
      </c>
      <c r="AS133">
        <v>12</v>
      </c>
      <c r="AT133" t="s">
        <v>327</v>
      </c>
      <c r="AV133" t="s">
        <v>1245</v>
      </c>
      <c r="CRL133">
        <v>12</v>
      </c>
    </row>
    <row r="134" spans="1:51 2508:2508" x14ac:dyDescent="0.25">
      <c r="A134" t="s">
        <v>3323</v>
      </c>
      <c r="B134" t="s">
        <v>302</v>
      </c>
      <c r="C134" t="s">
        <v>62</v>
      </c>
      <c r="D134">
        <v>99999</v>
      </c>
      <c r="F134" s="109">
        <v>10000</v>
      </c>
      <c r="G134" t="b">
        <v>0</v>
      </c>
      <c r="H134" t="s">
        <v>331</v>
      </c>
      <c r="K134" t="s">
        <v>61</v>
      </c>
      <c r="L134" t="s">
        <v>303</v>
      </c>
      <c r="M134" t="s">
        <v>323</v>
      </c>
      <c r="N134" t="s">
        <v>63</v>
      </c>
      <c r="O134" s="110">
        <v>39.9</v>
      </c>
      <c r="R134" s="110">
        <v>294.89</v>
      </c>
      <c r="S134" s="110">
        <v>79.900000000000006</v>
      </c>
      <c r="T134" s="110">
        <v>0</v>
      </c>
      <c r="U134" s="110">
        <v>42.99</v>
      </c>
      <c r="X134">
        <v>127.09999999999997</v>
      </c>
      <c r="Y134">
        <v>44.9</v>
      </c>
      <c r="Z134">
        <v>44.9</v>
      </c>
      <c r="AA134">
        <v>0</v>
      </c>
      <c r="AB134" t="s">
        <v>324</v>
      </c>
      <c r="AF134" t="s">
        <v>1376</v>
      </c>
      <c r="AG134" t="s">
        <v>1376</v>
      </c>
      <c r="AH134" t="s">
        <v>1175</v>
      </c>
      <c r="AI134">
        <v>99999</v>
      </c>
      <c r="AJ134">
        <v>99999</v>
      </c>
      <c r="AK134">
        <v>699</v>
      </c>
      <c r="AL134" t="b">
        <v>1</v>
      </c>
      <c r="AM134" t="b">
        <v>1</v>
      </c>
      <c r="AN134" t="b">
        <v>0</v>
      </c>
      <c r="AO134">
        <v>99999</v>
      </c>
      <c r="AP134" t="s">
        <v>64</v>
      </c>
      <c r="AR134" t="b">
        <v>0</v>
      </c>
      <c r="AS134">
        <v>12</v>
      </c>
      <c r="AT134" t="s">
        <v>327</v>
      </c>
      <c r="AV134" t="s">
        <v>1379</v>
      </c>
      <c r="CRL134">
        <v>12</v>
      </c>
    </row>
    <row r="135" spans="1:51 2508:2508" x14ac:dyDescent="0.25">
      <c r="A135" t="s">
        <v>3323</v>
      </c>
      <c r="B135" t="s">
        <v>302</v>
      </c>
      <c r="C135" t="s">
        <v>62</v>
      </c>
      <c r="D135">
        <v>99999</v>
      </c>
      <c r="F135" s="109">
        <v>10000</v>
      </c>
      <c r="G135" t="b">
        <v>0</v>
      </c>
      <c r="H135" t="s">
        <v>331</v>
      </c>
      <c r="K135" t="s">
        <v>61</v>
      </c>
      <c r="L135" t="s">
        <v>303</v>
      </c>
      <c r="M135" t="s">
        <v>323</v>
      </c>
      <c r="N135" t="s">
        <v>63</v>
      </c>
      <c r="O135" s="110">
        <v>39.9</v>
      </c>
      <c r="R135" s="110">
        <v>314.89</v>
      </c>
      <c r="S135" s="110">
        <v>85</v>
      </c>
      <c r="T135" s="110">
        <v>0</v>
      </c>
      <c r="U135" s="110">
        <v>42.99</v>
      </c>
      <c r="X135">
        <v>141.99999999999997</v>
      </c>
      <c r="Y135">
        <v>44.9</v>
      </c>
      <c r="Z135">
        <v>44.9</v>
      </c>
      <c r="AA135">
        <v>0</v>
      </c>
      <c r="AB135" t="s">
        <v>324</v>
      </c>
      <c r="AF135" t="s">
        <v>1524</v>
      </c>
      <c r="AG135" t="s">
        <v>1524</v>
      </c>
      <c r="AH135" t="s">
        <v>1175</v>
      </c>
      <c r="AI135">
        <v>99999</v>
      </c>
      <c r="AJ135">
        <v>99999</v>
      </c>
      <c r="AK135">
        <v>699</v>
      </c>
      <c r="AL135" t="b">
        <v>1</v>
      </c>
      <c r="AM135" t="b">
        <v>1</v>
      </c>
      <c r="AN135" t="b">
        <v>0</v>
      </c>
      <c r="AO135">
        <v>99999</v>
      </c>
      <c r="AP135" t="s">
        <v>64</v>
      </c>
      <c r="AR135" t="b">
        <v>0</v>
      </c>
      <c r="AS135">
        <v>12</v>
      </c>
      <c r="AT135" t="s">
        <v>327</v>
      </c>
      <c r="AV135" t="s">
        <v>1527</v>
      </c>
      <c r="CRL135">
        <v>12</v>
      </c>
    </row>
    <row r="136" spans="1:51 2508:2508" x14ac:dyDescent="0.25">
      <c r="A136" t="s">
        <v>3323</v>
      </c>
      <c r="B136" t="s">
        <v>302</v>
      </c>
      <c r="C136" t="s">
        <v>62</v>
      </c>
      <c r="D136">
        <v>99999</v>
      </c>
      <c r="F136" s="109">
        <v>10000</v>
      </c>
      <c r="G136" t="b">
        <v>0</v>
      </c>
      <c r="H136" t="s">
        <v>331</v>
      </c>
      <c r="K136" t="s">
        <v>61</v>
      </c>
      <c r="L136" t="s">
        <v>303</v>
      </c>
      <c r="M136" t="s">
        <v>323</v>
      </c>
      <c r="N136" t="s">
        <v>63</v>
      </c>
      <c r="O136" s="110">
        <v>49.9</v>
      </c>
      <c r="R136" s="110">
        <v>300.68999999999994</v>
      </c>
      <c r="S136" s="110">
        <v>130</v>
      </c>
      <c r="T136" s="110">
        <v>0</v>
      </c>
      <c r="U136" s="110">
        <v>34.99</v>
      </c>
      <c r="X136">
        <v>90.799999999999983</v>
      </c>
      <c r="Y136">
        <v>44.9</v>
      </c>
      <c r="Z136">
        <v>44.9</v>
      </c>
      <c r="AA136">
        <v>0</v>
      </c>
      <c r="AB136" t="s">
        <v>324</v>
      </c>
      <c r="AF136" t="s">
        <v>2744</v>
      </c>
      <c r="AG136" t="s">
        <v>2744</v>
      </c>
      <c r="AH136" t="s">
        <v>1175</v>
      </c>
      <c r="AI136">
        <v>99999</v>
      </c>
      <c r="AJ136">
        <v>99999</v>
      </c>
      <c r="AK136">
        <v>699</v>
      </c>
      <c r="AL136" t="b">
        <v>1</v>
      </c>
      <c r="AM136" t="b">
        <v>1</v>
      </c>
      <c r="AN136" t="b">
        <v>0</v>
      </c>
      <c r="AO136">
        <v>99999</v>
      </c>
      <c r="AP136" t="s">
        <v>64</v>
      </c>
      <c r="AR136" t="b">
        <v>0</v>
      </c>
      <c r="AS136">
        <v>12</v>
      </c>
      <c r="AT136" t="s">
        <v>327</v>
      </c>
      <c r="AV136" t="s">
        <v>2747</v>
      </c>
      <c r="CRL136">
        <v>12</v>
      </c>
    </row>
    <row r="137" spans="1:51 2508:2508" x14ac:dyDescent="0.25">
      <c r="A137" t="s">
        <v>3323</v>
      </c>
      <c r="B137" t="s">
        <v>302</v>
      </c>
      <c r="C137" t="s">
        <v>62</v>
      </c>
      <c r="D137">
        <v>99999</v>
      </c>
      <c r="F137" s="109">
        <v>10000</v>
      </c>
      <c r="G137" t="b">
        <v>0</v>
      </c>
      <c r="H137" t="s">
        <v>331</v>
      </c>
      <c r="K137" t="s">
        <v>61</v>
      </c>
      <c r="L137" t="s">
        <v>303</v>
      </c>
      <c r="M137" t="s">
        <v>323</v>
      </c>
      <c r="N137" t="s">
        <v>63</v>
      </c>
      <c r="O137" s="110">
        <v>49.9</v>
      </c>
      <c r="R137" s="110">
        <v>324.98999999999995</v>
      </c>
      <c r="S137" s="110">
        <v>130</v>
      </c>
      <c r="T137" s="110">
        <v>0</v>
      </c>
      <c r="U137" s="110">
        <v>42.99</v>
      </c>
      <c r="X137">
        <v>107.09999999999997</v>
      </c>
      <c r="Y137">
        <v>44.9</v>
      </c>
      <c r="Z137">
        <v>44.9</v>
      </c>
      <c r="AA137">
        <v>0</v>
      </c>
      <c r="AB137" t="s">
        <v>324</v>
      </c>
      <c r="AF137" t="s">
        <v>2818</v>
      </c>
      <c r="AG137" t="s">
        <v>2818</v>
      </c>
      <c r="AH137" t="s">
        <v>1175</v>
      </c>
      <c r="AI137">
        <v>99999</v>
      </c>
      <c r="AJ137">
        <v>99999</v>
      </c>
      <c r="AK137">
        <v>699</v>
      </c>
      <c r="AL137" t="b">
        <v>1</v>
      </c>
      <c r="AM137" t="b">
        <v>1</v>
      </c>
      <c r="AN137" t="b">
        <v>0</v>
      </c>
      <c r="AO137">
        <v>99999</v>
      </c>
      <c r="AP137" t="s">
        <v>64</v>
      </c>
      <c r="AR137" t="b">
        <v>0</v>
      </c>
      <c r="AS137">
        <v>12</v>
      </c>
      <c r="AT137" t="s">
        <v>327</v>
      </c>
      <c r="AV137" t="s">
        <v>2821</v>
      </c>
      <c r="CRL137">
        <v>12</v>
      </c>
    </row>
    <row r="138" spans="1:51 2508:2508" x14ac:dyDescent="0.25">
      <c r="A138" t="s">
        <v>3323</v>
      </c>
      <c r="B138" t="s">
        <v>302</v>
      </c>
      <c r="C138" t="s">
        <v>62</v>
      </c>
      <c r="D138">
        <v>99999</v>
      </c>
      <c r="F138" s="109">
        <v>10000</v>
      </c>
      <c r="G138" t="b">
        <v>0</v>
      </c>
      <c r="H138" t="s">
        <v>331</v>
      </c>
      <c r="K138" t="s">
        <v>61</v>
      </c>
      <c r="L138" t="s">
        <v>303</v>
      </c>
      <c r="M138" t="s">
        <v>323</v>
      </c>
      <c r="N138" t="s">
        <v>63</v>
      </c>
      <c r="O138" s="110">
        <v>49.9</v>
      </c>
      <c r="R138" s="110">
        <v>344.98999999999995</v>
      </c>
      <c r="S138" s="110">
        <v>130</v>
      </c>
      <c r="T138" s="110">
        <v>0</v>
      </c>
      <c r="U138" s="110">
        <v>42.99</v>
      </c>
      <c r="X138">
        <v>127.09999999999997</v>
      </c>
      <c r="Y138">
        <v>44.9</v>
      </c>
      <c r="Z138">
        <v>44.9</v>
      </c>
      <c r="AA138">
        <v>0</v>
      </c>
      <c r="AB138" t="s">
        <v>324</v>
      </c>
      <c r="AF138" t="s">
        <v>2885</v>
      </c>
      <c r="AG138" t="s">
        <v>2885</v>
      </c>
      <c r="AH138" t="s">
        <v>1175</v>
      </c>
      <c r="AI138">
        <v>99999</v>
      </c>
      <c r="AJ138">
        <v>99999</v>
      </c>
      <c r="AK138">
        <v>699</v>
      </c>
      <c r="AL138" t="b">
        <v>1</v>
      </c>
      <c r="AM138" t="b">
        <v>1</v>
      </c>
      <c r="AN138" t="b">
        <v>0</v>
      </c>
      <c r="AO138">
        <v>99999</v>
      </c>
      <c r="AP138" t="s">
        <v>64</v>
      </c>
      <c r="AR138" t="b">
        <v>0</v>
      </c>
      <c r="AS138">
        <v>12</v>
      </c>
      <c r="AT138" t="s">
        <v>327</v>
      </c>
      <c r="AV138" t="s">
        <v>2888</v>
      </c>
      <c r="CRL138">
        <v>12</v>
      </c>
    </row>
    <row r="139" spans="1:51 2508:2508" x14ac:dyDescent="0.25">
      <c r="A139" t="s">
        <v>3323</v>
      </c>
      <c r="B139" t="s">
        <v>302</v>
      </c>
      <c r="C139" t="s">
        <v>62</v>
      </c>
      <c r="D139">
        <v>99999</v>
      </c>
      <c r="F139" s="109">
        <v>10000</v>
      </c>
      <c r="G139" t="b">
        <v>0</v>
      </c>
      <c r="H139" t="s">
        <v>331</v>
      </c>
      <c r="K139" t="s">
        <v>61</v>
      </c>
      <c r="L139" t="s">
        <v>303</v>
      </c>
      <c r="M139" t="s">
        <v>323</v>
      </c>
      <c r="N139" t="s">
        <v>63</v>
      </c>
      <c r="O139" s="110">
        <v>49.9</v>
      </c>
      <c r="R139" s="110">
        <v>359.89</v>
      </c>
      <c r="S139" s="110">
        <v>130</v>
      </c>
      <c r="T139" s="110">
        <v>0</v>
      </c>
      <c r="U139" s="110">
        <v>42.99</v>
      </c>
      <c r="X139">
        <v>141.99999999999997</v>
      </c>
      <c r="Y139">
        <v>44.9</v>
      </c>
      <c r="Z139">
        <v>44.9</v>
      </c>
      <c r="AA139">
        <v>0</v>
      </c>
      <c r="AB139" t="s">
        <v>324</v>
      </c>
      <c r="AF139" t="s">
        <v>2959</v>
      </c>
      <c r="AG139" t="s">
        <v>2959</v>
      </c>
      <c r="AH139" t="s">
        <v>1175</v>
      </c>
      <c r="AI139">
        <v>99999</v>
      </c>
      <c r="AJ139">
        <v>99999</v>
      </c>
      <c r="AK139">
        <v>699</v>
      </c>
      <c r="AL139" t="b">
        <v>1</v>
      </c>
      <c r="AM139" t="b">
        <v>1</v>
      </c>
      <c r="AN139" t="b">
        <v>0</v>
      </c>
      <c r="AO139">
        <v>99999</v>
      </c>
      <c r="AP139" t="s">
        <v>64</v>
      </c>
      <c r="AR139" t="b">
        <v>0</v>
      </c>
      <c r="AS139">
        <v>12</v>
      </c>
      <c r="AT139" t="s">
        <v>327</v>
      </c>
      <c r="AV139" t="s">
        <v>2962</v>
      </c>
      <c r="CRL139">
        <v>12</v>
      </c>
    </row>
    <row r="140" spans="1:51 2508:2508" x14ac:dyDescent="0.25">
      <c r="A140" t="s">
        <v>3323</v>
      </c>
      <c r="B140" t="s">
        <v>302</v>
      </c>
      <c r="C140" t="s">
        <v>62</v>
      </c>
      <c r="D140">
        <v>99999</v>
      </c>
      <c r="F140" s="109">
        <v>10000</v>
      </c>
      <c r="G140" t="b">
        <v>0</v>
      </c>
      <c r="H140" t="s">
        <v>329</v>
      </c>
      <c r="K140" t="s">
        <v>349</v>
      </c>
      <c r="L140" t="s">
        <v>303</v>
      </c>
      <c r="M140" t="s">
        <v>323</v>
      </c>
      <c r="N140" t="s">
        <v>63</v>
      </c>
      <c r="O140" s="110">
        <v>29.9</v>
      </c>
      <c r="R140" s="110">
        <v>239.89</v>
      </c>
      <c r="S140" s="110">
        <v>79.900000000000006</v>
      </c>
      <c r="T140" s="110">
        <v>0</v>
      </c>
      <c r="U140" s="110">
        <v>42.99</v>
      </c>
      <c r="X140">
        <v>72.099999999999966</v>
      </c>
      <c r="Y140">
        <v>44.9</v>
      </c>
      <c r="Z140">
        <v>44.9</v>
      </c>
      <c r="AA140">
        <v>0</v>
      </c>
      <c r="AB140" t="s">
        <v>324</v>
      </c>
      <c r="AF140" t="s">
        <v>1174</v>
      </c>
      <c r="AG140" t="s">
        <v>1174</v>
      </c>
      <c r="AH140" t="s">
        <v>1175</v>
      </c>
      <c r="AI140">
        <v>99999</v>
      </c>
      <c r="AJ140">
        <v>99999</v>
      </c>
      <c r="AK140">
        <v>699</v>
      </c>
      <c r="AL140" t="b">
        <v>1</v>
      </c>
      <c r="AM140" t="b">
        <v>1</v>
      </c>
      <c r="AN140" t="b">
        <v>0</v>
      </c>
      <c r="AO140">
        <v>99999</v>
      </c>
      <c r="AP140" t="s">
        <v>64</v>
      </c>
      <c r="AR140" t="b">
        <v>0</v>
      </c>
      <c r="AS140">
        <v>12</v>
      </c>
      <c r="AT140" t="s">
        <v>327</v>
      </c>
      <c r="AV140" t="s">
        <v>1190</v>
      </c>
      <c r="CRL140">
        <v>12</v>
      </c>
    </row>
    <row r="141" spans="1:51 2508:2508" x14ac:dyDescent="0.25">
      <c r="A141" t="s">
        <v>3323</v>
      </c>
      <c r="B141" t="s">
        <v>302</v>
      </c>
      <c r="C141" t="s">
        <v>62</v>
      </c>
      <c r="D141">
        <v>99999</v>
      </c>
      <c r="F141" s="109">
        <v>10000</v>
      </c>
      <c r="G141" t="b">
        <v>0</v>
      </c>
      <c r="H141" t="s">
        <v>329</v>
      </c>
      <c r="K141" t="s">
        <v>349</v>
      </c>
      <c r="L141" t="s">
        <v>303</v>
      </c>
      <c r="M141" t="s">
        <v>323</v>
      </c>
      <c r="N141" t="s">
        <v>63</v>
      </c>
      <c r="O141" s="110">
        <v>29.9</v>
      </c>
      <c r="R141" s="110">
        <v>259.89</v>
      </c>
      <c r="S141" s="110">
        <v>79.900000000000006</v>
      </c>
      <c r="T141" s="110">
        <v>0</v>
      </c>
      <c r="U141" s="110">
        <v>42.99</v>
      </c>
      <c r="X141">
        <v>92.099999999999966</v>
      </c>
      <c r="Y141">
        <v>44.9</v>
      </c>
      <c r="Z141">
        <v>44.9</v>
      </c>
      <c r="AA141">
        <v>0</v>
      </c>
      <c r="AB141" t="s">
        <v>324</v>
      </c>
      <c r="AF141" t="s">
        <v>1309</v>
      </c>
      <c r="AG141" t="s">
        <v>1309</v>
      </c>
      <c r="AH141" t="s">
        <v>1175</v>
      </c>
      <c r="AI141">
        <v>99999</v>
      </c>
      <c r="AJ141">
        <v>99999</v>
      </c>
      <c r="AK141">
        <v>699</v>
      </c>
      <c r="AL141" t="b">
        <v>1</v>
      </c>
      <c r="AM141" t="b">
        <v>1</v>
      </c>
      <c r="AN141" t="b">
        <v>0</v>
      </c>
      <c r="AO141">
        <v>99999</v>
      </c>
      <c r="AP141" t="s">
        <v>64</v>
      </c>
      <c r="AR141" t="b">
        <v>0</v>
      </c>
      <c r="AS141">
        <v>12</v>
      </c>
      <c r="AT141" t="s">
        <v>327</v>
      </c>
      <c r="AV141" t="s">
        <v>1324</v>
      </c>
      <c r="AW141" s="108"/>
      <c r="AX141" s="108"/>
      <c r="AY141" s="108"/>
      <c r="CRL141">
        <v>12</v>
      </c>
    </row>
    <row r="142" spans="1:51 2508:2508" x14ac:dyDescent="0.25">
      <c r="A142" t="s">
        <v>3323</v>
      </c>
      <c r="B142" t="s">
        <v>302</v>
      </c>
      <c r="C142" t="s">
        <v>62</v>
      </c>
      <c r="D142">
        <v>99999</v>
      </c>
      <c r="F142" s="109">
        <v>10000</v>
      </c>
      <c r="G142" t="b">
        <v>0</v>
      </c>
      <c r="H142" t="s">
        <v>329</v>
      </c>
      <c r="K142" t="s">
        <v>349</v>
      </c>
      <c r="L142" t="s">
        <v>303</v>
      </c>
      <c r="M142" t="s">
        <v>323</v>
      </c>
      <c r="N142" t="s">
        <v>63</v>
      </c>
      <c r="O142" s="110">
        <v>29.9</v>
      </c>
      <c r="R142" s="110">
        <v>279.89</v>
      </c>
      <c r="S142" s="110">
        <v>85</v>
      </c>
      <c r="T142" s="110">
        <v>0</v>
      </c>
      <c r="U142" s="110">
        <v>42.99</v>
      </c>
      <c r="X142">
        <v>106.99999999999997</v>
      </c>
      <c r="Y142">
        <v>44.9</v>
      </c>
      <c r="Z142">
        <v>44.9</v>
      </c>
      <c r="AA142">
        <v>0</v>
      </c>
      <c r="AB142" t="s">
        <v>324</v>
      </c>
      <c r="AF142" t="s">
        <v>1457</v>
      </c>
      <c r="AG142" t="s">
        <v>1457</v>
      </c>
      <c r="AH142" t="s">
        <v>1175</v>
      </c>
      <c r="AI142">
        <v>99999</v>
      </c>
      <c r="AJ142">
        <v>99999</v>
      </c>
      <c r="AK142">
        <v>699</v>
      </c>
      <c r="AL142" t="b">
        <v>1</v>
      </c>
      <c r="AM142" t="b">
        <v>1</v>
      </c>
      <c r="AN142" t="b">
        <v>0</v>
      </c>
      <c r="AO142">
        <v>99999</v>
      </c>
      <c r="AP142" t="s">
        <v>64</v>
      </c>
      <c r="AR142" t="b">
        <v>0</v>
      </c>
      <c r="AS142">
        <v>12</v>
      </c>
      <c r="AT142" t="s">
        <v>327</v>
      </c>
      <c r="AV142" t="s">
        <v>1472</v>
      </c>
      <c r="CRL142">
        <v>12</v>
      </c>
    </row>
    <row r="143" spans="1:51 2508:2508" x14ac:dyDescent="0.25">
      <c r="A143" t="s">
        <v>3323</v>
      </c>
      <c r="B143" t="s">
        <v>302</v>
      </c>
      <c r="C143" t="s">
        <v>62</v>
      </c>
      <c r="D143">
        <v>99999</v>
      </c>
      <c r="F143" s="109">
        <v>10000</v>
      </c>
      <c r="G143" t="b">
        <v>0</v>
      </c>
      <c r="H143" t="s">
        <v>329</v>
      </c>
      <c r="K143" t="s">
        <v>349</v>
      </c>
      <c r="L143" t="s">
        <v>303</v>
      </c>
      <c r="M143" t="s">
        <v>323</v>
      </c>
      <c r="N143" t="s">
        <v>63</v>
      </c>
      <c r="O143" s="110">
        <v>39.9</v>
      </c>
      <c r="R143" s="110">
        <v>239.89</v>
      </c>
      <c r="S143" s="110">
        <v>79.900000000000006</v>
      </c>
      <c r="T143" s="110">
        <v>0</v>
      </c>
      <c r="U143" s="110">
        <v>42.99</v>
      </c>
      <c r="X143">
        <v>72.099999999999966</v>
      </c>
      <c r="Y143">
        <v>44.9</v>
      </c>
      <c r="Z143">
        <v>44.9</v>
      </c>
      <c r="AA143">
        <v>0</v>
      </c>
      <c r="AB143" t="s">
        <v>324</v>
      </c>
      <c r="AF143" t="s">
        <v>1242</v>
      </c>
      <c r="AG143" t="s">
        <v>1242</v>
      </c>
      <c r="AH143" t="s">
        <v>1175</v>
      </c>
      <c r="AI143">
        <v>99999</v>
      </c>
      <c r="AJ143">
        <v>99999</v>
      </c>
      <c r="AK143">
        <v>699</v>
      </c>
      <c r="AL143" t="b">
        <v>1</v>
      </c>
      <c r="AM143" t="b">
        <v>1</v>
      </c>
      <c r="AN143" t="b">
        <v>0</v>
      </c>
      <c r="AO143">
        <v>99999</v>
      </c>
      <c r="AP143" t="s">
        <v>64</v>
      </c>
      <c r="AR143" t="b">
        <v>0</v>
      </c>
      <c r="AS143">
        <v>12</v>
      </c>
      <c r="AT143" t="s">
        <v>327</v>
      </c>
      <c r="AV143" t="s">
        <v>1257</v>
      </c>
      <c r="CRL143">
        <v>12</v>
      </c>
    </row>
    <row r="144" spans="1:51 2508:2508" x14ac:dyDescent="0.25">
      <c r="A144" t="s">
        <v>3323</v>
      </c>
      <c r="B144" t="s">
        <v>302</v>
      </c>
      <c r="C144" t="s">
        <v>62</v>
      </c>
      <c r="D144">
        <v>99999</v>
      </c>
      <c r="F144" s="109">
        <v>10000</v>
      </c>
      <c r="G144" t="b">
        <v>0</v>
      </c>
      <c r="H144" t="s">
        <v>329</v>
      </c>
      <c r="K144" t="s">
        <v>349</v>
      </c>
      <c r="L144" t="s">
        <v>303</v>
      </c>
      <c r="M144" t="s">
        <v>323</v>
      </c>
      <c r="N144" t="s">
        <v>63</v>
      </c>
      <c r="O144" s="110">
        <v>39.9</v>
      </c>
      <c r="R144" s="110">
        <v>259.89</v>
      </c>
      <c r="S144" s="110">
        <v>79.900000000000006</v>
      </c>
      <c r="T144" s="110">
        <v>0</v>
      </c>
      <c r="U144" s="110">
        <v>42.99</v>
      </c>
      <c r="X144">
        <v>92.099999999999966</v>
      </c>
      <c r="Y144">
        <v>44.9</v>
      </c>
      <c r="Z144">
        <v>44.9</v>
      </c>
      <c r="AA144">
        <v>0</v>
      </c>
      <c r="AB144" t="s">
        <v>324</v>
      </c>
      <c r="AF144" t="s">
        <v>1376</v>
      </c>
      <c r="AG144" t="s">
        <v>1376</v>
      </c>
      <c r="AH144" t="s">
        <v>1175</v>
      </c>
      <c r="AI144">
        <v>99999</v>
      </c>
      <c r="AJ144">
        <v>99999</v>
      </c>
      <c r="AK144">
        <v>699</v>
      </c>
      <c r="AL144" t="b">
        <v>1</v>
      </c>
      <c r="AM144" t="b">
        <v>1</v>
      </c>
      <c r="AN144" t="b">
        <v>0</v>
      </c>
      <c r="AO144">
        <v>99999</v>
      </c>
      <c r="AP144" t="s">
        <v>64</v>
      </c>
      <c r="AR144" t="b">
        <v>0</v>
      </c>
      <c r="AS144">
        <v>12</v>
      </c>
      <c r="AT144" t="s">
        <v>327</v>
      </c>
      <c r="AV144" t="s">
        <v>1391</v>
      </c>
      <c r="CRL144">
        <v>12</v>
      </c>
    </row>
    <row r="145" spans="1:48 2508:2508" x14ac:dyDescent="0.25">
      <c r="A145" t="s">
        <v>3323</v>
      </c>
      <c r="B145" t="s">
        <v>302</v>
      </c>
      <c r="C145" t="s">
        <v>62</v>
      </c>
      <c r="D145">
        <v>99999</v>
      </c>
      <c r="F145" s="109">
        <v>10000</v>
      </c>
      <c r="G145" t="b">
        <v>0</v>
      </c>
      <c r="H145" t="s">
        <v>329</v>
      </c>
      <c r="K145" t="s">
        <v>349</v>
      </c>
      <c r="L145" t="s">
        <v>303</v>
      </c>
      <c r="M145" t="s">
        <v>323</v>
      </c>
      <c r="N145" t="s">
        <v>63</v>
      </c>
      <c r="O145" s="110">
        <v>39.9</v>
      </c>
      <c r="R145" s="110">
        <v>279.89</v>
      </c>
      <c r="S145" s="110">
        <v>85</v>
      </c>
      <c r="T145" s="110">
        <v>0</v>
      </c>
      <c r="U145" s="110">
        <v>42.99</v>
      </c>
      <c r="X145">
        <v>106.99999999999997</v>
      </c>
      <c r="Y145">
        <v>44.9</v>
      </c>
      <c r="Z145">
        <v>44.9</v>
      </c>
      <c r="AA145">
        <v>0</v>
      </c>
      <c r="AB145" t="s">
        <v>324</v>
      </c>
      <c r="AF145" t="s">
        <v>1524</v>
      </c>
      <c r="AG145" t="s">
        <v>1524</v>
      </c>
      <c r="AH145" t="s">
        <v>1175</v>
      </c>
      <c r="AI145">
        <v>99999</v>
      </c>
      <c r="AJ145">
        <v>99999</v>
      </c>
      <c r="AK145">
        <v>699</v>
      </c>
      <c r="AL145" t="b">
        <v>1</v>
      </c>
      <c r="AM145" t="b">
        <v>1</v>
      </c>
      <c r="AN145" t="b">
        <v>0</v>
      </c>
      <c r="AO145">
        <v>99999</v>
      </c>
      <c r="AP145" t="s">
        <v>64</v>
      </c>
      <c r="AR145" t="b">
        <v>0</v>
      </c>
      <c r="AS145">
        <v>12</v>
      </c>
      <c r="AT145" t="s">
        <v>327</v>
      </c>
      <c r="AV145" t="s">
        <v>1539</v>
      </c>
      <c r="CRL145">
        <v>12</v>
      </c>
    </row>
    <row r="146" spans="1:48 2508:2508" x14ac:dyDescent="0.25">
      <c r="A146" t="s">
        <v>3323</v>
      </c>
      <c r="B146" t="s">
        <v>302</v>
      </c>
      <c r="C146" t="s">
        <v>62</v>
      </c>
      <c r="D146">
        <v>99999</v>
      </c>
      <c r="F146" s="109">
        <v>10000</v>
      </c>
      <c r="G146" t="b">
        <v>0</v>
      </c>
      <c r="H146" t="s">
        <v>329</v>
      </c>
      <c r="K146" t="s">
        <v>349</v>
      </c>
      <c r="L146" t="s">
        <v>303</v>
      </c>
      <c r="M146" t="s">
        <v>323</v>
      </c>
      <c r="N146" t="s">
        <v>63</v>
      </c>
      <c r="O146" s="110">
        <v>49.9</v>
      </c>
      <c r="R146" s="110">
        <v>265.68999999999994</v>
      </c>
      <c r="S146" s="110">
        <v>130</v>
      </c>
      <c r="T146" s="110">
        <v>0</v>
      </c>
      <c r="U146" s="110">
        <v>34.99</v>
      </c>
      <c r="X146">
        <v>55.799999999999983</v>
      </c>
      <c r="Y146">
        <v>44.9</v>
      </c>
      <c r="Z146">
        <v>44.9</v>
      </c>
      <c r="AA146">
        <v>0</v>
      </c>
      <c r="AB146" t="s">
        <v>324</v>
      </c>
      <c r="AF146" t="s">
        <v>2744</v>
      </c>
      <c r="AG146" t="s">
        <v>2744</v>
      </c>
      <c r="AH146" t="s">
        <v>1175</v>
      </c>
      <c r="AI146">
        <v>99999</v>
      </c>
      <c r="AJ146">
        <v>99999</v>
      </c>
      <c r="AK146">
        <v>699</v>
      </c>
      <c r="AL146" t="b">
        <v>1</v>
      </c>
      <c r="AM146" t="b">
        <v>1</v>
      </c>
      <c r="AN146" t="b">
        <v>0</v>
      </c>
      <c r="AO146">
        <v>99999</v>
      </c>
      <c r="AP146" t="s">
        <v>64</v>
      </c>
      <c r="AR146" t="b">
        <v>0</v>
      </c>
      <c r="AS146">
        <v>12</v>
      </c>
      <c r="AT146" t="s">
        <v>327</v>
      </c>
      <c r="AV146" t="s">
        <v>2759</v>
      </c>
      <c r="CRL146">
        <v>12</v>
      </c>
    </row>
    <row r="147" spans="1:48 2508:2508" x14ac:dyDescent="0.25">
      <c r="A147" t="s">
        <v>3323</v>
      </c>
      <c r="B147" t="s">
        <v>302</v>
      </c>
      <c r="C147" t="s">
        <v>62</v>
      </c>
      <c r="D147">
        <v>99999</v>
      </c>
      <c r="F147" s="109">
        <v>10000</v>
      </c>
      <c r="G147" t="b">
        <v>0</v>
      </c>
      <c r="H147" t="s">
        <v>329</v>
      </c>
      <c r="K147" t="s">
        <v>349</v>
      </c>
      <c r="L147" t="s">
        <v>303</v>
      </c>
      <c r="M147" t="s">
        <v>323</v>
      </c>
      <c r="N147" t="s">
        <v>63</v>
      </c>
      <c r="O147" s="110">
        <v>49.9</v>
      </c>
      <c r="R147" s="110">
        <v>289.98999999999995</v>
      </c>
      <c r="S147" s="110">
        <v>130</v>
      </c>
      <c r="T147" s="110">
        <v>0</v>
      </c>
      <c r="U147" s="110">
        <v>42.99</v>
      </c>
      <c r="X147">
        <v>72.099999999999966</v>
      </c>
      <c r="Y147">
        <v>44.9</v>
      </c>
      <c r="Z147">
        <v>44.9</v>
      </c>
      <c r="AA147">
        <v>0</v>
      </c>
      <c r="AB147" t="s">
        <v>324</v>
      </c>
      <c r="AF147" t="s">
        <v>2818</v>
      </c>
      <c r="AG147" t="s">
        <v>2818</v>
      </c>
      <c r="AH147" t="s">
        <v>1175</v>
      </c>
      <c r="AI147">
        <v>99999</v>
      </c>
      <c r="AJ147">
        <v>99999</v>
      </c>
      <c r="AK147">
        <v>699</v>
      </c>
      <c r="AL147" t="b">
        <v>1</v>
      </c>
      <c r="AM147" t="b">
        <v>1</v>
      </c>
      <c r="AN147" t="b">
        <v>0</v>
      </c>
      <c r="AO147">
        <v>99999</v>
      </c>
      <c r="AP147" t="s">
        <v>64</v>
      </c>
      <c r="AR147" t="b">
        <v>0</v>
      </c>
      <c r="AS147">
        <v>12</v>
      </c>
      <c r="AT147" t="s">
        <v>327</v>
      </c>
      <c r="AV147" t="s">
        <v>2833</v>
      </c>
      <c r="CRL147">
        <v>12</v>
      </c>
    </row>
    <row r="148" spans="1:48 2508:2508" x14ac:dyDescent="0.25">
      <c r="A148" t="s">
        <v>3323</v>
      </c>
      <c r="B148" t="s">
        <v>302</v>
      </c>
      <c r="C148" t="s">
        <v>62</v>
      </c>
      <c r="D148">
        <v>99999</v>
      </c>
      <c r="F148" s="109">
        <v>10000</v>
      </c>
      <c r="G148" t="b">
        <v>0</v>
      </c>
      <c r="H148" t="s">
        <v>329</v>
      </c>
      <c r="K148" t="s">
        <v>349</v>
      </c>
      <c r="L148" t="s">
        <v>303</v>
      </c>
      <c r="M148" t="s">
        <v>323</v>
      </c>
      <c r="N148" t="s">
        <v>63</v>
      </c>
      <c r="O148" s="110">
        <v>49.9</v>
      </c>
      <c r="R148" s="110">
        <v>309.98999999999995</v>
      </c>
      <c r="S148" s="110">
        <v>130</v>
      </c>
      <c r="T148" s="110">
        <v>0</v>
      </c>
      <c r="U148" s="110">
        <v>42.99</v>
      </c>
      <c r="X148">
        <v>92.099999999999966</v>
      </c>
      <c r="Y148">
        <v>44.9</v>
      </c>
      <c r="Z148">
        <v>44.9</v>
      </c>
      <c r="AA148">
        <v>0</v>
      </c>
      <c r="AB148" t="s">
        <v>324</v>
      </c>
      <c r="AF148" t="s">
        <v>2885</v>
      </c>
      <c r="AG148" t="s">
        <v>2885</v>
      </c>
      <c r="AH148" t="s">
        <v>1175</v>
      </c>
      <c r="AI148">
        <v>99999</v>
      </c>
      <c r="AJ148">
        <v>99999</v>
      </c>
      <c r="AK148">
        <v>699</v>
      </c>
      <c r="AL148" t="b">
        <v>1</v>
      </c>
      <c r="AM148" t="b">
        <v>1</v>
      </c>
      <c r="AN148" t="b">
        <v>0</v>
      </c>
      <c r="AO148">
        <v>99999</v>
      </c>
      <c r="AP148" t="s">
        <v>64</v>
      </c>
      <c r="AR148" t="b">
        <v>0</v>
      </c>
      <c r="AS148">
        <v>12</v>
      </c>
      <c r="AT148" t="s">
        <v>327</v>
      </c>
      <c r="AV148" t="s">
        <v>2900</v>
      </c>
      <c r="CRL148">
        <v>12</v>
      </c>
    </row>
    <row r="149" spans="1:48 2508:2508" x14ac:dyDescent="0.25">
      <c r="A149" t="s">
        <v>3323</v>
      </c>
      <c r="B149" t="s">
        <v>302</v>
      </c>
      <c r="C149" t="s">
        <v>62</v>
      </c>
      <c r="D149">
        <v>99999</v>
      </c>
      <c r="F149" s="109">
        <v>10000</v>
      </c>
      <c r="G149" t="b">
        <v>0</v>
      </c>
      <c r="H149" t="s">
        <v>329</v>
      </c>
      <c r="K149" t="s">
        <v>349</v>
      </c>
      <c r="L149" t="s">
        <v>303</v>
      </c>
      <c r="M149" t="s">
        <v>323</v>
      </c>
      <c r="N149" t="s">
        <v>63</v>
      </c>
      <c r="O149" s="110">
        <v>49.9</v>
      </c>
      <c r="R149" s="110">
        <v>324.89</v>
      </c>
      <c r="S149" s="110">
        <v>130</v>
      </c>
      <c r="T149" s="110">
        <v>0</v>
      </c>
      <c r="U149" s="110">
        <v>42.99</v>
      </c>
      <c r="X149">
        <v>106.99999999999997</v>
      </c>
      <c r="Y149">
        <v>44.9</v>
      </c>
      <c r="Z149">
        <v>44.9</v>
      </c>
      <c r="AA149">
        <v>0</v>
      </c>
      <c r="AB149" t="s">
        <v>324</v>
      </c>
      <c r="AF149" t="s">
        <v>2959</v>
      </c>
      <c r="AG149" t="s">
        <v>2959</v>
      </c>
      <c r="AH149" t="s">
        <v>1175</v>
      </c>
      <c r="AI149">
        <v>99999</v>
      </c>
      <c r="AJ149">
        <v>99999</v>
      </c>
      <c r="AK149">
        <v>699</v>
      </c>
      <c r="AL149" t="b">
        <v>1</v>
      </c>
      <c r="AM149" t="b">
        <v>1</v>
      </c>
      <c r="AN149" t="b">
        <v>0</v>
      </c>
      <c r="AO149">
        <v>99999</v>
      </c>
      <c r="AP149" t="s">
        <v>64</v>
      </c>
      <c r="AR149" t="b">
        <v>0</v>
      </c>
      <c r="AS149">
        <v>12</v>
      </c>
      <c r="AT149" t="s">
        <v>327</v>
      </c>
      <c r="AV149" t="s">
        <v>2974</v>
      </c>
      <c r="CRL149">
        <v>12</v>
      </c>
    </row>
    <row r="150" spans="1:48 2508:2508" x14ac:dyDescent="0.25">
      <c r="A150" t="s">
        <v>3323</v>
      </c>
      <c r="B150" t="s">
        <v>302</v>
      </c>
      <c r="C150" t="s">
        <v>62</v>
      </c>
      <c r="D150">
        <v>99999</v>
      </c>
      <c r="F150" s="109">
        <v>10000</v>
      </c>
      <c r="G150" t="b">
        <v>0</v>
      </c>
      <c r="H150" t="s">
        <v>329</v>
      </c>
      <c r="K150" t="s">
        <v>393</v>
      </c>
      <c r="L150" t="s">
        <v>303</v>
      </c>
      <c r="M150" t="s">
        <v>323</v>
      </c>
      <c r="N150" t="s">
        <v>63</v>
      </c>
      <c r="O150" s="110">
        <v>29.9</v>
      </c>
      <c r="R150" s="110">
        <v>264.89</v>
      </c>
      <c r="S150" s="110">
        <v>79.900000000000006</v>
      </c>
      <c r="T150" s="110">
        <v>0</v>
      </c>
      <c r="U150" s="110">
        <v>42.99</v>
      </c>
      <c r="X150">
        <v>72.099999999999966</v>
      </c>
      <c r="Y150">
        <v>69.900000000000006</v>
      </c>
      <c r="Z150">
        <v>69.900000000000006</v>
      </c>
      <c r="AA150">
        <v>0</v>
      </c>
      <c r="AB150" t="s">
        <v>363</v>
      </c>
      <c r="AF150" t="s">
        <v>1202</v>
      </c>
      <c r="AG150" t="s">
        <v>1202</v>
      </c>
      <c r="AH150" t="s">
        <v>1175</v>
      </c>
      <c r="AI150">
        <v>99999</v>
      </c>
      <c r="AJ150">
        <v>99999</v>
      </c>
      <c r="AK150">
        <v>699</v>
      </c>
      <c r="AL150" t="b">
        <v>1</v>
      </c>
      <c r="AM150" t="b">
        <v>1</v>
      </c>
      <c r="AN150" t="b">
        <v>0</v>
      </c>
      <c r="AO150">
        <v>99999</v>
      </c>
      <c r="AP150" t="s">
        <v>64</v>
      </c>
      <c r="AR150" t="b">
        <v>0</v>
      </c>
      <c r="AS150">
        <v>12</v>
      </c>
      <c r="AT150" t="s">
        <v>327</v>
      </c>
      <c r="AV150" t="s">
        <v>1230</v>
      </c>
      <c r="CRL150">
        <v>12</v>
      </c>
    </row>
    <row r="151" spans="1:48 2508:2508" x14ac:dyDescent="0.25">
      <c r="A151" t="s">
        <v>3323</v>
      </c>
      <c r="B151" t="s">
        <v>302</v>
      </c>
      <c r="C151" t="s">
        <v>62</v>
      </c>
      <c r="D151">
        <v>99999</v>
      </c>
      <c r="F151" s="109">
        <v>10000</v>
      </c>
      <c r="G151" t="b">
        <v>0</v>
      </c>
      <c r="H151" t="s">
        <v>329</v>
      </c>
      <c r="K151" t="s">
        <v>393</v>
      </c>
      <c r="L151" t="s">
        <v>303</v>
      </c>
      <c r="M151" t="s">
        <v>323</v>
      </c>
      <c r="N151" t="s">
        <v>63</v>
      </c>
      <c r="O151" s="110">
        <v>29.9</v>
      </c>
      <c r="R151" s="110">
        <v>284.89</v>
      </c>
      <c r="S151" s="110">
        <v>79.900000000000006</v>
      </c>
      <c r="T151" s="110">
        <v>0</v>
      </c>
      <c r="U151" s="110">
        <v>42.99</v>
      </c>
      <c r="X151">
        <v>92.099999999999966</v>
      </c>
      <c r="Y151">
        <v>69.900000000000006</v>
      </c>
      <c r="Z151">
        <v>69.900000000000006</v>
      </c>
      <c r="AA151">
        <v>0</v>
      </c>
      <c r="AB151" t="s">
        <v>363</v>
      </c>
      <c r="AF151" t="s">
        <v>1336</v>
      </c>
      <c r="AG151" t="s">
        <v>1336</v>
      </c>
      <c r="AH151" t="s">
        <v>1175</v>
      </c>
      <c r="AI151">
        <v>99999</v>
      </c>
      <c r="AJ151">
        <v>99999</v>
      </c>
      <c r="AK151">
        <v>699</v>
      </c>
      <c r="AL151" t="b">
        <v>1</v>
      </c>
      <c r="AM151" t="b">
        <v>1</v>
      </c>
      <c r="AN151" t="b">
        <v>0</v>
      </c>
      <c r="AO151">
        <v>99999</v>
      </c>
      <c r="AP151" t="s">
        <v>64</v>
      </c>
      <c r="AR151" t="b">
        <v>0</v>
      </c>
      <c r="AS151">
        <v>12</v>
      </c>
      <c r="AT151" t="s">
        <v>327</v>
      </c>
      <c r="AV151" t="s">
        <v>1364</v>
      </c>
      <c r="CRL151">
        <v>12</v>
      </c>
    </row>
    <row r="152" spans="1:48 2508:2508" x14ac:dyDescent="0.25">
      <c r="A152" t="s">
        <v>3323</v>
      </c>
      <c r="B152" t="s">
        <v>302</v>
      </c>
      <c r="C152" t="s">
        <v>62</v>
      </c>
      <c r="D152">
        <v>99999</v>
      </c>
      <c r="F152" s="109">
        <v>10000</v>
      </c>
      <c r="G152" t="b">
        <v>0</v>
      </c>
      <c r="H152" t="s">
        <v>329</v>
      </c>
      <c r="K152" t="s">
        <v>393</v>
      </c>
      <c r="L152" t="s">
        <v>303</v>
      </c>
      <c r="M152" t="s">
        <v>323</v>
      </c>
      <c r="N152" t="s">
        <v>63</v>
      </c>
      <c r="O152" s="110">
        <v>29.9</v>
      </c>
      <c r="R152" s="110">
        <v>304.89</v>
      </c>
      <c r="S152" s="110">
        <v>85</v>
      </c>
      <c r="T152" s="110">
        <v>0</v>
      </c>
      <c r="U152" s="110">
        <v>42.99</v>
      </c>
      <c r="X152">
        <v>106.99999999999997</v>
      </c>
      <c r="Y152">
        <v>69.900000000000006</v>
      </c>
      <c r="Z152">
        <v>69.900000000000006</v>
      </c>
      <c r="AA152">
        <v>0</v>
      </c>
      <c r="AB152" t="s">
        <v>363</v>
      </c>
      <c r="AF152" t="s">
        <v>1484</v>
      </c>
      <c r="AG152" t="s">
        <v>1484</v>
      </c>
      <c r="AH152" t="s">
        <v>1175</v>
      </c>
      <c r="AI152">
        <v>99999</v>
      </c>
      <c r="AJ152">
        <v>99999</v>
      </c>
      <c r="AK152">
        <v>699</v>
      </c>
      <c r="AL152" t="b">
        <v>1</v>
      </c>
      <c r="AM152" t="b">
        <v>1</v>
      </c>
      <c r="AN152" t="b">
        <v>0</v>
      </c>
      <c r="AO152">
        <v>99999</v>
      </c>
      <c r="AP152" t="s">
        <v>64</v>
      </c>
      <c r="AR152" t="b">
        <v>0</v>
      </c>
      <c r="AS152">
        <v>12</v>
      </c>
      <c r="AT152" t="s">
        <v>327</v>
      </c>
      <c r="AV152" t="s">
        <v>1512</v>
      </c>
      <c r="CRL152">
        <v>12</v>
      </c>
    </row>
    <row r="153" spans="1:48 2508:2508" x14ac:dyDescent="0.25">
      <c r="A153" t="s">
        <v>3323</v>
      </c>
      <c r="B153" t="s">
        <v>302</v>
      </c>
      <c r="C153" t="s">
        <v>62</v>
      </c>
      <c r="D153">
        <v>99999</v>
      </c>
      <c r="F153" s="109">
        <v>10000</v>
      </c>
      <c r="G153" t="b">
        <v>0</v>
      </c>
      <c r="H153" t="s">
        <v>329</v>
      </c>
      <c r="K153" t="s">
        <v>393</v>
      </c>
      <c r="L153" t="s">
        <v>303</v>
      </c>
      <c r="M153" t="s">
        <v>323</v>
      </c>
      <c r="N153" t="s">
        <v>63</v>
      </c>
      <c r="O153" s="110">
        <v>39.9</v>
      </c>
      <c r="R153" s="110">
        <v>264.89</v>
      </c>
      <c r="S153" s="110">
        <v>79.900000000000006</v>
      </c>
      <c r="T153" s="110">
        <v>0</v>
      </c>
      <c r="U153" s="110">
        <v>42.99</v>
      </c>
      <c r="X153">
        <v>72.099999999999966</v>
      </c>
      <c r="Y153">
        <v>69.900000000000006</v>
      </c>
      <c r="Z153">
        <v>69.900000000000006</v>
      </c>
      <c r="AA153">
        <v>0</v>
      </c>
      <c r="AB153" t="s">
        <v>363</v>
      </c>
      <c r="AF153" t="s">
        <v>1269</v>
      </c>
      <c r="AG153" t="s">
        <v>1269</v>
      </c>
      <c r="AH153" t="s">
        <v>1175</v>
      </c>
      <c r="AI153">
        <v>99999</v>
      </c>
      <c r="AJ153">
        <v>99999</v>
      </c>
      <c r="AK153">
        <v>699</v>
      </c>
      <c r="AL153" t="b">
        <v>1</v>
      </c>
      <c r="AM153" t="b">
        <v>1</v>
      </c>
      <c r="AN153" t="b">
        <v>0</v>
      </c>
      <c r="AO153">
        <v>99999</v>
      </c>
      <c r="AP153" t="s">
        <v>64</v>
      </c>
      <c r="AR153" t="b">
        <v>0</v>
      </c>
      <c r="AS153">
        <v>12</v>
      </c>
      <c r="AT153" t="s">
        <v>327</v>
      </c>
      <c r="AV153" t="s">
        <v>1297</v>
      </c>
      <c r="CRL153">
        <v>12</v>
      </c>
    </row>
    <row r="154" spans="1:48 2508:2508" x14ac:dyDescent="0.25">
      <c r="A154" t="s">
        <v>3323</v>
      </c>
      <c r="B154" t="s">
        <v>302</v>
      </c>
      <c r="C154" t="s">
        <v>62</v>
      </c>
      <c r="D154">
        <v>99999</v>
      </c>
      <c r="F154" s="109">
        <v>10000</v>
      </c>
      <c r="G154" t="b">
        <v>0</v>
      </c>
      <c r="H154" t="s">
        <v>329</v>
      </c>
      <c r="K154" t="s">
        <v>393</v>
      </c>
      <c r="L154" t="s">
        <v>303</v>
      </c>
      <c r="M154" t="s">
        <v>323</v>
      </c>
      <c r="N154" t="s">
        <v>63</v>
      </c>
      <c r="O154" s="110">
        <v>39.9</v>
      </c>
      <c r="R154" s="110">
        <v>284.89</v>
      </c>
      <c r="S154" s="110">
        <v>79.900000000000006</v>
      </c>
      <c r="T154" s="110">
        <v>0</v>
      </c>
      <c r="U154" s="110">
        <v>42.99</v>
      </c>
      <c r="X154">
        <v>92.099999999999966</v>
      </c>
      <c r="Y154">
        <v>69.900000000000006</v>
      </c>
      <c r="Z154">
        <v>69.900000000000006</v>
      </c>
      <c r="AA154">
        <v>0</v>
      </c>
      <c r="AB154" t="s">
        <v>363</v>
      </c>
      <c r="AF154" t="s">
        <v>1403</v>
      </c>
      <c r="AG154" t="s">
        <v>1403</v>
      </c>
      <c r="AH154" t="s">
        <v>1175</v>
      </c>
      <c r="AI154">
        <v>99999</v>
      </c>
      <c r="AJ154">
        <v>99999</v>
      </c>
      <c r="AK154">
        <v>699</v>
      </c>
      <c r="AL154" t="b">
        <v>1</v>
      </c>
      <c r="AM154" t="b">
        <v>1</v>
      </c>
      <c r="AN154" t="b">
        <v>0</v>
      </c>
      <c r="AO154">
        <v>99999</v>
      </c>
      <c r="AP154" t="s">
        <v>64</v>
      </c>
      <c r="AR154" t="b">
        <v>0</v>
      </c>
      <c r="AS154">
        <v>12</v>
      </c>
      <c r="AT154" t="s">
        <v>327</v>
      </c>
      <c r="AV154" t="s">
        <v>1431</v>
      </c>
      <c r="CRL154">
        <v>12</v>
      </c>
    </row>
    <row r="155" spans="1:48 2508:2508" x14ac:dyDescent="0.25">
      <c r="A155" t="s">
        <v>3323</v>
      </c>
      <c r="B155" t="s">
        <v>302</v>
      </c>
      <c r="C155" t="s">
        <v>62</v>
      </c>
      <c r="D155">
        <v>99999</v>
      </c>
      <c r="F155" s="109">
        <v>10000</v>
      </c>
      <c r="G155" t="b">
        <v>0</v>
      </c>
      <c r="H155" t="s">
        <v>329</v>
      </c>
      <c r="K155" t="s">
        <v>393</v>
      </c>
      <c r="L155" t="s">
        <v>303</v>
      </c>
      <c r="M155" t="s">
        <v>323</v>
      </c>
      <c r="N155" t="s">
        <v>63</v>
      </c>
      <c r="O155" s="110">
        <v>39.9</v>
      </c>
      <c r="R155" s="110">
        <v>304.89</v>
      </c>
      <c r="S155" s="110">
        <v>85</v>
      </c>
      <c r="T155" s="110">
        <v>0</v>
      </c>
      <c r="U155" s="110">
        <v>42.99</v>
      </c>
      <c r="X155">
        <v>106.99999999999997</v>
      </c>
      <c r="Y155">
        <v>69.900000000000006</v>
      </c>
      <c r="Z155">
        <v>69.900000000000006</v>
      </c>
      <c r="AA155">
        <v>0</v>
      </c>
      <c r="AB155" t="s">
        <v>363</v>
      </c>
      <c r="AF155" t="s">
        <v>1551</v>
      </c>
      <c r="AG155" t="s">
        <v>1551</v>
      </c>
      <c r="AH155" t="s">
        <v>1175</v>
      </c>
      <c r="AI155">
        <v>99999</v>
      </c>
      <c r="AJ155">
        <v>99999</v>
      </c>
      <c r="AK155">
        <v>699</v>
      </c>
      <c r="AL155" t="b">
        <v>1</v>
      </c>
      <c r="AM155" t="b">
        <v>1</v>
      </c>
      <c r="AN155" t="b">
        <v>0</v>
      </c>
      <c r="AO155">
        <v>99999</v>
      </c>
      <c r="AP155" t="s">
        <v>64</v>
      </c>
      <c r="AR155" t="b">
        <v>0</v>
      </c>
      <c r="AS155">
        <v>12</v>
      </c>
      <c r="AT155" t="s">
        <v>327</v>
      </c>
      <c r="AV155" t="s">
        <v>1579</v>
      </c>
      <c r="CRL155">
        <v>12</v>
      </c>
    </row>
    <row r="156" spans="1:48 2508:2508" x14ac:dyDescent="0.25">
      <c r="A156" t="s">
        <v>3323</v>
      </c>
      <c r="B156" t="s">
        <v>302</v>
      </c>
      <c r="C156" t="s">
        <v>62</v>
      </c>
      <c r="D156">
        <v>99999</v>
      </c>
      <c r="F156" s="109">
        <v>10000</v>
      </c>
      <c r="G156" t="b">
        <v>0</v>
      </c>
      <c r="H156" t="s">
        <v>329</v>
      </c>
      <c r="K156" t="s">
        <v>393</v>
      </c>
      <c r="L156" t="s">
        <v>303</v>
      </c>
      <c r="M156" t="s">
        <v>323</v>
      </c>
      <c r="N156" t="s">
        <v>63</v>
      </c>
      <c r="O156" s="110">
        <v>49.9</v>
      </c>
      <c r="R156" s="110">
        <v>290.69</v>
      </c>
      <c r="S156" s="110">
        <v>130</v>
      </c>
      <c r="T156" s="110">
        <v>0</v>
      </c>
      <c r="U156" s="110">
        <v>34.99</v>
      </c>
      <c r="X156">
        <v>55.799999999999983</v>
      </c>
      <c r="Y156">
        <v>69.900000000000006</v>
      </c>
      <c r="Z156">
        <v>69.900000000000006</v>
      </c>
      <c r="AA156">
        <v>0</v>
      </c>
      <c r="AB156" t="s">
        <v>363</v>
      </c>
      <c r="AF156" t="s">
        <v>2771</v>
      </c>
      <c r="AG156" t="s">
        <v>2771</v>
      </c>
      <c r="AH156" t="s">
        <v>1175</v>
      </c>
      <c r="AI156">
        <v>99999</v>
      </c>
      <c r="AJ156">
        <v>99999</v>
      </c>
      <c r="AK156">
        <v>699</v>
      </c>
      <c r="AL156" t="b">
        <v>1</v>
      </c>
      <c r="AM156" t="b">
        <v>1</v>
      </c>
      <c r="AN156" t="b">
        <v>0</v>
      </c>
      <c r="AO156">
        <v>99999</v>
      </c>
      <c r="AP156" t="s">
        <v>64</v>
      </c>
      <c r="AR156" t="b">
        <v>0</v>
      </c>
      <c r="AS156">
        <v>12</v>
      </c>
      <c r="AT156" t="s">
        <v>327</v>
      </c>
      <c r="AV156" t="s">
        <v>2799</v>
      </c>
      <c r="CRL156">
        <v>12</v>
      </c>
    </row>
    <row r="157" spans="1:48 2508:2508" x14ac:dyDescent="0.25">
      <c r="A157" t="s">
        <v>3323</v>
      </c>
      <c r="B157" t="s">
        <v>302</v>
      </c>
      <c r="C157" t="s">
        <v>62</v>
      </c>
      <c r="D157">
        <v>99999</v>
      </c>
      <c r="F157" s="109">
        <v>10000</v>
      </c>
      <c r="G157" t="b">
        <v>0</v>
      </c>
      <c r="H157" t="s">
        <v>329</v>
      </c>
      <c r="K157" t="s">
        <v>393</v>
      </c>
      <c r="L157" t="s">
        <v>303</v>
      </c>
      <c r="M157" t="s">
        <v>323</v>
      </c>
      <c r="N157" t="s">
        <v>63</v>
      </c>
      <c r="O157" s="110">
        <v>49.9</v>
      </c>
      <c r="R157" s="110">
        <v>314.99</v>
      </c>
      <c r="S157" s="110">
        <v>130</v>
      </c>
      <c r="T157" s="110">
        <v>0</v>
      </c>
      <c r="U157" s="110">
        <v>42.99</v>
      </c>
      <c r="X157">
        <v>72.099999999999966</v>
      </c>
      <c r="Y157">
        <v>69.900000000000006</v>
      </c>
      <c r="Z157">
        <v>69.900000000000006</v>
      </c>
      <c r="AA157">
        <v>0</v>
      </c>
      <c r="AB157" t="s">
        <v>363</v>
      </c>
      <c r="AF157" t="s">
        <v>2845</v>
      </c>
      <c r="AG157" t="s">
        <v>2845</v>
      </c>
      <c r="AH157" t="s">
        <v>1175</v>
      </c>
      <c r="AI157">
        <v>99999</v>
      </c>
      <c r="AJ157">
        <v>99999</v>
      </c>
      <c r="AK157">
        <v>699</v>
      </c>
      <c r="AL157" t="b">
        <v>1</v>
      </c>
      <c r="AM157" t="b">
        <v>1</v>
      </c>
      <c r="AN157" t="b">
        <v>0</v>
      </c>
      <c r="AO157">
        <v>99999</v>
      </c>
      <c r="AP157" t="s">
        <v>64</v>
      </c>
      <c r="AR157" t="b">
        <v>0</v>
      </c>
      <c r="AS157">
        <v>12</v>
      </c>
      <c r="AT157" t="s">
        <v>327</v>
      </c>
      <c r="AV157" t="s">
        <v>2873</v>
      </c>
      <c r="CRL157">
        <v>12</v>
      </c>
    </row>
    <row r="158" spans="1:48 2508:2508" x14ac:dyDescent="0.25">
      <c r="A158" t="s">
        <v>3323</v>
      </c>
      <c r="B158" t="s">
        <v>302</v>
      </c>
      <c r="C158" t="s">
        <v>62</v>
      </c>
      <c r="D158">
        <v>99999</v>
      </c>
      <c r="F158" s="109">
        <v>10000</v>
      </c>
      <c r="G158" t="b">
        <v>0</v>
      </c>
      <c r="H158" t="s">
        <v>329</v>
      </c>
      <c r="K158" t="s">
        <v>393</v>
      </c>
      <c r="L158" t="s">
        <v>303</v>
      </c>
      <c r="M158" t="s">
        <v>323</v>
      </c>
      <c r="N158" t="s">
        <v>63</v>
      </c>
      <c r="O158" s="110">
        <v>49.9</v>
      </c>
      <c r="R158" s="110">
        <v>334.99</v>
      </c>
      <c r="S158" s="110">
        <v>130</v>
      </c>
      <c r="T158" s="110">
        <v>0</v>
      </c>
      <c r="U158" s="110">
        <v>42.99</v>
      </c>
      <c r="X158">
        <v>92.099999999999966</v>
      </c>
      <c r="Y158">
        <v>69.900000000000006</v>
      </c>
      <c r="Z158">
        <v>69.900000000000006</v>
      </c>
      <c r="AA158">
        <v>0</v>
      </c>
      <c r="AB158" t="s">
        <v>363</v>
      </c>
      <c r="AF158" t="s">
        <v>2912</v>
      </c>
      <c r="AG158" t="s">
        <v>2912</v>
      </c>
      <c r="AH158" t="s">
        <v>1175</v>
      </c>
      <c r="AI158">
        <v>99999</v>
      </c>
      <c r="AJ158">
        <v>99999</v>
      </c>
      <c r="AK158">
        <v>699</v>
      </c>
      <c r="AL158" t="b">
        <v>1</v>
      </c>
      <c r="AM158" t="b">
        <v>1</v>
      </c>
      <c r="AN158" t="b">
        <v>0</v>
      </c>
      <c r="AO158">
        <v>99999</v>
      </c>
      <c r="AP158" t="s">
        <v>64</v>
      </c>
      <c r="AR158" t="b">
        <v>0</v>
      </c>
      <c r="AS158">
        <v>12</v>
      </c>
      <c r="AT158" t="s">
        <v>327</v>
      </c>
      <c r="AV158" t="s">
        <v>2940</v>
      </c>
      <c r="CRL158">
        <v>12</v>
      </c>
    </row>
    <row r="159" spans="1:48 2508:2508" x14ac:dyDescent="0.25">
      <c r="A159" t="s">
        <v>3323</v>
      </c>
      <c r="B159" t="s">
        <v>302</v>
      </c>
      <c r="C159" t="s">
        <v>62</v>
      </c>
      <c r="D159">
        <v>99999</v>
      </c>
      <c r="F159" s="109">
        <v>10000</v>
      </c>
      <c r="G159" t="b">
        <v>0</v>
      </c>
      <c r="H159" t="s">
        <v>329</v>
      </c>
      <c r="K159" t="s">
        <v>393</v>
      </c>
      <c r="L159" t="s">
        <v>303</v>
      </c>
      <c r="M159" t="s">
        <v>323</v>
      </c>
      <c r="N159" t="s">
        <v>63</v>
      </c>
      <c r="O159" s="110">
        <v>49.9</v>
      </c>
      <c r="R159" s="110">
        <v>349.89</v>
      </c>
      <c r="S159" s="110">
        <v>130</v>
      </c>
      <c r="T159" s="110">
        <v>0</v>
      </c>
      <c r="U159" s="110">
        <v>42.99</v>
      </c>
      <c r="X159">
        <v>106.99999999999997</v>
      </c>
      <c r="Y159">
        <v>69.900000000000006</v>
      </c>
      <c r="Z159">
        <v>69.900000000000006</v>
      </c>
      <c r="AA159">
        <v>0</v>
      </c>
      <c r="AB159" t="s">
        <v>363</v>
      </c>
      <c r="AF159" t="s">
        <v>2986</v>
      </c>
      <c r="AG159" t="s">
        <v>2986</v>
      </c>
      <c r="AH159" t="s">
        <v>1175</v>
      </c>
      <c r="AI159">
        <v>99999</v>
      </c>
      <c r="AJ159">
        <v>99999</v>
      </c>
      <c r="AK159">
        <v>699</v>
      </c>
      <c r="AL159" t="b">
        <v>1</v>
      </c>
      <c r="AM159" t="b">
        <v>1</v>
      </c>
      <c r="AN159" t="b">
        <v>0</v>
      </c>
      <c r="AO159">
        <v>99999</v>
      </c>
      <c r="AP159" t="s">
        <v>64</v>
      </c>
      <c r="AR159" t="b">
        <v>0</v>
      </c>
      <c r="AS159">
        <v>12</v>
      </c>
      <c r="AT159" t="s">
        <v>327</v>
      </c>
      <c r="AV159" t="s">
        <v>3014</v>
      </c>
      <c r="CRL159">
        <v>12</v>
      </c>
    </row>
    <row r="160" spans="1:48 2508:2508" x14ac:dyDescent="0.25">
      <c r="A160" t="s">
        <v>3323</v>
      </c>
      <c r="B160" t="s">
        <v>302</v>
      </c>
      <c r="C160" t="s">
        <v>62</v>
      </c>
      <c r="D160">
        <v>99999</v>
      </c>
      <c r="F160" s="109">
        <v>10000</v>
      </c>
      <c r="G160" t="b">
        <v>0</v>
      </c>
      <c r="H160" t="s">
        <v>329</v>
      </c>
      <c r="K160" t="s">
        <v>364</v>
      </c>
      <c r="L160" t="s">
        <v>303</v>
      </c>
      <c r="M160" t="s">
        <v>323</v>
      </c>
      <c r="N160" t="s">
        <v>63</v>
      </c>
      <c r="O160" s="110">
        <v>29.9</v>
      </c>
      <c r="R160" s="110">
        <v>244.89</v>
      </c>
      <c r="S160" s="110">
        <v>79.900000000000006</v>
      </c>
      <c r="T160" s="110">
        <v>0</v>
      </c>
      <c r="U160" s="110">
        <v>42.99</v>
      </c>
      <c r="X160">
        <v>72.099999999999966</v>
      </c>
      <c r="Y160">
        <v>49.9</v>
      </c>
      <c r="Z160">
        <v>49.9</v>
      </c>
      <c r="AA160">
        <v>0</v>
      </c>
      <c r="AB160" t="s">
        <v>363</v>
      </c>
      <c r="AF160" t="s">
        <v>1202</v>
      </c>
      <c r="AG160" t="s">
        <v>1202</v>
      </c>
      <c r="AH160" t="s">
        <v>1175</v>
      </c>
      <c r="AI160">
        <v>99999</v>
      </c>
      <c r="AJ160">
        <v>99999</v>
      </c>
      <c r="AK160">
        <v>699</v>
      </c>
      <c r="AL160" t="b">
        <v>1</v>
      </c>
      <c r="AM160" t="b">
        <v>1</v>
      </c>
      <c r="AN160" t="b">
        <v>0</v>
      </c>
      <c r="AO160">
        <v>99999</v>
      </c>
      <c r="AP160" t="s">
        <v>64</v>
      </c>
      <c r="AR160" t="b">
        <v>0</v>
      </c>
      <c r="AS160">
        <v>12</v>
      </c>
      <c r="AT160" t="s">
        <v>327</v>
      </c>
      <c r="AV160" t="s">
        <v>1204</v>
      </c>
      <c r="CRL160">
        <v>12</v>
      </c>
    </row>
    <row r="161" spans="1:51 2508:2508" x14ac:dyDescent="0.25">
      <c r="A161" t="s">
        <v>3323</v>
      </c>
      <c r="B161" t="s">
        <v>302</v>
      </c>
      <c r="C161" t="s">
        <v>62</v>
      </c>
      <c r="D161">
        <v>99999</v>
      </c>
      <c r="F161" s="109">
        <v>10000</v>
      </c>
      <c r="G161" t="b">
        <v>0</v>
      </c>
      <c r="H161" t="s">
        <v>329</v>
      </c>
      <c r="K161" t="s">
        <v>364</v>
      </c>
      <c r="L161" t="s">
        <v>303</v>
      </c>
      <c r="M161" t="s">
        <v>323</v>
      </c>
      <c r="N161" t="s">
        <v>63</v>
      </c>
      <c r="O161" s="110">
        <v>29.9</v>
      </c>
      <c r="R161" s="110">
        <v>264.89</v>
      </c>
      <c r="S161" s="110">
        <v>79.900000000000006</v>
      </c>
      <c r="T161" s="110">
        <v>0</v>
      </c>
      <c r="U161" s="110">
        <v>42.99</v>
      </c>
      <c r="X161">
        <v>92.099999999999966</v>
      </c>
      <c r="Y161">
        <v>49.9</v>
      </c>
      <c r="Z161">
        <v>49.9</v>
      </c>
      <c r="AA161">
        <v>0</v>
      </c>
      <c r="AB161" t="s">
        <v>363</v>
      </c>
      <c r="AF161" t="s">
        <v>1336</v>
      </c>
      <c r="AG161" t="s">
        <v>1336</v>
      </c>
      <c r="AH161" t="s">
        <v>1175</v>
      </c>
      <c r="AI161">
        <v>99999</v>
      </c>
      <c r="AJ161">
        <v>99999</v>
      </c>
      <c r="AK161">
        <v>699</v>
      </c>
      <c r="AL161" t="b">
        <v>1</v>
      </c>
      <c r="AM161" t="b">
        <v>1</v>
      </c>
      <c r="AN161" t="b">
        <v>0</v>
      </c>
      <c r="AO161">
        <v>99999</v>
      </c>
      <c r="AP161" t="s">
        <v>64</v>
      </c>
      <c r="AR161" t="b">
        <v>0</v>
      </c>
      <c r="AS161">
        <v>12</v>
      </c>
      <c r="AT161" t="s">
        <v>327</v>
      </c>
      <c r="AV161" t="s">
        <v>1338</v>
      </c>
      <c r="AW161" s="108"/>
      <c r="AX161" s="108"/>
      <c r="AY161" s="108"/>
      <c r="CRL161">
        <v>12</v>
      </c>
    </row>
    <row r="162" spans="1:51 2508:2508" x14ac:dyDescent="0.25">
      <c r="A162" t="s">
        <v>3323</v>
      </c>
      <c r="B162" t="s">
        <v>302</v>
      </c>
      <c r="C162" t="s">
        <v>62</v>
      </c>
      <c r="D162">
        <v>99999</v>
      </c>
      <c r="F162" s="109">
        <v>10000</v>
      </c>
      <c r="G162" t="b">
        <v>0</v>
      </c>
      <c r="H162" t="s">
        <v>329</v>
      </c>
      <c r="K162" t="s">
        <v>364</v>
      </c>
      <c r="L162" t="s">
        <v>303</v>
      </c>
      <c r="M162" t="s">
        <v>323</v>
      </c>
      <c r="N162" t="s">
        <v>63</v>
      </c>
      <c r="O162" s="110">
        <v>29.9</v>
      </c>
      <c r="R162" s="110">
        <v>284.89</v>
      </c>
      <c r="S162" s="110">
        <v>85</v>
      </c>
      <c r="T162" s="110">
        <v>0</v>
      </c>
      <c r="U162" s="110">
        <v>42.99</v>
      </c>
      <c r="X162">
        <v>106.99999999999997</v>
      </c>
      <c r="Y162">
        <v>49.9</v>
      </c>
      <c r="Z162">
        <v>49.9</v>
      </c>
      <c r="AA162">
        <v>0</v>
      </c>
      <c r="AB162" t="s">
        <v>363</v>
      </c>
      <c r="AF162" t="s">
        <v>1484</v>
      </c>
      <c r="AG162" t="s">
        <v>1484</v>
      </c>
      <c r="AH162" t="s">
        <v>1175</v>
      </c>
      <c r="AI162">
        <v>99999</v>
      </c>
      <c r="AJ162">
        <v>99999</v>
      </c>
      <c r="AK162">
        <v>699</v>
      </c>
      <c r="AL162" t="b">
        <v>1</v>
      </c>
      <c r="AM162" t="b">
        <v>1</v>
      </c>
      <c r="AN162" t="b">
        <v>0</v>
      </c>
      <c r="AO162">
        <v>99999</v>
      </c>
      <c r="AP162" t="s">
        <v>64</v>
      </c>
      <c r="AR162" t="b">
        <v>0</v>
      </c>
      <c r="AS162">
        <v>12</v>
      </c>
      <c r="AT162" t="s">
        <v>327</v>
      </c>
      <c r="AV162" t="s">
        <v>1486</v>
      </c>
      <c r="CRL162">
        <v>12</v>
      </c>
    </row>
    <row r="163" spans="1:51 2508:2508" x14ac:dyDescent="0.25">
      <c r="A163" t="s">
        <v>3323</v>
      </c>
      <c r="B163" t="s">
        <v>302</v>
      </c>
      <c r="C163" t="s">
        <v>62</v>
      </c>
      <c r="D163">
        <v>99999</v>
      </c>
      <c r="F163" s="109">
        <v>10000</v>
      </c>
      <c r="G163" t="b">
        <v>0</v>
      </c>
      <c r="H163" t="s">
        <v>329</v>
      </c>
      <c r="K163" t="s">
        <v>364</v>
      </c>
      <c r="L163" t="s">
        <v>303</v>
      </c>
      <c r="M163" t="s">
        <v>323</v>
      </c>
      <c r="N163" t="s">
        <v>63</v>
      </c>
      <c r="O163" s="110">
        <v>39.9</v>
      </c>
      <c r="R163" s="110">
        <v>244.89</v>
      </c>
      <c r="S163" s="110">
        <v>79.900000000000006</v>
      </c>
      <c r="T163" s="110">
        <v>0</v>
      </c>
      <c r="U163" s="110">
        <v>42.99</v>
      </c>
      <c r="X163">
        <v>72.099999999999966</v>
      </c>
      <c r="Y163">
        <v>49.9</v>
      </c>
      <c r="Z163">
        <v>49.9</v>
      </c>
      <c r="AA163">
        <v>0</v>
      </c>
      <c r="AB163" t="s">
        <v>363</v>
      </c>
      <c r="AF163" t="s">
        <v>1269</v>
      </c>
      <c r="AG163" t="s">
        <v>1269</v>
      </c>
      <c r="AH163" t="s">
        <v>1175</v>
      </c>
      <c r="AI163">
        <v>99999</v>
      </c>
      <c r="AJ163">
        <v>99999</v>
      </c>
      <c r="AK163">
        <v>699</v>
      </c>
      <c r="AL163" t="b">
        <v>1</v>
      </c>
      <c r="AM163" t="b">
        <v>1</v>
      </c>
      <c r="AN163" t="b">
        <v>0</v>
      </c>
      <c r="AO163">
        <v>99999</v>
      </c>
      <c r="AP163" t="s">
        <v>64</v>
      </c>
      <c r="AR163" t="b">
        <v>0</v>
      </c>
      <c r="AS163">
        <v>12</v>
      </c>
      <c r="AT163" t="s">
        <v>327</v>
      </c>
      <c r="AV163" t="s">
        <v>1271</v>
      </c>
      <c r="CRL163">
        <v>12</v>
      </c>
    </row>
    <row r="164" spans="1:51 2508:2508" x14ac:dyDescent="0.25">
      <c r="A164" t="s">
        <v>3323</v>
      </c>
      <c r="B164" t="s">
        <v>302</v>
      </c>
      <c r="C164" t="s">
        <v>62</v>
      </c>
      <c r="D164">
        <v>99999</v>
      </c>
      <c r="F164" s="109">
        <v>10000</v>
      </c>
      <c r="G164" t="b">
        <v>0</v>
      </c>
      <c r="H164" t="s">
        <v>329</v>
      </c>
      <c r="K164" t="s">
        <v>364</v>
      </c>
      <c r="L164" t="s">
        <v>303</v>
      </c>
      <c r="M164" t="s">
        <v>323</v>
      </c>
      <c r="N164" t="s">
        <v>63</v>
      </c>
      <c r="O164" s="110">
        <v>39.9</v>
      </c>
      <c r="R164" s="110">
        <v>264.89</v>
      </c>
      <c r="S164" s="110">
        <v>79.900000000000006</v>
      </c>
      <c r="T164" s="110">
        <v>0</v>
      </c>
      <c r="U164" s="110">
        <v>42.99</v>
      </c>
      <c r="X164">
        <v>92.099999999999966</v>
      </c>
      <c r="Y164">
        <v>49.9</v>
      </c>
      <c r="Z164">
        <v>49.9</v>
      </c>
      <c r="AA164">
        <v>0</v>
      </c>
      <c r="AB164" t="s">
        <v>363</v>
      </c>
      <c r="AF164" t="s">
        <v>1403</v>
      </c>
      <c r="AG164" t="s">
        <v>1403</v>
      </c>
      <c r="AH164" t="s">
        <v>1175</v>
      </c>
      <c r="AI164">
        <v>99999</v>
      </c>
      <c r="AJ164">
        <v>99999</v>
      </c>
      <c r="AK164">
        <v>699</v>
      </c>
      <c r="AL164" t="b">
        <v>1</v>
      </c>
      <c r="AM164" t="b">
        <v>1</v>
      </c>
      <c r="AN164" t="b">
        <v>0</v>
      </c>
      <c r="AO164">
        <v>99999</v>
      </c>
      <c r="AP164" t="s">
        <v>64</v>
      </c>
      <c r="AR164" t="b">
        <v>0</v>
      </c>
      <c r="AS164">
        <v>12</v>
      </c>
      <c r="AT164" t="s">
        <v>327</v>
      </c>
      <c r="AV164" t="s">
        <v>1405</v>
      </c>
      <c r="CRL164">
        <v>12</v>
      </c>
    </row>
    <row r="165" spans="1:51 2508:2508" x14ac:dyDescent="0.25">
      <c r="A165" t="s">
        <v>3323</v>
      </c>
      <c r="B165" t="s">
        <v>302</v>
      </c>
      <c r="C165" t="s">
        <v>62</v>
      </c>
      <c r="D165">
        <v>99999</v>
      </c>
      <c r="F165" s="109">
        <v>10000</v>
      </c>
      <c r="G165" t="b">
        <v>0</v>
      </c>
      <c r="H165" t="s">
        <v>329</v>
      </c>
      <c r="K165" t="s">
        <v>364</v>
      </c>
      <c r="L165" t="s">
        <v>303</v>
      </c>
      <c r="M165" t="s">
        <v>323</v>
      </c>
      <c r="N165" t="s">
        <v>63</v>
      </c>
      <c r="O165" s="110">
        <v>39.9</v>
      </c>
      <c r="R165" s="110">
        <v>284.89</v>
      </c>
      <c r="S165" s="110">
        <v>85</v>
      </c>
      <c r="T165" s="110">
        <v>0</v>
      </c>
      <c r="U165" s="110">
        <v>42.99</v>
      </c>
      <c r="X165">
        <v>106.99999999999997</v>
      </c>
      <c r="Y165">
        <v>49.9</v>
      </c>
      <c r="Z165">
        <v>49.9</v>
      </c>
      <c r="AA165">
        <v>0</v>
      </c>
      <c r="AB165" t="s">
        <v>363</v>
      </c>
      <c r="AF165" t="s">
        <v>1551</v>
      </c>
      <c r="AG165" t="s">
        <v>1551</v>
      </c>
      <c r="AH165" t="s">
        <v>1175</v>
      </c>
      <c r="AI165">
        <v>99999</v>
      </c>
      <c r="AJ165">
        <v>99999</v>
      </c>
      <c r="AK165">
        <v>699</v>
      </c>
      <c r="AL165" t="b">
        <v>1</v>
      </c>
      <c r="AM165" t="b">
        <v>1</v>
      </c>
      <c r="AN165" t="b">
        <v>0</v>
      </c>
      <c r="AO165">
        <v>99999</v>
      </c>
      <c r="AP165" t="s">
        <v>64</v>
      </c>
      <c r="AR165" t="b">
        <v>0</v>
      </c>
      <c r="AS165">
        <v>12</v>
      </c>
      <c r="AT165" t="s">
        <v>327</v>
      </c>
      <c r="AV165" t="s">
        <v>1553</v>
      </c>
      <c r="CRL165">
        <v>12</v>
      </c>
    </row>
    <row r="166" spans="1:51 2508:2508" x14ac:dyDescent="0.25">
      <c r="A166" t="s">
        <v>3323</v>
      </c>
      <c r="B166" t="s">
        <v>302</v>
      </c>
      <c r="C166" t="s">
        <v>62</v>
      </c>
      <c r="D166">
        <v>99999</v>
      </c>
      <c r="F166" s="109">
        <v>10000</v>
      </c>
      <c r="G166" t="b">
        <v>0</v>
      </c>
      <c r="H166" t="s">
        <v>329</v>
      </c>
      <c r="K166" t="s">
        <v>364</v>
      </c>
      <c r="L166" t="s">
        <v>303</v>
      </c>
      <c r="M166" t="s">
        <v>323</v>
      </c>
      <c r="N166" t="s">
        <v>63</v>
      </c>
      <c r="O166" s="110">
        <v>49.9</v>
      </c>
      <c r="R166" s="110">
        <v>270.68999999999994</v>
      </c>
      <c r="S166" s="110">
        <v>130</v>
      </c>
      <c r="T166" s="110">
        <v>0</v>
      </c>
      <c r="U166" s="110">
        <v>34.99</v>
      </c>
      <c r="X166">
        <v>55.799999999999983</v>
      </c>
      <c r="Y166">
        <v>49.9</v>
      </c>
      <c r="Z166">
        <v>49.9</v>
      </c>
      <c r="AA166">
        <v>0</v>
      </c>
      <c r="AB166" t="s">
        <v>363</v>
      </c>
      <c r="AF166" t="s">
        <v>2771</v>
      </c>
      <c r="AG166" t="s">
        <v>2771</v>
      </c>
      <c r="AH166" t="s">
        <v>1175</v>
      </c>
      <c r="AI166">
        <v>99999</v>
      </c>
      <c r="AJ166">
        <v>99999</v>
      </c>
      <c r="AK166">
        <v>699</v>
      </c>
      <c r="AL166" t="b">
        <v>1</v>
      </c>
      <c r="AM166" t="b">
        <v>1</v>
      </c>
      <c r="AN166" t="b">
        <v>0</v>
      </c>
      <c r="AO166">
        <v>99999</v>
      </c>
      <c r="AP166" t="s">
        <v>64</v>
      </c>
      <c r="AR166" t="b">
        <v>0</v>
      </c>
      <c r="AS166">
        <v>12</v>
      </c>
      <c r="AT166" t="s">
        <v>327</v>
      </c>
      <c r="AV166" t="s">
        <v>2773</v>
      </c>
      <c r="CRL166">
        <v>12</v>
      </c>
    </row>
    <row r="167" spans="1:51 2508:2508" x14ac:dyDescent="0.25">
      <c r="A167" t="s">
        <v>3323</v>
      </c>
      <c r="B167" t="s">
        <v>302</v>
      </c>
      <c r="C167" t="s">
        <v>62</v>
      </c>
      <c r="D167">
        <v>99999</v>
      </c>
      <c r="F167" s="109">
        <v>10000</v>
      </c>
      <c r="G167" t="b">
        <v>0</v>
      </c>
      <c r="H167" t="s">
        <v>329</v>
      </c>
      <c r="K167" t="s">
        <v>364</v>
      </c>
      <c r="L167" t="s">
        <v>303</v>
      </c>
      <c r="M167" t="s">
        <v>323</v>
      </c>
      <c r="N167" t="s">
        <v>63</v>
      </c>
      <c r="O167" s="110">
        <v>49.9</v>
      </c>
      <c r="R167" s="110">
        <v>294.98999999999995</v>
      </c>
      <c r="S167" s="110">
        <v>130</v>
      </c>
      <c r="T167" s="110">
        <v>0</v>
      </c>
      <c r="U167" s="110">
        <v>42.99</v>
      </c>
      <c r="X167">
        <v>72.099999999999966</v>
      </c>
      <c r="Y167">
        <v>49.9</v>
      </c>
      <c r="Z167">
        <v>49.9</v>
      </c>
      <c r="AA167">
        <v>0</v>
      </c>
      <c r="AB167" t="s">
        <v>363</v>
      </c>
      <c r="AF167" t="s">
        <v>2845</v>
      </c>
      <c r="AG167" t="s">
        <v>2845</v>
      </c>
      <c r="AH167" t="s">
        <v>1175</v>
      </c>
      <c r="AI167">
        <v>99999</v>
      </c>
      <c r="AJ167">
        <v>99999</v>
      </c>
      <c r="AK167">
        <v>699</v>
      </c>
      <c r="AL167" t="b">
        <v>1</v>
      </c>
      <c r="AM167" t="b">
        <v>1</v>
      </c>
      <c r="AN167" t="b">
        <v>0</v>
      </c>
      <c r="AO167">
        <v>99999</v>
      </c>
      <c r="AP167" t="s">
        <v>64</v>
      </c>
      <c r="AR167" t="b">
        <v>0</v>
      </c>
      <c r="AS167">
        <v>12</v>
      </c>
      <c r="AT167" t="s">
        <v>327</v>
      </c>
      <c r="AV167" t="s">
        <v>2847</v>
      </c>
      <c r="CRL167">
        <v>12</v>
      </c>
    </row>
    <row r="168" spans="1:51 2508:2508" x14ac:dyDescent="0.25">
      <c r="A168" t="s">
        <v>3323</v>
      </c>
      <c r="B168" t="s">
        <v>302</v>
      </c>
      <c r="C168" t="s">
        <v>62</v>
      </c>
      <c r="D168">
        <v>99999</v>
      </c>
      <c r="F168" s="109">
        <v>10000</v>
      </c>
      <c r="G168" t="b">
        <v>0</v>
      </c>
      <c r="H168" t="s">
        <v>329</v>
      </c>
      <c r="K168" t="s">
        <v>364</v>
      </c>
      <c r="L168" t="s">
        <v>303</v>
      </c>
      <c r="M168" t="s">
        <v>323</v>
      </c>
      <c r="N168" t="s">
        <v>63</v>
      </c>
      <c r="O168" s="110">
        <v>49.9</v>
      </c>
      <c r="R168" s="110">
        <v>314.98999999999995</v>
      </c>
      <c r="S168" s="110">
        <v>130</v>
      </c>
      <c r="T168" s="110">
        <v>0</v>
      </c>
      <c r="U168" s="110">
        <v>42.99</v>
      </c>
      <c r="X168">
        <v>92.099999999999966</v>
      </c>
      <c r="Y168">
        <v>49.9</v>
      </c>
      <c r="Z168">
        <v>49.9</v>
      </c>
      <c r="AA168">
        <v>0</v>
      </c>
      <c r="AB168" t="s">
        <v>363</v>
      </c>
      <c r="AF168" t="s">
        <v>2912</v>
      </c>
      <c r="AG168" t="s">
        <v>2912</v>
      </c>
      <c r="AH168" t="s">
        <v>1175</v>
      </c>
      <c r="AI168">
        <v>99999</v>
      </c>
      <c r="AJ168">
        <v>99999</v>
      </c>
      <c r="AK168">
        <v>699</v>
      </c>
      <c r="AL168" t="b">
        <v>1</v>
      </c>
      <c r="AM168" t="b">
        <v>1</v>
      </c>
      <c r="AN168" t="b">
        <v>0</v>
      </c>
      <c r="AO168">
        <v>99999</v>
      </c>
      <c r="AP168" t="s">
        <v>64</v>
      </c>
      <c r="AR168" t="b">
        <v>0</v>
      </c>
      <c r="AS168">
        <v>12</v>
      </c>
      <c r="AT168" t="s">
        <v>327</v>
      </c>
      <c r="AV168" t="s">
        <v>2914</v>
      </c>
      <c r="CRL168">
        <v>12</v>
      </c>
    </row>
    <row r="169" spans="1:51 2508:2508" x14ac:dyDescent="0.25">
      <c r="A169" t="s">
        <v>3323</v>
      </c>
      <c r="B169" t="s">
        <v>302</v>
      </c>
      <c r="C169" t="s">
        <v>62</v>
      </c>
      <c r="D169">
        <v>99999</v>
      </c>
      <c r="F169" s="109">
        <v>10000</v>
      </c>
      <c r="G169" t="b">
        <v>0</v>
      </c>
      <c r="H169" t="s">
        <v>329</v>
      </c>
      <c r="K169" t="s">
        <v>364</v>
      </c>
      <c r="L169" t="s">
        <v>303</v>
      </c>
      <c r="M169" t="s">
        <v>323</v>
      </c>
      <c r="N169" t="s">
        <v>63</v>
      </c>
      <c r="O169" s="110">
        <v>49.9</v>
      </c>
      <c r="R169" s="110">
        <v>329.89</v>
      </c>
      <c r="S169" s="110">
        <v>130</v>
      </c>
      <c r="T169" s="110">
        <v>0</v>
      </c>
      <c r="U169" s="110">
        <v>42.99</v>
      </c>
      <c r="X169">
        <v>106.99999999999997</v>
      </c>
      <c r="Y169">
        <v>49.9</v>
      </c>
      <c r="Z169">
        <v>49.9</v>
      </c>
      <c r="AA169">
        <v>0</v>
      </c>
      <c r="AB169" t="s">
        <v>363</v>
      </c>
      <c r="AF169" t="s">
        <v>2986</v>
      </c>
      <c r="AG169" t="s">
        <v>2986</v>
      </c>
      <c r="AH169" t="s">
        <v>1175</v>
      </c>
      <c r="AI169">
        <v>99999</v>
      </c>
      <c r="AJ169">
        <v>99999</v>
      </c>
      <c r="AK169">
        <v>699</v>
      </c>
      <c r="AL169" t="b">
        <v>1</v>
      </c>
      <c r="AM169" t="b">
        <v>1</v>
      </c>
      <c r="AN169" t="b">
        <v>0</v>
      </c>
      <c r="AO169">
        <v>99999</v>
      </c>
      <c r="AP169" t="s">
        <v>64</v>
      </c>
      <c r="AR169" t="b">
        <v>0</v>
      </c>
      <c r="AS169">
        <v>12</v>
      </c>
      <c r="AT169" t="s">
        <v>327</v>
      </c>
      <c r="AV169" t="s">
        <v>2988</v>
      </c>
      <c r="CRL169">
        <v>12</v>
      </c>
    </row>
    <row r="170" spans="1:51 2508:2508" x14ac:dyDescent="0.25">
      <c r="A170" t="s">
        <v>3323</v>
      </c>
      <c r="B170" t="s">
        <v>302</v>
      </c>
      <c r="C170" t="s">
        <v>62</v>
      </c>
      <c r="D170">
        <v>99999</v>
      </c>
      <c r="F170" s="109">
        <v>10000</v>
      </c>
      <c r="G170" t="b">
        <v>0</v>
      </c>
      <c r="H170" t="s">
        <v>329</v>
      </c>
      <c r="K170" t="s">
        <v>379</v>
      </c>
      <c r="L170" t="s">
        <v>303</v>
      </c>
      <c r="M170" t="s">
        <v>323</v>
      </c>
      <c r="N170" t="s">
        <v>63</v>
      </c>
      <c r="O170" s="110">
        <v>29.9</v>
      </c>
      <c r="R170" s="110">
        <v>254.89</v>
      </c>
      <c r="S170" s="110">
        <v>79.900000000000006</v>
      </c>
      <c r="T170" s="110">
        <v>0</v>
      </c>
      <c r="U170" s="110">
        <v>42.99</v>
      </c>
      <c r="X170">
        <v>72.099999999999966</v>
      </c>
      <c r="Y170">
        <v>59.9</v>
      </c>
      <c r="Z170">
        <v>59.9</v>
      </c>
      <c r="AA170">
        <v>0</v>
      </c>
      <c r="AB170" t="s">
        <v>363</v>
      </c>
      <c r="AF170" t="s">
        <v>1202</v>
      </c>
      <c r="AG170" t="s">
        <v>1202</v>
      </c>
      <c r="AH170" t="s">
        <v>1175</v>
      </c>
      <c r="AI170">
        <v>99999</v>
      </c>
      <c r="AJ170">
        <v>99999</v>
      </c>
      <c r="AK170">
        <v>699</v>
      </c>
      <c r="AL170" t="b">
        <v>1</v>
      </c>
      <c r="AM170" t="b">
        <v>1</v>
      </c>
      <c r="AN170" t="b">
        <v>0</v>
      </c>
      <c r="AO170">
        <v>99999</v>
      </c>
      <c r="AP170" t="s">
        <v>64</v>
      </c>
      <c r="AR170" t="b">
        <v>0</v>
      </c>
      <c r="AS170">
        <v>12</v>
      </c>
      <c r="AT170" t="s">
        <v>327</v>
      </c>
      <c r="AV170" t="s">
        <v>1217</v>
      </c>
      <c r="CRL170">
        <v>12</v>
      </c>
    </row>
    <row r="171" spans="1:51 2508:2508" x14ac:dyDescent="0.25">
      <c r="A171" t="s">
        <v>3323</v>
      </c>
      <c r="B171" t="s">
        <v>302</v>
      </c>
      <c r="C171" t="s">
        <v>62</v>
      </c>
      <c r="D171">
        <v>99999</v>
      </c>
      <c r="F171" s="109">
        <v>10000</v>
      </c>
      <c r="G171" t="b">
        <v>0</v>
      </c>
      <c r="H171" t="s">
        <v>329</v>
      </c>
      <c r="K171" t="s">
        <v>379</v>
      </c>
      <c r="L171" t="s">
        <v>303</v>
      </c>
      <c r="M171" t="s">
        <v>323</v>
      </c>
      <c r="N171" t="s">
        <v>63</v>
      </c>
      <c r="O171" s="110">
        <v>29.9</v>
      </c>
      <c r="R171" s="110">
        <v>274.89</v>
      </c>
      <c r="S171" s="110">
        <v>79.900000000000006</v>
      </c>
      <c r="T171" s="110">
        <v>0</v>
      </c>
      <c r="U171" s="110">
        <v>42.99</v>
      </c>
      <c r="X171">
        <v>92.099999999999966</v>
      </c>
      <c r="Y171">
        <v>59.9</v>
      </c>
      <c r="Z171">
        <v>59.9</v>
      </c>
      <c r="AA171">
        <v>0</v>
      </c>
      <c r="AB171" t="s">
        <v>363</v>
      </c>
      <c r="AF171" t="s">
        <v>1336</v>
      </c>
      <c r="AG171" t="s">
        <v>1336</v>
      </c>
      <c r="AH171" t="s">
        <v>1175</v>
      </c>
      <c r="AI171">
        <v>99999</v>
      </c>
      <c r="AJ171">
        <v>99999</v>
      </c>
      <c r="AK171">
        <v>699</v>
      </c>
      <c r="AL171" t="b">
        <v>1</v>
      </c>
      <c r="AM171" t="b">
        <v>1</v>
      </c>
      <c r="AN171" t="b">
        <v>0</v>
      </c>
      <c r="AO171">
        <v>99999</v>
      </c>
      <c r="AP171" t="s">
        <v>64</v>
      </c>
      <c r="AR171" t="b">
        <v>0</v>
      </c>
      <c r="AS171">
        <v>12</v>
      </c>
      <c r="AT171" t="s">
        <v>327</v>
      </c>
      <c r="AV171" t="s">
        <v>1351</v>
      </c>
      <c r="CRL171">
        <v>12</v>
      </c>
    </row>
    <row r="172" spans="1:51 2508:2508" x14ac:dyDescent="0.25">
      <c r="A172" t="s">
        <v>3323</v>
      </c>
      <c r="B172" t="s">
        <v>302</v>
      </c>
      <c r="C172" t="s">
        <v>62</v>
      </c>
      <c r="D172">
        <v>99999</v>
      </c>
      <c r="F172" s="109">
        <v>10000</v>
      </c>
      <c r="G172" t="b">
        <v>0</v>
      </c>
      <c r="H172" t="s">
        <v>329</v>
      </c>
      <c r="K172" t="s">
        <v>379</v>
      </c>
      <c r="L172" t="s">
        <v>303</v>
      </c>
      <c r="M172" t="s">
        <v>323</v>
      </c>
      <c r="N172" t="s">
        <v>63</v>
      </c>
      <c r="O172" s="110">
        <v>29.9</v>
      </c>
      <c r="R172" s="110">
        <v>294.89</v>
      </c>
      <c r="S172" s="110">
        <v>85</v>
      </c>
      <c r="T172" s="110">
        <v>0</v>
      </c>
      <c r="U172" s="110">
        <v>42.99</v>
      </c>
      <c r="X172">
        <v>106.99999999999997</v>
      </c>
      <c r="Y172">
        <v>59.9</v>
      </c>
      <c r="Z172">
        <v>59.9</v>
      </c>
      <c r="AA172">
        <v>0</v>
      </c>
      <c r="AB172" t="s">
        <v>363</v>
      </c>
      <c r="AF172" t="s">
        <v>1484</v>
      </c>
      <c r="AG172" t="s">
        <v>1484</v>
      </c>
      <c r="AH172" t="s">
        <v>1175</v>
      </c>
      <c r="AI172">
        <v>99999</v>
      </c>
      <c r="AJ172">
        <v>99999</v>
      </c>
      <c r="AK172">
        <v>699</v>
      </c>
      <c r="AL172" t="b">
        <v>1</v>
      </c>
      <c r="AM172" t="b">
        <v>1</v>
      </c>
      <c r="AN172" t="b">
        <v>0</v>
      </c>
      <c r="AO172">
        <v>99999</v>
      </c>
      <c r="AP172" t="s">
        <v>64</v>
      </c>
      <c r="AR172" t="b">
        <v>0</v>
      </c>
      <c r="AS172">
        <v>12</v>
      </c>
      <c r="AT172" t="s">
        <v>327</v>
      </c>
      <c r="AV172" t="s">
        <v>1499</v>
      </c>
      <c r="CRL172">
        <v>12</v>
      </c>
    </row>
    <row r="173" spans="1:51 2508:2508" x14ac:dyDescent="0.25">
      <c r="A173" t="s">
        <v>3323</v>
      </c>
      <c r="B173" t="s">
        <v>302</v>
      </c>
      <c r="C173" t="s">
        <v>62</v>
      </c>
      <c r="D173">
        <v>99999</v>
      </c>
      <c r="F173" s="109">
        <v>10000</v>
      </c>
      <c r="G173" t="b">
        <v>0</v>
      </c>
      <c r="H173" t="s">
        <v>329</v>
      </c>
      <c r="K173" t="s">
        <v>379</v>
      </c>
      <c r="L173" t="s">
        <v>303</v>
      </c>
      <c r="M173" t="s">
        <v>323</v>
      </c>
      <c r="N173" t="s">
        <v>63</v>
      </c>
      <c r="O173" s="110">
        <v>39.9</v>
      </c>
      <c r="R173" s="110">
        <v>254.89</v>
      </c>
      <c r="S173" s="110">
        <v>79.900000000000006</v>
      </c>
      <c r="T173" s="110">
        <v>0</v>
      </c>
      <c r="U173" s="110">
        <v>42.99</v>
      </c>
      <c r="X173">
        <v>72.099999999999966</v>
      </c>
      <c r="Y173">
        <v>59.9</v>
      </c>
      <c r="Z173">
        <v>59.9</v>
      </c>
      <c r="AA173">
        <v>0</v>
      </c>
      <c r="AB173" t="s">
        <v>363</v>
      </c>
      <c r="AF173" t="s">
        <v>1269</v>
      </c>
      <c r="AG173" t="s">
        <v>1269</v>
      </c>
      <c r="AH173" t="s">
        <v>1175</v>
      </c>
      <c r="AI173">
        <v>99999</v>
      </c>
      <c r="AJ173">
        <v>99999</v>
      </c>
      <c r="AK173">
        <v>699</v>
      </c>
      <c r="AL173" t="b">
        <v>1</v>
      </c>
      <c r="AM173" t="b">
        <v>1</v>
      </c>
      <c r="AN173" t="b">
        <v>0</v>
      </c>
      <c r="AO173">
        <v>99999</v>
      </c>
      <c r="AP173" t="s">
        <v>64</v>
      </c>
      <c r="AR173" t="b">
        <v>0</v>
      </c>
      <c r="AS173">
        <v>12</v>
      </c>
      <c r="AT173" t="s">
        <v>327</v>
      </c>
      <c r="AV173" t="s">
        <v>1284</v>
      </c>
      <c r="CRL173">
        <v>12</v>
      </c>
    </row>
    <row r="174" spans="1:51 2508:2508" x14ac:dyDescent="0.25">
      <c r="A174" t="s">
        <v>3323</v>
      </c>
      <c r="B174" t="s">
        <v>302</v>
      </c>
      <c r="C174" t="s">
        <v>62</v>
      </c>
      <c r="D174">
        <v>99999</v>
      </c>
      <c r="F174" s="109">
        <v>10000</v>
      </c>
      <c r="G174" t="b">
        <v>0</v>
      </c>
      <c r="H174" t="s">
        <v>329</v>
      </c>
      <c r="K174" t="s">
        <v>379</v>
      </c>
      <c r="L174" t="s">
        <v>303</v>
      </c>
      <c r="M174" t="s">
        <v>323</v>
      </c>
      <c r="N174" t="s">
        <v>63</v>
      </c>
      <c r="O174" s="110">
        <v>39.9</v>
      </c>
      <c r="R174" s="110">
        <v>274.89</v>
      </c>
      <c r="S174" s="110">
        <v>79.900000000000006</v>
      </c>
      <c r="T174" s="110">
        <v>0</v>
      </c>
      <c r="U174" s="110">
        <v>42.99</v>
      </c>
      <c r="X174">
        <v>92.099999999999966</v>
      </c>
      <c r="Y174">
        <v>59.9</v>
      </c>
      <c r="Z174">
        <v>59.9</v>
      </c>
      <c r="AA174">
        <v>0</v>
      </c>
      <c r="AB174" t="s">
        <v>363</v>
      </c>
      <c r="AF174" t="s">
        <v>1403</v>
      </c>
      <c r="AG174" t="s">
        <v>1403</v>
      </c>
      <c r="AH174" t="s">
        <v>1175</v>
      </c>
      <c r="AI174">
        <v>99999</v>
      </c>
      <c r="AJ174">
        <v>99999</v>
      </c>
      <c r="AK174">
        <v>699</v>
      </c>
      <c r="AL174" t="b">
        <v>1</v>
      </c>
      <c r="AM174" t="b">
        <v>1</v>
      </c>
      <c r="AN174" t="b">
        <v>0</v>
      </c>
      <c r="AO174">
        <v>99999</v>
      </c>
      <c r="AP174" t="s">
        <v>64</v>
      </c>
      <c r="AR174" t="b">
        <v>0</v>
      </c>
      <c r="AS174">
        <v>12</v>
      </c>
      <c r="AT174" t="s">
        <v>327</v>
      </c>
      <c r="AV174" t="s">
        <v>1418</v>
      </c>
      <c r="CRL174">
        <v>12</v>
      </c>
    </row>
    <row r="175" spans="1:51 2508:2508" x14ac:dyDescent="0.25">
      <c r="A175" t="s">
        <v>3323</v>
      </c>
      <c r="B175" t="s">
        <v>302</v>
      </c>
      <c r="C175" t="s">
        <v>62</v>
      </c>
      <c r="D175">
        <v>99999</v>
      </c>
      <c r="F175" s="109">
        <v>10000</v>
      </c>
      <c r="G175" t="b">
        <v>0</v>
      </c>
      <c r="H175" t="s">
        <v>329</v>
      </c>
      <c r="K175" t="s">
        <v>379</v>
      </c>
      <c r="L175" t="s">
        <v>303</v>
      </c>
      <c r="M175" t="s">
        <v>323</v>
      </c>
      <c r="N175" t="s">
        <v>63</v>
      </c>
      <c r="O175" s="110">
        <v>39.9</v>
      </c>
      <c r="R175" s="110">
        <v>294.89</v>
      </c>
      <c r="S175" s="110">
        <v>85</v>
      </c>
      <c r="T175" s="110">
        <v>0</v>
      </c>
      <c r="U175" s="110">
        <v>42.99</v>
      </c>
      <c r="X175">
        <v>106.99999999999997</v>
      </c>
      <c r="Y175">
        <v>59.9</v>
      </c>
      <c r="Z175">
        <v>59.9</v>
      </c>
      <c r="AA175">
        <v>0</v>
      </c>
      <c r="AB175" t="s">
        <v>363</v>
      </c>
      <c r="AF175" t="s">
        <v>1551</v>
      </c>
      <c r="AG175" t="s">
        <v>1551</v>
      </c>
      <c r="AH175" t="s">
        <v>1175</v>
      </c>
      <c r="AI175">
        <v>99999</v>
      </c>
      <c r="AJ175">
        <v>99999</v>
      </c>
      <c r="AK175">
        <v>699</v>
      </c>
      <c r="AL175" t="b">
        <v>1</v>
      </c>
      <c r="AM175" t="b">
        <v>1</v>
      </c>
      <c r="AN175" t="b">
        <v>0</v>
      </c>
      <c r="AO175">
        <v>99999</v>
      </c>
      <c r="AP175" t="s">
        <v>64</v>
      </c>
      <c r="AR175" t="b">
        <v>0</v>
      </c>
      <c r="AS175">
        <v>12</v>
      </c>
      <c r="AT175" t="s">
        <v>327</v>
      </c>
      <c r="AV175" t="s">
        <v>1566</v>
      </c>
      <c r="CRL175">
        <v>12</v>
      </c>
    </row>
    <row r="176" spans="1:51 2508:2508" x14ac:dyDescent="0.25">
      <c r="A176" t="s">
        <v>3323</v>
      </c>
      <c r="B176" t="s">
        <v>302</v>
      </c>
      <c r="C176" t="s">
        <v>62</v>
      </c>
      <c r="D176">
        <v>99999</v>
      </c>
      <c r="F176" s="109">
        <v>10000</v>
      </c>
      <c r="G176" t="b">
        <v>0</v>
      </c>
      <c r="H176" t="s">
        <v>329</v>
      </c>
      <c r="K176" t="s">
        <v>379</v>
      </c>
      <c r="L176" t="s">
        <v>303</v>
      </c>
      <c r="M176" t="s">
        <v>323</v>
      </c>
      <c r="N176" t="s">
        <v>63</v>
      </c>
      <c r="O176" s="110">
        <v>49.9</v>
      </c>
      <c r="R176" s="110">
        <v>280.68999999999994</v>
      </c>
      <c r="S176" s="110">
        <v>130</v>
      </c>
      <c r="T176" s="110">
        <v>0</v>
      </c>
      <c r="U176" s="110">
        <v>34.99</v>
      </c>
      <c r="X176">
        <v>55.799999999999983</v>
      </c>
      <c r="Y176">
        <v>59.9</v>
      </c>
      <c r="Z176">
        <v>59.9</v>
      </c>
      <c r="AA176">
        <v>0</v>
      </c>
      <c r="AB176" t="s">
        <v>363</v>
      </c>
      <c r="AF176" t="s">
        <v>2771</v>
      </c>
      <c r="AG176" t="s">
        <v>2771</v>
      </c>
      <c r="AH176" t="s">
        <v>1175</v>
      </c>
      <c r="AI176">
        <v>99999</v>
      </c>
      <c r="AJ176">
        <v>99999</v>
      </c>
      <c r="AK176">
        <v>699</v>
      </c>
      <c r="AL176" t="b">
        <v>1</v>
      </c>
      <c r="AM176" t="b">
        <v>1</v>
      </c>
      <c r="AN176" t="b">
        <v>0</v>
      </c>
      <c r="AO176">
        <v>99999</v>
      </c>
      <c r="AP176" t="s">
        <v>64</v>
      </c>
      <c r="AR176" t="b">
        <v>0</v>
      </c>
      <c r="AS176">
        <v>12</v>
      </c>
      <c r="AT176" t="s">
        <v>327</v>
      </c>
      <c r="AV176" t="s">
        <v>2786</v>
      </c>
      <c r="CRL176">
        <v>12</v>
      </c>
    </row>
    <row r="177" spans="1:48 2508:2508" x14ac:dyDescent="0.25">
      <c r="A177" t="s">
        <v>3323</v>
      </c>
      <c r="B177" t="s">
        <v>302</v>
      </c>
      <c r="C177" t="s">
        <v>62</v>
      </c>
      <c r="D177">
        <v>99999</v>
      </c>
      <c r="F177" s="109">
        <v>10000</v>
      </c>
      <c r="G177" t="b">
        <v>0</v>
      </c>
      <c r="H177" t="s">
        <v>329</v>
      </c>
      <c r="K177" t="s">
        <v>379</v>
      </c>
      <c r="L177" t="s">
        <v>303</v>
      </c>
      <c r="M177" t="s">
        <v>323</v>
      </c>
      <c r="N177" t="s">
        <v>63</v>
      </c>
      <c r="O177" s="110">
        <v>49.9</v>
      </c>
      <c r="R177" s="110">
        <v>304.98999999999995</v>
      </c>
      <c r="S177" s="110">
        <v>130</v>
      </c>
      <c r="T177" s="110">
        <v>0</v>
      </c>
      <c r="U177" s="110">
        <v>42.99</v>
      </c>
      <c r="X177">
        <v>72.099999999999966</v>
      </c>
      <c r="Y177">
        <v>59.9</v>
      </c>
      <c r="Z177">
        <v>59.9</v>
      </c>
      <c r="AA177">
        <v>0</v>
      </c>
      <c r="AB177" t="s">
        <v>363</v>
      </c>
      <c r="AF177" t="s">
        <v>2845</v>
      </c>
      <c r="AG177" t="s">
        <v>2845</v>
      </c>
      <c r="AH177" t="s">
        <v>1175</v>
      </c>
      <c r="AI177">
        <v>99999</v>
      </c>
      <c r="AJ177">
        <v>99999</v>
      </c>
      <c r="AK177">
        <v>699</v>
      </c>
      <c r="AL177" t="b">
        <v>1</v>
      </c>
      <c r="AM177" t="b">
        <v>1</v>
      </c>
      <c r="AN177" t="b">
        <v>0</v>
      </c>
      <c r="AO177">
        <v>99999</v>
      </c>
      <c r="AP177" t="s">
        <v>64</v>
      </c>
      <c r="AR177" t="b">
        <v>0</v>
      </c>
      <c r="AS177">
        <v>12</v>
      </c>
      <c r="AT177" t="s">
        <v>327</v>
      </c>
      <c r="AV177" t="s">
        <v>2860</v>
      </c>
      <c r="CRL177">
        <v>12</v>
      </c>
    </row>
    <row r="178" spans="1:48 2508:2508" x14ac:dyDescent="0.25">
      <c r="A178" t="s">
        <v>3323</v>
      </c>
      <c r="B178" t="s">
        <v>302</v>
      </c>
      <c r="C178" t="s">
        <v>62</v>
      </c>
      <c r="D178">
        <v>99999</v>
      </c>
      <c r="F178" s="109">
        <v>10000</v>
      </c>
      <c r="G178" t="b">
        <v>0</v>
      </c>
      <c r="H178" t="s">
        <v>329</v>
      </c>
      <c r="K178" t="s">
        <v>379</v>
      </c>
      <c r="L178" t="s">
        <v>303</v>
      </c>
      <c r="M178" t="s">
        <v>323</v>
      </c>
      <c r="N178" t="s">
        <v>63</v>
      </c>
      <c r="O178" s="110">
        <v>49.9</v>
      </c>
      <c r="R178" s="110">
        <v>324.98999999999995</v>
      </c>
      <c r="S178" s="110">
        <v>130</v>
      </c>
      <c r="T178" s="110">
        <v>0</v>
      </c>
      <c r="U178" s="110">
        <v>42.99</v>
      </c>
      <c r="X178">
        <v>92.099999999999966</v>
      </c>
      <c r="Y178">
        <v>59.9</v>
      </c>
      <c r="Z178">
        <v>59.9</v>
      </c>
      <c r="AA178">
        <v>0</v>
      </c>
      <c r="AB178" t="s">
        <v>363</v>
      </c>
      <c r="AF178" t="s">
        <v>2912</v>
      </c>
      <c r="AG178" t="s">
        <v>2912</v>
      </c>
      <c r="AH178" t="s">
        <v>1175</v>
      </c>
      <c r="AI178">
        <v>99999</v>
      </c>
      <c r="AJ178">
        <v>99999</v>
      </c>
      <c r="AK178">
        <v>699</v>
      </c>
      <c r="AL178" t="b">
        <v>1</v>
      </c>
      <c r="AM178" t="b">
        <v>1</v>
      </c>
      <c r="AN178" t="b">
        <v>0</v>
      </c>
      <c r="AO178">
        <v>99999</v>
      </c>
      <c r="AP178" t="s">
        <v>64</v>
      </c>
      <c r="AR178" t="b">
        <v>0</v>
      </c>
      <c r="AS178">
        <v>12</v>
      </c>
      <c r="AT178" t="s">
        <v>327</v>
      </c>
      <c r="AV178" t="s">
        <v>2927</v>
      </c>
      <c r="CRL178">
        <v>12</v>
      </c>
    </row>
    <row r="179" spans="1:48 2508:2508" x14ac:dyDescent="0.25">
      <c r="A179" t="s">
        <v>3323</v>
      </c>
      <c r="B179" t="s">
        <v>302</v>
      </c>
      <c r="C179" t="s">
        <v>62</v>
      </c>
      <c r="D179">
        <v>99999</v>
      </c>
      <c r="F179" s="109">
        <v>10000</v>
      </c>
      <c r="G179" t="b">
        <v>0</v>
      </c>
      <c r="H179" t="s">
        <v>329</v>
      </c>
      <c r="K179" t="s">
        <v>379</v>
      </c>
      <c r="L179" t="s">
        <v>303</v>
      </c>
      <c r="M179" t="s">
        <v>323</v>
      </c>
      <c r="N179" t="s">
        <v>63</v>
      </c>
      <c r="O179" s="110">
        <v>49.9</v>
      </c>
      <c r="R179" s="110">
        <v>339.89</v>
      </c>
      <c r="S179" s="110">
        <v>130</v>
      </c>
      <c r="T179" s="110">
        <v>0</v>
      </c>
      <c r="U179" s="110">
        <v>42.99</v>
      </c>
      <c r="X179">
        <v>106.99999999999997</v>
      </c>
      <c r="Y179">
        <v>59.9</v>
      </c>
      <c r="Z179">
        <v>59.9</v>
      </c>
      <c r="AA179">
        <v>0</v>
      </c>
      <c r="AB179" t="s">
        <v>363</v>
      </c>
      <c r="AF179" t="s">
        <v>2986</v>
      </c>
      <c r="AG179" t="s">
        <v>2986</v>
      </c>
      <c r="AH179" t="s">
        <v>1175</v>
      </c>
      <c r="AI179">
        <v>99999</v>
      </c>
      <c r="AJ179">
        <v>99999</v>
      </c>
      <c r="AK179">
        <v>699</v>
      </c>
      <c r="AL179" t="b">
        <v>1</v>
      </c>
      <c r="AM179" t="b">
        <v>1</v>
      </c>
      <c r="AN179" t="b">
        <v>0</v>
      </c>
      <c r="AO179">
        <v>99999</v>
      </c>
      <c r="AP179" t="s">
        <v>64</v>
      </c>
      <c r="AR179" t="b">
        <v>0</v>
      </c>
      <c r="AS179">
        <v>12</v>
      </c>
      <c r="AT179" t="s">
        <v>327</v>
      </c>
      <c r="AV179" t="s">
        <v>3001</v>
      </c>
      <c r="CRL179">
        <v>12</v>
      </c>
    </row>
    <row r="180" spans="1:48 2508:2508" x14ac:dyDescent="0.25">
      <c r="A180" t="s">
        <v>3323</v>
      </c>
      <c r="B180" t="s">
        <v>302</v>
      </c>
      <c r="C180" t="s">
        <v>62</v>
      </c>
      <c r="D180">
        <v>99999</v>
      </c>
      <c r="F180" s="109">
        <v>10000</v>
      </c>
      <c r="G180" t="b">
        <v>0</v>
      </c>
      <c r="H180" t="s">
        <v>329</v>
      </c>
      <c r="K180" t="s">
        <v>61</v>
      </c>
      <c r="L180" t="s">
        <v>303</v>
      </c>
      <c r="M180" t="s">
        <v>323</v>
      </c>
      <c r="N180" t="s">
        <v>63</v>
      </c>
      <c r="O180" s="110">
        <v>29.9</v>
      </c>
      <c r="R180" s="110">
        <v>239.89</v>
      </c>
      <c r="S180" s="110">
        <v>79.900000000000006</v>
      </c>
      <c r="T180" s="110">
        <v>0</v>
      </c>
      <c r="U180" s="110">
        <v>42.99</v>
      </c>
      <c r="X180">
        <v>72.099999999999966</v>
      </c>
      <c r="Y180">
        <v>44.9</v>
      </c>
      <c r="Z180">
        <v>44.9</v>
      </c>
      <c r="AA180">
        <v>0</v>
      </c>
      <c r="AB180" t="s">
        <v>324</v>
      </c>
      <c r="AF180" t="s">
        <v>1174</v>
      </c>
      <c r="AG180" t="s">
        <v>1174</v>
      </c>
      <c r="AH180" t="s">
        <v>1175</v>
      </c>
      <c r="AI180">
        <v>99999</v>
      </c>
      <c r="AJ180">
        <v>99999</v>
      </c>
      <c r="AK180">
        <v>699</v>
      </c>
      <c r="AL180" t="b">
        <v>1</v>
      </c>
      <c r="AM180" t="b">
        <v>1</v>
      </c>
      <c r="AN180" t="b">
        <v>0</v>
      </c>
      <c r="AO180">
        <v>99999</v>
      </c>
      <c r="AP180" t="s">
        <v>64</v>
      </c>
      <c r="AR180" t="b">
        <v>0</v>
      </c>
      <c r="AS180">
        <v>12</v>
      </c>
      <c r="AT180" t="s">
        <v>327</v>
      </c>
      <c r="AV180" t="s">
        <v>1177</v>
      </c>
      <c r="CRL180">
        <v>12</v>
      </c>
    </row>
    <row r="181" spans="1:48 2508:2508" x14ac:dyDescent="0.25">
      <c r="A181" t="s">
        <v>3323</v>
      </c>
      <c r="B181" t="s">
        <v>302</v>
      </c>
      <c r="C181" t="s">
        <v>62</v>
      </c>
      <c r="D181">
        <v>99999</v>
      </c>
      <c r="F181" s="109">
        <v>10000</v>
      </c>
      <c r="G181" t="b">
        <v>0</v>
      </c>
      <c r="H181" t="s">
        <v>329</v>
      </c>
      <c r="K181" t="s">
        <v>61</v>
      </c>
      <c r="L181" t="s">
        <v>303</v>
      </c>
      <c r="M181" t="s">
        <v>323</v>
      </c>
      <c r="N181" t="s">
        <v>63</v>
      </c>
      <c r="O181" s="110">
        <v>29.9</v>
      </c>
      <c r="R181" s="110">
        <v>259.89</v>
      </c>
      <c r="S181" s="110">
        <v>79.900000000000006</v>
      </c>
      <c r="T181" s="110">
        <v>0</v>
      </c>
      <c r="U181" s="110">
        <v>42.99</v>
      </c>
      <c r="X181">
        <v>92.099999999999966</v>
      </c>
      <c r="Y181">
        <v>44.9</v>
      </c>
      <c r="Z181">
        <v>44.9</v>
      </c>
      <c r="AA181">
        <v>0</v>
      </c>
      <c r="AB181" t="s">
        <v>324</v>
      </c>
      <c r="AF181" t="s">
        <v>1309</v>
      </c>
      <c r="AG181" t="s">
        <v>1309</v>
      </c>
      <c r="AH181" t="s">
        <v>1175</v>
      </c>
      <c r="AI181">
        <v>99999</v>
      </c>
      <c r="AJ181">
        <v>99999</v>
      </c>
      <c r="AK181">
        <v>699</v>
      </c>
      <c r="AL181" t="b">
        <v>1</v>
      </c>
      <c r="AM181" t="b">
        <v>1</v>
      </c>
      <c r="AN181" t="b">
        <v>0</v>
      </c>
      <c r="AO181">
        <v>99999</v>
      </c>
      <c r="AP181" t="s">
        <v>64</v>
      </c>
      <c r="AR181" t="b">
        <v>0</v>
      </c>
      <c r="AS181">
        <v>12</v>
      </c>
      <c r="AT181" t="s">
        <v>327</v>
      </c>
      <c r="AV181" t="s">
        <v>1311</v>
      </c>
      <c r="CRL181">
        <v>12</v>
      </c>
    </row>
    <row r="182" spans="1:48 2508:2508" x14ac:dyDescent="0.25">
      <c r="A182" t="s">
        <v>3323</v>
      </c>
      <c r="B182" t="s">
        <v>302</v>
      </c>
      <c r="C182" t="s">
        <v>62</v>
      </c>
      <c r="D182">
        <v>99999</v>
      </c>
      <c r="F182" s="109">
        <v>10000</v>
      </c>
      <c r="G182" t="b">
        <v>0</v>
      </c>
      <c r="H182" t="s">
        <v>329</v>
      </c>
      <c r="K182" t="s">
        <v>61</v>
      </c>
      <c r="L182" t="s">
        <v>303</v>
      </c>
      <c r="M182" t="s">
        <v>323</v>
      </c>
      <c r="N182" t="s">
        <v>63</v>
      </c>
      <c r="O182" s="110">
        <v>29.9</v>
      </c>
      <c r="R182" s="110">
        <v>279.89</v>
      </c>
      <c r="S182" s="110">
        <v>85</v>
      </c>
      <c r="T182" s="110">
        <v>0</v>
      </c>
      <c r="U182" s="110">
        <v>42.99</v>
      </c>
      <c r="X182">
        <v>106.99999999999997</v>
      </c>
      <c r="Y182">
        <v>44.9</v>
      </c>
      <c r="Z182">
        <v>44.9</v>
      </c>
      <c r="AA182">
        <v>0</v>
      </c>
      <c r="AB182" t="s">
        <v>324</v>
      </c>
      <c r="AF182" t="s">
        <v>1457</v>
      </c>
      <c r="AG182" t="s">
        <v>1457</v>
      </c>
      <c r="AH182" t="s">
        <v>1175</v>
      </c>
      <c r="AI182">
        <v>99999</v>
      </c>
      <c r="AJ182">
        <v>99999</v>
      </c>
      <c r="AK182">
        <v>699</v>
      </c>
      <c r="AL182" t="b">
        <v>1</v>
      </c>
      <c r="AM182" t="b">
        <v>1</v>
      </c>
      <c r="AN182" t="b">
        <v>0</v>
      </c>
      <c r="AO182">
        <v>99999</v>
      </c>
      <c r="AP182" t="s">
        <v>64</v>
      </c>
      <c r="AR182" t="b">
        <v>0</v>
      </c>
      <c r="AS182">
        <v>12</v>
      </c>
      <c r="AT182" t="s">
        <v>327</v>
      </c>
      <c r="AV182" t="s">
        <v>1459</v>
      </c>
      <c r="CRL182">
        <v>12</v>
      </c>
    </row>
    <row r="183" spans="1:48 2508:2508" x14ac:dyDescent="0.25">
      <c r="A183" t="s">
        <v>3323</v>
      </c>
      <c r="B183" t="s">
        <v>302</v>
      </c>
      <c r="C183" t="s">
        <v>62</v>
      </c>
      <c r="D183">
        <v>99999</v>
      </c>
      <c r="F183" s="109">
        <v>10000</v>
      </c>
      <c r="G183" t="b">
        <v>0</v>
      </c>
      <c r="H183" t="s">
        <v>329</v>
      </c>
      <c r="K183" t="s">
        <v>61</v>
      </c>
      <c r="L183" t="s">
        <v>303</v>
      </c>
      <c r="M183" t="s">
        <v>323</v>
      </c>
      <c r="N183" t="s">
        <v>63</v>
      </c>
      <c r="O183" s="110">
        <v>39.9</v>
      </c>
      <c r="R183" s="110">
        <v>239.89</v>
      </c>
      <c r="S183" s="110">
        <v>79.900000000000006</v>
      </c>
      <c r="T183" s="110">
        <v>0</v>
      </c>
      <c r="U183" s="110">
        <v>42.99</v>
      </c>
      <c r="X183">
        <v>72.099999999999966</v>
      </c>
      <c r="Y183">
        <v>44.9</v>
      </c>
      <c r="Z183">
        <v>44.9</v>
      </c>
      <c r="AA183">
        <v>0</v>
      </c>
      <c r="AB183" t="s">
        <v>324</v>
      </c>
      <c r="AF183" t="s">
        <v>1242</v>
      </c>
      <c r="AG183" t="s">
        <v>1242</v>
      </c>
      <c r="AH183" t="s">
        <v>1175</v>
      </c>
      <c r="AI183">
        <v>99999</v>
      </c>
      <c r="AJ183">
        <v>99999</v>
      </c>
      <c r="AK183">
        <v>699</v>
      </c>
      <c r="AL183" t="b">
        <v>1</v>
      </c>
      <c r="AM183" t="b">
        <v>1</v>
      </c>
      <c r="AN183" t="b">
        <v>0</v>
      </c>
      <c r="AO183">
        <v>99999</v>
      </c>
      <c r="AP183" t="s">
        <v>64</v>
      </c>
      <c r="AR183" t="b">
        <v>0</v>
      </c>
      <c r="AS183">
        <v>12</v>
      </c>
      <c r="AT183" t="s">
        <v>327</v>
      </c>
      <c r="AV183" t="s">
        <v>1244</v>
      </c>
      <c r="CRL183">
        <v>12</v>
      </c>
    </row>
    <row r="184" spans="1:48 2508:2508" x14ac:dyDescent="0.25">
      <c r="A184" t="s">
        <v>3323</v>
      </c>
      <c r="B184" t="s">
        <v>302</v>
      </c>
      <c r="C184" t="s">
        <v>62</v>
      </c>
      <c r="D184">
        <v>99999</v>
      </c>
      <c r="F184" s="109">
        <v>10000</v>
      </c>
      <c r="G184" t="b">
        <v>0</v>
      </c>
      <c r="H184" t="s">
        <v>329</v>
      </c>
      <c r="K184" t="s">
        <v>61</v>
      </c>
      <c r="L184" t="s">
        <v>303</v>
      </c>
      <c r="M184" t="s">
        <v>323</v>
      </c>
      <c r="N184" t="s">
        <v>63</v>
      </c>
      <c r="O184" s="110">
        <v>39.9</v>
      </c>
      <c r="R184" s="110">
        <v>259.89</v>
      </c>
      <c r="S184" s="110">
        <v>79.900000000000006</v>
      </c>
      <c r="T184" s="110">
        <v>0</v>
      </c>
      <c r="U184" s="110">
        <v>42.99</v>
      </c>
      <c r="X184">
        <v>92.099999999999966</v>
      </c>
      <c r="Y184">
        <v>44.9</v>
      </c>
      <c r="Z184">
        <v>44.9</v>
      </c>
      <c r="AA184">
        <v>0</v>
      </c>
      <c r="AB184" t="s">
        <v>324</v>
      </c>
      <c r="AF184" t="s">
        <v>1376</v>
      </c>
      <c r="AG184" t="s">
        <v>1376</v>
      </c>
      <c r="AH184" t="s">
        <v>1175</v>
      </c>
      <c r="AI184">
        <v>99999</v>
      </c>
      <c r="AJ184">
        <v>99999</v>
      </c>
      <c r="AK184">
        <v>699</v>
      </c>
      <c r="AL184" t="b">
        <v>1</v>
      </c>
      <c r="AM184" t="b">
        <v>1</v>
      </c>
      <c r="AN184" t="b">
        <v>0</v>
      </c>
      <c r="AO184">
        <v>99999</v>
      </c>
      <c r="AP184" t="s">
        <v>64</v>
      </c>
      <c r="AR184" t="b">
        <v>0</v>
      </c>
      <c r="AS184">
        <v>12</v>
      </c>
      <c r="AT184" t="s">
        <v>327</v>
      </c>
      <c r="AV184" t="s">
        <v>1378</v>
      </c>
      <c r="CRL184">
        <v>12</v>
      </c>
    </row>
    <row r="185" spans="1:48 2508:2508" x14ac:dyDescent="0.25">
      <c r="A185" t="s">
        <v>3323</v>
      </c>
      <c r="B185" t="s">
        <v>302</v>
      </c>
      <c r="C185" t="s">
        <v>62</v>
      </c>
      <c r="D185">
        <v>99999</v>
      </c>
      <c r="F185" s="109">
        <v>10000</v>
      </c>
      <c r="G185" t="b">
        <v>0</v>
      </c>
      <c r="H185" t="s">
        <v>329</v>
      </c>
      <c r="K185" t="s">
        <v>61</v>
      </c>
      <c r="L185" t="s">
        <v>303</v>
      </c>
      <c r="M185" t="s">
        <v>323</v>
      </c>
      <c r="N185" t="s">
        <v>63</v>
      </c>
      <c r="O185" s="110">
        <v>39.9</v>
      </c>
      <c r="R185" s="110">
        <v>279.89</v>
      </c>
      <c r="S185" s="110">
        <v>85</v>
      </c>
      <c r="T185" s="110">
        <v>0</v>
      </c>
      <c r="U185" s="110">
        <v>42.99</v>
      </c>
      <c r="X185">
        <v>106.99999999999997</v>
      </c>
      <c r="Y185">
        <v>44.9</v>
      </c>
      <c r="Z185">
        <v>44.9</v>
      </c>
      <c r="AA185">
        <v>0</v>
      </c>
      <c r="AB185" t="s">
        <v>324</v>
      </c>
      <c r="AF185" t="s">
        <v>1524</v>
      </c>
      <c r="AG185" t="s">
        <v>1524</v>
      </c>
      <c r="AH185" t="s">
        <v>1175</v>
      </c>
      <c r="AI185">
        <v>99999</v>
      </c>
      <c r="AJ185">
        <v>99999</v>
      </c>
      <c r="AK185">
        <v>699</v>
      </c>
      <c r="AL185" t="b">
        <v>1</v>
      </c>
      <c r="AM185" t="b">
        <v>1</v>
      </c>
      <c r="AN185" t="b">
        <v>0</v>
      </c>
      <c r="AO185">
        <v>99999</v>
      </c>
      <c r="AP185" t="s">
        <v>64</v>
      </c>
      <c r="AR185" t="b">
        <v>0</v>
      </c>
      <c r="AS185">
        <v>12</v>
      </c>
      <c r="AT185" t="s">
        <v>327</v>
      </c>
      <c r="AV185" t="s">
        <v>1526</v>
      </c>
      <c r="CRL185">
        <v>12</v>
      </c>
    </row>
    <row r="186" spans="1:48 2508:2508" x14ac:dyDescent="0.25">
      <c r="A186" t="s">
        <v>3323</v>
      </c>
      <c r="B186" t="s">
        <v>302</v>
      </c>
      <c r="C186" t="s">
        <v>62</v>
      </c>
      <c r="D186">
        <v>99999</v>
      </c>
      <c r="F186" s="109">
        <v>10000</v>
      </c>
      <c r="G186" t="b">
        <v>0</v>
      </c>
      <c r="H186" t="s">
        <v>329</v>
      </c>
      <c r="K186" t="s">
        <v>61</v>
      </c>
      <c r="L186" t="s">
        <v>303</v>
      </c>
      <c r="M186" t="s">
        <v>323</v>
      </c>
      <c r="N186" t="s">
        <v>63</v>
      </c>
      <c r="O186" s="110">
        <v>49.9</v>
      </c>
      <c r="R186" s="110">
        <v>265.68999999999994</v>
      </c>
      <c r="S186" s="110">
        <v>130</v>
      </c>
      <c r="T186" s="110">
        <v>0</v>
      </c>
      <c r="U186" s="110">
        <v>34.99</v>
      </c>
      <c r="X186">
        <v>55.799999999999983</v>
      </c>
      <c r="Y186">
        <v>44.9</v>
      </c>
      <c r="Z186">
        <v>44.9</v>
      </c>
      <c r="AA186">
        <v>0</v>
      </c>
      <c r="AB186" t="s">
        <v>324</v>
      </c>
      <c r="AF186" t="s">
        <v>2744</v>
      </c>
      <c r="AG186" t="s">
        <v>2744</v>
      </c>
      <c r="AH186" t="s">
        <v>1175</v>
      </c>
      <c r="AI186">
        <v>99999</v>
      </c>
      <c r="AJ186">
        <v>99999</v>
      </c>
      <c r="AK186">
        <v>699</v>
      </c>
      <c r="AL186" t="b">
        <v>1</v>
      </c>
      <c r="AM186" t="b">
        <v>1</v>
      </c>
      <c r="AN186" t="b">
        <v>0</v>
      </c>
      <c r="AO186">
        <v>99999</v>
      </c>
      <c r="AP186" t="s">
        <v>64</v>
      </c>
      <c r="AR186" t="b">
        <v>0</v>
      </c>
      <c r="AS186">
        <v>12</v>
      </c>
      <c r="AT186" t="s">
        <v>327</v>
      </c>
      <c r="AV186" t="s">
        <v>2746</v>
      </c>
      <c r="CRL186">
        <v>12</v>
      </c>
    </row>
    <row r="187" spans="1:48 2508:2508" x14ac:dyDescent="0.25">
      <c r="A187" t="s">
        <v>3323</v>
      </c>
      <c r="B187" t="s">
        <v>302</v>
      </c>
      <c r="C187" t="s">
        <v>62</v>
      </c>
      <c r="D187">
        <v>99999</v>
      </c>
      <c r="F187" s="109">
        <v>10000</v>
      </c>
      <c r="G187" t="b">
        <v>0</v>
      </c>
      <c r="H187" t="s">
        <v>329</v>
      </c>
      <c r="K187" t="s">
        <v>61</v>
      </c>
      <c r="L187" t="s">
        <v>303</v>
      </c>
      <c r="M187" t="s">
        <v>323</v>
      </c>
      <c r="N187" t="s">
        <v>63</v>
      </c>
      <c r="O187" s="110">
        <v>49.9</v>
      </c>
      <c r="R187" s="110">
        <v>289.98999999999995</v>
      </c>
      <c r="S187" s="110">
        <v>130</v>
      </c>
      <c r="T187" s="110">
        <v>0</v>
      </c>
      <c r="U187" s="110">
        <v>42.99</v>
      </c>
      <c r="X187">
        <v>72.099999999999966</v>
      </c>
      <c r="Y187">
        <v>44.9</v>
      </c>
      <c r="Z187">
        <v>44.9</v>
      </c>
      <c r="AA187">
        <v>0</v>
      </c>
      <c r="AB187" t="s">
        <v>324</v>
      </c>
      <c r="AF187" t="s">
        <v>2818</v>
      </c>
      <c r="AG187" t="s">
        <v>2818</v>
      </c>
      <c r="AH187" t="s">
        <v>1175</v>
      </c>
      <c r="AI187">
        <v>99999</v>
      </c>
      <c r="AJ187">
        <v>99999</v>
      </c>
      <c r="AK187">
        <v>699</v>
      </c>
      <c r="AL187" t="b">
        <v>1</v>
      </c>
      <c r="AM187" t="b">
        <v>1</v>
      </c>
      <c r="AN187" t="b">
        <v>0</v>
      </c>
      <c r="AO187">
        <v>99999</v>
      </c>
      <c r="AP187" t="s">
        <v>64</v>
      </c>
      <c r="AR187" t="b">
        <v>0</v>
      </c>
      <c r="AS187">
        <v>12</v>
      </c>
      <c r="AT187" t="s">
        <v>327</v>
      </c>
      <c r="AV187" t="s">
        <v>2820</v>
      </c>
      <c r="CRL187">
        <v>12</v>
      </c>
    </row>
    <row r="188" spans="1:48 2508:2508" x14ac:dyDescent="0.25">
      <c r="A188" t="s">
        <v>3323</v>
      </c>
      <c r="B188" t="s">
        <v>302</v>
      </c>
      <c r="C188" t="s">
        <v>62</v>
      </c>
      <c r="D188">
        <v>99999</v>
      </c>
      <c r="F188" s="109">
        <v>10000</v>
      </c>
      <c r="G188" t="b">
        <v>0</v>
      </c>
      <c r="H188" t="s">
        <v>329</v>
      </c>
      <c r="K188" t="s">
        <v>61</v>
      </c>
      <c r="L188" t="s">
        <v>303</v>
      </c>
      <c r="M188" t="s">
        <v>323</v>
      </c>
      <c r="N188" t="s">
        <v>63</v>
      </c>
      <c r="O188" s="110">
        <v>49.9</v>
      </c>
      <c r="R188" s="110">
        <v>309.98999999999995</v>
      </c>
      <c r="S188" s="110">
        <v>130</v>
      </c>
      <c r="T188" s="110">
        <v>0</v>
      </c>
      <c r="U188" s="110">
        <v>42.99</v>
      </c>
      <c r="X188">
        <v>92.099999999999966</v>
      </c>
      <c r="Y188">
        <v>44.9</v>
      </c>
      <c r="Z188">
        <v>44.9</v>
      </c>
      <c r="AA188">
        <v>0</v>
      </c>
      <c r="AB188" t="s">
        <v>324</v>
      </c>
      <c r="AF188" t="s">
        <v>2885</v>
      </c>
      <c r="AG188" t="s">
        <v>2885</v>
      </c>
      <c r="AH188" t="s">
        <v>1175</v>
      </c>
      <c r="AI188">
        <v>99999</v>
      </c>
      <c r="AJ188">
        <v>99999</v>
      </c>
      <c r="AK188">
        <v>699</v>
      </c>
      <c r="AL188" t="b">
        <v>1</v>
      </c>
      <c r="AM188" t="b">
        <v>1</v>
      </c>
      <c r="AN188" t="b">
        <v>0</v>
      </c>
      <c r="AO188">
        <v>99999</v>
      </c>
      <c r="AP188" t="s">
        <v>64</v>
      </c>
      <c r="AR188" t="b">
        <v>0</v>
      </c>
      <c r="AS188">
        <v>12</v>
      </c>
      <c r="AT188" t="s">
        <v>327</v>
      </c>
      <c r="AV188" t="s">
        <v>2887</v>
      </c>
      <c r="CRL188">
        <v>12</v>
      </c>
    </row>
    <row r="189" spans="1:48 2508:2508" x14ac:dyDescent="0.25">
      <c r="A189" t="s">
        <v>3323</v>
      </c>
      <c r="B189" t="s">
        <v>302</v>
      </c>
      <c r="C189" t="s">
        <v>62</v>
      </c>
      <c r="D189">
        <v>99999</v>
      </c>
      <c r="F189" s="109">
        <v>10000</v>
      </c>
      <c r="G189" t="b">
        <v>0</v>
      </c>
      <c r="H189" t="s">
        <v>329</v>
      </c>
      <c r="K189" t="s">
        <v>61</v>
      </c>
      <c r="L189" t="s">
        <v>303</v>
      </c>
      <c r="M189" t="s">
        <v>323</v>
      </c>
      <c r="N189" t="s">
        <v>63</v>
      </c>
      <c r="O189" s="110">
        <v>49.9</v>
      </c>
      <c r="R189" s="110">
        <v>324.89</v>
      </c>
      <c r="S189" s="110">
        <v>130</v>
      </c>
      <c r="T189" s="110">
        <v>0</v>
      </c>
      <c r="U189" s="110">
        <v>42.99</v>
      </c>
      <c r="X189">
        <v>106.99999999999997</v>
      </c>
      <c r="Y189">
        <v>44.9</v>
      </c>
      <c r="Z189">
        <v>44.9</v>
      </c>
      <c r="AA189">
        <v>0</v>
      </c>
      <c r="AB189" t="s">
        <v>324</v>
      </c>
      <c r="AF189" t="s">
        <v>2959</v>
      </c>
      <c r="AG189" t="s">
        <v>2959</v>
      </c>
      <c r="AH189" t="s">
        <v>1175</v>
      </c>
      <c r="AI189">
        <v>99999</v>
      </c>
      <c r="AJ189">
        <v>99999</v>
      </c>
      <c r="AK189">
        <v>699</v>
      </c>
      <c r="AL189" t="b">
        <v>1</v>
      </c>
      <c r="AM189" t="b">
        <v>1</v>
      </c>
      <c r="AN189" t="b">
        <v>0</v>
      </c>
      <c r="AO189">
        <v>99999</v>
      </c>
      <c r="AP189" t="s">
        <v>64</v>
      </c>
      <c r="AR189" t="b">
        <v>0</v>
      </c>
      <c r="AS189">
        <v>12</v>
      </c>
      <c r="AT189" t="s">
        <v>327</v>
      </c>
      <c r="AV189" t="s">
        <v>2961</v>
      </c>
      <c r="CRL189">
        <v>12</v>
      </c>
    </row>
    <row r="190" spans="1:48 2508:2508" x14ac:dyDescent="0.25">
      <c r="A190" t="s">
        <v>3323</v>
      </c>
      <c r="B190" t="s">
        <v>302</v>
      </c>
      <c r="C190" t="s">
        <v>62</v>
      </c>
      <c r="D190">
        <v>99999</v>
      </c>
      <c r="F190" s="109">
        <v>10000</v>
      </c>
      <c r="G190" t="b">
        <v>0</v>
      </c>
      <c r="H190" t="s">
        <v>333</v>
      </c>
      <c r="K190" t="s">
        <v>349</v>
      </c>
      <c r="L190" t="s">
        <v>303</v>
      </c>
      <c r="M190" t="s">
        <v>323</v>
      </c>
      <c r="N190" t="s">
        <v>63</v>
      </c>
      <c r="O190" s="110">
        <v>29.9</v>
      </c>
      <c r="R190" s="110">
        <v>284.89</v>
      </c>
      <c r="S190" s="110">
        <v>79.900000000000006</v>
      </c>
      <c r="T190" s="110">
        <v>0</v>
      </c>
      <c r="U190" s="110">
        <v>42.99</v>
      </c>
      <c r="X190">
        <v>117.09999999999997</v>
      </c>
      <c r="Y190">
        <v>44.9</v>
      </c>
      <c r="Z190">
        <v>44.9</v>
      </c>
      <c r="AA190">
        <v>0</v>
      </c>
      <c r="AB190" t="s">
        <v>324</v>
      </c>
      <c r="AF190" t="s">
        <v>1174</v>
      </c>
      <c r="AG190" t="s">
        <v>1174</v>
      </c>
      <c r="AH190" t="s">
        <v>1175</v>
      </c>
      <c r="AI190">
        <v>99999</v>
      </c>
      <c r="AJ190">
        <v>99999</v>
      </c>
      <c r="AK190">
        <v>699</v>
      </c>
      <c r="AL190" t="b">
        <v>1</v>
      </c>
      <c r="AM190" t="b">
        <v>1</v>
      </c>
      <c r="AN190" t="b">
        <v>0</v>
      </c>
      <c r="AO190">
        <v>99999</v>
      </c>
      <c r="AP190" t="s">
        <v>64</v>
      </c>
      <c r="AR190" t="b">
        <v>0</v>
      </c>
      <c r="AS190">
        <v>12</v>
      </c>
      <c r="AT190" t="s">
        <v>327</v>
      </c>
      <c r="AV190" t="s">
        <v>1192</v>
      </c>
      <c r="CRL190">
        <v>12</v>
      </c>
    </row>
    <row r="191" spans="1:48 2508:2508" x14ac:dyDescent="0.25">
      <c r="A191" t="s">
        <v>3323</v>
      </c>
      <c r="B191" t="s">
        <v>302</v>
      </c>
      <c r="C191" t="s">
        <v>62</v>
      </c>
      <c r="D191">
        <v>99999</v>
      </c>
      <c r="F191" s="109">
        <v>10000</v>
      </c>
      <c r="G191" t="b">
        <v>0</v>
      </c>
      <c r="H191" t="s">
        <v>333</v>
      </c>
      <c r="K191" t="s">
        <v>349</v>
      </c>
      <c r="L191" t="s">
        <v>303</v>
      </c>
      <c r="M191" t="s">
        <v>323</v>
      </c>
      <c r="N191" t="s">
        <v>63</v>
      </c>
      <c r="O191" s="110">
        <v>29.9</v>
      </c>
      <c r="R191" s="110">
        <v>304.89</v>
      </c>
      <c r="S191" s="110">
        <v>79.900000000000006</v>
      </c>
      <c r="T191" s="110">
        <v>0</v>
      </c>
      <c r="U191" s="110">
        <v>42.99</v>
      </c>
      <c r="X191">
        <v>137.09999999999997</v>
      </c>
      <c r="Y191">
        <v>44.9</v>
      </c>
      <c r="Z191">
        <v>44.9</v>
      </c>
      <c r="AA191">
        <v>0</v>
      </c>
      <c r="AB191" t="s">
        <v>324</v>
      </c>
      <c r="AF191" t="s">
        <v>1309</v>
      </c>
      <c r="AG191" t="s">
        <v>1309</v>
      </c>
      <c r="AH191" t="s">
        <v>1175</v>
      </c>
      <c r="AI191">
        <v>99999</v>
      </c>
      <c r="AJ191">
        <v>99999</v>
      </c>
      <c r="AK191">
        <v>699</v>
      </c>
      <c r="AL191" t="b">
        <v>1</v>
      </c>
      <c r="AM191" t="b">
        <v>1</v>
      </c>
      <c r="AN191" t="b">
        <v>0</v>
      </c>
      <c r="AO191">
        <v>99999</v>
      </c>
      <c r="AP191" t="s">
        <v>64</v>
      </c>
      <c r="AR191" t="b">
        <v>0</v>
      </c>
      <c r="AS191">
        <v>12</v>
      </c>
      <c r="AT191" t="s">
        <v>327</v>
      </c>
      <c r="AV191" t="s">
        <v>1326</v>
      </c>
      <c r="CRL191">
        <v>12</v>
      </c>
    </row>
    <row r="192" spans="1:48 2508:2508" x14ac:dyDescent="0.25">
      <c r="A192" t="s">
        <v>3323</v>
      </c>
      <c r="B192" t="s">
        <v>302</v>
      </c>
      <c r="C192" t="s">
        <v>62</v>
      </c>
      <c r="D192">
        <v>99999</v>
      </c>
      <c r="F192" s="109">
        <v>10000</v>
      </c>
      <c r="G192" t="b">
        <v>0</v>
      </c>
      <c r="H192" t="s">
        <v>333</v>
      </c>
      <c r="K192" t="s">
        <v>349</v>
      </c>
      <c r="L192" t="s">
        <v>303</v>
      </c>
      <c r="M192" t="s">
        <v>323</v>
      </c>
      <c r="N192" t="s">
        <v>63</v>
      </c>
      <c r="O192" s="110">
        <v>29.9</v>
      </c>
      <c r="R192" s="110">
        <v>324.89</v>
      </c>
      <c r="S192" s="110">
        <v>85</v>
      </c>
      <c r="T192" s="110">
        <v>0</v>
      </c>
      <c r="U192" s="110">
        <v>42.99</v>
      </c>
      <c r="X192">
        <v>151.99999999999997</v>
      </c>
      <c r="Y192">
        <v>44.9</v>
      </c>
      <c r="Z192">
        <v>44.9</v>
      </c>
      <c r="AA192">
        <v>0</v>
      </c>
      <c r="AB192" t="s">
        <v>324</v>
      </c>
      <c r="AF192" t="s">
        <v>1457</v>
      </c>
      <c r="AG192" t="s">
        <v>1457</v>
      </c>
      <c r="AH192" t="s">
        <v>1175</v>
      </c>
      <c r="AI192">
        <v>99999</v>
      </c>
      <c r="AJ192">
        <v>99999</v>
      </c>
      <c r="AK192">
        <v>699</v>
      </c>
      <c r="AL192" t="b">
        <v>1</v>
      </c>
      <c r="AM192" t="b">
        <v>1</v>
      </c>
      <c r="AN192" t="b">
        <v>0</v>
      </c>
      <c r="AO192">
        <v>99999</v>
      </c>
      <c r="AP192" t="s">
        <v>64</v>
      </c>
      <c r="AR192" t="b">
        <v>0</v>
      </c>
      <c r="AS192">
        <v>12</v>
      </c>
      <c r="AT192" t="s">
        <v>327</v>
      </c>
      <c r="AV192" t="s">
        <v>1474</v>
      </c>
      <c r="CRL192">
        <v>12</v>
      </c>
    </row>
    <row r="193" spans="1:48 2508:2508" x14ac:dyDescent="0.25">
      <c r="A193" t="s">
        <v>3323</v>
      </c>
      <c r="B193" t="s">
        <v>302</v>
      </c>
      <c r="C193" t="s">
        <v>62</v>
      </c>
      <c r="D193">
        <v>99999</v>
      </c>
      <c r="F193" s="109">
        <v>10000</v>
      </c>
      <c r="G193" t="b">
        <v>0</v>
      </c>
      <c r="H193" t="s">
        <v>333</v>
      </c>
      <c r="K193" t="s">
        <v>349</v>
      </c>
      <c r="L193" t="s">
        <v>303</v>
      </c>
      <c r="M193" t="s">
        <v>323</v>
      </c>
      <c r="N193" t="s">
        <v>63</v>
      </c>
      <c r="O193" s="110">
        <v>39.9</v>
      </c>
      <c r="R193" s="110">
        <v>284.89</v>
      </c>
      <c r="S193" s="110">
        <v>79.900000000000006</v>
      </c>
      <c r="T193" s="110">
        <v>0</v>
      </c>
      <c r="U193" s="110">
        <v>42.99</v>
      </c>
      <c r="X193">
        <v>117.09999999999997</v>
      </c>
      <c r="Y193">
        <v>44.9</v>
      </c>
      <c r="Z193">
        <v>44.9</v>
      </c>
      <c r="AA193">
        <v>0</v>
      </c>
      <c r="AB193" t="s">
        <v>324</v>
      </c>
      <c r="AF193" t="s">
        <v>1242</v>
      </c>
      <c r="AG193" t="s">
        <v>1242</v>
      </c>
      <c r="AH193" t="s">
        <v>1175</v>
      </c>
      <c r="AI193">
        <v>99999</v>
      </c>
      <c r="AJ193">
        <v>99999</v>
      </c>
      <c r="AK193">
        <v>699</v>
      </c>
      <c r="AL193" t="b">
        <v>1</v>
      </c>
      <c r="AM193" t="b">
        <v>1</v>
      </c>
      <c r="AN193" t="b">
        <v>0</v>
      </c>
      <c r="AO193">
        <v>99999</v>
      </c>
      <c r="AP193" t="s">
        <v>64</v>
      </c>
      <c r="AR193" t="b">
        <v>0</v>
      </c>
      <c r="AS193">
        <v>12</v>
      </c>
      <c r="AT193" t="s">
        <v>327</v>
      </c>
      <c r="AV193" t="s">
        <v>1259</v>
      </c>
      <c r="CRL193">
        <v>12</v>
      </c>
    </row>
    <row r="194" spans="1:48 2508:2508" x14ac:dyDescent="0.25">
      <c r="A194" t="s">
        <v>3323</v>
      </c>
      <c r="B194" t="s">
        <v>302</v>
      </c>
      <c r="C194" t="s">
        <v>62</v>
      </c>
      <c r="D194">
        <v>99999</v>
      </c>
      <c r="F194" s="109">
        <v>10000</v>
      </c>
      <c r="G194" t="b">
        <v>0</v>
      </c>
      <c r="H194" t="s">
        <v>333</v>
      </c>
      <c r="K194" t="s">
        <v>349</v>
      </c>
      <c r="L194" t="s">
        <v>303</v>
      </c>
      <c r="M194" t="s">
        <v>323</v>
      </c>
      <c r="N194" t="s">
        <v>63</v>
      </c>
      <c r="O194" s="110">
        <v>39.9</v>
      </c>
      <c r="R194" s="110">
        <v>304.89</v>
      </c>
      <c r="S194" s="110">
        <v>79.900000000000006</v>
      </c>
      <c r="T194" s="110">
        <v>0</v>
      </c>
      <c r="U194" s="110">
        <v>42.99</v>
      </c>
      <c r="X194">
        <v>137.09999999999997</v>
      </c>
      <c r="Y194">
        <v>44.9</v>
      </c>
      <c r="Z194">
        <v>44.9</v>
      </c>
      <c r="AA194">
        <v>0</v>
      </c>
      <c r="AB194" t="s">
        <v>324</v>
      </c>
      <c r="AF194" t="s">
        <v>1376</v>
      </c>
      <c r="AG194" t="s">
        <v>1376</v>
      </c>
      <c r="AH194" t="s">
        <v>1175</v>
      </c>
      <c r="AI194">
        <v>99999</v>
      </c>
      <c r="AJ194">
        <v>99999</v>
      </c>
      <c r="AK194">
        <v>699</v>
      </c>
      <c r="AL194" t="b">
        <v>1</v>
      </c>
      <c r="AM194" t="b">
        <v>1</v>
      </c>
      <c r="AN194" t="b">
        <v>0</v>
      </c>
      <c r="AO194">
        <v>99999</v>
      </c>
      <c r="AP194" t="s">
        <v>64</v>
      </c>
      <c r="AR194" t="b">
        <v>0</v>
      </c>
      <c r="AS194">
        <v>12</v>
      </c>
      <c r="AT194" t="s">
        <v>327</v>
      </c>
      <c r="AV194" t="s">
        <v>1393</v>
      </c>
      <c r="CRL194">
        <v>12</v>
      </c>
    </row>
    <row r="195" spans="1:48 2508:2508" x14ac:dyDescent="0.25">
      <c r="A195" t="s">
        <v>3323</v>
      </c>
      <c r="B195" t="s">
        <v>302</v>
      </c>
      <c r="C195" t="s">
        <v>62</v>
      </c>
      <c r="D195">
        <v>99999</v>
      </c>
      <c r="F195" s="109">
        <v>10000</v>
      </c>
      <c r="G195" t="b">
        <v>0</v>
      </c>
      <c r="H195" t="s">
        <v>333</v>
      </c>
      <c r="K195" t="s">
        <v>349</v>
      </c>
      <c r="L195" t="s">
        <v>303</v>
      </c>
      <c r="M195" t="s">
        <v>323</v>
      </c>
      <c r="N195" t="s">
        <v>63</v>
      </c>
      <c r="O195" s="110">
        <v>39.9</v>
      </c>
      <c r="R195" s="110">
        <v>324.89</v>
      </c>
      <c r="S195" s="110">
        <v>85</v>
      </c>
      <c r="T195" s="110">
        <v>0</v>
      </c>
      <c r="U195" s="110">
        <v>42.99</v>
      </c>
      <c r="X195">
        <v>151.99999999999997</v>
      </c>
      <c r="Y195">
        <v>44.9</v>
      </c>
      <c r="Z195">
        <v>44.9</v>
      </c>
      <c r="AA195">
        <v>0</v>
      </c>
      <c r="AB195" t="s">
        <v>324</v>
      </c>
      <c r="AF195" t="s">
        <v>1524</v>
      </c>
      <c r="AG195" t="s">
        <v>1524</v>
      </c>
      <c r="AH195" t="s">
        <v>1175</v>
      </c>
      <c r="AI195">
        <v>99999</v>
      </c>
      <c r="AJ195">
        <v>99999</v>
      </c>
      <c r="AK195">
        <v>699</v>
      </c>
      <c r="AL195" t="b">
        <v>1</v>
      </c>
      <c r="AM195" t="b">
        <v>1</v>
      </c>
      <c r="AN195" t="b">
        <v>0</v>
      </c>
      <c r="AO195">
        <v>99999</v>
      </c>
      <c r="AP195" t="s">
        <v>64</v>
      </c>
      <c r="AR195" t="b">
        <v>0</v>
      </c>
      <c r="AS195">
        <v>12</v>
      </c>
      <c r="AT195" t="s">
        <v>327</v>
      </c>
      <c r="AV195" t="s">
        <v>1541</v>
      </c>
      <c r="CRL195">
        <v>12</v>
      </c>
    </row>
    <row r="196" spans="1:48 2508:2508" x14ac:dyDescent="0.25">
      <c r="A196" t="s">
        <v>3323</v>
      </c>
      <c r="B196" t="s">
        <v>302</v>
      </c>
      <c r="C196" t="s">
        <v>62</v>
      </c>
      <c r="D196">
        <v>99999</v>
      </c>
      <c r="F196" s="109">
        <v>10000</v>
      </c>
      <c r="G196" t="b">
        <v>0</v>
      </c>
      <c r="H196" t="s">
        <v>333</v>
      </c>
      <c r="K196" t="s">
        <v>349</v>
      </c>
      <c r="L196" t="s">
        <v>303</v>
      </c>
      <c r="M196" t="s">
        <v>323</v>
      </c>
      <c r="N196" t="s">
        <v>63</v>
      </c>
      <c r="O196" s="110">
        <v>49.9</v>
      </c>
      <c r="R196" s="110">
        <v>310.68999999999994</v>
      </c>
      <c r="S196" s="110">
        <v>130</v>
      </c>
      <c r="T196" s="110">
        <v>0</v>
      </c>
      <c r="U196" s="110">
        <v>34.99</v>
      </c>
      <c r="X196">
        <v>100.79999999999998</v>
      </c>
      <c r="Y196">
        <v>44.9</v>
      </c>
      <c r="Z196">
        <v>44.9</v>
      </c>
      <c r="AA196">
        <v>0</v>
      </c>
      <c r="AB196" t="s">
        <v>324</v>
      </c>
      <c r="AF196" t="s">
        <v>2744</v>
      </c>
      <c r="AG196" t="s">
        <v>2744</v>
      </c>
      <c r="AH196" t="s">
        <v>1175</v>
      </c>
      <c r="AI196">
        <v>99999</v>
      </c>
      <c r="AJ196">
        <v>99999</v>
      </c>
      <c r="AK196">
        <v>699</v>
      </c>
      <c r="AL196" t="b">
        <v>1</v>
      </c>
      <c r="AM196" t="b">
        <v>1</v>
      </c>
      <c r="AN196" t="b">
        <v>0</v>
      </c>
      <c r="AO196">
        <v>99999</v>
      </c>
      <c r="AP196" t="s">
        <v>64</v>
      </c>
      <c r="AR196" t="b">
        <v>0</v>
      </c>
      <c r="AS196">
        <v>12</v>
      </c>
      <c r="AT196" t="s">
        <v>327</v>
      </c>
      <c r="AV196" t="s">
        <v>2761</v>
      </c>
      <c r="CRL196">
        <v>12</v>
      </c>
    </row>
    <row r="197" spans="1:48 2508:2508" x14ac:dyDescent="0.25">
      <c r="A197" t="s">
        <v>3323</v>
      </c>
      <c r="B197" t="s">
        <v>302</v>
      </c>
      <c r="C197" t="s">
        <v>62</v>
      </c>
      <c r="D197">
        <v>99999</v>
      </c>
      <c r="F197" s="109">
        <v>10000</v>
      </c>
      <c r="G197" t="b">
        <v>0</v>
      </c>
      <c r="H197" t="s">
        <v>333</v>
      </c>
      <c r="K197" t="s">
        <v>349</v>
      </c>
      <c r="L197" t="s">
        <v>303</v>
      </c>
      <c r="M197" t="s">
        <v>323</v>
      </c>
      <c r="N197" t="s">
        <v>63</v>
      </c>
      <c r="O197" s="110">
        <v>49.9</v>
      </c>
      <c r="R197" s="110">
        <v>334.98999999999995</v>
      </c>
      <c r="S197" s="110">
        <v>130</v>
      </c>
      <c r="T197" s="110">
        <v>0</v>
      </c>
      <c r="U197" s="110">
        <v>42.99</v>
      </c>
      <c r="X197">
        <v>117.09999999999997</v>
      </c>
      <c r="Y197">
        <v>44.9</v>
      </c>
      <c r="Z197">
        <v>44.9</v>
      </c>
      <c r="AA197">
        <v>0</v>
      </c>
      <c r="AB197" t="s">
        <v>324</v>
      </c>
      <c r="AF197" t="s">
        <v>2818</v>
      </c>
      <c r="AG197" t="s">
        <v>2818</v>
      </c>
      <c r="AH197" t="s">
        <v>1175</v>
      </c>
      <c r="AI197">
        <v>99999</v>
      </c>
      <c r="AJ197">
        <v>99999</v>
      </c>
      <c r="AK197">
        <v>699</v>
      </c>
      <c r="AL197" t="b">
        <v>1</v>
      </c>
      <c r="AM197" t="b">
        <v>1</v>
      </c>
      <c r="AN197" t="b">
        <v>0</v>
      </c>
      <c r="AO197">
        <v>99999</v>
      </c>
      <c r="AP197" t="s">
        <v>64</v>
      </c>
      <c r="AR197" t="b">
        <v>0</v>
      </c>
      <c r="AS197">
        <v>12</v>
      </c>
      <c r="AT197" t="s">
        <v>327</v>
      </c>
      <c r="AV197" t="s">
        <v>2835</v>
      </c>
      <c r="CRL197">
        <v>12</v>
      </c>
    </row>
    <row r="198" spans="1:48 2508:2508" x14ac:dyDescent="0.25">
      <c r="A198" t="s">
        <v>3323</v>
      </c>
      <c r="B198" t="s">
        <v>302</v>
      </c>
      <c r="C198" t="s">
        <v>62</v>
      </c>
      <c r="D198">
        <v>99999</v>
      </c>
      <c r="F198" s="109">
        <v>10000</v>
      </c>
      <c r="G198" t="b">
        <v>0</v>
      </c>
      <c r="H198" t="s">
        <v>333</v>
      </c>
      <c r="K198" t="s">
        <v>349</v>
      </c>
      <c r="L198" t="s">
        <v>303</v>
      </c>
      <c r="M198" t="s">
        <v>323</v>
      </c>
      <c r="N198" t="s">
        <v>63</v>
      </c>
      <c r="O198" s="110">
        <v>49.9</v>
      </c>
      <c r="R198" s="110">
        <v>354.98999999999995</v>
      </c>
      <c r="S198" s="110">
        <v>130</v>
      </c>
      <c r="T198" s="110">
        <v>0</v>
      </c>
      <c r="U198" s="110">
        <v>42.99</v>
      </c>
      <c r="X198">
        <v>137.09999999999997</v>
      </c>
      <c r="Y198">
        <v>44.9</v>
      </c>
      <c r="Z198">
        <v>44.9</v>
      </c>
      <c r="AA198">
        <v>0</v>
      </c>
      <c r="AB198" t="s">
        <v>324</v>
      </c>
      <c r="AF198" t="s">
        <v>2885</v>
      </c>
      <c r="AG198" t="s">
        <v>2885</v>
      </c>
      <c r="AH198" t="s">
        <v>1175</v>
      </c>
      <c r="AI198">
        <v>99999</v>
      </c>
      <c r="AJ198">
        <v>99999</v>
      </c>
      <c r="AK198">
        <v>699</v>
      </c>
      <c r="AL198" t="b">
        <v>1</v>
      </c>
      <c r="AM198" t="b">
        <v>1</v>
      </c>
      <c r="AN198" t="b">
        <v>0</v>
      </c>
      <c r="AO198">
        <v>99999</v>
      </c>
      <c r="AP198" t="s">
        <v>64</v>
      </c>
      <c r="AR198" t="b">
        <v>0</v>
      </c>
      <c r="AS198">
        <v>12</v>
      </c>
      <c r="AT198" t="s">
        <v>327</v>
      </c>
      <c r="AV198" t="s">
        <v>2902</v>
      </c>
      <c r="CRL198">
        <v>12</v>
      </c>
    </row>
    <row r="199" spans="1:48 2508:2508" x14ac:dyDescent="0.25">
      <c r="A199" t="s">
        <v>3323</v>
      </c>
      <c r="B199" t="s">
        <v>302</v>
      </c>
      <c r="C199" t="s">
        <v>62</v>
      </c>
      <c r="D199">
        <v>99999</v>
      </c>
      <c r="F199" s="109">
        <v>10000</v>
      </c>
      <c r="G199" t="b">
        <v>0</v>
      </c>
      <c r="H199" t="s">
        <v>333</v>
      </c>
      <c r="K199" t="s">
        <v>349</v>
      </c>
      <c r="L199" t="s">
        <v>303</v>
      </c>
      <c r="M199" t="s">
        <v>323</v>
      </c>
      <c r="N199" t="s">
        <v>63</v>
      </c>
      <c r="O199" s="110">
        <v>49.9</v>
      </c>
      <c r="R199" s="110">
        <v>369.89</v>
      </c>
      <c r="S199" s="110">
        <v>130</v>
      </c>
      <c r="T199" s="110">
        <v>0</v>
      </c>
      <c r="U199" s="110">
        <v>42.99</v>
      </c>
      <c r="X199">
        <v>151.99999999999997</v>
      </c>
      <c r="Y199">
        <v>44.9</v>
      </c>
      <c r="Z199">
        <v>44.9</v>
      </c>
      <c r="AA199">
        <v>0</v>
      </c>
      <c r="AB199" t="s">
        <v>324</v>
      </c>
      <c r="AF199" t="s">
        <v>2959</v>
      </c>
      <c r="AG199" t="s">
        <v>2959</v>
      </c>
      <c r="AH199" t="s">
        <v>1175</v>
      </c>
      <c r="AI199">
        <v>99999</v>
      </c>
      <c r="AJ199">
        <v>99999</v>
      </c>
      <c r="AK199">
        <v>699</v>
      </c>
      <c r="AL199" t="b">
        <v>1</v>
      </c>
      <c r="AM199" t="b">
        <v>1</v>
      </c>
      <c r="AN199" t="b">
        <v>0</v>
      </c>
      <c r="AO199">
        <v>99999</v>
      </c>
      <c r="AP199" t="s">
        <v>64</v>
      </c>
      <c r="AR199" t="b">
        <v>0</v>
      </c>
      <c r="AS199">
        <v>12</v>
      </c>
      <c r="AT199" t="s">
        <v>327</v>
      </c>
      <c r="AV199" t="s">
        <v>2976</v>
      </c>
      <c r="CRL199">
        <v>12</v>
      </c>
    </row>
    <row r="200" spans="1:48 2508:2508" x14ac:dyDescent="0.25">
      <c r="A200" t="s">
        <v>3323</v>
      </c>
      <c r="B200" t="s">
        <v>302</v>
      </c>
      <c r="C200" t="s">
        <v>62</v>
      </c>
      <c r="D200">
        <v>99999</v>
      </c>
      <c r="F200" s="109">
        <v>10000</v>
      </c>
      <c r="G200" t="b">
        <v>0</v>
      </c>
      <c r="H200" t="s">
        <v>333</v>
      </c>
      <c r="K200" t="s">
        <v>393</v>
      </c>
      <c r="L200" t="s">
        <v>303</v>
      </c>
      <c r="M200" t="s">
        <v>323</v>
      </c>
      <c r="N200" t="s">
        <v>63</v>
      </c>
      <c r="O200" s="110">
        <v>29.9</v>
      </c>
      <c r="R200" s="110">
        <v>309.89</v>
      </c>
      <c r="S200" s="110">
        <v>79.900000000000006</v>
      </c>
      <c r="T200" s="110">
        <v>0</v>
      </c>
      <c r="U200" s="110">
        <v>42.99</v>
      </c>
      <c r="X200">
        <v>117.09999999999997</v>
      </c>
      <c r="Y200">
        <v>69.900000000000006</v>
      </c>
      <c r="Z200">
        <v>69.900000000000006</v>
      </c>
      <c r="AA200">
        <v>0</v>
      </c>
      <c r="AB200" t="s">
        <v>363</v>
      </c>
      <c r="AF200" t="s">
        <v>1202</v>
      </c>
      <c r="AG200" t="s">
        <v>1202</v>
      </c>
      <c r="AH200" t="s">
        <v>1175</v>
      </c>
      <c r="AI200">
        <v>99999</v>
      </c>
      <c r="AJ200">
        <v>99999</v>
      </c>
      <c r="AK200">
        <v>699</v>
      </c>
      <c r="AL200" t="b">
        <v>1</v>
      </c>
      <c r="AM200" t="b">
        <v>1</v>
      </c>
      <c r="AN200" t="b">
        <v>0</v>
      </c>
      <c r="AO200">
        <v>99999</v>
      </c>
      <c r="AP200" t="s">
        <v>64</v>
      </c>
      <c r="AR200" t="b">
        <v>0</v>
      </c>
      <c r="AS200">
        <v>12</v>
      </c>
      <c r="AT200" t="s">
        <v>327</v>
      </c>
      <c r="AV200" t="s">
        <v>1232</v>
      </c>
      <c r="CRL200">
        <v>12</v>
      </c>
    </row>
    <row r="201" spans="1:48 2508:2508" x14ac:dyDescent="0.25">
      <c r="A201" t="s">
        <v>3323</v>
      </c>
      <c r="B201" t="s">
        <v>302</v>
      </c>
      <c r="C201" t="s">
        <v>62</v>
      </c>
      <c r="D201">
        <v>99999</v>
      </c>
      <c r="F201" s="109">
        <v>10000</v>
      </c>
      <c r="G201" t="b">
        <v>0</v>
      </c>
      <c r="H201" t="s">
        <v>333</v>
      </c>
      <c r="K201" t="s">
        <v>393</v>
      </c>
      <c r="L201" t="s">
        <v>303</v>
      </c>
      <c r="M201" t="s">
        <v>323</v>
      </c>
      <c r="N201" t="s">
        <v>63</v>
      </c>
      <c r="O201" s="110">
        <v>29.9</v>
      </c>
      <c r="R201" s="110">
        <v>329.89</v>
      </c>
      <c r="S201" s="110">
        <v>79.900000000000006</v>
      </c>
      <c r="T201" s="110">
        <v>0</v>
      </c>
      <c r="U201" s="110">
        <v>42.99</v>
      </c>
      <c r="X201">
        <v>137.09999999999997</v>
      </c>
      <c r="Y201">
        <v>69.900000000000006</v>
      </c>
      <c r="Z201">
        <v>69.900000000000006</v>
      </c>
      <c r="AA201">
        <v>0</v>
      </c>
      <c r="AB201" t="s">
        <v>363</v>
      </c>
      <c r="AF201" t="s">
        <v>1336</v>
      </c>
      <c r="AG201" t="s">
        <v>1336</v>
      </c>
      <c r="AH201" t="s">
        <v>1175</v>
      </c>
      <c r="AI201">
        <v>99999</v>
      </c>
      <c r="AJ201">
        <v>99999</v>
      </c>
      <c r="AK201">
        <v>699</v>
      </c>
      <c r="AL201" t="b">
        <v>1</v>
      </c>
      <c r="AM201" t="b">
        <v>1</v>
      </c>
      <c r="AN201" t="b">
        <v>0</v>
      </c>
      <c r="AO201">
        <v>99999</v>
      </c>
      <c r="AP201" t="s">
        <v>64</v>
      </c>
      <c r="AR201" t="b">
        <v>0</v>
      </c>
      <c r="AS201">
        <v>12</v>
      </c>
      <c r="AT201" t="s">
        <v>327</v>
      </c>
      <c r="AV201" t="s">
        <v>1366</v>
      </c>
      <c r="CRL201">
        <v>12</v>
      </c>
    </row>
    <row r="202" spans="1:48 2508:2508" x14ac:dyDescent="0.25">
      <c r="A202" t="s">
        <v>3323</v>
      </c>
      <c r="B202" t="s">
        <v>302</v>
      </c>
      <c r="C202" t="s">
        <v>62</v>
      </c>
      <c r="D202">
        <v>99999</v>
      </c>
      <c r="F202" s="109">
        <v>10000</v>
      </c>
      <c r="G202" t="b">
        <v>0</v>
      </c>
      <c r="H202" t="s">
        <v>333</v>
      </c>
      <c r="K202" t="s">
        <v>393</v>
      </c>
      <c r="L202" t="s">
        <v>303</v>
      </c>
      <c r="M202" t="s">
        <v>323</v>
      </c>
      <c r="N202" t="s">
        <v>63</v>
      </c>
      <c r="O202" s="110">
        <v>29.9</v>
      </c>
      <c r="R202" s="110">
        <v>349.89</v>
      </c>
      <c r="S202" s="110">
        <v>85</v>
      </c>
      <c r="T202" s="110">
        <v>0</v>
      </c>
      <c r="U202" s="110">
        <v>42.99</v>
      </c>
      <c r="X202">
        <v>151.99999999999997</v>
      </c>
      <c r="Y202">
        <v>69.900000000000006</v>
      </c>
      <c r="Z202">
        <v>69.900000000000006</v>
      </c>
      <c r="AA202">
        <v>0</v>
      </c>
      <c r="AB202" t="s">
        <v>363</v>
      </c>
      <c r="AF202" t="s">
        <v>1484</v>
      </c>
      <c r="AG202" t="s">
        <v>1484</v>
      </c>
      <c r="AH202" t="s">
        <v>1175</v>
      </c>
      <c r="AI202">
        <v>99999</v>
      </c>
      <c r="AJ202">
        <v>99999</v>
      </c>
      <c r="AK202">
        <v>699</v>
      </c>
      <c r="AL202" t="b">
        <v>1</v>
      </c>
      <c r="AM202" t="b">
        <v>1</v>
      </c>
      <c r="AN202" t="b">
        <v>0</v>
      </c>
      <c r="AO202">
        <v>99999</v>
      </c>
      <c r="AP202" t="s">
        <v>64</v>
      </c>
      <c r="AR202" t="b">
        <v>0</v>
      </c>
      <c r="AS202">
        <v>12</v>
      </c>
      <c r="AT202" t="s">
        <v>327</v>
      </c>
      <c r="AV202" t="s">
        <v>1514</v>
      </c>
      <c r="CRL202">
        <v>12</v>
      </c>
    </row>
    <row r="203" spans="1:48 2508:2508" x14ac:dyDescent="0.25">
      <c r="A203" t="s">
        <v>3323</v>
      </c>
      <c r="B203" t="s">
        <v>302</v>
      </c>
      <c r="C203" t="s">
        <v>62</v>
      </c>
      <c r="D203">
        <v>99999</v>
      </c>
      <c r="F203" s="109">
        <v>10000</v>
      </c>
      <c r="G203" t="b">
        <v>0</v>
      </c>
      <c r="H203" t="s">
        <v>333</v>
      </c>
      <c r="K203" t="s">
        <v>393</v>
      </c>
      <c r="L203" t="s">
        <v>303</v>
      </c>
      <c r="M203" t="s">
        <v>323</v>
      </c>
      <c r="N203" t="s">
        <v>63</v>
      </c>
      <c r="O203" s="110">
        <v>39.9</v>
      </c>
      <c r="R203" s="110">
        <v>309.89</v>
      </c>
      <c r="S203" s="110">
        <v>79.900000000000006</v>
      </c>
      <c r="T203" s="110">
        <v>0</v>
      </c>
      <c r="U203" s="110">
        <v>42.99</v>
      </c>
      <c r="X203">
        <v>117.09999999999997</v>
      </c>
      <c r="Y203">
        <v>69.900000000000006</v>
      </c>
      <c r="Z203">
        <v>69.900000000000006</v>
      </c>
      <c r="AA203">
        <v>0</v>
      </c>
      <c r="AB203" t="s">
        <v>363</v>
      </c>
      <c r="AF203" t="s">
        <v>1269</v>
      </c>
      <c r="AG203" t="s">
        <v>1269</v>
      </c>
      <c r="AH203" t="s">
        <v>1175</v>
      </c>
      <c r="AI203">
        <v>99999</v>
      </c>
      <c r="AJ203">
        <v>99999</v>
      </c>
      <c r="AK203">
        <v>699</v>
      </c>
      <c r="AL203" t="b">
        <v>1</v>
      </c>
      <c r="AM203" t="b">
        <v>1</v>
      </c>
      <c r="AN203" t="b">
        <v>0</v>
      </c>
      <c r="AO203">
        <v>99999</v>
      </c>
      <c r="AP203" t="s">
        <v>64</v>
      </c>
      <c r="AR203" t="b">
        <v>0</v>
      </c>
      <c r="AS203">
        <v>12</v>
      </c>
      <c r="AT203" t="s">
        <v>327</v>
      </c>
      <c r="AV203" t="s">
        <v>1299</v>
      </c>
      <c r="CRL203">
        <v>12</v>
      </c>
    </row>
    <row r="204" spans="1:48 2508:2508" x14ac:dyDescent="0.25">
      <c r="A204" t="s">
        <v>3323</v>
      </c>
      <c r="B204" t="s">
        <v>302</v>
      </c>
      <c r="C204" t="s">
        <v>62</v>
      </c>
      <c r="D204">
        <v>99999</v>
      </c>
      <c r="F204" s="109">
        <v>10000</v>
      </c>
      <c r="G204" t="b">
        <v>0</v>
      </c>
      <c r="H204" t="s">
        <v>333</v>
      </c>
      <c r="K204" t="s">
        <v>393</v>
      </c>
      <c r="L204" t="s">
        <v>303</v>
      </c>
      <c r="M204" t="s">
        <v>323</v>
      </c>
      <c r="N204" t="s">
        <v>63</v>
      </c>
      <c r="O204" s="110">
        <v>39.9</v>
      </c>
      <c r="R204" s="110">
        <v>329.89</v>
      </c>
      <c r="S204" s="110">
        <v>79.900000000000006</v>
      </c>
      <c r="T204" s="110">
        <v>0</v>
      </c>
      <c r="U204" s="110">
        <v>42.99</v>
      </c>
      <c r="X204">
        <v>137.09999999999997</v>
      </c>
      <c r="Y204">
        <v>69.900000000000006</v>
      </c>
      <c r="Z204">
        <v>69.900000000000006</v>
      </c>
      <c r="AA204">
        <v>0</v>
      </c>
      <c r="AB204" t="s">
        <v>363</v>
      </c>
      <c r="AF204" t="s">
        <v>1403</v>
      </c>
      <c r="AG204" t="s">
        <v>1403</v>
      </c>
      <c r="AH204" t="s">
        <v>1175</v>
      </c>
      <c r="AI204">
        <v>99999</v>
      </c>
      <c r="AJ204">
        <v>99999</v>
      </c>
      <c r="AK204">
        <v>699</v>
      </c>
      <c r="AL204" t="b">
        <v>1</v>
      </c>
      <c r="AM204" t="b">
        <v>1</v>
      </c>
      <c r="AN204" t="b">
        <v>0</v>
      </c>
      <c r="AO204">
        <v>99999</v>
      </c>
      <c r="AP204" t="s">
        <v>64</v>
      </c>
      <c r="AR204" t="b">
        <v>0</v>
      </c>
      <c r="AS204">
        <v>12</v>
      </c>
      <c r="AT204" t="s">
        <v>327</v>
      </c>
      <c r="AV204" t="s">
        <v>1433</v>
      </c>
      <c r="CRL204">
        <v>12</v>
      </c>
    </row>
    <row r="205" spans="1:48 2508:2508" x14ac:dyDescent="0.25">
      <c r="A205" t="s">
        <v>3323</v>
      </c>
      <c r="B205" t="s">
        <v>302</v>
      </c>
      <c r="C205" t="s">
        <v>62</v>
      </c>
      <c r="D205">
        <v>99999</v>
      </c>
      <c r="F205" s="109">
        <v>10000</v>
      </c>
      <c r="G205" t="b">
        <v>0</v>
      </c>
      <c r="H205" t="s">
        <v>333</v>
      </c>
      <c r="K205" t="s">
        <v>393</v>
      </c>
      <c r="L205" t="s">
        <v>303</v>
      </c>
      <c r="M205" t="s">
        <v>323</v>
      </c>
      <c r="N205" t="s">
        <v>63</v>
      </c>
      <c r="O205" s="110">
        <v>39.9</v>
      </c>
      <c r="R205" s="110">
        <v>349.89</v>
      </c>
      <c r="S205" s="110">
        <v>85</v>
      </c>
      <c r="T205" s="110">
        <v>0</v>
      </c>
      <c r="U205" s="110">
        <v>42.99</v>
      </c>
      <c r="X205">
        <v>151.99999999999997</v>
      </c>
      <c r="Y205">
        <v>69.900000000000006</v>
      </c>
      <c r="Z205">
        <v>69.900000000000006</v>
      </c>
      <c r="AA205">
        <v>0</v>
      </c>
      <c r="AB205" t="s">
        <v>363</v>
      </c>
      <c r="AF205" t="s">
        <v>1551</v>
      </c>
      <c r="AG205" t="s">
        <v>1551</v>
      </c>
      <c r="AH205" t="s">
        <v>1175</v>
      </c>
      <c r="AI205">
        <v>99999</v>
      </c>
      <c r="AJ205">
        <v>99999</v>
      </c>
      <c r="AK205">
        <v>699</v>
      </c>
      <c r="AL205" t="b">
        <v>1</v>
      </c>
      <c r="AM205" t="b">
        <v>1</v>
      </c>
      <c r="AN205" t="b">
        <v>0</v>
      </c>
      <c r="AO205">
        <v>99999</v>
      </c>
      <c r="AP205" t="s">
        <v>64</v>
      </c>
      <c r="AR205" t="b">
        <v>0</v>
      </c>
      <c r="AS205">
        <v>12</v>
      </c>
      <c r="AT205" t="s">
        <v>327</v>
      </c>
      <c r="AV205" t="s">
        <v>1581</v>
      </c>
      <c r="CRL205">
        <v>12</v>
      </c>
    </row>
    <row r="206" spans="1:48 2508:2508" x14ac:dyDescent="0.25">
      <c r="A206" t="s">
        <v>3323</v>
      </c>
      <c r="B206" t="s">
        <v>302</v>
      </c>
      <c r="C206" t="s">
        <v>62</v>
      </c>
      <c r="D206">
        <v>99999</v>
      </c>
      <c r="F206" s="109">
        <v>10000</v>
      </c>
      <c r="G206" t="b">
        <v>0</v>
      </c>
      <c r="H206" t="s">
        <v>333</v>
      </c>
      <c r="K206" t="s">
        <v>393</v>
      </c>
      <c r="L206" t="s">
        <v>303</v>
      </c>
      <c r="M206" t="s">
        <v>323</v>
      </c>
      <c r="N206" t="s">
        <v>63</v>
      </c>
      <c r="O206" s="110">
        <v>49.9</v>
      </c>
      <c r="R206" s="110">
        <v>335.69</v>
      </c>
      <c r="S206" s="110">
        <v>130</v>
      </c>
      <c r="T206" s="110">
        <v>0</v>
      </c>
      <c r="U206" s="110">
        <v>34.99</v>
      </c>
      <c r="X206">
        <v>100.79999999999998</v>
      </c>
      <c r="Y206">
        <v>69.900000000000006</v>
      </c>
      <c r="Z206">
        <v>69.900000000000006</v>
      </c>
      <c r="AA206">
        <v>0</v>
      </c>
      <c r="AB206" t="s">
        <v>363</v>
      </c>
      <c r="AF206" t="s">
        <v>2771</v>
      </c>
      <c r="AG206" t="s">
        <v>2771</v>
      </c>
      <c r="AH206" t="s">
        <v>1175</v>
      </c>
      <c r="AI206">
        <v>99999</v>
      </c>
      <c r="AJ206">
        <v>99999</v>
      </c>
      <c r="AK206">
        <v>699</v>
      </c>
      <c r="AL206" t="b">
        <v>1</v>
      </c>
      <c r="AM206" t="b">
        <v>1</v>
      </c>
      <c r="AN206" t="b">
        <v>0</v>
      </c>
      <c r="AO206">
        <v>99999</v>
      </c>
      <c r="AP206" t="s">
        <v>64</v>
      </c>
      <c r="AR206" t="b">
        <v>0</v>
      </c>
      <c r="AS206">
        <v>12</v>
      </c>
      <c r="AT206" t="s">
        <v>327</v>
      </c>
      <c r="AV206" t="s">
        <v>2801</v>
      </c>
      <c r="CRL206">
        <v>12</v>
      </c>
    </row>
    <row r="207" spans="1:48 2508:2508" x14ac:dyDescent="0.25">
      <c r="A207" t="s">
        <v>3323</v>
      </c>
      <c r="B207" t="s">
        <v>302</v>
      </c>
      <c r="C207" t="s">
        <v>62</v>
      </c>
      <c r="D207">
        <v>99999</v>
      </c>
      <c r="F207" s="109">
        <v>10000</v>
      </c>
      <c r="G207" t="b">
        <v>0</v>
      </c>
      <c r="H207" t="s">
        <v>333</v>
      </c>
      <c r="K207" t="s">
        <v>393</v>
      </c>
      <c r="L207" t="s">
        <v>303</v>
      </c>
      <c r="M207" t="s">
        <v>323</v>
      </c>
      <c r="N207" t="s">
        <v>63</v>
      </c>
      <c r="O207" s="110">
        <v>49.9</v>
      </c>
      <c r="R207" s="110">
        <v>359.99</v>
      </c>
      <c r="S207" s="110">
        <v>130</v>
      </c>
      <c r="T207" s="110">
        <v>0</v>
      </c>
      <c r="U207" s="110">
        <v>42.99</v>
      </c>
      <c r="X207">
        <v>117.09999999999997</v>
      </c>
      <c r="Y207">
        <v>69.900000000000006</v>
      </c>
      <c r="Z207">
        <v>69.900000000000006</v>
      </c>
      <c r="AA207">
        <v>0</v>
      </c>
      <c r="AB207" t="s">
        <v>363</v>
      </c>
      <c r="AF207" t="s">
        <v>2845</v>
      </c>
      <c r="AG207" t="s">
        <v>2845</v>
      </c>
      <c r="AH207" t="s">
        <v>1175</v>
      </c>
      <c r="AI207">
        <v>99999</v>
      </c>
      <c r="AJ207">
        <v>99999</v>
      </c>
      <c r="AK207">
        <v>699</v>
      </c>
      <c r="AL207" t="b">
        <v>1</v>
      </c>
      <c r="AM207" t="b">
        <v>1</v>
      </c>
      <c r="AN207" t="b">
        <v>0</v>
      </c>
      <c r="AO207">
        <v>99999</v>
      </c>
      <c r="AP207" t="s">
        <v>64</v>
      </c>
      <c r="AR207" t="b">
        <v>0</v>
      </c>
      <c r="AS207">
        <v>12</v>
      </c>
      <c r="AT207" t="s">
        <v>327</v>
      </c>
      <c r="AV207" t="s">
        <v>2875</v>
      </c>
      <c r="CRL207">
        <v>12</v>
      </c>
    </row>
    <row r="208" spans="1:48 2508:2508" x14ac:dyDescent="0.25">
      <c r="A208" t="s">
        <v>3323</v>
      </c>
      <c r="B208" t="s">
        <v>302</v>
      </c>
      <c r="C208" t="s">
        <v>62</v>
      </c>
      <c r="D208">
        <v>99999</v>
      </c>
      <c r="F208" s="109">
        <v>10000</v>
      </c>
      <c r="G208" t="b">
        <v>0</v>
      </c>
      <c r="H208" t="s">
        <v>333</v>
      </c>
      <c r="K208" t="s">
        <v>393</v>
      </c>
      <c r="L208" t="s">
        <v>303</v>
      </c>
      <c r="M208" t="s">
        <v>323</v>
      </c>
      <c r="N208" t="s">
        <v>63</v>
      </c>
      <c r="O208" s="110">
        <v>49.9</v>
      </c>
      <c r="R208" s="110">
        <v>379.99</v>
      </c>
      <c r="S208" s="110">
        <v>130</v>
      </c>
      <c r="T208" s="110">
        <v>0</v>
      </c>
      <c r="U208" s="110">
        <v>42.99</v>
      </c>
      <c r="X208">
        <v>137.09999999999997</v>
      </c>
      <c r="Y208">
        <v>69.900000000000006</v>
      </c>
      <c r="Z208">
        <v>69.900000000000006</v>
      </c>
      <c r="AA208">
        <v>0</v>
      </c>
      <c r="AB208" t="s">
        <v>363</v>
      </c>
      <c r="AF208" t="s">
        <v>2912</v>
      </c>
      <c r="AG208" t="s">
        <v>2912</v>
      </c>
      <c r="AH208" t="s">
        <v>1175</v>
      </c>
      <c r="AI208">
        <v>99999</v>
      </c>
      <c r="AJ208">
        <v>99999</v>
      </c>
      <c r="AK208">
        <v>699</v>
      </c>
      <c r="AL208" t="b">
        <v>1</v>
      </c>
      <c r="AM208" t="b">
        <v>1</v>
      </c>
      <c r="AN208" t="b">
        <v>0</v>
      </c>
      <c r="AO208">
        <v>99999</v>
      </c>
      <c r="AP208" t="s">
        <v>64</v>
      </c>
      <c r="AR208" t="b">
        <v>0</v>
      </c>
      <c r="AS208">
        <v>12</v>
      </c>
      <c r="AT208" t="s">
        <v>327</v>
      </c>
      <c r="AV208" t="s">
        <v>2942</v>
      </c>
      <c r="CRL208">
        <v>12</v>
      </c>
    </row>
    <row r="209" spans="1:48 2508:2508" x14ac:dyDescent="0.25">
      <c r="A209" t="s">
        <v>3323</v>
      </c>
      <c r="B209" t="s">
        <v>302</v>
      </c>
      <c r="C209" t="s">
        <v>62</v>
      </c>
      <c r="D209">
        <v>99999</v>
      </c>
      <c r="F209" s="109">
        <v>10000</v>
      </c>
      <c r="G209" t="b">
        <v>0</v>
      </c>
      <c r="H209" t="s">
        <v>333</v>
      </c>
      <c r="K209" t="s">
        <v>393</v>
      </c>
      <c r="L209" t="s">
        <v>303</v>
      </c>
      <c r="M209" t="s">
        <v>323</v>
      </c>
      <c r="N209" t="s">
        <v>63</v>
      </c>
      <c r="O209" s="110">
        <v>49.9</v>
      </c>
      <c r="R209" s="110">
        <v>394.89</v>
      </c>
      <c r="S209" s="110">
        <v>130</v>
      </c>
      <c r="T209" s="110">
        <v>0</v>
      </c>
      <c r="U209" s="110">
        <v>42.99</v>
      </c>
      <c r="X209">
        <v>151.99999999999997</v>
      </c>
      <c r="Y209">
        <v>69.900000000000006</v>
      </c>
      <c r="Z209">
        <v>69.900000000000006</v>
      </c>
      <c r="AA209">
        <v>0</v>
      </c>
      <c r="AB209" t="s">
        <v>363</v>
      </c>
      <c r="AF209" t="s">
        <v>2986</v>
      </c>
      <c r="AG209" t="s">
        <v>2986</v>
      </c>
      <c r="AH209" t="s">
        <v>1175</v>
      </c>
      <c r="AI209">
        <v>99999</v>
      </c>
      <c r="AJ209">
        <v>99999</v>
      </c>
      <c r="AK209">
        <v>699</v>
      </c>
      <c r="AL209" t="b">
        <v>1</v>
      </c>
      <c r="AM209" t="b">
        <v>1</v>
      </c>
      <c r="AN209" t="b">
        <v>0</v>
      </c>
      <c r="AO209">
        <v>99999</v>
      </c>
      <c r="AP209" t="s">
        <v>64</v>
      </c>
      <c r="AR209" t="b">
        <v>0</v>
      </c>
      <c r="AS209">
        <v>12</v>
      </c>
      <c r="AT209" t="s">
        <v>327</v>
      </c>
      <c r="AV209" t="s">
        <v>3016</v>
      </c>
      <c r="CRL209">
        <v>12</v>
      </c>
    </row>
    <row r="210" spans="1:48 2508:2508" x14ac:dyDescent="0.25">
      <c r="A210" t="s">
        <v>3323</v>
      </c>
      <c r="B210" t="s">
        <v>302</v>
      </c>
      <c r="C210" t="s">
        <v>62</v>
      </c>
      <c r="D210">
        <v>99999</v>
      </c>
      <c r="F210" s="109">
        <v>10000</v>
      </c>
      <c r="G210" t="b">
        <v>0</v>
      </c>
      <c r="H210" t="s">
        <v>333</v>
      </c>
      <c r="K210" t="s">
        <v>364</v>
      </c>
      <c r="L210" t="s">
        <v>303</v>
      </c>
      <c r="M210" t="s">
        <v>323</v>
      </c>
      <c r="N210" t="s">
        <v>63</v>
      </c>
      <c r="O210" s="110">
        <v>29.9</v>
      </c>
      <c r="R210" s="110">
        <v>289.89</v>
      </c>
      <c r="S210" s="110">
        <v>79.900000000000006</v>
      </c>
      <c r="T210" s="110">
        <v>0</v>
      </c>
      <c r="U210" s="110">
        <v>42.99</v>
      </c>
      <c r="X210">
        <v>117.09999999999997</v>
      </c>
      <c r="Y210">
        <v>49.9</v>
      </c>
      <c r="Z210">
        <v>49.9</v>
      </c>
      <c r="AA210">
        <v>0</v>
      </c>
      <c r="AB210" t="s">
        <v>363</v>
      </c>
      <c r="AF210" t="s">
        <v>1202</v>
      </c>
      <c r="AG210" t="s">
        <v>1202</v>
      </c>
      <c r="AH210" t="s">
        <v>1175</v>
      </c>
      <c r="AI210">
        <v>99999</v>
      </c>
      <c r="AJ210">
        <v>99999</v>
      </c>
      <c r="AK210">
        <v>699</v>
      </c>
      <c r="AL210" t="b">
        <v>1</v>
      </c>
      <c r="AM210" t="b">
        <v>1</v>
      </c>
      <c r="AN210" t="b">
        <v>0</v>
      </c>
      <c r="AO210">
        <v>99999</v>
      </c>
      <c r="AP210" t="s">
        <v>64</v>
      </c>
      <c r="AR210" t="b">
        <v>0</v>
      </c>
      <c r="AS210">
        <v>12</v>
      </c>
      <c r="AT210" t="s">
        <v>327</v>
      </c>
      <c r="AV210" t="s">
        <v>1206</v>
      </c>
      <c r="CRL210">
        <v>12</v>
      </c>
    </row>
    <row r="211" spans="1:48 2508:2508" x14ac:dyDescent="0.25">
      <c r="A211" t="s">
        <v>3323</v>
      </c>
      <c r="B211" t="s">
        <v>302</v>
      </c>
      <c r="C211" t="s">
        <v>62</v>
      </c>
      <c r="D211">
        <v>99999</v>
      </c>
      <c r="F211" s="109">
        <v>10000</v>
      </c>
      <c r="G211" t="b">
        <v>0</v>
      </c>
      <c r="H211" t="s">
        <v>333</v>
      </c>
      <c r="K211" t="s">
        <v>364</v>
      </c>
      <c r="L211" t="s">
        <v>303</v>
      </c>
      <c r="M211" t="s">
        <v>323</v>
      </c>
      <c r="N211" t="s">
        <v>63</v>
      </c>
      <c r="O211" s="110">
        <v>29.9</v>
      </c>
      <c r="R211" s="110">
        <v>309.89</v>
      </c>
      <c r="S211" s="110">
        <v>79.900000000000006</v>
      </c>
      <c r="T211" s="110">
        <v>0</v>
      </c>
      <c r="U211" s="110">
        <v>42.99</v>
      </c>
      <c r="X211">
        <v>137.09999999999997</v>
      </c>
      <c r="Y211">
        <v>49.9</v>
      </c>
      <c r="Z211">
        <v>49.9</v>
      </c>
      <c r="AA211">
        <v>0</v>
      </c>
      <c r="AB211" t="s">
        <v>363</v>
      </c>
      <c r="AF211" t="s">
        <v>1336</v>
      </c>
      <c r="AG211" t="s">
        <v>1336</v>
      </c>
      <c r="AH211" t="s">
        <v>1175</v>
      </c>
      <c r="AI211">
        <v>99999</v>
      </c>
      <c r="AJ211">
        <v>99999</v>
      </c>
      <c r="AK211">
        <v>699</v>
      </c>
      <c r="AL211" t="b">
        <v>1</v>
      </c>
      <c r="AM211" t="b">
        <v>1</v>
      </c>
      <c r="AN211" t="b">
        <v>0</v>
      </c>
      <c r="AO211">
        <v>99999</v>
      </c>
      <c r="AP211" t="s">
        <v>64</v>
      </c>
      <c r="AR211" t="b">
        <v>0</v>
      </c>
      <c r="AS211">
        <v>12</v>
      </c>
      <c r="AT211" t="s">
        <v>327</v>
      </c>
      <c r="AV211" t="s">
        <v>1340</v>
      </c>
      <c r="CRL211">
        <v>12</v>
      </c>
    </row>
    <row r="212" spans="1:48 2508:2508" x14ac:dyDescent="0.25">
      <c r="A212" t="s">
        <v>3323</v>
      </c>
      <c r="B212" t="s">
        <v>302</v>
      </c>
      <c r="C212" t="s">
        <v>62</v>
      </c>
      <c r="D212">
        <v>99999</v>
      </c>
      <c r="F212" s="109">
        <v>10000</v>
      </c>
      <c r="G212" t="b">
        <v>0</v>
      </c>
      <c r="H212" t="s">
        <v>333</v>
      </c>
      <c r="K212" t="s">
        <v>364</v>
      </c>
      <c r="L212" t="s">
        <v>303</v>
      </c>
      <c r="M212" t="s">
        <v>323</v>
      </c>
      <c r="N212" t="s">
        <v>63</v>
      </c>
      <c r="O212" s="110">
        <v>29.9</v>
      </c>
      <c r="R212" s="110">
        <v>329.89</v>
      </c>
      <c r="S212" s="110">
        <v>85</v>
      </c>
      <c r="T212" s="110">
        <v>0</v>
      </c>
      <c r="U212" s="110">
        <v>42.99</v>
      </c>
      <c r="X212">
        <v>151.99999999999997</v>
      </c>
      <c r="Y212">
        <v>49.9</v>
      </c>
      <c r="Z212">
        <v>49.9</v>
      </c>
      <c r="AA212">
        <v>0</v>
      </c>
      <c r="AB212" t="s">
        <v>363</v>
      </c>
      <c r="AF212" t="s">
        <v>1484</v>
      </c>
      <c r="AG212" t="s">
        <v>1484</v>
      </c>
      <c r="AH212" t="s">
        <v>1175</v>
      </c>
      <c r="AI212">
        <v>99999</v>
      </c>
      <c r="AJ212">
        <v>99999</v>
      </c>
      <c r="AK212">
        <v>699</v>
      </c>
      <c r="AL212" t="b">
        <v>1</v>
      </c>
      <c r="AM212" t="b">
        <v>1</v>
      </c>
      <c r="AN212" t="b">
        <v>0</v>
      </c>
      <c r="AO212">
        <v>99999</v>
      </c>
      <c r="AP212" t="s">
        <v>64</v>
      </c>
      <c r="AR212" t="b">
        <v>0</v>
      </c>
      <c r="AS212">
        <v>12</v>
      </c>
      <c r="AT212" t="s">
        <v>327</v>
      </c>
      <c r="AV212" t="s">
        <v>1488</v>
      </c>
      <c r="CRL212">
        <v>12</v>
      </c>
    </row>
    <row r="213" spans="1:48 2508:2508" x14ac:dyDescent="0.25">
      <c r="A213" t="s">
        <v>3323</v>
      </c>
      <c r="B213" t="s">
        <v>302</v>
      </c>
      <c r="C213" t="s">
        <v>62</v>
      </c>
      <c r="D213">
        <v>99999</v>
      </c>
      <c r="F213" s="109">
        <v>10000</v>
      </c>
      <c r="G213" t="b">
        <v>0</v>
      </c>
      <c r="H213" t="s">
        <v>333</v>
      </c>
      <c r="K213" t="s">
        <v>364</v>
      </c>
      <c r="L213" t="s">
        <v>303</v>
      </c>
      <c r="M213" t="s">
        <v>323</v>
      </c>
      <c r="N213" t="s">
        <v>63</v>
      </c>
      <c r="O213" s="110">
        <v>39.9</v>
      </c>
      <c r="R213" s="110">
        <v>289.89</v>
      </c>
      <c r="S213" s="110">
        <v>79.900000000000006</v>
      </c>
      <c r="T213" s="110">
        <v>0</v>
      </c>
      <c r="U213" s="110">
        <v>42.99</v>
      </c>
      <c r="X213">
        <v>117.09999999999997</v>
      </c>
      <c r="Y213">
        <v>49.9</v>
      </c>
      <c r="Z213">
        <v>49.9</v>
      </c>
      <c r="AA213">
        <v>0</v>
      </c>
      <c r="AB213" t="s">
        <v>363</v>
      </c>
      <c r="AF213" t="s">
        <v>1269</v>
      </c>
      <c r="AG213" t="s">
        <v>1269</v>
      </c>
      <c r="AH213" t="s">
        <v>1175</v>
      </c>
      <c r="AI213">
        <v>99999</v>
      </c>
      <c r="AJ213">
        <v>99999</v>
      </c>
      <c r="AK213">
        <v>699</v>
      </c>
      <c r="AL213" t="b">
        <v>1</v>
      </c>
      <c r="AM213" t="b">
        <v>1</v>
      </c>
      <c r="AN213" t="b">
        <v>0</v>
      </c>
      <c r="AO213">
        <v>99999</v>
      </c>
      <c r="AP213" t="s">
        <v>64</v>
      </c>
      <c r="AR213" t="b">
        <v>0</v>
      </c>
      <c r="AS213">
        <v>12</v>
      </c>
      <c r="AT213" t="s">
        <v>327</v>
      </c>
      <c r="AV213" t="s">
        <v>1273</v>
      </c>
      <c r="CRL213">
        <v>12</v>
      </c>
    </row>
    <row r="214" spans="1:48 2508:2508" x14ac:dyDescent="0.25">
      <c r="A214" t="s">
        <v>3323</v>
      </c>
      <c r="B214" t="s">
        <v>302</v>
      </c>
      <c r="C214" t="s">
        <v>62</v>
      </c>
      <c r="D214">
        <v>99999</v>
      </c>
      <c r="F214" s="109">
        <v>10000</v>
      </c>
      <c r="G214" t="b">
        <v>0</v>
      </c>
      <c r="H214" t="s">
        <v>333</v>
      </c>
      <c r="K214" t="s">
        <v>364</v>
      </c>
      <c r="L214" t="s">
        <v>303</v>
      </c>
      <c r="M214" t="s">
        <v>323</v>
      </c>
      <c r="N214" t="s">
        <v>63</v>
      </c>
      <c r="O214" s="110">
        <v>39.9</v>
      </c>
      <c r="R214" s="110">
        <v>309.89</v>
      </c>
      <c r="S214" s="110">
        <v>79.900000000000006</v>
      </c>
      <c r="T214" s="110">
        <v>0</v>
      </c>
      <c r="U214" s="110">
        <v>42.99</v>
      </c>
      <c r="X214">
        <v>137.09999999999997</v>
      </c>
      <c r="Y214">
        <v>49.9</v>
      </c>
      <c r="Z214">
        <v>49.9</v>
      </c>
      <c r="AA214">
        <v>0</v>
      </c>
      <c r="AB214" t="s">
        <v>363</v>
      </c>
      <c r="AF214" t="s">
        <v>1403</v>
      </c>
      <c r="AG214" t="s">
        <v>1403</v>
      </c>
      <c r="AH214" t="s">
        <v>1175</v>
      </c>
      <c r="AI214">
        <v>99999</v>
      </c>
      <c r="AJ214">
        <v>99999</v>
      </c>
      <c r="AK214">
        <v>699</v>
      </c>
      <c r="AL214" t="b">
        <v>1</v>
      </c>
      <c r="AM214" t="b">
        <v>1</v>
      </c>
      <c r="AN214" t="b">
        <v>0</v>
      </c>
      <c r="AO214">
        <v>99999</v>
      </c>
      <c r="AP214" t="s">
        <v>64</v>
      </c>
      <c r="AR214" t="b">
        <v>0</v>
      </c>
      <c r="AS214">
        <v>12</v>
      </c>
      <c r="AT214" t="s">
        <v>327</v>
      </c>
      <c r="AV214" t="s">
        <v>1407</v>
      </c>
      <c r="CRL214">
        <v>12</v>
      </c>
    </row>
    <row r="215" spans="1:48 2508:2508" x14ac:dyDescent="0.25">
      <c r="A215" t="s">
        <v>3323</v>
      </c>
      <c r="B215" t="s">
        <v>302</v>
      </c>
      <c r="C215" t="s">
        <v>62</v>
      </c>
      <c r="D215">
        <v>99999</v>
      </c>
      <c r="F215" s="109">
        <v>10000</v>
      </c>
      <c r="G215" t="b">
        <v>0</v>
      </c>
      <c r="H215" t="s">
        <v>333</v>
      </c>
      <c r="K215" t="s">
        <v>364</v>
      </c>
      <c r="L215" t="s">
        <v>303</v>
      </c>
      <c r="M215" t="s">
        <v>323</v>
      </c>
      <c r="N215" t="s">
        <v>63</v>
      </c>
      <c r="O215" s="110">
        <v>39.9</v>
      </c>
      <c r="R215" s="110">
        <v>329.89</v>
      </c>
      <c r="S215" s="110">
        <v>85</v>
      </c>
      <c r="T215" s="110">
        <v>0</v>
      </c>
      <c r="U215" s="110">
        <v>42.99</v>
      </c>
      <c r="X215">
        <v>151.99999999999997</v>
      </c>
      <c r="Y215">
        <v>49.9</v>
      </c>
      <c r="Z215">
        <v>49.9</v>
      </c>
      <c r="AA215">
        <v>0</v>
      </c>
      <c r="AB215" t="s">
        <v>363</v>
      </c>
      <c r="AF215" t="s">
        <v>1551</v>
      </c>
      <c r="AG215" t="s">
        <v>1551</v>
      </c>
      <c r="AH215" t="s">
        <v>1175</v>
      </c>
      <c r="AI215">
        <v>99999</v>
      </c>
      <c r="AJ215">
        <v>99999</v>
      </c>
      <c r="AK215">
        <v>699</v>
      </c>
      <c r="AL215" t="b">
        <v>1</v>
      </c>
      <c r="AM215" t="b">
        <v>1</v>
      </c>
      <c r="AN215" t="b">
        <v>0</v>
      </c>
      <c r="AO215">
        <v>99999</v>
      </c>
      <c r="AP215" t="s">
        <v>64</v>
      </c>
      <c r="AR215" t="b">
        <v>0</v>
      </c>
      <c r="AS215">
        <v>12</v>
      </c>
      <c r="AT215" t="s">
        <v>327</v>
      </c>
      <c r="AV215" t="s">
        <v>1555</v>
      </c>
      <c r="CRL215">
        <v>12</v>
      </c>
    </row>
    <row r="216" spans="1:48 2508:2508" x14ac:dyDescent="0.25">
      <c r="A216" t="s">
        <v>3323</v>
      </c>
      <c r="B216" t="s">
        <v>302</v>
      </c>
      <c r="C216" t="s">
        <v>62</v>
      </c>
      <c r="D216">
        <v>99999</v>
      </c>
      <c r="F216" s="109">
        <v>10000</v>
      </c>
      <c r="G216" t="b">
        <v>0</v>
      </c>
      <c r="H216" t="s">
        <v>333</v>
      </c>
      <c r="K216" t="s">
        <v>364</v>
      </c>
      <c r="L216" t="s">
        <v>303</v>
      </c>
      <c r="M216" t="s">
        <v>323</v>
      </c>
      <c r="N216" t="s">
        <v>63</v>
      </c>
      <c r="O216" s="110">
        <v>49.9</v>
      </c>
      <c r="R216" s="110">
        <v>315.68999999999994</v>
      </c>
      <c r="S216" s="110">
        <v>130</v>
      </c>
      <c r="T216" s="110">
        <v>0</v>
      </c>
      <c r="U216" s="110">
        <v>34.99</v>
      </c>
      <c r="X216">
        <v>100.79999999999998</v>
      </c>
      <c r="Y216">
        <v>49.9</v>
      </c>
      <c r="Z216">
        <v>49.9</v>
      </c>
      <c r="AA216">
        <v>0</v>
      </c>
      <c r="AB216" t="s">
        <v>363</v>
      </c>
      <c r="AF216" t="s">
        <v>2771</v>
      </c>
      <c r="AG216" t="s">
        <v>2771</v>
      </c>
      <c r="AH216" t="s">
        <v>1175</v>
      </c>
      <c r="AI216">
        <v>99999</v>
      </c>
      <c r="AJ216">
        <v>99999</v>
      </c>
      <c r="AK216">
        <v>699</v>
      </c>
      <c r="AL216" t="b">
        <v>1</v>
      </c>
      <c r="AM216" t="b">
        <v>1</v>
      </c>
      <c r="AN216" t="b">
        <v>0</v>
      </c>
      <c r="AO216">
        <v>99999</v>
      </c>
      <c r="AP216" t="s">
        <v>64</v>
      </c>
      <c r="AR216" t="b">
        <v>0</v>
      </c>
      <c r="AS216">
        <v>12</v>
      </c>
      <c r="AT216" t="s">
        <v>327</v>
      </c>
      <c r="AV216" t="s">
        <v>2775</v>
      </c>
      <c r="CRL216">
        <v>12</v>
      </c>
    </row>
    <row r="217" spans="1:48 2508:2508" x14ac:dyDescent="0.25">
      <c r="A217" t="s">
        <v>3323</v>
      </c>
      <c r="B217" t="s">
        <v>302</v>
      </c>
      <c r="C217" t="s">
        <v>62</v>
      </c>
      <c r="D217">
        <v>99999</v>
      </c>
      <c r="F217" s="109">
        <v>10000</v>
      </c>
      <c r="G217" t="b">
        <v>0</v>
      </c>
      <c r="H217" t="s">
        <v>333</v>
      </c>
      <c r="K217" t="s">
        <v>364</v>
      </c>
      <c r="L217" t="s">
        <v>303</v>
      </c>
      <c r="M217" t="s">
        <v>323</v>
      </c>
      <c r="N217" t="s">
        <v>63</v>
      </c>
      <c r="O217" s="110">
        <v>49.9</v>
      </c>
      <c r="R217" s="110">
        <v>339.98999999999995</v>
      </c>
      <c r="S217" s="110">
        <v>130</v>
      </c>
      <c r="T217" s="110">
        <v>0</v>
      </c>
      <c r="U217" s="110">
        <v>42.99</v>
      </c>
      <c r="X217">
        <v>117.09999999999997</v>
      </c>
      <c r="Y217">
        <v>49.9</v>
      </c>
      <c r="Z217">
        <v>49.9</v>
      </c>
      <c r="AA217">
        <v>0</v>
      </c>
      <c r="AB217" t="s">
        <v>363</v>
      </c>
      <c r="AF217" t="s">
        <v>2845</v>
      </c>
      <c r="AG217" t="s">
        <v>2845</v>
      </c>
      <c r="AH217" t="s">
        <v>1175</v>
      </c>
      <c r="AI217">
        <v>99999</v>
      </c>
      <c r="AJ217">
        <v>99999</v>
      </c>
      <c r="AK217">
        <v>699</v>
      </c>
      <c r="AL217" t="b">
        <v>1</v>
      </c>
      <c r="AM217" t="b">
        <v>1</v>
      </c>
      <c r="AN217" t="b">
        <v>0</v>
      </c>
      <c r="AO217">
        <v>99999</v>
      </c>
      <c r="AP217" t="s">
        <v>64</v>
      </c>
      <c r="AR217" t="b">
        <v>0</v>
      </c>
      <c r="AS217">
        <v>12</v>
      </c>
      <c r="AT217" t="s">
        <v>327</v>
      </c>
      <c r="AV217" t="s">
        <v>2849</v>
      </c>
      <c r="CRL217">
        <v>12</v>
      </c>
    </row>
    <row r="218" spans="1:48 2508:2508" x14ac:dyDescent="0.25">
      <c r="A218" t="s">
        <v>3323</v>
      </c>
      <c r="B218" t="s">
        <v>302</v>
      </c>
      <c r="C218" t="s">
        <v>62</v>
      </c>
      <c r="D218">
        <v>99999</v>
      </c>
      <c r="F218" s="109">
        <v>10000</v>
      </c>
      <c r="G218" t="b">
        <v>0</v>
      </c>
      <c r="H218" t="s">
        <v>333</v>
      </c>
      <c r="K218" t="s">
        <v>364</v>
      </c>
      <c r="L218" t="s">
        <v>303</v>
      </c>
      <c r="M218" t="s">
        <v>323</v>
      </c>
      <c r="N218" t="s">
        <v>63</v>
      </c>
      <c r="O218" s="110">
        <v>49.9</v>
      </c>
      <c r="R218" s="110">
        <v>359.98999999999995</v>
      </c>
      <c r="S218" s="110">
        <v>130</v>
      </c>
      <c r="T218" s="110">
        <v>0</v>
      </c>
      <c r="U218" s="110">
        <v>42.99</v>
      </c>
      <c r="X218">
        <v>137.09999999999997</v>
      </c>
      <c r="Y218">
        <v>49.9</v>
      </c>
      <c r="Z218">
        <v>49.9</v>
      </c>
      <c r="AA218">
        <v>0</v>
      </c>
      <c r="AB218" t="s">
        <v>363</v>
      </c>
      <c r="AF218" t="s">
        <v>2912</v>
      </c>
      <c r="AG218" t="s">
        <v>2912</v>
      </c>
      <c r="AH218" t="s">
        <v>1175</v>
      </c>
      <c r="AI218">
        <v>99999</v>
      </c>
      <c r="AJ218">
        <v>99999</v>
      </c>
      <c r="AK218">
        <v>699</v>
      </c>
      <c r="AL218" t="b">
        <v>1</v>
      </c>
      <c r="AM218" t="b">
        <v>1</v>
      </c>
      <c r="AN218" t="b">
        <v>0</v>
      </c>
      <c r="AO218">
        <v>99999</v>
      </c>
      <c r="AP218" t="s">
        <v>64</v>
      </c>
      <c r="AR218" t="b">
        <v>0</v>
      </c>
      <c r="AS218">
        <v>12</v>
      </c>
      <c r="AT218" t="s">
        <v>327</v>
      </c>
      <c r="AV218" t="s">
        <v>2916</v>
      </c>
      <c r="CRL218">
        <v>12</v>
      </c>
    </row>
    <row r="219" spans="1:48 2508:2508" x14ac:dyDescent="0.25">
      <c r="A219" t="s">
        <v>3323</v>
      </c>
      <c r="B219" t="s">
        <v>302</v>
      </c>
      <c r="C219" t="s">
        <v>62</v>
      </c>
      <c r="D219">
        <v>99999</v>
      </c>
      <c r="F219" s="109">
        <v>10000</v>
      </c>
      <c r="G219" t="b">
        <v>0</v>
      </c>
      <c r="H219" t="s">
        <v>333</v>
      </c>
      <c r="K219" t="s">
        <v>364</v>
      </c>
      <c r="L219" t="s">
        <v>303</v>
      </c>
      <c r="M219" t="s">
        <v>323</v>
      </c>
      <c r="N219" t="s">
        <v>63</v>
      </c>
      <c r="O219" s="110">
        <v>49.9</v>
      </c>
      <c r="R219" s="110">
        <v>374.89</v>
      </c>
      <c r="S219" s="110">
        <v>130</v>
      </c>
      <c r="T219" s="110">
        <v>0</v>
      </c>
      <c r="U219" s="110">
        <v>42.99</v>
      </c>
      <c r="X219">
        <v>151.99999999999997</v>
      </c>
      <c r="Y219">
        <v>49.9</v>
      </c>
      <c r="Z219">
        <v>49.9</v>
      </c>
      <c r="AA219">
        <v>0</v>
      </c>
      <c r="AB219" t="s">
        <v>363</v>
      </c>
      <c r="AF219" t="s">
        <v>2986</v>
      </c>
      <c r="AG219" t="s">
        <v>2986</v>
      </c>
      <c r="AH219" t="s">
        <v>1175</v>
      </c>
      <c r="AI219">
        <v>99999</v>
      </c>
      <c r="AJ219">
        <v>99999</v>
      </c>
      <c r="AK219">
        <v>699</v>
      </c>
      <c r="AL219" t="b">
        <v>1</v>
      </c>
      <c r="AM219" t="b">
        <v>1</v>
      </c>
      <c r="AN219" t="b">
        <v>0</v>
      </c>
      <c r="AO219">
        <v>99999</v>
      </c>
      <c r="AP219" t="s">
        <v>64</v>
      </c>
      <c r="AR219" t="b">
        <v>0</v>
      </c>
      <c r="AS219">
        <v>12</v>
      </c>
      <c r="AT219" t="s">
        <v>327</v>
      </c>
      <c r="AV219" t="s">
        <v>2990</v>
      </c>
      <c r="CRL219">
        <v>12</v>
      </c>
    </row>
    <row r="220" spans="1:48 2508:2508" x14ac:dyDescent="0.25">
      <c r="A220" t="s">
        <v>3323</v>
      </c>
      <c r="B220" t="s">
        <v>302</v>
      </c>
      <c r="C220" t="s">
        <v>62</v>
      </c>
      <c r="D220">
        <v>99999</v>
      </c>
      <c r="F220" s="109">
        <v>10000</v>
      </c>
      <c r="G220" t="b">
        <v>0</v>
      </c>
      <c r="H220" t="s">
        <v>333</v>
      </c>
      <c r="K220" t="s">
        <v>379</v>
      </c>
      <c r="L220" t="s">
        <v>303</v>
      </c>
      <c r="M220" t="s">
        <v>323</v>
      </c>
      <c r="N220" t="s">
        <v>63</v>
      </c>
      <c r="O220" s="110">
        <v>29.9</v>
      </c>
      <c r="R220" s="110">
        <v>299.89</v>
      </c>
      <c r="S220" s="110">
        <v>79.900000000000006</v>
      </c>
      <c r="T220" s="110">
        <v>0</v>
      </c>
      <c r="U220" s="110">
        <v>42.99</v>
      </c>
      <c r="X220">
        <v>117.09999999999997</v>
      </c>
      <c r="Y220">
        <v>59.9</v>
      </c>
      <c r="Z220">
        <v>59.9</v>
      </c>
      <c r="AA220">
        <v>0</v>
      </c>
      <c r="AB220" t="s">
        <v>363</v>
      </c>
      <c r="AF220" t="s">
        <v>1202</v>
      </c>
      <c r="AG220" t="s">
        <v>1202</v>
      </c>
      <c r="AH220" t="s">
        <v>1175</v>
      </c>
      <c r="AI220">
        <v>99999</v>
      </c>
      <c r="AJ220">
        <v>99999</v>
      </c>
      <c r="AK220">
        <v>699</v>
      </c>
      <c r="AL220" t="b">
        <v>1</v>
      </c>
      <c r="AM220" t="b">
        <v>1</v>
      </c>
      <c r="AN220" t="b">
        <v>0</v>
      </c>
      <c r="AO220">
        <v>99999</v>
      </c>
      <c r="AP220" t="s">
        <v>64</v>
      </c>
      <c r="AR220" t="b">
        <v>0</v>
      </c>
      <c r="AS220">
        <v>12</v>
      </c>
      <c r="AT220" t="s">
        <v>327</v>
      </c>
      <c r="AV220" t="s">
        <v>1219</v>
      </c>
      <c r="CRL220">
        <v>12</v>
      </c>
    </row>
    <row r="221" spans="1:48 2508:2508" x14ac:dyDescent="0.25">
      <c r="A221" t="s">
        <v>3323</v>
      </c>
      <c r="B221" t="s">
        <v>302</v>
      </c>
      <c r="C221" t="s">
        <v>62</v>
      </c>
      <c r="D221">
        <v>99999</v>
      </c>
      <c r="F221" s="109">
        <v>10000</v>
      </c>
      <c r="G221" t="b">
        <v>0</v>
      </c>
      <c r="H221" t="s">
        <v>333</v>
      </c>
      <c r="K221" t="s">
        <v>379</v>
      </c>
      <c r="L221" t="s">
        <v>303</v>
      </c>
      <c r="M221" t="s">
        <v>323</v>
      </c>
      <c r="N221" t="s">
        <v>63</v>
      </c>
      <c r="O221" s="110">
        <v>29.9</v>
      </c>
      <c r="R221" s="110">
        <v>319.89</v>
      </c>
      <c r="S221" s="110">
        <v>79.900000000000006</v>
      </c>
      <c r="T221" s="110">
        <v>0</v>
      </c>
      <c r="U221" s="110">
        <v>42.99</v>
      </c>
      <c r="X221">
        <v>137.09999999999997</v>
      </c>
      <c r="Y221">
        <v>59.9</v>
      </c>
      <c r="Z221">
        <v>59.9</v>
      </c>
      <c r="AA221">
        <v>0</v>
      </c>
      <c r="AB221" t="s">
        <v>363</v>
      </c>
      <c r="AF221" t="s">
        <v>1336</v>
      </c>
      <c r="AG221" t="s">
        <v>1336</v>
      </c>
      <c r="AH221" t="s">
        <v>1175</v>
      </c>
      <c r="AI221">
        <v>99999</v>
      </c>
      <c r="AJ221">
        <v>99999</v>
      </c>
      <c r="AK221">
        <v>699</v>
      </c>
      <c r="AL221" t="b">
        <v>1</v>
      </c>
      <c r="AM221" t="b">
        <v>1</v>
      </c>
      <c r="AN221" t="b">
        <v>0</v>
      </c>
      <c r="AO221">
        <v>99999</v>
      </c>
      <c r="AP221" t="s">
        <v>64</v>
      </c>
      <c r="AR221" t="b">
        <v>0</v>
      </c>
      <c r="AS221">
        <v>12</v>
      </c>
      <c r="AT221" t="s">
        <v>327</v>
      </c>
      <c r="AV221" t="s">
        <v>1353</v>
      </c>
      <c r="CRL221">
        <v>12</v>
      </c>
    </row>
    <row r="222" spans="1:48 2508:2508" x14ac:dyDescent="0.25">
      <c r="A222" t="s">
        <v>3323</v>
      </c>
      <c r="B222" t="s">
        <v>302</v>
      </c>
      <c r="C222" t="s">
        <v>62</v>
      </c>
      <c r="D222">
        <v>99999</v>
      </c>
      <c r="F222" s="109">
        <v>10000</v>
      </c>
      <c r="G222" t="b">
        <v>0</v>
      </c>
      <c r="H222" t="s">
        <v>333</v>
      </c>
      <c r="K222" t="s">
        <v>379</v>
      </c>
      <c r="L222" t="s">
        <v>303</v>
      </c>
      <c r="M222" t="s">
        <v>323</v>
      </c>
      <c r="N222" t="s">
        <v>63</v>
      </c>
      <c r="O222" s="110">
        <v>29.9</v>
      </c>
      <c r="R222" s="110">
        <v>339.89</v>
      </c>
      <c r="S222" s="110">
        <v>85</v>
      </c>
      <c r="T222" s="110">
        <v>0</v>
      </c>
      <c r="U222" s="110">
        <v>42.99</v>
      </c>
      <c r="X222">
        <v>151.99999999999997</v>
      </c>
      <c r="Y222">
        <v>59.9</v>
      </c>
      <c r="Z222">
        <v>59.9</v>
      </c>
      <c r="AA222">
        <v>0</v>
      </c>
      <c r="AB222" t="s">
        <v>363</v>
      </c>
      <c r="AF222" t="s">
        <v>1484</v>
      </c>
      <c r="AG222" t="s">
        <v>1484</v>
      </c>
      <c r="AH222" t="s">
        <v>1175</v>
      </c>
      <c r="AI222">
        <v>99999</v>
      </c>
      <c r="AJ222">
        <v>99999</v>
      </c>
      <c r="AK222">
        <v>699</v>
      </c>
      <c r="AL222" t="b">
        <v>1</v>
      </c>
      <c r="AM222" t="b">
        <v>1</v>
      </c>
      <c r="AN222" t="b">
        <v>0</v>
      </c>
      <c r="AO222">
        <v>99999</v>
      </c>
      <c r="AP222" t="s">
        <v>64</v>
      </c>
      <c r="AR222" t="b">
        <v>0</v>
      </c>
      <c r="AS222">
        <v>12</v>
      </c>
      <c r="AT222" t="s">
        <v>327</v>
      </c>
      <c r="AV222" t="s">
        <v>1501</v>
      </c>
      <c r="CRL222">
        <v>12</v>
      </c>
    </row>
    <row r="223" spans="1:48 2508:2508" x14ac:dyDescent="0.25">
      <c r="A223" t="s">
        <v>3323</v>
      </c>
      <c r="B223" t="s">
        <v>302</v>
      </c>
      <c r="C223" t="s">
        <v>62</v>
      </c>
      <c r="D223">
        <v>99999</v>
      </c>
      <c r="F223" s="109">
        <v>10000</v>
      </c>
      <c r="G223" t="b">
        <v>0</v>
      </c>
      <c r="H223" t="s">
        <v>333</v>
      </c>
      <c r="K223" t="s">
        <v>379</v>
      </c>
      <c r="L223" t="s">
        <v>303</v>
      </c>
      <c r="M223" t="s">
        <v>323</v>
      </c>
      <c r="N223" t="s">
        <v>63</v>
      </c>
      <c r="O223" s="110">
        <v>39.9</v>
      </c>
      <c r="R223" s="110">
        <v>299.89</v>
      </c>
      <c r="S223" s="110">
        <v>79.900000000000006</v>
      </c>
      <c r="T223" s="110">
        <v>0</v>
      </c>
      <c r="U223" s="110">
        <v>42.99</v>
      </c>
      <c r="X223">
        <v>117.09999999999997</v>
      </c>
      <c r="Y223">
        <v>59.9</v>
      </c>
      <c r="Z223">
        <v>59.9</v>
      </c>
      <c r="AA223">
        <v>0</v>
      </c>
      <c r="AB223" t="s">
        <v>363</v>
      </c>
      <c r="AF223" t="s">
        <v>1269</v>
      </c>
      <c r="AG223" t="s">
        <v>1269</v>
      </c>
      <c r="AH223" t="s">
        <v>1175</v>
      </c>
      <c r="AI223">
        <v>99999</v>
      </c>
      <c r="AJ223">
        <v>99999</v>
      </c>
      <c r="AK223">
        <v>699</v>
      </c>
      <c r="AL223" t="b">
        <v>1</v>
      </c>
      <c r="AM223" t="b">
        <v>1</v>
      </c>
      <c r="AN223" t="b">
        <v>0</v>
      </c>
      <c r="AO223">
        <v>99999</v>
      </c>
      <c r="AP223" t="s">
        <v>64</v>
      </c>
      <c r="AR223" t="b">
        <v>0</v>
      </c>
      <c r="AS223">
        <v>12</v>
      </c>
      <c r="AT223" t="s">
        <v>327</v>
      </c>
      <c r="AV223" t="s">
        <v>1286</v>
      </c>
      <c r="CRL223">
        <v>12</v>
      </c>
    </row>
    <row r="224" spans="1:48 2508:2508" x14ac:dyDescent="0.25">
      <c r="A224" t="s">
        <v>3323</v>
      </c>
      <c r="B224" t="s">
        <v>302</v>
      </c>
      <c r="C224" t="s">
        <v>62</v>
      </c>
      <c r="D224">
        <v>99999</v>
      </c>
      <c r="F224" s="109">
        <v>10000</v>
      </c>
      <c r="G224" t="b">
        <v>0</v>
      </c>
      <c r="H224" t="s">
        <v>333</v>
      </c>
      <c r="K224" t="s">
        <v>379</v>
      </c>
      <c r="L224" t="s">
        <v>303</v>
      </c>
      <c r="M224" t="s">
        <v>323</v>
      </c>
      <c r="N224" t="s">
        <v>63</v>
      </c>
      <c r="O224" s="110">
        <v>39.9</v>
      </c>
      <c r="R224" s="110">
        <v>319.89</v>
      </c>
      <c r="S224" s="110">
        <v>79.900000000000006</v>
      </c>
      <c r="T224" s="110">
        <v>0</v>
      </c>
      <c r="U224" s="110">
        <v>42.99</v>
      </c>
      <c r="X224">
        <v>137.09999999999997</v>
      </c>
      <c r="Y224">
        <v>59.9</v>
      </c>
      <c r="Z224">
        <v>59.9</v>
      </c>
      <c r="AA224">
        <v>0</v>
      </c>
      <c r="AB224" t="s">
        <v>363</v>
      </c>
      <c r="AF224" t="s">
        <v>1403</v>
      </c>
      <c r="AG224" t="s">
        <v>1403</v>
      </c>
      <c r="AH224" t="s">
        <v>1175</v>
      </c>
      <c r="AI224">
        <v>99999</v>
      </c>
      <c r="AJ224">
        <v>99999</v>
      </c>
      <c r="AK224">
        <v>699</v>
      </c>
      <c r="AL224" t="b">
        <v>1</v>
      </c>
      <c r="AM224" t="b">
        <v>1</v>
      </c>
      <c r="AN224" t="b">
        <v>0</v>
      </c>
      <c r="AO224">
        <v>99999</v>
      </c>
      <c r="AP224" t="s">
        <v>64</v>
      </c>
      <c r="AR224" t="b">
        <v>0</v>
      </c>
      <c r="AS224">
        <v>12</v>
      </c>
      <c r="AT224" t="s">
        <v>327</v>
      </c>
      <c r="AV224" t="s">
        <v>1420</v>
      </c>
      <c r="CRL224">
        <v>12</v>
      </c>
    </row>
    <row r="225" spans="1:48 2508:2508" x14ac:dyDescent="0.25">
      <c r="A225" t="s">
        <v>3323</v>
      </c>
      <c r="B225" t="s">
        <v>302</v>
      </c>
      <c r="C225" t="s">
        <v>62</v>
      </c>
      <c r="D225">
        <v>99999</v>
      </c>
      <c r="F225" s="109">
        <v>10000</v>
      </c>
      <c r="G225" t="b">
        <v>0</v>
      </c>
      <c r="H225" t="s">
        <v>333</v>
      </c>
      <c r="K225" t="s">
        <v>379</v>
      </c>
      <c r="L225" t="s">
        <v>303</v>
      </c>
      <c r="M225" t="s">
        <v>323</v>
      </c>
      <c r="N225" t="s">
        <v>63</v>
      </c>
      <c r="O225" s="110">
        <v>39.9</v>
      </c>
      <c r="R225" s="110">
        <v>339.89</v>
      </c>
      <c r="S225" s="110">
        <v>85</v>
      </c>
      <c r="T225" s="110">
        <v>0</v>
      </c>
      <c r="U225" s="110">
        <v>42.99</v>
      </c>
      <c r="X225">
        <v>151.99999999999997</v>
      </c>
      <c r="Y225">
        <v>59.9</v>
      </c>
      <c r="Z225">
        <v>59.9</v>
      </c>
      <c r="AA225">
        <v>0</v>
      </c>
      <c r="AB225" t="s">
        <v>363</v>
      </c>
      <c r="AF225" t="s">
        <v>1551</v>
      </c>
      <c r="AG225" t="s">
        <v>1551</v>
      </c>
      <c r="AH225" t="s">
        <v>1175</v>
      </c>
      <c r="AI225">
        <v>99999</v>
      </c>
      <c r="AJ225">
        <v>99999</v>
      </c>
      <c r="AK225">
        <v>699</v>
      </c>
      <c r="AL225" t="b">
        <v>1</v>
      </c>
      <c r="AM225" t="b">
        <v>1</v>
      </c>
      <c r="AN225" t="b">
        <v>0</v>
      </c>
      <c r="AO225">
        <v>99999</v>
      </c>
      <c r="AP225" t="s">
        <v>64</v>
      </c>
      <c r="AR225" t="b">
        <v>0</v>
      </c>
      <c r="AS225">
        <v>12</v>
      </c>
      <c r="AT225" t="s">
        <v>327</v>
      </c>
      <c r="AV225" t="s">
        <v>1568</v>
      </c>
      <c r="CRL225">
        <v>12</v>
      </c>
    </row>
    <row r="226" spans="1:48 2508:2508" x14ac:dyDescent="0.25">
      <c r="A226" t="s">
        <v>3323</v>
      </c>
      <c r="B226" t="s">
        <v>302</v>
      </c>
      <c r="C226" t="s">
        <v>62</v>
      </c>
      <c r="D226">
        <v>99999</v>
      </c>
      <c r="F226" s="109">
        <v>10000</v>
      </c>
      <c r="G226" t="b">
        <v>0</v>
      </c>
      <c r="H226" t="s">
        <v>333</v>
      </c>
      <c r="K226" t="s">
        <v>379</v>
      </c>
      <c r="L226" t="s">
        <v>303</v>
      </c>
      <c r="M226" t="s">
        <v>323</v>
      </c>
      <c r="N226" t="s">
        <v>63</v>
      </c>
      <c r="O226" s="110">
        <v>49.9</v>
      </c>
      <c r="R226" s="110">
        <v>325.68999999999994</v>
      </c>
      <c r="S226" s="110">
        <v>130</v>
      </c>
      <c r="T226" s="110">
        <v>0</v>
      </c>
      <c r="U226" s="110">
        <v>34.99</v>
      </c>
      <c r="X226">
        <v>100.79999999999998</v>
      </c>
      <c r="Y226">
        <v>59.9</v>
      </c>
      <c r="Z226">
        <v>59.9</v>
      </c>
      <c r="AA226">
        <v>0</v>
      </c>
      <c r="AB226" t="s">
        <v>363</v>
      </c>
      <c r="AF226" t="s">
        <v>2771</v>
      </c>
      <c r="AG226" t="s">
        <v>2771</v>
      </c>
      <c r="AH226" t="s">
        <v>1175</v>
      </c>
      <c r="AI226">
        <v>99999</v>
      </c>
      <c r="AJ226">
        <v>99999</v>
      </c>
      <c r="AK226">
        <v>699</v>
      </c>
      <c r="AL226" t="b">
        <v>1</v>
      </c>
      <c r="AM226" t="b">
        <v>1</v>
      </c>
      <c r="AN226" t="b">
        <v>0</v>
      </c>
      <c r="AO226">
        <v>99999</v>
      </c>
      <c r="AP226" t="s">
        <v>64</v>
      </c>
      <c r="AR226" t="b">
        <v>0</v>
      </c>
      <c r="AS226">
        <v>12</v>
      </c>
      <c r="AT226" t="s">
        <v>327</v>
      </c>
      <c r="AV226" t="s">
        <v>2788</v>
      </c>
      <c r="CRL226">
        <v>12</v>
      </c>
    </row>
    <row r="227" spans="1:48 2508:2508" x14ac:dyDescent="0.25">
      <c r="A227" t="s">
        <v>3323</v>
      </c>
      <c r="B227" t="s">
        <v>302</v>
      </c>
      <c r="C227" t="s">
        <v>62</v>
      </c>
      <c r="D227">
        <v>99999</v>
      </c>
      <c r="F227" s="109">
        <v>10000</v>
      </c>
      <c r="G227" t="b">
        <v>0</v>
      </c>
      <c r="H227" t="s">
        <v>333</v>
      </c>
      <c r="K227" t="s">
        <v>379</v>
      </c>
      <c r="L227" t="s">
        <v>303</v>
      </c>
      <c r="M227" t="s">
        <v>323</v>
      </c>
      <c r="N227" t="s">
        <v>63</v>
      </c>
      <c r="O227" s="110">
        <v>49.9</v>
      </c>
      <c r="R227" s="110">
        <v>349.98999999999995</v>
      </c>
      <c r="S227" s="110">
        <v>130</v>
      </c>
      <c r="T227" s="110">
        <v>0</v>
      </c>
      <c r="U227" s="110">
        <v>42.99</v>
      </c>
      <c r="X227">
        <v>117.09999999999997</v>
      </c>
      <c r="Y227">
        <v>59.9</v>
      </c>
      <c r="Z227">
        <v>59.9</v>
      </c>
      <c r="AA227">
        <v>0</v>
      </c>
      <c r="AB227" t="s">
        <v>363</v>
      </c>
      <c r="AF227" t="s">
        <v>2845</v>
      </c>
      <c r="AG227" t="s">
        <v>2845</v>
      </c>
      <c r="AH227" t="s">
        <v>1175</v>
      </c>
      <c r="AI227">
        <v>99999</v>
      </c>
      <c r="AJ227">
        <v>99999</v>
      </c>
      <c r="AK227">
        <v>699</v>
      </c>
      <c r="AL227" t="b">
        <v>1</v>
      </c>
      <c r="AM227" t="b">
        <v>1</v>
      </c>
      <c r="AN227" t="b">
        <v>0</v>
      </c>
      <c r="AO227">
        <v>99999</v>
      </c>
      <c r="AP227" t="s">
        <v>64</v>
      </c>
      <c r="AR227" t="b">
        <v>0</v>
      </c>
      <c r="AS227">
        <v>12</v>
      </c>
      <c r="AT227" t="s">
        <v>327</v>
      </c>
      <c r="AV227" t="s">
        <v>2862</v>
      </c>
      <c r="CRL227">
        <v>12</v>
      </c>
    </row>
    <row r="228" spans="1:48 2508:2508" x14ac:dyDescent="0.25">
      <c r="A228" t="s">
        <v>3323</v>
      </c>
      <c r="B228" t="s">
        <v>302</v>
      </c>
      <c r="C228" t="s">
        <v>62</v>
      </c>
      <c r="D228">
        <v>99999</v>
      </c>
      <c r="F228" s="109">
        <v>10000</v>
      </c>
      <c r="G228" t="b">
        <v>0</v>
      </c>
      <c r="H228" t="s">
        <v>333</v>
      </c>
      <c r="K228" t="s">
        <v>379</v>
      </c>
      <c r="L228" t="s">
        <v>303</v>
      </c>
      <c r="M228" t="s">
        <v>323</v>
      </c>
      <c r="N228" t="s">
        <v>63</v>
      </c>
      <c r="O228" s="110">
        <v>49.9</v>
      </c>
      <c r="R228" s="110">
        <v>369.98999999999995</v>
      </c>
      <c r="S228" s="110">
        <v>130</v>
      </c>
      <c r="T228" s="110">
        <v>0</v>
      </c>
      <c r="U228" s="110">
        <v>42.99</v>
      </c>
      <c r="X228">
        <v>137.09999999999997</v>
      </c>
      <c r="Y228">
        <v>59.9</v>
      </c>
      <c r="Z228">
        <v>59.9</v>
      </c>
      <c r="AA228">
        <v>0</v>
      </c>
      <c r="AB228" t="s">
        <v>363</v>
      </c>
      <c r="AF228" t="s">
        <v>2912</v>
      </c>
      <c r="AG228" t="s">
        <v>2912</v>
      </c>
      <c r="AH228" t="s">
        <v>1175</v>
      </c>
      <c r="AI228">
        <v>99999</v>
      </c>
      <c r="AJ228">
        <v>99999</v>
      </c>
      <c r="AK228">
        <v>699</v>
      </c>
      <c r="AL228" t="b">
        <v>1</v>
      </c>
      <c r="AM228" t="b">
        <v>1</v>
      </c>
      <c r="AN228" t="b">
        <v>0</v>
      </c>
      <c r="AO228">
        <v>99999</v>
      </c>
      <c r="AP228" t="s">
        <v>64</v>
      </c>
      <c r="AR228" t="b">
        <v>0</v>
      </c>
      <c r="AS228">
        <v>12</v>
      </c>
      <c r="AT228" t="s">
        <v>327</v>
      </c>
      <c r="AV228" t="s">
        <v>2929</v>
      </c>
      <c r="CRL228">
        <v>12</v>
      </c>
    </row>
    <row r="229" spans="1:48 2508:2508" x14ac:dyDescent="0.25">
      <c r="A229" t="s">
        <v>3323</v>
      </c>
      <c r="B229" t="s">
        <v>302</v>
      </c>
      <c r="C229" t="s">
        <v>62</v>
      </c>
      <c r="D229">
        <v>99999</v>
      </c>
      <c r="F229" s="109">
        <v>10000</v>
      </c>
      <c r="G229" t="b">
        <v>0</v>
      </c>
      <c r="H229" t="s">
        <v>333</v>
      </c>
      <c r="K229" t="s">
        <v>379</v>
      </c>
      <c r="L229" t="s">
        <v>303</v>
      </c>
      <c r="M229" t="s">
        <v>323</v>
      </c>
      <c r="N229" t="s">
        <v>63</v>
      </c>
      <c r="O229" s="110">
        <v>49.9</v>
      </c>
      <c r="R229" s="110">
        <v>384.89</v>
      </c>
      <c r="S229" s="110">
        <v>130</v>
      </c>
      <c r="T229" s="110">
        <v>0</v>
      </c>
      <c r="U229" s="110">
        <v>42.99</v>
      </c>
      <c r="X229">
        <v>151.99999999999997</v>
      </c>
      <c r="Y229">
        <v>59.9</v>
      </c>
      <c r="Z229">
        <v>59.9</v>
      </c>
      <c r="AA229">
        <v>0</v>
      </c>
      <c r="AB229" t="s">
        <v>363</v>
      </c>
      <c r="AF229" t="s">
        <v>2986</v>
      </c>
      <c r="AG229" t="s">
        <v>2986</v>
      </c>
      <c r="AH229" t="s">
        <v>1175</v>
      </c>
      <c r="AI229">
        <v>99999</v>
      </c>
      <c r="AJ229">
        <v>99999</v>
      </c>
      <c r="AK229">
        <v>699</v>
      </c>
      <c r="AL229" t="b">
        <v>1</v>
      </c>
      <c r="AM229" t="b">
        <v>1</v>
      </c>
      <c r="AN229" t="b">
        <v>0</v>
      </c>
      <c r="AO229">
        <v>99999</v>
      </c>
      <c r="AP229" t="s">
        <v>64</v>
      </c>
      <c r="AR229" t="b">
        <v>0</v>
      </c>
      <c r="AS229">
        <v>12</v>
      </c>
      <c r="AT229" t="s">
        <v>327</v>
      </c>
      <c r="AV229" t="s">
        <v>3003</v>
      </c>
      <c r="CRL229">
        <v>12</v>
      </c>
    </row>
    <row r="230" spans="1:48 2508:2508" x14ac:dyDescent="0.25">
      <c r="A230" t="s">
        <v>3323</v>
      </c>
      <c r="B230" t="s">
        <v>302</v>
      </c>
      <c r="C230" t="s">
        <v>62</v>
      </c>
      <c r="D230">
        <v>99999</v>
      </c>
      <c r="F230" s="109">
        <v>10000</v>
      </c>
      <c r="G230" t="b">
        <v>0</v>
      </c>
      <c r="H230" t="s">
        <v>333</v>
      </c>
      <c r="K230" t="s">
        <v>61</v>
      </c>
      <c r="L230" t="s">
        <v>303</v>
      </c>
      <c r="M230" t="s">
        <v>323</v>
      </c>
      <c r="N230" t="s">
        <v>63</v>
      </c>
      <c r="O230" s="110">
        <v>29.9</v>
      </c>
      <c r="R230" s="110">
        <v>284.89</v>
      </c>
      <c r="S230" s="110">
        <v>79.900000000000006</v>
      </c>
      <c r="T230" s="110">
        <v>0</v>
      </c>
      <c r="U230" s="110">
        <v>42.99</v>
      </c>
      <c r="X230">
        <v>117.09999999999997</v>
      </c>
      <c r="Y230">
        <v>44.9</v>
      </c>
      <c r="Z230">
        <v>44.9</v>
      </c>
      <c r="AA230">
        <v>0</v>
      </c>
      <c r="AB230" t="s">
        <v>324</v>
      </c>
      <c r="AF230" t="s">
        <v>1174</v>
      </c>
      <c r="AG230" t="s">
        <v>1174</v>
      </c>
      <c r="AH230" t="s">
        <v>1175</v>
      </c>
      <c r="AI230">
        <v>99999</v>
      </c>
      <c r="AJ230">
        <v>99999</v>
      </c>
      <c r="AK230">
        <v>699</v>
      </c>
      <c r="AL230" t="b">
        <v>1</v>
      </c>
      <c r="AM230" t="b">
        <v>1</v>
      </c>
      <c r="AN230" t="b">
        <v>0</v>
      </c>
      <c r="AO230">
        <v>99999</v>
      </c>
      <c r="AP230" t="s">
        <v>64</v>
      </c>
      <c r="AR230" t="b">
        <v>0</v>
      </c>
      <c r="AS230">
        <v>12</v>
      </c>
      <c r="AT230" t="s">
        <v>327</v>
      </c>
      <c r="AV230" t="s">
        <v>1179</v>
      </c>
      <c r="CRL230">
        <v>12</v>
      </c>
    </row>
    <row r="231" spans="1:48 2508:2508" x14ac:dyDescent="0.25">
      <c r="A231" t="s">
        <v>3323</v>
      </c>
      <c r="B231" t="s">
        <v>302</v>
      </c>
      <c r="C231" t="s">
        <v>62</v>
      </c>
      <c r="D231">
        <v>99999</v>
      </c>
      <c r="F231" s="109">
        <v>10000</v>
      </c>
      <c r="G231" t="b">
        <v>0</v>
      </c>
      <c r="H231" t="s">
        <v>333</v>
      </c>
      <c r="K231" t="s">
        <v>61</v>
      </c>
      <c r="L231" t="s">
        <v>303</v>
      </c>
      <c r="M231" t="s">
        <v>323</v>
      </c>
      <c r="N231" t="s">
        <v>63</v>
      </c>
      <c r="O231" s="110">
        <v>29.9</v>
      </c>
      <c r="R231" s="110">
        <v>304.89</v>
      </c>
      <c r="S231" s="110">
        <v>79.900000000000006</v>
      </c>
      <c r="T231" s="110">
        <v>0</v>
      </c>
      <c r="U231" s="110">
        <v>42.99</v>
      </c>
      <c r="X231">
        <v>137.09999999999997</v>
      </c>
      <c r="Y231">
        <v>44.9</v>
      </c>
      <c r="Z231">
        <v>44.9</v>
      </c>
      <c r="AA231">
        <v>0</v>
      </c>
      <c r="AB231" t="s">
        <v>324</v>
      </c>
      <c r="AF231" t="s">
        <v>1309</v>
      </c>
      <c r="AG231" t="s">
        <v>1309</v>
      </c>
      <c r="AH231" t="s">
        <v>1175</v>
      </c>
      <c r="AI231">
        <v>99999</v>
      </c>
      <c r="AJ231">
        <v>99999</v>
      </c>
      <c r="AK231">
        <v>699</v>
      </c>
      <c r="AL231" t="b">
        <v>1</v>
      </c>
      <c r="AM231" t="b">
        <v>1</v>
      </c>
      <c r="AN231" t="b">
        <v>0</v>
      </c>
      <c r="AO231">
        <v>99999</v>
      </c>
      <c r="AP231" t="s">
        <v>64</v>
      </c>
      <c r="AR231" t="b">
        <v>0</v>
      </c>
      <c r="AS231">
        <v>12</v>
      </c>
      <c r="AT231" t="s">
        <v>327</v>
      </c>
      <c r="AV231" t="s">
        <v>1313</v>
      </c>
      <c r="CRL231">
        <v>12</v>
      </c>
    </row>
    <row r="232" spans="1:48 2508:2508" x14ac:dyDescent="0.25">
      <c r="A232" t="s">
        <v>3323</v>
      </c>
      <c r="B232" t="s">
        <v>302</v>
      </c>
      <c r="C232" t="s">
        <v>62</v>
      </c>
      <c r="D232">
        <v>99999</v>
      </c>
      <c r="F232" s="109">
        <v>10000</v>
      </c>
      <c r="G232" t="b">
        <v>0</v>
      </c>
      <c r="H232" t="s">
        <v>333</v>
      </c>
      <c r="K232" t="s">
        <v>61</v>
      </c>
      <c r="L232" t="s">
        <v>303</v>
      </c>
      <c r="M232" t="s">
        <v>323</v>
      </c>
      <c r="N232" t="s">
        <v>63</v>
      </c>
      <c r="O232" s="110">
        <v>29.9</v>
      </c>
      <c r="R232" s="110">
        <v>324.89</v>
      </c>
      <c r="S232" s="110">
        <v>85</v>
      </c>
      <c r="T232" s="110">
        <v>0</v>
      </c>
      <c r="U232" s="110">
        <v>42.99</v>
      </c>
      <c r="X232">
        <v>151.99999999999997</v>
      </c>
      <c r="Y232">
        <v>44.9</v>
      </c>
      <c r="Z232">
        <v>44.9</v>
      </c>
      <c r="AA232">
        <v>0</v>
      </c>
      <c r="AB232" t="s">
        <v>324</v>
      </c>
      <c r="AF232" t="s">
        <v>1457</v>
      </c>
      <c r="AG232" t="s">
        <v>1457</v>
      </c>
      <c r="AH232" t="s">
        <v>1175</v>
      </c>
      <c r="AI232">
        <v>99999</v>
      </c>
      <c r="AJ232">
        <v>99999</v>
      </c>
      <c r="AK232">
        <v>699</v>
      </c>
      <c r="AL232" t="b">
        <v>1</v>
      </c>
      <c r="AM232" t="b">
        <v>1</v>
      </c>
      <c r="AN232" t="b">
        <v>0</v>
      </c>
      <c r="AO232">
        <v>99999</v>
      </c>
      <c r="AP232" t="s">
        <v>64</v>
      </c>
      <c r="AR232" t="b">
        <v>0</v>
      </c>
      <c r="AS232">
        <v>12</v>
      </c>
      <c r="AT232" t="s">
        <v>327</v>
      </c>
      <c r="AV232" t="s">
        <v>1461</v>
      </c>
      <c r="CRL232">
        <v>12</v>
      </c>
    </row>
    <row r="233" spans="1:48 2508:2508" x14ac:dyDescent="0.25">
      <c r="A233" t="s">
        <v>3323</v>
      </c>
      <c r="B233" t="s">
        <v>302</v>
      </c>
      <c r="C233" t="s">
        <v>62</v>
      </c>
      <c r="D233">
        <v>99999</v>
      </c>
      <c r="F233" s="109">
        <v>10000</v>
      </c>
      <c r="G233" t="b">
        <v>0</v>
      </c>
      <c r="H233" t="s">
        <v>333</v>
      </c>
      <c r="K233" t="s">
        <v>61</v>
      </c>
      <c r="L233" t="s">
        <v>303</v>
      </c>
      <c r="M233" t="s">
        <v>323</v>
      </c>
      <c r="N233" t="s">
        <v>63</v>
      </c>
      <c r="O233" s="110">
        <v>39.9</v>
      </c>
      <c r="R233" s="110">
        <v>284.89</v>
      </c>
      <c r="S233" s="110">
        <v>79.900000000000006</v>
      </c>
      <c r="T233" s="110">
        <v>0</v>
      </c>
      <c r="U233" s="110">
        <v>42.99</v>
      </c>
      <c r="X233">
        <v>117.09999999999997</v>
      </c>
      <c r="Y233">
        <v>44.9</v>
      </c>
      <c r="Z233">
        <v>44.9</v>
      </c>
      <c r="AA233">
        <v>0</v>
      </c>
      <c r="AB233" t="s">
        <v>324</v>
      </c>
      <c r="AF233" t="s">
        <v>1242</v>
      </c>
      <c r="AG233" t="s">
        <v>1242</v>
      </c>
      <c r="AH233" t="s">
        <v>1175</v>
      </c>
      <c r="AI233">
        <v>99999</v>
      </c>
      <c r="AJ233">
        <v>99999</v>
      </c>
      <c r="AK233">
        <v>699</v>
      </c>
      <c r="AL233" t="b">
        <v>1</v>
      </c>
      <c r="AM233" t="b">
        <v>1</v>
      </c>
      <c r="AN233" t="b">
        <v>0</v>
      </c>
      <c r="AO233">
        <v>99999</v>
      </c>
      <c r="AP233" t="s">
        <v>64</v>
      </c>
      <c r="AR233" t="b">
        <v>0</v>
      </c>
      <c r="AS233">
        <v>12</v>
      </c>
      <c r="AT233" t="s">
        <v>327</v>
      </c>
      <c r="AV233" t="s">
        <v>1246</v>
      </c>
      <c r="CRL233">
        <v>12</v>
      </c>
    </row>
    <row r="234" spans="1:48 2508:2508" x14ac:dyDescent="0.25">
      <c r="A234" t="s">
        <v>3323</v>
      </c>
      <c r="B234" t="s">
        <v>302</v>
      </c>
      <c r="C234" t="s">
        <v>62</v>
      </c>
      <c r="D234">
        <v>99999</v>
      </c>
      <c r="F234" s="109">
        <v>10000</v>
      </c>
      <c r="G234" t="b">
        <v>0</v>
      </c>
      <c r="H234" t="s">
        <v>333</v>
      </c>
      <c r="K234" t="s">
        <v>61</v>
      </c>
      <c r="L234" t="s">
        <v>303</v>
      </c>
      <c r="M234" t="s">
        <v>323</v>
      </c>
      <c r="N234" t="s">
        <v>63</v>
      </c>
      <c r="O234" s="110">
        <v>39.9</v>
      </c>
      <c r="R234" s="110">
        <v>304.89</v>
      </c>
      <c r="S234" s="110">
        <v>79.900000000000006</v>
      </c>
      <c r="T234" s="110">
        <v>0</v>
      </c>
      <c r="U234" s="110">
        <v>42.99</v>
      </c>
      <c r="X234">
        <v>137.09999999999997</v>
      </c>
      <c r="Y234">
        <v>44.9</v>
      </c>
      <c r="Z234">
        <v>44.9</v>
      </c>
      <c r="AA234">
        <v>0</v>
      </c>
      <c r="AB234" t="s">
        <v>324</v>
      </c>
      <c r="AF234" t="s">
        <v>1376</v>
      </c>
      <c r="AG234" t="s">
        <v>1376</v>
      </c>
      <c r="AH234" t="s">
        <v>1175</v>
      </c>
      <c r="AI234">
        <v>99999</v>
      </c>
      <c r="AJ234">
        <v>99999</v>
      </c>
      <c r="AK234">
        <v>699</v>
      </c>
      <c r="AL234" t="b">
        <v>1</v>
      </c>
      <c r="AM234" t="b">
        <v>1</v>
      </c>
      <c r="AN234" t="b">
        <v>0</v>
      </c>
      <c r="AO234">
        <v>99999</v>
      </c>
      <c r="AP234" t="s">
        <v>64</v>
      </c>
      <c r="AR234" t="b">
        <v>0</v>
      </c>
      <c r="AS234">
        <v>12</v>
      </c>
      <c r="AT234" t="s">
        <v>327</v>
      </c>
      <c r="AV234" t="s">
        <v>1380</v>
      </c>
      <c r="CRL234">
        <v>12</v>
      </c>
    </row>
    <row r="235" spans="1:48 2508:2508" x14ac:dyDescent="0.25">
      <c r="A235" t="s">
        <v>3323</v>
      </c>
      <c r="B235" t="s">
        <v>302</v>
      </c>
      <c r="C235" t="s">
        <v>62</v>
      </c>
      <c r="D235">
        <v>99999</v>
      </c>
      <c r="F235" s="109">
        <v>10000</v>
      </c>
      <c r="G235" t="b">
        <v>0</v>
      </c>
      <c r="H235" t="s">
        <v>333</v>
      </c>
      <c r="K235" t="s">
        <v>61</v>
      </c>
      <c r="L235" t="s">
        <v>303</v>
      </c>
      <c r="M235" t="s">
        <v>323</v>
      </c>
      <c r="N235" t="s">
        <v>63</v>
      </c>
      <c r="O235" s="110">
        <v>39.9</v>
      </c>
      <c r="R235" s="110">
        <v>324.89</v>
      </c>
      <c r="S235" s="110">
        <v>85</v>
      </c>
      <c r="T235" s="110">
        <v>0</v>
      </c>
      <c r="U235" s="110">
        <v>42.99</v>
      </c>
      <c r="X235">
        <v>151.99999999999997</v>
      </c>
      <c r="Y235">
        <v>44.9</v>
      </c>
      <c r="Z235">
        <v>44.9</v>
      </c>
      <c r="AA235">
        <v>0</v>
      </c>
      <c r="AB235" t="s">
        <v>324</v>
      </c>
      <c r="AF235" t="s">
        <v>1524</v>
      </c>
      <c r="AG235" t="s">
        <v>1524</v>
      </c>
      <c r="AH235" t="s">
        <v>1175</v>
      </c>
      <c r="AI235">
        <v>99999</v>
      </c>
      <c r="AJ235">
        <v>99999</v>
      </c>
      <c r="AK235">
        <v>699</v>
      </c>
      <c r="AL235" t="b">
        <v>1</v>
      </c>
      <c r="AM235" t="b">
        <v>1</v>
      </c>
      <c r="AN235" t="b">
        <v>0</v>
      </c>
      <c r="AO235">
        <v>99999</v>
      </c>
      <c r="AP235" t="s">
        <v>64</v>
      </c>
      <c r="AR235" t="b">
        <v>0</v>
      </c>
      <c r="AS235">
        <v>12</v>
      </c>
      <c r="AT235" t="s">
        <v>327</v>
      </c>
      <c r="AV235" t="s">
        <v>1528</v>
      </c>
      <c r="CRL235">
        <v>12</v>
      </c>
    </row>
    <row r="236" spans="1:48 2508:2508" x14ac:dyDescent="0.25">
      <c r="A236" t="s">
        <v>3323</v>
      </c>
      <c r="B236" t="s">
        <v>302</v>
      </c>
      <c r="C236" t="s">
        <v>62</v>
      </c>
      <c r="D236">
        <v>99999</v>
      </c>
      <c r="F236" s="109">
        <v>10000</v>
      </c>
      <c r="G236" t="b">
        <v>0</v>
      </c>
      <c r="H236" t="s">
        <v>333</v>
      </c>
      <c r="K236" t="s">
        <v>61</v>
      </c>
      <c r="L236" t="s">
        <v>303</v>
      </c>
      <c r="M236" t="s">
        <v>323</v>
      </c>
      <c r="N236" t="s">
        <v>63</v>
      </c>
      <c r="O236" s="110">
        <v>49.9</v>
      </c>
      <c r="R236" s="110">
        <v>310.68999999999994</v>
      </c>
      <c r="S236" s="110">
        <v>130</v>
      </c>
      <c r="T236" s="110">
        <v>0</v>
      </c>
      <c r="U236" s="110">
        <v>34.99</v>
      </c>
      <c r="X236">
        <v>100.79999999999998</v>
      </c>
      <c r="Y236">
        <v>44.9</v>
      </c>
      <c r="Z236">
        <v>44.9</v>
      </c>
      <c r="AA236">
        <v>0</v>
      </c>
      <c r="AB236" t="s">
        <v>324</v>
      </c>
      <c r="AF236" t="s">
        <v>2744</v>
      </c>
      <c r="AG236" t="s">
        <v>2744</v>
      </c>
      <c r="AH236" t="s">
        <v>1175</v>
      </c>
      <c r="AI236">
        <v>99999</v>
      </c>
      <c r="AJ236">
        <v>99999</v>
      </c>
      <c r="AK236">
        <v>699</v>
      </c>
      <c r="AL236" t="b">
        <v>1</v>
      </c>
      <c r="AM236" t="b">
        <v>1</v>
      </c>
      <c r="AN236" t="b">
        <v>0</v>
      </c>
      <c r="AO236">
        <v>99999</v>
      </c>
      <c r="AP236" t="s">
        <v>64</v>
      </c>
      <c r="AR236" t="b">
        <v>0</v>
      </c>
      <c r="AS236">
        <v>12</v>
      </c>
      <c r="AT236" t="s">
        <v>327</v>
      </c>
      <c r="AV236" t="s">
        <v>2748</v>
      </c>
      <c r="CRL236">
        <v>12</v>
      </c>
    </row>
    <row r="237" spans="1:48 2508:2508" x14ac:dyDescent="0.25">
      <c r="A237" t="s">
        <v>3323</v>
      </c>
      <c r="B237" t="s">
        <v>302</v>
      </c>
      <c r="C237" t="s">
        <v>62</v>
      </c>
      <c r="D237">
        <v>99999</v>
      </c>
      <c r="F237" s="109">
        <v>10000</v>
      </c>
      <c r="G237" t="b">
        <v>0</v>
      </c>
      <c r="H237" t="s">
        <v>333</v>
      </c>
      <c r="K237" t="s">
        <v>61</v>
      </c>
      <c r="L237" t="s">
        <v>303</v>
      </c>
      <c r="M237" t="s">
        <v>323</v>
      </c>
      <c r="N237" t="s">
        <v>63</v>
      </c>
      <c r="O237" s="110">
        <v>49.9</v>
      </c>
      <c r="R237" s="110">
        <v>334.98999999999995</v>
      </c>
      <c r="S237" s="110">
        <v>130</v>
      </c>
      <c r="T237" s="110">
        <v>0</v>
      </c>
      <c r="U237" s="110">
        <v>42.99</v>
      </c>
      <c r="X237">
        <v>117.09999999999997</v>
      </c>
      <c r="Y237">
        <v>44.9</v>
      </c>
      <c r="Z237">
        <v>44.9</v>
      </c>
      <c r="AA237">
        <v>0</v>
      </c>
      <c r="AB237" t="s">
        <v>324</v>
      </c>
      <c r="AF237" t="s">
        <v>2818</v>
      </c>
      <c r="AG237" t="s">
        <v>2818</v>
      </c>
      <c r="AH237" t="s">
        <v>1175</v>
      </c>
      <c r="AI237">
        <v>99999</v>
      </c>
      <c r="AJ237">
        <v>99999</v>
      </c>
      <c r="AK237">
        <v>699</v>
      </c>
      <c r="AL237" t="b">
        <v>1</v>
      </c>
      <c r="AM237" t="b">
        <v>1</v>
      </c>
      <c r="AN237" t="b">
        <v>0</v>
      </c>
      <c r="AO237">
        <v>99999</v>
      </c>
      <c r="AP237" t="s">
        <v>64</v>
      </c>
      <c r="AR237" t="b">
        <v>0</v>
      </c>
      <c r="AS237">
        <v>12</v>
      </c>
      <c r="AT237" t="s">
        <v>327</v>
      </c>
      <c r="AV237" t="s">
        <v>2822</v>
      </c>
      <c r="CRL237">
        <v>12</v>
      </c>
    </row>
    <row r="238" spans="1:48 2508:2508" x14ac:dyDescent="0.25">
      <c r="A238" t="s">
        <v>3323</v>
      </c>
      <c r="B238" t="s">
        <v>302</v>
      </c>
      <c r="C238" t="s">
        <v>62</v>
      </c>
      <c r="D238">
        <v>99999</v>
      </c>
      <c r="F238" s="109">
        <v>10000</v>
      </c>
      <c r="G238" t="b">
        <v>0</v>
      </c>
      <c r="H238" t="s">
        <v>333</v>
      </c>
      <c r="K238" t="s">
        <v>61</v>
      </c>
      <c r="L238" t="s">
        <v>303</v>
      </c>
      <c r="M238" t="s">
        <v>323</v>
      </c>
      <c r="N238" t="s">
        <v>63</v>
      </c>
      <c r="O238" s="110">
        <v>49.9</v>
      </c>
      <c r="R238" s="110">
        <v>354.98999999999995</v>
      </c>
      <c r="S238" s="110">
        <v>130</v>
      </c>
      <c r="T238" s="110">
        <v>0</v>
      </c>
      <c r="U238" s="110">
        <v>42.99</v>
      </c>
      <c r="X238">
        <v>137.09999999999997</v>
      </c>
      <c r="Y238">
        <v>44.9</v>
      </c>
      <c r="Z238">
        <v>44.9</v>
      </c>
      <c r="AA238">
        <v>0</v>
      </c>
      <c r="AB238" t="s">
        <v>324</v>
      </c>
      <c r="AF238" t="s">
        <v>2885</v>
      </c>
      <c r="AG238" t="s">
        <v>2885</v>
      </c>
      <c r="AH238" t="s">
        <v>1175</v>
      </c>
      <c r="AI238">
        <v>99999</v>
      </c>
      <c r="AJ238">
        <v>99999</v>
      </c>
      <c r="AK238">
        <v>699</v>
      </c>
      <c r="AL238" t="b">
        <v>1</v>
      </c>
      <c r="AM238" t="b">
        <v>1</v>
      </c>
      <c r="AN238" t="b">
        <v>0</v>
      </c>
      <c r="AO238">
        <v>99999</v>
      </c>
      <c r="AP238" t="s">
        <v>64</v>
      </c>
      <c r="AR238" t="b">
        <v>0</v>
      </c>
      <c r="AS238">
        <v>12</v>
      </c>
      <c r="AT238" t="s">
        <v>327</v>
      </c>
      <c r="AV238" t="s">
        <v>2889</v>
      </c>
      <c r="CRL238">
        <v>12</v>
      </c>
    </row>
    <row r="239" spans="1:48 2508:2508" x14ac:dyDescent="0.25">
      <c r="A239" t="s">
        <v>3323</v>
      </c>
      <c r="B239" t="s">
        <v>302</v>
      </c>
      <c r="C239" t="s">
        <v>62</v>
      </c>
      <c r="D239">
        <v>99999</v>
      </c>
      <c r="F239" s="109">
        <v>10000</v>
      </c>
      <c r="G239" t="b">
        <v>0</v>
      </c>
      <c r="H239" t="s">
        <v>333</v>
      </c>
      <c r="K239" t="s">
        <v>61</v>
      </c>
      <c r="L239" t="s">
        <v>303</v>
      </c>
      <c r="M239" t="s">
        <v>323</v>
      </c>
      <c r="N239" t="s">
        <v>63</v>
      </c>
      <c r="O239" s="110">
        <v>49.9</v>
      </c>
      <c r="R239" s="110">
        <v>369.89</v>
      </c>
      <c r="S239" s="110">
        <v>130</v>
      </c>
      <c r="T239" s="110">
        <v>0</v>
      </c>
      <c r="U239" s="110">
        <v>42.99</v>
      </c>
      <c r="X239">
        <v>151.99999999999997</v>
      </c>
      <c r="Y239">
        <v>44.9</v>
      </c>
      <c r="Z239">
        <v>44.9</v>
      </c>
      <c r="AA239">
        <v>0</v>
      </c>
      <c r="AB239" t="s">
        <v>324</v>
      </c>
      <c r="AF239" t="s">
        <v>2959</v>
      </c>
      <c r="AG239" t="s">
        <v>2959</v>
      </c>
      <c r="AH239" t="s">
        <v>1175</v>
      </c>
      <c r="AI239">
        <v>99999</v>
      </c>
      <c r="AJ239">
        <v>99999</v>
      </c>
      <c r="AK239">
        <v>699</v>
      </c>
      <c r="AL239" t="b">
        <v>1</v>
      </c>
      <c r="AM239" t="b">
        <v>1</v>
      </c>
      <c r="AN239" t="b">
        <v>0</v>
      </c>
      <c r="AO239">
        <v>99999</v>
      </c>
      <c r="AP239" t="s">
        <v>64</v>
      </c>
      <c r="AR239" t="b">
        <v>0</v>
      </c>
      <c r="AS239">
        <v>12</v>
      </c>
      <c r="AT239" t="s">
        <v>327</v>
      </c>
      <c r="AV239" t="s">
        <v>2963</v>
      </c>
      <c r="CRL239">
        <v>12</v>
      </c>
    </row>
    <row r="240" spans="1:48 2508:2508" x14ac:dyDescent="0.25">
      <c r="A240" t="s">
        <v>3323</v>
      </c>
      <c r="B240" t="s">
        <v>302</v>
      </c>
      <c r="C240" t="s">
        <v>62</v>
      </c>
      <c r="D240">
        <v>99999</v>
      </c>
      <c r="F240" s="109">
        <v>10000</v>
      </c>
      <c r="G240" t="b">
        <v>0</v>
      </c>
      <c r="H240" t="s">
        <v>315</v>
      </c>
      <c r="K240" t="s">
        <v>349</v>
      </c>
      <c r="L240" t="s">
        <v>303</v>
      </c>
      <c r="M240" t="s">
        <v>323</v>
      </c>
      <c r="N240" t="s">
        <v>63</v>
      </c>
      <c r="O240" s="110">
        <v>29.9</v>
      </c>
      <c r="R240" s="110">
        <v>229.89</v>
      </c>
      <c r="S240" s="110">
        <v>79.900000000000006</v>
      </c>
      <c r="T240" s="110">
        <v>0</v>
      </c>
      <c r="U240" s="110">
        <v>42.99</v>
      </c>
      <c r="X240">
        <v>62.099999999999966</v>
      </c>
      <c r="Y240">
        <v>44.9</v>
      </c>
      <c r="Z240">
        <v>44.9</v>
      </c>
      <c r="AA240">
        <v>0</v>
      </c>
      <c r="AB240" t="s">
        <v>324</v>
      </c>
      <c r="AF240" t="s">
        <v>1174</v>
      </c>
      <c r="AG240" t="s">
        <v>1174</v>
      </c>
      <c r="AH240" t="s">
        <v>1175</v>
      </c>
      <c r="AI240">
        <v>99999</v>
      </c>
      <c r="AJ240">
        <v>99999</v>
      </c>
      <c r="AK240">
        <v>699</v>
      </c>
      <c r="AL240" t="b">
        <v>1</v>
      </c>
      <c r="AM240" t="b">
        <v>1</v>
      </c>
      <c r="AN240" t="b">
        <v>0</v>
      </c>
      <c r="AO240">
        <v>99999</v>
      </c>
      <c r="AP240" t="s">
        <v>64</v>
      </c>
      <c r="AR240" t="b">
        <v>0</v>
      </c>
      <c r="AS240">
        <v>12</v>
      </c>
      <c r="AT240" t="s">
        <v>327</v>
      </c>
      <c r="AV240" t="s">
        <v>1189</v>
      </c>
      <c r="CRL240">
        <v>12</v>
      </c>
    </row>
    <row r="241" spans="1:48 2508:2508" x14ac:dyDescent="0.25">
      <c r="A241" t="s">
        <v>3323</v>
      </c>
      <c r="B241" t="s">
        <v>302</v>
      </c>
      <c r="C241" t="s">
        <v>62</v>
      </c>
      <c r="D241">
        <v>99999</v>
      </c>
      <c r="F241" s="109">
        <v>10000</v>
      </c>
      <c r="G241" t="b">
        <v>0</v>
      </c>
      <c r="H241" t="s">
        <v>315</v>
      </c>
      <c r="K241" t="s">
        <v>349</v>
      </c>
      <c r="L241" t="s">
        <v>303</v>
      </c>
      <c r="M241" t="s">
        <v>323</v>
      </c>
      <c r="N241" t="s">
        <v>63</v>
      </c>
      <c r="O241" s="110">
        <v>29.9</v>
      </c>
      <c r="R241" s="110">
        <v>249.89</v>
      </c>
      <c r="S241" s="110">
        <v>79.900000000000006</v>
      </c>
      <c r="T241" s="110">
        <v>0</v>
      </c>
      <c r="U241" s="110">
        <v>42.99</v>
      </c>
      <c r="X241">
        <v>82.099999999999966</v>
      </c>
      <c r="Y241">
        <v>44.9</v>
      </c>
      <c r="Z241">
        <v>44.9</v>
      </c>
      <c r="AA241">
        <v>0</v>
      </c>
      <c r="AB241" t="s">
        <v>324</v>
      </c>
      <c r="AF241" t="s">
        <v>1309</v>
      </c>
      <c r="AG241" t="s">
        <v>1309</v>
      </c>
      <c r="AH241" t="s">
        <v>1175</v>
      </c>
      <c r="AI241">
        <v>99999</v>
      </c>
      <c r="AJ241">
        <v>99999</v>
      </c>
      <c r="AK241">
        <v>699</v>
      </c>
      <c r="AL241" t="b">
        <v>1</v>
      </c>
      <c r="AM241" t="b">
        <v>1</v>
      </c>
      <c r="AN241" t="b">
        <v>0</v>
      </c>
      <c r="AO241">
        <v>99999</v>
      </c>
      <c r="AP241" t="s">
        <v>64</v>
      </c>
      <c r="AR241" t="b">
        <v>0</v>
      </c>
      <c r="AS241">
        <v>12</v>
      </c>
      <c r="AT241" t="s">
        <v>327</v>
      </c>
      <c r="AV241" t="s">
        <v>1323</v>
      </c>
      <c r="CRL241">
        <v>12</v>
      </c>
    </row>
    <row r="242" spans="1:48 2508:2508" x14ac:dyDescent="0.25">
      <c r="A242" t="s">
        <v>3323</v>
      </c>
      <c r="B242" t="s">
        <v>302</v>
      </c>
      <c r="C242" t="s">
        <v>62</v>
      </c>
      <c r="D242">
        <v>99999</v>
      </c>
      <c r="F242" s="109">
        <v>10000</v>
      </c>
      <c r="G242" t="b">
        <v>0</v>
      </c>
      <c r="H242" t="s">
        <v>315</v>
      </c>
      <c r="K242" t="s">
        <v>349</v>
      </c>
      <c r="L242" t="s">
        <v>303</v>
      </c>
      <c r="M242" t="s">
        <v>323</v>
      </c>
      <c r="N242" t="s">
        <v>63</v>
      </c>
      <c r="O242" s="110">
        <v>29.9</v>
      </c>
      <c r="R242" s="110">
        <v>269.89</v>
      </c>
      <c r="S242" s="110">
        <v>85</v>
      </c>
      <c r="T242" s="110">
        <v>0</v>
      </c>
      <c r="U242" s="110">
        <v>42.99</v>
      </c>
      <c r="X242">
        <v>96.999999999999972</v>
      </c>
      <c r="Y242">
        <v>44.9</v>
      </c>
      <c r="Z242">
        <v>44.9</v>
      </c>
      <c r="AA242">
        <v>0</v>
      </c>
      <c r="AB242" t="s">
        <v>324</v>
      </c>
      <c r="AF242" t="s">
        <v>1457</v>
      </c>
      <c r="AG242" t="s">
        <v>1457</v>
      </c>
      <c r="AH242" t="s">
        <v>1175</v>
      </c>
      <c r="AI242">
        <v>99999</v>
      </c>
      <c r="AJ242">
        <v>99999</v>
      </c>
      <c r="AK242">
        <v>699</v>
      </c>
      <c r="AL242" t="b">
        <v>1</v>
      </c>
      <c r="AM242" t="b">
        <v>1</v>
      </c>
      <c r="AN242" t="b">
        <v>0</v>
      </c>
      <c r="AO242">
        <v>99999</v>
      </c>
      <c r="AP242" t="s">
        <v>64</v>
      </c>
      <c r="AR242" t="b">
        <v>0</v>
      </c>
      <c r="AS242">
        <v>12</v>
      </c>
      <c r="AT242" t="s">
        <v>327</v>
      </c>
      <c r="AV242" t="s">
        <v>1471</v>
      </c>
      <c r="CRL242">
        <v>12</v>
      </c>
    </row>
    <row r="243" spans="1:48 2508:2508" x14ac:dyDescent="0.25">
      <c r="A243" t="s">
        <v>3323</v>
      </c>
      <c r="B243" t="s">
        <v>302</v>
      </c>
      <c r="C243" t="s">
        <v>62</v>
      </c>
      <c r="D243">
        <v>99999</v>
      </c>
      <c r="F243" s="109">
        <v>10000</v>
      </c>
      <c r="G243" t="b">
        <v>0</v>
      </c>
      <c r="H243" t="s">
        <v>315</v>
      </c>
      <c r="K243" t="s">
        <v>349</v>
      </c>
      <c r="L243" t="s">
        <v>303</v>
      </c>
      <c r="M243" t="s">
        <v>323</v>
      </c>
      <c r="N243" t="s">
        <v>63</v>
      </c>
      <c r="O243" s="110">
        <v>39.9</v>
      </c>
      <c r="R243" s="110">
        <v>229.89</v>
      </c>
      <c r="S243" s="110">
        <v>79.900000000000006</v>
      </c>
      <c r="T243" s="110">
        <v>0</v>
      </c>
      <c r="U243" s="110">
        <v>42.99</v>
      </c>
      <c r="X243">
        <v>62.099999999999966</v>
      </c>
      <c r="Y243">
        <v>44.9</v>
      </c>
      <c r="Z243">
        <v>44.9</v>
      </c>
      <c r="AA243">
        <v>0</v>
      </c>
      <c r="AB243" t="s">
        <v>324</v>
      </c>
      <c r="AF243" t="s">
        <v>1242</v>
      </c>
      <c r="AG243" t="s">
        <v>1242</v>
      </c>
      <c r="AH243" t="s">
        <v>1175</v>
      </c>
      <c r="AI243">
        <v>99999</v>
      </c>
      <c r="AJ243">
        <v>99999</v>
      </c>
      <c r="AK243">
        <v>699</v>
      </c>
      <c r="AL243" t="b">
        <v>1</v>
      </c>
      <c r="AM243" t="b">
        <v>1</v>
      </c>
      <c r="AN243" t="b">
        <v>0</v>
      </c>
      <c r="AO243">
        <v>99999</v>
      </c>
      <c r="AP243" t="s">
        <v>64</v>
      </c>
      <c r="AR243" t="b">
        <v>0</v>
      </c>
      <c r="AS243">
        <v>12</v>
      </c>
      <c r="AT243" t="s">
        <v>327</v>
      </c>
      <c r="AV243" t="s">
        <v>1256</v>
      </c>
      <c r="CRL243">
        <v>12</v>
      </c>
    </row>
    <row r="244" spans="1:48 2508:2508" x14ac:dyDescent="0.25">
      <c r="A244" t="s">
        <v>3323</v>
      </c>
      <c r="B244" t="s">
        <v>302</v>
      </c>
      <c r="C244" t="s">
        <v>62</v>
      </c>
      <c r="D244">
        <v>99999</v>
      </c>
      <c r="F244" s="109">
        <v>10000</v>
      </c>
      <c r="G244" t="b">
        <v>0</v>
      </c>
      <c r="H244" t="s">
        <v>315</v>
      </c>
      <c r="K244" t="s">
        <v>349</v>
      </c>
      <c r="L244" t="s">
        <v>303</v>
      </c>
      <c r="M244" t="s">
        <v>323</v>
      </c>
      <c r="N244" t="s">
        <v>63</v>
      </c>
      <c r="O244" s="110">
        <v>39.9</v>
      </c>
      <c r="R244" s="110">
        <v>249.89</v>
      </c>
      <c r="S244" s="110">
        <v>79.900000000000006</v>
      </c>
      <c r="T244" s="110">
        <v>0</v>
      </c>
      <c r="U244" s="110">
        <v>42.99</v>
      </c>
      <c r="X244">
        <v>82.099999999999966</v>
      </c>
      <c r="Y244">
        <v>44.9</v>
      </c>
      <c r="Z244">
        <v>44.9</v>
      </c>
      <c r="AA244">
        <v>0</v>
      </c>
      <c r="AB244" t="s">
        <v>324</v>
      </c>
      <c r="AF244" t="s">
        <v>1376</v>
      </c>
      <c r="AG244" t="s">
        <v>1376</v>
      </c>
      <c r="AH244" t="s">
        <v>1175</v>
      </c>
      <c r="AI244">
        <v>99999</v>
      </c>
      <c r="AJ244">
        <v>99999</v>
      </c>
      <c r="AK244">
        <v>699</v>
      </c>
      <c r="AL244" t="b">
        <v>1</v>
      </c>
      <c r="AM244" t="b">
        <v>1</v>
      </c>
      <c r="AN244" t="b">
        <v>0</v>
      </c>
      <c r="AO244">
        <v>99999</v>
      </c>
      <c r="AP244" t="s">
        <v>64</v>
      </c>
      <c r="AR244" t="b">
        <v>0</v>
      </c>
      <c r="AS244">
        <v>12</v>
      </c>
      <c r="AT244" t="s">
        <v>327</v>
      </c>
      <c r="AV244" t="s">
        <v>1390</v>
      </c>
      <c r="CRL244">
        <v>12</v>
      </c>
    </row>
    <row r="245" spans="1:48 2508:2508" x14ac:dyDescent="0.25">
      <c r="A245" t="s">
        <v>3323</v>
      </c>
      <c r="B245" t="s">
        <v>302</v>
      </c>
      <c r="C245" t="s">
        <v>62</v>
      </c>
      <c r="D245">
        <v>99999</v>
      </c>
      <c r="F245" s="109">
        <v>10000</v>
      </c>
      <c r="G245" t="b">
        <v>0</v>
      </c>
      <c r="H245" t="s">
        <v>315</v>
      </c>
      <c r="K245" t="s">
        <v>349</v>
      </c>
      <c r="L245" t="s">
        <v>303</v>
      </c>
      <c r="M245" t="s">
        <v>323</v>
      </c>
      <c r="N245" t="s">
        <v>63</v>
      </c>
      <c r="O245" s="110">
        <v>39.9</v>
      </c>
      <c r="R245" s="110">
        <v>269.89</v>
      </c>
      <c r="S245" s="110">
        <v>85</v>
      </c>
      <c r="T245" s="110">
        <v>0</v>
      </c>
      <c r="U245" s="110">
        <v>42.99</v>
      </c>
      <c r="X245">
        <v>96.999999999999972</v>
      </c>
      <c r="Y245">
        <v>44.9</v>
      </c>
      <c r="Z245">
        <v>44.9</v>
      </c>
      <c r="AA245">
        <v>0</v>
      </c>
      <c r="AB245" t="s">
        <v>324</v>
      </c>
      <c r="AF245" t="s">
        <v>1524</v>
      </c>
      <c r="AG245" t="s">
        <v>1524</v>
      </c>
      <c r="AH245" t="s">
        <v>1175</v>
      </c>
      <c r="AI245">
        <v>99999</v>
      </c>
      <c r="AJ245">
        <v>99999</v>
      </c>
      <c r="AK245">
        <v>699</v>
      </c>
      <c r="AL245" t="b">
        <v>1</v>
      </c>
      <c r="AM245" t="b">
        <v>1</v>
      </c>
      <c r="AN245" t="b">
        <v>0</v>
      </c>
      <c r="AO245">
        <v>99999</v>
      </c>
      <c r="AP245" t="s">
        <v>64</v>
      </c>
      <c r="AR245" t="b">
        <v>0</v>
      </c>
      <c r="AS245">
        <v>12</v>
      </c>
      <c r="AT245" t="s">
        <v>327</v>
      </c>
      <c r="AV245" t="s">
        <v>1538</v>
      </c>
      <c r="CRL245">
        <v>12</v>
      </c>
    </row>
    <row r="246" spans="1:48 2508:2508" x14ac:dyDescent="0.25">
      <c r="A246" t="s">
        <v>3323</v>
      </c>
      <c r="B246" t="s">
        <v>302</v>
      </c>
      <c r="C246" t="s">
        <v>62</v>
      </c>
      <c r="D246">
        <v>99999</v>
      </c>
      <c r="F246" s="109">
        <v>10000</v>
      </c>
      <c r="G246" t="b">
        <v>0</v>
      </c>
      <c r="H246" t="s">
        <v>315</v>
      </c>
      <c r="K246" t="s">
        <v>349</v>
      </c>
      <c r="L246" t="s">
        <v>303</v>
      </c>
      <c r="M246" t="s">
        <v>323</v>
      </c>
      <c r="N246" t="s">
        <v>63</v>
      </c>
      <c r="O246" s="110">
        <v>49.9</v>
      </c>
      <c r="R246" s="110">
        <v>255.68999999999997</v>
      </c>
      <c r="S246" s="110">
        <v>130</v>
      </c>
      <c r="T246" s="110">
        <v>0</v>
      </c>
      <c r="U246" s="110">
        <v>34.99</v>
      </c>
      <c r="X246">
        <v>45.799999999999983</v>
      </c>
      <c r="Y246">
        <v>44.9</v>
      </c>
      <c r="Z246">
        <v>44.9</v>
      </c>
      <c r="AA246">
        <v>0</v>
      </c>
      <c r="AB246" t="s">
        <v>324</v>
      </c>
      <c r="AF246" t="s">
        <v>2744</v>
      </c>
      <c r="AG246" t="s">
        <v>2744</v>
      </c>
      <c r="AH246" t="s">
        <v>1175</v>
      </c>
      <c r="AI246">
        <v>99999</v>
      </c>
      <c r="AJ246">
        <v>99999</v>
      </c>
      <c r="AK246">
        <v>699</v>
      </c>
      <c r="AL246" t="b">
        <v>1</v>
      </c>
      <c r="AM246" t="b">
        <v>1</v>
      </c>
      <c r="AN246" t="b">
        <v>0</v>
      </c>
      <c r="AO246">
        <v>99999</v>
      </c>
      <c r="AP246" t="s">
        <v>64</v>
      </c>
      <c r="AR246" t="b">
        <v>0</v>
      </c>
      <c r="AS246">
        <v>12</v>
      </c>
      <c r="AT246" t="s">
        <v>327</v>
      </c>
      <c r="AV246" t="s">
        <v>2758</v>
      </c>
      <c r="CRL246">
        <v>12</v>
      </c>
    </row>
    <row r="247" spans="1:48 2508:2508" x14ac:dyDescent="0.25">
      <c r="A247" t="s">
        <v>3323</v>
      </c>
      <c r="B247" t="s">
        <v>302</v>
      </c>
      <c r="C247" t="s">
        <v>62</v>
      </c>
      <c r="D247">
        <v>99999</v>
      </c>
      <c r="F247" s="109">
        <v>10000</v>
      </c>
      <c r="G247" t="b">
        <v>0</v>
      </c>
      <c r="H247" t="s">
        <v>315</v>
      </c>
      <c r="K247" t="s">
        <v>349</v>
      </c>
      <c r="L247" t="s">
        <v>303</v>
      </c>
      <c r="M247" t="s">
        <v>323</v>
      </c>
      <c r="N247" t="s">
        <v>63</v>
      </c>
      <c r="O247" s="110">
        <v>49.9</v>
      </c>
      <c r="R247" s="110">
        <v>279.98999999999995</v>
      </c>
      <c r="S247" s="110">
        <v>130</v>
      </c>
      <c r="T247" s="110">
        <v>0</v>
      </c>
      <c r="U247" s="110">
        <v>42.99</v>
      </c>
      <c r="X247">
        <v>62.099999999999966</v>
      </c>
      <c r="Y247">
        <v>44.9</v>
      </c>
      <c r="Z247">
        <v>44.9</v>
      </c>
      <c r="AA247">
        <v>0</v>
      </c>
      <c r="AB247" t="s">
        <v>324</v>
      </c>
      <c r="AF247" t="s">
        <v>2818</v>
      </c>
      <c r="AG247" t="s">
        <v>2818</v>
      </c>
      <c r="AH247" t="s">
        <v>1175</v>
      </c>
      <c r="AI247">
        <v>99999</v>
      </c>
      <c r="AJ247">
        <v>99999</v>
      </c>
      <c r="AK247">
        <v>699</v>
      </c>
      <c r="AL247" t="b">
        <v>1</v>
      </c>
      <c r="AM247" t="b">
        <v>1</v>
      </c>
      <c r="AN247" t="b">
        <v>0</v>
      </c>
      <c r="AO247">
        <v>99999</v>
      </c>
      <c r="AP247" t="s">
        <v>64</v>
      </c>
      <c r="AR247" t="b">
        <v>0</v>
      </c>
      <c r="AS247">
        <v>12</v>
      </c>
      <c r="AT247" t="s">
        <v>327</v>
      </c>
      <c r="AV247" t="s">
        <v>2832</v>
      </c>
      <c r="CRL247">
        <v>12</v>
      </c>
    </row>
    <row r="248" spans="1:48 2508:2508" x14ac:dyDescent="0.25">
      <c r="A248" t="s">
        <v>3323</v>
      </c>
      <c r="B248" t="s">
        <v>302</v>
      </c>
      <c r="C248" t="s">
        <v>62</v>
      </c>
      <c r="D248">
        <v>99999</v>
      </c>
      <c r="F248" s="109">
        <v>10000</v>
      </c>
      <c r="G248" t="b">
        <v>0</v>
      </c>
      <c r="H248" t="s">
        <v>315</v>
      </c>
      <c r="K248" t="s">
        <v>349</v>
      </c>
      <c r="L248" t="s">
        <v>303</v>
      </c>
      <c r="M248" t="s">
        <v>323</v>
      </c>
      <c r="N248" t="s">
        <v>63</v>
      </c>
      <c r="O248" s="110">
        <v>49.9</v>
      </c>
      <c r="R248" s="110">
        <v>299.98999999999995</v>
      </c>
      <c r="S248" s="110">
        <v>130</v>
      </c>
      <c r="T248" s="110">
        <v>0</v>
      </c>
      <c r="U248" s="110">
        <v>42.99</v>
      </c>
      <c r="X248">
        <v>82.099999999999966</v>
      </c>
      <c r="Y248">
        <v>44.9</v>
      </c>
      <c r="Z248">
        <v>44.9</v>
      </c>
      <c r="AA248">
        <v>0</v>
      </c>
      <c r="AB248" t="s">
        <v>324</v>
      </c>
      <c r="AF248" t="s">
        <v>2885</v>
      </c>
      <c r="AG248" t="s">
        <v>2885</v>
      </c>
      <c r="AH248" t="s">
        <v>1175</v>
      </c>
      <c r="AI248">
        <v>99999</v>
      </c>
      <c r="AJ248">
        <v>99999</v>
      </c>
      <c r="AK248">
        <v>699</v>
      </c>
      <c r="AL248" t="b">
        <v>1</v>
      </c>
      <c r="AM248" t="b">
        <v>1</v>
      </c>
      <c r="AN248" t="b">
        <v>0</v>
      </c>
      <c r="AO248">
        <v>99999</v>
      </c>
      <c r="AP248" t="s">
        <v>64</v>
      </c>
      <c r="AR248" t="b">
        <v>0</v>
      </c>
      <c r="AS248">
        <v>12</v>
      </c>
      <c r="AT248" t="s">
        <v>327</v>
      </c>
      <c r="AV248" t="s">
        <v>2899</v>
      </c>
      <c r="CRL248">
        <v>12</v>
      </c>
    </row>
    <row r="249" spans="1:48 2508:2508" x14ac:dyDescent="0.25">
      <c r="A249" t="s">
        <v>3323</v>
      </c>
      <c r="B249" t="s">
        <v>302</v>
      </c>
      <c r="C249" t="s">
        <v>62</v>
      </c>
      <c r="D249">
        <v>99999</v>
      </c>
      <c r="F249" s="109">
        <v>10000</v>
      </c>
      <c r="G249" t="b">
        <v>0</v>
      </c>
      <c r="H249" t="s">
        <v>315</v>
      </c>
      <c r="K249" t="s">
        <v>349</v>
      </c>
      <c r="L249" t="s">
        <v>303</v>
      </c>
      <c r="M249" t="s">
        <v>323</v>
      </c>
      <c r="N249" t="s">
        <v>63</v>
      </c>
      <c r="O249" s="110">
        <v>49.9</v>
      </c>
      <c r="R249" s="110">
        <v>314.89</v>
      </c>
      <c r="S249" s="110">
        <v>130</v>
      </c>
      <c r="T249" s="110">
        <v>0</v>
      </c>
      <c r="U249" s="110">
        <v>42.99</v>
      </c>
      <c r="X249">
        <v>96.999999999999972</v>
      </c>
      <c r="Y249">
        <v>44.9</v>
      </c>
      <c r="Z249">
        <v>44.9</v>
      </c>
      <c r="AA249">
        <v>0</v>
      </c>
      <c r="AB249" t="s">
        <v>324</v>
      </c>
      <c r="AF249" t="s">
        <v>2959</v>
      </c>
      <c r="AG249" t="s">
        <v>2959</v>
      </c>
      <c r="AH249" t="s">
        <v>1175</v>
      </c>
      <c r="AI249">
        <v>99999</v>
      </c>
      <c r="AJ249">
        <v>99999</v>
      </c>
      <c r="AK249">
        <v>699</v>
      </c>
      <c r="AL249" t="b">
        <v>1</v>
      </c>
      <c r="AM249" t="b">
        <v>1</v>
      </c>
      <c r="AN249" t="b">
        <v>0</v>
      </c>
      <c r="AO249">
        <v>99999</v>
      </c>
      <c r="AP249" t="s">
        <v>64</v>
      </c>
      <c r="AR249" t="b">
        <v>0</v>
      </c>
      <c r="AS249">
        <v>12</v>
      </c>
      <c r="AT249" t="s">
        <v>327</v>
      </c>
      <c r="AV249" t="s">
        <v>2973</v>
      </c>
      <c r="CRL249">
        <v>12</v>
      </c>
    </row>
    <row r="250" spans="1:48 2508:2508" x14ac:dyDescent="0.25">
      <c r="A250" t="s">
        <v>3323</v>
      </c>
      <c r="B250" t="s">
        <v>302</v>
      </c>
      <c r="C250" t="s">
        <v>62</v>
      </c>
      <c r="D250">
        <v>99999</v>
      </c>
      <c r="F250" s="109">
        <v>10000</v>
      </c>
      <c r="G250" t="b">
        <v>0</v>
      </c>
      <c r="H250" t="s">
        <v>315</v>
      </c>
      <c r="K250" t="s">
        <v>393</v>
      </c>
      <c r="L250" t="s">
        <v>303</v>
      </c>
      <c r="M250" t="s">
        <v>323</v>
      </c>
      <c r="N250" t="s">
        <v>63</v>
      </c>
      <c r="O250" s="110">
        <v>29.9</v>
      </c>
      <c r="R250" s="110">
        <v>254.89</v>
      </c>
      <c r="S250" s="110">
        <v>79.900000000000006</v>
      </c>
      <c r="T250" s="110">
        <v>0</v>
      </c>
      <c r="U250" s="110">
        <v>42.99</v>
      </c>
      <c r="X250">
        <v>62.099999999999966</v>
      </c>
      <c r="Y250">
        <v>69.900000000000006</v>
      </c>
      <c r="Z250">
        <v>69.900000000000006</v>
      </c>
      <c r="AA250">
        <v>0</v>
      </c>
      <c r="AB250" t="s">
        <v>363</v>
      </c>
      <c r="AF250" t="s">
        <v>1202</v>
      </c>
      <c r="AG250" t="s">
        <v>1202</v>
      </c>
      <c r="AH250" t="s">
        <v>1175</v>
      </c>
      <c r="AI250">
        <v>99999</v>
      </c>
      <c r="AJ250">
        <v>99999</v>
      </c>
      <c r="AK250">
        <v>699</v>
      </c>
      <c r="AL250" t="b">
        <v>1</v>
      </c>
      <c r="AM250" t="b">
        <v>1</v>
      </c>
      <c r="AN250" t="b">
        <v>0</v>
      </c>
      <c r="AO250">
        <v>99999</v>
      </c>
      <c r="AP250" t="s">
        <v>64</v>
      </c>
      <c r="AR250" t="b">
        <v>0</v>
      </c>
      <c r="AS250">
        <v>12</v>
      </c>
      <c r="AT250" t="s">
        <v>327</v>
      </c>
      <c r="AV250" t="s">
        <v>1229</v>
      </c>
      <c r="CRL250">
        <v>12</v>
      </c>
    </row>
    <row r="251" spans="1:48 2508:2508" x14ac:dyDescent="0.25">
      <c r="A251" t="s">
        <v>3323</v>
      </c>
      <c r="B251" t="s">
        <v>302</v>
      </c>
      <c r="C251" t="s">
        <v>62</v>
      </c>
      <c r="D251">
        <v>99999</v>
      </c>
      <c r="F251" s="109">
        <v>10000</v>
      </c>
      <c r="G251" t="b">
        <v>0</v>
      </c>
      <c r="H251" t="s">
        <v>315</v>
      </c>
      <c r="K251" t="s">
        <v>393</v>
      </c>
      <c r="L251" t="s">
        <v>303</v>
      </c>
      <c r="M251" t="s">
        <v>323</v>
      </c>
      <c r="N251" t="s">
        <v>63</v>
      </c>
      <c r="O251" s="110">
        <v>29.9</v>
      </c>
      <c r="R251" s="110">
        <v>274.89</v>
      </c>
      <c r="S251" s="110">
        <v>79.900000000000006</v>
      </c>
      <c r="T251" s="110">
        <v>0</v>
      </c>
      <c r="U251" s="110">
        <v>42.99</v>
      </c>
      <c r="X251">
        <v>82.099999999999966</v>
      </c>
      <c r="Y251">
        <v>69.900000000000006</v>
      </c>
      <c r="Z251">
        <v>69.900000000000006</v>
      </c>
      <c r="AA251">
        <v>0</v>
      </c>
      <c r="AB251" t="s">
        <v>363</v>
      </c>
      <c r="AF251" t="s">
        <v>1336</v>
      </c>
      <c r="AG251" t="s">
        <v>1336</v>
      </c>
      <c r="AH251" t="s">
        <v>1175</v>
      </c>
      <c r="AI251">
        <v>99999</v>
      </c>
      <c r="AJ251">
        <v>99999</v>
      </c>
      <c r="AK251">
        <v>699</v>
      </c>
      <c r="AL251" t="b">
        <v>1</v>
      </c>
      <c r="AM251" t="b">
        <v>1</v>
      </c>
      <c r="AN251" t="b">
        <v>0</v>
      </c>
      <c r="AO251">
        <v>99999</v>
      </c>
      <c r="AP251" t="s">
        <v>64</v>
      </c>
      <c r="AR251" t="b">
        <v>0</v>
      </c>
      <c r="AS251">
        <v>12</v>
      </c>
      <c r="AT251" t="s">
        <v>327</v>
      </c>
      <c r="AV251" t="s">
        <v>1363</v>
      </c>
      <c r="CRL251">
        <v>12</v>
      </c>
    </row>
    <row r="252" spans="1:48 2508:2508" x14ac:dyDescent="0.25">
      <c r="A252" t="s">
        <v>3323</v>
      </c>
      <c r="B252" t="s">
        <v>302</v>
      </c>
      <c r="C252" t="s">
        <v>62</v>
      </c>
      <c r="D252">
        <v>99999</v>
      </c>
      <c r="F252" s="109">
        <v>10000</v>
      </c>
      <c r="G252" t="b">
        <v>0</v>
      </c>
      <c r="H252" t="s">
        <v>315</v>
      </c>
      <c r="K252" t="s">
        <v>393</v>
      </c>
      <c r="L252" t="s">
        <v>303</v>
      </c>
      <c r="M252" t="s">
        <v>323</v>
      </c>
      <c r="N252" t="s">
        <v>63</v>
      </c>
      <c r="O252" s="110">
        <v>29.9</v>
      </c>
      <c r="R252" s="110">
        <v>294.89</v>
      </c>
      <c r="S252" s="110">
        <v>85</v>
      </c>
      <c r="T252" s="110">
        <v>0</v>
      </c>
      <c r="U252" s="110">
        <v>42.99</v>
      </c>
      <c r="X252">
        <v>96.999999999999972</v>
      </c>
      <c r="Y252">
        <v>69.900000000000006</v>
      </c>
      <c r="Z252">
        <v>69.900000000000006</v>
      </c>
      <c r="AA252">
        <v>0</v>
      </c>
      <c r="AB252" t="s">
        <v>363</v>
      </c>
      <c r="AF252" t="s">
        <v>1484</v>
      </c>
      <c r="AG252" t="s">
        <v>1484</v>
      </c>
      <c r="AH252" t="s">
        <v>1175</v>
      </c>
      <c r="AI252">
        <v>99999</v>
      </c>
      <c r="AJ252">
        <v>99999</v>
      </c>
      <c r="AK252">
        <v>699</v>
      </c>
      <c r="AL252" t="b">
        <v>1</v>
      </c>
      <c r="AM252" t="b">
        <v>1</v>
      </c>
      <c r="AN252" t="b">
        <v>0</v>
      </c>
      <c r="AO252">
        <v>99999</v>
      </c>
      <c r="AP252" t="s">
        <v>64</v>
      </c>
      <c r="AR252" t="b">
        <v>0</v>
      </c>
      <c r="AS252">
        <v>12</v>
      </c>
      <c r="AT252" t="s">
        <v>327</v>
      </c>
      <c r="AV252" t="s">
        <v>1511</v>
      </c>
      <c r="CRL252">
        <v>12</v>
      </c>
    </row>
    <row r="253" spans="1:48 2508:2508" x14ac:dyDescent="0.25">
      <c r="A253" t="s">
        <v>3323</v>
      </c>
      <c r="B253" t="s">
        <v>302</v>
      </c>
      <c r="C253" t="s">
        <v>62</v>
      </c>
      <c r="D253">
        <v>99999</v>
      </c>
      <c r="F253" s="109">
        <v>10000</v>
      </c>
      <c r="G253" t="b">
        <v>0</v>
      </c>
      <c r="H253" t="s">
        <v>315</v>
      </c>
      <c r="K253" t="s">
        <v>393</v>
      </c>
      <c r="L253" t="s">
        <v>303</v>
      </c>
      <c r="M253" t="s">
        <v>323</v>
      </c>
      <c r="N253" t="s">
        <v>63</v>
      </c>
      <c r="O253" s="110">
        <v>39.9</v>
      </c>
      <c r="R253" s="110">
        <v>254.89</v>
      </c>
      <c r="S253" s="110">
        <v>79.900000000000006</v>
      </c>
      <c r="T253" s="110">
        <v>0</v>
      </c>
      <c r="U253" s="110">
        <v>42.99</v>
      </c>
      <c r="X253">
        <v>62.099999999999966</v>
      </c>
      <c r="Y253">
        <v>69.900000000000006</v>
      </c>
      <c r="Z253">
        <v>69.900000000000006</v>
      </c>
      <c r="AA253">
        <v>0</v>
      </c>
      <c r="AB253" t="s">
        <v>363</v>
      </c>
      <c r="AF253" t="s">
        <v>1269</v>
      </c>
      <c r="AG253" t="s">
        <v>1269</v>
      </c>
      <c r="AH253" t="s">
        <v>1175</v>
      </c>
      <c r="AI253">
        <v>99999</v>
      </c>
      <c r="AJ253">
        <v>99999</v>
      </c>
      <c r="AK253">
        <v>699</v>
      </c>
      <c r="AL253" t="b">
        <v>1</v>
      </c>
      <c r="AM253" t="b">
        <v>1</v>
      </c>
      <c r="AN253" t="b">
        <v>0</v>
      </c>
      <c r="AO253">
        <v>99999</v>
      </c>
      <c r="AP253" t="s">
        <v>64</v>
      </c>
      <c r="AR253" t="b">
        <v>0</v>
      </c>
      <c r="AS253">
        <v>12</v>
      </c>
      <c r="AT253" t="s">
        <v>327</v>
      </c>
      <c r="AV253" t="s">
        <v>1296</v>
      </c>
      <c r="CRL253">
        <v>12</v>
      </c>
    </row>
    <row r="254" spans="1:48 2508:2508" x14ac:dyDescent="0.25">
      <c r="A254" t="s">
        <v>3323</v>
      </c>
      <c r="B254" t="s">
        <v>302</v>
      </c>
      <c r="C254" t="s">
        <v>62</v>
      </c>
      <c r="D254">
        <v>99999</v>
      </c>
      <c r="F254" s="109">
        <v>10000</v>
      </c>
      <c r="G254" t="b">
        <v>0</v>
      </c>
      <c r="H254" t="s">
        <v>315</v>
      </c>
      <c r="K254" t="s">
        <v>393</v>
      </c>
      <c r="L254" t="s">
        <v>303</v>
      </c>
      <c r="M254" t="s">
        <v>323</v>
      </c>
      <c r="N254" t="s">
        <v>63</v>
      </c>
      <c r="O254" s="110">
        <v>39.9</v>
      </c>
      <c r="R254" s="110">
        <v>274.89</v>
      </c>
      <c r="S254" s="110">
        <v>79.900000000000006</v>
      </c>
      <c r="T254" s="110">
        <v>0</v>
      </c>
      <c r="U254" s="110">
        <v>42.99</v>
      </c>
      <c r="X254">
        <v>82.099999999999966</v>
      </c>
      <c r="Y254">
        <v>69.900000000000006</v>
      </c>
      <c r="Z254">
        <v>69.900000000000006</v>
      </c>
      <c r="AA254">
        <v>0</v>
      </c>
      <c r="AB254" t="s">
        <v>363</v>
      </c>
      <c r="AF254" t="s">
        <v>1403</v>
      </c>
      <c r="AG254" t="s">
        <v>1403</v>
      </c>
      <c r="AH254" t="s">
        <v>1175</v>
      </c>
      <c r="AI254">
        <v>99999</v>
      </c>
      <c r="AJ254">
        <v>99999</v>
      </c>
      <c r="AK254">
        <v>699</v>
      </c>
      <c r="AL254" t="b">
        <v>1</v>
      </c>
      <c r="AM254" t="b">
        <v>1</v>
      </c>
      <c r="AN254" t="b">
        <v>0</v>
      </c>
      <c r="AO254">
        <v>99999</v>
      </c>
      <c r="AP254" t="s">
        <v>64</v>
      </c>
      <c r="AR254" t="b">
        <v>0</v>
      </c>
      <c r="AS254">
        <v>12</v>
      </c>
      <c r="AT254" t="s">
        <v>327</v>
      </c>
      <c r="AV254" t="s">
        <v>1430</v>
      </c>
      <c r="CRL254">
        <v>12</v>
      </c>
    </row>
    <row r="255" spans="1:48 2508:2508" x14ac:dyDescent="0.25">
      <c r="A255" t="s">
        <v>3323</v>
      </c>
      <c r="B255" t="s">
        <v>302</v>
      </c>
      <c r="C255" t="s">
        <v>62</v>
      </c>
      <c r="D255">
        <v>99999</v>
      </c>
      <c r="F255" s="109">
        <v>10000</v>
      </c>
      <c r="G255" t="b">
        <v>0</v>
      </c>
      <c r="H255" t="s">
        <v>315</v>
      </c>
      <c r="K255" t="s">
        <v>393</v>
      </c>
      <c r="L255" t="s">
        <v>303</v>
      </c>
      <c r="M255" t="s">
        <v>323</v>
      </c>
      <c r="N255" t="s">
        <v>63</v>
      </c>
      <c r="O255" s="110">
        <v>39.9</v>
      </c>
      <c r="R255" s="110">
        <v>294.89</v>
      </c>
      <c r="S255" s="110">
        <v>85</v>
      </c>
      <c r="T255" s="110">
        <v>0</v>
      </c>
      <c r="U255" s="110">
        <v>42.99</v>
      </c>
      <c r="X255">
        <v>96.999999999999972</v>
      </c>
      <c r="Y255">
        <v>69.900000000000006</v>
      </c>
      <c r="Z255">
        <v>69.900000000000006</v>
      </c>
      <c r="AA255">
        <v>0</v>
      </c>
      <c r="AB255" t="s">
        <v>363</v>
      </c>
      <c r="AF255" t="s">
        <v>1551</v>
      </c>
      <c r="AG255" t="s">
        <v>1551</v>
      </c>
      <c r="AH255" t="s">
        <v>1175</v>
      </c>
      <c r="AI255">
        <v>99999</v>
      </c>
      <c r="AJ255">
        <v>99999</v>
      </c>
      <c r="AK255">
        <v>699</v>
      </c>
      <c r="AL255" t="b">
        <v>1</v>
      </c>
      <c r="AM255" t="b">
        <v>1</v>
      </c>
      <c r="AN255" t="b">
        <v>0</v>
      </c>
      <c r="AO255">
        <v>99999</v>
      </c>
      <c r="AP255" t="s">
        <v>64</v>
      </c>
      <c r="AR255" t="b">
        <v>0</v>
      </c>
      <c r="AS255">
        <v>12</v>
      </c>
      <c r="AT255" t="s">
        <v>327</v>
      </c>
      <c r="AV255" t="s">
        <v>1578</v>
      </c>
      <c r="CRL255">
        <v>12</v>
      </c>
    </row>
    <row r="256" spans="1:48 2508:2508" x14ac:dyDescent="0.25">
      <c r="A256" t="s">
        <v>3323</v>
      </c>
      <c r="B256" t="s">
        <v>302</v>
      </c>
      <c r="C256" t="s">
        <v>62</v>
      </c>
      <c r="D256">
        <v>99999</v>
      </c>
      <c r="F256" s="109">
        <v>10000</v>
      </c>
      <c r="G256" t="b">
        <v>0</v>
      </c>
      <c r="H256" t="s">
        <v>315</v>
      </c>
      <c r="K256" t="s">
        <v>393</v>
      </c>
      <c r="L256" t="s">
        <v>303</v>
      </c>
      <c r="M256" t="s">
        <v>323</v>
      </c>
      <c r="N256" t="s">
        <v>63</v>
      </c>
      <c r="O256" s="110">
        <v>49.9</v>
      </c>
      <c r="R256" s="110">
        <v>280.69</v>
      </c>
      <c r="S256" s="110">
        <v>130</v>
      </c>
      <c r="T256" s="110">
        <v>0</v>
      </c>
      <c r="U256" s="110">
        <v>34.99</v>
      </c>
      <c r="X256">
        <v>45.799999999999983</v>
      </c>
      <c r="Y256">
        <v>69.900000000000006</v>
      </c>
      <c r="Z256">
        <v>69.900000000000006</v>
      </c>
      <c r="AA256">
        <v>0</v>
      </c>
      <c r="AB256" t="s">
        <v>363</v>
      </c>
      <c r="AF256" t="s">
        <v>2771</v>
      </c>
      <c r="AG256" t="s">
        <v>2771</v>
      </c>
      <c r="AH256" t="s">
        <v>1175</v>
      </c>
      <c r="AI256">
        <v>99999</v>
      </c>
      <c r="AJ256">
        <v>99999</v>
      </c>
      <c r="AK256">
        <v>699</v>
      </c>
      <c r="AL256" t="b">
        <v>1</v>
      </c>
      <c r="AM256" t="b">
        <v>1</v>
      </c>
      <c r="AN256" t="b">
        <v>0</v>
      </c>
      <c r="AO256">
        <v>99999</v>
      </c>
      <c r="AP256" t="s">
        <v>64</v>
      </c>
      <c r="AR256" t="b">
        <v>0</v>
      </c>
      <c r="AS256">
        <v>12</v>
      </c>
      <c r="AT256" t="s">
        <v>327</v>
      </c>
      <c r="AV256" t="s">
        <v>2798</v>
      </c>
      <c r="CRL256">
        <v>12</v>
      </c>
    </row>
    <row r="257" spans="1:48 2508:2508" x14ac:dyDescent="0.25">
      <c r="A257" t="s">
        <v>3323</v>
      </c>
      <c r="B257" t="s">
        <v>302</v>
      </c>
      <c r="C257" t="s">
        <v>62</v>
      </c>
      <c r="D257">
        <v>99999</v>
      </c>
      <c r="F257" s="109">
        <v>10000</v>
      </c>
      <c r="G257" t="b">
        <v>0</v>
      </c>
      <c r="H257" t="s">
        <v>315</v>
      </c>
      <c r="K257" t="s">
        <v>393</v>
      </c>
      <c r="L257" t="s">
        <v>303</v>
      </c>
      <c r="M257" t="s">
        <v>323</v>
      </c>
      <c r="N257" t="s">
        <v>63</v>
      </c>
      <c r="O257" s="110">
        <v>49.9</v>
      </c>
      <c r="R257" s="110">
        <v>304.99</v>
      </c>
      <c r="S257" s="110">
        <v>130</v>
      </c>
      <c r="T257" s="110">
        <v>0</v>
      </c>
      <c r="U257" s="110">
        <v>42.99</v>
      </c>
      <c r="X257">
        <v>62.099999999999966</v>
      </c>
      <c r="Y257">
        <v>69.900000000000006</v>
      </c>
      <c r="Z257">
        <v>69.900000000000006</v>
      </c>
      <c r="AA257">
        <v>0</v>
      </c>
      <c r="AB257" t="s">
        <v>363</v>
      </c>
      <c r="AF257" t="s">
        <v>2845</v>
      </c>
      <c r="AG257" t="s">
        <v>2845</v>
      </c>
      <c r="AH257" t="s">
        <v>1175</v>
      </c>
      <c r="AI257">
        <v>99999</v>
      </c>
      <c r="AJ257">
        <v>99999</v>
      </c>
      <c r="AK257">
        <v>699</v>
      </c>
      <c r="AL257" t="b">
        <v>1</v>
      </c>
      <c r="AM257" t="b">
        <v>1</v>
      </c>
      <c r="AN257" t="b">
        <v>0</v>
      </c>
      <c r="AO257">
        <v>99999</v>
      </c>
      <c r="AP257" t="s">
        <v>64</v>
      </c>
      <c r="AR257" t="b">
        <v>0</v>
      </c>
      <c r="AS257">
        <v>12</v>
      </c>
      <c r="AT257" t="s">
        <v>327</v>
      </c>
      <c r="AV257" t="s">
        <v>2872</v>
      </c>
      <c r="CRL257">
        <v>12</v>
      </c>
    </row>
    <row r="258" spans="1:48 2508:2508" x14ac:dyDescent="0.25">
      <c r="A258" t="s">
        <v>3323</v>
      </c>
      <c r="B258" t="s">
        <v>302</v>
      </c>
      <c r="C258" t="s">
        <v>62</v>
      </c>
      <c r="D258">
        <v>99999</v>
      </c>
      <c r="F258" s="109">
        <v>10000</v>
      </c>
      <c r="G258" t="b">
        <v>0</v>
      </c>
      <c r="H258" t="s">
        <v>315</v>
      </c>
      <c r="K258" t="s">
        <v>393</v>
      </c>
      <c r="L258" t="s">
        <v>303</v>
      </c>
      <c r="M258" t="s">
        <v>323</v>
      </c>
      <c r="N258" t="s">
        <v>63</v>
      </c>
      <c r="O258" s="110">
        <v>49.9</v>
      </c>
      <c r="R258" s="110">
        <v>324.99</v>
      </c>
      <c r="S258" s="110">
        <v>130</v>
      </c>
      <c r="T258" s="110">
        <v>0</v>
      </c>
      <c r="U258" s="110">
        <v>42.99</v>
      </c>
      <c r="X258">
        <v>82.099999999999966</v>
      </c>
      <c r="Y258">
        <v>69.900000000000006</v>
      </c>
      <c r="Z258">
        <v>69.900000000000006</v>
      </c>
      <c r="AA258">
        <v>0</v>
      </c>
      <c r="AB258" t="s">
        <v>363</v>
      </c>
      <c r="AF258" t="s">
        <v>2912</v>
      </c>
      <c r="AG258" t="s">
        <v>2912</v>
      </c>
      <c r="AH258" t="s">
        <v>1175</v>
      </c>
      <c r="AI258">
        <v>99999</v>
      </c>
      <c r="AJ258">
        <v>99999</v>
      </c>
      <c r="AK258">
        <v>699</v>
      </c>
      <c r="AL258" t="b">
        <v>1</v>
      </c>
      <c r="AM258" t="b">
        <v>1</v>
      </c>
      <c r="AN258" t="b">
        <v>0</v>
      </c>
      <c r="AO258">
        <v>99999</v>
      </c>
      <c r="AP258" t="s">
        <v>64</v>
      </c>
      <c r="AR258" t="b">
        <v>0</v>
      </c>
      <c r="AS258">
        <v>12</v>
      </c>
      <c r="AT258" t="s">
        <v>327</v>
      </c>
      <c r="AV258" t="s">
        <v>2939</v>
      </c>
      <c r="CRL258">
        <v>12</v>
      </c>
    </row>
    <row r="259" spans="1:48 2508:2508" x14ac:dyDescent="0.25">
      <c r="A259" t="s">
        <v>3323</v>
      </c>
      <c r="B259" t="s">
        <v>302</v>
      </c>
      <c r="C259" t="s">
        <v>62</v>
      </c>
      <c r="D259">
        <v>99999</v>
      </c>
      <c r="F259" s="109">
        <v>10000</v>
      </c>
      <c r="G259" t="b">
        <v>0</v>
      </c>
      <c r="H259" t="s">
        <v>315</v>
      </c>
      <c r="K259" t="s">
        <v>393</v>
      </c>
      <c r="L259" t="s">
        <v>303</v>
      </c>
      <c r="M259" t="s">
        <v>323</v>
      </c>
      <c r="N259" t="s">
        <v>63</v>
      </c>
      <c r="O259" s="110">
        <v>49.9</v>
      </c>
      <c r="R259" s="110">
        <v>339.89</v>
      </c>
      <c r="S259" s="110">
        <v>130</v>
      </c>
      <c r="T259" s="110">
        <v>0</v>
      </c>
      <c r="U259" s="110">
        <v>42.99</v>
      </c>
      <c r="X259">
        <v>96.999999999999972</v>
      </c>
      <c r="Y259">
        <v>69.900000000000006</v>
      </c>
      <c r="Z259">
        <v>69.900000000000006</v>
      </c>
      <c r="AA259">
        <v>0</v>
      </c>
      <c r="AB259" t="s">
        <v>363</v>
      </c>
      <c r="AF259" t="s">
        <v>2986</v>
      </c>
      <c r="AG259" t="s">
        <v>2986</v>
      </c>
      <c r="AH259" t="s">
        <v>1175</v>
      </c>
      <c r="AI259">
        <v>99999</v>
      </c>
      <c r="AJ259">
        <v>99999</v>
      </c>
      <c r="AK259">
        <v>699</v>
      </c>
      <c r="AL259" t="b">
        <v>1</v>
      </c>
      <c r="AM259" t="b">
        <v>1</v>
      </c>
      <c r="AN259" t="b">
        <v>0</v>
      </c>
      <c r="AO259">
        <v>99999</v>
      </c>
      <c r="AP259" t="s">
        <v>64</v>
      </c>
      <c r="AR259" t="b">
        <v>0</v>
      </c>
      <c r="AS259">
        <v>12</v>
      </c>
      <c r="AT259" t="s">
        <v>327</v>
      </c>
      <c r="AV259" t="s">
        <v>3013</v>
      </c>
      <c r="CRL259">
        <v>12</v>
      </c>
    </row>
    <row r="260" spans="1:48 2508:2508" x14ac:dyDescent="0.25">
      <c r="A260" t="s">
        <v>3323</v>
      </c>
      <c r="B260" t="s">
        <v>302</v>
      </c>
      <c r="C260" t="s">
        <v>62</v>
      </c>
      <c r="D260">
        <v>99999</v>
      </c>
      <c r="F260" s="109">
        <v>10000</v>
      </c>
      <c r="G260" t="b">
        <v>0</v>
      </c>
      <c r="H260" t="s">
        <v>315</v>
      </c>
      <c r="K260" t="s">
        <v>364</v>
      </c>
      <c r="L260" t="s">
        <v>303</v>
      </c>
      <c r="M260" t="s">
        <v>323</v>
      </c>
      <c r="N260" t="s">
        <v>63</v>
      </c>
      <c r="O260" s="110">
        <v>29.9</v>
      </c>
      <c r="R260" s="110">
        <v>234.89</v>
      </c>
      <c r="S260" s="110">
        <v>79.900000000000006</v>
      </c>
      <c r="T260" s="110">
        <v>0</v>
      </c>
      <c r="U260" s="110">
        <v>42.99</v>
      </c>
      <c r="X260">
        <v>62.099999999999966</v>
      </c>
      <c r="Y260">
        <v>49.9</v>
      </c>
      <c r="Z260">
        <v>49.9</v>
      </c>
      <c r="AA260">
        <v>0</v>
      </c>
      <c r="AB260" t="s">
        <v>363</v>
      </c>
      <c r="AF260" t="s">
        <v>1202</v>
      </c>
      <c r="AG260" t="s">
        <v>1202</v>
      </c>
      <c r="AH260" t="s">
        <v>1175</v>
      </c>
      <c r="AI260">
        <v>99999</v>
      </c>
      <c r="AJ260">
        <v>99999</v>
      </c>
      <c r="AK260">
        <v>699</v>
      </c>
      <c r="AL260" t="b">
        <v>1</v>
      </c>
      <c r="AM260" t="b">
        <v>1</v>
      </c>
      <c r="AN260" t="b">
        <v>0</v>
      </c>
      <c r="AO260">
        <v>99999</v>
      </c>
      <c r="AP260" t="s">
        <v>64</v>
      </c>
      <c r="AR260" t="b">
        <v>0</v>
      </c>
      <c r="AS260">
        <v>12</v>
      </c>
      <c r="AT260" t="s">
        <v>327</v>
      </c>
      <c r="AV260" t="s">
        <v>1203</v>
      </c>
      <c r="CRL260">
        <v>12</v>
      </c>
    </row>
    <row r="261" spans="1:48 2508:2508" x14ac:dyDescent="0.25">
      <c r="A261" t="s">
        <v>3323</v>
      </c>
      <c r="B261" t="s">
        <v>302</v>
      </c>
      <c r="C261" t="s">
        <v>62</v>
      </c>
      <c r="D261">
        <v>99999</v>
      </c>
      <c r="F261" s="109">
        <v>10000</v>
      </c>
      <c r="G261" t="b">
        <v>0</v>
      </c>
      <c r="H261" t="s">
        <v>315</v>
      </c>
      <c r="K261" t="s">
        <v>364</v>
      </c>
      <c r="L261" t="s">
        <v>303</v>
      </c>
      <c r="M261" t="s">
        <v>323</v>
      </c>
      <c r="N261" t="s">
        <v>63</v>
      </c>
      <c r="O261" s="110">
        <v>29.9</v>
      </c>
      <c r="R261" s="110">
        <v>254.89</v>
      </c>
      <c r="S261" s="110">
        <v>79.900000000000006</v>
      </c>
      <c r="T261" s="110">
        <v>0</v>
      </c>
      <c r="U261" s="110">
        <v>42.99</v>
      </c>
      <c r="X261">
        <v>82.099999999999966</v>
      </c>
      <c r="Y261">
        <v>49.9</v>
      </c>
      <c r="Z261">
        <v>49.9</v>
      </c>
      <c r="AA261">
        <v>0</v>
      </c>
      <c r="AB261" t="s">
        <v>363</v>
      </c>
      <c r="AF261" t="s">
        <v>1336</v>
      </c>
      <c r="AG261" t="s">
        <v>1336</v>
      </c>
      <c r="AH261" t="s">
        <v>1175</v>
      </c>
      <c r="AI261">
        <v>99999</v>
      </c>
      <c r="AJ261">
        <v>99999</v>
      </c>
      <c r="AK261">
        <v>699</v>
      </c>
      <c r="AL261" t="b">
        <v>1</v>
      </c>
      <c r="AM261" t="b">
        <v>1</v>
      </c>
      <c r="AN261" t="b">
        <v>0</v>
      </c>
      <c r="AO261">
        <v>99999</v>
      </c>
      <c r="AP261" t="s">
        <v>64</v>
      </c>
      <c r="AR261" t="b">
        <v>0</v>
      </c>
      <c r="AS261">
        <v>12</v>
      </c>
      <c r="AT261" t="s">
        <v>327</v>
      </c>
      <c r="AV261" t="s">
        <v>1337</v>
      </c>
      <c r="CRL261">
        <v>12</v>
      </c>
    </row>
    <row r="262" spans="1:48 2508:2508" x14ac:dyDescent="0.25">
      <c r="A262" t="s">
        <v>3323</v>
      </c>
      <c r="B262" t="s">
        <v>302</v>
      </c>
      <c r="C262" t="s">
        <v>62</v>
      </c>
      <c r="D262">
        <v>99999</v>
      </c>
      <c r="F262" s="109">
        <v>10000</v>
      </c>
      <c r="G262" t="b">
        <v>0</v>
      </c>
      <c r="H262" t="s">
        <v>315</v>
      </c>
      <c r="K262" t="s">
        <v>364</v>
      </c>
      <c r="L262" t="s">
        <v>303</v>
      </c>
      <c r="M262" t="s">
        <v>323</v>
      </c>
      <c r="N262" t="s">
        <v>63</v>
      </c>
      <c r="O262" s="110">
        <v>29.9</v>
      </c>
      <c r="R262" s="110">
        <v>274.89</v>
      </c>
      <c r="S262" s="110">
        <v>85</v>
      </c>
      <c r="T262" s="110">
        <v>0</v>
      </c>
      <c r="U262" s="110">
        <v>42.99</v>
      </c>
      <c r="X262">
        <v>96.999999999999972</v>
      </c>
      <c r="Y262">
        <v>49.9</v>
      </c>
      <c r="Z262">
        <v>49.9</v>
      </c>
      <c r="AA262">
        <v>0</v>
      </c>
      <c r="AB262" t="s">
        <v>363</v>
      </c>
      <c r="AF262" t="s">
        <v>1484</v>
      </c>
      <c r="AG262" t="s">
        <v>1484</v>
      </c>
      <c r="AH262" t="s">
        <v>1175</v>
      </c>
      <c r="AI262">
        <v>99999</v>
      </c>
      <c r="AJ262">
        <v>99999</v>
      </c>
      <c r="AK262">
        <v>699</v>
      </c>
      <c r="AL262" t="b">
        <v>1</v>
      </c>
      <c r="AM262" t="b">
        <v>1</v>
      </c>
      <c r="AN262" t="b">
        <v>0</v>
      </c>
      <c r="AO262">
        <v>99999</v>
      </c>
      <c r="AP262" t="s">
        <v>64</v>
      </c>
      <c r="AR262" t="b">
        <v>0</v>
      </c>
      <c r="AS262">
        <v>12</v>
      </c>
      <c r="AT262" t="s">
        <v>327</v>
      </c>
      <c r="AV262" t="s">
        <v>1485</v>
      </c>
      <c r="CRL262">
        <v>12</v>
      </c>
    </row>
    <row r="263" spans="1:48 2508:2508" x14ac:dyDescent="0.25">
      <c r="A263" t="s">
        <v>3323</v>
      </c>
      <c r="B263" t="s">
        <v>302</v>
      </c>
      <c r="C263" t="s">
        <v>62</v>
      </c>
      <c r="D263">
        <v>99999</v>
      </c>
      <c r="F263" s="109">
        <v>10000</v>
      </c>
      <c r="G263" t="b">
        <v>0</v>
      </c>
      <c r="H263" t="s">
        <v>315</v>
      </c>
      <c r="K263" t="s">
        <v>364</v>
      </c>
      <c r="L263" t="s">
        <v>303</v>
      </c>
      <c r="M263" t="s">
        <v>323</v>
      </c>
      <c r="N263" t="s">
        <v>63</v>
      </c>
      <c r="O263" s="110">
        <v>39.9</v>
      </c>
      <c r="R263" s="110">
        <v>234.89</v>
      </c>
      <c r="S263" s="110">
        <v>79.900000000000006</v>
      </c>
      <c r="T263" s="110">
        <v>0</v>
      </c>
      <c r="U263" s="110">
        <v>42.99</v>
      </c>
      <c r="X263">
        <v>62.099999999999966</v>
      </c>
      <c r="Y263">
        <v>49.9</v>
      </c>
      <c r="Z263">
        <v>49.9</v>
      </c>
      <c r="AA263">
        <v>0</v>
      </c>
      <c r="AB263" t="s">
        <v>363</v>
      </c>
      <c r="AF263" t="s">
        <v>1269</v>
      </c>
      <c r="AG263" t="s">
        <v>1269</v>
      </c>
      <c r="AH263" t="s">
        <v>1175</v>
      </c>
      <c r="AI263">
        <v>99999</v>
      </c>
      <c r="AJ263">
        <v>99999</v>
      </c>
      <c r="AK263">
        <v>699</v>
      </c>
      <c r="AL263" t="b">
        <v>1</v>
      </c>
      <c r="AM263" t="b">
        <v>1</v>
      </c>
      <c r="AN263" t="b">
        <v>0</v>
      </c>
      <c r="AO263">
        <v>99999</v>
      </c>
      <c r="AP263" t="s">
        <v>64</v>
      </c>
      <c r="AR263" t="b">
        <v>0</v>
      </c>
      <c r="AS263">
        <v>12</v>
      </c>
      <c r="AT263" t="s">
        <v>327</v>
      </c>
      <c r="AV263" t="s">
        <v>1270</v>
      </c>
      <c r="CRL263">
        <v>12</v>
      </c>
    </row>
    <row r="264" spans="1:48 2508:2508" x14ac:dyDescent="0.25">
      <c r="A264" t="s">
        <v>3323</v>
      </c>
      <c r="B264" t="s">
        <v>302</v>
      </c>
      <c r="C264" t="s">
        <v>62</v>
      </c>
      <c r="D264">
        <v>99999</v>
      </c>
      <c r="F264" s="109">
        <v>10000</v>
      </c>
      <c r="G264" t="b">
        <v>0</v>
      </c>
      <c r="H264" t="s">
        <v>315</v>
      </c>
      <c r="K264" t="s">
        <v>364</v>
      </c>
      <c r="L264" t="s">
        <v>303</v>
      </c>
      <c r="M264" t="s">
        <v>323</v>
      </c>
      <c r="N264" t="s">
        <v>63</v>
      </c>
      <c r="O264" s="110">
        <v>39.9</v>
      </c>
      <c r="R264" s="110">
        <v>254.89</v>
      </c>
      <c r="S264" s="110">
        <v>79.900000000000006</v>
      </c>
      <c r="T264" s="110">
        <v>0</v>
      </c>
      <c r="U264" s="110">
        <v>42.99</v>
      </c>
      <c r="X264">
        <v>82.099999999999966</v>
      </c>
      <c r="Y264">
        <v>49.9</v>
      </c>
      <c r="Z264">
        <v>49.9</v>
      </c>
      <c r="AA264">
        <v>0</v>
      </c>
      <c r="AB264" t="s">
        <v>363</v>
      </c>
      <c r="AF264" t="s">
        <v>1403</v>
      </c>
      <c r="AG264" t="s">
        <v>1403</v>
      </c>
      <c r="AH264" t="s">
        <v>1175</v>
      </c>
      <c r="AI264">
        <v>99999</v>
      </c>
      <c r="AJ264">
        <v>99999</v>
      </c>
      <c r="AK264">
        <v>699</v>
      </c>
      <c r="AL264" t="b">
        <v>1</v>
      </c>
      <c r="AM264" t="b">
        <v>1</v>
      </c>
      <c r="AN264" t="b">
        <v>0</v>
      </c>
      <c r="AO264">
        <v>99999</v>
      </c>
      <c r="AP264" t="s">
        <v>64</v>
      </c>
      <c r="AR264" t="b">
        <v>0</v>
      </c>
      <c r="AS264">
        <v>12</v>
      </c>
      <c r="AT264" t="s">
        <v>327</v>
      </c>
      <c r="AV264" t="s">
        <v>1404</v>
      </c>
      <c r="CRL264">
        <v>12</v>
      </c>
    </row>
    <row r="265" spans="1:48 2508:2508" x14ac:dyDescent="0.25">
      <c r="A265" t="s">
        <v>3323</v>
      </c>
      <c r="B265" t="s">
        <v>302</v>
      </c>
      <c r="C265" t="s">
        <v>62</v>
      </c>
      <c r="D265">
        <v>99999</v>
      </c>
      <c r="F265" s="109">
        <v>10000</v>
      </c>
      <c r="G265" t="b">
        <v>0</v>
      </c>
      <c r="H265" t="s">
        <v>315</v>
      </c>
      <c r="K265" t="s">
        <v>364</v>
      </c>
      <c r="L265" t="s">
        <v>303</v>
      </c>
      <c r="M265" t="s">
        <v>323</v>
      </c>
      <c r="N265" t="s">
        <v>63</v>
      </c>
      <c r="O265" s="110">
        <v>39.9</v>
      </c>
      <c r="R265" s="110">
        <v>274.89</v>
      </c>
      <c r="S265" s="110">
        <v>85</v>
      </c>
      <c r="T265" s="110">
        <v>0</v>
      </c>
      <c r="U265" s="110">
        <v>42.99</v>
      </c>
      <c r="X265">
        <v>96.999999999999972</v>
      </c>
      <c r="Y265">
        <v>49.9</v>
      </c>
      <c r="Z265">
        <v>49.9</v>
      </c>
      <c r="AA265">
        <v>0</v>
      </c>
      <c r="AB265" t="s">
        <v>363</v>
      </c>
      <c r="AF265" t="s">
        <v>1551</v>
      </c>
      <c r="AG265" t="s">
        <v>1551</v>
      </c>
      <c r="AH265" t="s">
        <v>1175</v>
      </c>
      <c r="AI265">
        <v>99999</v>
      </c>
      <c r="AJ265">
        <v>99999</v>
      </c>
      <c r="AK265">
        <v>699</v>
      </c>
      <c r="AL265" t="b">
        <v>1</v>
      </c>
      <c r="AM265" t="b">
        <v>1</v>
      </c>
      <c r="AN265" t="b">
        <v>0</v>
      </c>
      <c r="AO265">
        <v>99999</v>
      </c>
      <c r="AP265" t="s">
        <v>64</v>
      </c>
      <c r="AR265" t="b">
        <v>0</v>
      </c>
      <c r="AS265">
        <v>12</v>
      </c>
      <c r="AT265" t="s">
        <v>327</v>
      </c>
      <c r="AV265" t="s">
        <v>1552</v>
      </c>
      <c r="CRL265">
        <v>12</v>
      </c>
    </row>
    <row r="266" spans="1:48 2508:2508" x14ac:dyDescent="0.25">
      <c r="A266" t="s">
        <v>3323</v>
      </c>
      <c r="B266" t="s">
        <v>302</v>
      </c>
      <c r="C266" t="s">
        <v>62</v>
      </c>
      <c r="D266">
        <v>99999</v>
      </c>
      <c r="F266" s="109">
        <v>10000</v>
      </c>
      <c r="G266" t="b">
        <v>0</v>
      </c>
      <c r="H266" t="s">
        <v>315</v>
      </c>
      <c r="K266" t="s">
        <v>364</v>
      </c>
      <c r="L266" t="s">
        <v>303</v>
      </c>
      <c r="M266" t="s">
        <v>323</v>
      </c>
      <c r="N266" t="s">
        <v>63</v>
      </c>
      <c r="O266" s="110">
        <v>49.9</v>
      </c>
      <c r="R266" s="110">
        <v>260.68999999999994</v>
      </c>
      <c r="S266" s="110">
        <v>130</v>
      </c>
      <c r="T266" s="110">
        <v>0</v>
      </c>
      <c r="U266" s="110">
        <v>34.99</v>
      </c>
      <c r="X266">
        <v>45.799999999999983</v>
      </c>
      <c r="Y266">
        <v>49.9</v>
      </c>
      <c r="Z266">
        <v>49.9</v>
      </c>
      <c r="AA266">
        <v>0</v>
      </c>
      <c r="AB266" t="s">
        <v>363</v>
      </c>
      <c r="AF266" t="s">
        <v>2771</v>
      </c>
      <c r="AG266" t="s">
        <v>2771</v>
      </c>
      <c r="AH266" t="s">
        <v>1175</v>
      </c>
      <c r="AI266">
        <v>99999</v>
      </c>
      <c r="AJ266">
        <v>99999</v>
      </c>
      <c r="AK266">
        <v>699</v>
      </c>
      <c r="AL266" t="b">
        <v>1</v>
      </c>
      <c r="AM266" t="b">
        <v>1</v>
      </c>
      <c r="AN266" t="b">
        <v>0</v>
      </c>
      <c r="AO266">
        <v>99999</v>
      </c>
      <c r="AP266" t="s">
        <v>64</v>
      </c>
      <c r="AR266" t="b">
        <v>0</v>
      </c>
      <c r="AS266">
        <v>12</v>
      </c>
      <c r="AT266" t="s">
        <v>327</v>
      </c>
      <c r="AV266" t="s">
        <v>2772</v>
      </c>
      <c r="CRL266">
        <v>12</v>
      </c>
    </row>
    <row r="267" spans="1:48 2508:2508" x14ac:dyDescent="0.25">
      <c r="A267" t="s">
        <v>3323</v>
      </c>
      <c r="B267" t="s">
        <v>302</v>
      </c>
      <c r="C267" t="s">
        <v>62</v>
      </c>
      <c r="D267">
        <v>99999</v>
      </c>
      <c r="F267" s="109">
        <v>10000</v>
      </c>
      <c r="G267" t="b">
        <v>0</v>
      </c>
      <c r="H267" t="s">
        <v>315</v>
      </c>
      <c r="K267" t="s">
        <v>364</v>
      </c>
      <c r="L267" t="s">
        <v>303</v>
      </c>
      <c r="M267" t="s">
        <v>323</v>
      </c>
      <c r="N267" t="s">
        <v>63</v>
      </c>
      <c r="O267" s="110">
        <v>49.9</v>
      </c>
      <c r="R267" s="110">
        <v>284.98999999999995</v>
      </c>
      <c r="S267" s="110">
        <v>130</v>
      </c>
      <c r="T267" s="110">
        <v>0</v>
      </c>
      <c r="U267" s="110">
        <v>42.99</v>
      </c>
      <c r="X267">
        <v>62.099999999999966</v>
      </c>
      <c r="Y267">
        <v>49.9</v>
      </c>
      <c r="Z267">
        <v>49.9</v>
      </c>
      <c r="AA267">
        <v>0</v>
      </c>
      <c r="AB267" t="s">
        <v>363</v>
      </c>
      <c r="AF267" t="s">
        <v>2845</v>
      </c>
      <c r="AG267" t="s">
        <v>2845</v>
      </c>
      <c r="AH267" t="s">
        <v>1175</v>
      </c>
      <c r="AI267">
        <v>99999</v>
      </c>
      <c r="AJ267">
        <v>99999</v>
      </c>
      <c r="AK267">
        <v>699</v>
      </c>
      <c r="AL267" t="b">
        <v>1</v>
      </c>
      <c r="AM267" t="b">
        <v>1</v>
      </c>
      <c r="AN267" t="b">
        <v>0</v>
      </c>
      <c r="AO267">
        <v>99999</v>
      </c>
      <c r="AP267" t="s">
        <v>64</v>
      </c>
      <c r="AR267" t="b">
        <v>0</v>
      </c>
      <c r="AS267">
        <v>12</v>
      </c>
      <c r="AT267" t="s">
        <v>327</v>
      </c>
      <c r="AV267" t="s">
        <v>2846</v>
      </c>
      <c r="CRL267">
        <v>12</v>
      </c>
    </row>
    <row r="268" spans="1:48 2508:2508" x14ac:dyDescent="0.25">
      <c r="A268" t="s">
        <v>3323</v>
      </c>
      <c r="B268" t="s">
        <v>302</v>
      </c>
      <c r="C268" t="s">
        <v>62</v>
      </c>
      <c r="D268">
        <v>99999</v>
      </c>
      <c r="F268" s="109">
        <v>10000</v>
      </c>
      <c r="G268" t="b">
        <v>0</v>
      </c>
      <c r="H268" t="s">
        <v>315</v>
      </c>
      <c r="K268" t="s">
        <v>364</v>
      </c>
      <c r="L268" t="s">
        <v>303</v>
      </c>
      <c r="M268" t="s">
        <v>323</v>
      </c>
      <c r="N268" t="s">
        <v>63</v>
      </c>
      <c r="O268" s="110">
        <v>49.9</v>
      </c>
      <c r="R268" s="110">
        <v>304.98999999999995</v>
      </c>
      <c r="S268" s="110">
        <v>130</v>
      </c>
      <c r="T268" s="110">
        <v>0</v>
      </c>
      <c r="U268" s="110">
        <v>42.99</v>
      </c>
      <c r="X268">
        <v>82.099999999999966</v>
      </c>
      <c r="Y268">
        <v>49.9</v>
      </c>
      <c r="Z268">
        <v>49.9</v>
      </c>
      <c r="AA268">
        <v>0</v>
      </c>
      <c r="AB268" t="s">
        <v>363</v>
      </c>
      <c r="AF268" t="s">
        <v>2912</v>
      </c>
      <c r="AG268" t="s">
        <v>2912</v>
      </c>
      <c r="AH268" t="s">
        <v>1175</v>
      </c>
      <c r="AI268">
        <v>99999</v>
      </c>
      <c r="AJ268">
        <v>99999</v>
      </c>
      <c r="AK268">
        <v>699</v>
      </c>
      <c r="AL268" t="b">
        <v>1</v>
      </c>
      <c r="AM268" t="b">
        <v>1</v>
      </c>
      <c r="AN268" t="b">
        <v>0</v>
      </c>
      <c r="AO268">
        <v>99999</v>
      </c>
      <c r="AP268" t="s">
        <v>64</v>
      </c>
      <c r="AR268" t="b">
        <v>0</v>
      </c>
      <c r="AS268">
        <v>12</v>
      </c>
      <c r="AT268" t="s">
        <v>327</v>
      </c>
      <c r="AV268" t="s">
        <v>2913</v>
      </c>
      <c r="CRL268">
        <v>12</v>
      </c>
    </row>
    <row r="269" spans="1:48 2508:2508" x14ac:dyDescent="0.25">
      <c r="A269" t="s">
        <v>3323</v>
      </c>
      <c r="B269" t="s">
        <v>302</v>
      </c>
      <c r="C269" t="s">
        <v>62</v>
      </c>
      <c r="D269">
        <v>99999</v>
      </c>
      <c r="F269" s="109">
        <v>10000</v>
      </c>
      <c r="G269" t="b">
        <v>0</v>
      </c>
      <c r="H269" t="s">
        <v>315</v>
      </c>
      <c r="K269" t="s">
        <v>364</v>
      </c>
      <c r="L269" t="s">
        <v>303</v>
      </c>
      <c r="M269" t="s">
        <v>323</v>
      </c>
      <c r="N269" t="s">
        <v>63</v>
      </c>
      <c r="O269" s="110">
        <v>49.9</v>
      </c>
      <c r="R269" s="110">
        <v>319.89</v>
      </c>
      <c r="S269" s="110">
        <v>130</v>
      </c>
      <c r="T269" s="110">
        <v>0</v>
      </c>
      <c r="U269" s="110">
        <v>42.99</v>
      </c>
      <c r="X269">
        <v>96.999999999999972</v>
      </c>
      <c r="Y269">
        <v>49.9</v>
      </c>
      <c r="Z269">
        <v>49.9</v>
      </c>
      <c r="AA269">
        <v>0</v>
      </c>
      <c r="AB269" t="s">
        <v>363</v>
      </c>
      <c r="AF269" t="s">
        <v>2986</v>
      </c>
      <c r="AG269" t="s">
        <v>2986</v>
      </c>
      <c r="AH269" t="s">
        <v>1175</v>
      </c>
      <c r="AI269">
        <v>99999</v>
      </c>
      <c r="AJ269">
        <v>99999</v>
      </c>
      <c r="AK269">
        <v>699</v>
      </c>
      <c r="AL269" t="b">
        <v>1</v>
      </c>
      <c r="AM269" t="b">
        <v>1</v>
      </c>
      <c r="AN269" t="b">
        <v>0</v>
      </c>
      <c r="AO269">
        <v>99999</v>
      </c>
      <c r="AP269" t="s">
        <v>64</v>
      </c>
      <c r="AR269" t="b">
        <v>0</v>
      </c>
      <c r="AS269">
        <v>12</v>
      </c>
      <c r="AT269" t="s">
        <v>327</v>
      </c>
      <c r="AV269" t="s">
        <v>2987</v>
      </c>
      <c r="CRL269">
        <v>12</v>
      </c>
    </row>
    <row r="270" spans="1:48 2508:2508" x14ac:dyDescent="0.25">
      <c r="A270" t="s">
        <v>3323</v>
      </c>
      <c r="B270" t="s">
        <v>302</v>
      </c>
      <c r="C270" t="s">
        <v>62</v>
      </c>
      <c r="D270">
        <v>99999</v>
      </c>
      <c r="F270" s="109">
        <v>10000</v>
      </c>
      <c r="G270" t="b">
        <v>0</v>
      </c>
      <c r="H270" t="s">
        <v>315</v>
      </c>
      <c r="K270" t="s">
        <v>379</v>
      </c>
      <c r="L270" t="s">
        <v>303</v>
      </c>
      <c r="M270" t="s">
        <v>323</v>
      </c>
      <c r="N270" t="s">
        <v>63</v>
      </c>
      <c r="O270" s="110">
        <v>29.9</v>
      </c>
      <c r="R270" s="110">
        <v>244.89</v>
      </c>
      <c r="S270" s="110">
        <v>79.900000000000006</v>
      </c>
      <c r="T270" s="110">
        <v>0</v>
      </c>
      <c r="U270" s="110">
        <v>42.99</v>
      </c>
      <c r="X270">
        <v>62.099999999999966</v>
      </c>
      <c r="Y270">
        <v>59.9</v>
      </c>
      <c r="Z270">
        <v>59.9</v>
      </c>
      <c r="AA270">
        <v>0</v>
      </c>
      <c r="AB270" t="s">
        <v>363</v>
      </c>
      <c r="AF270" t="s">
        <v>1202</v>
      </c>
      <c r="AG270" t="s">
        <v>1202</v>
      </c>
      <c r="AH270" t="s">
        <v>1175</v>
      </c>
      <c r="AI270">
        <v>99999</v>
      </c>
      <c r="AJ270">
        <v>99999</v>
      </c>
      <c r="AK270">
        <v>699</v>
      </c>
      <c r="AL270" t="b">
        <v>1</v>
      </c>
      <c r="AM270" t="b">
        <v>1</v>
      </c>
      <c r="AN270" t="b">
        <v>0</v>
      </c>
      <c r="AO270">
        <v>99999</v>
      </c>
      <c r="AP270" t="s">
        <v>64</v>
      </c>
      <c r="AR270" t="b">
        <v>0</v>
      </c>
      <c r="AS270">
        <v>12</v>
      </c>
      <c r="AT270" t="s">
        <v>327</v>
      </c>
      <c r="AV270" t="s">
        <v>1216</v>
      </c>
      <c r="CRL270">
        <v>12</v>
      </c>
    </row>
    <row r="271" spans="1:48 2508:2508" x14ac:dyDescent="0.25">
      <c r="A271" t="s">
        <v>3323</v>
      </c>
      <c r="B271" t="s">
        <v>302</v>
      </c>
      <c r="C271" t="s">
        <v>62</v>
      </c>
      <c r="D271">
        <v>99999</v>
      </c>
      <c r="F271" s="109">
        <v>10000</v>
      </c>
      <c r="G271" t="b">
        <v>0</v>
      </c>
      <c r="H271" t="s">
        <v>315</v>
      </c>
      <c r="K271" t="s">
        <v>379</v>
      </c>
      <c r="L271" t="s">
        <v>303</v>
      </c>
      <c r="M271" t="s">
        <v>323</v>
      </c>
      <c r="N271" t="s">
        <v>63</v>
      </c>
      <c r="O271" s="110">
        <v>29.9</v>
      </c>
      <c r="R271" s="110">
        <v>264.89</v>
      </c>
      <c r="S271" s="110">
        <v>79.900000000000006</v>
      </c>
      <c r="T271" s="110">
        <v>0</v>
      </c>
      <c r="U271" s="110">
        <v>42.99</v>
      </c>
      <c r="X271">
        <v>82.099999999999966</v>
      </c>
      <c r="Y271">
        <v>59.9</v>
      </c>
      <c r="Z271">
        <v>59.9</v>
      </c>
      <c r="AA271">
        <v>0</v>
      </c>
      <c r="AB271" t="s">
        <v>363</v>
      </c>
      <c r="AF271" t="s">
        <v>1336</v>
      </c>
      <c r="AG271" t="s">
        <v>1336</v>
      </c>
      <c r="AH271" t="s">
        <v>1175</v>
      </c>
      <c r="AI271">
        <v>99999</v>
      </c>
      <c r="AJ271">
        <v>99999</v>
      </c>
      <c r="AK271">
        <v>699</v>
      </c>
      <c r="AL271" t="b">
        <v>1</v>
      </c>
      <c r="AM271" t="b">
        <v>1</v>
      </c>
      <c r="AN271" t="b">
        <v>0</v>
      </c>
      <c r="AO271">
        <v>99999</v>
      </c>
      <c r="AP271" t="s">
        <v>64</v>
      </c>
      <c r="AR271" t="b">
        <v>0</v>
      </c>
      <c r="AS271">
        <v>12</v>
      </c>
      <c r="AT271" t="s">
        <v>327</v>
      </c>
      <c r="AV271" t="s">
        <v>1350</v>
      </c>
      <c r="CRL271">
        <v>12</v>
      </c>
    </row>
    <row r="272" spans="1:48 2508:2508" x14ac:dyDescent="0.25">
      <c r="A272" t="s">
        <v>3323</v>
      </c>
      <c r="B272" t="s">
        <v>302</v>
      </c>
      <c r="C272" t="s">
        <v>62</v>
      </c>
      <c r="D272">
        <v>99999</v>
      </c>
      <c r="F272" s="109">
        <v>10000</v>
      </c>
      <c r="G272" t="b">
        <v>0</v>
      </c>
      <c r="H272" t="s">
        <v>315</v>
      </c>
      <c r="K272" t="s">
        <v>379</v>
      </c>
      <c r="L272" t="s">
        <v>303</v>
      </c>
      <c r="M272" t="s">
        <v>323</v>
      </c>
      <c r="N272" t="s">
        <v>63</v>
      </c>
      <c r="O272" s="110">
        <v>29.9</v>
      </c>
      <c r="R272" s="110">
        <v>284.89</v>
      </c>
      <c r="S272" s="110">
        <v>85</v>
      </c>
      <c r="T272" s="110">
        <v>0</v>
      </c>
      <c r="U272" s="110">
        <v>42.99</v>
      </c>
      <c r="X272">
        <v>96.999999999999972</v>
      </c>
      <c r="Y272">
        <v>59.9</v>
      </c>
      <c r="Z272">
        <v>59.9</v>
      </c>
      <c r="AA272">
        <v>0</v>
      </c>
      <c r="AB272" t="s">
        <v>363</v>
      </c>
      <c r="AF272" t="s">
        <v>1484</v>
      </c>
      <c r="AG272" t="s">
        <v>1484</v>
      </c>
      <c r="AH272" t="s">
        <v>1175</v>
      </c>
      <c r="AI272">
        <v>99999</v>
      </c>
      <c r="AJ272">
        <v>99999</v>
      </c>
      <c r="AK272">
        <v>699</v>
      </c>
      <c r="AL272" t="b">
        <v>1</v>
      </c>
      <c r="AM272" t="b">
        <v>1</v>
      </c>
      <c r="AN272" t="b">
        <v>0</v>
      </c>
      <c r="AO272">
        <v>99999</v>
      </c>
      <c r="AP272" t="s">
        <v>64</v>
      </c>
      <c r="AR272" t="b">
        <v>0</v>
      </c>
      <c r="AS272">
        <v>12</v>
      </c>
      <c r="AT272" t="s">
        <v>327</v>
      </c>
      <c r="AV272" t="s">
        <v>1498</v>
      </c>
      <c r="CRL272">
        <v>12</v>
      </c>
    </row>
    <row r="273" spans="1:48 2508:2508" x14ac:dyDescent="0.25">
      <c r="A273" t="s">
        <v>3323</v>
      </c>
      <c r="B273" t="s">
        <v>302</v>
      </c>
      <c r="C273" t="s">
        <v>62</v>
      </c>
      <c r="D273">
        <v>99999</v>
      </c>
      <c r="F273" s="109">
        <v>10000</v>
      </c>
      <c r="G273" t="b">
        <v>0</v>
      </c>
      <c r="H273" t="s">
        <v>315</v>
      </c>
      <c r="K273" t="s">
        <v>379</v>
      </c>
      <c r="L273" t="s">
        <v>303</v>
      </c>
      <c r="M273" t="s">
        <v>323</v>
      </c>
      <c r="N273" t="s">
        <v>63</v>
      </c>
      <c r="O273" s="110">
        <v>39.9</v>
      </c>
      <c r="R273" s="110">
        <v>244.89</v>
      </c>
      <c r="S273" s="110">
        <v>79.900000000000006</v>
      </c>
      <c r="T273" s="110">
        <v>0</v>
      </c>
      <c r="U273" s="110">
        <v>42.99</v>
      </c>
      <c r="X273">
        <v>62.099999999999966</v>
      </c>
      <c r="Y273">
        <v>59.9</v>
      </c>
      <c r="Z273">
        <v>59.9</v>
      </c>
      <c r="AA273">
        <v>0</v>
      </c>
      <c r="AB273" t="s">
        <v>363</v>
      </c>
      <c r="AF273" t="s">
        <v>1269</v>
      </c>
      <c r="AG273" t="s">
        <v>1269</v>
      </c>
      <c r="AH273" t="s">
        <v>1175</v>
      </c>
      <c r="AI273">
        <v>99999</v>
      </c>
      <c r="AJ273">
        <v>99999</v>
      </c>
      <c r="AK273">
        <v>699</v>
      </c>
      <c r="AL273" t="b">
        <v>1</v>
      </c>
      <c r="AM273" t="b">
        <v>1</v>
      </c>
      <c r="AN273" t="b">
        <v>0</v>
      </c>
      <c r="AO273">
        <v>99999</v>
      </c>
      <c r="AP273" t="s">
        <v>64</v>
      </c>
      <c r="AR273" t="b">
        <v>0</v>
      </c>
      <c r="AS273">
        <v>12</v>
      </c>
      <c r="AT273" t="s">
        <v>327</v>
      </c>
      <c r="AV273" t="s">
        <v>1283</v>
      </c>
      <c r="CRL273">
        <v>12</v>
      </c>
    </row>
    <row r="274" spans="1:48 2508:2508" x14ac:dyDescent="0.25">
      <c r="A274" t="s">
        <v>3323</v>
      </c>
      <c r="B274" t="s">
        <v>302</v>
      </c>
      <c r="C274" t="s">
        <v>62</v>
      </c>
      <c r="D274">
        <v>99999</v>
      </c>
      <c r="F274" s="109">
        <v>10000</v>
      </c>
      <c r="G274" t="b">
        <v>0</v>
      </c>
      <c r="H274" t="s">
        <v>315</v>
      </c>
      <c r="K274" t="s">
        <v>379</v>
      </c>
      <c r="L274" t="s">
        <v>303</v>
      </c>
      <c r="M274" t="s">
        <v>323</v>
      </c>
      <c r="N274" t="s">
        <v>63</v>
      </c>
      <c r="O274" s="110">
        <v>39.9</v>
      </c>
      <c r="R274" s="110">
        <v>264.89</v>
      </c>
      <c r="S274" s="110">
        <v>79.900000000000006</v>
      </c>
      <c r="T274" s="110">
        <v>0</v>
      </c>
      <c r="U274" s="110">
        <v>42.99</v>
      </c>
      <c r="X274">
        <v>82.099999999999966</v>
      </c>
      <c r="Y274">
        <v>59.9</v>
      </c>
      <c r="Z274">
        <v>59.9</v>
      </c>
      <c r="AA274">
        <v>0</v>
      </c>
      <c r="AB274" t="s">
        <v>363</v>
      </c>
      <c r="AF274" t="s">
        <v>1403</v>
      </c>
      <c r="AG274" t="s">
        <v>1403</v>
      </c>
      <c r="AH274" t="s">
        <v>1175</v>
      </c>
      <c r="AI274">
        <v>99999</v>
      </c>
      <c r="AJ274">
        <v>99999</v>
      </c>
      <c r="AK274">
        <v>699</v>
      </c>
      <c r="AL274" t="b">
        <v>1</v>
      </c>
      <c r="AM274" t="b">
        <v>1</v>
      </c>
      <c r="AN274" t="b">
        <v>0</v>
      </c>
      <c r="AO274">
        <v>99999</v>
      </c>
      <c r="AP274" t="s">
        <v>64</v>
      </c>
      <c r="AR274" t="b">
        <v>0</v>
      </c>
      <c r="AS274">
        <v>12</v>
      </c>
      <c r="AT274" t="s">
        <v>327</v>
      </c>
      <c r="AV274" t="s">
        <v>1417</v>
      </c>
      <c r="CRL274">
        <v>12</v>
      </c>
    </row>
    <row r="275" spans="1:48 2508:2508" x14ac:dyDescent="0.25">
      <c r="A275" t="s">
        <v>3323</v>
      </c>
      <c r="B275" t="s">
        <v>302</v>
      </c>
      <c r="C275" t="s">
        <v>62</v>
      </c>
      <c r="D275">
        <v>99999</v>
      </c>
      <c r="F275" s="109">
        <v>10000</v>
      </c>
      <c r="G275" t="b">
        <v>0</v>
      </c>
      <c r="H275" t="s">
        <v>315</v>
      </c>
      <c r="K275" t="s">
        <v>379</v>
      </c>
      <c r="L275" t="s">
        <v>303</v>
      </c>
      <c r="M275" t="s">
        <v>323</v>
      </c>
      <c r="N275" t="s">
        <v>63</v>
      </c>
      <c r="O275" s="110">
        <v>39.9</v>
      </c>
      <c r="R275" s="110">
        <v>284.89</v>
      </c>
      <c r="S275" s="110">
        <v>85</v>
      </c>
      <c r="T275" s="110">
        <v>0</v>
      </c>
      <c r="U275" s="110">
        <v>42.99</v>
      </c>
      <c r="X275">
        <v>96.999999999999972</v>
      </c>
      <c r="Y275">
        <v>59.9</v>
      </c>
      <c r="Z275">
        <v>59.9</v>
      </c>
      <c r="AA275">
        <v>0</v>
      </c>
      <c r="AB275" t="s">
        <v>363</v>
      </c>
      <c r="AF275" t="s">
        <v>1551</v>
      </c>
      <c r="AG275" t="s">
        <v>1551</v>
      </c>
      <c r="AH275" t="s">
        <v>1175</v>
      </c>
      <c r="AI275">
        <v>99999</v>
      </c>
      <c r="AJ275">
        <v>99999</v>
      </c>
      <c r="AK275">
        <v>699</v>
      </c>
      <c r="AL275" t="b">
        <v>1</v>
      </c>
      <c r="AM275" t="b">
        <v>1</v>
      </c>
      <c r="AN275" t="b">
        <v>0</v>
      </c>
      <c r="AO275">
        <v>99999</v>
      </c>
      <c r="AP275" t="s">
        <v>64</v>
      </c>
      <c r="AR275" t="b">
        <v>0</v>
      </c>
      <c r="AS275">
        <v>12</v>
      </c>
      <c r="AT275" t="s">
        <v>327</v>
      </c>
      <c r="AV275" t="s">
        <v>1565</v>
      </c>
      <c r="CRL275">
        <v>12</v>
      </c>
    </row>
    <row r="276" spans="1:48 2508:2508" x14ac:dyDescent="0.25">
      <c r="A276" t="s">
        <v>3323</v>
      </c>
      <c r="B276" t="s">
        <v>302</v>
      </c>
      <c r="C276" t="s">
        <v>62</v>
      </c>
      <c r="D276">
        <v>99999</v>
      </c>
      <c r="F276" s="109">
        <v>10000</v>
      </c>
      <c r="G276" t="b">
        <v>0</v>
      </c>
      <c r="H276" t="s">
        <v>315</v>
      </c>
      <c r="K276" t="s">
        <v>379</v>
      </c>
      <c r="L276" t="s">
        <v>303</v>
      </c>
      <c r="M276" t="s">
        <v>323</v>
      </c>
      <c r="N276" t="s">
        <v>63</v>
      </c>
      <c r="O276" s="110">
        <v>49.9</v>
      </c>
      <c r="R276" s="110">
        <v>270.68999999999994</v>
      </c>
      <c r="S276" s="110">
        <v>130</v>
      </c>
      <c r="T276" s="110">
        <v>0</v>
      </c>
      <c r="U276" s="110">
        <v>34.99</v>
      </c>
      <c r="X276">
        <v>45.799999999999983</v>
      </c>
      <c r="Y276">
        <v>59.9</v>
      </c>
      <c r="Z276">
        <v>59.9</v>
      </c>
      <c r="AA276">
        <v>0</v>
      </c>
      <c r="AB276" t="s">
        <v>363</v>
      </c>
      <c r="AF276" t="s">
        <v>2771</v>
      </c>
      <c r="AG276" t="s">
        <v>2771</v>
      </c>
      <c r="AH276" t="s">
        <v>1175</v>
      </c>
      <c r="AI276">
        <v>99999</v>
      </c>
      <c r="AJ276">
        <v>99999</v>
      </c>
      <c r="AK276">
        <v>699</v>
      </c>
      <c r="AL276" t="b">
        <v>1</v>
      </c>
      <c r="AM276" t="b">
        <v>1</v>
      </c>
      <c r="AN276" t="b">
        <v>0</v>
      </c>
      <c r="AO276">
        <v>99999</v>
      </c>
      <c r="AP276" t="s">
        <v>64</v>
      </c>
      <c r="AR276" t="b">
        <v>0</v>
      </c>
      <c r="AS276">
        <v>12</v>
      </c>
      <c r="AT276" t="s">
        <v>327</v>
      </c>
      <c r="AV276" t="s">
        <v>2785</v>
      </c>
      <c r="CRL276">
        <v>12</v>
      </c>
    </row>
    <row r="277" spans="1:48 2508:2508" x14ac:dyDescent="0.25">
      <c r="A277" t="s">
        <v>3323</v>
      </c>
      <c r="B277" t="s">
        <v>302</v>
      </c>
      <c r="C277" t="s">
        <v>62</v>
      </c>
      <c r="D277">
        <v>99999</v>
      </c>
      <c r="F277" s="109">
        <v>10000</v>
      </c>
      <c r="G277" t="b">
        <v>0</v>
      </c>
      <c r="H277" t="s">
        <v>315</v>
      </c>
      <c r="K277" t="s">
        <v>379</v>
      </c>
      <c r="L277" t="s">
        <v>303</v>
      </c>
      <c r="M277" t="s">
        <v>323</v>
      </c>
      <c r="N277" t="s">
        <v>63</v>
      </c>
      <c r="O277" s="110">
        <v>49.9</v>
      </c>
      <c r="R277" s="110">
        <v>294.98999999999995</v>
      </c>
      <c r="S277" s="110">
        <v>130</v>
      </c>
      <c r="T277" s="110">
        <v>0</v>
      </c>
      <c r="U277" s="110">
        <v>42.99</v>
      </c>
      <c r="X277">
        <v>62.099999999999966</v>
      </c>
      <c r="Y277">
        <v>59.9</v>
      </c>
      <c r="Z277">
        <v>59.9</v>
      </c>
      <c r="AA277">
        <v>0</v>
      </c>
      <c r="AB277" t="s">
        <v>363</v>
      </c>
      <c r="AF277" t="s">
        <v>2845</v>
      </c>
      <c r="AG277" t="s">
        <v>2845</v>
      </c>
      <c r="AH277" t="s">
        <v>1175</v>
      </c>
      <c r="AI277">
        <v>99999</v>
      </c>
      <c r="AJ277">
        <v>99999</v>
      </c>
      <c r="AK277">
        <v>699</v>
      </c>
      <c r="AL277" t="b">
        <v>1</v>
      </c>
      <c r="AM277" t="b">
        <v>1</v>
      </c>
      <c r="AN277" t="b">
        <v>0</v>
      </c>
      <c r="AO277">
        <v>99999</v>
      </c>
      <c r="AP277" t="s">
        <v>64</v>
      </c>
      <c r="AR277" t="b">
        <v>0</v>
      </c>
      <c r="AS277">
        <v>12</v>
      </c>
      <c r="AT277" t="s">
        <v>327</v>
      </c>
      <c r="AV277" t="s">
        <v>2859</v>
      </c>
      <c r="CRL277">
        <v>12</v>
      </c>
    </row>
    <row r="278" spans="1:48 2508:2508" x14ac:dyDescent="0.25">
      <c r="A278" t="s">
        <v>3323</v>
      </c>
      <c r="B278" t="s">
        <v>302</v>
      </c>
      <c r="C278" t="s">
        <v>62</v>
      </c>
      <c r="D278">
        <v>99999</v>
      </c>
      <c r="F278" s="109">
        <v>10000</v>
      </c>
      <c r="G278" t="b">
        <v>0</v>
      </c>
      <c r="H278" t="s">
        <v>315</v>
      </c>
      <c r="K278" t="s">
        <v>379</v>
      </c>
      <c r="L278" t="s">
        <v>303</v>
      </c>
      <c r="M278" t="s">
        <v>323</v>
      </c>
      <c r="N278" t="s">
        <v>63</v>
      </c>
      <c r="O278" s="110">
        <v>49.9</v>
      </c>
      <c r="R278" s="110">
        <v>314.98999999999995</v>
      </c>
      <c r="S278" s="110">
        <v>130</v>
      </c>
      <c r="T278" s="110">
        <v>0</v>
      </c>
      <c r="U278" s="110">
        <v>42.99</v>
      </c>
      <c r="X278">
        <v>82.099999999999966</v>
      </c>
      <c r="Y278">
        <v>59.9</v>
      </c>
      <c r="Z278">
        <v>59.9</v>
      </c>
      <c r="AA278">
        <v>0</v>
      </c>
      <c r="AB278" t="s">
        <v>363</v>
      </c>
      <c r="AF278" t="s">
        <v>2912</v>
      </c>
      <c r="AG278" t="s">
        <v>2912</v>
      </c>
      <c r="AH278" t="s">
        <v>1175</v>
      </c>
      <c r="AI278">
        <v>99999</v>
      </c>
      <c r="AJ278">
        <v>99999</v>
      </c>
      <c r="AK278">
        <v>699</v>
      </c>
      <c r="AL278" t="b">
        <v>1</v>
      </c>
      <c r="AM278" t="b">
        <v>1</v>
      </c>
      <c r="AN278" t="b">
        <v>0</v>
      </c>
      <c r="AO278">
        <v>99999</v>
      </c>
      <c r="AP278" t="s">
        <v>64</v>
      </c>
      <c r="AR278" t="b">
        <v>0</v>
      </c>
      <c r="AS278">
        <v>12</v>
      </c>
      <c r="AT278" t="s">
        <v>327</v>
      </c>
      <c r="AV278" t="s">
        <v>2926</v>
      </c>
      <c r="CRL278">
        <v>12</v>
      </c>
    </row>
    <row r="279" spans="1:48 2508:2508" x14ac:dyDescent="0.25">
      <c r="A279" t="s">
        <v>3323</v>
      </c>
      <c r="B279" t="s">
        <v>302</v>
      </c>
      <c r="C279" t="s">
        <v>62</v>
      </c>
      <c r="D279">
        <v>99999</v>
      </c>
      <c r="F279" s="109">
        <v>10000</v>
      </c>
      <c r="G279" t="b">
        <v>0</v>
      </c>
      <c r="H279" t="s">
        <v>315</v>
      </c>
      <c r="K279" t="s">
        <v>379</v>
      </c>
      <c r="L279" t="s">
        <v>303</v>
      </c>
      <c r="M279" t="s">
        <v>323</v>
      </c>
      <c r="N279" t="s">
        <v>63</v>
      </c>
      <c r="O279" s="110">
        <v>49.9</v>
      </c>
      <c r="R279" s="110">
        <v>329.89</v>
      </c>
      <c r="S279" s="110">
        <v>130</v>
      </c>
      <c r="T279" s="110">
        <v>0</v>
      </c>
      <c r="U279" s="110">
        <v>42.99</v>
      </c>
      <c r="X279">
        <v>96.999999999999972</v>
      </c>
      <c r="Y279">
        <v>59.9</v>
      </c>
      <c r="Z279">
        <v>59.9</v>
      </c>
      <c r="AA279">
        <v>0</v>
      </c>
      <c r="AB279" t="s">
        <v>363</v>
      </c>
      <c r="AF279" t="s">
        <v>2986</v>
      </c>
      <c r="AG279" t="s">
        <v>2986</v>
      </c>
      <c r="AH279" t="s">
        <v>1175</v>
      </c>
      <c r="AI279">
        <v>99999</v>
      </c>
      <c r="AJ279">
        <v>99999</v>
      </c>
      <c r="AK279">
        <v>699</v>
      </c>
      <c r="AL279" t="b">
        <v>1</v>
      </c>
      <c r="AM279" t="b">
        <v>1</v>
      </c>
      <c r="AN279" t="b">
        <v>0</v>
      </c>
      <c r="AO279">
        <v>99999</v>
      </c>
      <c r="AP279" t="s">
        <v>64</v>
      </c>
      <c r="AR279" t="b">
        <v>0</v>
      </c>
      <c r="AS279">
        <v>12</v>
      </c>
      <c r="AT279" t="s">
        <v>327</v>
      </c>
      <c r="AV279" t="s">
        <v>3000</v>
      </c>
      <c r="CRL279">
        <v>12</v>
      </c>
    </row>
    <row r="280" spans="1:48 2508:2508" x14ac:dyDescent="0.25">
      <c r="A280" t="s">
        <v>3323</v>
      </c>
      <c r="B280" t="s">
        <v>302</v>
      </c>
      <c r="C280" t="s">
        <v>62</v>
      </c>
      <c r="D280">
        <v>99999</v>
      </c>
      <c r="F280" s="109">
        <v>10000</v>
      </c>
      <c r="G280" t="b">
        <v>0</v>
      </c>
      <c r="H280" t="s">
        <v>315</v>
      </c>
      <c r="K280" t="s">
        <v>61</v>
      </c>
      <c r="L280" t="s">
        <v>303</v>
      </c>
      <c r="M280" t="s">
        <v>323</v>
      </c>
      <c r="N280" t="s">
        <v>63</v>
      </c>
      <c r="O280" s="110">
        <v>29.9</v>
      </c>
      <c r="R280" s="110">
        <v>229.89</v>
      </c>
      <c r="S280" s="110">
        <v>79.900000000000006</v>
      </c>
      <c r="T280" s="110">
        <v>0</v>
      </c>
      <c r="U280" s="110">
        <v>42.99</v>
      </c>
      <c r="X280">
        <v>62.099999999999966</v>
      </c>
      <c r="Y280">
        <v>44.9</v>
      </c>
      <c r="Z280">
        <v>44.9</v>
      </c>
      <c r="AA280">
        <v>0</v>
      </c>
      <c r="AB280" t="s">
        <v>324</v>
      </c>
      <c r="AF280" t="s">
        <v>1174</v>
      </c>
      <c r="AG280" t="s">
        <v>1174</v>
      </c>
      <c r="AH280" t="s">
        <v>1175</v>
      </c>
      <c r="AI280">
        <v>99999</v>
      </c>
      <c r="AJ280">
        <v>99999</v>
      </c>
      <c r="AK280">
        <v>699</v>
      </c>
      <c r="AL280" t="b">
        <v>1</v>
      </c>
      <c r="AM280" t="b">
        <v>1</v>
      </c>
      <c r="AN280" t="b">
        <v>0</v>
      </c>
      <c r="AO280">
        <v>99999</v>
      </c>
      <c r="AP280" t="s">
        <v>64</v>
      </c>
      <c r="AR280" t="b">
        <v>0</v>
      </c>
      <c r="AS280">
        <v>12</v>
      </c>
      <c r="AT280" t="s">
        <v>327</v>
      </c>
      <c r="AV280" t="s">
        <v>1176</v>
      </c>
      <c r="CRL280">
        <v>12</v>
      </c>
    </row>
    <row r="281" spans="1:48 2508:2508" x14ac:dyDescent="0.25">
      <c r="A281" t="s">
        <v>3323</v>
      </c>
      <c r="B281" t="s">
        <v>302</v>
      </c>
      <c r="C281" t="s">
        <v>62</v>
      </c>
      <c r="D281">
        <v>99999</v>
      </c>
      <c r="F281" s="109">
        <v>10000</v>
      </c>
      <c r="G281" t="b">
        <v>0</v>
      </c>
      <c r="H281" t="s">
        <v>315</v>
      </c>
      <c r="K281" t="s">
        <v>61</v>
      </c>
      <c r="L281" t="s">
        <v>303</v>
      </c>
      <c r="M281" t="s">
        <v>323</v>
      </c>
      <c r="N281" t="s">
        <v>63</v>
      </c>
      <c r="O281" s="110">
        <v>29.9</v>
      </c>
      <c r="R281" s="110">
        <v>249.89</v>
      </c>
      <c r="S281" s="110">
        <v>79.900000000000006</v>
      </c>
      <c r="T281" s="110">
        <v>0</v>
      </c>
      <c r="U281" s="110">
        <v>42.99</v>
      </c>
      <c r="X281">
        <v>82.099999999999966</v>
      </c>
      <c r="Y281">
        <v>44.9</v>
      </c>
      <c r="Z281">
        <v>44.9</v>
      </c>
      <c r="AA281">
        <v>0</v>
      </c>
      <c r="AB281" t="s">
        <v>324</v>
      </c>
      <c r="AF281" t="s">
        <v>1309</v>
      </c>
      <c r="AG281" t="s">
        <v>1309</v>
      </c>
      <c r="AH281" t="s">
        <v>1175</v>
      </c>
      <c r="AI281">
        <v>99999</v>
      </c>
      <c r="AJ281">
        <v>99999</v>
      </c>
      <c r="AK281">
        <v>699</v>
      </c>
      <c r="AL281" t="b">
        <v>1</v>
      </c>
      <c r="AM281" t="b">
        <v>1</v>
      </c>
      <c r="AN281" t="b">
        <v>0</v>
      </c>
      <c r="AO281">
        <v>99999</v>
      </c>
      <c r="AP281" t="s">
        <v>64</v>
      </c>
      <c r="AR281" t="b">
        <v>0</v>
      </c>
      <c r="AS281">
        <v>12</v>
      </c>
      <c r="AT281" t="s">
        <v>327</v>
      </c>
      <c r="AV281" t="s">
        <v>1310</v>
      </c>
      <c r="CRL281">
        <v>12</v>
      </c>
    </row>
    <row r="282" spans="1:48 2508:2508" x14ac:dyDescent="0.25">
      <c r="A282" t="s">
        <v>3323</v>
      </c>
      <c r="B282" t="s">
        <v>302</v>
      </c>
      <c r="C282" t="s">
        <v>62</v>
      </c>
      <c r="D282">
        <v>99999</v>
      </c>
      <c r="F282" s="109">
        <v>10000</v>
      </c>
      <c r="G282" t="b">
        <v>0</v>
      </c>
      <c r="H282" t="s">
        <v>315</v>
      </c>
      <c r="K282" t="s">
        <v>61</v>
      </c>
      <c r="L282" t="s">
        <v>303</v>
      </c>
      <c r="M282" t="s">
        <v>323</v>
      </c>
      <c r="N282" t="s">
        <v>63</v>
      </c>
      <c r="O282" s="110">
        <v>29.9</v>
      </c>
      <c r="R282" s="110">
        <v>269.89</v>
      </c>
      <c r="S282" s="110">
        <v>85</v>
      </c>
      <c r="T282" s="110">
        <v>0</v>
      </c>
      <c r="U282" s="110">
        <v>42.99</v>
      </c>
      <c r="X282">
        <v>96.999999999999972</v>
      </c>
      <c r="Y282">
        <v>44.9</v>
      </c>
      <c r="Z282">
        <v>44.9</v>
      </c>
      <c r="AA282">
        <v>0</v>
      </c>
      <c r="AB282" t="s">
        <v>324</v>
      </c>
      <c r="AF282" t="s">
        <v>1457</v>
      </c>
      <c r="AG282" t="s">
        <v>1457</v>
      </c>
      <c r="AH282" t="s">
        <v>1175</v>
      </c>
      <c r="AI282">
        <v>99999</v>
      </c>
      <c r="AJ282">
        <v>99999</v>
      </c>
      <c r="AK282">
        <v>699</v>
      </c>
      <c r="AL282" t="b">
        <v>1</v>
      </c>
      <c r="AM282" t="b">
        <v>1</v>
      </c>
      <c r="AN282" t="b">
        <v>0</v>
      </c>
      <c r="AO282">
        <v>99999</v>
      </c>
      <c r="AP282" t="s">
        <v>64</v>
      </c>
      <c r="AR282" t="b">
        <v>0</v>
      </c>
      <c r="AS282">
        <v>12</v>
      </c>
      <c r="AT282" t="s">
        <v>327</v>
      </c>
      <c r="AV282" t="s">
        <v>1458</v>
      </c>
      <c r="CRL282">
        <v>12</v>
      </c>
    </row>
    <row r="283" spans="1:48 2508:2508" x14ac:dyDescent="0.25">
      <c r="A283" t="s">
        <v>3323</v>
      </c>
      <c r="B283" t="s">
        <v>302</v>
      </c>
      <c r="C283" t="s">
        <v>62</v>
      </c>
      <c r="D283">
        <v>99999</v>
      </c>
      <c r="F283" s="109">
        <v>10000</v>
      </c>
      <c r="G283" t="b">
        <v>0</v>
      </c>
      <c r="H283" t="s">
        <v>315</v>
      </c>
      <c r="K283" t="s">
        <v>61</v>
      </c>
      <c r="L283" t="s">
        <v>303</v>
      </c>
      <c r="M283" t="s">
        <v>323</v>
      </c>
      <c r="N283" t="s">
        <v>63</v>
      </c>
      <c r="O283" s="110">
        <v>39.9</v>
      </c>
      <c r="R283" s="110">
        <v>229.89</v>
      </c>
      <c r="S283" s="110">
        <v>79.900000000000006</v>
      </c>
      <c r="T283" s="110">
        <v>0</v>
      </c>
      <c r="U283" s="110">
        <v>42.99</v>
      </c>
      <c r="X283">
        <v>62.099999999999966</v>
      </c>
      <c r="Y283">
        <v>44.9</v>
      </c>
      <c r="Z283">
        <v>44.9</v>
      </c>
      <c r="AA283">
        <v>0</v>
      </c>
      <c r="AB283" t="s">
        <v>324</v>
      </c>
      <c r="AF283" t="s">
        <v>1242</v>
      </c>
      <c r="AG283" t="s">
        <v>1242</v>
      </c>
      <c r="AH283" t="s">
        <v>1175</v>
      </c>
      <c r="AI283">
        <v>99999</v>
      </c>
      <c r="AJ283">
        <v>99999</v>
      </c>
      <c r="AK283">
        <v>699</v>
      </c>
      <c r="AL283" t="b">
        <v>1</v>
      </c>
      <c r="AM283" t="b">
        <v>1</v>
      </c>
      <c r="AN283" t="b">
        <v>0</v>
      </c>
      <c r="AO283">
        <v>99999</v>
      </c>
      <c r="AP283" t="s">
        <v>64</v>
      </c>
      <c r="AR283" t="b">
        <v>0</v>
      </c>
      <c r="AS283">
        <v>12</v>
      </c>
      <c r="AT283" t="s">
        <v>327</v>
      </c>
      <c r="AV283" t="s">
        <v>1243</v>
      </c>
      <c r="CRL283">
        <v>12</v>
      </c>
    </row>
    <row r="284" spans="1:48 2508:2508" x14ac:dyDescent="0.25">
      <c r="A284" t="s">
        <v>3323</v>
      </c>
      <c r="B284" t="s">
        <v>302</v>
      </c>
      <c r="C284" t="s">
        <v>62</v>
      </c>
      <c r="D284">
        <v>99999</v>
      </c>
      <c r="F284" s="109">
        <v>10000</v>
      </c>
      <c r="G284" t="b">
        <v>0</v>
      </c>
      <c r="H284" t="s">
        <v>315</v>
      </c>
      <c r="K284" t="s">
        <v>61</v>
      </c>
      <c r="L284" t="s">
        <v>303</v>
      </c>
      <c r="M284" t="s">
        <v>323</v>
      </c>
      <c r="N284" t="s">
        <v>63</v>
      </c>
      <c r="O284" s="110">
        <v>39.9</v>
      </c>
      <c r="R284" s="110">
        <v>249.89</v>
      </c>
      <c r="S284" s="110">
        <v>79.900000000000006</v>
      </c>
      <c r="T284" s="110">
        <v>0</v>
      </c>
      <c r="U284" s="110">
        <v>42.99</v>
      </c>
      <c r="X284">
        <v>82.099999999999966</v>
      </c>
      <c r="Y284">
        <v>44.9</v>
      </c>
      <c r="Z284">
        <v>44.9</v>
      </c>
      <c r="AA284">
        <v>0</v>
      </c>
      <c r="AB284" t="s">
        <v>324</v>
      </c>
      <c r="AF284" t="s">
        <v>1376</v>
      </c>
      <c r="AG284" t="s">
        <v>1376</v>
      </c>
      <c r="AH284" t="s">
        <v>1175</v>
      </c>
      <c r="AI284">
        <v>99999</v>
      </c>
      <c r="AJ284">
        <v>99999</v>
      </c>
      <c r="AK284">
        <v>699</v>
      </c>
      <c r="AL284" t="b">
        <v>1</v>
      </c>
      <c r="AM284" t="b">
        <v>1</v>
      </c>
      <c r="AN284" t="b">
        <v>0</v>
      </c>
      <c r="AO284">
        <v>99999</v>
      </c>
      <c r="AP284" t="s">
        <v>64</v>
      </c>
      <c r="AR284" t="b">
        <v>0</v>
      </c>
      <c r="AS284">
        <v>12</v>
      </c>
      <c r="AT284" t="s">
        <v>327</v>
      </c>
      <c r="AV284" t="s">
        <v>1377</v>
      </c>
      <c r="CRL284">
        <v>12</v>
      </c>
    </row>
    <row r="285" spans="1:48 2508:2508" x14ac:dyDescent="0.25">
      <c r="A285" t="s">
        <v>3323</v>
      </c>
      <c r="B285" t="s">
        <v>302</v>
      </c>
      <c r="C285" t="s">
        <v>62</v>
      </c>
      <c r="D285">
        <v>99999</v>
      </c>
      <c r="F285" s="109">
        <v>10000</v>
      </c>
      <c r="G285" t="b">
        <v>0</v>
      </c>
      <c r="H285" t="s">
        <v>315</v>
      </c>
      <c r="K285" t="s">
        <v>61</v>
      </c>
      <c r="L285" t="s">
        <v>303</v>
      </c>
      <c r="M285" t="s">
        <v>323</v>
      </c>
      <c r="N285" t="s">
        <v>63</v>
      </c>
      <c r="O285" s="110">
        <v>39.9</v>
      </c>
      <c r="R285" s="110">
        <v>269.89</v>
      </c>
      <c r="S285" s="110">
        <v>85</v>
      </c>
      <c r="T285" s="110">
        <v>0</v>
      </c>
      <c r="U285" s="110">
        <v>42.99</v>
      </c>
      <c r="X285">
        <v>96.999999999999972</v>
      </c>
      <c r="Y285">
        <v>44.9</v>
      </c>
      <c r="Z285">
        <v>44.9</v>
      </c>
      <c r="AA285">
        <v>0</v>
      </c>
      <c r="AB285" t="s">
        <v>324</v>
      </c>
      <c r="AF285" t="s">
        <v>1524</v>
      </c>
      <c r="AG285" t="s">
        <v>1524</v>
      </c>
      <c r="AH285" t="s">
        <v>1175</v>
      </c>
      <c r="AI285">
        <v>99999</v>
      </c>
      <c r="AJ285">
        <v>99999</v>
      </c>
      <c r="AK285">
        <v>699</v>
      </c>
      <c r="AL285" t="b">
        <v>1</v>
      </c>
      <c r="AM285" t="b">
        <v>1</v>
      </c>
      <c r="AN285" t="b">
        <v>0</v>
      </c>
      <c r="AO285">
        <v>99999</v>
      </c>
      <c r="AP285" t="s">
        <v>64</v>
      </c>
      <c r="AR285" t="b">
        <v>0</v>
      </c>
      <c r="AS285">
        <v>12</v>
      </c>
      <c r="AT285" t="s">
        <v>327</v>
      </c>
      <c r="AV285" t="s">
        <v>1525</v>
      </c>
      <c r="CRL285">
        <v>12</v>
      </c>
    </row>
    <row r="286" spans="1:48 2508:2508" x14ac:dyDescent="0.25">
      <c r="A286" t="s">
        <v>3323</v>
      </c>
      <c r="B286" t="s">
        <v>302</v>
      </c>
      <c r="C286" t="s">
        <v>62</v>
      </c>
      <c r="D286">
        <v>99999</v>
      </c>
      <c r="F286" s="109">
        <v>10000</v>
      </c>
      <c r="G286" t="b">
        <v>0</v>
      </c>
      <c r="H286" t="s">
        <v>315</v>
      </c>
      <c r="K286" t="s">
        <v>61</v>
      </c>
      <c r="L286" t="s">
        <v>303</v>
      </c>
      <c r="M286" t="s">
        <v>323</v>
      </c>
      <c r="N286" t="s">
        <v>63</v>
      </c>
      <c r="O286" s="110">
        <v>49.9</v>
      </c>
      <c r="R286" s="110">
        <v>255.68999999999997</v>
      </c>
      <c r="S286" s="110">
        <v>130</v>
      </c>
      <c r="T286" s="110">
        <v>0</v>
      </c>
      <c r="U286" s="110">
        <v>34.99</v>
      </c>
      <c r="X286">
        <v>45.799999999999983</v>
      </c>
      <c r="Y286">
        <v>44.9</v>
      </c>
      <c r="Z286">
        <v>44.9</v>
      </c>
      <c r="AA286">
        <v>0</v>
      </c>
      <c r="AB286" t="s">
        <v>324</v>
      </c>
      <c r="AF286" t="s">
        <v>2744</v>
      </c>
      <c r="AG286" t="s">
        <v>2744</v>
      </c>
      <c r="AH286" t="s">
        <v>1175</v>
      </c>
      <c r="AI286">
        <v>99999</v>
      </c>
      <c r="AJ286">
        <v>99999</v>
      </c>
      <c r="AK286">
        <v>699</v>
      </c>
      <c r="AL286" t="b">
        <v>1</v>
      </c>
      <c r="AM286" t="b">
        <v>1</v>
      </c>
      <c r="AN286" t="b">
        <v>0</v>
      </c>
      <c r="AO286">
        <v>99999</v>
      </c>
      <c r="AP286" t="s">
        <v>64</v>
      </c>
      <c r="AR286" t="b">
        <v>0</v>
      </c>
      <c r="AS286">
        <v>12</v>
      </c>
      <c r="AT286" t="s">
        <v>327</v>
      </c>
      <c r="AV286" t="s">
        <v>2745</v>
      </c>
      <c r="CRL286">
        <v>12</v>
      </c>
    </row>
    <row r="287" spans="1:48 2508:2508" x14ac:dyDescent="0.25">
      <c r="A287" t="s">
        <v>3323</v>
      </c>
      <c r="B287" t="s">
        <v>302</v>
      </c>
      <c r="C287" t="s">
        <v>62</v>
      </c>
      <c r="D287">
        <v>99999</v>
      </c>
      <c r="F287" s="109">
        <v>10000</v>
      </c>
      <c r="G287" t="b">
        <v>0</v>
      </c>
      <c r="H287" t="s">
        <v>315</v>
      </c>
      <c r="K287" t="s">
        <v>61</v>
      </c>
      <c r="L287" t="s">
        <v>303</v>
      </c>
      <c r="M287" t="s">
        <v>323</v>
      </c>
      <c r="N287" t="s">
        <v>63</v>
      </c>
      <c r="O287" s="110">
        <v>49.9</v>
      </c>
      <c r="R287" s="110">
        <v>279.98999999999995</v>
      </c>
      <c r="S287" s="110">
        <v>130</v>
      </c>
      <c r="T287" s="110">
        <v>0</v>
      </c>
      <c r="U287" s="110">
        <v>42.99</v>
      </c>
      <c r="X287">
        <v>62.099999999999966</v>
      </c>
      <c r="Y287">
        <v>44.9</v>
      </c>
      <c r="Z287">
        <v>44.9</v>
      </c>
      <c r="AA287">
        <v>0</v>
      </c>
      <c r="AB287" t="s">
        <v>324</v>
      </c>
      <c r="AF287" t="s">
        <v>2818</v>
      </c>
      <c r="AG287" t="s">
        <v>2818</v>
      </c>
      <c r="AH287" t="s">
        <v>1175</v>
      </c>
      <c r="AI287">
        <v>99999</v>
      </c>
      <c r="AJ287">
        <v>99999</v>
      </c>
      <c r="AK287">
        <v>699</v>
      </c>
      <c r="AL287" t="b">
        <v>1</v>
      </c>
      <c r="AM287" t="b">
        <v>1</v>
      </c>
      <c r="AN287" t="b">
        <v>0</v>
      </c>
      <c r="AO287">
        <v>99999</v>
      </c>
      <c r="AP287" t="s">
        <v>64</v>
      </c>
      <c r="AR287" t="b">
        <v>0</v>
      </c>
      <c r="AS287">
        <v>12</v>
      </c>
      <c r="AT287" t="s">
        <v>327</v>
      </c>
      <c r="AV287" t="s">
        <v>2819</v>
      </c>
      <c r="CRL287">
        <v>12</v>
      </c>
    </row>
    <row r="288" spans="1:48 2508:2508" x14ac:dyDescent="0.25">
      <c r="A288" t="s">
        <v>3323</v>
      </c>
      <c r="B288" t="s">
        <v>302</v>
      </c>
      <c r="C288" t="s">
        <v>62</v>
      </c>
      <c r="D288">
        <v>99999</v>
      </c>
      <c r="F288" s="109">
        <v>10000</v>
      </c>
      <c r="G288" t="b">
        <v>0</v>
      </c>
      <c r="H288" t="s">
        <v>315</v>
      </c>
      <c r="K288" t="s">
        <v>61</v>
      </c>
      <c r="L288" t="s">
        <v>303</v>
      </c>
      <c r="M288" t="s">
        <v>323</v>
      </c>
      <c r="N288" t="s">
        <v>63</v>
      </c>
      <c r="O288" s="110">
        <v>49.9</v>
      </c>
      <c r="R288" s="110">
        <v>299.98999999999995</v>
      </c>
      <c r="S288" s="110">
        <v>130</v>
      </c>
      <c r="T288" s="110">
        <v>0</v>
      </c>
      <c r="U288" s="110">
        <v>42.99</v>
      </c>
      <c r="X288">
        <v>82.099999999999966</v>
      </c>
      <c r="Y288">
        <v>44.9</v>
      </c>
      <c r="Z288">
        <v>44.9</v>
      </c>
      <c r="AA288">
        <v>0</v>
      </c>
      <c r="AB288" t="s">
        <v>324</v>
      </c>
      <c r="AF288" t="s">
        <v>2885</v>
      </c>
      <c r="AG288" t="s">
        <v>2885</v>
      </c>
      <c r="AH288" t="s">
        <v>1175</v>
      </c>
      <c r="AI288">
        <v>99999</v>
      </c>
      <c r="AJ288">
        <v>99999</v>
      </c>
      <c r="AK288">
        <v>699</v>
      </c>
      <c r="AL288" t="b">
        <v>1</v>
      </c>
      <c r="AM288" t="b">
        <v>1</v>
      </c>
      <c r="AN288" t="b">
        <v>0</v>
      </c>
      <c r="AO288">
        <v>99999</v>
      </c>
      <c r="AP288" t="s">
        <v>64</v>
      </c>
      <c r="AR288" t="b">
        <v>0</v>
      </c>
      <c r="AS288">
        <v>12</v>
      </c>
      <c r="AT288" t="s">
        <v>327</v>
      </c>
      <c r="AV288" t="s">
        <v>2886</v>
      </c>
      <c r="CRL288">
        <v>12</v>
      </c>
    </row>
    <row r="289" spans="1:48 2508:2508" x14ac:dyDescent="0.25">
      <c r="A289" t="s">
        <v>3323</v>
      </c>
      <c r="B289" t="s">
        <v>302</v>
      </c>
      <c r="C289" t="s">
        <v>62</v>
      </c>
      <c r="D289">
        <v>99999</v>
      </c>
      <c r="F289" s="109">
        <v>10000</v>
      </c>
      <c r="G289" t="b">
        <v>0</v>
      </c>
      <c r="H289" t="s">
        <v>315</v>
      </c>
      <c r="K289" t="s">
        <v>61</v>
      </c>
      <c r="L289" t="s">
        <v>303</v>
      </c>
      <c r="M289" t="s">
        <v>323</v>
      </c>
      <c r="N289" t="s">
        <v>63</v>
      </c>
      <c r="O289" s="110">
        <v>49.9</v>
      </c>
      <c r="R289" s="110">
        <v>314.89</v>
      </c>
      <c r="S289" s="110">
        <v>130</v>
      </c>
      <c r="T289" s="110">
        <v>0</v>
      </c>
      <c r="U289" s="110">
        <v>42.99</v>
      </c>
      <c r="X289">
        <v>96.999999999999972</v>
      </c>
      <c r="Y289">
        <v>44.9</v>
      </c>
      <c r="Z289">
        <v>44.9</v>
      </c>
      <c r="AA289">
        <v>0</v>
      </c>
      <c r="AB289" t="s">
        <v>324</v>
      </c>
      <c r="AF289" t="s">
        <v>2959</v>
      </c>
      <c r="AG289" t="s">
        <v>2959</v>
      </c>
      <c r="AH289" t="s">
        <v>1175</v>
      </c>
      <c r="AI289">
        <v>99999</v>
      </c>
      <c r="AJ289">
        <v>99999</v>
      </c>
      <c r="AK289">
        <v>699</v>
      </c>
      <c r="AL289" t="b">
        <v>1</v>
      </c>
      <c r="AM289" t="b">
        <v>1</v>
      </c>
      <c r="AN289" t="b">
        <v>0</v>
      </c>
      <c r="AO289">
        <v>99999</v>
      </c>
      <c r="AP289" t="s">
        <v>64</v>
      </c>
      <c r="AR289" t="b">
        <v>0</v>
      </c>
      <c r="AS289">
        <v>12</v>
      </c>
      <c r="AT289" t="s">
        <v>327</v>
      </c>
      <c r="AV289" t="s">
        <v>2960</v>
      </c>
      <c r="CRL289">
        <v>12</v>
      </c>
    </row>
    <row r="290" spans="1:48 2508:2508" x14ac:dyDescent="0.25">
      <c r="A290" t="s">
        <v>3323</v>
      </c>
      <c r="B290" t="s">
        <v>302</v>
      </c>
      <c r="C290" t="s">
        <v>62</v>
      </c>
      <c r="D290">
        <v>99999</v>
      </c>
      <c r="F290" s="109">
        <v>10000</v>
      </c>
      <c r="G290" t="b">
        <v>0</v>
      </c>
      <c r="H290" t="s">
        <v>343</v>
      </c>
      <c r="K290" t="s">
        <v>349</v>
      </c>
      <c r="L290" t="s">
        <v>303</v>
      </c>
      <c r="M290" t="s">
        <v>323</v>
      </c>
      <c r="N290" t="s">
        <v>63</v>
      </c>
      <c r="O290" s="110">
        <v>29.9</v>
      </c>
      <c r="R290" s="110">
        <v>339.89</v>
      </c>
      <c r="S290" s="110">
        <v>79.900000000000006</v>
      </c>
      <c r="T290" s="110">
        <v>0</v>
      </c>
      <c r="U290" s="110">
        <v>42.99</v>
      </c>
      <c r="X290">
        <v>172.09999999999997</v>
      </c>
      <c r="Y290">
        <v>44.9</v>
      </c>
      <c r="Z290">
        <v>44.9</v>
      </c>
      <c r="AA290">
        <v>0</v>
      </c>
      <c r="AB290" t="s">
        <v>324</v>
      </c>
      <c r="AF290" t="s">
        <v>1174</v>
      </c>
      <c r="AG290" t="s">
        <v>1174</v>
      </c>
      <c r="AH290" t="s">
        <v>1175</v>
      </c>
      <c r="AI290">
        <v>99999</v>
      </c>
      <c r="AJ290">
        <v>99999</v>
      </c>
      <c r="AK290">
        <v>699</v>
      </c>
      <c r="AL290" t="b">
        <v>1</v>
      </c>
      <c r="AM290" t="b">
        <v>1</v>
      </c>
      <c r="AN290" t="b">
        <v>0</v>
      </c>
      <c r="AO290">
        <v>99999</v>
      </c>
      <c r="AP290" t="s">
        <v>64</v>
      </c>
      <c r="AR290" t="b">
        <v>0</v>
      </c>
      <c r="AS290">
        <v>12</v>
      </c>
      <c r="AT290" t="s">
        <v>327</v>
      </c>
      <c r="AV290" t="s">
        <v>1197</v>
      </c>
      <c r="CRL290">
        <v>12</v>
      </c>
    </row>
    <row r="291" spans="1:48 2508:2508" x14ac:dyDescent="0.25">
      <c r="A291" t="s">
        <v>3323</v>
      </c>
      <c r="B291" t="s">
        <v>302</v>
      </c>
      <c r="C291" t="s">
        <v>62</v>
      </c>
      <c r="D291">
        <v>99999</v>
      </c>
      <c r="F291" s="109">
        <v>10000</v>
      </c>
      <c r="G291" t="b">
        <v>0</v>
      </c>
      <c r="H291" t="s">
        <v>343</v>
      </c>
      <c r="K291" t="s">
        <v>349</v>
      </c>
      <c r="L291" t="s">
        <v>303</v>
      </c>
      <c r="M291" t="s">
        <v>323</v>
      </c>
      <c r="N291" t="s">
        <v>63</v>
      </c>
      <c r="O291" s="110">
        <v>29.9</v>
      </c>
      <c r="R291" s="110">
        <v>359.89</v>
      </c>
      <c r="S291" s="110">
        <v>79.900000000000006</v>
      </c>
      <c r="T291" s="110">
        <v>0</v>
      </c>
      <c r="U291" s="110">
        <v>42.99</v>
      </c>
      <c r="X291">
        <v>192.09999999999997</v>
      </c>
      <c r="Y291">
        <v>44.9</v>
      </c>
      <c r="Z291">
        <v>44.9</v>
      </c>
      <c r="AA291">
        <v>0</v>
      </c>
      <c r="AB291" t="s">
        <v>324</v>
      </c>
      <c r="AF291" t="s">
        <v>1309</v>
      </c>
      <c r="AG291" t="s">
        <v>1309</v>
      </c>
      <c r="AH291" t="s">
        <v>1175</v>
      </c>
      <c r="AI291">
        <v>99999</v>
      </c>
      <c r="AJ291">
        <v>99999</v>
      </c>
      <c r="AK291">
        <v>699</v>
      </c>
      <c r="AL291" t="b">
        <v>1</v>
      </c>
      <c r="AM291" t="b">
        <v>1</v>
      </c>
      <c r="AN291" t="b">
        <v>0</v>
      </c>
      <c r="AO291">
        <v>99999</v>
      </c>
      <c r="AP291" t="s">
        <v>64</v>
      </c>
      <c r="AR291" t="b">
        <v>0</v>
      </c>
      <c r="AS291">
        <v>12</v>
      </c>
      <c r="AT291" t="s">
        <v>327</v>
      </c>
      <c r="AV291" t="s">
        <v>1331</v>
      </c>
      <c r="CRL291">
        <v>12</v>
      </c>
    </row>
    <row r="292" spans="1:48 2508:2508" x14ac:dyDescent="0.25">
      <c r="A292" t="s">
        <v>3323</v>
      </c>
      <c r="B292" t="s">
        <v>302</v>
      </c>
      <c r="C292" t="s">
        <v>62</v>
      </c>
      <c r="D292">
        <v>99999</v>
      </c>
      <c r="F292" s="109">
        <v>10000</v>
      </c>
      <c r="G292" t="b">
        <v>0</v>
      </c>
      <c r="H292" t="s">
        <v>343</v>
      </c>
      <c r="K292" t="s">
        <v>349</v>
      </c>
      <c r="L292" t="s">
        <v>303</v>
      </c>
      <c r="M292" t="s">
        <v>323</v>
      </c>
      <c r="N292" t="s">
        <v>63</v>
      </c>
      <c r="O292" s="110">
        <v>29.9</v>
      </c>
      <c r="R292" s="110">
        <v>379.89</v>
      </c>
      <c r="S292" s="110">
        <v>85</v>
      </c>
      <c r="T292" s="110">
        <v>0</v>
      </c>
      <c r="U292" s="110">
        <v>42.99</v>
      </c>
      <c r="X292">
        <v>206.99999999999997</v>
      </c>
      <c r="Y292">
        <v>44.9</v>
      </c>
      <c r="Z292">
        <v>44.9</v>
      </c>
      <c r="AA292">
        <v>0</v>
      </c>
      <c r="AB292" t="s">
        <v>324</v>
      </c>
      <c r="AF292" t="s">
        <v>1457</v>
      </c>
      <c r="AG292" t="s">
        <v>1457</v>
      </c>
      <c r="AH292" t="s">
        <v>1175</v>
      </c>
      <c r="AI292">
        <v>99999</v>
      </c>
      <c r="AJ292">
        <v>99999</v>
      </c>
      <c r="AK292">
        <v>699</v>
      </c>
      <c r="AL292" t="b">
        <v>1</v>
      </c>
      <c r="AM292" t="b">
        <v>1</v>
      </c>
      <c r="AN292" t="b">
        <v>0</v>
      </c>
      <c r="AO292">
        <v>99999</v>
      </c>
      <c r="AP292" t="s">
        <v>64</v>
      </c>
      <c r="AR292" t="b">
        <v>0</v>
      </c>
      <c r="AS292">
        <v>12</v>
      </c>
      <c r="AT292" t="s">
        <v>327</v>
      </c>
      <c r="AV292" t="s">
        <v>1479</v>
      </c>
      <c r="CRL292">
        <v>12</v>
      </c>
    </row>
    <row r="293" spans="1:48 2508:2508" x14ac:dyDescent="0.25">
      <c r="A293" t="s">
        <v>3323</v>
      </c>
      <c r="B293" t="s">
        <v>302</v>
      </c>
      <c r="C293" t="s">
        <v>62</v>
      </c>
      <c r="D293">
        <v>99999</v>
      </c>
      <c r="F293" s="109">
        <v>10000</v>
      </c>
      <c r="G293" t="b">
        <v>0</v>
      </c>
      <c r="H293" t="s">
        <v>343</v>
      </c>
      <c r="K293" t="s">
        <v>349</v>
      </c>
      <c r="L293" t="s">
        <v>303</v>
      </c>
      <c r="M293" t="s">
        <v>323</v>
      </c>
      <c r="N293" t="s">
        <v>63</v>
      </c>
      <c r="O293" s="110">
        <v>39.9</v>
      </c>
      <c r="R293" s="110">
        <v>339.89</v>
      </c>
      <c r="S293" s="110">
        <v>79.900000000000006</v>
      </c>
      <c r="T293" s="110">
        <v>0</v>
      </c>
      <c r="U293" s="110">
        <v>42.99</v>
      </c>
      <c r="X293">
        <v>172.09999999999997</v>
      </c>
      <c r="Y293">
        <v>44.9</v>
      </c>
      <c r="Z293">
        <v>44.9</v>
      </c>
      <c r="AA293">
        <v>0</v>
      </c>
      <c r="AB293" t="s">
        <v>324</v>
      </c>
      <c r="AF293" t="s">
        <v>1242</v>
      </c>
      <c r="AG293" t="s">
        <v>1242</v>
      </c>
      <c r="AH293" t="s">
        <v>1175</v>
      </c>
      <c r="AI293">
        <v>99999</v>
      </c>
      <c r="AJ293">
        <v>99999</v>
      </c>
      <c r="AK293">
        <v>699</v>
      </c>
      <c r="AL293" t="b">
        <v>1</v>
      </c>
      <c r="AM293" t="b">
        <v>1</v>
      </c>
      <c r="AN293" t="b">
        <v>0</v>
      </c>
      <c r="AO293">
        <v>99999</v>
      </c>
      <c r="AP293" t="s">
        <v>64</v>
      </c>
      <c r="AR293" t="b">
        <v>0</v>
      </c>
      <c r="AS293">
        <v>12</v>
      </c>
      <c r="AT293" t="s">
        <v>327</v>
      </c>
      <c r="AV293" t="s">
        <v>1264</v>
      </c>
      <c r="CRL293">
        <v>12</v>
      </c>
    </row>
    <row r="294" spans="1:48 2508:2508" x14ac:dyDescent="0.25">
      <c r="A294" t="s">
        <v>3323</v>
      </c>
      <c r="B294" t="s">
        <v>302</v>
      </c>
      <c r="C294" t="s">
        <v>62</v>
      </c>
      <c r="D294">
        <v>99999</v>
      </c>
      <c r="F294" s="109">
        <v>10000</v>
      </c>
      <c r="G294" t="b">
        <v>0</v>
      </c>
      <c r="H294" t="s">
        <v>343</v>
      </c>
      <c r="K294" t="s">
        <v>349</v>
      </c>
      <c r="L294" t="s">
        <v>303</v>
      </c>
      <c r="M294" t="s">
        <v>323</v>
      </c>
      <c r="N294" t="s">
        <v>63</v>
      </c>
      <c r="O294" s="110">
        <v>39.9</v>
      </c>
      <c r="R294" s="110">
        <v>359.89</v>
      </c>
      <c r="S294" s="110">
        <v>79.900000000000006</v>
      </c>
      <c r="T294" s="110">
        <v>0</v>
      </c>
      <c r="U294" s="110">
        <v>42.99</v>
      </c>
      <c r="X294">
        <v>192.09999999999997</v>
      </c>
      <c r="Y294">
        <v>44.9</v>
      </c>
      <c r="Z294">
        <v>44.9</v>
      </c>
      <c r="AA294">
        <v>0</v>
      </c>
      <c r="AB294" t="s">
        <v>324</v>
      </c>
      <c r="AF294" t="s">
        <v>1376</v>
      </c>
      <c r="AG294" t="s">
        <v>1376</v>
      </c>
      <c r="AH294" t="s">
        <v>1175</v>
      </c>
      <c r="AI294">
        <v>99999</v>
      </c>
      <c r="AJ294">
        <v>99999</v>
      </c>
      <c r="AK294">
        <v>699</v>
      </c>
      <c r="AL294" t="b">
        <v>1</v>
      </c>
      <c r="AM294" t="b">
        <v>1</v>
      </c>
      <c r="AN294" t="b">
        <v>0</v>
      </c>
      <c r="AO294">
        <v>99999</v>
      </c>
      <c r="AP294" t="s">
        <v>64</v>
      </c>
      <c r="AR294" t="b">
        <v>0</v>
      </c>
      <c r="AS294">
        <v>12</v>
      </c>
      <c r="AT294" t="s">
        <v>327</v>
      </c>
      <c r="AV294" t="s">
        <v>1398</v>
      </c>
      <c r="CRL294">
        <v>12</v>
      </c>
    </row>
    <row r="295" spans="1:48 2508:2508" x14ac:dyDescent="0.25">
      <c r="A295" t="s">
        <v>3323</v>
      </c>
      <c r="B295" t="s">
        <v>302</v>
      </c>
      <c r="C295" t="s">
        <v>62</v>
      </c>
      <c r="D295">
        <v>99999</v>
      </c>
      <c r="F295" s="109">
        <v>10000</v>
      </c>
      <c r="G295" t="b">
        <v>0</v>
      </c>
      <c r="H295" t="s">
        <v>343</v>
      </c>
      <c r="K295" t="s">
        <v>349</v>
      </c>
      <c r="L295" t="s">
        <v>303</v>
      </c>
      <c r="M295" t="s">
        <v>323</v>
      </c>
      <c r="N295" t="s">
        <v>63</v>
      </c>
      <c r="O295" s="110">
        <v>39.9</v>
      </c>
      <c r="R295" s="110">
        <v>379.89</v>
      </c>
      <c r="S295" s="110">
        <v>85</v>
      </c>
      <c r="T295" s="110">
        <v>0</v>
      </c>
      <c r="U295" s="110">
        <v>42.99</v>
      </c>
      <c r="X295">
        <v>206.99999999999997</v>
      </c>
      <c r="Y295">
        <v>44.9</v>
      </c>
      <c r="Z295">
        <v>44.9</v>
      </c>
      <c r="AA295">
        <v>0</v>
      </c>
      <c r="AB295" t="s">
        <v>324</v>
      </c>
      <c r="AF295" t="s">
        <v>1524</v>
      </c>
      <c r="AG295" t="s">
        <v>1524</v>
      </c>
      <c r="AH295" t="s">
        <v>1175</v>
      </c>
      <c r="AI295">
        <v>99999</v>
      </c>
      <c r="AJ295">
        <v>99999</v>
      </c>
      <c r="AK295">
        <v>699</v>
      </c>
      <c r="AL295" t="b">
        <v>1</v>
      </c>
      <c r="AM295" t="b">
        <v>1</v>
      </c>
      <c r="AN295" t="b">
        <v>0</v>
      </c>
      <c r="AO295">
        <v>99999</v>
      </c>
      <c r="AP295" t="s">
        <v>64</v>
      </c>
      <c r="AR295" t="b">
        <v>0</v>
      </c>
      <c r="AS295">
        <v>12</v>
      </c>
      <c r="AT295" t="s">
        <v>327</v>
      </c>
      <c r="AV295" t="s">
        <v>1546</v>
      </c>
      <c r="CRL295">
        <v>12</v>
      </c>
    </row>
    <row r="296" spans="1:48 2508:2508" x14ac:dyDescent="0.25">
      <c r="A296" t="s">
        <v>3323</v>
      </c>
      <c r="B296" t="s">
        <v>302</v>
      </c>
      <c r="C296" t="s">
        <v>62</v>
      </c>
      <c r="D296">
        <v>99999</v>
      </c>
      <c r="F296" s="109">
        <v>10000</v>
      </c>
      <c r="G296" t="b">
        <v>0</v>
      </c>
      <c r="H296" t="s">
        <v>343</v>
      </c>
      <c r="K296" t="s">
        <v>349</v>
      </c>
      <c r="L296" t="s">
        <v>303</v>
      </c>
      <c r="M296" t="s">
        <v>323</v>
      </c>
      <c r="N296" t="s">
        <v>63</v>
      </c>
      <c r="O296" s="110">
        <v>49.9</v>
      </c>
      <c r="R296" s="110">
        <v>365.68999999999994</v>
      </c>
      <c r="S296" s="110">
        <v>130</v>
      </c>
      <c r="T296" s="110">
        <v>0</v>
      </c>
      <c r="U296" s="110">
        <v>34.99</v>
      </c>
      <c r="X296">
        <v>155.79999999999998</v>
      </c>
      <c r="Y296">
        <v>44.9</v>
      </c>
      <c r="Z296">
        <v>44.9</v>
      </c>
      <c r="AA296">
        <v>0</v>
      </c>
      <c r="AB296" t="s">
        <v>324</v>
      </c>
      <c r="AF296" t="s">
        <v>2744</v>
      </c>
      <c r="AG296" t="s">
        <v>2744</v>
      </c>
      <c r="AH296" t="s">
        <v>1175</v>
      </c>
      <c r="AI296">
        <v>99999</v>
      </c>
      <c r="AJ296">
        <v>99999</v>
      </c>
      <c r="AK296">
        <v>699</v>
      </c>
      <c r="AL296" t="b">
        <v>1</v>
      </c>
      <c r="AM296" t="b">
        <v>1</v>
      </c>
      <c r="AN296" t="b">
        <v>0</v>
      </c>
      <c r="AO296">
        <v>99999</v>
      </c>
      <c r="AP296" t="s">
        <v>64</v>
      </c>
      <c r="AR296" t="b">
        <v>0</v>
      </c>
      <c r="AS296">
        <v>12</v>
      </c>
      <c r="AT296" t="s">
        <v>327</v>
      </c>
      <c r="AV296" t="s">
        <v>2766</v>
      </c>
      <c r="CRL296">
        <v>12</v>
      </c>
    </row>
    <row r="297" spans="1:48 2508:2508" x14ac:dyDescent="0.25">
      <c r="A297" t="s">
        <v>3323</v>
      </c>
      <c r="B297" t="s">
        <v>302</v>
      </c>
      <c r="C297" t="s">
        <v>62</v>
      </c>
      <c r="D297">
        <v>99999</v>
      </c>
      <c r="F297" s="109">
        <v>10000</v>
      </c>
      <c r="G297" t="b">
        <v>0</v>
      </c>
      <c r="H297" t="s">
        <v>343</v>
      </c>
      <c r="K297" t="s">
        <v>349</v>
      </c>
      <c r="L297" t="s">
        <v>303</v>
      </c>
      <c r="M297" t="s">
        <v>323</v>
      </c>
      <c r="N297" t="s">
        <v>63</v>
      </c>
      <c r="O297" s="110">
        <v>49.9</v>
      </c>
      <c r="R297" s="110">
        <v>389.98999999999995</v>
      </c>
      <c r="S297" s="110">
        <v>130</v>
      </c>
      <c r="T297" s="110">
        <v>0</v>
      </c>
      <c r="U297" s="110">
        <v>42.99</v>
      </c>
      <c r="X297">
        <v>172.09999999999997</v>
      </c>
      <c r="Y297">
        <v>44.9</v>
      </c>
      <c r="Z297">
        <v>44.9</v>
      </c>
      <c r="AA297">
        <v>0</v>
      </c>
      <c r="AB297" t="s">
        <v>324</v>
      </c>
      <c r="AF297" t="s">
        <v>2818</v>
      </c>
      <c r="AG297" t="s">
        <v>2818</v>
      </c>
      <c r="AH297" t="s">
        <v>1175</v>
      </c>
      <c r="AI297">
        <v>99999</v>
      </c>
      <c r="AJ297">
        <v>99999</v>
      </c>
      <c r="AK297">
        <v>699</v>
      </c>
      <c r="AL297" t="b">
        <v>1</v>
      </c>
      <c r="AM297" t="b">
        <v>1</v>
      </c>
      <c r="AN297" t="b">
        <v>0</v>
      </c>
      <c r="AO297">
        <v>99999</v>
      </c>
      <c r="AP297" t="s">
        <v>64</v>
      </c>
      <c r="AR297" t="b">
        <v>0</v>
      </c>
      <c r="AS297">
        <v>12</v>
      </c>
      <c r="AT297" t="s">
        <v>327</v>
      </c>
      <c r="AV297" t="s">
        <v>2840</v>
      </c>
      <c r="CRL297">
        <v>12</v>
      </c>
    </row>
    <row r="298" spans="1:48 2508:2508" x14ac:dyDescent="0.25">
      <c r="A298" t="s">
        <v>3323</v>
      </c>
      <c r="B298" t="s">
        <v>302</v>
      </c>
      <c r="C298" t="s">
        <v>62</v>
      </c>
      <c r="D298">
        <v>99999</v>
      </c>
      <c r="F298" s="109">
        <v>10000</v>
      </c>
      <c r="G298" t="b">
        <v>0</v>
      </c>
      <c r="H298" t="s">
        <v>343</v>
      </c>
      <c r="K298" t="s">
        <v>349</v>
      </c>
      <c r="L298" t="s">
        <v>303</v>
      </c>
      <c r="M298" t="s">
        <v>323</v>
      </c>
      <c r="N298" t="s">
        <v>63</v>
      </c>
      <c r="O298" s="110">
        <v>49.9</v>
      </c>
      <c r="R298" s="110">
        <v>409.98999999999995</v>
      </c>
      <c r="S298" s="110">
        <v>130</v>
      </c>
      <c r="T298" s="110">
        <v>0</v>
      </c>
      <c r="U298" s="110">
        <v>42.99</v>
      </c>
      <c r="X298">
        <v>192.09999999999997</v>
      </c>
      <c r="Y298">
        <v>44.9</v>
      </c>
      <c r="Z298">
        <v>44.9</v>
      </c>
      <c r="AA298">
        <v>0</v>
      </c>
      <c r="AB298" t="s">
        <v>324</v>
      </c>
      <c r="AF298" t="s">
        <v>2885</v>
      </c>
      <c r="AG298" t="s">
        <v>2885</v>
      </c>
      <c r="AH298" t="s">
        <v>1175</v>
      </c>
      <c r="AI298">
        <v>99999</v>
      </c>
      <c r="AJ298">
        <v>99999</v>
      </c>
      <c r="AK298">
        <v>699</v>
      </c>
      <c r="AL298" t="b">
        <v>1</v>
      </c>
      <c r="AM298" t="b">
        <v>1</v>
      </c>
      <c r="AN298" t="b">
        <v>0</v>
      </c>
      <c r="AO298">
        <v>99999</v>
      </c>
      <c r="AP298" t="s">
        <v>64</v>
      </c>
      <c r="AR298" t="b">
        <v>0</v>
      </c>
      <c r="AS298">
        <v>12</v>
      </c>
      <c r="AT298" t="s">
        <v>327</v>
      </c>
      <c r="AV298" t="s">
        <v>2907</v>
      </c>
      <c r="CRL298">
        <v>12</v>
      </c>
    </row>
    <row r="299" spans="1:48 2508:2508" x14ac:dyDescent="0.25">
      <c r="A299" t="s">
        <v>3323</v>
      </c>
      <c r="B299" t="s">
        <v>302</v>
      </c>
      <c r="C299" t="s">
        <v>62</v>
      </c>
      <c r="D299">
        <v>99999</v>
      </c>
      <c r="F299" s="109">
        <v>10000</v>
      </c>
      <c r="G299" t="b">
        <v>0</v>
      </c>
      <c r="H299" t="s">
        <v>343</v>
      </c>
      <c r="K299" t="s">
        <v>349</v>
      </c>
      <c r="L299" t="s">
        <v>303</v>
      </c>
      <c r="M299" t="s">
        <v>323</v>
      </c>
      <c r="N299" t="s">
        <v>63</v>
      </c>
      <c r="O299" s="110">
        <v>49.9</v>
      </c>
      <c r="R299" s="110">
        <v>424.89</v>
      </c>
      <c r="S299" s="110">
        <v>130</v>
      </c>
      <c r="T299" s="110">
        <v>0</v>
      </c>
      <c r="U299" s="110">
        <v>42.99</v>
      </c>
      <c r="X299">
        <v>206.99999999999997</v>
      </c>
      <c r="Y299">
        <v>44.9</v>
      </c>
      <c r="Z299">
        <v>44.9</v>
      </c>
      <c r="AA299">
        <v>0</v>
      </c>
      <c r="AB299" t="s">
        <v>324</v>
      </c>
      <c r="AF299" t="s">
        <v>2959</v>
      </c>
      <c r="AG299" t="s">
        <v>2959</v>
      </c>
      <c r="AH299" t="s">
        <v>1175</v>
      </c>
      <c r="AI299">
        <v>99999</v>
      </c>
      <c r="AJ299">
        <v>99999</v>
      </c>
      <c r="AK299">
        <v>699</v>
      </c>
      <c r="AL299" t="b">
        <v>1</v>
      </c>
      <c r="AM299" t="b">
        <v>1</v>
      </c>
      <c r="AN299" t="b">
        <v>0</v>
      </c>
      <c r="AO299">
        <v>99999</v>
      </c>
      <c r="AP299" t="s">
        <v>64</v>
      </c>
      <c r="AR299" t="b">
        <v>0</v>
      </c>
      <c r="AS299">
        <v>12</v>
      </c>
      <c r="AT299" t="s">
        <v>327</v>
      </c>
      <c r="AV299" t="s">
        <v>2981</v>
      </c>
      <c r="CRL299">
        <v>12</v>
      </c>
    </row>
    <row r="300" spans="1:48 2508:2508" x14ac:dyDescent="0.25">
      <c r="A300" t="s">
        <v>3323</v>
      </c>
      <c r="B300" t="s">
        <v>302</v>
      </c>
      <c r="C300" t="s">
        <v>62</v>
      </c>
      <c r="D300">
        <v>99999</v>
      </c>
      <c r="F300" s="109">
        <v>10000</v>
      </c>
      <c r="G300" t="b">
        <v>0</v>
      </c>
      <c r="H300" t="s">
        <v>343</v>
      </c>
      <c r="K300" t="s">
        <v>393</v>
      </c>
      <c r="L300" t="s">
        <v>303</v>
      </c>
      <c r="M300" t="s">
        <v>323</v>
      </c>
      <c r="N300" t="s">
        <v>63</v>
      </c>
      <c r="O300" s="110">
        <v>29.9</v>
      </c>
      <c r="R300" s="110">
        <v>364.89</v>
      </c>
      <c r="S300" s="110">
        <v>79.900000000000006</v>
      </c>
      <c r="T300" s="110">
        <v>0</v>
      </c>
      <c r="U300" s="110">
        <v>42.99</v>
      </c>
      <c r="X300">
        <v>172.09999999999997</v>
      </c>
      <c r="Y300">
        <v>69.900000000000006</v>
      </c>
      <c r="Z300">
        <v>69.900000000000006</v>
      </c>
      <c r="AA300">
        <v>0</v>
      </c>
      <c r="AB300" t="s">
        <v>363</v>
      </c>
      <c r="AF300" t="s">
        <v>1202</v>
      </c>
      <c r="AG300" t="s">
        <v>1202</v>
      </c>
      <c r="AH300" t="s">
        <v>1175</v>
      </c>
      <c r="AI300">
        <v>99999</v>
      </c>
      <c r="AJ300">
        <v>99999</v>
      </c>
      <c r="AK300">
        <v>699</v>
      </c>
      <c r="AL300" t="b">
        <v>1</v>
      </c>
      <c r="AM300" t="b">
        <v>1</v>
      </c>
      <c r="AN300" t="b">
        <v>0</v>
      </c>
      <c r="AO300">
        <v>99999</v>
      </c>
      <c r="AP300" t="s">
        <v>64</v>
      </c>
      <c r="AR300" t="b">
        <v>0</v>
      </c>
      <c r="AS300">
        <v>12</v>
      </c>
      <c r="AT300" t="s">
        <v>327</v>
      </c>
      <c r="AV300" t="s">
        <v>1237</v>
      </c>
      <c r="CRL300">
        <v>12</v>
      </c>
    </row>
    <row r="301" spans="1:48 2508:2508" x14ac:dyDescent="0.25">
      <c r="A301" t="s">
        <v>3323</v>
      </c>
      <c r="B301" t="s">
        <v>302</v>
      </c>
      <c r="C301" t="s">
        <v>62</v>
      </c>
      <c r="D301">
        <v>99999</v>
      </c>
      <c r="F301" s="109">
        <v>10000</v>
      </c>
      <c r="G301" t="b">
        <v>0</v>
      </c>
      <c r="H301" t="s">
        <v>343</v>
      </c>
      <c r="K301" t="s">
        <v>393</v>
      </c>
      <c r="L301" t="s">
        <v>303</v>
      </c>
      <c r="M301" t="s">
        <v>323</v>
      </c>
      <c r="N301" t="s">
        <v>63</v>
      </c>
      <c r="O301" s="110">
        <v>29.9</v>
      </c>
      <c r="R301" s="110">
        <v>384.89</v>
      </c>
      <c r="S301" s="110">
        <v>79.900000000000006</v>
      </c>
      <c r="T301" s="110">
        <v>0</v>
      </c>
      <c r="U301" s="110">
        <v>42.99</v>
      </c>
      <c r="X301">
        <v>192.09999999999997</v>
      </c>
      <c r="Y301">
        <v>69.900000000000006</v>
      </c>
      <c r="Z301">
        <v>69.900000000000006</v>
      </c>
      <c r="AA301">
        <v>0</v>
      </c>
      <c r="AB301" t="s">
        <v>363</v>
      </c>
      <c r="AF301" t="s">
        <v>1336</v>
      </c>
      <c r="AG301" t="s">
        <v>1336</v>
      </c>
      <c r="AH301" t="s">
        <v>1175</v>
      </c>
      <c r="AI301">
        <v>99999</v>
      </c>
      <c r="AJ301">
        <v>99999</v>
      </c>
      <c r="AK301">
        <v>699</v>
      </c>
      <c r="AL301" t="b">
        <v>1</v>
      </c>
      <c r="AM301" t="b">
        <v>1</v>
      </c>
      <c r="AN301" t="b">
        <v>0</v>
      </c>
      <c r="AO301">
        <v>99999</v>
      </c>
      <c r="AP301" t="s">
        <v>64</v>
      </c>
      <c r="AR301" t="b">
        <v>0</v>
      </c>
      <c r="AS301">
        <v>12</v>
      </c>
      <c r="AT301" t="s">
        <v>327</v>
      </c>
      <c r="AV301" t="s">
        <v>1371</v>
      </c>
      <c r="CRL301">
        <v>12</v>
      </c>
    </row>
    <row r="302" spans="1:48 2508:2508" x14ac:dyDescent="0.25">
      <c r="A302" t="s">
        <v>3323</v>
      </c>
      <c r="B302" t="s">
        <v>302</v>
      </c>
      <c r="C302" t="s">
        <v>62</v>
      </c>
      <c r="D302">
        <v>99999</v>
      </c>
      <c r="F302" s="109">
        <v>10000</v>
      </c>
      <c r="G302" t="b">
        <v>0</v>
      </c>
      <c r="H302" t="s">
        <v>343</v>
      </c>
      <c r="K302" t="s">
        <v>393</v>
      </c>
      <c r="L302" t="s">
        <v>303</v>
      </c>
      <c r="M302" t="s">
        <v>323</v>
      </c>
      <c r="N302" t="s">
        <v>63</v>
      </c>
      <c r="O302" s="110">
        <v>29.9</v>
      </c>
      <c r="R302" s="110">
        <v>404.89</v>
      </c>
      <c r="S302" s="110">
        <v>85</v>
      </c>
      <c r="T302" s="110">
        <v>0</v>
      </c>
      <c r="U302" s="110">
        <v>42.99</v>
      </c>
      <c r="X302">
        <v>206.99999999999997</v>
      </c>
      <c r="Y302">
        <v>69.900000000000006</v>
      </c>
      <c r="Z302">
        <v>69.900000000000006</v>
      </c>
      <c r="AA302">
        <v>0</v>
      </c>
      <c r="AB302" t="s">
        <v>363</v>
      </c>
      <c r="AF302" t="s">
        <v>1484</v>
      </c>
      <c r="AG302" t="s">
        <v>1484</v>
      </c>
      <c r="AH302" t="s">
        <v>1175</v>
      </c>
      <c r="AI302">
        <v>99999</v>
      </c>
      <c r="AJ302">
        <v>99999</v>
      </c>
      <c r="AK302">
        <v>699</v>
      </c>
      <c r="AL302" t="b">
        <v>1</v>
      </c>
      <c r="AM302" t="b">
        <v>1</v>
      </c>
      <c r="AN302" t="b">
        <v>0</v>
      </c>
      <c r="AO302">
        <v>99999</v>
      </c>
      <c r="AP302" t="s">
        <v>64</v>
      </c>
      <c r="AR302" t="b">
        <v>0</v>
      </c>
      <c r="AS302">
        <v>12</v>
      </c>
      <c r="AT302" t="s">
        <v>327</v>
      </c>
      <c r="AV302" t="s">
        <v>1519</v>
      </c>
      <c r="CRL302">
        <v>12</v>
      </c>
    </row>
    <row r="303" spans="1:48 2508:2508" x14ac:dyDescent="0.25">
      <c r="A303" t="s">
        <v>3323</v>
      </c>
      <c r="B303" t="s">
        <v>302</v>
      </c>
      <c r="C303" t="s">
        <v>62</v>
      </c>
      <c r="D303">
        <v>99999</v>
      </c>
      <c r="F303" s="109">
        <v>10000</v>
      </c>
      <c r="G303" t="b">
        <v>0</v>
      </c>
      <c r="H303" t="s">
        <v>343</v>
      </c>
      <c r="K303" t="s">
        <v>393</v>
      </c>
      <c r="L303" t="s">
        <v>303</v>
      </c>
      <c r="M303" t="s">
        <v>323</v>
      </c>
      <c r="N303" t="s">
        <v>63</v>
      </c>
      <c r="O303" s="110">
        <v>39.9</v>
      </c>
      <c r="R303" s="110">
        <v>364.89</v>
      </c>
      <c r="S303" s="110">
        <v>79.900000000000006</v>
      </c>
      <c r="T303" s="110">
        <v>0</v>
      </c>
      <c r="U303" s="110">
        <v>42.99</v>
      </c>
      <c r="X303">
        <v>172.09999999999997</v>
      </c>
      <c r="Y303">
        <v>69.900000000000006</v>
      </c>
      <c r="Z303">
        <v>69.900000000000006</v>
      </c>
      <c r="AA303">
        <v>0</v>
      </c>
      <c r="AB303" t="s">
        <v>363</v>
      </c>
      <c r="AF303" t="s">
        <v>1269</v>
      </c>
      <c r="AG303" t="s">
        <v>1269</v>
      </c>
      <c r="AH303" t="s">
        <v>1175</v>
      </c>
      <c r="AI303">
        <v>99999</v>
      </c>
      <c r="AJ303">
        <v>99999</v>
      </c>
      <c r="AK303">
        <v>699</v>
      </c>
      <c r="AL303" t="b">
        <v>1</v>
      </c>
      <c r="AM303" t="b">
        <v>1</v>
      </c>
      <c r="AN303" t="b">
        <v>0</v>
      </c>
      <c r="AO303">
        <v>99999</v>
      </c>
      <c r="AP303" t="s">
        <v>64</v>
      </c>
      <c r="AR303" t="b">
        <v>0</v>
      </c>
      <c r="AS303">
        <v>12</v>
      </c>
      <c r="AT303" t="s">
        <v>327</v>
      </c>
      <c r="AV303" t="s">
        <v>1304</v>
      </c>
      <c r="CRL303">
        <v>12</v>
      </c>
    </row>
    <row r="304" spans="1:48 2508:2508" x14ac:dyDescent="0.25">
      <c r="A304" t="s">
        <v>3323</v>
      </c>
      <c r="B304" t="s">
        <v>302</v>
      </c>
      <c r="C304" t="s">
        <v>62</v>
      </c>
      <c r="D304">
        <v>99999</v>
      </c>
      <c r="F304" s="109">
        <v>10000</v>
      </c>
      <c r="G304" t="b">
        <v>0</v>
      </c>
      <c r="H304" t="s">
        <v>343</v>
      </c>
      <c r="K304" t="s">
        <v>393</v>
      </c>
      <c r="L304" t="s">
        <v>303</v>
      </c>
      <c r="M304" t="s">
        <v>323</v>
      </c>
      <c r="N304" t="s">
        <v>63</v>
      </c>
      <c r="O304" s="110">
        <v>39.9</v>
      </c>
      <c r="R304" s="110">
        <v>384.89</v>
      </c>
      <c r="S304" s="110">
        <v>79.900000000000006</v>
      </c>
      <c r="T304" s="110">
        <v>0</v>
      </c>
      <c r="U304" s="110">
        <v>42.99</v>
      </c>
      <c r="X304">
        <v>192.09999999999997</v>
      </c>
      <c r="Y304">
        <v>69.900000000000006</v>
      </c>
      <c r="Z304">
        <v>69.900000000000006</v>
      </c>
      <c r="AA304">
        <v>0</v>
      </c>
      <c r="AB304" t="s">
        <v>363</v>
      </c>
      <c r="AF304" t="s">
        <v>1403</v>
      </c>
      <c r="AG304" t="s">
        <v>1403</v>
      </c>
      <c r="AH304" t="s">
        <v>1175</v>
      </c>
      <c r="AI304">
        <v>99999</v>
      </c>
      <c r="AJ304">
        <v>99999</v>
      </c>
      <c r="AK304">
        <v>699</v>
      </c>
      <c r="AL304" t="b">
        <v>1</v>
      </c>
      <c r="AM304" t="b">
        <v>1</v>
      </c>
      <c r="AN304" t="b">
        <v>0</v>
      </c>
      <c r="AO304">
        <v>99999</v>
      </c>
      <c r="AP304" t="s">
        <v>64</v>
      </c>
      <c r="AR304" t="b">
        <v>0</v>
      </c>
      <c r="AS304">
        <v>12</v>
      </c>
      <c r="AT304" t="s">
        <v>327</v>
      </c>
      <c r="AV304" t="s">
        <v>1438</v>
      </c>
      <c r="CRL304">
        <v>12</v>
      </c>
    </row>
    <row r="305" spans="1:48 2508:2508" x14ac:dyDescent="0.25">
      <c r="A305" t="s">
        <v>3323</v>
      </c>
      <c r="B305" t="s">
        <v>302</v>
      </c>
      <c r="C305" t="s">
        <v>62</v>
      </c>
      <c r="D305">
        <v>99999</v>
      </c>
      <c r="F305" s="109">
        <v>10000</v>
      </c>
      <c r="G305" t="b">
        <v>0</v>
      </c>
      <c r="H305" t="s">
        <v>343</v>
      </c>
      <c r="K305" t="s">
        <v>393</v>
      </c>
      <c r="L305" t="s">
        <v>303</v>
      </c>
      <c r="M305" t="s">
        <v>323</v>
      </c>
      <c r="N305" t="s">
        <v>63</v>
      </c>
      <c r="O305" s="110">
        <v>39.9</v>
      </c>
      <c r="R305" s="110">
        <v>404.89</v>
      </c>
      <c r="S305" s="110">
        <v>85</v>
      </c>
      <c r="T305" s="110">
        <v>0</v>
      </c>
      <c r="U305" s="110">
        <v>42.99</v>
      </c>
      <c r="X305">
        <v>206.99999999999997</v>
      </c>
      <c r="Y305">
        <v>69.900000000000006</v>
      </c>
      <c r="Z305">
        <v>69.900000000000006</v>
      </c>
      <c r="AA305">
        <v>0</v>
      </c>
      <c r="AB305" t="s">
        <v>363</v>
      </c>
      <c r="AF305" t="s">
        <v>1551</v>
      </c>
      <c r="AG305" t="s">
        <v>1551</v>
      </c>
      <c r="AH305" t="s">
        <v>1175</v>
      </c>
      <c r="AI305">
        <v>99999</v>
      </c>
      <c r="AJ305">
        <v>99999</v>
      </c>
      <c r="AK305">
        <v>699</v>
      </c>
      <c r="AL305" t="b">
        <v>1</v>
      </c>
      <c r="AM305" t="b">
        <v>1</v>
      </c>
      <c r="AN305" t="b">
        <v>0</v>
      </c>
      <c r="AO305">
        <v>99999</v>
      </c>
      <c r="AP305" t="s">
        <v>64</v>
      </c>
      <c r="AR305" t="b">
        <v>0</v>
      </c>
      <c r="AS305">
        <v>12</v>
      </c>
      <c r="AT305" t="s">
        <v>327</v>
      </c>
      <c r="AV305" t="s">
        <v>1586</v>
      </c>
      <c r="CRL305">
        <v>12</v>
      </c>
    </row>
    <row r="306" spans="1:48 2508:2508" x14ac:dyDescent="0.25">
      <c r="A306" t="s">
        <v>3323</v>
      </c>
      <c r="B306" t="s">
        <v>302</v>
      </c>
      <c r="C306" t="s">
        <v>62</v>
      </c>
      <c r="D306">
        <v>99999</v>
      </c>
      <c r="F306" s="109">
        <v>10000</v>
      </c>
      <c r="G306" t="b">
        <v>0</v>
      </c>
      <c r="H306" t="s">
        <v>343</v>
      </c>
      <c r="K306" t="s">
        <v>393</v>
      </c>
      <c r="L306" t="s">
        <v>303</v>
      </c>
      <c r="M306" t="s">
        <v>323</v>
      </c>
      <c r="N306" t="s">
        <v>63</v>
      </c>
      <c r="O306" s="110">
        <v>49.9</v>
      </c>
      <c r="R306" s="110">
        <v>390.69</v>
      </c>
      <c r="S306" s="110">
        <v>130</v>
      </c>
      <c r="T306" s="110">
        <v>0</v>
      </c>
      <c r="U306" s="110">
        <v>34.99</v>
      </c>
      <c r="X306">
        <v>155.79999999999998</v>
      </c>
      <c r="Y306">
        <v>69.900000000000006</v>
      </c>
      <c r="Z306">
        <v>69.900000000000006</v>
      </c>
      <c r="AA306">
        <v>0</v>
      </c>
      <c r="AB306" t="s">
        <v>363</v>
      </c>
      <c r="AF306" t="s">
        <v>2771</v>
      </c>
      <c r="AG306" t="s">
        <v>2771</v>
      </c>
      <c r="AH306" t="s">
        <v>1175</v>
      </c>
      <c r="AI306">
        <v>99999</v>
      </c>
      <c r="AJ306">
        <v>99999</v>
      </c>
      <c r="AK306">
        <v>699</v>
      </c>
      <c r="AL306" t="b">
        <v>1</v>
      </c>
      <c r="AM306" t="b">
        <v>1</v>
      </c>
      <c r="AN306" t="b">
        <v>0</v>
      </c>
      <c r="AO306">
        <v>99999</v>
      </c>
      <c r="AP306" t="s">
        <v>64</v>
      </c>
      <c r="AR306" t="b">
        <v>0</v>
      </c>
      <c r="AS306">
        <v>12</v>
      </c>
      <c r="AT306" t="s">
        <v>327</v>
      </c>
      <c r="AV306" t="s">
        <v>2806</v>
      </c>
      <c r="CRL306">
        <v>12</v>
      </c>
    </row>
    <row r="307" spans="1:48 2508:2508" x14ac:dyDescent="0.25">
      <c r="A307" t="s">
        <v>3323</v>
      </c>
      <c r="B307" t="s">
        <v>302</v>
      </c>
      <c r="C307" t="s">
        <v>62</v>
      </c>
      <c r="D307">
        <v>99999</v>
      </c>
      <c r="F307" s="109">
        <v>10000</v>
      </c>
      <c r="G307" t="b">
        <v>0</v>
      </c>
      <c r="H307" t="s">
        <v>343</v>
      </c>
      <c r="K307" t="s">
        <v>393</v>
      </c>
      <c r="L307" t="s">
        <v>303</v>
      </c>
      <c r="M307" t="s">
        <v>323</v>
      </c>
      <c r="N307" t="s">
        <v>63</v>
      </c>
      <c r="O307" s="110">
        <v>49.9</v>
      </c>
      <c r="R307" s="110">
        <v>414.99</v>
      </c>
      <c r="S307" s="110">
        <v>130</v>
      </c>
      <c r="T307" s="110">
        <v>0</v>
      </c>
      <c r="U307" s="110">
        <v>42.99</v>
      </c>
      <c r="X307">
        <v>172.09999999999997</v>
      </c>
      <c r="Y307">
        <v>69.900000000000006</v>
      </c>
      <c r="Z307">
        <v>69.900000000000006</v>
      </c>
      <c r="AA307">
        <v>0</v>
      </c>
      <c r="AB307" t="s">
        <v>363</v>
      </c>
      <c r="AF307" t="s">
        <v>2845</v>
      </c>
      <c r="AG307" t="s">
        <v>2845</v>
      </c>
      <c r="AH307" t="s">
        <v>1175</v>
      </c>
      <c r="AI307">
        <v>99999</v>
      </c>
      <c r="AJ307">
        <v>99999</v>
      </c>
      <c r="AK307">
        <v>699</v>
      </c>
      <c r="AL307" t="b">
        <v>1</v>
      </c>
      <c r="AM307" t="b">
        <v>1</v>
      </c>
      <c r="AN307" t="b">
        <v>0</v>
      </c>
      <c r="AO307">
        <v>99999</v>
      </c>
      <c r="AP307" t="s">
        <v>64</v>
      </c>
      <c r="AR307" t="b">
        <v>0</v>
      </c>
      <c r="AS307">
        <v>12</v>
      </c>
      <c r="AT307" t="s">
        <v>327</v>
      </c>
      <c r="AV307" t="s">
        <v>2880</v>
      </c>
      <c r="CRL307">
        <v>12</v>
      </c>
    </row>
    <row r="308" spans="1:48 2508:2508" x14ac:dyDescent="0.25">
      <c r="A308" t="s">
        <v>3323</v>
      </c>
      <c r="B308" t="s">
        <v>302</v>
      </c>
      <c r="C308" t="s">
        <v>62</v>
      </c>
      <c r="D308">
        <v>99999</v>
      </c>
      <c r="F308" s="109">
        <v>10000</v>
      </c>
      <c r="G308" t="b">
        <v>0</v>
      </c>
      <c r="H308" t="s">
        <v>343</v>
      </c>
      <c r="K308" t="s">
        <v>393</v>
      </c>
      <c r="L308" t="s">
        <v>303</v>
      </c>
      <c r="M308" t="s">
        <v>323</v>
      </c>
      <c r="N308" t="s">
        <v>63</v>
      </c>
      <c r="O308" s="110">
        <v>49.9</v>
      </c>
      <c r="R308" s="110">
        <v>434.99</v>
      </c>
      <c r="S308" s="110">
        <v>130</v>
      </c>
      <c r="T308" s="110">
        <v>0</v>
      </c>
      <c r="U308" s="110">
        <v>42.99</v>
      </c>
      <c r="X308">
        <v>192.09999999999997</v>
      </c>
      <c r="Y308">
        <v>69.900000000000006</v>
      </c>
      <c r="Z308">
        <v>69.900000000000006</v>
      </c>
      <c r="AA308">
        <v>0</v>
      </c>
      <c r="AB308" t="s">
        <v>363</v>
      </c>
      <c r="AF308" t="s">
        <v>2912</v>
      </c>
      <c r="AG308" t="s">
        <v>2912</v>
      </c>
      <c r="AH308" t="s">
        <v>1175</v>
      </c>
      <c r="AI308">
        <v>99999</v>
      </c>
      <c r="AJ308">
        <v>99999</v>
      </c>
      <c r="AK308">
        <v>699</v>
      </c>
      <c r="AL308" t="b">
        <v>1</v>
      </c>
      <c r="AM308" t="b">
        <v>1</v>
      </c>
      <c r="AN308" t="b">
        <v>0</v>
      </c>
      <c r="AO308">
        <v>99999</v>
      </c>
      <c r="AP308" t="s">
        <v>64</v>
      </c>
      <c r="AR308" t="b">
        <v>0</v>
      </c>
      <c r="AS308">
        <v>12</v>
      </c>
      <c r="AT308" t="s">
        <v>327</v>
      </c>
      <c r="AV308" t="s">
        <v>2947</v>
      </c>
      <c r="CRL308">
        <v>12</v>
      </c>
    </row>
    <row r="309" spans="1:48 2508:2508" x14ac:dyDescent="0.25">
      <c r="A309" t="s">
        <v>3323</v>
      </c>
      <c r="B309" t="s">
        <v>302</v>
      </c>
      <c r="C309" t="s">
        <v>62</v>
      </c>
      <c r="D309">
        <v>99999</v>
      </c>
      <c r="F309" s="109">
        <v>10000</v>
      </c>
      <c r="G309" t="b">
        <v>0</v>
      </c>
      <c r="H309" t="s">
        <v>343</v>
      </c>
      <c r="K309" t="s">
        <v>393</v>
      </c>
      <c r="L309" t="s">
        <v>303</v>
      </c>
      <c r="M309" t="s">
        <v>323</v>
      </c>
      <c r="N309" t="s">
        <v>63</v>
      </c>
      <c r="O309" s="110">
        <v>49.9</v>
      </c>
      <c r="R309" s="110">
        <v>449.89</v>
      </c>
      <c r="S309" s="110">
        <v>130</v>
      </c>
      <c r="T309" s="110">
        <v>0</v>
      </c>
      <c r="U309" s="110">
        <v>42.99</v>
      </c>
      <c r="X309">
        <v>206.99999999999997</v>
      </c>
      <c r="Y309">
        <v>69.900000000000006</v>
      </c>
      <c r="Z309">
        <v>69.900000000000006</v>
      </c>
      <c r="AA309">
        <v>0</v>
      </c>
      <c r="AB309" t="s">
        <v>363</v>
      </c>
      <c r="AF309" t="s">
        <v>2986</v>
      </c>
      <c r="AG309" t="s">
        <v>2986</v>
      </c>
      <c r="AH309" t="s">
        <v>1175</v>
      </c>
      <c r="AI309">
        <v>99999</v>
      </c>
      <c r="AJ309">
        <v>99999</v>
      </c>
      <c r="AK309">
        <v>699</v>
      </c>
      <c r="AL309" t="b">
        <v>1</v>
      </c>
      <c r="AM309" t="b">
        <v>1</v>
      </c>
      <c r="AN309" t="b">
        <v>0</v>
      </c>
      <c r="AO309">
        <v>99999</v>
      </c>
      <c r="AP309" t="s">
        <v>64</v>
      </c>
      <c r="AR309" t="b">
        <v>0</v>
      </c>
      <c r="AS309">
        <v>12</v>
      </c>
      <c r="AT309" t="s">
        <v>327</v>
      </c>
      <c r="AV309" t="s">
        <v>3021</v>
      </c>
      <c r="CRL309">
        <v>12</v>
      </c>
    </row>
    <row r="310" spans="1:48 2508:2508" x14ac:dyDescent="0.25">
      <c r="A310" t="s">
        <v>3323</v>
      </c>
      <c r="B310" t="s">
        <v>302</v>
      </c>
      <c r="C310" t="s">
        <v>62</v>
      </c>
      <c r="D310">
        <v>99999</v>
      </c>
      <c r="F310" s="109">
        <v>10000</v>
      </c>
      <c r="G310" t="b">
        <v>0</v>
      </c>
      <c r="H310" t="s">
        <v>343</v>
      </c>
      <c r="K310" t="s">
        <v>364</v>
      </c>
      <c r="L310" t="s">
        <v>303</v>
      </c>
      <c r="M310" t="s">
        <v>323</v>
      </c>
      <c r="N310" t="s">
        <v>63</v>
      </c>
      <c r="O310" s="110">
        <v>29.9</v>
      </c>
      <c r="R310" s="110">
        <v>344.89</v>
      </c>
      <c r="S310" s="110">
        <v>79.900000000000006</v>
      </c>
      <c r="T310" s="110">
        <v>0</v>
      </c>
      <c r="U310" s="110">
        <v>42.99</v>
      </c>
      <c r="X310">
        <v>172.09999999999997</v>
      </c>
      <c r="Y310">
        <v>49.9</v>
      </c>
      <c r="Z310">
        <v>49.9</v>
      </c>
      <c r="AA310">
        <v>0</v>
      </c>
      <c r="AB310" t="s">
        <v>363</v>
      </c>
      <c r="AF310" t="s">
        <v>1202</v>
      </c>
      <c r="AG310" t="s">
        <v>1202</v>
      </c>
      <c r="AH310" t="s">
        <v>1175</v>
      </c>
      <c r="AI310">
        <v>99999</v>
      </c>
      <c r="AJ310">
        <v>99999</v>
      </c>
      <c r="AK310">
        <v>699</v>
      </c>
      <c r="AL310" t="b">
        <v>1</v>
      </c>
      <c r="AM310" t="b">
        <v>1</v>
      </c>
      <c r="AN310" t="b">
        <v>0</v>
      </c>
      <c r="AO310">
        <v>99999</v>
      </c>
      <c r="AP310" t="s">
        <v>64</v>
      </c>
      <c r="AR310" t="b">
        <v>0</v>
      </c>
      <c r="AS310">
        <v>12</v>
      </c>
      <c r="AT310" t="s">
        <v>327</v>
      </c>
      <c r="AV310" t="s">
        <v>1211</v>
      </c>
      <c r="CRL310">
        <v>12</v>
      </c>
    </row>
    <row r="311" spans="1:48 2508:2508" x14ac:dyDescent="0.25">
      <c r="A311" t="s">
        <v>3323</v>
      </c>
      <c r="B311" t="s">
        <v>302</v>
      </c>
      <c r="C311" t="s">
        <v>62</v>
      </c>
      <c r="D311">
        <v>99999</v>
      </c>
      <c r="F311" s="109">
        <v>10000</v>
      </c>
      <c r="G311" t="b">
        <v>0</v>
      </c>
      <c r="H311" t="s">
        <v>343</v>
      </c>
      <c r="K311" t="s">
        <v>364</v>
      </c>
      <c r="L311" t="s">
        <v>303</v>
      </c>
      <c r="M311" t="s">
        <v>323</v>
      </c>
      <c r="N311" t="s">
        <v>63</v>
      </c>
      <c r="O311" s="110">
        <v>29.9</v>
      </c>
      <c r="R311" s="110">
        <v>364.89</v>
      </c>
      <c r="S311" s="110">
        <v>79.900000000000006</v>
      </c>
      <c r="T311" s="110">
        <v>0</v>
      </c>
      <c r="U311" s="110">
        <v>42.99</v>
      </c>
      <c r="X311">
        <v>192.09999999999997</v>
      </c>
      <c r="Y311">
        <v>49.9</v>
      </c>
      <c r="Z311">
        <v>49.9</v>
      </c>
      <c r="AA311">
        <v>0</v>
      </c>
      <c r="AB311" t="s">
        <v>363</v>
      </c>
      <c r="AF311" t="s">
        <v>1336</v>
      </c>
      <c r="AG311" t="s">
        <v>1336</v>
      </c>
      <c r="AH311" t="s">
        <v>1175</v>
      </c>
      <c r="AI311">
        <v>99999</v>
      </c>
      <c r="AJ311">
        <v>99999</v>
      </c>
      <c r="AK311">
        <v>699</v>
      </c>
      <c r="AL311" t="b">
        <v>1</v>
      </c>
      <c r="AM311" t="b">
        <v>1</v>
      </c>
      <c r="AN311" t="b">
        <v>0</v>
      </c>
      <c r="AO311">
        <v>99999</v>
      </c>
      <c r="AP311" t="s">
        <v>64</v>
      </c>
      <c r="AR311" t="b">
        <v>0</v>
      </c>
      <c r="AS311">
        <v>12</v>
      </c>
      <c r="AT311" t="s">
        <v>327</v>
      </c>
      <c r="AV311" t="s">
        <v>1345</v>
      </c>
      <c r="CRL311">
        <v>12</v>
      </c>
    </row>
    <row r="312" spans="1:48 2508:2508" x14ac:dyDescent="0.25">
      <c r="A312" t="s">
        <v>3323</v>
      </c>
      <c r="B312" t="s">
        <v>302</v>
      </c>
      <c r="C312" t="s">
        <v>62</v>
      </c>
      <c r="D312">
        <v>99999</v>
      </c>
      <c r="F312" s="109">
        <v>10000</v>
      </c>
      <c r="G312" t="b">
        <v>0</v>
      </c>
      <c r="H312" t="s">
        <v>343</v>
      </c>
      <c r="K312" t="s">
        <v>364</v>
      </c>
      <c r="L312" t="s">
        <v>303</v>
      </c>
      <c r="M312" t="s">
        <v>323</v>
      </c>
      <c r="N312" t="s">
        <v>63</v>
      </c>
      <c r="O312" s="110">
        <v>29.9</v>
      </c>
      <c r="R312" s="110">
        <v>384.89</v>
      </c>
      <c r="S312" s="110">
        <v>85</v>
      </c>
      <c r="T312" s="110">
        <v>0</v>
      </c>
      <c r="U312" s="110">
        <v>42.99</v>
      </c>
      <c r="X312">
        <v>206.99999999999997</v>
      </c>
      <c r="Y312">
        <v>49.9</v>
      </c>
      <c r="Z312">
        <v>49.9</v>
      </c>
      <c r="AA312">
        <v>0</v>
      </c>
      <c r="AB312" t="s">
        <v>363</v>
      </c>
      <c r="AF312" t="s">
        <v>1484</v>
      </c>
      <c r="AG312" t="s">
        <v>1484</v>
      </c>
      <c r="AH312" t="s">
        <v>1175</v>
      </c>
      <c r="AI312">
        <v>99999</v>
      </c>
      <c r="AJ312">
        <v>99999</v>
      </c>
      <c r="AK312">
        <v>699</v>
      </c>
      <c r="AL312" t="b">
        <v>1</v>
      </c>
      <c r="AM312" t="b">
        <v>1</v>
      </c>
      <c r="AN312" t="b">
        <v>0</v>
      </c>
      <c r="AO312">
        <v>99999</v>
      </c>
      <c r="AP312" t="s">
        <v>64</v>
      </c>
      <c r="AR312" t="b">
        <v>0</v>
      </c>
      <c r="AS312">
        <v>12</v>
      </c>
      <c r="AT312" t="s">
        <v>327</v>
      </c>
      <c r="AV312" t="s">
        <v>1493</v>
      </c>
      <c r="CRL312">
        <v>12</v>
      </c>
    </row>
    <row r="313" spans="1:48 2508:2508" x14ac:dyDescent="0.25">
      <c r="A313" t="s">
        <v>3323</v>
      </c>
      <c r="B313" t="s">
        <v>302</v>
      </c>
      <c r="C313" t="s">
        <v>62</v>
      </c>
      <c r="D313">
        <v>99999</v>
      </c>
      <c r="F313" s="109">
        <v>10000</v>
      </c>
      <c r="G313" t="b">
        <v>0</v>
      </c>
      <c r="H313" t="s">
        <v>343</v>
      </c>
      <c r="K313" t="s">
        <v>364</v>
      </c>
      <c r="L313" t="s">
        <v>303</v>
      </c>
      <c r="M313" t="s">
        <v>323</v>
      </c>
      <c r="N313" t="s">
        <v>63</v>
      </c>
      <c r="O313" s="110">
        <v>39.9</v>
      </c>
      <c r="R313" s="110">
        <v>344.89</v>
      </c>
      <c r="S313" s="110">
        <v>79.900000000000006</v>
      </c>
      <c r="T313" s="110">
        <v>0</v>
      </c>
      <c r="U313" s="110">
        <v>42.99</v>
      </c>
      <c r="X313">
        <v>172.09999999999997</v>
      </c>
      <c r="Y313">
        <v>49.9</v>
      </c>
      <c r="Z313">
        <v>49.9</v>
      </c>
      <c r="AA313">
        <v>0</v>
      </c>
      <c r="AB313" t="s">
        <v>363</v>
      </c>
      <c r="AF313" t="s">
        <v>1269</v>
      </c>
      <c r="AG313" t="s">
        <v>1269</v>
      </c>
      <c r="AH313" t="s">
        <v>1175</v>
      </c>
      <c r="AI313">
        <v>99999</v>
      </c>
      <c r="AJ313">
        <v>99999</v>
      </c>
      <c r="AK313">
        <v>699</v>
      </c>
      <c r="AL313" t="b">
        <v>1</v>
      </c>
      <c r="AM313" t="b">
        <v>1</v>
      </c>
      <c r="AN313" t="b">
        <v>0</v>
      </c>
      <c r="AO313">
        <v>99999</v>
      </c>
      <c r="AP313" t="s">
        <v>64</v>
      </c>
      <c r="AR313" t="b">
        <v>0</v>
      </c>
      <c r="AS313">
        <v>12</v>
      </c>
      <c r="AT313" t="s">
        <v>327</v>
      </c>
      <c r="AV313" t="s">
        <v>1278</v>
      </c>
      <c r="CRL313">
        <v>12</v>
      </c>
    </row>
    <row r="314" spans="1:48 2508:2508" x14ac:dyDescent="0.25">
      <c r="A314" t="s">
        <v>3323</v>
      </c>
      <c r="B314" t="s">
        <v>302</v>
      </c>
      <c r="C314" t="s">
        <v>62</v>
      </c>
      <c r="D314">
        <v>99999</v>
      </c>
      <c r="F314" s="109">
        <v>10000</v>
      </c>
      <c r="G314" t="b">
        <v>0</v>
      </c>
      <c r="H314" t="s">
        <v>343</v>
      </c>
      <c r="K314" t="s">
        <v>364</v>
      </c>
      <c r="L314" t="s">
        <v>303</v>
      </c>
      <c r="M314" t="s">
        <v>323</v>
      </c>
      <c r="N314" t="s">
        <v>63</v>
      </c>
      <c r="O314" s="110">
        <v>39.9</v>
      </c>
      <c r="R314" s="110">
        <v>364.89</v>
      </c>
      <c r="S314" s="110">
        <v>79.900000000000006</v>
      </c>
      <c r="T314" s="110">
        <v>0</v>
      </c>
      <c r="U314" s="110">
        <v>42.99</v>
      </c>
      <c r="X314">
        <v>192.09999999999997</v>
      </c>
      <c r="Y314">
        <v>49.9</v>
      </c>
      <c r="Z314">
        <v>49.9</v>
      </c>
      <c r="AA314">
        <v>0</v>
      </c>
      <c r="AB314" t="s">
        <v>363</v>
      </c>
      <c r="AF314" t="s">
        <v>1403</v>
      </c>
      <c r="AG314" t="s">
        <v>1403</v>
      </c>
      <c r="AH314" t="s">
        <v>1175</v>
      </c>
      <c r="AI314">
        <v>99999</v>
      </c>
      <c r="AJ314">
        <v>99999</v>
      </c>
      <c r="AK314">
        <v>699</v>
      </c>
      <c r="AL314" t="b">
        <v>1</v>
      </c>
      <c r="AM314" t="b">
        <v>1</v>
      </c>
      <c r="AN314" t="b">
        <v>0</v>
      </c>
      <c r="AO314">
        <v>99999</v>
      </c>
      <c r="AP314" t="s">
        <v>64</v>
      </c>
      <c r="AR314" t="b">
        <v>0</v>
      </c>
      <c r="AS314">
        <v>12</v>
      </c>
      <c r="AT314" t="s">
        <v>327</v>
      </c>
      <c r="AV314" t="s">
        <v>1412</v>
      </c>
      <c r="CRL314">
        <v>12</v>
      </c>
    </row>
    <row r="315" spans="1:48 2508:2508" x14ac:dyDescent="0.25">
      <c r="A315" t="s">
        <v>3323</v>
      </c>
      <c r="B315" t="s">
        <v>302</v>
      </c>
      <c r="C315" t="s">
        <v>62</v>
      </c>
      <c r="D315">
        <v>99999</v>
      </c>
      <c r="F315" s="109">
        <v>10000</v>
      </c>
      <c r="G315" t="b">
        <v>0</v>
      </c>
      <c r="H315" t="s">
        <v>343</v>
      </c>
      <c r="K315" t="s">
        <v>364</v>
      </c>
      <c r="L315" t="s">
        <v>303</v>
      </c>
      <c r="M315" t="s">
        <v>323</v>
      </c>
      <c r="N315" t="s">
        <v>63</v>
      </c>
      <c r="O315" s="110">
        <v>39.9</v>
      </c>
      <c r="R315" s="110">
        <v>384.89</v>
      </c>
      <c r="S315" s="110">
        <v>85</v>
      </c>
      <c r="T315" s="110">
        <v>0</v>
      </c>
      <c r="U315" s="110">
        <v>42.99</v>
      </c>
      <c r="X315">
        <v>206.99999999999997</v>
      </c>
      <c r="Y315">
        <v>49.9</v>
      </c>
      <c r="Z315">
        <v>49.9</v>
      </c>
      <c r="AA315">
        <v>0</v>
      </c>
      <c r="AB315" t="s">
        <v>363</v>
      </c>
      <c r="AF315" t="s">
        <v>1551</v>
      </c>
      <c r="AG315" t="s">
        <v>1551</v>
      </c>
      <c r="AH315" t="s">
        <v>1175</v>
      </c>
      <c r="AI315">
        <v>99999</v>
      </c>
      <c r="AJ315">
        <v>99999</v>
      </c>
      <c r="AK315">
        <v>699</v>
      </c>
      <c r="AL315" t="b">
        <v>1</v>
      </c>
      <c r="AM315" t="b">
        <v>1</v>
      </c>
      <c r="AN315" t="b">
        <v>0</v>
      </c>
      <c r="AO315">
        <v>99999</v>
      </c>
      <c r="AP315" t="s">
        <v>64</v>
      </c>
      <c r="AR315" t="b">
        <v>0</v>
      </c>
      <c r="AS315">
        <v>12</v>
      </c>
      <c r="AT315" t="s">
        <v>327</v>
      </c>
      <c r="AV315" t="s">
        <v>1560</v>
      </c>
      <c r="CRL315">
        <v>12</v>
      </c>
    </row>
    <row r="316" spans="1:48 2508:2508" x14ac:dyDescent="0.25">
      <c r="A316" t="s">
        <v>3323</v>
      </c>
      <c r="B316" t="s">
        <v>302</v>
      </c>
      <c r="C316" t="s">
        <v>62</v>
      </c>
      <c r="D316">
        <v>99999</v>
      </c>
      <c r="F316" s="109">
        <v>10000</v>
      </c>
      <c r="G316" t="b">
        <v>0</v>
      </c>
      <c r="H316" t="s">
        <v>343</v>
      </c>
      <c r="K316" t="s">
        <v>364</v>
      </c>
      <c r="L316" t="s">
        <v>303</v>
      </c>
      <c r="M316" t="s">
        <v>323</v>
      </c>
      <c r="N316" t="s">
        <v>63</v>
      </c>
      <c r="O316" s="110">
        <v>49.9</v>
      </c>
      <c r="R316" s="110">
        <v>370.68999999999994</v>
      </c>
      <c r="S316" s="110">
        <v>130</v>
      </c>
      <c r="T316" s="110">
        <v>0</v>
      </c>
      <c r="U316" s="110">
        <v>34.99</v>
      </c>
      <c r="X316">
        <v>155.79999999999998</v>
      </c>
      <c r="Y316">
        <v>49.9</v>
      </c>
      <c r="Z316">
        <v>49.9</v>
      </c>
      <c r="AA316">
        <v>0</v>
      </c>
      <c r="AB316" t="s">
        <v>363</v>
      </c>
      <c r="AF316" t="s">
        <v>2771</v>
      </c>
      <c r="AG316" t="s">
        <v>2771</v>
      </c>
      <c r="AH316" t="s">
        <v>1175</v>
      </c>
      <c r="AI316">
        <v>99999</v>
      </c>
      <c r="AJ316">
        <v>99999</v>
      </c>
      <c r="AK316">
        <v>699</v>
      </c>
      <c r="AL316" t="b">
        <v>1</v>
      </c>
      <c r="AM316" t="b">
        <v>1</v>
      </c>
      <c r="AN316" t="b">
        <v>0</v>
      </c>
      <c r="AO316">
        <v>99999</v>
      </c>
      <c r="AP316" t="s">
        <v>64</v>
      </c>
      <c r="AR316" t="b">
        <v>0</v>
      </c>
      <c r="AS316">
        <v>12</v>
      </c>
      <c r="AT316" t="s">
        <v>327</v>
      </c>
      <c r="AV316" t="s">
        <v>2780</v>
      </c>
      <c r="CRL316">
        <v>12</v>
      </c>
    </row>
    <row r="317" spans="1:48 2508:2508" x14ac:dyDescent="0.25">
      <c r="A317" t="s">
        <v>3323</v>
      </c>
      <c r="B317" t="s">
        <v>302</v>
      </c>
      <c r="C317" t="s">
        <v>62</v>
      </c>
      <c r="D317">
        <v>99999</v>
      </c>
      <c r="F317" s="109">
        <v>10000</v>
      </c>
      <c r="G317" t="b">
        <v>0</v>
      </c>
      <c r="H317" t="s">
        <v>343</v>
      </c>
      <c r="K317" t="s">
        <v>364</v>
      </c>
      <c r="L317" t="s">
        <v>303</v>
      </c>
      <c r="M317" t="s">
        <v>323</v>
      </c>
      <c r="N317" t="s">
        <v>63</v>
      </c>
      <c r="O317" s="110">
        <v>49.9</v>
      </c>
      <c r="R317" s="110">
        <v>394.98999999999995</v>
      </c>
      <c r="S317" s="110">
        <v>130</v>
      </c>
      <c r="T317" s="110">
        <v>0</v>
      </c>
      <c r="U317" s="110">
        <v>42.99</v>
      </c>
      <c r="X317">
        <v>172.09999999999997</v>
      </c>
      <c r="Y317">
        <v>49.9</v>
      </c>
      <c r="Z317">
        <v>49.9</v>
      </c>
      <c r="AA317">
        <v>0</v>
      </c>
      <c r="AB317" t="s">
        <v>363</v>
      </c>
      <c r="AF317" t="s">
        <v>2845</v>
      </c>
      <c r="AG317" t="s">
        <v>2845</v>
      </c>
      <c r="AH317" t="s">
        <v>1175</v>
      </c>
      <c r="AI317">
        <v>99999</v>
      </c>
      <c r="AJ317">
        <v>99999</v>
      </c>
      <c r="AK317">
        <v>699</v>
      </c>
      <c r="AL317" t="b">
        <v>1</v>
      </c>
      <c r="AM317" t="b">
        <v>1</v>
      </c>
      <c r="AN317" t="b">
        <v>0</v>
      </c>
      <c r="AO317">
        <v>99999</v>
      </c>
      <c r="AP317" t="s">
        <v>64</v>
      </c>
      <c r="AR317" t="b">
        <v>0</v>
      </c>
      <c r="AS317">
        <v>12</v>
      </c>
      <c r="AT317" t="s">
        <v>327</v>
      </c>
      <c r="AV317" t="s">
        <v>2854</v>
      </c>
      <c r="CRL317">
        <v>12</v>
      </c>
    </row>
    <row r="318" spans="1:48 2508:2508" x14ac:dyDescent="0.25">
      <c r="A318" t="s">
        <v>3323</v>
      </c>
      <c r="B318" t="s">
        <v>302</v>
      </c>
      <c r="C318" t="s">
        <v>62</v>
      </c>
      <c r="D318">
        <v>99999</v>
      </c>
      <c r="F318" s="109">
        <v>10000</v>
      </c>
      <c r="G318" t="b">
        <v>0</v>
      </c>
      <c r="H318" t="s">
        <v>343</v>
      </c>
      <c r="K318" t="s">
        <v>364</v>
      </c>
      <c r="L318" t="s">
        <v>303</v>
      </c>
      <c r="M318" t="s">
        <v>323</v>
      </c>
      <c r="N318" t="s">
        <v>63</v>
      </c>
      <c r="O318" s="110">
        <v>49.9</v>
      </c>
      <c r="R318" s="110">
        <v>414.98999999999995</v>
      </c>
      <c r="S318" s="110">
        <v>130</v>
      </c>
      <c r="T318" s="110">
        <v>0</v>
      </c>
      <c r="U318" s="110">
        <v>42.99</v>
      </c>
      <c r="X318">
        <v>192.09999999999997</v>
      </c>
      <c r="Y318">
        <v>49.9</v>
      </c>
      <c r="Z318">
        <v>49.9</v>
      </c>
      <c r="AA318">
        <v>0</v>
      </c>
      <c r="AB318" t="s">
        <v>363</v>
      </c>
      <c r="AF318" t="s">
        <v>2912</v>
      </c>
      <c r="AG318" t="s">
        <v>2912</v>
      </c>
      <c r="AH318" t="s">
        <v>1175</v>
      </c>
      <c r="AI318">
        <v>99999</v>
      </c>
      <c r="AJ318">
        <v>99999</v>
      </c>
      <c r="AK318">
        <v>699</v>
      </c>
      <c r="AL318" t="b">
        <v>1</v>
      </c>
      <c r="AM318" t="b">
        <v>1</v>
      </c>
      <c r="AN318" t="b">
        <v>0</v>
      </c>
      <c r="AO318">
        <v>99999</v>
      </c>
      <c r="AP318" t="s">
        <v>64</v>
      </c>
      <c r="AR318" t="b">
        <v>0</v>
      </c>
      <c r="AS318">
        <v>12</v>
      </c>
      <c r="AT318" t="s">
        <v>327</v>
      </c>
      <c r="AV318" t="s">
        <v>2921</v>
      </c>
      <c r="CRL318">
        <v>12</v>
      </c>
    </row>
    <row r="319" spans="1:48 2508:2508" x14ac:dyDescent="0.25">
      <c r="A319" t="s">
        <v>3323</v>
      </c>
      <c r="B319" t="s">
        <v>302</v>
      </c>
      <c r="C319" t="s">
        <v>62</v>
      </c>
      <c r="D319">
        <v>99999</v>
      </c>
      <c r="F319" s="109">
        <v>10000</v>
      </c>
      <c r="G319" t="b">
        <v>0</v>
      </c>
      <c r="H319" t="s">
        <v>343</v>
      </c>
      <c r="K319" t="s">
        <v>364</v>
      </c>
      <c r="L319" t="s">
        <v>303</v>
      </c>
      <c r="M319" t="s">
        <v>323</v>
      </c>
      <c r="N319" t="s">
        <v>63</v>
      </c>
      <c r="O319" s="110">
        <v>49.9</v>
      </c>
      <c r="R319" s="110">
        <v>429.89</v>
      </c>
      <c r="S319" s="110">
        <v>130</v>
      </c>
      <c r="T319" s="110">
        <v>0</v>
      </c>
      <c r="U319" s="110">
        <v>42.99</v>
      </c>
      <c r="X319">
        <v>206.99999999999997</v>
      </c>
      <c r="Y319">
        <v>49.9</v>
      </c>
      <c r="Z319">
        <v>49.9</v>
      </c>
      <c r="AA319">
        <v>0</v>
      </c>
      <c r="AB319" t="s">
        <v>363</v>
      </c>
      <c r="AF319" t="s">
        <v>2986</v>
      </c>
      <c r="AG319" t="s">
        <v>2986</v>
      </c>
      <c r="AH319" t="s">
        <v>1175</v>
      </c>
      <c r="AI319">
        <v>99999</v>
      </c>
      <c r="AJ319">
        <v>99999</v>
      </c>
      <c r="AK319">
        <v>699</v>
      </c>
      <c r="AL319" t="b">
        <v>1</v>
      </c>
      <c r="AM319" t="b">
        <v>1</v>
      </c>
      <c r="AN319" t="b">
        <v>0</v>
      </c>
      <c r="AO319">
        <v>99999</v>
      </c>
      <c r="AP319" t="s">
        <v>64</v>
      </c>
      <c r="AR319" t="b">
        <v>0</v>
      </c>
      <c r="AS319">
        <v>12</v>
      </c>
      <c r="AT319" t="s">
        <v>327</v>
      </c>
      <c r="AV319" t="s">
        <v>2995</v>
      </c>
      <c r="CRL319">
        <v>12</v>
      </c>
    </row>
    <row r="320" spans="1:48 2508:2508" x14ac:dyDescent="0.25">
      <c r="A320" t="s">
        <v>3323</v>
      </c>
      <c r="B320" t="s">
        <v>302</v>
      </c>
      <c r="C320" t="s">
        <v>62</v>
      </c>
      <c r="D320">
        <v>99999</v>
      </c>
      <c r="F320" s="109">
        <v>10000</v>
      </c>
      <c r="G320" t="b">
        <v>0</v>
      </c>
      <c r="H320" t="s">
        <v>343</v>
      </c>
      <c r="K320" t="s">
        <v>379</v>
      </c>
      <c r="L320" t="s">
        <v>303</v>
      </c>
      <c r="M320" t="s">
        <v>323</v>
      </c>
      <c r="N320" t="s">
        <v>63</v>
      </c>
      <c r="O320" s="110">
        <v>29.9</v>
      </c>
      <c r="R320" s="110">
        <v>354.89</v>
      </c>
      <c r="S320" s="110">
        <v>79.900000000000006</v>
      </c>
      <c r="T320" s="110">
        <v>0</v>
      </c>
      <c r="U320" s="110">
        <v>42.99</v>
      </c>
      <c r="X320">
        <v>172.09999999999997</v>
      </c>
      <c r="Y320">
        <v>59.9</v>
      </c>
      <c r="Z320">
        <v>59.9</v>
      </c>
      <c r="AA320">
        <v>0</v>
      </c>
      <c r="AB320" t="s">
        <v>363</v>
      </c>
      <c r="AF320" t="s">
        <v>1202</v>
      </c>
      <c r="AG320" t="s">
        <v>1202</v>
      </c>
      <c r="AH320" t="s">
        <v>1175</v>
      </c>
      <c r="AI320">
        <v>99999</v>
      </c>
      <c r="AJ320">
        <v>99999</v>
      </c>
      <c r="AK320">
        <v>699</v>
      </c>
      <c r="AL320" t="b">
        <v>1</v>
      </c>
      <c r="AM320" t="b">
        <v>1</v>
      </c>
      <c r="AN320" t="b">
        <v>0</v>
      </c>
      <c r="AO320">
        <v>99999</v>
      </c>
      <c r="AP320" t="s">
        <v>64</v>
      </c>
      <c r="AR320" t="b">
        <v>0</v>
      </c>
      <c r="AS320">
        <v>12</v>
      </c>
      <c r="AT320" t="s">
        <v>327</v>
      </c>
      <c r="AV320" t="s">
        <v>1224</v>
      </c>
      <c r="CRL320">
        <v>12</v>
      </c>
    </row>
    <row r="321" spans="1:48 2508:2508" x14ac:dyDescent="0.25">
      <c r="A321" t="s">
        <v>3323</v>
      </c>
      <c r="B321" t="s">
        <v>302</v>
      </c>
      <c r="C321" t="s">
        <v>62</v>
      </c>
      <c r="D321">
        <v>99999</v>
      </c>
      <c r="F321" s="109">
        <v>10000</v>
      </c>
      <c r="G321" t="b">
        <v>0</v>
      </c>
      <c r="H321" t="s">
        <v>343</v>
      </c>
      <c r="K321" t="s">
        <v>379</v>
      </c>
      <c r="L321" t="s">
        <v>303</v>
      </c>
      <c r="M321" t="s">
        <v>323</v>
      </c>
      <c r="N321" t="s">
        <v>63</v>
      </c>
      <c r="O321" s="110">
        <v>29.9</v>
      </c>
      <c r="R321" s="110">
        <v>374.89</v>
      </c>
      <c r="S321" s="110">
        <v>79.900000000000006</v>
      </c>
      <c r="T321" s="110">
        <v>0</v>
      </c>
      <c r="U321" s="110">
        <v>42.99</v>
      </c>
      <c r="X321">
        <v>192.09999999999997</v>
      </c>
      <c r="Y321">
        <v>59.9</v>
      </c>
      <c r="Z321">
        <v>59.9</v>
      </c>
      <c r="AA321">
        <v>0</v>
      </c>
      <c r="AB321" t="s">
        <v>363</v>
      </c>
      <c r="AF321" t="s">
        <v>1336</v>
      </c>
      <c r="AG321" t="s">
        <v>1336</v>
      </c>
      <c r="AH321" t="s">
        <v>1175</v>
      </c>
      <c r="AI321">
        <v>99999</v>
      </c>
      <c r="AJ321">
        <v>99999</v>
      </c>
      <c r="AK321">
        <v>699</v>
      </c>
      <c r="AL321" t="b">
        <v>1</v>
      </c>
      <c r="AM321" t="b">
        <v>1</v>
      </c>
      <c r="AN321" t="b">
        <v>0</v>
      </c>
      <c r="AO321">
        <v>99999</v>
      </c>
      <c r="AP321" t="s">
        <v>64</v>
      </c>
      <c r="AR321" t="b">
        <v>0</v>
      </c>
      <c r="AS321">
        <v>12</v>
      </c>
      <c r="AT321" t="s">
        <v>327</v>
      </c>
      <c r="AV321" t="s">
        <v>1358</v>
      </c>
      <c r="CRL321">
        <v>12</v>
      </c>
    </row>
    <row r="322" spans="1:48 2508:2508" x14ac:dyDescent="0.25">
      <c r="A322" t="s">
        <v>3323</v>
      </c>
      <c r="B322" t="s">
        <v>302</v>
      </c>
      <c r="C322" t="s">
        <v>62</v>
      </c>
      <c r="D322">
        <v>99999</v>
      </c>
      <c r="F322" s="109">
        <v>10000</v>
      </c>
      <c r="G322" t="b">
        <v>0</v>
      </c>
      <c r="H322" t="s">
        <v>343</v>
      </c>
      <c r="K322" t="s">
        <v>379</v>
      </c>
      <c r="L322" t="s">
        <v>303</v>
      </c>
      <c r="M322" t="s">
        <v>323</v>
      </c>
      <c r="N322" t="s">
        <v>63</v>
      </c>
      <c r="O322" s="110">
        <v>29.9</v>
      </c>
      <c r="R322" s="110">
        <v>394.89</v>
      </c>
      <c r="S322" s="110">
        <v>85</v>
      </c>
      <c r="T322" s="110">
        <v>0</v>
      </c>
      <c r="U322" s="110">
        <v>42.99</v>
      </c>
      <c r="X322">
        <v>206.99999999999997</v>
      </c>
      <c r="Y322">
        <v>59.9</v>
      </c>
      <c r="Z322">
        <v>59.9</v>
      </c>
      <c r="AA322">
        <v>0</v>
      </c>
      <c r="AB322" t="s">
        <v>363</v>
      </c>
      <c r="AF322" t="s">
        <v>1484</v>
      </c>
      <c r="AG322" t="s">
        <v>1484</v>
      </c>
      <c r="AH322" t="s">
        <v>1175</v>
      </c>
      <c r="AI322">
        <v>99999</v>
      </c>
      <c r="AJ322">
        <v>99999</v>
      </c>
      <c r="AK322">
        <v>699</v>
      </c>
      <c r="AL322" t="b">
        <v>1</v>
      </c>
      <c r="AM322" t="b">
        <v>1</v>
      </c>
      <c r="AN322" t="b">
        <v>0</v>
      </c>
      <c r="AO322">
        <v>99999</v>
      </c>
      <c r="AP322" t="s">
        <v>64</v>
      </c>
      <c r="AR322" t="b">
        <v>0</v>
      </c>
      <c r="AS322">
        <v>12</v>
      </c>
      <c r="AT322" t="s">
        <v>327</v>
      </c>
      <c r="AV322" t="s">
        <v>1506</v>
      </c>
      <c r="CRL322">
        <v>12</v>
      </c>
    </row>
    <row r="323" spans="1:48 2508:2508" x14ac:dyDescent="0.25">
      <c r="A323" t="s">
        <v>3323</v>
      </c>
      <c r="B323" t="s">
        <v>302</v>
      </c>
      <c r="C323" t="s">
        <v>62</v>
      </c>
      <c r="D323">
        <v>99999</v>
      </c>
      <c r="F323" s="109">
        <v>10000</v>
      </c>
      <c r="G323" t="b">
        <v>0</v>
      </c>
      <c r="H323" t="s">
        <v>343</v>
      </c>
      <c r="K323" t="s">
        <v>379</v>
      </c>
      <c r="L323" t="s">
        <v>303</v>
      </c>
      <c r="M323" t="s">
        <v>323</v>
      </c>
      <c r="N323" t="s">
        <v>63</v>
      </c>
      <c r="O323" s="110">
        <v>39.9</v>
      </c>
      <c r="R323" s="110">
        <v>354.89</v>
      </c>
      <c r="S323" s="110">
        <v>79.900000000000006</v>
      </c>
      <c r="T323" s="110">
        <v>0</v>
      </c>
      <c r="U323" s="110">
        <v>42.99</v>
      </c>
      <c r="X323">
        <v>172.09999999999997</v>
      </c>
      <c r="Y323">
        <v>59.9</v>
      </c>
      <c r="Z323">
        <v>59.9</v>
      </c>
      <c r="AA323">
        <v>0</v>
      </c>
      <c r="AB323" t="s">
        <v>363</v>
      </c>
      <c r="AF323" t="s">
        <v>1269</v>
      </c>
      <c r="AG323" t="s">
        <v>1269</v>
      </c>
      <c r="AH323" t="s">
        <v>1175</v>
      </c>
      <c r="AI323">
        <v>99999</v>
      </c>
      <c r="AJ323">
        <v>99999</v>
      </c>
      <c r="AK323">
        <v>699</v>
      </c>
      <c r="AL323" t="b">
        <v>1</v>
      </c>
      <c r="AM323" t="b">
        <v>1</v>
      </c>
      <c r="AN323" t="b">
        <v>0</v>
      </c>
      <c r="AO323">
        <v>99999</v>
      </c>
      <c r="AP323" t="s">
        <v>64</v>
      </c>
      <c r="AR323" t="b">
        <v>0</v>
      </c>
      <c r="AS323">
        <v>12</v>
      </c>
      <c r="AT323" t="s">
        <v>327</v>
      </c>
      <c r="AV323" t="s">
        <v>1291</v>
      </c>
      <c r="CRL323">
        <v>12</v>
      </c>
    </row>
    <row r="324" spans="1:48 2508:2508" x14ac:dyDescent="0.25">
      <c r="A324" t="s">
        <v>3323</v>
      </c>
      <c r="B324" t="s">
        <v>302</v>
      </c>
      <c r="C324" t="s">
        <v>62</v>
      </c>
      <c r="D324">
        <v>99999</v>
      </c>
      <c r="F324" s="109">
        <v>10000</v>
      </c>
      <c r="G324" t="b">
        <v>0</v>
      </c>
      <c r="H324" t="s">
        <v>343</v>
      </c>
      <c r="K324" t="s">
        <v>379</v>
      </c>
      <c r="L324" t="s">
        <v>303</v>
      </c>
      <c r="M324" t="s">
        <v>323</v>
      </c>
      <c r="N324" t="s">
        <v>63</v>
      </c>
      <c r="O324" s="110">
        <v>39.9</v>
      </c>
      <c r="R324" s="110">
        <v>374.89</v>
      </c>
      <c r="S324" s="110">
        <v>79.900000000000006</v>
      </c>
      <c r="T324" s="110">
        <v>0</v>
      </c>
      <c r="U324" s="110">
        <v>42.99</v>
      </c>
      <c r="X324">
        <v>192.09999999999997</v>
      </c>
      <c r="Y324">
        <v>59.9</v>
      </c>
      <c r="Z324">
        <v>59.9</v>
      </c>
      <c r="AA324">
        <v>0</v>
      </c>
      <c r="AB324" t="s">
        <v>363</v>
      </c>
      <c r="AF324" t="s">
        <v>1403</v>
      </c>
      <c r="AG324" t="s">
        <v>1403</v>
      </c>
      <c r="AH324" t="s">
        <v>1175</v>
      </c>
      <c r="AI324">
        <v>99999</v>
      </c>
      <c r="AJ324">
        <v>99999</v>
      </c>
      <c r="AK324">
        <v>699</v>
      </c>
      <c r="AL324" t="b">
        <v>1</v>
      </c>
      <c r="AM324" t="b">
        <v>1</v>
      </c>
      <c r="AN324" t="b">
        <v>0</v>
      </c>
      <c r="AO324">
        <v>99999</v>
      </c>
      <c r="AP324" t="s">
        <v>64</v>
      </c>
      <c r="AR324" t="b">
        <v>0</v>
      </c>
      <c r="AS324">
        <v>12</v>
      </c>
      <c r="AT324" t="s">
        <v>327</v>
      </c>
      <c r="AV324" t="s">
        <v>1425</v>
      </c>
      <c r="CRL324">
        <v>12</v>
      </c>
    </row>
    <row r="325" spans="1:48 2508:2508" x14ac:dyDescent="0.25">
      <c r="A325" t="s">
        <v>3323</v>
      </c>
      <c r="B325" t="s">
        <v>302</v>
      </c>
      <c r="C325" t="s">
        <v>62</v>
      </c>
      <c r="D325">
        <v>99999</v>
      </c>
      <c r="F325" s="109">
        <v>10000</v>
      </c>
      <c r="G325" t="b">
        <v>0</v>
      </c>
      <c r="H325" t="s">
        <v>343</v>
      </c>
      <c r="K325" t="s">
        <v>379</v>
      </c>
      <c r="L325" t="s">
        <v>303</v>
      </c>
      <c r="M325" t="s">
        <v>323</v>
      </c>
      <c r="N325" t="s">
        <v>63</v>
      </c>
      <c r="O325" s="110">
        <v>39.9</v>
      </c>
      <c r="R325" s="110">
        <v>394.89</v>
      </c>
      <c r="S325" s="110">
        <v>85</v>
      </c>
      <c r="T325" s="110">
        <v>0</v>
      </c>
      <c r="U325" s="110">
        <v>42.99</v>
      </c>
      <c r="X325">
        <v>206.99999999999997</v>
      </c>
      <c r="Y325">
        <v>59.9</v>
      </c>
      <c r="Z325">
        <v>59.9</v>
      </c>
      <c r="AA325">
        <v>0</v>
      </c>
      <c r="AB325" t="s">
        <v>363</v>
      </c>
      <c r="AF325" t="s">
        <v>1551</v>
      </c>
      <c r="AG325" t="s">
        <v>1551</v>
      </c>
      <c r="AH325" t="s">
        <v>1175</v>
      </c>
      <c r="AI325">
        <v>99999</v>
      </c>
      <c r="AJ325">
        <v>99999</v>
      </c>
      <c r="AK325">
        <v>699</v>
      </c>
      <c r="AL325" t="b">
        <v>1</v>
      </c>
      <c r="AM325" t="b">
        <v>1</v>
      </c>
      <c r="AN325" t="b">
        <v>0</v>
      </c>
      <c r="AO325">
        <v>99999</v>
      </c>
      <c r="AP325" t="s">
        <v>64</v>
      </c>
      <c r="AR325" t="b">
        <v>0</v>
      </c>
      <c r="AS325">
        <v>12</v>
      </c>
      <c r="AT325" t="s">
        <v>327</v>
      </c>
      <c r="AV325" t="s">
        <v>1573</v>
      </c>
      <c r="CRL325">
        <v>12</v>
      </c>
    </row>
    <row r="326" spans="1:48 2508:2508" x14ac:dyDescent="0.25">
      <c r="A326" t="s">
        <v>3323</v>
      </c>
      <c r="B326" t="s">
        <v>302</v>
      </c>
      <c r="C326" t="s">
        <v>62</v>
      </c>
      <c r="D326">
        <v>99999</v>
      </c>
      <c r="F326" s="109">
        <v>10000</v>
      </c>
      <c r="G326" t="b">
        <v>0</v>
      </c>
      <c r="H326" t="s">
        <v>343</v>
      </c>
      <c r="K326" t="s">
        <v>379</v>
      </c>
      <c r="L326" t="s">
        <v>303</v>
      </c>
      <c r="M326" t="s">
        <v>323</v>
      </c>
      <c r="N326" t="s">
        <v>63</v>
      </c>
      <c r="O326" s="110">
        <v>49.9</v>
      </c>
      <c r="R326" s="110">
        <v>380.68999999999994</v>
      </c>
      <c r="S326" s="110">
        <v>130</v>
      </c>
      <c r="T326" s="110">
        <v>0</v>
      </c>
      <c r="U326" s="110">
        <v>34.99</v>
      </c>
      <c r="X326">
        <v>155.79999999999998</v>
      </c>
      <c r="Y326">
        <v>59.9</v>
      </c>
      <c r="Z326">
        <v>59.9</v>
      </c>
      <c r="AA326">
        <v>0</v>
      </c>
      <c r="AB326" t="s">
        <v>363</v>
      </c>
      <c r="AF326" t="s">
        <v>2771</v>
      </c>
      <c r="AG326" t="s">
        <v>2771</v>
      </c>
      <c r="AH326" t="s">
        <v>1175</v>
      </c>
      <c r="AI326">
        <v>99999</v>
      </c>
      <c r="AJ326">
        <v>99999</v>
      </c>
      <c r="AK326">
        <v>699</v>
      </c>
      <c r="AL326" t="b">
        <v>1</v>
      </c>
      <c r="AM326" t="b">
        <v>1</v>
      </c>
      <c r="AN326" t="b">
        <v>0</v>
      </c>
      <c r="AO326">
        <v>99999</v>
      </c>
      <c r="AP326" t="s">
        <v>64</v>
      </c>
      <c r="AR326" t="b">
        <v>0</v>
      </c>
      <c r="AS326">
        <v>12</v>
      </c>
      <c r="AT326" t="s">
        <v>327</v>
      </c>
      <c r="AV326" t="s">
        <v>2793</v>
      </c>
      <c r="CRL326">
        <v>12</v>
      </c>
    </row>
    <row r="327" spans="1:48 2508:2508" x14ac:dyDescent="0.25">
      <c r="A327" t="s">
        <v>3323</v>
      </c>
      <c r="B327" t="s">
        <v>302</v>
      </c>
      <c r="C327" t="s">
        <v>62</v>
      </c>
      <c r="D327">
        <v>99999</v>
      </c>
      <c r="F327" s="109">
        <v>10000</v>
      </c>
      <c r="G327" t="b">
        <v>0</v>
      </c>
      <c r="H327" t="s">
        <v>343</v>
      </c>
      <c r="K327" t="s">
        <v>379</v>
      </c>
      <c r="L327" t="s">
        <v>303</v>
      </c>
      <c r="M327" t="s">
        <v>323</v>
      </c>
      <c r="N327" t="s">
        <v>63</v>
      </c>
      <c r="O327" s="110">
        <v>49.9</v>
      </c>
      <c r="R327" s="110">
        <v>404.98999999999995</v>
      </c>
      <c r="S327" s="110">
        <v>130</v>
      </c>
      <c r="T327" s="110">
        <v>0</v>
      </c>
      <c r="U327" s="110">
        <v>42.99</v>
      </c>
      <c r="X327">
        <v>172.09999999999997</v>
      </c>
      <c r="Y327">
        <v>59.9</v>
      </c>
      <c r="Z327">
        <v>59.9</v>
      </c>
      <c r="AA327">
        <v>0</v>
      </c>
      <c r="AB327" t="s">
        <v>363</v>
      </c>
      <c r="AF327" t="s">
        <v>2845</v>
      </c>
      <c r="AG327" t="s">
        <v>2845</v>
      </c>
      <c r="AH327" t="s">
        <v>1175</v>
      </c>
      <c r="AI327">
        <v>99999</v>
      </c>
      <c r="AJ327">
        <v>99999</v>
      </c>
      <c r="AK327">
        <v>699</v>
      </c>
      <c r="AL327" t="b">
        <v>1</v>
      </c>
      <c r="AM327" t="b">
        <v>1</v>
      </c>
      <c r="AN327" t="b">
        <v>0</v>
      </c>
      <c r="AO327">
        <v>99999</v>
      </c>
      <c r="AP327" t="s">
        <v>64</v>
      </c>
      <c r="AR327" t="b">
        <v>0</v>
      </c>
      <c r="AS327">
        <v>12</v>
      </c>
      <c r="AT327" t="s">
        <v>327</v>
      </c>
      <c r="AV327" t="s">
        <v>2867</v>
      </c>
      <c r="CRL327">
        <v>12</v>
      </c>
    </row>
    <row r="328" spans="1:48 2508:2508" x14ac:dyDescent="0.25">
      <c r="A328" t="s">
        <v>3323</v>
      </c>
      <c r="B328" t="s">
        <v>302</v>
      </c>
      <c r="C328" t="s">
        <v>62</v>
      </c>
      <c r="D328">
        <v>99999</v>
      </c>
      <c r="F328" s="109">
        <v>10000</v>
      </c>
      <c r="G328" t="b">
        <v>0</v>
      </c>
      <c r="H328" t="s">
        <v>343</v>
      </c>
      <c r="K328" t="s">
        <v>379</v>
      </c>
      <c r="L328" t="s">
        <v>303</v>
      </c>
      <c r="M328" t="s">
        <v>323</v>
      </c>
      <c r="N328" t="s">
        <v>63</v>
      </c>
      <c r="O328" s="110">
        <v>49.9</v>
      </c>
      <c r="R328" s="110">
        <v>424.98999999999995</v>
      </c>
      <c r="S328" s="110">
        <v>130</v>
      </c>
      <c r="T328" s="110">
        <v>0</v>
      </c>
      <c r="U328" s="110">
        <v>42.99</v>
      </c>
      <c r="X328">
        <v>192.09999999999997</v>
      </c>
      <c r="Y328">
        <v>59.9</v>
      </c>
      <c r="Z328">
        <v>59.9</v>
      </c>
      <c r="AA328">
        <v>0</v>
      </c>
      <c r="AB328" t="s">
        <v>363</v>
      </c>
      <c r="AF328" t="s">
        <v>2912</v>
      </c>
      <c r="AG328" t="s">
        <v>2912</v>
      </c>
      <c r="AH328" t="s">
        <v>1175</v>
      </c>
      <c r="AI328">
        <v>99999</v>
      </c>
      <c r="AJ328">
        <v>99999</v>
      </c>
      <c r="AK328">
        <v>699</v>
      </c>
      <c r="AL328" t="b">
        <v>1</v>
      </c>
      <c r="AM328" t="b">
        <v>1</v>
      </c>
      <c r="AN328" t="b">
        <v>0</v>
      </c>
      <c r="AO328">
        <v>99999</v>
      </c>
      <c r="AP328" t="s">
        <v>64</v>
      </c>
      <c r="AR328" t="b">
        <v>0</v>
      </c>
      <c r="AS328">
        <v>12</v>
      </c>
      <c r="AT328" t="s">
        <v>327</v>
      </c>
      <c r="AV328" t="s">
        <v>2934</v>
      </c>
      <c r="CRL328">
        <v>12</v>
      </c>
    </row>
    <row r="329" spans="1:48 2508:2508" x14ac:dyDescent="0.25">
      <c r="A329" t="s">
        <v>3323</v>
      </c>
      <c r="B329" t="s">
        <v>302</v>
      </c>
      <c r="C329" t="s">
        <v>62</v>
      </c>
      <c r="D329">
        <v>99999</v>
      </c>
      <c r="F329" s="109">
        <v>10000</v>
      </c>
      <c r="G329" t="b">
        <v>0</v>
      </c>
      <c r="H329" t="s">
        <v>343</v>
      </c>
      <c r="K329" t="s">
        <v>379</v>
      </c>
      <c r="L329" t="s">
        <v>303</v>
      </c>
      <c r="M329" t="s">
        <v>323</v>
      </c>
      <c r="N329" t="s">
        <v>63</v>
      </c>
      <c r="O329" s="110">
        <v>49.9</v>
      </c>
      <c r="R329" s="110">
        <v>439.89</v>
      </c>
      <c r="S329" s="110">
        <v>130</v>
      </c>
      <c r="T329" s="110">
        <v>0</v>
      </c>
      <c r="U329" s="110">
        <v>42.99</v>
      </c>
      <c r="X329">
        <v>206.99999999999997</v>
      </c>
      <c r="Y329">
        <v>59.9</v>
      </c>
      <c r="Z329">
        <v>59.9</v>
      </c>
      <c r="AA329">
        <v>0</v>
      </c>
      <c r="AB329" t="s">
        <v>363</v>
      </c>
      <c r="AF329" t="s">
        <v>2986</v>
      </c>
      <c r="AG329" t="s">
        <v>2986</v>
      </c>
      <c r="AH329" t="s">
        <v>1175</v>
      </c>
      <c r="AI329">
        <v>99999</v>
      </c>
      <c r="AJ329">
        <v>99999</v>
      </c>
      <c r="AK329">
        <v>699</v>
      </c>
      <c r="AL329" t="b">
        <v>1</v>
      </c>
      <c r="AM329" t="b">
        <v>1</v>
      </c>
      <c r="AN329" t="b">
        <v>0</v>
      </c>
      <c r="AO329">
        <v>99999</v>
      </c>
      <c r="AP329" t="s">
        <v>64</v>
      </c>
      <c r="AR329" t="b">
        <v>0</v>
      </c>
      <c r="AS329">
        <v>12</v>
      </c>
      <c r="AT329" t="s">
        <v>327</v>
      </c>
      <c r="AV329" t="s">
        <v>3008</v>
      </c>
      <c r="CRL329">
        <v>12</v>
      </c>
    </row>
    <row r="330" spans="1:48 2508:2508" x14ac:dyDescent="0.25">
      <c r="A330" t="s">
        <v>3323</v>
      </c>
      <c r="B330" t="s">
        <v>302</v>
      </c>
      <c r="C330" t="s">
        <v>62</v>
      </c>
      <c r="D330">
        <v>99999</v>
      </c>
      <c r="F330" s="109">
        <v>10000</v>
      </c>
      <c r="G330" t="b">
        <v>0</v>
      </c>
      <c r="H330" t="s">
        <v>343</v>
      </c>
      <c r="K330" t="s">
        <v>61</v>
      </c>
      <c r="L330" t="s">
        <v>303</v>
      </c>
      <c r="M330" t="s">
        <v>323</v>
      </c>
      <c r="N330" t="s">
        <v>63</v>
      </c>
      <c r="O330" s="110">
        <v>29.9</v>
      </c>
      <c r="R330" s="110">
        <v>339.89</v>
      </c>
      <c r="S330" s="110">
        <v>79.900000000000006</v>
      </c>
      <c r="T330" s="110">
        <v>0</v>
      </c>
      <c r="U330" s="110">
        <v>42.99</v>
      </c>
      <c r="X330">
        <v>172.09999999999997</v>
      </c>
      <c r="Y330">
        <v>44.9</v>
      </c>
      <c r="Z330">
        <v>44.9</v>
      </c>
      <c r="AA330">
        <v>0</v>
      </c>
      <c r="AB330" t="s">
        <v>324</v>
      </c>
      <c r="AF330" t="s">
        <v>1174</v>
      </c>
      <c r="AG330" t="s">
        <v>1174</v>
      </c>
      <c r="AH330" t="s">
        <v>1175</v>
      </c>
      <c r="AI330">
        <v>99999</v>
      </c>
      <c r="AJ330">
        <v>99999</v>
      </c>
      <c r="AK330">
        <v>699</v>
      </c>
      <c r="AL330" t="b">
        <v>1</v>
      </c>
      <c r="AM330" t="b">
        <v>1</v>
      </c>
      <c r="AN330" t="b">
        <v>0</v>
      </c>
      <c r="AO330">
        <v>99999</v>
      </c>
      <c r="AP330" t="s">
        <v>64</v>
      </c>
      <c r="AR330" t="b">
        <v>0</v>
      </c>
      <c r="AS330">
        <v>12</v>
      </c>
      <c r="AT330" t="s">
        <v>327</v>
      </c>
      <c r="AV330" t="s">
        <v>1184</v>
      </c>
      <c r="CRL330">
        <v>12</v>
      </c>
    </row>
    <row r="331" spans="1:48 2508:2508" x14ac:dyDescent="0.25">
      <c r="A331" t="s">
        <v>3323</v>
      </c>
      <c r="B331" t="s">
        <v>302</v>
      </c>
      <c r="C331" t="s">
        <v>62</v>
      </c>
      <c r="D331">
        <v>99999</v>
      </c>
      <c r="F331" s="109">
        <v>10000</v>
      </c>
      <c r="G331" t="b">
        <v>0</v>
      </c>
      <c r="H331" t="s">
        <v>343</v>
      </c>
      <c r="K331" t="s">
        <v>61</v>
      </c>
      <c r="L331" t="s">
        <v>303</v>
      </c>
      <c r="M331" t="s">
        <v>323</v>
      </c>
      <c r="N331" t="s">
        <v>63</v>
      </c>
      <c r="O331" s="110">
        <v>29.9</v>
      </c>
      <c r="R331" s="110">
        <v>359.89</v>
      </c>
      <c r="S331" s="110">
        <v>79.900000000000006</v>
      </c>
      <c r="T331" s="110">
        <v>0</v>
      </c>
      <c r="U331" s="110">
        <v>42.99</v>
      </c>
      <c r="X331">
        <v>192.09999999999997</v>
      </c>
      <c r="Y331">
        <v>44.9</v>
      </c>
      <c r="Z331">
        <v>44.9</v>
      </c>
      <c r="AA331">
        <v>0</v>
      </c>
      <c r="AB331" t="s">
        <v>324</v>
      </c>
      <c r="AF331" t="s">
        <v>1309</v>
      </c>
      <c r="AG331" t="s">
        <v>1309</v>
      </c>
      <c r="AH331" t="s">
        <v>1175</v>
      </c>
      <c r="AI331">
        <v>99999</v>
      </c>
      <c r="AJ331">
        <v>99999</v>
      </c>
      <c r="AK331">
        <v>699</v>
      </c>
      <c r="AL331" t="b">
        <v>1</v>
      </c>
      <c r="AM331" t="b">
        <v>1</v>
      </c>
      <c r="AN331" t="b">
        <v>0</v>
      </c>
      <c r="AO331">
        <v>99999</v>
      </c>
      <c r="AP331" t="s">
        <v>64</v>
      </c>
      <c r="AR331" t="b">
        <v>0</v>
      </c>
      <c r="AS331">
        <v>12</v>
      </c>
      <c r="AT331" t="s">
        <v>327</v>
      </c>
      <c r="AV331" t="s">
        <v>1318</v>
      </c>
      <c r="CRL331">
        <v>12</v>
      </c>
    </row>
    <row r="332" spans="1:48 2508:2508" x14ac:dyDescent="0.25">
      <c r="A332" t="s">
        <v>3323</v>
      </c>
      <c r="B332" t="s">
        <v>302</v>
      </c>
      <c r="C332" t="s">
        <v>62</v>
      </c>
      <c r="D332">
        <v>99999</v>
      </c>
      <c r="F332" s="109">
        <v>10000</v>
      </c>
      <c r="G332" t="b">
        <v>0</v>
      </c>
      <c r="H332" t="s">
        <v>343</v>
      </c>
      <c r="K332" t="s">
        <v>61</v>
      </c>
      <c r="L332" t="s">
        <v>303</v>
      </c>
      <c r="M332" t="s">
        <v>323</v>
      </c>
      <c r="N332" t="s">
        <v>63</v>
      </c>
      <c r="O332" s="110">
        <v>29.9</v>
      </c>
      <c r="R332" s="110">
        <v>379.89</v>
      </c>
      <c r="S332" s="110">
        <v>85</v>
      </c>
      <c r="T332" s="110">
        <v>0</v>
      </c>
      <c r="U332" s="110">
        <v>42.99</v>
      </c>
      <c r="X332">
        <v>206.99999999999997</v>
      </c>
      <c r="Y332">
        <v>44.9</v>
      </c>
      <c r="Z332">
        <v>44.9</v>
      </c>
      <c r="AA332">
        <v>0</v>
      </c>
      <c r="AB332" t="s">
        <v>324</v>
      </c>
      <c r="AF332" t="s">
        <v>1457</v>
      </c>
      <c r="AG332" t="s">
        <v>1457</v>
      </c>
      <c r="AH332" t="s">
        <v>1175</v>
      </c>
      <c r="AI332">
        <v>99999</v>
      </c>
      <c r="AJ332">
        <v>99999</v>
      </c>
      <c r="AK332">
        <v>699</v>
      </c>
      <c r="AL332" t="b">
        <v>1</v>
      </c>
      <c r="AM332" t="b">
        <v>1</v>
      </c>
      <c r="AN332" t="b">
        <v>0</v>
      </c>
      <c r="AO332">
        <v>99999</v>
      </c>
      <c r="AP332" t="s">
        <v>64</v>
      </c>
      <c r="AR332" t="b">
        <v>0</v>
      </c>
      <c r="AS332">
        <v>12</v>
      </c>
      <c r="AT332" t="s">
        <v>327</v>
      </c>
      <c r="AV332" t="s">
        <v>1466</v>
      </c>
      <c r="CRL332">
        <v>12</v>
      </c>
    </row>
    <row r="333" spans="1:48 2508:2508" x14ac:dyDescent="0.25">
      <c r="A333" t="s">
        <v>3323</v>
      </c>
      <c r="B333" t="s">
        <v>302</v>
      </c>
      <c r="C333" t="s">
        <v>62</v>
      </c>
      <c r="D333">
        <v>99999</v>
      </c>
      <c r="F333" s="109">
        <v>10000</v>
      </c>
      <c r="G333" t="b">
        <v>0</v>
      </c>
      <c r="H333" t="s">
        <v>343</v>
      </c>
      <c r="K333" t="s">
        <v>61</v>
      </c>
      <c r="L333" t="s">
        <v>303</v>
      </c>
      <c r="M333" t="s">
        <v>323</v>
      </c>
      <c r="N333" t="s">
        <v>63</v>
      </c>
      <c r="O333" s="110">
        <v>39.9</v>
      </c>
      <c r="R333" s="110">
        <v>339.89</v>
      </c>
      <c r="S333" s="110">
        <v>79.900000000000006</v>
      </c>
      <c r="T333" s="110">
        <v>0</v>
      </c>
      <c r="U333" s="110">
        <v>42.99</v>
      </c>
      <c r="X333">
        <v>172.09999999999997</v>
      </c>
      <c r="Y333">
        <v>44.9</v>
      </c>
      <c r="Z333">
        <v>44.9</v>
      </c>
      <c r="AA333">
        <v>0</v>
      </c>
      <c r="AB333" t="s">
        <v>324</v>
      </c>
      <c r="AF333" t="s">
        <v>1242</v>
      </c>
      <c r="AG333" t="s">
        <v>1242</v>
      </c>
      <c r="AH333" t="s">
        <v>1175</v>
      </c>
      <c r="AI333">
        <v>99999</v>
      </c>
      <c r="AJ333">
        <v>99999</v>
      </c>
      <c r="AK333">
        <v>699</v>
      </c>
      <c r="AL333" t="b">
        <v>1</v>
      </c>
      <c r="AM333" t="b">
        <v>1</v>
      </c>
      <c r="AN333" t="b">
        <v>0</v>
      </c>
      <c r="AO333">
        <v>99999</v>
      </c>
      <c r="AP333" t="s">
        <v>64</v>
      </c>
      <c r="AR333" t="b">
        <v>0</v>
      </c>
      <c r="AS333">
        <v>12</v>
      </c>
      <c r="AT333" t="s">
        <v>327</v>
      </c>
      <c r="AV333" t="s">
        <v>1251</v>
      </c>
      <c r="CRL333">
        <v>12</v>
      </c>
    </row>
    <row r="334" spans="1:48 2508:2508" x14ac:dyDescent="0.25">
      <c r="A334" t="s">
        <v>3323</v>
      </c>
      <c r="B334" t="s">
        <v>302</v>
      </c>
      <c r="C334" t="s">
        <v>62</v>
      </c>
      <c r="D334">
        <v>99999</v>
      </c>
      <c r="F334" s="109">
        <v>10000</v>
      </c>
      <c r="G334" t="b">
        <v>0</v>
      </c>
      <c r="H334" t="s">
        <v>343</v>
      </c>
      <c r="K334" t="s">
        <v>61</v>
      </c>
      <c r="L334" t="s">
        <v>303</v>
      </c>
      <c r="M334" t="s">
        <v>323</v>
      </c>
      <c r="N334" t="s">
        <v>63</v>
      </c>
      <c r="O334" s="110">
        <v>39.9</v>
      </c>
      <c r="R334" s="110">
        <v>359.89</v>
      </c>
      <c r="S334" s="110">
        <v>79.900000000000006</v>
      </c>
      <c r="T334" s="110">
        <v>0</v>
      </c>
      <c r="U334" s="110">
        <v>42.99</v>
      </c>
      <c r="X334">
        <v>192.09999999999997</v>
      </c>
      <c r="Y334">
        <v>44.9</v>
      </c>
      <c r="Z334">
        <v>44.9</v>
      </c>
      <c r="AA334">
        <v>0</v>
      </c>
      <c r="AB334" t="s">
        <v>324</v>
      </c>
      <c r="AF334" t="s">
        <v>1376</v>
      </c>
      <c r="AG334" t="s">
        <v>1376</v>
      </c>
      <c r="AH334" t="s">
        <v>1175</v>
      </c>
      <c r="AI334">
        <v>99999</v>
      </c>
      <c r="AJ334">
        <v>99999</v>
      </c>
      <c r="AK334">
        <v>699</v>
      </c>
      <c r="AL334" t="b">
        <v>1</v>
      </c>
      <c r="AM334" t="b">
        <v>1</v>
      </c>
      <c r="AN334" t="b">
        <v>0</v>
      </c>
      <c r="AO334">
        <v>99999</v>
      </c>
      <c r="AP334" t="s">
        <v>64</v>
      </c>
      <c r="AR334" t="b">
        <v>0</v>
      </c>
      <c r="AS334">
        <v>12</v>
      </c>
      <c r="AT334" t="s">
        <v>327</v>
      </c>
      <c r="AV334" t="s">
        <v>1385</v>
      </c>
      <c r="CRL334">
        <v>12</v>
      </c>
    </row>
    <row r="335" spans="1:48 2508:2508" x14ac:dyDescent="0.25">
      <c r="A335" t="s">
        <v>3323</v>
      </c>
      <c r="B335" t="s">
        <v>302</v>
      </c>
      <c r="C335" t="s">
        <v>62</v>
      </c>
      <c r="D335">
        <v>99999</v>
      </c>
      <c r="F335" s="109">
        <v>10000</v>
      </c>
      <c r="G335" t="b">
        <v>0</v>
      </c>
      <c r="H335" t="s">
        <v>343</v>
      </c>
      <c r="K335" t="s">
        <v>61</v>
      </c>
      <c r="L335" t="s">
        <v>303</v>
      </c>
      <c r="M335" t="s">
        <v>323</v>
      </c>
      <c r="N335" t="s">
        <v>63</v>
      </c>
      <c r="O335" s="110">
        <v>39.9</v>
      </c>
      <c r="R335" s="110">
        <v>379.89</v>
      </c>
      <c r="S335" s="110">
        <v>85</v>
      </c>
      <c r="T335" s="110">
        <v>0</v>
      </c>
      <c r="U335" s="110">
        <v>42.99</v>
      </c>
      <c r="X335">
        <v>206.99999999999997</v>
      </c>
      <c r="Y335">
        <v>44.9</v>
      </c>
      <c r="Z335">
        <v>44.9</v>
      </c>
      <c r="AA335">
        <v>0</v>
      </c>
      <c r="AB335" t="s">
        <v>324</v>
      </c>
      <c r="AF335" t="s">
        <v>1524</v>
      </c>
      <c r="AG335" t="s">
        <v>1524</v>
      </c>
      <c r="AH335" t="s">
        <v>1175</v>
      </c>
      <c r="AI335">
        <v>99999</v>
      </c>
      <c r="AJ335">
        <v>99999</v>
      </c>
      <c r="AK335">
        <v>699</v>
      </c>
      <c r="AL335" t="b">
        <v>1</v>
      </c>
      <c r="AM335" t="b">
        <v>1</v>
      </c>
      <c r="AN335" t="b">
        <v>0</v>
      </c>
      <c r="AO335">
        <v>99999</v>
      </c>
      <c r="AP335" t="s">
        <v>64</v>
      </c>
      <c r="AR335" t="b">
        <v>0</v>
      </c>
      <c r="AS335">
        <v>12</v>
      </c>
      <c r="AT335" t="s">
        <v>327</v>
      </c>
      <c r="AV335" t="s">
        <v>1533</v>
      </c>
      <c r="CRL335">
        <v>12</v>
      </c>
    </row>
    <row r="336" spans="1:48 2508:2508" x14ac:dyDescent="0.25">
      <c r="A336" t="s">
        <v>3323</v>
      </c>
      <c r="B336" t="s">
        <v>302</v>
      </c>
      <c r="C336" t="s">
        <v>62</v>
      </c>
      <c r="D336">
        <v>99999</v>
      </c>
      <c r="F336" s="109">
        <v>10000</v>
      </c>
      <c r="G336" t="b">
        <v>0</v>
      </c>
      <c r="H336" t="s">
        <v>343</v>
      </c>
      <c r="K336" t="s">
        <v>61</v>
      </c>
      <c r="L336" t="s">
        <v>303</v>
      </c>
      <c r="M336" t="s">
        <v>323</v>
      </c>
      <c r="N336" t="s">
        <v>63</v>
      </c>
      <c r="O336" s="110">
        <v>49.9</v>
      </c>
      <c r="R336" s="110">
        <v>365.68999999999994</v>
      </c>
      <c r="S336" s="110">
        <v>130</v>
      </c>
      <c r="T336" s="110">
        <v>0</v>
      </c>
      <c r="U336" s="110">
        <v>34.99</v>
      </c>
      <c r="X336">
        <v>155.79999999999998</v>
      </c>
      <c r="Y336">
        <v>44.9</v>
      </c>
      <c r="Z336">
        <v>44.9</v>
      </c>
      <c r="AA336">
        <v>0</v>
      </c>
      <c r="AB336" t="s">
        <v>324</v>
      </c>
      <c r="AF336" t="s">
        <v>2744</v>
      </c>
      <c r="AG336" t="s">
        <v>2744</v>
      </c>
      <c r="AH336" t="s">
        <v>1175</v>
      </c>
      <c r="AI336">
        <v>99999</v>
      </c>
      <c r="AJ336">
        <v>99999</v>
      </c>
      <c r="AK336">
        <v>699</v>
      </c>
      <c r="AL336" t="b">
        <v>1</v>
      </c>
      <c r="AM336" t="b">
        <v>1</v>
      </c>
      <c r="AN336" t="b">
        <v>0</v>
      </c>
      <c r="AO336">
        <v>99999</v>
      </c>
      <c r="AP336" t="s">
        <v>64</v>
      </c>
      <c r="AR336" t="b">
        <v>0</v>
      </c>
      <c r="AS336">
        <v>12</v>
      </c>
      <c r="AT336" t="s">
        <v>327</v>
      </c>
      <c r="AV336" t="s">
        <v>2753</v>
      </c>
      <c r="CRL336">
        <v>12</v>
      </c>
    </row>
    <row r="337" spans="1:48 2508:2508" x14ac:dyDescent="0.25">
      <c r="A337" t="s">
        <v>3323</v>
      </c>
      <c r="B337" t="s">
        <v>302</v>
      </c>
      <c r="C337" t="s">
        <v>62</v>
      </c>
      <c r="D337">
        <v>99999</v>
      </c>
      <c r="F337" s="109">
        <v>10000</v>
      </c>
      <c r="G337" t="b">
        <v>0</v>
      </c>
      <c r="H337" t="s">
        <v>343</v>
      </c>
      <c r="K337" t="s">
        <v>61</v>
      </c>
      <c r="L337" t="s">
        <v>303</v>
      </c>
      <c r="M337" t="s">
        <v>323</v>
      </c>
      <c r="N337" t="s">
        <v>63</v>
      </c>
      <c r="O337" s="110">
        <v>49.9</v>
      </c>
      <c r="R337" s="110">
        <v>389.98999999999995</v>
      </c>
      <c r="S337" s="110">
        <v>130</v>
      </c>
      <c r="T337" s="110">
        <v>0</v>
      </c>
      <c r="U337" s="110">
        <v>42.99</v>
      </c>
      <c r="X337">
        <v>172.09999999999997</v>
      </c>
      <c r="Y337">
        <v>44.9</v>
      </c>
      <c r="Z337">
        <v>44.9</v>
      </c>
      <c r="AA337">
        <v>0</v>
      </c>
      <c r="AB337" t="s">
        <v>324</v>
      </c>
      <c r="AF337" t="s">
        <v>2818</v>
      </c>
      <c r="AG337" t="s">
        <v>2818</v>
      </c>
      <c r="AH337" t="s">
        <v>1175</v>
      </c>
      <c r="AI337">
        <v>99999</v>
      </c>
      <c r="AJ337">
        <v>99999</v>
      </c>
      <c r="AK337">
        <v>699</v>
      </c>
      <c r="AL337" t="b">
        <v>1</v>
      </c>
      <c r="AM337" t="b">
        <v>1</v>
      </c>
      <c r="AN337" t="b">
        <v>0</v>
      </c>
      <c r="AO337">
        <v>99999</v>
      </c>
      <c r="AP337" t="s">
        <v>64</v>
      </c>
      <c r="AR337" t="b">
        <v>0</v>
      </c>
      <c r="AS337">
        <v>12</v>
      </c>
      <c r="AT337" t="s">
        <v>327</v>
      </c>
      <c r="AV337" t="s">
        <v>2827</v>
      </c>
      <c r="CRL337">
        <v>12</v>
      </c>
    </row>
    <row r="338" spans="1:48 2508:2508" x14ac:dyDescent="0.25">
      <c r="A338" t="s">
        <v>3323</v>
      </c>
      <c r="B338" t="s">
        <v>302</v>
      </c>
      <c r="C338" t="s">
        <v>62</v>
      </c>
      <c r="D338">
        <v>99999</v>
      </c>
      <c r="F338" s="109">
        <v>10000</v>
      </c>
      <c r="G338" t="b">
        <v>0</v>
      </c>
      <c r="H338" t="s">
        <v>343</v>
      </c>
      <c r="K338" t="s">
        <v>61</v>
      </c>
      <c r="L338" t="s">
        <v>303</v>
      </c>
      <c r="M338" t="s">
        <v>323</v>
      </c>
      <c r="N338" t="s">
        <v>63</v>
      </c>
      <c r="O338" s="110">
        <v>49.9</v>
      </c>
      <c r="R338" s="110">
        <v>409.98999999999995</v>
      </c>
      <c r="S338" s="110">
        <v>130</v>
      </c>
      <c r="T338" s="110">
        <v>0</v>
      </c>
      <c r="U338" s="110">
        <v>42.99</v>
      </c>
      <c r="X338">
        <v>192.09999999999997</v>
      </c>
      <c r="Y338">
        <v>44.9</v>
      </c>
      <c r="Z338">
        <v>44.9</v>
      </c>
      <c r="AA338">
        <v>0</v>
      </c>
      <c r="AB338" t="s">
        <v>324</v>
      </c>
      <c r="AF338" t="s">
        <v>2885</v>
      </c>
      <c r="AG338" t="s">
        <v>2885</v>
      </c>
      <c r="AH338" t="s">
        <v>1175</v>
      </c>
      <c r="AI338">
        <v>99999</v>
      </c>
      <c r="AJ338">
        <v>99999</v>
      </c>
      <c r="AK338">
        <v>699</v>
      </c>
      <c r="AL338" t="b">
        <v>1</v>
      </c>
      <c r="AM338" t="b">
        <v>1</v>
      </c>
      <c r="AN338" t="b">
        <v>0</v>
      </c>
      <c r="AO338">
        <v>99999</v>
      </c>
      <c r="AP338" t="s">
        <v>64</v>
      </c>
      <c r="AR338" t="b">
        <v>0</v>
      </c>
      <c r="AS338">
        <v>12</v>
      </c>
      <c r="AT338" t="s">
        <v>327</v>
      </c>
      <c r="AV338" t="s">
        <v>2894</v>
      </c>
      <c r="CRL338">
        <v>12</v>
      </c>
    </row>
    <row r="339" spans="1:48 2508:2508" x14ac:dyDescent="0.25">
      <c r="A339" t="s">
        <v>3323</v>
      </c>
      <c r="B339" t="s">
        <v>302</v>
      </c>
      <c r="C339" t="s">
        <v>62</v>
      </c>
      <c r="D339">
        <v>99999</v>
      </c>
      <c r="F339" s="109">
        <v>10000</v>
      </c>
      <c r="G339" t="b">
        <v>0</v>
      </c>
      <c r="H339" t="s">
        <v>343</v>
      </c>
      <c r="K339" t="s">
        <v>61</v>
      </c>
      <c r="L339" t="s">
        <v>303</v>
      </c>
      <c r="M339" t="s">
        <v>323</v>
      </c>
      <c r="N339" t="s">
        <v>63</v>
      </c>
      <c r="O339" s="110">
        <v>49.9</v>
      </c>
      <c r="R339" s="110">
        <v>424.89</v>
      </c>
      <c r="S339" s="110">
        <v>130</v>
      </c>
      <c r="T339" s="110">
        <v>0</v>
      </c>
      <c r="U339" s="110">
        <v>42.99</v>
      </c>
      <c r="X339">
        <v>206.99999999999997</v>
      </c>
      <c r="Y339">
        <v>44.9</v>
      </c>
      <c r="Z339">
        <v>44.9</v>
      </c>
      <c r="AA339">
        <v>0</v>
      </c>
      <c r="AB339" t="s">
        <v>324</v>
      </c>
      <c r="AF339" t="s">
        <v>2959</v>
      </c>
      <c r="AG339" t="s">
        <v>2959</v>
      </c>
      <c r="AH339" t="s">
        <v>1175</v>
      </c>
      <c r="AI339">
        <v>99999</v>
      </c>
      <c r="AJ339">
        <v>99999</v>
      </c>
      <c r="AK339">
        <v>699</v>
      </c>
      <c r="AL339" t="b">
        <v>1</v>
      </c>
      <c r="AM339" t="b">
        <v>1</v>
      </c>
      <c r="AN339" t="b">
        <v>0</v>
      </c>
      <c r="AO339">
        <v>99999</v>
      </c>
      <c r="AP339" t="s">
        <v>64</v>
      </c>
      <c r="AR339" t="b">
        <v>0</v>
      </c>
      <c r="AS339">
        <v>12</v>
      </c>
      <c r="AT339" t="s">
        <v>327</v>
      </c>
      <c r="AV339" t="s">
        <v>2968</v>
      </c>
      <c r="CRL339">
        <v>12</v>
      </c>
    </row>
    <row r="340" spans="1:48 2508:2508" x14ac:dyDescent="0.25">
      <c r="A340" t="s">
        <v>3323</v>
      </c>
      <c r="B340" t="s">
        <v>302</v>
      </c>
      <c r="C340" t="s">
        <v>62</v>
      </c>
      <c r="D340">
        <v>99999</v>
      </c>
      <c r="F340" s="109">
        <v>10000</v>
      </c>
      <c r="G340" t="b">
        <v>0</v>
      </c>
      <c r="H340" t="s">
        <v>339</v>
      </c>
      <c r="K340" t="s">
        <v>349</v>
      </c>
      <c r="L340" t="s">
        <v>303</v>
      </c>
      <c r="M340" t="s">
        <v>323</v>
      </c>
      <c r="N340" t="s">
        <v>63</v>
      </c>
      <c r="O340" s="110">
        <v>29.9</v>
      </c>
      <c r="R340" s="110">
        <v>294.89</v>
      </c>
      <c r="S340" s="110">
        <v>79.900000000000006</v>
      </c>
      <c r="T340" s="110">
        <v>0</v>
      </c>
      <c r="U340" s="110">
        <v>42.99</v>
      </c>
      <c r="X340">
        <v>127.09999999999997</v>
      </c>
      <c r="Y340">
        <v>44.9</v>
      </c>
      <c r="Z340">
        <v>44.9</v>
      </c>
      <c r="AA340">
        <v>0</v>
      </c>
      <c r="AB340" t="s">
        <v>324</v>
      </c>
      <c r="AF340" t="s">
        <v>1174</v>
      </c>
      <c r="AG340" t="s">
        <v>1174</v>
      </c>
      <c r="AH340" t="s">
        <v>1175</v>
      </c>
      <c r="AI340">
        <v>99999</v>
      </c>
      <c r="AJ340">
        <v>99999</v>
      </c>
      <c r="AK340">
        <v>699</v>
      </c>
      <c r="AL340" t="b">
        <v>1</v>
      </c>
      <c r="AM340" t="b">
        <v>1</v>
      </c>
      <c r="AN340" t="b">
        <v>0</v>
      </c>
      <c r="AO340">
        <v>99999</v>
      </c>
      <c r="AP340" t="s">
        <v>64</v>
      </c>
      <c r="AR340" t="b">
        <v>0</v>
      </c>
      <c r="AS340">
        <v>12</v>
      </c>
      <c r="AT340" t="s">
        <v>327</v>
      </c>
      <c r="AV340" t="s">
        <v>1195</v>
      </c>
      <c r="CRL340">
        <v>12</v>
      </c>
    </row>
    <row r="341" spans="1:48 2508:2508" x14ac:dyDescent="0.25">
      <c r="A341" t="s">
        <v>3323</v>
      </c>
      <c r="B341" t="s">
        <v>302</v>
      </c>
      <c r="C341" t="s">
        <v>62</v>
      </c>
      <c r="D341">
        <v>99999</v>
      </c>
      <c r="F341" s="109">
        <v>10000</v>
      </c>
      <c r="G341" t="b">
        <v>0</v>
      </c>
      <c r="H341" t="s">
        <v>339</v>
      </c>
      <c r="K341" t="s">
        <v>349</v>
      </c>
      <c r="L341" t="s">
        <v>303</v>
      </c>
      <c r="M341" t="s">
        <v>323</v>
      </c>
      <c r="N341" t="s">
        <v>63</v>
      </c>
      <c r="O341" s="110">
        <v>29.9</v>
      </c>
      <c r="R341" s="110">
        <v>314.89</v>
      </c>
      <c r="S341" s="110">
        <v>79.900000000000006</v>
      </c>
      <c r="T341" s="110">
        <v>0</v>
      </c>
      <c r="U341" s="110">
        <v>42.99</v>
      </c>
      <c r="X341">
        <v>147.09999999999997</v>
      </c>
      <c r="Y341">
        <v>44.9</v>
      </c>
      <c r="Z341">
        <v>44.9</v>
      </c>
      <c r="AA341">
        <v>0</v>
      </c>
      <c r="AB341" t="s">
        <v>324</v>
      </c>
      <c r="AF341" t="s">
        <v>1309</v>
      </c>
      <c r="AG341" t="s">
        <v>1309</v>
      </c>
      <c r="AH341" t="s">
        <v>1175</v>
      </c>
      <c r="AI341">
        <v>99999</v>
      </c>
      <c r="AJ341">
        <v>99999</v>
      </c>
      <c r="AK341">
        <v>699</v>
      </c>
      <c r="AL341" t="b">
        <v>1</v>
      </c>
      <c r="AM341" t="b">
        <v>1</v>
      </c>
      <c r="AN341" t="b">
        <v>0</v>
      </c>
      <c r="AO341">
        <v>99999</v>
      </c>
      <c r="AP341" t="s">
        <v>64</v>
      </c>
      <c r="AR341" t="b">
        <v>0</v>
      </c>
      <c r="AS341">
        <v>12</v>
      </c>
      <c r="AT341" t="s">
        <v>327</v>
      </c>
      <c r="AV341" t="s">
        <v>1329</v>
      </c>
      <c r="CRL341">
        <v>12</v>
      </c>
    </row>
    <row r="342" spans="1:48 2508:2508" x14ac:dyDescent="0.25">
      <c r="A342" t="s">
        <v>3323</v>
      </c>
      <c r="B342" t="s">
        <v>302</v>
      </c>
      <c r="C342" t="s">
        <v>62</v>
      </c>
      <c r="D342">
        <v>99999</v>
      </c>
      <c r="F342" s="109">
        <v>10000</v>
      </c>
      <c r="G342" t="b">
        <v>0</v>
      </c>
      <c r="H342" t="s">
        <v>339</v>
      </c>
      <c r="K342" t="s">
        <v>349</v>
      </c>
      <c r="L342" t="s">
        <v>303</v>
      </c>
      <c r="M342" t="s">
        <v>323</v>
      </c>
      <c r="N342" t="s">
        <v>63</v>
      </c>
      <c r="O342" s="110">
        <v>29.9</v>
      </c>
      <c r="R342" s="110">
        <v>334.89</v>
      </c>
      <c r="S342" s="110">
        <v>85</v>
      </c>
      <c r="T342" s="110">
        <v>0</v>
      </c>
      <c r="U342" s="110">
        <v>42.99</v>
      </c>
      <c r="X342">
        <v>161.99999999999997</v>
      </c>
      <c r="Y342">
        <v>44.9</v>
      </c>
      <c r="Z342">
        <v>44.9</v>
      </c>
      <c r="AA342">
        <v>0</v>
      </c>
      <c r="AB342" t="s">
        <v>324</v>
      </c>
      <c r="AF342" t="s">
        <v>1457</v>
      </c>
      <c r="AG342" t="s">
        <v>1457</v>
      </c>
      <c r="AH342" t="s">
        <v>1175</v>
      </c>
      <c r="AI342">
        <v>99999</v>
      </c>
      <c r="AJ342">
        <v>99999</v>
      </c>
      <c r="AK342">
        <v>699</v>
      </c>
      <c r="AL342" t="b">
        <v>1</v>
      </c>
      <c r="AM342" t="b">
        <v>1</v>
      </c>
      <c r="AN342" t="b">
        <v>0</v>
      </c>
      <c r="AO342">
        <v>99999</v>
      </c>
      <c r="AP342" t="s">
        <v>64</v>
      </c>
      <c r="AR342" t="b">
        <v>0</v>
      </c>
      <c r="AS342">
        <v>12</v>
      </c>
      <c r="AT342" t="s">
        <v>327</v>
      </c>
      <c r="AV342" t="s">
        <v>1477</v>
      </c>
      <c r="CRL342">
        <v>12</v>
      </c>
    </row>
    <row r="343" spans="1:48 2508:2508" x14ac:dyDescent="0.25">
      <c r="A343" t="s">
        <v>3323</v>
      </c>
      <c r="B343" t="s">
        <v>302</v>
      </c>
      <c r="C343" t="s">
        <v>62</v>
      </c>
      <c r="D343">
        <v>99999</v>
      </c>
      <c r="F343" s="109">
        <v>10000</v>
      </c>
      <c r="G343" t="b">
        <v>0</v>
      </c>
      <c r="H343" t="s">
        <v>339</v>
      </c>
      <c r="K343" t="s">
        <v>349</v>
      </c>
      <c r="L343" t="s">
        <v>303</v>
      </c>
      <c r="M343" t="s">
        <v>323</v>
      </c>
      <c r="N343" t="s">
        <v>63</v>
      </c>
      <c r="O343" s="110">
        <v>39.9</v>
      </c>
      <c r="R343" s="110">
        <v>294.89</v>
      </c>
      <c r="S343" s="110">
        <v>79.900000000000006</v>
      </c>
      <c r="T343" s="110">
        <v>0</v>
      </c>
      <c r="U343" s="110">
        <v>42.99</v>
      </c>
      <c r="X343">
        <v>127.09999999999997</v>
      </c>
      <c r="Y343">
        <v>44.9</v>
      </c>
      <c r="Z343">
        <v>44.9</v>
      </c>
      <c r="AA343">
        <v>0</v>
      </c>
      <c r="AB343" t="s">
        <v>324</v>
      </c>
      <c r="AF343" t="s">
        <v>1242</v>
      </c>
      <c r="AG343" t="s">
        <v>1242</v>
      </c>
      <c r="AH343" t="s">
        <v>1175</v>
      </c>
      <c r="AI343">
        <v>99999</v>
      </c>
      <c r="AJ343">
        <v>99999</v>
      </c>
      <c r="AK343">
        <v>699</v>
      </c>
      <c r="AL343" t="b">
        <v>1</v>
      </c>
      <c r="AM343" t="b">
        <v>1</v>
      </c>
      <c r="AN343" t="b">
        <v>0</v>
      </c>
      <c r="AO343">
        <v>99999</v>
      </c>
      <c r="AP343" t="s">
        <v>64</v>
      </c>
      <c r="AR343" t="b">
        <v>0</v>
      </c>
      <c r="AS343">
        <v>12</v>
      </c>
      <c r="AT343" t="s">
        <v>327</v>
      </c>
      <c r="AV343" t="s">
        <v>1262</v>
      </c>
      <c r="CRL343">
        <v>12</v>
      </c>
    </row>
    <row r="344" spans="1:48 2508:2508" x14ac:dyDescent="0.25">
      <c r="A344" t="s">
        <v>3323</v>
      </c>
      <c r="B344" t="s">
        <v>302</v>
      </c>
      <c r="C344" t="s">
        <v>62</v>
      </c>
      <c r="D344">
        <v>99999</v>
      </c>
      <c r="F344" s="109">
        <v>10000</v>
      </c>
      <c r="G344" t="b">
        <v>0</v>
      </c>
      <c r="H344" t="s">
        <v>339</v>
      </c>
      <c r="K344" t="s">
        <v>349</v>
      </c>
      <c r="L344" t="s">
        <v>303</v>
      </c>
      <c r="M344" t="s">
        <v>323</v>
      </c>
      <c r="N344" t="s">
        <v>63</v>
      </c>
      <c r="O344" s="110">
        <v>39.9</v>
      </c>
      <c r="R344" s="110">
        <v>314.89</v>
      </c>
      <c r="S344" s="110">
        <v>79.900000000000006</v>
      </c>
      <c r="T344" s="110">
        <v>0</v>
      </c>
      <c r="U344" s="110">
        <v>42.99</v>
      </c>
      <c r="X344">
        <v>147.09999999999997</v>
      </c>
      <c r="Y344">
        <v>44.9</v>
      </c>
      <c r="Z344">
        <v>44.9</v>
      </c>
      <c r="AA344">
        <v>0</v>
      </c>
      <c r="AB344" t="s">
        <v>324</v>
      </c>
      <c r="AF344" t="s">
        <v>1376</v>
      </c>
      <c r="AG344" t="s">
        <v>1376</v>
      </c>
      <c r="AH344" t="s">
        <v>1175</v>
      </c>
      <c r="AI344">
        <v>99999</v>
      </c>
      <c r="AJ344">
        <v>99999</v>
      </c>
      <c r="AK344">
        <v>699</v>
      </c>
      <c r="AL344" t="b">
        <v>1</v>
      </c>
      <c r="AM344" t="b">
        <v>1</v>
      </c>
      <c r="AN344" t="b">
        <v>0</v>
      </c>
      <c r="AO344">
        <v>99999</v>
      </c>
      <c r="AP344" t="s">
        <v>64</v>
      </c>
      <c r="AR344" t="b">
        <v>0</v>
      </c>
      <c r="AS344">
        <v>12</v>
      </c>
      <c r="AT344" t="s">
        <v>327</v>
      </c>
      <c r="AV344" t="s">
        <v>1396</v>
      </c>
      <c r="CRL344">
        <v>12</v>
      </c>
    </row>
    <row r="345" spans="1:48 2508:2508" x14ac:dyDescent="0.25">
      <c r="A345" t="s">
        <v>3323</v>
      </c>
      <c r="B345" t="s">
        <v>302</v>
      </c>
      <c r="C345" t="s">
        <v>62</v>
      </c>
      <c r="D345">
        <v>99999</v>
      </c>
      <c r="F345" s="109">
        <v>10000</v>
      </c>
      <c r="G345" t="b">
        <v>0</v>
      </c>
      <c r="H345" t="s">
        <v>339</v>
      </c>
      <c r="K345" t="s">
        <v>349</v>
      </c>
      <c r="L345" t="s">
        <v>303</v>
      </c>
      <c r="M345" t="s">
        <v>323</v>
      </c>
      <c r="N345" t="s">
        <v>63</v>
      </c>
      <c r="O345" s="110">
        <v>39.9</v>
      </c>
      <c r="R345" s="110">
        <v>334.89</v>
      </c>
      <c r="S345" s="110">
        <v>85</v>
      </c>
      <c r="T345" s="110">
        <v>0</v>
      </c>
      <c r="U345" s="110">
        <v>42.99</v>
      </c>
      <c r="X345">
        <v>161.99999999999997</v>
      </c>
      <c r="Y345">
        <v>44.9</v>
      </c>
      <c r="Z345">
        <v>44.9</v>
      </c>
      <c r="AA345">
        <v>0</v>
      </c>
      <c r="AB345" t="s">
        <v>324</v>
      </c>
      <c r="AF345" t="s">
        <v>1524</v>
      </c>
      <c r="AG345" t="s">
        <v>1524</v>
      </c>
      <c r="AH345" t="s">
        <v>1175</v>
      </c>
      <c r="AI345">
        <v>99999</v>
      </c>
      <c r="AJ345">
        <v>99999</v>
      </c>
      <c r="AK345">
        <v>699</v>
      </c>
      <c r="AL345" t="b">
        <v>1</v>
      </c>
      <c r="AM345" t="b">
        <v>1</v>
      </c>
      <c r="AN345" t="b">
        <v>0</v>
      </c>
      <c r="AO345">
        <v>99999</v>
      </c>
      <c r="AP345" t="s">
        <v>64</v>
      </c>
      <c r="AR345" t="b">
        <v>0</v>
      </c>
      <c r="AS345">
        <v>12</v>
      </c>
      <c r="AT345" t="s">
        <v>327</v>
      </c>
      <c r="AV345" t="s">
        <v>1544</v>
      </c>
      <c r="CRL345">
        <v>12</v>
      </c>
    </row>
    <row r="346" spans="1:48 2508:2508" x14ac:dyDescent="0.25">
      <c r="A346" t="s">
        <v>3323</v>
      </c>
      <c r="B346" t="s">
        <v>302</v>
      </c>
      <c r="C346" t="s">
        <v>62</v>
      </c>
      <c r="D346">
        <v>99999</v>
      </c>
      <c r="F346" s="109">
        <v>10000</v>
      </c>
      <c r="G346" t="b">
        <v>0</v>
      </c>
      <c r="H346" t="s">
        <v>339</v>
      </c>
      <c r="K346" t="s">
        <v>349</v>
      </c>
      <c r="L346" t="s">
        <v>303</v>
      </c>
      <c r="M346" t="s">
        <v>323</v>
      </c>
      <c r="N346" t="s">
        <v>63</v>
      </c>
      <c r="O346" s="110">
        <v>49.9</v>
      </c>
      <c r="R346" s="110">
        <v>320.68999999999994</v>
      </c>
      <c r="S346" s="110">
        <v>130</v>
      </c>
      <c r="T346" s="110">
        <v>0</v>
      </c>
      <c r="U346" s="110">
        <v>34.99</v>
      </c>
      <c r="X346">
        <v>110.79999999999998</v>
      </c>
      <c r="Y346">
        <v>44.9</v>
      </c>
      <c r="Z346">
        <v>44.9</v>
      </c>
      <c r="AA346">
        <v>0</v>
      </c>
      <c r="AB346" t="s">
        <v>324</v>
      </c>
      <c r="AF346" t="s">
        <v>2744</v>
      </c>
      <c r="AG346" t="s">
        <v>2744</v>
      </c>
      <c r="AH346" t="s">
        <v>1175</v>
      </c>
      <c r="AI346">
        <v>99999</v>
      </c>
      <c r="AJ346">
        <v>99999</v>
      </c>
      <c r="AK346">
        <v>699</v>
      </c>
      <c r="AL346" t="b">
        <v>1</v>
      </c>
      <c r="AM346" t="b">
        <v>1</v>
      </c>
      <c r="AN346" t="b">
        <v>0</v>
      </c>
      <c r="AO346">
        <v>99999</v>
      </c>
      <c r="AP346" t="s">
        <v>64</v>
      </c>
      <c r="AR346" t="b">
        <v>0</v>
      </c>
      <c r="AS346">
        <v>12</v>
      </c>
      <c r="AT346" t="s">
        <v>327</v>
      </c>
      <c r="AV346" t="s">
        <v>2764</v>
      </c>
      <c r="CRL346">
        <v>12</v>
      </c>
    </row>
    <row r="347" spans="1:48 2508:2508" x14ac:dyDescent="0.25">
      <c r="A347" t="s">
        <v>3323</v>
      </c>
      <c r="B347" t="s">
        <v>302</v>
      </c>
      <c r="C347" t="s">
        <v>62</v>
      </c>
      <c r="D347">
        <v>99999</v>
      </c>
      <c r="F347" s="109">
        <v>10000</v>
      </c>
      <c r="G347" t="b">
        <v>0</v>
      </c>
      <c r="H347" t="s">
        <v>339</v>
      </c>
      <c r="K347" t="s">
        <v>349</v>
      </c>
      <c r="L347" t="s">
        <v>303</v>
      </c>
      <c r="M347" t="s">
        <v>323</v>
      </c>
      <c r="N347" t="s">
        <v>63</v>
      </c>
      <c r="O347" s="110">
        <v>49.9</v>
      </c>
      <c r="R347" s="110">
        <v>344.98999999999995</v>
      </c>
      <c r="S347" s="110">
        <v>130</v>
      </c>
      <c r="T347" s="110">
        <v>0</v>
      </c>
      <c r="U347" s="110">
        <v>42.99</v>
      </c>
      <c r="X347">
        <v>127.09999999999997</v>
      </c>
      <c r="Y347">
        <v>44.9</v>
      </c>
      <c r="Z347">
        <v>44.9</v>
      </c>
      <c r="AA347">
        <v>0</v>
      </c>
      <c r="AB347" t="s">
        <v>324</v>
      </c>
      <c r="AF347" t="s">
        <v>2818</v>
      </c>
      <c r="AG347" t="s">
        <v>2818</v>
      </c>
      <c r="AH347" t="s">
        <v>1175</v>
      </c>
      <c r="AI347">
        <v>99999</v>
      </c>
      <c r="AJ347">
        <v>99999</v>
      </c>
      <c r="AK347">
        <v>699</v>
      </c>
      <c r="AL347" t="b">
        <v>1</v>
      </c>
      <c r="AM347" t="b">
        <v>1</v>
      </c>
      <c r="AN347" t="b">
        <v>0</v>
      </c>
      <c r="AO347">
        <v>99999</v>
      </c>
      <c r="AP347" t="s">
        <v>64</v>
      </c>
      <c r="AR347" t="b">
        <v>0</v>
      </c>
      <c r="AS347">
        <v>12</v>
      </c>
      <c r="AT347" t="s">
        <v>327</v>
      </c>
      <c r="AV347" t="s">
        <v>2838</v>
      </c>
      <c r="CRL347">
        <v>12</v>
      </c>
    </row>
    <row r="348" spans="1:48 2508:2508" x14ac:dyDescent="0.25">
      <c r="A348" t="s">
        <v>3323</v>
      </c>
      <c r="B348" t="s">
        <v>302</v>
      </c>
      <c r="C348" t="s">
        <v>62</v>
      </c>
      <c r="D348">
        <v>99999</v>
      </c>
      <c r="F348" s="109">
        <v>10000</v>
      </c>
      <c r="G348" t="b">
        <v>0</v>
      </c>
      <c r="H348" t="s">
        <v>339</v>
      </c>
      <c r="K348" t="s">
        <v>349</v>
      </c>
      <c r="L348" t="s">
        <v>303</v>
      </c>
      <c r="M348" t="s">
        <v>323</v>
      </c>
      <c r="N348" t="s">
        <v>63</v>
      </c>
      <c r="O348" s="110">
        <v>49.9</v>
      </c>
      <c r="R348" s="110">
        <v>364.98999999999995</v>
      </c>
      <c r="S348" s="110">
        <v>130</v>
      </c>
      <c r="T348" s="110">
        <v>0</v>
      </c>
      <c r="U348" s="110">
        <v>42.99</v>
      </c>
      <c r="X348">
        <v>147.09999999999997</v>
      </c>
      <c r="Y348">
        <v>44.9</v>
      </c>
      <c r="Z348">
        <v>44.9</v>
      </c>
      <c r="AA348">
        <v>0</v>
      </c>
      <c r="AB348" t="s">
        <v>324</v>
      </c>
      <c r="AF348" t="s">
        <v>2885</v>
      </c>
      <c r="AG348" t="s">
        <v>2885</v>
      </c>
      <c r="AH348" t="s">
        <v>1175</v>
      </c>
      <c r="AI348">
        <v>99999</v>
      </c>
      <c r="AJ348">
        <v>99999</v>
      </c>
      <c r="AK348">
        <v>699</v>
      </c>
      <c r="AL348" t="b">
        <v>1</v>
      </c>
      <c r="AM348" t="b">
        <v>1</v>
      </c>
      <c r="AN348" t="b">
        <v>0</v>
      </c>
      <c r="AO348">
        <v>99999</v>
      </c>
      <c r="AP348" t="s">
        <v>64</v>
      </c>
      <c r="AR348" t="b">
        <v>0</v>
      </c>
      <c r="AS348">
        <v>12</v>
      </c>
      <c r="AT348" t="s">
        <v>327</v>
      </c>
      <c r="AV348" t="s">
        <v>2905</v>
      </c>
      <c r="CRL348">
        <v>12</v>
      </c>
    </row>
    <row r="349" spans="1:48 2508:2508" x14ac:dyDescent="0.25">
      <c r="A349" t="s">
        <v>3323</v>
      </c>
      <c r="B349" t="s">
        <v>302</v>
      </c>
      <c r="C349" t="s">
        <v>62</v>
      </c>
      <c r="D349">
        <v>99999</v>
      </c>
      <c r="F349" s="109">
        <v>10000</v>
      </c>
      <c r="G349" t="b">
        <v>0</v>
      </c>
      <c r="H349" t="s">
        <v>339</v>
      </c>
      <c r="K349" t="s">
        <v>349</v>
      </c>
      <c r="L349" t="s">
        <v>303</v>
      </c>
      <c r="M349" t="s">
        <v>323</v>
      </c>
      <c r="N349" t="s">
        <v>63</v>
      </c>
      <c r="O349" s="110">
        <v>49.9</v>
      </c>
      <c r="R349" s="110">
        <v>379.89</v>
      </c>
      <c r="S349" s="110">
        <v>130</v>
      </c>
      <c r="T349" s="110">
        <v>0</v>
      </c>
      <c r="U349" s="110">
        <v>42.99</v>
      </c>
      <c r="X349">
        <v>161.99999999999997</v>
      </c>
      <c r="Y349">
        <v>44.9</v>
      </c>
      <c r="Z349">
        <v>44.9</v>
      </c>
      <c r="AA349">
        <v>0</v>
      </c>
      <c r="AB349" t="s">
        <v>324</v>
      </c>
      <c r="AF349" t="s">
        <v>2959</v>
      </c>
      <c r="AG349" t="s">
        <v>2959</v>
      </c>
      <c r="AH349" t="s">
        <v>1175</v>
      </c>
      <c r="AI349">
        <v>99999</v>
      </c>
      <c r="AJ349">
        <v>99999</v>
      </c>
      <c r="AK349">
        <v>699</v>
      </c>
      <c r="AL349" t="b">
        <v>1</v>
      </c>
      <c r="AM349" t="b">
        <v>1</v>
      </c>
      <c r="AN349" t="b">
        <v>0</v>
      </c>
      <c r="AO349">
        <v>99999</v>
      </c>
      <c r="AP349" t="s">
        <v>64</v>
      </c>
      <c r="AR349" t="b">
        <v>0</v>
      </c>
      <c r="AS349">
        <v>12</v>
      </c>
      <c r="AT349" t="s">
        <v>327</v>
      </c>
      <c r="AV349" t="s">
        <v>2979</v>
      </c>
      <c r="CRL349">
        <v>12</v>
      </c>
    </row>
    <row r="350" spans="1:48 2508:2508" x14ac:dyDescent="0.25">
      <c r="A350" t="s">
        <v>3323</v>
      </c>
      <c r="B350" t="s">
        <v>302</v>
      </c>
      <c r="C350" t="s">
        <v>62</v>
      </c>
      <c r="D350">
        <v>99999</v>
      </c>
      <c r="F350" s="109">
        <v>10000</v>
      </c>
      <c r="G350" t="b">
        <v>0</v>
      </c>
      <c r="H350" t="s">
        <v>339</v>
      </c>
      <c r="K350" t="s">
        <v>393</v>
      </c>
      <c r="L350" t="s">
        <v>303</v>
      </c>
      <c r="M350" t="s">
        <v>323</v>
      </c>
      <c r="N350" t="s">
        <v>63</v>
      </c>
      <c r="O350" s="110">
        <v>29.9</v>
      </c>
      <c r="R350" s="110">
        <v>319.89</v>
      </c>
      <c r="S350" s="110">
        <v>79.900000000000006</v>
      </c>
      <c r="T350" s="110">
        <v>0</v>
      </c>
      <c r="U350" s="110">
        <v>42.99</v>
      </c>
      <c r="X350">
        <v>127.09999999999997</v>
      </c>
      <c r="Y350">
        <v>69.900000000000006</v>
      </c>
      <c r="Z350">
        <v>69.900000000000006</v>
      </c>
      <c r="AA350">
        <v>0</v>
      </c>
      <c r="AB350" t="s">
        <v>363</v>
      </c>
      <c r="AF350" t="s">
        <v>1202</v>
      </c>
      <c r="AG350" t="s">
        <v>1202</v>
      </c>
      <c r="AH350" t="s">
        <v>1175</v>
      </c>
      <c r="AI350">
        <v>99999</v>
      </c>
      <c r="AJ350">
        <v>99999</v>
      </c>
      <c r="AK350">
        <v>699</v>
      </c>
      <c r="AL350" t="b">
        <v>1</v>
      </c>
      <c r="AM350" t="b">
        <v>1</v>
      </c>
      <c r="AN350" t="b">
        <v>0</v>
      </c>
      <c r="AO350">
        <v>99999</v>
      </c>
      <c r="AP350" t="s">
        <v>64</v>
      </c>
      <c r="AR350" t="b">
        <v>0</v>
      </c>
      <c r="AS350">
        <v>12</v>
      </c>
      <c r="AT350" t="s">
        <v>327</v>
      </c>
      <c r="AV350" t="s">
        <v>1235</v>
      </c>
      <c r="CRL350">
        <v>12</v>
      </c>
    </row>
    <row r="351" spans="1:48 2508:2508" x14ac:dyDescent="0.25">
      <c r="A351" t="s">
        <v>3323</v>
      </c>
      <c r="B351" t="s">
        <v>302</v>
      </c>
      <c r="C351" t="s">
        <v>62</v>
      </c>
      <c r="D351">
        <v>99999</v>
      </c>
      <c r="F351" s="109">
        <v>10000</v>
      </c>
      <c r="G351" t="b">
        <v>0</v>
      </c>
      <c r="H351" t="s">
        <v>339</v>
      </c>
      <c r="K351" t="s">
        <v>393</v>
      </c>
      <c r="L351" t="s">
        <v>303</v>
      </c>
      <c r="M351" t="s">
        <v>323</v>
      </c>
      <c r="N351" t="s">
        <v>63</v>
      </c>
      <c r="O351" s="110">
        <v>29.9</v>
      </c>
      <c r="R351" s="110">
        <v>339.89</v>
      </c>
      <c r="S351" s="110">
        <v>79.900000000000006</v>
      </c>
      <c r="T351" s="110">
        <v>0</v>
      </c>
      <c r="U351" s="110">
        <v>42.99</v>
      </c>
      <c r="X351">
        <v>147.09999999999997</v>
      </c>
      <c r="Y351">
        <v>69.900000000000006</v>
      </c>
      <c r="Z351">
        <v>69.900000000000006</v>
      </c>
      <c r="AA351">
        <v>0</v>
      </c>
      <c r="AB351" t="s">
        <v>363</v>
      </c>
      <c r="AF351" t="s">
        <v>1336</v>
      </c>
      <c r="AG351" t="s">
        <v>1336</v>
      </c>
      <c r="AH351" t="s">
        <v>1175</v>
      </c>
      <c r="AI351">
        <v>99999</v>
      </c>
      <c r="AJ351">
        <v>99999</v>
      </c>
      <c r="AK351">
        <v>699</v>
      </c>
      <c r="AL351" t="b">
        <v>1</v>
      </c>
      <c r="AM351" t="b">
        <v>1</v>
      </c>
      <c r="AN351" t="b">
        <v>0</v>
      </c>
      <c r="AO351">
        <v>99999</v>
      </c>
      <c r="AP351" t="s">
        <v>64</v>
      </c>
      <c r="AR351" t="b">
        <v>0</v>
      </c>
      <c r="AS351">
        <v>12</v>
      </c>
      <c r="AT351" t="s">
        <v>327</v>
      </c>
      <c r="AV351" t="s">
        <v>1369</v>
      </c>
      <c r="CRL351">
        <v>12</v>
      </c>
    </row>
    <row r="352" spans="1:48 2508:2508" x14ac:dyDescent="0.25">
      <c r="A352" t="s">
        <v>3323</v>
      </c>
      <c r="B352" t="s">
        <v>302</v>
      </c>
      <c r="C352" t="s">
        <v>62</v>
      </c>
      <c r="D352">
        <v>99999</v>
      </c>
      <c r="F352" s="109">
        <v>10000</v>
      </c>
      <c r="G352" t="b">
        <v>0</v>
      </c>
      <c r="H352" t="s">
        <v>339</v>
      </c>
      <c r="K352" t="s">
        <v>393</v>
      </c>
      <c r="L352" t="s">
        <v>303</v>
      </c>
      <c r="M352" t="s">
        <v>323</v>
      </c>
      <c r="N352" t="s">
        <v>63</v>
      </c>
      <c r="O352" s="110">
        <v>29.9</v>
      </c>
      <c r="R352" s="110">
        <v>359.89</v>
      </c>
      <c r="S352" s="110">
        <v>85</v>
      </c>
      <c r="T352" s="110">
        <v>0</v>
      </c>
      <c r="U352" s="110">
        <v>42.99</v>
      </c>
      <c r="X352">
        <v>161.99999999999997</v>
      </c>
      <c r="Y352">
        <v>69.900000000000006</v>
      </c>
      <c r="Z352">
        <v>69.900000000000006</v>
      </c>
      <c r="AA352">
        <v>0</v>
      </c>
      <c r="AB352" t="s">
        <v>363</v>
      </c>
      <c r="AF352" t="s">
        <v>1484</v>
      </c>
      <c r="AG352" t="s">
        <v>1484</v>
      </c>
      <c r="AH352" t="s">
        <v>1175</v>
      </c>
      <c r="AI352">
        <v>99999</v>
      </c>
      <c r="AJ352">
        <v>99999</v>
      </c>
      <c r="AK352">
        <v>699</v>
      </c>
      <c r="AL352" t="b">
        <v>1</v>
      </c>
      <c r="AM352" t="b">
        <v>1</v>
      </c>
      <c r="AN352" t="b">
        <v>0</v>
      </c>
      <c r="AO352">
        <v>99999</v>
      </c>
      <c r="AP352" t="s">
        <v>64</v>
      </c>
      <c r="AR352" t="b">
        <v>0</v>
      </c>
      <c r="AS352">
        <v>12</v>
      </c>
      <c r="AT352" t="s">
        <v>327</v>
      </c>
      <c r="AV352" t="s">
        <v>1517</v>
      </c>
      <c r="CRL352">
        <v>12</v>
      </c>
    </row>
    <row r="353" spans="1:48 2508:2508" x14ac:dyDescent="0.25">
      <c r="A353" t="s">
        <v>3323</v>
      </c>
      <c r="B353" t="s">
        <v>302</v>
      </c>
      <c r="C353" t="s">
        <v>62</v>
      </c>
      <c r="D353">
        <v>99999</v>
      </c>
      <c r="F353" s="109">
        <v>10000</v>
      </c>
      <c r="G353" t="b">
        <v>0</v>
      </c>
      <c r="H353" t="s">
        <v>339</v>
      </c>
      <c r="K353" t="s">
        <v>393</v>
      </c>
      <c r="L353" t="s">
        <v>303</v>
      </c>
      <c r="M353" t="s">
        <v>323</v>
      </c>
      <c r="N353" t="s">
        <v>63</v>
      </c>
      <c r="O353" s="110">
        <v>39.9</v>
      </c>
      <c r="R353" s="110">
        <v>319.89</v>
      </c>
      <c r="S353" s="110">
        <v>79.900000000000006</v>
      </c>
      <c r="T353" s="110">
        <v>0</v>
      </c>
      <c r="U353" s="110">
        <v>42.99</v>
      </c>
      <c r="X353">
        <v>127.09999999999997</v>
      </c>
      <c r="Y353">
        <v>69.900000000000006</v>
      </c>
      <c r="Z353">
        <v>69.900000000000006</v>
      </c>
      <c r="AA353">
        <v>0</v>
      </c>
      <c r="AB353" t="s">
        <v>363</v>
      </c>
      <c r="AF353" t="s">
        <v>1269</v>
      </c>
      <c r="AG353" t="s">
        <v>1269</v>
      </c>
      <c r="AH353" t="s">
        <v>1175</v>
      </c>
      <c r="AI353">
        <v>99999</v>
      </c>
      <c r="AJ353">
        <v>99999</v>
      </c>
      <c r="AK353">
        <v>699</v>
      </c>
      <c r="AL353" t="b">
        <v>1</v>
      </c>
      <c r="AM353" t="b">
        <v>1</v>
      </c>
      <c r="AN353" t="b">
        <v>0</v>
      </c>
      <c r="AO353">
        <v>99999</v>
      </c>
      <c r="AP353" t="s">
        <v>64</v>
      </c>
      <c r="AR353" t="b">
        <v>0</v>
      </c>
      <c r="AS353">
        <v>12</v>
      </c>
      <c r="AT353" t="s">
        <v>327</v>
      </c>
      <c r="AV353" t="s">
        <v>1302</v>
      </c>
      <c r="CRL353">
        <v>12</v>
      </c>
    </row>
    <row r="354" spans="1:48 2508:2508" x14ac:dyDescent="0.25">
      <c r="A354" t="s">
        <v>3323</v>
      </c>
      <c r="B354" t="s">
        <v>302</v>
      </c>
      <c r="C354" t="s">
        <v>62</v>
      </c>
      <c r="D354">
        <v>99999</v>
      </c>
      <c r="F354" s="109">
        <v>10000</v>
      </c>
      <c r="G354" t="b">
        <v>0</v>
      </c>
      <c r="H354" t="s">
        <v>339</v>
      </c>
      <c r="K354" t="s">
        <v>393</v>
      </c>
      <c r="L354" t="s">
        <v>303</v>
      </c>
      <c r="M354" t="s">
        <v>323</v>
      </c>
      <c r="N354" t="s">
        <v>63</v>
      </c>
      <c r="O354" s="110">
        <v>39.9</v>
      </c>
      <c r="R354" s="110">
        <v>339.89</v>
      </c>
      <c r="S354" s="110">
        <v>79.900000000000006</v>
      </c>
      <c r="T354" s="110">
        <v>0</v>
      </c>
      <c r="U354" s="110">
        <v>42.99</v>
      </c>
      <c r="X354">
        <v>147.09999999999997</v>
      </c>
      <c r="Y354">
        <v>69.900000000000006</v>
      </c>
      <c r="Z354">
        <v>69.900000000000006</v>
      </c>
      <c r="AA354">
        <v>0</v>
      </c>
      <c r="AB354" t="s">
        <v>363</v>
      </c>
      <c r="AF354" t="s">
        <v>1403</v>
      </c>
      <c r="AG354" t="s">
        <v>1403</v>
      </c>
      <c r="AH354" t="s">
        <v>1175</v>
      </c>
      <c r="AI354">
        <v>99999</v>
      </c>
      <c r="AJ354">
        <v>99999</v>
      </c>
      <c r="AK354">
        <v>699</v>
      </c>
      <c r="AL354" t="b">
        <v>1</v>
      </c>
      <c r="AM354" t="b">
        <v>1</v>
      </c>
      <c r="AN354" t="b">
        <v>0</v>
      </c>
      <c r="AO354">
        <v>99999</v>
      </c>
      <c r="AP354" t="s">
        <v>64</v>
      </c>
      <c r="AR354" t="b">
        <v>0</v>
      </c>
      <c r="AS354">
        <v>12</v>
      </c>
      <c r="AT354" t="s">
        <v>327</v>
      </c>
      <c r="AV354" t="s">
        <v>1436</v>
      </c>
      <c r="CRL354">
        <v>12</v>
      </c>
    </row>
    <row r="355" spans="1:48 2508:2508" x14ac:dyDescent="0.25">
      <c r="A355" t="s">
        <v>3323</v>
      </c>
      <c r="B355" t="s">
        <v>302</v>
      </c>
      <c r="C355" t="s">
        <v>62</v>
      </c>
      <c r="D355">
        <v>99999</v>
      </c>
      <c r="F355" s="109">
        <v>10000</v>
      </c>
      <c r="G355" t="b">
        <v>0</v>
      </c>
      <c r="H355" t="s">
        <v>339</v>
      </c>
      <c r="K355" t="s">
        <v>393</v>
      </c>
      <c r="L355" t="s">
        <v>303</v>
      </c>
      <c r="M355" t="s">
        <v>323</v>
      </c>
      <c r="N355" t="s">
        <v>63</v>
      </c>
      <c r="O355" s="110">
        <v>39.9</v>
      </c>
      <c r="R355" s="110">
        <v>359.89</v>
      </c>
      <c r="S355" s="110">
        <v>85</v>
      </c>
      <c r="T355" s="110">
        <v>0</v>
      </c>
      <c r="U355" s="110">
        <v>42.99</v>
      </c>
      <c r="X355">
        <v>161.99999999999997</v>
      </c>
      <c r="Y355">
        <v>69.900000000000006</v>
      </c>
      <c r="Z355">
        <v>69.900000000000006</v>
      </c>
      <c r="AA355">
        <v>0</v>
      </c>
      <c r="AB355" t="s">
        <v>363</v>
      </c>
      <c r="AF355" t="s">
        <v>1551</v>
      </c>
      <c r="AG355" t="s">
        <v>1551</v>
      </c>
      <c r="AH355" t="s">
        <v>1175</v>
      </c>
      <c r="AI355">
        <v>99999</v>
      </c>
      <c r="AJ355">
        <v>99999</v>
      </c>
      <c r="AK355">
        <v>699</v>
      </c>
      <c r="AL355" t="b">
        <v>1</v>
      </c>
      <c r="AM355" t="b">
        <v>1</v>
      </c>
      <c r="AN355" t="b">
        <v>0</v>
      </c>
      <c r="AO355">
        <v>99999</v>
      </c>
      <c r="AP355" t="s">
        <v>64</v>
      </c>
      <c r="AR355" t="b">
        <v>0</v>
      </c>
      <c r="AS355">
        <v>12</v>
      </c>
      <c r="AT355" t="s">
        <v>327</v>
      </c>
      <c r="AV355" t="s">
        <v>1584</v>
      </c>
      <c r="CRL355">
        <v>12</v>
      </c>
    </row>
    <row r="356" spans="1:48 2508:2508" x14ac:dyDescent="0.25">
      <c r="A356" t="s">
        <v>3323</v>
      </c>
      <c r="B356" t="s">
        <v>302</v>
      </c>
      <c r="C356" t="s">
        <v>62</v>
      </c>
      <c r="D356">
        <v>99999</v>
      </c>
      <c r="F356" s="109">
        <v>10000</v>
      </c>
      <c r="G356" t="b">
        <v>0</v>
      </c>
      <c r="H356" t="s">
        <v>339</v>
      </c>
      <c r="K356" t="s">
        <v>393</v>
      </c>
      <c r="L356" t="s">
        <v>303</v>
      </c>
      <c r="M356" t="s">
        <v>323</v>
      </c>
      <c r="N356" t="s">
        <v>63</v>
      </c>
      <c r="O356" s="110">
        <v>49.9</v>
      </c>
      <c r="R356" s="110">
        <v>345.69</v>
      </c>
      <c r="S356" s="110">
        <v>130</v>
      </c>
      <c r="T356" s="110">
        <v>0</v>
      </c>
      <c r="U356" s="110">
        <v>34.99</v>
      </c>
      <c r="X356">
        <v>110.79999999999998</v>
      </c>
      <c r="Y356">
        <v>69.900000000000006</v>
      </c>
      <c r="Z356">
        <v>69.900000000000006</v>
      </c>
      <c r="AA356">
        <v>0</v>
      </c>
      <c r="AB356" t="s">
        <v>363</v>
      </c>
      <c r="AF356" t="s">
        <v>2771</v>
      </c>
      <c r="AG356" t="s">
        <v>2771</v>
      </c>
      <c r="AH356" t="s">
        <v>1175</v>
      </c>
      <c r="AI356">
        <v>99999</v>
      </c>
      <c r="AJ356">
        <v>99999</v>
      </c>
      <c r="AK356">
        <v>699</v>
      </c>
      <c r="AL356" t="b">
        <v>1</v>
      </c>
      <c r="AM356" t="b">
        <v>1</v>
      </c>
      <c r="AN356" t="b">
        <v>0</v>
      </c>
      <c r="AO356">
        <v>99999</v>
      </c>
      <c r="AP356" t="s">
        <v>64</v>
      </c>
      <c r="AR356" t="b">
        <v>0</v>
      </c>
      <c r="AS356">
        <v>12</v>
      </c>
      <c r="AT356" t="s">
        <v>327</v>
      </c>
      <c r="AV356" t="s">
        <v>2804</v>
      </c>
      <c r="CRL356">
        <v>12</v>
      </c>
    </row>
    <row r="357" spans="1:48 2508:2508" x14ac:dyDescent="0.25">
      <c r="A357" t="s">
        <v>3323</v>
      </c>
      <c r="B357" t="s">
        <v>302</v>
      </c>
      <c r="C357" t="s">
        <v>62</v>
      </c>
      <c r="D357">
        <v>99999</v>
      </c>
      <c r="F357" s="109">
        <v>10000</v>
      </c>
      <c r="G357" t="b">
        <v>0</v>
      </c>
      <c r="H357" t="s">
        <v>339</v>
      </c>
      <c r="K357" t="s">
        <v>393</v>
      </c>
      <c r="L357" t="s">
        <v>303</v>
      </c>
      <c r="M357" t="s">
        <v>323</v>
      </c>
      <c r="N357" t="s">
        <v>63</v>
      </c>
      <c r="O357" s="110">
        <v>49.9</v>
      </c>
      <c r="R357" s="110">
        <v>369.99</v>
      </c>
      <c r="S357" s="110">
        <v>130</v>
      </c>
      <c r="T357" s="110">
        <v>0</v>
      </c>
      <c r="U357" s="110">
        <v>42.99</v>
      </c>
      <c r="X357">
        <v>127.09999999999997</v>
      </c>
      <c r="Y357">
        <v>69.900000000000006</v>
      </c>
      <c r="Z357">
        <v>69.900000000000006</v>
      </c>
      <c r="AA357">
        <v>0</v>
      </c>
      <c r="AB357" t="s">
        <v>363</v>
      </c>
      <c r="AF357" t="s">
        <v>2845</v>
      </c>
      <c r="AG357" t="s">
        <v>2845</v>
      </c>
      <c r="AH357" t="s">
        <v>1175</v>
      </c>
      <c r="AI357">
        <v>99999</v>
      </c>
      <c r="AJ357">
        <v>99999</v>
      </c>
      <c r="AK357">
        <v>699</v>
      </c>
      <c r="AL357" t="b">
        <v>1</v>
      </c>
      <c r="AM357" t="b">
        <v>1</v>
      </c>
      <c r="AN357" t="b">
        <v>0</v>
      </c>
      <c r="AO357">
        <v>99999</v>
      </c>
      <c r="AP357" t="s">
        <v>64</v>
      </c>
      <c r="AR357" t="b">
        <v>0</v>
      </c>
      <c r="AS357">
        <v>12</v>
      </c>
      <c r="AT357" t="s">
        <v>327</v>
      </c>
      <c r="AV357" t="s">
        <v>2878</v>
      </c>
      <c r="CRL357">
        <v>12</v>
      </c>
    </row>
    <row r="358" spans="1:48 2508:2508" x14ac:dyDescent="0.25">
      <c r="A358" t="s">
        <v>3323</v>
      </c>
      <c r="B358" t="s">
        <v>302</v>
      </c>
      <c r="C358" t="s">
        <v>62</v>
      </c>
      <c r="D358">
        <v>99999</v>
      </c>
      <c r="F358" s="109">
        <v>10000</v>
      </c>
      <c r="G358" t="b">
        <v>0</v>
      </c>
      <c r="H358" t="s">
        <v>339</v>
      </c>
      <c r="K358" t="s">
        <v>393</v>
      </c>
      <c r="L358" t="s">
        <v>303</v>
      </c>
      <c r="M358" t="s">
        <v>323</v>
      </c>
      <c r="N358" t="s">
        <v>63</v>
      </c>
      <c r="O358" s="110">
        <v>49.9</v>
      </c>
      <c r="R358" s="110">
        <v>389.99</v>
      </c>
      <c r="S358" s="110">
        <v>130</v>
      </c>
      <c r="T358" s="110">
        <v>0</v>
      </c>
      <c r="U358" s="110">
        <v>42.99</v>
      </c>
      <c r="X358">
        <v>147.09999999999997</v>
      </c>
      <c r="Y358">
        <v>69.900000000000006</v>
      </c>
      <c r="Z358">
        <v>69.900000000000006</v>
      </c>
      <c r="AA358">
        <v>0</v>
      </c>
      <c r="AB358" t="s">
        <v>363</v>
      </c>
      <c r="AF358" t="s">
        <v>2912</v>
      </c>
      <c r="AG358" t="s">
        <v>2912</v>
      </c>
      <c r="AH358" t="s">
        <v>1175</v>
      </c>
      <c r="AI358">
        <v>99999</v>
      </c>
      <c r="AJ358">
        <v>99999</v>
      </c>
      <c r="AK358">
        <v>699</v>
      </c>
      <c r="AL358" t="b">
        <v>1</v>
      </c>
      <c r="AM358" t="b">
        <v>1</v>
      </c>
      <c r="AN358" t="b">
        <v>0</v>
      </c>
      <c r="AO358">
        <v>99999</v>
      </c>
      <c r="AP358" t="s">
        <v>64</v>
      </c>
      <c r="AR358" t="b">
        <v>0</v>
      </c>
      <c r="AS358">
        <v>12</v>
      </c>
      <c r="AT358" t="s">
        <v>327</v>
      </c>
      <c r="AV358" t="s">
        <v>2945</v>
      </c>
      <c r="CRL358">
        <v>12</v>
      </c>
    </row>
    <row r="359" spans="1:48 2508:2508" x14ac:dyDescent="0.25">
      <c r="A359" t="s">
        <v>3323</v>
      </c>
      <c r="B359" t="s">
        <v>302</v>
      </c>
      <c r="C359" t="s">
        <v>62</v>
      </c>
      <c r="D359">
        <v>99999</v>
      </c>
      <c r="F359" s="109">
        <v>10000</v>
      </c>
      <c r="G359" t="b">
        <v>0</v>
      </c>
      <c r="H359" t="s">
        <v>339</v>
      </c>
      <c r="K359" t="s">
        <v>393</v>
      </c>
      <c r="L359" t="s">
        <v>303</v>
      </c>
      <c r="M359" t="s">
        <v>323</v>
      </c>
      <c r="N359" t="s">
        <v>63</v>
      </c>
      <c r="O359" s="110">
        <v>49.9</v>
      </c>
      <c r="R359" s="110">
        <v>404.89</v>
      </c>
      <c r="S359" s="110">
        <v>130</v>
      </c>
      <c r="T359" s="110">
        <v>0</v>
      </c>
      <c r="U359" s="110">
        <v>42.99</v>
      </c>
      <c r="X359">
        <v>161.99999999999997</v>
      </c>
      <c r="Y359">
        <v>69.900000000000006</v>
      </c>
      <c r="Z359">
        <v>69.900000000000006</v>
      </c>
      <c r="AA359">
        <v>0</v>
      </c>
      <c r="AB359" t="s">
        <v>363</v>
      </c>
      <c r="AF359" t="s">
        <v>2986</v>
      </c>
      <c r="AG359" t="s">
        <v>2986</v>
      </c>
      <c r="AH359" t="s">
        <v>1175</v>
      </c>
      <c r="AI359">
        <v>99999</v>
      </c>
      <c r="AJ359">
        <v>99999</v>
      </c>
      <c r="AK359">
        <v>699</v>
      </c>
      <c r="AL359" t="b">
        <v>1</v>
      </c>
      <c r="AM359" t="b">
        <v>1</v>
      </c>
      <c r="AN359" t="b">
        <v>0</v>
      </c>
      <c r="AO359">
        <v>99999</v>
      </c>
      <c r="AP359" t="s">
        <v>64</v>
      </c>
      <c r="AR359" t="b">
        <v>0</v>
      </c>
      <c r="AS359">
        <v>12</v>
      </c>
      <c r="AT359" t="s">
        <v>327</v>
      </c>
      <c r="AV359" t="s">
        <v>3019</v>
      </c>
      <c r="CRL359">
        <v>12</v>
      </c>
    </row>
    <row r="360" spans="1:48 2508:2508" x14ac:dyDescent="0.25">
      <c r="A360" t="s">
        <v>3323</v>
      </c>
      <c r="B360" t="s">
        <v>302</v>
      </c>
      <c r="C360" t="s">
        <v>62</v>
      </c>
      <c r="D360">
        <v>99999</v>
      </c>
      <c r="F360" s="109">
        <v>10000</v>
      </c>
      <c r="G360" t="b">
        <v>0</v>
      </c>
      <c r="H360" t="s">
        <v>339</v>
      </c>
      <c r="K360" t="s">
        <v>364</v>
      </c>
      <c r="L360" t="s">
        <v>303</v>
      </c>
      <c r="M360" t="s">
        <v>323</v>
      </c>
      <c r="N360" t="s">
        <v>63</v>
      </c>
      <c r="O360" s="110">
        <v>29.9</v>
      </c>
      <c r="R360" s="110">
        <v>299.89</v>
      </c>
      <c r="S360" s="110">
        <v>79.900000000000006</v>
      </c>
      <c r="T360" s="110">
        <v>0</v>
      </c>
      <c r="U360" s="110">
        <v>42.99</v>
      </c>
      <c r="X360">
        <v>127.09999999999997</v>
      </c>
      <c r="Y360">
        <v>49.9</v>
      </c>
      <c r="Z360">
        <v>49.9</v>
      </c>
      <c r="AA360">
        <v>0</v>
      </c>
      <c r="AB360" t="s">
        <v>363</v>
      </c>
      <c r="AF360" t="s">
        <v>1202</v>
      </c>
      <c r="AG360" t="s">
        <v>1202</v>
      </c>
      <c r="AH360" t="s">
        <v>1175</v>
      </c>
      <c r="AI360">
        <v>99999</v>
      </c>
      <c r="AJ360">
        <v>99999</v>
      </c>
      <c r="AK360">
        <v>699</v>
      </c>
      <c r="AL360" t="b">
        <v>1</v>
      </c>
      <c r="AM360" t="b">
        <v>1</v>
      </c>
      <c r="AN360" t="b">
        <v>0</v>
      </c>
      <c r="AO360">
        <v>99999</v>
      </c>
      <c r="AP360" t="s">
        <v>64</v>
      </c>
      <c r="AR360" t="b">
        <v>0</v>
      </c>
      <c r="AS360">
        <v>12</v>
      </c>
      <c r="AT360" t="s">
        <v>327</v>
      </c>
      <c r="AV360" t="s">
        <v>1209</v>
      </c>
      <c r="CRL360">
        <v>12</v>
      </c>
    </row>
    <row r="361" spans="1:48 2508:2508" x14ac:dyDescent="0.25">
      <c r="A361" t="s">
        <v>3323</v>
      </c>
      <c r="B361" t="s">
        <v>302</v>
      </c>
      <c r="C361" t="s">
        <v>62</v>
      </c>
      <c r="D361">
        <v>99999</v>
      </c>
      <c r="F361" s="109">
        <v>10000</v>
      </c>
      <c r="G361" t="b">
        <v>0</v>
      </c>
      <c r="H361" t="s">
        <v>339</v>
      </c>
      <c r="K361" t="s">
        <v>364</v>
      </c>
      <c r="L361" t="s">
        <v>303</v>
      </c>
      <c r="M361" t="s">
        <v>323</v>
      </c>
      <c r="N361" t="s">
        <v>63</v>
      </c>
      <c r="O361" s="110">
        <v>29.9</v>
      </c>
      <c r="R361" s="110">
        <v>319.89</v>
      </c>
      <c r="S361" s="110">
        <v>79.900000000000006</v>
      </c>
      <c r="T361" s="110">
        <v>0</v>
      </c>
      <c r="U361" s="110">
        <v>42.99</v>
      </c>
      <c r="X361">
        <v>147.09999999999997</v>
      </c>
      <c r="Y361">
        <v>49.9</v>
      </c>
      <c r="Z361">
        <v>49.9</v>
      </c>
      <c r="AA361">
        <v>0</v>
      </c>
      <c r="AB361" t="s">
        <v>363</v>
      </c>
      <c r="AF361" t="s">
        <v>1336</v>
      </c>
      <c r="AG361" t="s">
        <v>1336</v>
      </c>
      <c r="AH361" t="s">
        <v>1175</v>
      </c>
      <c r="AI361">
        <v>99999</v>
      </c>
      <c r="AJ361">
        <v>99999</v>
      </c>
      <c r="AK361">
        <v>699</v>
      </c>
      <c r="AL361" t="b">
        <v>1</v>
      </c>
      <c r="AM361" t="b">
        <v>1</v>
      </c>
      <c r="AN361" t="b">
        <v>0</v>
      </c>
      <c r="AO361">
        <v>99999</v>
      </c>
      <c r="AP361" t="s">
        <v>64</v>
      </c>
      <c r="AR361" t="b">
        <v>0</v>
      </c>
      <c r="AS361">
        <v>12</v>
      </c>
      <c r="AT361" t="s">
        <v>327</v>
      </c>
      <c r="AV361" t="s">
        <v>1343</v>
      </c>
      <c r="CRL361">
        <v>12</v>
      </c>
    </row>
    <row r="362" spans="1:48 2508:2508" x14ac:dyDescent="0.25">
      <c r="A362" t="s">
        <v>3323</v>
      </c>
      <c r="B362" t="s">
        <v>302</v>
      </c>
      <c r="C362" t="s">
        <v>62</v>
      </c>
      <c r="D362">
        <v>99999</v>
      </c>
      <c r="F362" s="109">
        <v>10000</v>
      </c>
      <c r="G362" t="b">
        <v>0</v>
      </c>
      <c r="H362" t="s">
        <v>339</v>
      </c>
      <c r="K362" t="s">
        <v>364</v>
      </c>
      <c r="L362" t="s">
        <v>303</v>
      </c>
      <c r="M362" t="s">
        <v>323</v>
      </c>
      <c r="N362" t="s">
        <v>63</v>
      </c>
      <c r="O362" s="110">
        <v>29.9</v>
      </c>
      <c r="R362" s="110">
        <v>339.89</v>
      </c>
      <c r="S362" s="110">
        <v>85</v>
      </c>
      <c r="T362" s="110">
        <v>0</v>
      </c>
      <c r="U362" s="110">
        <v>42.99</v>
      </c>
      <c r="X362">
        <v>161.99999999999997</v>
      </c>
      <c r="Y362">
        <v>49.9</v>
      </c>
      <c r="Z362">
        <v>49.9</v>
      </c>
      <c r="AA362">
        <v>0</v>
      </c>
      <c r="AB362" t="s">
        <v>363</v>
      </c>
      <c r="AF362" t="s">
        <v>1484</v>
      </c>
      <c r="AG362" t="s">
        <v>1484</v>
      </c>
      <c r="AH362" t="s">
        <v>1175</v>
      </c>
      <c r="AI362">
        <v>99999</v>
      </c>
      <c r="AJ362">
        <v>99999</v>
      </c>
      <c r="AK362">
        <v>699</v>
      </c>
      <c r="AL362" t="b">
        <v>1</v>
      </c>
      <c r="AM362" t="b">
        <v>1</v>
      </c>
      <c r="AN362" t="b">
        <v>0</v>
      </c>
      <c r="AO362">
        <v>99999</v>
      </c>
      <c r="AP362" t="s">
        <v>64</v>
      </c>
      <c r="AR362" t="b">
        <v>0</v>
      </c>
      <c r="AS362">
        <v>12</v>
      </c>
      <c r="AT362" t="s">
        <v>327</v>
      </c>
      <c r="AV362" t="s">
        <v>1491</v>
      </c>
      <c r="CRL362">
        <v>12</v>
      </c>
    </row>
    <row r="363" spans="1:48 2508:2508" x14ac:dyDescent="0.25">
      <c r="A363" t="s">
        <v>3323</v>
      </c>
      <c r="B363" t="s">
        <v>302</v>
      </c>
      <c r="C363" t="s">
        <v>62</v>
      </c>
      <c r="D363">
        <v>99999</v>
      </c>
      <c r="F363" s="109">
        <v>10000</v>
      </c>
      <c r="G363" t="b">
        <v>0</v>
      </c>
      <c r="H363" t="s">
        <v>339</v>
      </c>
      <c r="K363" t="s">
        <v>364</v>
      </c>
      <c r="L363" t="s">
        <v>303</v>
      </c>
      <c r="M363" t="s">
        <v>323</v>
      </c>
      <c r="N363" t="s">
        <v>63</v>
      </c>
      <c r="O363" s="110">
        <v>39.9</v>
      </c>
      <c r="R363" s="110">
        <v>299.89</v>
      </c>
      <c r="S363" s="110">
        <v>79.900000000000006</v>
      </c>
      <c r="T363" s="110">
        <v>0</v>
      </c>
      <c r="U363" s="110">
        <v>42.99</v>
      </c>
      <c r="X363">
        <v>127.09999999999997</v>
      </c>
      <c r="Y363">
        <v>49.9</v>
      </c>
      <c r="Z363">
        <v>49.9</v>
      </c>
      <c r="AA363">
        <v>0</v>
      </c>
      <c r="AB363" t="s">
        <v>363</v>
      </c>
      <c r="AF363" t="s">
        <v>1269</v>
      </c>
      <c r="AG363" t="s">
        <v>1269</v>
      </c>
      <c r="AH363" t="s">
        <v>1175</v>
      </c>
      <c r="AI363">
        <v>99999</v>
      </c>
      <c r="AJ363">
        <v>99999</v>
      </c>
      <c r="AK363">
        <v>699</v>
      </c>
      <c r="AL363" t="b">
        <v>1</v>
      </c>
      <c r="AM363" t="b">
        <v>1</v>
      </c>
      <c r="AN363" t="b">
        <v>0</v>
      </c>
      <c r="AO363">
        <v>99999</v>
      </c>
      <c r="AP363" t="s">
        <v>64</v>
      </c>
      <c r="AR363" t="b">
        <v>0</v>
      </c>
      <c r="AS363">
        <v>12</v>
      </c>
      <c r="AT363" t="s">
        <v>327</v>
      </c>
      <c r="AV363" t="s">
        <v>1276</v>
      </c>
      <c r="CRL363">
        <v>12</v>
      </c>
    </row>
    <row r="364" spans="1:48 2508:2508" x14ac:dyDescent="0.25">
      <c r="A364" t="s">
        <v>3323</v>
      </c>
      <c r="B364" t="s">
        <v>302</v>
      </c>
      <c r="C364" t="s">
        <v>62</v>
      </c>
      <c r="D364">
        <v>99999</v>
      </c>
      <c r="F364" s="109">
        <v>10000</v>
      </c>
      <c r="G364" t="b">
        <v>0</v>
      </c>
      <c r="H364" t="s">
        <v>339</v>
      </c>
      <c r="K364" t="s">
        <v>364</v>
      </c>
      <c r="L364" t="s">
        <v>303</v>
      </c>
      <c r="M364" t="s">
        <v>323</v>
      </c>
      <c r="N364" t="s">
        <v>63</v>
      </c>
      <c r="O364" s="110">
        <v>39.9</v>
      </c>
      <c r="R364" s="110">
        <v>319.89</v>
      </c>
      <c r="S364" s="110">
        <v>79.900000000000006</v>
      </c>
      <c r="T364" s="110">
        <v>0</v>
      </c>
      <c r="U364" s="110">
        <v>42.99</v>
      </c>
      <c r="X364">
        <v>147.09999999999997</v>
      </c>
      <c r="Y364">
        <v>49.9</v>
      </c>
      <c r="Z364">
        <v>49.9</v>
      </c>
      <c r="AA364">
        <v>0</v>
      </c>
      <c r="AB364" t="s">
        <v>363</v>
      </c>
      <c r="AF364" t="s">
        <v>1403</v>
      </c>
      <c r="AG364" t="s">
        <v>1403</v>
      </c>
      <c r="AH364" t="s">
        <v>1175</v>
      </c>
      <c r="AI364">
        <v>99999</v>
      </c>
      <c r="AJ364">
        <v>99999</v>
      </c>
      <c r="AK364">
        <v>699</v>
      </c>
      <c r="AL364" t="b">
        <v>1</v>
      </c>
      <c r="AM364" t="b">
        <v>1</v>
      </c>
      <c r="AN364" t="b">
        <v>0</v>
      </c>
      <c r="AO364">
        <v>99999</v>
      </c>
      <c r="AP364" t="s">
        <v>64</v>
      </c>
      <c r="AR364" t="b">
        <v>0</v>
      </c>
      <c r="AS364">
        <v>12</v>
      </c>
      <c r="AT364" t="s">
        <v>327</v>
      </c>
      <c r="AV364" t="s">
        <v>1410</v>
      </c>
      <c r="CRL364">
        <v>12</v>
      </c>
    </row>
    <row r="365" spans="1:48 2508:2508" x14ac:dyDescent="0.25">
      <c r="A365" t="s">
        <v>3323</v>
      </c>
      <c r="B365" t="s">
        <v>302</v>
      </c>
      <c r="C365" t="s">
        <v>62</v>
      </c>
      <c r="D365">
        <v>99999</v>
      </c>
      <c r="F365" s="109">
        <v>10000</v>
      </c>
      <c r="G365" t="b">
        <v>0</v>
      </c>
      <c r="H365" t="s">
        <v>339</v>
      </c>
      <c r="K365" t="s">
        <v>364</v>
      </c>
      <c r="L365" t="s">
        <v>303</v>
      </c>
      <c r="M365" t="s">
        <v>323</v>
      </c>
      <c r="N365" t="s">
        <v>63</v>
      </c>
      <c r="O365" s="110">
        <v>39.9</v>
      </c>
      <c r="R365" s="110">
        <v>339.89</v>
      </c>
      <c r="S365" s="110">
        <v>85</v>
      </c>
      <c r="T365" s="110">
        <v>0</v>
      </c>
      <c r="U365" s="110">
        <v>42.99</v>
      </c>
      <c r="X365">
        <v>161.99999999999997</v>
      </c>
      <c r="Y365">
        <v>49.9</v>
      </c>
      <c r="Z365">
        <v>49.9</v>
      </c>
      <c r="AA365">
        <v>0</v>
      </c>
      <c r="AB365" t="s">
        <v>363</v>
      </c>
      <c r="AF365" t="s">
        <v>1551</v>
      </c>
      <c r="AG365" t="s">
        <v>1551</v>
      </c>
      <c r="AH365" t="s">
        <v>1175</v>
      </c>
      <c r="AI365">
        <v>99999</v>
      </c>
      <c r="AJ365">
        <v>99999</v>
      </c>
      <c r="AK365">
        <v>699</v>
      </c>
      <c r="AL365" t="b">
        <v>1</v>
      </c>
      <c r="AM365" t="b">
        <v>1</v>
      </c>
      <c r="AN365" t="b">
        <v>0</v>
      </c>
      <c r="AO365">
        <v>99999</v>
      </c>
      <c r="AP365" t="s">
        <v>64</v>
      </c>
      <c r="AR365" t="b">
        <v>0</v>
      </c>
      <c r="AS365">
        <v>12</v>
      </c>
      <c r="AT365" t="s">
        <v>327</v>
      </c>
      <c r="AV365" t="s">
        <v>1558</v>
      </c>
      <c r="CRL365">
        <v>12</v>
      </c>
    </row>
    <row r="366" spans="1:48 2508:2508" x14ac:dyDescent="0.25">
      <c r="A366" t="s">
        <v>3323</v>
      </c>
      <c r="B366" t="s">
        <v>302</v>
      </c>
      <c r="C366" t="s">
        <v>62</v>
      </c>
      <c r="D366">
        <v>99999</v>
      </c>
      <c r="F366" s="109">
        <v>10000</v>
      </c>
      <c r="G366" t="b">
        <v>0</v>
      </c>
      <c r="H366" t="s">
        <v>339</v>
      </c>
      <c r="K366" t="s">
        <v>364</v>
      </c>
      <c r="L366" t="s">
        <v>303</v>
      </c>
      <c r="M366" t="s">
        <v>323</v>
      </c>
      <c r="N366" t="s">
        <v>63</v>
      </c>
      <c r="O366" s="110">
        <v>49.9</v>
      </c>
      <c r="R366" s="110">
        <v>325.68999999999994</v>
      </c>
      <c r="S366" s="110">
        <v>130</v>
      </c>
      <c r="T366" s="110">
        <v>0</v>
      </c>
      <c r="U366" s="110">
        <v>34.99</v>
      </c>
      <c r="X366">
        <v>110.79999999999998</v>
      </c>
      <c r="Y366">
        <v>49.9</v>
      </c>
      <c r="Z366">
        <v>49.9</v>
      </c>
      <c r="AA366">
        <v>0</v>
      </c>
      <c r="AB366" t="s">
        <v>363</v>
      </c>
      <c r="AF366" t="s">
        <v>2771</v>
      </c>
      <c r="AG366" t="s">
        <v>2771</v>
      </c>
      <c r="AH366" t="s">
        <v>1175</v>
      </c>
      <c r="AI366">
        <v>99999</v>
      </c>
      <c r="AJ366">
        <v>99999</v>
      </c>
      <c r="AK366">
        <v>699</v>
      </c>
      <c r="AL366" t="b">
        <v>1</v>
      </c>
      <c r="AM366" t="b">
        <v>1</v>
      </c>
      <c r="AN366" t="b">
        <v>0</v>
      </c>
      <c r="AO366">
        <v>99999</v>
      </c>
      <c r="AP366" t="s">
        <v>64</v>
      </c>
      <c r="AR366" t="b">
        <v>0</v>
      </c>
      <c r="AS366">
        <v>12</v>
      </c>
      <c r="AT366" t="s">
        <v>327</v>
      </c>
      <c r="AV366" t="s">
        <v>2778</v>
      </c>
      <c r="CRL366">
        <v>12</v>
      </c>
    </row>
    <row r="367" spans="1:48 2508:2508" x14ac:dyDescent="0.25">
      <c r="A367" t="s">
        <v>3323</v>
      </c>
      <c r="B367" t="s">
        <v>302</v>
      </c>
      <c r="C367" t="s">
        <v>62</v>
      </c>
      <c r="D367">
        <v>99999</v>
      </c>
      <c r="F367" s="109">
        <v>10000</v>
      </c>
      <c r="G367" t="b">
        <v>0</v>
      </c>
      <c r="H367" t="s">
        <v>339</v>
      </c>
      <c r="K367" t="s">
        <v>364</v>
      </c>
      <c r="L367" t="s">
        <v>303</v>
      </c>
      <c r="M367" t="s">
        <v>323</v>
      </c>
      <c r="N367" t="s">
        <v>63</v>
      </c>
      <c r="O367" s="110">
        <v>49.9</v>
      </c>
      <c r="R367" s="110">
        <v>349.98999999999995</v>
      </c>
      <c r="S367" s="110">
        <v>130</v>
      </c>
      <c r="T367" s="110">
        <v>0</v>
      </c>
      <c r="U367" s="110">
        <v>42.99</v>
      </c>
      <c r="X367">
        <v>127.09999999999997</v>
      </c>
      <c r="Y367">
        <v>49.9</v>
      </c>
      <c r="Z367">
        <v>49.9</v>
      </c>
      <c r="AA367">
        <v>0</v>
      </c>
      <c r="AB367" t="s">
        <v>363</v>
      </c>
      <c r="AF367" t="s">
        <v>2845</v>
      </c>
      <c r="AG367" t="s">
        <v>2845</v>
      </c>
      <c r="AH367" t="s">
        <v>1175</v>
      </c>
      <c r="AI367">
        <v>99999</v>
      </c>
      <c r="AJ367">
        <v>99999</v>
      </c>
      <c r="AK367">
        <v>699</v>
      </c>
      <c r="AL367" t="b">
        <v>1</v>
      </c>
      <c r="AM367" t="b">
        <v>1</v>
      </c>
      <c r="AN367" t="b">
        <v>0</v>
      </c>
      <c r="AO367">
        <v>99999</v>
      </c>
      <c r="AP367" t="s">
        <v>64</v>
      </c>
      <c r="AR367" t="b">
        <v>0</v>
      </c>
      <c r="AS367">
        <v>12</v>
      </c>
      <c r="AT367" t="s">
        <v>327</v>
      </c>
      <c r="AV367" t="s">
        <v>2852</v>
      </c>
      <c r="CRL367">
        <v>12</v>
      </c>
    </row>
    <row r="368" spans="1:48 2508:2508" x14ac:dyDescent="0.25">
      <c r="A368" t="s">
        <v>3323</v>
      </c>
      <c r="B368" t="s">
        <v>302</v>
      </c>
      <c r="C368" t="s">
        <v>62</v>
      </c>
      <c r="D368">
        <v>99999</v>
      </c>
      <c r="F368" s="109">
        <v>10000</v>
      </c>
      <c r="G368" t="b">
        <v>0</v>
      </c>
      <c r="H368" t="s">
        <v>339</v>
      </c>
      <c r="K368" t="s">
        <v>364</v>
      </c>
      <c r="L368" t="s">
        <v>303</v>
      </c>
      <c r="M368" t="s">
        <v>323</v>
      </c>
      <c r="N368" t="s">
        <v>63</v>
      </c>
      <c r="O368" s="110">
        <v>49.9</v>
      </c>
      <c r="R368" s="110">
        <v>369.98999999999995</v>
      </c>
      <c r="S368" s="110">
        <v>130</v>
      </c>
      <c r="T368" s="110">
        <v>0</v>
      </c>
      <c r="U368" s="110">
        <v>42.99</v>
      </c>
      <c r="X368">
        <v>147.09999999999997</v>
      </c>
      <c r="Y368">
        <v>49.9</v>
      </c>
      <c r="Z368">
        <v>49.9</v>
      </c>
      <c r="AA368">
        <v>0</v>
      </c>
      <c r="AB368" t="s">
        <v>363</v>
      </c>
      <c r="AF368" t="s">
        <v>2912</v>
      </c>
      <c r="AG368" t="s">
        <v>2912</v>
      </c>
      <c r="AH368" t="s">
        <v>1175</v>
      </c>
      <c r="AI368">
        <v>99999</v>
      </c>
      <c r="AJ368">
        <v>99999</v>
      </c>
      <c r="AK368">
        <v>699</v>
      </c>
      <c r="AL368" t="b">
        <v>1</v>
      </c>
      <c r="AM368" t="b">
        <v>1</v>
      </c>
      <c r="AN368" t="b">
        <v>0</v>
      </c>
      <c r="AO368">
        <v>99999</v>
      </c>
      <c r="AP368" t="s">
        <v>64</v>
      </c>
      <c r="AR368" t="b">
        <v>0</v>
      </c>
      <c r="AS368">
        <v>12</v>
      </c>
      <c r="AT368" t="s">
        <v>327</v>
      </c>
      <c r="AV368" t="s">
        <v>2919</v>
      </c>
      <c r="CRL368">
        <v>12</v>
      </c>
    </row>
    <row r="369" spans="1:48 2508:2508" x14ac:dyDescent="0.25">
      <c r="A369" t="s">
        <v>3323</v>
      </c>
      <c r="B369" t="s">
        <v>302</v>
      </c>
      <c r="C369" t="s">
        <v>62</v>
      </c>
      <c r="D369">
        <v>99999</v>
      </c>
      <c r="F369" s="109">
        <v>10000</v>
      </c>
      <c r="G369" t="b">
        <v>0</v>
      </c>
      <c r="H369" t="s">
        <v>339</v>
      </c>
      <c r="K369" t="s">
        <v>364</v>
      </c>
      <c r="L369" t="s">
        <v>303</v>
      </c>
      <c r="M369" t="s">
        <v>323</v>
      </c>
      <c r="N369" t="s">
        <v>63</v>
      </c>
      <c r="O369" s="110">
        <v>49.9</v>
      </c>
      <c r="R369" s="110">
        <v>384.89</v>
      </c>
      <c r="S369" s="110">
        <v>130</v>
      </c>
      <c r="T369" s="110">
        <v>0</v>
      </c>
      <c r="U369" s="110">
        <v>42.99</v>
      </c>
      <c r="X369">
        <v>161.99999999999997</v>
      </c>
      <c r="Y369">
        <v>49.9</v>
      </c>
      <c r="Z369">
        <v>49.9</v>
      </c>
      <c r="AA369">
        <v>0</v>
      </c>
      <c r="AB369" t="s">
        <v>363</v>
      </c>
      <c r="AF369" t="s">
        <v>2986</v>
      </c>
      <c r="AG369" t="s">
        <v>2986</v>
      </c>
      <c r="AH369" t="s">
        <v>1175</v>
      </c>
      <c r="AI369">
        <v>99999</v>
      </c>
      <c r="AJ369">
        <v>99999</v>
      </c>
      <c r="AK369">
        <v>699</v>
      </c>
      <c r="AL369" t="b">
        <v>1</v>
      </c>
      <c r="AM369" t="b">
        <v>1</v>
      </c>
      <c r="AN369" t="b">
        <v>0</v>
      </c>
      <c r="AO369">
        <v>99999</v>
      </c>
      <c r="AP369" t="s">
        <v>64</v>
      </c>
      <c r="AR369" t="b">
        <v>0</v>
      </c>
      <c r="AS369">
        <v>12</v>
      </c>
      <c r="AT369" t="s">
        <v>327</v>
      </c>
      <c r="AV369" t="s">
        <v>2993</v>
      </c>
      <c r="CRL369">
        <v>12</v>
      </c>
    </row>
    <row r="370" spans="1:48 2508:2508" x14ac:dyDescent="0.25">
      <c r="A370" t="s">
        <v>3323</v>
      </c>
      <c r="B370" t="s">
        <v>302</v>
      </c>
      <c r="C370" t="s">
        <v>62</v>
      </c>
      <c r="D370">
        <v>99999</v>
      </c>
      <c r="F370" s="109">
        <v>10000</v>
      </c>
      <c r="G370" t="b">
        <v>0</v>
      </c>
      <c r="H370" t="s">
        <v>339</v>
      </c>
      <c r="K370" t="s">
        <v>379</v>
      </c>
      <c r="L370" t="s">
        <v>303</v>
      </c>
      <c r="M370" t="s">
        <v>323</v>
      </c>
      <c r="N370" t="s">
        <v>63</v>
      </c>
      <c r="O370" s="110">
        <v>29.9</v>
      </c>
      <c r="R370" s="110">
        <v>309.89</v>
      </c>
      <c r="S370" s="110">
        <v>79.900000000000006</v>
      </c>
      <c r="T370" s="110">
        <v>0</v>
      </c>
      <c r="U370" s="110">
        <v>42.99</v>
      </c>
      <c r="X370">
        <v>127.09999999999997</v>
      </c>
      <c r="Y370">
        <v>59.9</v>
      </c>
      <c r="Z370">
        <v>59.9</v>
      </c>
      <c r="AA370">
        <v>0</v>
      </c>
      <c r="AB370" t="s">
        <v>363</v>
      </c>
      <c r="AF370" t="s">
        <v>1202</v>
      </c>
      <c r="AG370" t="s">
        <v>1202</v>
      </c>
      <c r="AH370" t="s">
        <v>1175</v>
      </c>
      <c r="AI370">
        <v>99999</v>
      </c>
      <c r="AJ370">
        <v>99999</v>
      </c>
      <c r="AK370">
        <v>699</v>
      </c>
      <c r="AL370" t="b">
        <v>1</v>
      </c>
      <c r="AM370" t="b">
        <v>1</v>
      </c>
      <c r="AN370" t="b">
        <v>0</v>
      </c>
      <c r="AO370">
        <v>99999</v>
      </c>
      <c r="AP370" t="s">
        <v>64</v>
      </c>
      <c r="AR370" t="b">
        <v>0</v>
      </c>
      <c r="AS370">
        <v>12</v>
      </c>
      <c r="AT370" t="s">
        <v>327</v>
      </c>
      <c r="AV370" t="s">
        <v>1222</v>
      </c>
      <c r="CRL370">
        <v>12</v>
      </c>
    </row>
    <row r="371" spans="1:48 2508:2508" x14ac:dyDescent="0.25">
      <c r="A371" t="s">
        <v>3323</v>
      </c>
      <c r="B371" t="s">
        <v>302</v>
      </c>
      <c r="C371" t="s">
        <v>62</v>
      </c>
      <c r="D371">
        <v>99999</v>
      </c>
      <c r="F371" s="109">
        <v>10000</v>
      </c>
      <c r="G371" t="b">
        <v>0</v>
      </c>
      <c r="H371" t="s">
        <v>339</v>
      </c>
      <c r="K371" t="s">
        <v>379</v>
      </c>
      <c r="L371" t="s">
        <v>303</v>
      </c>
      <c r="M371" t="s">
        <v>323</v>
      </c>
      <c r="N371" t="s">
        <v>63</v>
      </c>
      <c r="O371" s="110">
        <v>29.9</v>
      </c>
      <c r="R371" s="110">
        <v>329.89</v>
      </c>
      <c r="S371" s="110">
        <v>79.900000000000006</v>
      </c>
      <c r="T371" s="110">
        <v>0</v>
      </c>
      <c r="U371" s="110">
        <v>42.99</v>
      </c>
      <c r="X371">
        <v>147.09999999999997</v>
      </c>
      <c r="Y371">
        <v>59.9</v>
      </c>
      <c r="Z371">
        <v>59.9</v>
      </c>
      <c r="AA371">
        <v>0</v>
      </c>
      <c r="AB371" t="s">
        <v>363</v>
      </c>
      <c r="AF371" t="s">
        <v>1336</v>
      </c>
      <c r="AG371" t="s">
        <v>1336</v>
      </c>
      <c r="AH371" t="s">
        <v>1175</v>
      </c>
      <c r="AI371">
        <v>99999</v>
      </c>
      <c r="AJ371">
        <v>99999</v>
      </c>
      <c r="AK371">
        <v>699</v>
      </c>
      <c r="AL371" t="b">
        <v>1</v>
      </c>
      <c r="AM371" t="b">
        <v>1</v>
      </c>
      <c r="AN371" t="b">
        <v>0</v>
      </c>
      <c r="AO371">
        <v>99999</v>
      </c>
      <c r="AP371" t="s">
        <v>64</v>
      </c>
      <c r="AR371" t="b">
        <v>0</v>
      </c>
      <c r="AS371">
        <v>12</v>
      </c>
      <c r="AT371" t="s">
        <v>327</v>
      </c>
      <c r="AV371" t="s">
        <v>1356</v>
      </c>
      <c r="CRL371">
        <v>12</v>
      </c>
    </row>
    <row r="372" spans="1:48 2508:2508" x14ac:dyDescent="0.25">
      <c r="A372" t="s">
        <v>3323</v>
      </c>
      <c r="B372" t="s">
        <v>302</v>
      </c>
      <c r="C372" t="s">
        <v>62</v>
      </c>
      <c r="D372">
        <v>99999</v>
      </c>
      <c r="F372" s="109">
        <v>10000</v>
      </c>
      <c r="G372" t="b">
        <v>0</v>
      </c>
      <c r="H372" t="s">
        <v>339</v>
      </c>
      <c r="K372" t="s">
        <v>379</v>
      </c>
      <c r="L372" t="s">
        <v>303</v>
      </c>
      <c r="M372" t="s">
        <v>323</v>
      </c>
      <c r="N372" t="s">
        <v>63</v>
      </c>
      <c r="O372" s="110">
        <v>29.9</v>
      </c>
      <c r="R372" s="110">
        <v>349.89</v>
      </c>
      <c r="S372" s="110">
        <v>85</v>
      </c>
      <c r="T372" s="110">
        <v>0</v>
      </c>
      <c r="U372" s="110">
        <v>42.99</v>
      </c>
      <c r="X372">
        <v>161.99999999999997</v>
      </c>
      <c r="Y372">
        <v>59.9</v>
      </c>
      <c r="Z372">
        <v>59.9</v>
      </c>
      <c r="AA372">
        <v>0</v>
      </c>
      <c r="AB372" t="s">
        <v>363</v>
      </c>
      <c r="AF372" t="s">
        <v>1484</v>
      </c>
      <c r="AG372" t="s">
        <v>1484</v>
      </c>
      <c r="AH372" t="s">
        <v>1175</v>
      </c>
      <c r="AI372">
        <v>99999</v>
      </c>
      <c r="AJ372">
        <v>99999</v>
      </c>
      <c r="AK372">
        <v>699</v>
      </c>
      <c r="AL372" t="b">
        <v>1</v>
      </c>
      <c r="AM372" t="b">
        <v>1</v>
      </c>
      <c r="AN372" t="b">
        <v>0</v>
      </c>
      <c r="AO372">
        <v>99999</v>
      </c>
      <c r="AP372" t="s">
        <v>64</v>
      </c>
      <c r="AR372" t="b">
        <v>0</v>
      </c>
      <c r="AS372">
        <v>12</v>
      </c>
      <c r="AT372" t="s">
        <v>327</v>
      </c>
      <c r="AV372" t="s">
        <v>1504</v>
      </c>
      <c r="CRL372">
        <v>12</v>
      </c>
    </row>
    <row r="373" spans="1:48 2508:2508" x14ac:dyDescent="0.25">
      <c r="A373" t="s">
        <v>3323</v>
      </c>
      <c r="B373" t="s">
        <v>302</v>
      </c>
      <c r="C373" t="s">
        <v>62</v>
      </c>
      <c r="D373">
        <v>99999</v>
      </c>
      <c r="F373" s="109">
        <v>10000</v>
      </c>
      <c r="G373" t="b">
        <v>0</v>
      </c>
      <c r="H373" t="s">
        <v>339</v>
      </c>
      <c r="K373" t="s">
        <v>379</v>
      </c>
      <c r="L373" t="s">
        <v>303</v>
      </c>
      <c r="M373" t="s">
        <v>323</v>
      </c>
      <c r="N373" t="s">
        <v>63</v>
      </c>
      <c r="O373" s="110">
        <v>39.9</v>
      </c>
      <c r="R373" s="110">
        <v>309.89</v>
      </c>
      <c r="S373" s="110">
        <v>79.900000000000006</v>
      </c>
      <c r="T373" s="110">
        <v>0</v>
      </c>
      <c r="U373" s="110">
        <v>42.99</v>
      </c>
      <c r="X373">
        <v>127.09999999999997</v>
      </c>
      <c r="Y373">
        <v>59.9</v>
      </c>
      <c r="Z373">
        <v>59.9</v>
      </c>
      <c r="AA373">
        <v>0</v>
      </c>
      <c r="AB373" t="s">
        <v>363</v>
      </c>
      <c r="AF373" t="s">
        <v>1269</v>
      </c>
      <c r="AG373" t="s">
        <v>1269</v>
      </c>
      <c r="AH373" t="s">
        <v>1175</v>
      </c>
      <c r="AI373">
        <v>99999</v>
      </c>
      <c r="AJ373">
        <v>99999</v>
      </c>
      <c r="AK373">
        <v>699</v>
      </c>
      <c r="AL373" t="b">
        <v>1</v>
      </c>
      <c r="AM373" t="b">
        <v>1</v>
      </c>
      <c r="AN373" t="b">
        <v>0</v>
      </c>
      <c r="AO373">
        <v>99999</v>
      </c>
      <c r="AP373" t="s">
        <v>64</v>
      </c>
      <c r="AR373" t="b">
        <v>0</v>
      </c>
      <c r="AS373">
        <v>12</v>
      </c>
      <c r="AT373" t="s">
        <v>327</v>
      </c>
      <c r="AV373" t="s">
        <v>1289</v>
      </c>
      <c r="CRL373">
        <v>12</v>
      </c>
    </row>
    <row r="374" spans="1:48 2508:2508" x14ac:dyDescent="0.25">
      <c r="A374" t="s">
        <v>3323</v>
      </c>
      <c r="B374" t="s">
        <v>302</v>
      </c>
      <c r="C374" t="s">
        <v>62</v>
      </c>
      <c r="D374">
        <v>99999</v>
      </c>
      <c r="F374" s="109">
        <v>10000</v>
      </c>
      <c r="G374" t="b">
        <v>0</v>
      </c>
      <c r="H374" t="s">
        <v>339</v>
      </c>
      <c r="K374" t="s">
        <v>379</v>
      </c>
      <c r="L374" t="s">
        <v>303</v>
      </c>
      <c r="M374" t="s">
        <v>323</v>
      </c>
      <c r="N374" t="s">
        <v>63</v>
      </c>
      <c r="O374" s="110">
        <v>39.9</v>
      </c>
      <c r="R374" s="110">
        <v>329.89</v>
      </c>
      <c r="S374" s="110">
        <v>79.900000000000006</v>
      </c>
      <c r="T374" s="110">
        <v>0</v>
      </c>
      <c r="U374" s="110">
        <v>42.99</v>
      </c>
      <c r="X374">
        <v>147.09999999999997</v>
      </c>
      <c r="Y374">
        <v>59.9</v>
      </c>
      <c r="Z374">
        <v>59.9</v>
      </c>
      <c r="AA374">
        <v>0</v>
      </c>
      <c r="AB374" t="s">
        <v>363</v>
      </c>
      <c r="AF374" t="s">
        <v>1403</v>
      </c>
      <c r="AG374" t="s">
        <v>1403</v>
      </c>
      <c r="AH374" t="s">
        <v>1175</v>
      </c>
      <c r="AI374">
        <v>99999</v>
      </c>
      <c r="AJ374">
        <v>99999</v>
      </c>
      <c r="AK374">
        <v>699</v>
      </c>
      <c r="AL374" t="b">
        <v>1</v>
      </c>
      <c r="AM374" t="b">
        <v>1</v>
      </c>
      <c r="AN374" t="b">
        <v>0</v>
      </c>
      <c r="AO374">
        <v>99999</v>
      </c>
      <c r="AP374" t="s">
        <v>64</v>
      </c>
      <c r="AR374" t="b">
        <v>0</v>
      </c>
      <c r="AS374">
        <v>12</v>
      </c>
      <c r="AT374" t="s">
        <v>327</v>
      </c>
      <c r="AV374" t="s">
        <v>1423</v>
      </c>
      <c r="CRL374">
        <v>12</v>
      </c>
    </row>
    <row r="375" spans="1:48 2508:2508" x14ac:dyDescent="0.25">
      <c r="A375" t="s">
        <v>3323</v>
      </c>
      <c r="B375" t="s">
        <v>302</v>
      </c>
      <c r="C375" t="s">
        <v>62</v>
      </c>
      <c r="D375">
        <v>99999</v>
      </c>
      <c r="F375" s="109">
        <v>10000</v>
      </c>
      <c r="G375" t="b">
        <v>0</v>
      </c>
      <c r="H375" t="s">
        <v>339</v>
      </c>
      <c r="K375" t="s">
        <v>379</v>
      </c>
      <c r="L375" t="s">
        <v>303</v>
      </c>
      <c r="M375" t="s">
        <v>323</v>
      </c>
      <c r="N375" t="s">
        <v>63</v>
      </c>
      <c r="O375" s="110">
        <v>39.9</v>
      </c>
      <c r="R375" s="110">
        <v>349.89</v>
      </c>
      <c r="S375" s="110">
        <v>85</v>
      </c>
      <c r="T375" s="110">
        <v>0</v>
      </c>
      <c r="U375" s="110">
        <v>42.99</v>
      </c>
      <c r="X375">
        <v>161.99999999999997</v>
      </c>
      <c r="Y375">
        <v>59.9</v>
      </c>
      <c r="Z375">
        <v>59.9</v>
      </c>
      <c r="AA375">
        <v>0</v>
      </c>
      <c r="AB375" t="s">
        <v>363</v>
      </c>
      <c r="AF375" t="s">
        <v>1551</v>
      </c>
      <c r="AG375" t="s">
        <v>1551</v>
      </c>
      <c r="AH375" t="s">
        <v>1175</v>
      </c>
      <c r="AI375">
        <v>99999</v>
      </c>
      <c r="AJ375">
        <v>99999</v>
      </c>
      <c r="AK375">
        <v>699</v>
      </c>
      <c r="AL375" t="b">
        <v>1</v>
      </c>
      <c r="AM375" t="b">
        <v>1</v>
      </c>
      <c r="AN375" t="b">
        <v>0</v>
      </c>
      <c r="AO375">
        <v>99999</v>
      </c>
      <c r="AP375" t="s">
        <v>64</v>
      </c>
      <c r="AR375" t="b">
        <v>0</v>
      </c>
      <c r="AS375">
        <v>12</v>
      </c>
      <c r="AT375" t="s">
        <v>327</v>
      </c>
      <c r="AV375" t="s">
        <v>1571</v>
      </c>
      <c r="CRL375">
        <v>12</v>
      </c>
    </row>
    <row r="376" spans="1:48 2508:2508" x14ac:dyDescent="0.25">
      <c r="A376" t="s">
        <v>3323</v>
      </c>
      <c r="B376" t="s">
        <v>302</v>
      </c>
      <c r="C376" t="s">
        <v>62</v>
      </c>
      <c r="D376">
        <v>99999</v>
      </c>
      <c r="F376" s="109">
        <v>10000</v>
      </c>
      <c r="G376" t="b">
        <v>0</v>
      </c>
      <c r="H376" t="s">
        <v>339</v>
      </c>
      <c r="K376" t="s">
        <v>379</v>
      </c>
      <c r="L376" t="s">
        <v>303</v>
      </c>
      <c r="M376" t="s">
        <v>323</v>
      </c>
      <c r="N376" t="s">
        <v>63</v>
      </c>
      <c r="O376" s="110">
        <v>49.9</v>
      </c>
      <c r="R376" s="110">
        <v>335.68999999999994</v>
      </c>
      <c r="S376" s="110">
        <v>130</v>
      </c>
      <c r="T376" s="110">
        <v>0</v>
      </c>
      <c r="U376" s="110">
        <v>34.99</v>
      </c>
      <c r="X376">
        <v>110.79999999999998</v>
      </c>
      <c r="Y376">
        <v>59.9</v>
      </c>
      <c r="Z376">
        <v>59.9</v>
      </c>
      <c r="AA376">
        <v>0</v>
      </c>
      <c r="AB376" t="s">
        <v>363</v>
      </c>
      <c r="AF376" t="s">
        <v>2771</v>
      </c>
      <c r="AG376" t="s">
        <v>2771</v>
      </c>
      <c r="AH376" t="s">
        <v>1175</v>
      </c>
      <c r="AI376">
        <v>99999</v>
      </c>
      <c r="AJ376">
        <v>99999</v>
      </c>
      <c r="AK376">
        <v>699</v>
      </c>
      <c r="AL376" t="b">
        <v>1</v>
      </c>
      <c r="AM376" t="b">
        <v>1</v>
      </c>
      <c r="AN376" t="b">
        <v>0</v>
      </c>
      <c r="AO376">
        <v>99999</v>
      </c>
      <c r="AP376" t="s">
        <v>64</v>
      </c>
      <c r="AR376" t="b">
        <v>0</v>
      </c>
      <c r="AS376">
        <v>12</v>
      </c>
      <c r="AT376" t="s">
        <v>327</v>
      </c>
      <c r="AV376" t="s">
        <v>2791</v>
      </c>
      <c r="CRL376">
        <v>12</v>
      </c>
    </row>
    <row r="377" spans="1:48 2508:2508" x14ac:dyDescent="0.25">
      <c r="A377" t="s">
        <v>3323</v>
      </c>
      <c r="B377" t="s">
        <v>302</v>
      </c>
      <c r="C377" t="s">
        <v>62</v>
      </c>
      <c r="D377">
        <v>99999</v>
      </c>
      <c r="F377" s="109">
        <v>10000</v>
      </c>
      <c r="G377" t="b">
        <v>0</v>
      </c>
      <c r="H377" t="s">
        <v>339</v>
      </c>
      <c r="K377" t="s">
        <v>379</v>
      </c>
      <c r="L377" t="s">
        <v>303</v>
      </c>
      <c r="M377" t="s">
        <v>323</v>
      </c>
      <c r="N377" t="s">
        <v>63</v>
      </c>
      <c r="O377" s="110">
        <v>49.9</v>
      </c>
      <c r="R377" s="110">
        <v>359.98999999999995</v>
      </c>
      <c r="S377" s="110">
        <v>130</v>
      </c>
      <c r="T377" s="110">
        <v>0</v>
      </c>
      <c r="U377" s="110">
        <v>42.99</v>
      </c>
      <c r="X377">
        <v>127.09999999999997</v>
      </c>
      <c r="Y377">
        <v>59.9</v>
      </c>
      <c r="Z377">
        <v>59.9</v>
      </c>
      <c r="AA377">
        <v>0</v>
      </c>
      <c r="AB377" t="s">
        <v>363</v>
      </c>
      <c r="AF377" t="s">
        <v>2845</v>
      </c>
      <c r="AG377" t="s">
        <v>2845</v>
      </c>
      <c r="AH377" t="s">
        <v>1175</v>
      </c>
      <c r="AI377">
        <v>99999</v>
      </c>
      <c r="AJ377">
        <v>99999</v>
      </c>
      <c r="AK377">
        <v>699</v>
      </c>
      <c r="AL377" t="b">
        <v>1</v>
      </c>
      <c r="AM377" t="b">
        <v>1</v>
      </c>
      <c r="AN377" t="b">
        <v>0</v>
      </c>
      <c r="AO377">
        <v>99999</v>
      </c>
      <c r="AP377" t="s">
        <v>64</v>
      </c>
      <c r="AR377" t="b">
        <v>0</v>
      </c>
      <c r="AS377">
        <v>12</v>
      </c>
      <c r="AT377" t="s">
        <v>327</v>
      </c>
      <c r="AV377" t="s">
        <v>2865</v>
      </c>
      <c r="CRL377">
        <v>12</v>
      </c>
    </row>
    <row r="378" spans="1:48 2508:2508" x14ac:dyDescent="0.25">
      <c r="A378" t="s">
        <v>3323</v>
      </c>
      <c r="B378" t="s">
        <v>302</v>
      </c>
      <c r="C378" t="s">
        <v>62</v>
      </c>
      <c r="D378">
        <v>99999</v>
      </c>
      <c r="F378" s="109">
        <v>10000</v>
      </c>
      <c r="G378" t="b">
        <v>0</v>
      </c>
      <c r="H378" t="s">
        <v>339</v>
      </c>
      <c r="K378" t="s">
        <v>379</v>
      </c>
      <c r="L378" t="s">
        <v>303</v>
      </c>
      <c r="M378" t="s">
        <v>323</v>
      </c>
      <c r="N378" t="s">
        <v>63</v>
      </c>
      <c r="O378" s="110">
        <v>49.9</v>
      </c>
      <c r="R378" s="110">
        <v>379.98999999999995</v>
      </c>
      <c r="S378" s="110">
        <v>130</v>
      </c>
      <c r="T378" s="110">
        <v>0</v>
      </c>
      <c r="U378" s="110">
        <v>42.99</v>
      </c>
      <c r="X378">
        <v>147.09999999999997</v>
      </c>
      <c r="Y378">
        <v>59.9</v>
      </c>
      <c r="Z378">
        <v>59.9</v>
      </c>
      <c r="AA378">
        <v>0</v>
      </c>
      <c r="AB378" t="s">
        <v>363</v>
      </c>
      <c r="AF378" t="s">
        <v>2912</v>
      </c>
      <c r="AG378" t="s">
        <v>2912</v>
      </c>
      <c r="AH378" t="s">
        <v>1175</v>
      </c>
      <c r="AI378">
        <v>99999</v>
      </c>
      <c r="AJ378">
        <v>99999</v>
      </c>
      <c r="AK378">
        <v>699</v>
      </c>
      <c r="AL378" t="b">
        <v>1</v>
      </c>
      <c r="AM378" t="b">
        <v>1</v>
      </c>
      <c r="AN378" t="b">
        <v>0</v>
      </c>
      <c r="AO378">
        <v>99999</v>
      </c>
      <c r="AP378" t="s">
        <v>64</v>
      </c>
      <c r="AR378" t="b">
        <v>0</v>
      </c>
      <c r="AS378">
        <v>12</v>
      </c>
      <c r="AT378" t="s">
        <v>327</v>
      </c>
      <c r="AV378" t="s">
        <v>2932</v>
      </c>
      <c r="CRL378">
        <v>12</v>
      </c>
    </row>
    <row r="379" spans="1:48 2508:2508" x14ac:dyDescent="0.25">
      <c r="A379" t="s">
        <v>3323</v>
      </c>
      <c r="B379" t="s">
        <v>302</v>
      </c>
      <c r="C379" t="s">
        <v>62</v>
      </c>
      <c r="D379">
        <v>99999</v>
      </c>
      <c r="F379" s="109">
        <v>10000</v>
      </c>
      <c r="G379" t="b">
        <v>0</v>
      </c>
      <c r="H379" t="s">
        <v>339</v>
      </c>
      <c r="K379" t="s">
        <v>379</v>
      </c>
      <c r="L379" t="s">
        <v>303</v>
      </c>
      <c r="M379" t="s">
        <v>323</v>
      </c>
      <c r="N379" t="s">
        <v>63</v>
      </c>
      <c r="O379" s="110">
        <v>49.9</v>
      </c>
      <c r="R379" s="110">
        <v>394.89</v>
      </c>
      <c r="S379" s="110">
        <v>130</v>
      </c>
      <c r="T379" s="110">
        <v>0</v>
      </c>
      <c r="U379" s="110">
        <v>42.99</v>
      </c>
      <c r="X379">
        <v>161.99999999999997</v>
      </c>
      <c r="Y379">
        <v>59.9</v>
      </c>
      <c r="Z379">
        <v>59.9</v>
      </c>
      <c r="AA379">
        <v>0</v>
      </c>
      <c r="AB379" t="s">
        <v>363</v>
      </c>
      <c r="AF379" t="s">
        <v>2986</v>
      </c>
      <c r="AG379" t="s">
        <v>2986</v>
      </c>
      <c r="AH379" t="s">
        <v>1175</v>
      </c>
      <c r="AI379">
        <v>99999</v>
      </c>
      <c r="AJ379">
        <v>99999</v>
      </c>
      <c r="AK379">
        <v>699</v>
      </c>
      <c r="AL379" t="b">
        <v>1</v>
      </c>
      <c r="AM379" t="b">
        <v>1</v>
      </c>
      <c r="AN379" t="b">
        <v>0</v>
      </c>
      <c r="AO379">
        <v>99999</v>
      </c>
      <c r="AP379" t="s">
        <v>64</v>
      </c>
      <c r="AR379" t="b">
        <v>0</v>
      </c>
      <c r="AS379">
        <v>12</v>
      </c>
      <c r="AT379" t="s">
        <v>327</v>
      </c>
      <c r="AV379" t="s">
        <v>3006</v>
      </c>
      <c r="CRL379">
        <v>12</v>
      </c>
    </row>
    <row r="380" spans="1:48 2508:2508" x14ac:dyDescent="0.25">
      <c r="A380" t="s">
        <v>3323</v>
      </c>
      <c r="B380" t="s">
        <v>302</v>
      </c>
      <c r="C380" t="s">
        <v>62</v>
      </c>
      <c r="D380">
        <v>99999</v>
      </c>
      <c r="F380" s="109">
        <v>10000</v>
      </c>
      <c r="G380" t="b">
        <v>0</v>
      </c>
      <c r="H380" t="s">
        <v>339</v>
      </c>
      <c r="K380" t="s">
        <v>61</v>
      </c>
      <c r="L380" t="s">
        <v>303</v>
      </c>
      <c r="M380" t="s">
        <v>323</v>
      </c>
      <c r="N380" t="s">
        <v>63</v>
      </c>
      <c r="O380" s="110">
        <v>29.9</v>
      </c>
      <c r="R380" s="110">
        <v>294.89</v>
      </c>
      <c r="S380" s="110">
        <v>79.900000000000006</v>
      </c>
      <c r="T380" s="110">
        <v>0</v>
      </c>
      <c r="U380" s="110">
        <v>42.99</v>
      </c>
      <c r="X380">
        <v>127.09999999999997</v>
      </c>
      <c r="Y380">
        <v>44.9</v>
      </c>
      <c r="Z380">
        <v>44.9</v>
      </c>
      <c r="AA380">
        <v>0</v>
      </c>
      <c r="AB380" t="s">
        <v>324</v>
      </c>
      <c r="AF380" t="s">
        <v>1174</v>
      </c>
      <c r="AG380" t="s">
        <v>1174</v>
      </c>
      <c r="AH380" t="s">
        <v>1175</v>
      </c>
      <c r="AI380">
        <v>99999</v>
      </c>
      <c r="AJ380">
        <v>99999</v>
      </c>
      <c r="AK380">
        <v>699</v>
      </c>
      <c r="AL380" t="b">
        <v>1</v>
      </c>
      <c r="AM380" t="b">
        <v>1</v>
      </c>
      <c r="AN380" t="b">
        <v>0</v>
      </c>
      <c r="AO380">
        <v>99999</v>
      </c>
      <c r="AP380" t="s">
        <v>64</v>
      </c>
      <c r="AR380" t="b">
        <v>0</v>
      </c>
      <c r="AS380">
        <v>12</v>
      </c>
      <c r="AT380" t="s">
        <v>327</v>
      </c>
      <c r="AV380" t="s">
        <v>1182</v>
      </c>
      <c r="CRL380">
        <v>12</v>
      </c>
    </row>
    <row r="381" spans="1:48 2508:2508" x14ac:dyDescent="0.25">
      <c r="A381" t="s">
        <v>3323</v>
      </c>
      <c r="B381" t="s">
        <v>302</v>
      </c>
      <c r="C381" t="s">
        <v>62</v>
      </c>
      <c r="D381">
        <v>99999</v>
      </c>
      <c r="F381" s="109">
        <v>10000</v>
      </c>
      <c r="G381" t="b">
        <v>0</v>
      </c>
      <c r="H381" t="s">
        <v>339</v>
      </c>
      <c r="K381" t="s">
        <v>61</v>
      </c>
      <c r="L381" t="s">
        <v>303</v>
      </c>
      <c r="M381" t="s">
        <v>323</v>
      </c>
      <c r="N381" t="s">
        <v>63</v>
      </c>
      <c r="O381" s="110">
        <v>29.9</v>
      </c>
      <c r="R381" s="110">
        <v>314.89</v>
      </c>
      <c r="S381" s="110">
        <v>79.900000000000006</v>
      </c>
      <c r="T381" s="110">
        <v>0</v>
      </c>
      <c r="U381" s="110">
        <v>42.99</v>
      </c>
      <c r="X381">
        <v>147.09999999999997</v>
      </c>
      <c r="Y381">
        <v>44.9</v>
      </c>
      <c r="Z381">
        <v>44.9</v>
      </c>
      <c r="AA381">
        <v>0</v>
      </c>
      <c r="AB381" t="s">
        <v>324</v>
      </c>
      <c r="AF381" t="s">
        <v>1309</v>
      </c>
      <c r="AG381" t="s">
        <v>1309</v>
      </c>
      <c r="AH381" t="s">
        <v>1175</v>
      </c>
      <c r="AI381">
        <v>99999</v>
      </c>
      <c r="AJ381">
        <v>99999</v>
      </c>
      <c r="AK381">
        <v>699</v>
      </c>
      <c r="AL381" t="b">
        <v>1</v>
      </c>
      <c r="AM381" t="b">
        <v>1</v>
      </c>
      <c r="AN381" t="b">
        <v>0</v>
      </c>
      <c r="AO381">
        <v>99999</v>
      </c>
      <c r="AP381" t="s">
        <v>64</v>
      </c>
      <c r="AR381" t="b">
        <v>0</v>
      </c>
      <c r="AS381">
        <v>12</v>
      </c>
      <c r="AT381" t="s">
        <v>327</v>
      </c>
      <c r="AV381" t="s">
        <v>1316</v>
      </c>
      <c r="CRL381">
        <v>12</v>
      </c>
    </row>
    <row r="382" spans="1:48 2508:2508" x14ac:dyDescent="0.25">
      <c r="A382" t="s">
        <v>3323</v>
      </c>
      <c r="B382" t="s">
        <v>302</v>
      </c>
      <c r="C382" t="s">
        <v>62</v>
      </c>
      <c r="D382">
        <v>99999</v>
      </c>
      <c r="F382" s="109">
        <v>10000</v>
      </c>
      <c r="G382" t="b">
        <v>0</v>
      </c>
      <c r="H382" t="s">
        <v>339</v>
      </c>
      <c r="K382" t="s">
        <v>61</v>
      </c>
      <c r="L382" t="s">
        <v>303</v>
      </c>
      <c r="M382" t="s">
        <v>323</v>
      </c>
      <c r="N382" t="s">
        <v>63</v>
      </c>
      <c r="O382" s="110">
        <v>29.9</v>
      </c>
      <c r="R382" s="110">
        <v>334.89</v>
      </c>
      <c r="S382" s="110">
        <v>85</v>
      </c>
      <c r="T382" s="110">
        <v>0</v>
      </c>
      <c r="U382" s="110">
        <v>42.99</v>
      </c>
      <c r="X382">
        <v>161.99999999999997</v>
      </c>
      <c r="Y382">
        <v>44.9</v>
      </c>
      <c r="Z382">
        <v>44.9</v>
      </c>
      <c r="AA382">
        <v>0</v>
      </c>
      <c r="AB382" t="s">
        <v>324</v>
      </c>
      <c r="AF382" t="s">
        <v>1457</v>
      </c>
      <c r="AG382" t="s">
        <v>1457</v>
      </c>
      <c r="AH382" t="s">
        <v>1175</v>
      </c>
      <c r="AI382">
        <v>99999</v>
      </c>
      <c r="AJ382">
        <v>99999</v>
      </c>
      <c r="AK382">
        <v>699</v>
      </c>
      <c r="AL382" t="b">
        <v>1</v>
      </c>
      <c r="AM382" t="b">
        <v>1</v>
      </c>
      <c r="AN382" t="b">
        <v>0</v>
      </c>
      <c r="AO382">
        <v>99999</v>
      </c>
      <c r="AP382" t="s">
        <v>64</v>
      </c>
      <c r="AR382" t="b">
        <v>0</v>
      </c>
      <c r="AS382">
        <v>12</v>
      </c>
      <c r="AT382" t="s">
        <v>327</v>
      </c>
      <c r="AV382" t="s">
        <v>1464</v>
      </c>
      <c r="CRL382">
        <v>12</v>
      </c>
    </row>
    <row r="383" spans="1:48 2508:2508" x14ac:dyDescent="0.25">
      <c r="A383" t="s">
        <v>3323</v>
      </c>
      <c r="B383" t="s">
        <v>302</v>
      </c>
      <c r="C383" t="s">
        <v>62</v>
      </c>
      <c r="D383">
        <v>99999</v>
      </c>
      <c r="F383" s="109">
        <v>10000</v>
      </c>
      <c r="G383" t="b">
        <v>0</v>
      </c>
      <c r="H383" t="s">
        <v>339</v>
      </c>
      <c r="K383" t="s">
        <v>61</v>
      </c>
      <c r="L383" t="s">
        <v>303</v>
      </c>
      <c r="M383" t="s">
        <v>323</v>
      </c>
      <c r="N383" t="s">
        <v>63</v>
      </c>
      <c r="O383" s="110">
        <v>39.9</v>
      </c>
      <c r="R383" s="110">
        <v>294.89</v>
      </c>
      <c r="S383" s="110">
        <v>79.900000000000006</v>
      </c>
      <c r="T383" s="110">
        <v>0</v>
      </c>
      <c r="U383" s="110">
        <v>42.99</v>
      </c>
      <c r="X383">
        <v>127.09999999999997</v>
      </c>
      <c r="Y383">
        <v>44.9</v>
      </c>
      <c r="Z383">
        <v>44.9</v>
      </c>
      <c r="AA383">
        <v>0</v>
      </c>
      <c r="AB383" t="s">
        <v>324</v>
      </c>
      <c r="AF383" t="s">
        <v>1242</v>
      </c>
      <c r="AG383" t="s">
        <v>1242</v>
      </c>
      <c r="AH383" t="s">
        <v>1175</v>
      </c>
      <c r="AI383">
        <v>99999</v>
      </c>
      <c r="AJ383">
        <v>99999</v>
      </c>
      <c r="AK383">
        <v>699</v>
      </c>
      <c r="AL383" t="b">
        <v>1</v>
      </c>
      <c r="AM383" t="b">
        <v>1</v>
      </c>
      <c r="AN383" t="b">
        <v>0</v>
      </c>
      <c r="AO383">
        <v>99999</v>
      </c>
      <c r="AP383" t="s">
        <v>64</v>
      </c>
      <c r="AR383" t="b">
        <v>0</v>
      </c>
      <c r="AS383">
        <v>12</v>
      </c>
      <c r="AT383" t="s">
        <v>327</v>
      </c>
      <c r="AV383" t="s">
        <v>1249</v>
      </c>
      <c r="CRL383">
        <v>12</v>
      </c>
    </row>
    <row r="384" spans="1:48 2508:2508" x14ac:dyDescent="0.25">
      <c r="A384" t="s">
        <v>3323</v>
      </c>
      <c r="B384" t="s">
        <v>302</v>
      </c>
      <c r="C384" t="s">
        <v>62</v>
      </c>
      <c r="D384">
        <v>99999</v>
      </c>
      <c r="F384" s="109">
        <v>10000</v>
      </c>
      <c r="G384" t="b">
        <v>0</v>
      </c>
      <c r="H384" t="s">
        <v>339</v>
      </c>
      <c r="K384" t="s">
        <v>61</v>
      </c>
      <c r="L384" t="s">
        <v>303</v>
      </c>
      <c r="M384" t="s">
        <v>323</v>
      </c>
      <c r="N384" t="s">
        <v>63</v>
      </c>
      <c r="O384" s="110">
        <v>39.9</v>
      </c>
      <c r="R384" s="110">
        <v>314.89</v>
      </c>
      <c r="S384" s="110">
        <v>79.900000000000006</v>
      </c>
      <c r="T384" s="110">
        <v>0</v>
      </c>
      <c r="U384" s="110">
        <v>42.99</v>
      </c>
      <c r="X384">
        <v>147.09999999999997</v>
      </c>
      <c r="Y384">
        <v>44.9</v>
      </c>
      <c r="Z384">
        <v>44.9</v>
      </c>
      <c r="AA384">
        <v>0</v>
      </c>
      <c r="AB384" t="s">
        <v>324</v>
      </c>
      <c r="AF384" t="s">
        <v>1376</v>
      </c>
      <c r="AG384" t="s">
        <v>1376</v>
      </c>
      <c r="AH384" t="s">
        <v>1175</v>
      </c>
      <c r="AI384">
        <v>99999</v>
      </c>
      <c r="AJ384">
        <v>99999</v>
      </c>
      <c r="AK384">
        <v>699</v>
      </c>
      <c r="AL384" t="b">
        <v>1</v>
      </c>
      <c r="AM384" t="b">
        <v>1</v>
      </c>
      <c r="AN384" t="b">
        <v>0</v>
      </c>
      <c r="AO384">
        <v>99999</v>
      </c>
      <c r="AP384" t="s">
        <v>64</v>
      </c>
      <c r="AR384" t="b">
        <v>0</v>
      </c>
      <c r="AS384">
        <v>12</v>
      </c>
      <c r="AT384" t="s">
        <v>327</v>
      </c>
      <c r="AV384" t="s">
        <v>1383</v>
      </c>
      <c r="CRL384">
        <v>12</v>
      </c>
    </row>
    <row r="385" spans="1:48 2508:2508" x14ac:dyDescent="0.25">
      <c r="A385" t="s">
        <v>3323</v>
      </c>
      <c r="B385" t="s">
        <v>302</v>
      </c>
      <c r="C385" t="s">
        <v>62</v>
      </c>
      <c r="D385">
        <v>99999</v>
      </c>
      <c r="F385" s="109">
        <v>10000</v>
      </c>
      <c r="G385" t="b">
        <v>0</v>
      </c>
      <c r="H385" t="s">
        <v>339</v>
      </c>
      <c r="K385" t="s">
        <v>61</v>
      </c>
      <c r="L385" t="s">
        <v>303</v>
      </c>
      <c r="M385" t="s">
        <v>323</v>
      </c>
      <c r="N385" t="s">
        <v>63</v>
      </c>
      <c r="O385" s="110">
        <v>39.9</v>
      </c>
      <c r="R385" s="110">
        <v>334.89</v>
      </c>
      <c r="S385" s="110">
        <v>85</v>
      </c>
      <c r="T385" s="110">
        <v>0</v>
      </c>
      <c r="U385" s="110">
        <v>42.99</v>
      </c>
      <c r="X385">
        <v>161.99999999999997</v>
      </c>
      <c r="Y385">
        <v>44.9</v>
      </c>
      <c r="Z385">
        <v>44.9</v>
      </c>
      <c r="AA385">
        <v>0</v>
      </c>
      <c r="AB385" t="s">
        <v>324</v>
      </c>
      <c r="AF385" t="s">
        <v>1524</v>
      </c>
      <c r="AG385" t="s">
        <v>1524</v>
      </c>
      <c r="AH385" t="s">
        <v>1175</v>
      </c>
      <c r="AI385">
        <v>99999</v>
      </c>
      <c r="AJ385">
        <v>99999</v>
      </c>
      <c r="AK385">
        <v>699</v>
      </c>
      <c r="AL385" t="b">
        <v>1</v>
      </c>
      <c r="AM385" t="b">
        <v>1</v>
      </c>
      <c r="AN385" t="b">
        <v>0</v>
      </c>
      <c r="AO385">
        <v>99999</v>
      </c>
      <c r="AP385" t="s">
        <v>64</v>
      </c>
      <c r="AR385" t="b">
        <v>0</v>
      </c>
      <c r="AS385">
        <v>12</v>
      </c>
      <c r="AT385" t="s">
        <v>327</v>
      </c>
      <c r="AV385" t="s">
        <v>1531</v>
      </c>
      <c r="CRL385">
        <v>12</v>
      </c>
    </row>
    <row r="386" spans="1:48 2508:2508" x14ac:dyDescent="0.25">
      <c r="A386" t="s">
        <v>3323</v>
      </c>
      <c r="B386" t="s">
        <v>302</v>
      </c>
      <c r="C386" t="s">
        <v>62</v>
      </c>
      <c r="D386">
        <v>99999</v>
      </c>
      <c r="F386" s="109">
        <v>10000</v>
      </c>
      <c r="G386" t="b">
        <v>0</v>
      </c>
      <c r="H386" t="s">
        <v>339</v>
      </c>
      <c r="K386" t="s">
        <v>61</v>
      </c>
      <c r="L386" t="s">
        <v>303</v>
      </c>
      <c r="M386" t="s">
        <v>323</v>
      </c>
      <c r="N386" t="s">
        <v>63</v>
      </c>
      <c r="O386" s="110">
        <v>49.9</v>
      </c>
      <c r="R386" s="110">
        <v>320.68999999999994</v>
      </c>
      <c r="S386" s="110">
        <v>130</v>
      </c>
      <c r="T386" s="110">
        <v>0</v>
      </c>
      <c r="U386" s="110">
        <v>34.99</v>
      </c>
      <c r="X386">
        <v>110.79999999999998</v>
      </c>
      <c r="Y386">
        <v>44.9</v>
      </c>
      <c r="Z386">
        <v>44.9</v>
      </c>
      <c r="AA386">
        <v>0</v>
      </c>
      <c r="AB386" t="s">
        <v>324</v>
      </c>
      <c r="AF386" t="s">
        <v>2744</v>
      </c>
      <c r="AG386" t="s">
        <v>2744</v>
      </c>
      <c r="AH386" t="s">
        <v>1175</v>
      </c>
      <c r="AI386">
        <v>99999</v>
      </c>
      <c r="AJ386">
        <v>99999</v>
      </c>
      <c r="AK386">
        <v>699</v>
      </c>
      <c r="AL386" t="b">
        <v>1</v>
      </c>
      <c r="AM386" t="b">
        <v>1</v>
      </c>
      <c r="AN386" t="b">
        <v>0</v>
      </c>
      <c r="AO386">
        <v>99999</v>
      </c>
      <c r="AP386" t="s">
        <v>64</v>
      </c>
      <c r="AR386" t="b">
        <v>0</v>
      </c>
      <c r="AS386">
        <v>12</v>
      </c>
      <c r="AT386" t="s">
        <v>327</v>
      </c>
      <c r="AV386" t="s">
        <v>2751</v>
      </c>
      <c r="CRL386">
        <v>12</v>
      </c>
    </row>
    <row r="387" spans="1:48 2508:2508" x14ac:dyDescent="0.25">
      <c r="A387" t="s">
        <v>3323</v>
      </c>
      <c r="B387" t="s">
        <v>302</v>
      </c>
      <c r="C387" t="s">
        <v>62</v>
      </c>
      <c r="D387">
        <v>99999</v>
      </c>
      <c r="F387" s="109">
        <v>10000</v>
      </c>
      <c r="G387" t="b">
        <v>0</v>
      </c>
      <c r="H387" t="s">
        <v>339</v>
      </c>
      <c r="K387" t="s">
        <v>61</v>
      </c>
      <c r="L387" t="s">
        <v>303</v>
      </c>
      <c r="M387" t="s">
        <v>323</v>
      </c>
      <c r="N387" t="s">
        <v>63</v>
      </c>
      <c r="O387" s="110">
        <v>49.9</v>
      </c>
      <c r="R387" s="110">
        <v>344.98999999999995</v>
      </c>
      <c r="S387" s="110">
        <v>130</v>
      </c>
      <c r="T387" s="110">
        <v>0</v>
      </c>
      <c r="U387" s="110">
        <v>42.99</v>
      </c>
      <c r="X387">
        <v>127.09999999999997</v>
      </c>
      <c r="Y387">
        <v>44.9</v>
      </c>
      <c r="Z387">
        <v>44.9</v>
      </c>
      <c r="AA387">
        <v>0</v>
      </c>
      <c r="AB387" t="s">
        <v>324</v>
      </c>
      <c r="AF387" t="s">
        <v>2818</v>
      </c>
      <c r="AG387" t="s">
        <v>2818</v>
      </c>
      <c r="AH387" t="s">
        <v>1175</v>
      </c>
      <c r="AI387">
        <v>99999</v>
      </c>
      <c r="AJ387">
        <v>99999</v>
      </c>
      <c r="AK387">
        <v>699</v>
      </c>
      <c r="AL387" t="b">
        <v>1</v>
      </c>
      <c r="AM387" t="b">
        <v>1</v>
      </c>
      <c r="AN387" t="b">
        <v>0</v>
      </c>
      <c r="AO387">
        <v>99999</v>
      </c>
      <c r="AP387" t="s">
        <v>64</v>
      </c>
      <c r="AR387" t="b">
        <v>0</v>
      </c>
      <c r="AS387">
        <v>12</v>
      </c>
      <c r="AT387" t="s">
        <v>327</v>
      </c>
      <c r="AV387" t="s">
        <v>2825</v>
      </c>
      <c r="CRL387">
        <v>12</v>
      </c>
    </row>
    <row r="388" spans="1:48 2508:2508" x14ac:dyDescent="0.25">
      <c r="A388" t="s">
        <v>3323</v>
      </c>
      <c r="B388" t="s">
        <v>302</v>
      </c>
      <c r="C388" t="s">
        <v>62</v>
      </c>
      <c r="D388">
        <v>99999</v>
      </c>
      <c r="F388" s="109">
        <v>10000</v>
      </c>
      <c r="G388" t="b">
        <v>0</v>
      </c>
      <c r="H388" t="s">
        <v>339</v>
      </c>
      <c r="K388" t="s">
        <v>61</v>
      </c>
      <c r="L388" t="s">
        <v>303</v>
      </c>
      <c r="M388" t="s">
        <v>323</v>
      </c>
      <c r="N388" t="s">
        <v>63</v>
      </c>
      <c r="O388" s="110">
        <v>49.9</v>
      </c>
      <c r="R388" s="110">
        <v>364.98999999999995</v>
      </c>
      <c r="S388" s="110">
        <v>130</v>
      </c>
      <c r="T388" s="110">
        <v>0</v>
      </c>
      <c r="U388" s="110">
        <v>42.99</v>
      </c>
      <c r="X388">
        <v>147.09999999999997</v>
      </c>
      <c r="Y388">
        <v>44.9</v>
      </c>
      <c r="Z388">
        <v>44.9</v>
      </c>
      <c r="AA388">
        <v>0</v>
      </c>
      <c r="AB388" t="s">
        <v>324</v>
      </c>
      <c r="AF388" t="s">
        <v>2885</v>
      </c>
      <c r="AG388" t="s">
        <v>2885</v>
      </c>
      <c r="AH388" t="s">
        <v>1175</v>
      </c>
      <c r="AI388">
        <v>99999</v>
      </c>
      <c r="AJ388">
        <v>99999</v>
      </c>
      <c r="AK388">
        <v>699</v>
      </c>
      <c r="AL388" t="b">
        <v>1</v>
      </c>
      <c r="AM388" t="b">
        <v>1</v>
      </c>
      <c r="AN388" t="b">
        <v>0</v>
      </c>
      <c r="AO388">
        <v>99999</v>
      </c>
      <c r="AP388" t="s">
        <v>64</v>
      </c>
      <c r="AR388" t="b">
        <v>0</v>
      </c>
      <c r="AS388">
        <v>12</v>
      </c>
      <c r="AT388" t="s">
        <v>327</v>
      </c>
      <c r="AV388" t="s">
        <v>2892</v>
      </c>
      <c r="CRL388">
        <v>12</v>
      </c>
    </row>
    <row r="389" spans="1:48 2508:2508" x14ac:dyDescent="0.25">
      <c r="A389" t="s">
        <v>3323</v>
      </c>
      <c r="B389" t="s">
        <v>302</v>
      </c>
      <c r="C389" t="s">
        <v>62</v>
      </c>
      <c r="D389">
        <v>99999</v>
      </c>
      <c r="F389" s="109">
        <v>10000</v>
      </c>
      <c r="G389" t="b">
        <v>0</v>
      </c>
      <c r="H389" t="s">
        <v>339</v>
      </c>
      <c r="K389" t="s">
        <v>61</v>
      </c>
      <c r="L389" t="s">
        <v>303</v>
      </c>
      <c r="M389" t="s">
        <v>323</v>
      </c>
      <c r="N389" t="s">
        <v>63</v>
      </c>
      <c r="O389" s="110">
        <v>49.9</v>
      </c>
      <c r="R389" s="110">
        <v>379.89</v>
      </c>
      <c r="S389" s="110">
        <v>130</v>
      </c>
      <c r="T389" s="110">
        <v>0</v>
      </c>
      <c r="U389" s="110">
        <v>42.99</v>
      </c>
      <c r="X389">
        <v>161.99999999999997</v>
      </c>
      <c r="Y389">
        <v>44.9</v>
      </c>
      <c r="Z389">
        <v>44.9</v>
      </c>
      <c r="AA389">
        <v>0</v>
      </c>
      <c r="AB389" t="s">
        <v>324</v>
      </c>
      <c r="AF389" t="s">
        <v>2959</v>
      </c>
      <c r="AG389" t="s">
        <v>2959</v>
      </c>
      <c r="AH389" t="s">
        <v>1175</v>
      </c>
      <c r="AI389">
        <v>99999</v>
      </c>
      <c r="AJ389">
        <v>99999</v>
      </c>
      <c r="AK389">
        <v>699</v>
      </c>
      <c r="AL389" t="b">
        <v>1</v>
      </c>
      <c r="AM389" t="b">
        <v>1</v>
      </c>
      <c r="AN389" t="b">
        <v>0</v>
      </c>
      <c r="AO389">
        <v>99999</v>
      </c>
      <c r="AP389" t="s">
        <v>64</v>
      </c>
      <c r="AR389" t="b">
        <v>0</v>
      </c>
      <c r="AS389">
        <v>12</v>
      </c>
      <c r="AT389" t="s">
        <v>327</v>
      </c>
      <c r="AV389" t="s">
        <v>2966</v>
      </c>
      <c r="CRL389">
        <v>12</v>
      </c>
    </row>
    <row r="390" spans="1:48 2508:2508" x14ac:dyDescent="0.25">
      <c r="A390" t="s">
        <v>3323</v>
      </c>
      <c r="B390" t="s">
        <v>302</v>
      </c>
      <c r="C390" t="s">
        <v>62</v>
      </c>
      <c r="D390">
        <v>99999</v>
      </c>
      <c r="F390" s="109">
        <v>10000</v>
      </c>
      <c r="G390" t="b">
        <v>0</v>
      </c>
      <c r="H390" t="s">
        <v>337</v>
      </c>
      <c r="K390" t="s">
        <v>349</v>
      </c>
      <c r="L390" t="s">
        <v>303</v>
      </c>
      <c r="M390" t="s">
        <v>323</v>
      </c>
      <c r="N390" t="s">
        <v>63</v>
      </c>
      <c r="O390" s="110">
        <v>29.9</v>
      </c>
      <c r="R390" s="110">
        <v>259.89</v>
      </c>
      <c r="S390" s="110">
        <v>79.900000000000006</v>
      </c>
      <c r="T390" s="110">
        <v>0</v>
      </c>
      <c r="U390" s="110">
        <v>42.99</v>
      </c>
      <c r="X390">
        <v>92.099999999999966</v>
      </c>
      <c r="Y390">
        <v>44.9</v>
      </c>
      <c r="Z390">
        <v>44.9</v>
      </c>
      <c r="AA390">
        <v>0</v>
      </c>
      <c r="AB390" t="s">
        <v>324</v>
      </c>
      <c r="AF390" t="s">
        <v>1174</v>
      </c>
      <c r="AG390" t="s">
        <v>1174</v>
      </c>
      <c r="AH390" t="s">
        <v>1175</v>
      </c>
      <c r="AI390">
        <v>99999</v>
      </c>
      <c r="AJ390">
        <v>99999</v>
      </c>
      <c r="AK390">
        <v>699</v>
      </c>
      <c r="AL390" t="b">
        <v>1</v>
      </c>
      <c r="AM390" t="b">
        <v>1</v>
      </c>
      <c r="AN390" t="b">
        <v>0</v>
      </c>
      <c r="AO390">
        <v>99999</v>
      </c>
      <c r="AP390" t="s">
        <v>64</v>
      </c>
      <c r="AR390" t="b">
        <v>0</v>
      </c>
      <c r="AS390">
        <v>12</v>
      </c>
      <c r="AT390" t="s">
        <v>327</v>
      </c>
      <c r="AV390" t="s">
        <v>1194</v>
      </c>
      <c r="CRL390">
        <v>12</v>
      </c>
    </row>
    <row r="391" spans="1:48 2508:2508" x14ac:dyDescent="0.25">
      <c r="A391" t="s">
        <v>3323</v>
      </c>
      <c r="B391" t="s">
        <v>302</v>
      </c>
      <c r="C391" t="s">
        <v>62</v>
      </c>
      <c r="D391">
        <v>99999</v>
      </c>
      <c r="F391" s="109">
        <v>10000</v>
      </c>
      <c r="G391" t="b">
        <v>0</v>
      </c>
      <c r="H391" t="s">
        <v>337</v>
      </c>
      <c r="K391" t="s">
        <v>349</v>
      </c>
      <c r="L391" t="s">
        <v>303</v>
      </c>
      <c r="M391" t="s">
        <v>323</v>
      </c>
      <c r="N391" t="s">
        <v>63</v>
      </c>
      <c r="O391" s="110">
        <v>29.9</v>
      </c>
      <c r="R391" s="110">
        <v>279.89</v>
      </c>
      <c r="S391" s="110">
        <v>79.900000000000006</v>
      </c>
      <c r="T391" s="110">
        <v>0</v>
      </c>
      <c r="U391" s="110">
        <v>42.99</v>
      </c>
      <c r="X391">
        <v>112.09999999999997</v>
      </c>
      <c r="Y391">
        <v>44.9</v>
      </c>
      <c r="Z391">
        <v>44.9</v>
      </c>
      <c r="AA391">
        <v>0</v>
      </c>
      <c r="AB391" t="s">
        <v>324</v>
      </c>
      <c r="AF391" t="s">
        <v>1309</v>
      </c>
      <c r="AG391" t="s">
        <v>1309</v>
      </c>
      <c r="AH391" t="s">
        <v>1175</v>
      </c>
      <c r="AI391">
        <v>99999</v>
      </c>
      <c r="AJ391">
        <v>99999</v>
      </c>
      <c r="AK391">
        <v>699</v>
      </c>
      <c r="AL391" t="b">
        <v>1</v>
      </c>
      <c r="AM391" t="b">
        <v>1</v>
      </c>
      <c r="AN391" t="b">
        <v>0</v>
      </c>
      <c r="AO391">
        <v>99999</v>
      </c>
      <c r="AP391" t="s">
        <v>64</v>
      </c>
      <c r="AR391" t="b">
        <v>0</v>
      </c>
      <c r="AS391">
        <v>12</v>
      </c>
      <c r="AT391" t="s">
        <v>327</v>
      </c>
      <c r="AV391" t="s">
        <v>1328</v>
      </c>
      <c r="CRL391">
        <v>12</v>
      </c>
    </row>
    <row r="392" spans="1:48 2508:2508" x14ac:dyDescent="0.25">
      <c r="A392" t="s">
        <v>3323</v>
      </c>
      <c r="B392" t="s">
        <v>302</v>
      </c>
      <c r="C392" t="s">
        <v>62</v>
      </c>
      <c r="D392">
        <v>99999</v>
      </c>
      <c r="F392" s="109">
        <v>10000</v>
      </c>
      <c r="G392" t="b">
        <v>0</v>
      </c>
      <c r="H392" t="s">
        <v>337</v>
      </c>
      <c r="K392" t="s">
        <v>349</v>
      </c>
      <c r="L392" t="s">
        <v>303</v>
      </c>
      <c r="M392" t="s">
        <v>323</v>
      </c>
      <c r="N392" t="s">
        <v>63</v>
      </c>
      <c r="O392" s="110">
        <v>29.9</v>
      </c>
      <c r="R392" s="110">
        <v>299.89</v>
      </c>
      <c r="S392" s="110">
        <v>85</v>
      </c>
      <c r="T392" s="110">
        <v>0</v>
      </c>
      <c r="U392" s="110">
        <v>42.99</v>
      </c>
      <c r="X392">
        <v>126.99999999999997</v>
      </c>
      <c r="Y392">
        <v>44.9</v>
      </c>
      <c r="Z392">
        <v>44.9</v>
      </c>
      <c r="AA392">
        <v>0</v>
      </c>
      <c r="AB392" t="s">
        <v>324</v>
      </c>
      <c r="AF392" t="s">
        <v>1457</v>
      </c>
      <c r="AG392" t="s">
        <v>1457</v>
      </c>
      <c r="AH392" t="s">
        <v>1175</v>
      </c>
      <c r="AI392">
        <v>99999</v>
      </c>
      <c r="AJ392">
        <v>99999</v>
      </c>
      <c r="AK392">
        <v>699</v>
      </c>
      <c r="AL392" t="b">
        <v>1</v>
      </c>
      <c r="AM392" t="b">
        <v>1</v>
      </c>
      <c r="AN392" t="b">
        <v>0</v>
      </c>
      <c r="AO392">
        <v>99999</v>
      </c>
      <c r="AP392" t="s">
        <v>64</v>
      </c>
      <c r="AR392" t="b">
        <v>0</v>
      </c>
      <c r="AS392">
        <v>12</v>
      </c>
      <c r="AT392" t="s">
        <v>327</v>
      </c>
      <c r="AV392" t="s">
        <v>1476</v>
      </c>
      <c r="CRL392">
        <v>12</v>
      </c>
    </row>
    <row r="393" spans="1:48 2508:2508" x14ac:dyDescent="0.25">
      <c r="A393" t="s">
        <v>3323</v>
      </c>
      <c r="B393" t="s">
        <v>302</v>
      </c>
      <c r="C393" t="s">
        <v>62</v>
      </c>
      <c r="D393">
        <v>99999</v>
      </c>
      <c r="F393" s="109">
        <v>10000</v>
      </c>
      <c r="G393" t="b">
        <v>0</v>
      </c>
      <c r="H393" t="s">
        <v>337</v>
      </c>
      <c r="K393" t="s">
        <v>349</v>
      </c>
      <c r="L393" t="s">
        <v>303</v>
      </c>
      <c r="M393" t="s">
        <v>323</v>
      </c>
      <c r="N393" t="s">
        <v>63</v>
      </c>
      <c r="O393" s="110">
        <v>39.9</v>
      </c>
      <c r="R393" s="110">
        <v>259.89</v>
      </c>
      <c r="S393" s="110">
        <v>79.900000000000006</v>
      </c>
      <c r="T393" s="110">
        <v>0</v>
      </c>
      <c r="U393" s="110">
        <v>42.99</v>
      </c>
      <c r="X393">
        <v>92.099999999999966</v>
      </c>
      <c r="Y393">
        <v>44.9</v>
      </c>
      <c r="Z393">
        <v>44.9</v>
      </c>
      <c r="AA393">
        <v>0</v>
      </c>
      <c r="AB393" t="s">
        <v>324</v>
      </c>
      <c r="AF393" t="s">
        <v>1242</v>
      </c>
      <c r="AG393" t="s">
        <v>1242</v>
      </c>
      <c r="AH393" t="s">
        <v>1175</v>
      </c>
      <c r="AI393">
        <v>99999</v>
      </c>
      <c r="AJ393">
        <v>99999</v>
      </c>
      <c r="AK393">
        <v>699</v>
      </c>
      <c r="AL393" t="b">
        <v>1</v>
      </c>
      <c r="AM393" t="b">
        <v>1</v>
      </c>
      <c r="AN393" t="b">
        <v>0</v>
      </c>
      <c r="AO393">
        <v>99999</v>
      </c>
      <c r="AP393" t="s">
        <v>64</v>
      </c>
      <c r="AR393" t="b">
        <v>0</v>
      </c>
      <c r="AS393">
        <v>12</v>
      </c>
      <c r="AT393" t="s">
        <v>327</v>
      </c>
      <c r="AV393" t="s">
        <v>1261</v>
      </c>
      <c r="CRL393">
        <v>12</v>
      </c>
    </row>
    <row r="394" spans="1:48 2508:2508" x14ac:dyDescent="0.25">
      <c r="A394" t="s">
        <v>3323</v>
      </c>
      <c r="B394" t="s">
        <v>302</v>
      </c>
      <c r="C394" t="s">
        <v>62</v>
      </c>
      <c r="D394">
        <v>99999</v>
      </c>
      <c r="F394" s="109">
        <v>10000</v>
      </c>
      <c r="G394" t="b">
        <v>0</v>
      </c>
      <c r="H394" t="s">
        <v>337</v>
      </c>
      <c r="K394" t="s">
        <v>349</v>
      </c>
      <c r="L394" t="s">
        <v>303</v>
      </c>
      <c r="M394" t="s">
        <v>323</v>
      </c>
      <c r="N394" t="s">
        <v>63</v>
      </c>
      <c r="O394" s="110">
        <v>39.9</v>
      </c>
      <c r="R394" s="110">
        <v>279.89</v>
      </c>
      <c r="S394" s="110">
        <v>79.900000000000006</v>
      </c>
      <c r="T394" s="110">
        <v>0</v>
      </c>
      <c r="U394" s="110">
        <v>42.99</v>
      </c>
      <c r="X394">
        <v>112.09999999999997</v>
      </c>
      <c r="Y394">
        <v>44.9</v>
      </c>
      <c r="Z394">
        <v>44.9</v>
      </c>
      <c r="AA394">
        <v>0</v>
      </c>
      <c r="AB394" t="s">
        <v>324</v>
      </c>
      <c r="AF394" t="s">
        <v>1376</v>
      </c>
      <c r="AG394" t="s">
        <v>1376</v>
      </c>
      <c r="AH394" t="s">
        <v>1175</v>
      </c>
      <c r="AI394">
        <v>99999</v>
      </c>
      <c r="AJ394">
        <v>99999</v>
      </c>
      <c r="AK394">
        <v>699</v>
      </c>
      <c r="AL394" t="b">
        <v>1</v>
      </c>
      <c r="AM394" t="b">
        <v>1</v>
      </c>
      <c r="AN394" t="b">
        <v>0</v>
      </c>
      <c r="AO394">
        <v>99999</v>
      </c>
      <c r="AP394" t="s">
        <v>64</v>
      </c>
      <c r="AR394" t="b">
        <v>0</v>
      </c>
      <c r="AS394">
        <v>12</v>
      </c>
      <c r="AT394" t="s">
        <v>327</v>
      </c>
      <c r="AV394" t="s">
        <v>1395</v>
      </c>
      <c r="CRL394">
        <v>12</v>
      </c>
    </row>
    <row r="395" spans="1:48 2508:2508" x14ac:dyDescent="0.25">
      <c r="A395" t="s">
        <v>3323</v>
      </c>
      <c r="B395" t="s">
        <v>302</v>
      </c>
      <c r="C395" t="s">
        <v>62</v>
      </c>
      <c r="D395">
        <v>99999</v>
      </c>
      <c r="F395" s="109">
        <v>10000</v>
      </c>
      <c r="G395" t="b">
        <v>0</v>
      </c>
      <c r="H395" t="s">
        <v>337</v>
      </c>
      <c r="K395" t="s">
        <v>349</v>
      </c>
      <c r="L395" t="s">
        <v>303</v>
      </c>
      <c r="M395" t="s">
        <v>323</v>
      </c>
      <c r="N395" t="s">
        <v>63</v>
      </c>
      <c r="O395" s="110">
        <v>39.9</v>
      </c>
      <c r="R395" s="110">
        <v>299.89</v>
      </c>
      <c r="S395" s="110">
        <v>85</v>
      </c>
      <c r="T395" s="110">
        <v>0</v>
      </c>
      <c r="U395" s="110">
        <v>42.99</v>
      </c>
      <c r="X395">
        <v>126.99999999999997</v>
      </c>
      <c r="Y395">
        <v>44.9</v>
      </c>
      <c r="Z395">
        <v>44.9</v>
      </c>
      <c r="AA395">
        <v>0</v>
      </c>
      <c r="AB395" t="s">
        <v>324</v>
      </c>
      <c r="AF395" t="s">
        <v>1524</v>
      </c>
      <c r="AG395" t="s">
        <v>1524</v>
      </c>
      <c r="AH395" t="s">
        <v>1175</v>
      </c>
      <c r="AI395">
        <v>99999</v>
      </c>
      <c r="AJ395">
        <v>99999</v>
      </c>
      <c r="AK395">
        <v>699</v>
      </c>
      <c r="AL395" t="b">
        <v>1</v>
      </c>
      <c r="AM395" t="b">
        <v>1</v>
      </c>
      <c r="AN395" t="b">
        <v>0</v>
      </c>
      <c r="AO395">
        <v>99999</v>
      </c>
      <c r="AP395" t="s">
        <v>64</v>
      </c>
      <c r="AR395" t="b">
        <v>0</v>
      </c>
      <c r="AS395">
        <v>12</v>
      </c>
      <c r="AT395" t="s">
        <v>327</v>
      </c>
      <c r="AV395" t="s">
        <v>1543</v>
      </c>
      <c r="CRL395">
        <v>12</v>
      </c>
    </row>
    <row r="396" spans="1:48 2508:2508" x14ac:dyDescent="0.25">
      <c r="A396" t="s">
        <v>3323</v>
      </c>
      <c r="B396" t="s">
        <v>302</v>
      </c>
      <c r="C396" t="s">
        <v>62</v>
      </c>
      <c r="D396">
        <v>99999</v>
      </c>
      <c r="F396" s="109">
        <v>10000</v>
      </c>
      <c r="G396" t="b">
        <v>0</v>
      </c>
      <c r="H396" t="s">
        <v>337</v>
      </c>
      <c r="K396" t="s">
        <v>349</v>
      </c>
      <c r="L396" t="s">
        <v>303</v>
      </c>
      <c r="M396" t="s">
        <v>323</v>
      </c>
      <c r="N396" t="s">
        <v>63</v>
      </c>
      <c r="O396" s="110">
        <v>49.9</v>
      </c>
      <c r="R396" s="110">
        <v>285.68999999999994</v>
      </c>
      <c r="S396" s="110">
        <v>130</v>
      </c>
      <c r="T396" s="110">
        <v>0</v>
      </c>
      <c r="U396" s="110">
        <v>34.99</v>
      </c>
      <c r="X396">
        <v>75.799999999999983</v>
      </c>
      <c r="Y396">
        <v>44.9</v>
      </c>
      <c r="Z396">
        <v>44.9</v>
      </c>
      <c r="AA396">
        <v>0</v>
      </c>
      <c r="AB396" t="s">
        <v>324</v>
      </c>
      <c r="AF396" t="s">
        <v>2744</v>
      </c>
      <c r="AG396" t="s">
        <v>2744</v>
      </c>
      <c r="AH396" t="s">
        <v>1175</v>
      </c>
      <c r="AI396">
        <v>99999</v>
      </c>
      <c r="AJ396">
        <v>99999</v>
      </c>
      <c r="AK396">
        <v>699</v>
      </c>
      <c r="AL396" t="b">
        <v>1</v>
      </c>
      <c r="AM396" t="b">
        <v>1</v>
      </c>
      <c r="AN396" t="b">
        <v>0</v>
      </c>
      <c r="AO396">
        <v>99999</v>
      </c>
      <c r="AP396" t="s">
        <v>64</v>
      </c>
      <c r="AR396" t="b">
        <v>0</v>
      </c>
      <c r="AS396">
        <v>12</v>
      </c>
      <c r="AT396" t="s">
        <v>327</v>
      </c>
      <c r="AV396" t="s">
        <v>2763</v>
      </c>
      <c r="CRL396">
        <v>12</v>
      </c>
    </row>
    <row r="397" spans="1:48 2508:2508" x14ac:dyDescent="0.25">
      <c r="A397" t="s">
        <v>3323</v>
      </c>
      <c r="B397" t="s">
        <v>302</v>
      </c>
      <c r="C397" t="s">
        <v>62</v>
      </c>
      <c r="D397">
        <v>99999</v>
      </c>
      <c r="F397" s="109">
        <v>10000</v>
      </c>
      <c r="G397" t="b">
        <v>0</v>
      </c>
      <c r="H397" t="s">
        <v>337</v>
      </c>
      <c r="K397" t="s">
        <v>349</v>
      </c>
      <c r="L397" t="s">
        <v>303</v>
      </c>
      <c r="M397" t="s">
        <v>323</v>
      </c>
      <c r="N397" t="s">
        <v>63</v>
      </c>
      <c r="O397" s="110">
        <v>49.9</v>
      </c>
      <c r="R397" s="110">
        <v>309.98999999999995</v>
      </c>
      <c r="S397" s="110">
        <v>130</v>
      </c>
      <c r="T397" s="110">
        <v>0</v>
      </c>
      <c r="U397" s="110">
        <v>42.99</v>
      </c>
      <c r="X397">
        <v>92.099999999999966</v>
      </c>
      <c r="Y397">
        <v>44.9</v>
      </c>
      <c r="Z397">
        <v>44.9</v>
      </c>
      <c r="AA397">
        <v>0</v>
      </c>
      <c r="AB397" t="s">
        <v>324</v>
      </c>
      <c r="AF397" t="s">
        <v>2818</v>
      </c>
      <c r="AG397" t="s">
        <v>2818</v>
      </c>
      <c r="AH397" t="s">
        <v>1175</v>
      </c>
      <c r="AI397">
        <v>99999</v>
      </c>
      <c r="AJ397">
        <v>99999</v>
      </c>
      <c r="AK397">
        <v>699</v>
      </c>
      <c r="AL397" t="b">
        <v>1</v>
      </c>
      <c r="AM397" t="b">
        <v>1</v>
      </c>
      <c r="AN397" t="b">
        <v>0</v>
      </c>
      <c r="AO397">
        <v>99999</v>
      </c>
      <c r="AP397" t="s">
        <v>64</v>
      </c>
      <c r="AR397" t="b">
        <v>0</v>
      </c>
      <c r="AS397">
        <v>12</v>
      </c>
      <c r="AT397" t="s">
        <v>327</v>
      </c>
      <c r="AV397" t="s">
        <v>2837</v>
      </c>
      <c r="CRL397">
        <v>12</v>
      </c>
    </row>
    <row r="398" spans="1:48 2508:2508" x14ac:dyDescent="0.25">
      <c r="A398" t="s">
        <v>3323</v>
      </c>
      <c r="B398" t="s">
        <v>302</v>
      </c>
      <c r="C398" t="s">
        <v>62</v>
      </c>
      <c r="D398">
        <v>99999</v>
      </c>
      <c r="F398" s="109">
        <v>10000</v>
      </c>
      <c r="G398" t="b">
        <v>0</v>
      </c>
      <c r="H398" t="s">
        <v>337</v>
      </c>
      <c r="K398" t="s">
        <v>349</v>
      </c>
      <c r="L398" t="s">
        <v>303</v>
      </c>
      <c r="M398" t="s">
        <v>323</v>
      </c>
      <c r="N398" t="s">
        <v>63</v>
      </c>
      <c r="O398" s="110">
        <v>49.9</v>
      </c>
      <c r="R398" s="110">
        <v>329.98999999999995</v>
      </c>
      <c r="S398" s="110">
        <v>130</v>
      </c>
      <c r="T398" s="110">
        <v>0</v>
      </c>
      <c r="U398" s="110">
        <v>42.99</v>
      </c>
      <c r="X398">
        <v>112.09999999999997</v>
      </c>
      <c r="Y398">
        <v>44.9</v>
      </c>
      <c r="Z398">
        <v>44.9</v>
      </c>
      <c r="AA398">
        <v>0</v>
      </c>
      <c r="AB398" t="s">
        <v>324</v>
      </c>
      <c r="AF398" t="s">
        <v>2885</v>
      </c>
      <c r="AG398" t="s">
        <v>2885</v>
      </c>
      <c r="AH398" t="s">
        <v>1175</v>
      </c>
      <c r="AI398">
        <v>99999</v>
      </c>
      <c r="AJ398">
        <v>99999</v>
      </c>
      <c r="AK398">
        <v>699</v>
      </c>
      <c r="AL398" t="b">
        <v>1</v>
      </c>
      <c r="AM398" t="b">
        <v>1</v>
      </c>
      <c r="AN398" t="b">
        <v>0</v>
      </c>
      <c r="AO398">
        <v>99999</v>
      </c>
      <c r="AP398" t="s">
        <v>64</v>
      </c>
      <c r="AR398" t="b">
        <v>0</v>
      </c>
      <c r="AS398">
        <v>12</v>
      </c>
      <c r="AT398" t="s">
        <v>327</v>
      </c>
      <c r="AV398" t="s">
        <v>2904</v>
      </c>
      <c r="CRL398">
        <v>12</v>
      </c>
    </row>
    <row r="399" spans="1:48 2508:2508" x14ac:dyDescent="0.25">
      <c r="A399" t="s">
        <v>3323</v>
      </c>
      <c r="B399" t="s">
        <v>302</v>
      </c>
      <c r="C399" t="s">
        <v>62</v>
      </c>
      <c r="D399">
        <v>99999</v>
      </c>
      <c r="F399" s="109">
        <v>10000</v>
      </c>
      <c r="G399" t="b">
        <v>0</v>
      </c>
      <c r="H399" t="s">
        <v>337</v>
      </c>
      <c r="K399" t="s">
        <v>349</v>
      </c>
      <c r="L399" t="s">
        <v>303</v>
      </c>
      <c r="M399" t="s">
        <v>323</v>
      </c>
      <c r="N399" t="s">
        <v>63</v>
      </c>
      <c r="O399" s="110">
        <v>49.9</v>
      </c>
      <c r="R399" s="110">
        <v>344.89</v>
      </c>
      <c r="S399" s="110">
        <v>130</v>
      </c>
      <c r="T399" s="110">
        <v>0</v>
      </c>
      <c r="U399" s="110">
        <v>42.99</v>
      </c>
      <c r="X399">
        <v>126.99999999999997</v>
      </c>
      <c r="Y399">
        <v>44.9</v>
      </c>
      <c r="Z399">
        <v>44.9</v>
      </c>
      <c r="AA399">
        <v>0</v>
      </c>
      <c r="AB399" t="s">
        <v>324</v>
      </c>
      <c r="AF399" t="s">
        <v>2959</v>
      </c>
      <c r="AG399" t="s">
        <v>2959</v>
      </c>
      <c r="AH399" t="s">
        <v>1175</v>
      </c>
      <c r="AI399">
        <v>99999</v>
      </c>
      <c r="AJ399">
        <v>99999</v>
      </c>
      <c r="AK399">
        <v>699</v>
      </c>
      <c r="AL399" t="b">
        <v>1</v>
      </c>
      <c r="AM399" t="b">
        <v>1</v>
      </c>
      <c r="AN399" t="b">
        <v>0</v>
      </c>
      <c r="AO399">
        <v>99999</v>
      </c>
      <c r="AP399" t="s">
        <v>64</v>
      </c>
      <c r="AR399" t="b">
        <v>0</v>
      </c>
      <c r="AS399">
        <v>12</v>
      </c>
      <c r="AT399" t="s">
        <v>327</v>
      </c>
      <c r="AV399" t="s">
        <v>2978</v>
      </c>
      <c r="CRL399">
        <v>12</v>
      </c>
    </row>
    <row r="400" spans="1:48 2508:2508" x14ac:dyDescent="0.25">
      <c r="A400" t="s">
        <v>3323</v>
      </c>
      <c r="B400" t="s">
        <v>302</v>
      </c>
      <c r="C400" t="s">
        <v>62</v>
      </c>
      <c r="D400">
        <v>99999</v>
      </c>
      <c r="F400" s="109">
        <v>10000</v>
      </c>
      <c r="G400" t="b">
        <v>0</v>
      </c>
      <c r="H400" t="s">
        <v>337</v>
      </c>
      <c r="K400" t="s">
        <v>393</v>
      </c>
      <c r="L400" t="s">
        <v>303</v>
      </c>
      <c r="M400" t="s">
        <v>323</v>
      </c>
      <c r="N400" t="s">
        <v>63</v>
      </c>
      <c r="O400" s="110">
        <v>29.9</v>
      </c>
      <c r="R400" s="110">
        <v>284.89</v>
      </c>
      <c r="S400" s="110">
        <v>79.900000000000006</v>
      </c>
      <c r="T400" s="110">
        <v>0</v>
      </c>
      <c r="U400" s="110">
        <v>42.99</v>
      </c>
      <c r="X400">
        <v>92.099999999999966</v>
      </c>
      <c r="Y400">
        <v>69.900000000000006</v>
      </c>
      <c r="Z400">
        <v>69.900000000000006</v>
      </c>
      <c r="AA400">
        <v>0</v>
      </c>
      <c r="AB400" t="s">
        <v>363</v>
      </c>
      <c r="AF400" t="s">
        <v>1202</v>
      </c>
      <c r="AG400" t="s">
        <v>1202</v>
      </c>
      <c r="AH400" t="s">
        <v>1175</v>
      </c>
      <c r="AI400">
        <v>99999</v>
      </c>
      <c r="AJ400">
        <v>99999</v>
      </c>
      <c r="AK400">
        <v>699</v>
      </c>
      <c r="AL400" t="b">
        <v>1</v>
      </c>
      <c r="AM400" t="b">
        <v>1</v>
      </c>
      <c r="AN400" t="b">
        <v>0</v>
      </c>
      <c r="AO400">
        <v>99999</v>
      </c>
      <c r="AP400" t="s">
        <v>64</v>
      </c>
      <c r="AR400" t="b">
        <v>0</v>
      </c>
      <c r="AS400">
        <v>12</v>
      </c>
      <c r="AT400" t="s">
        <v>327</v>
      </c>
      <c r="AV400" t="s">
        <v>1234</v>
      </c>
      <c r="CRL400">
        <v>12</v>
      </c>
    </row>
    <row r="401" spans="1:48 2508:2508" x14ac:dyDescent="0.25">
      <c r="A401" t="s">
        <v>3323</v>
      </c>
      <c r="B401" t="s">
        <v>302</v>
      </c>
      <c r="C401" t="s">
        <v>62</v>
      </c>
      <c r="D401">
        <v>99999</v>
      </c>
      <c r="F401" s="109">
        <v>10000</v>
      </c>
      <c r="G401" t="b">
        <v>0</v>
      </c>
      <c r="H401" t="s">
        <v>337</v>
      </c>
      <c r="K401" t="s">
        <v>393</v>
      </c>
      <c r="L401" t="s">
        <v>303</v>
      </c>
      <c r="M401" t="s">
        <v>323</v>
      </c>
      <c r="N401" t="s">
        <v>63</v>
      </c>
      <c r="O401" s="110">
        <v>29.9</v>
      </c>
      <c r="R401" s="110">
        <v>304.89</v>
      </c>
      <c r="S401" s="110">
        <v>79.900000000000006</v>
      </c>
      <c r="T401" s="110">
        <v>0</v>
      </c>
      <c r="U401" s="110">
        <v>42.99</v>
      </c>
      <c r="X401">
        <v>112.09999999999997</v>
      </c>
      <c r="Y401">
        <v>69.900000000000006</v>
      </c>
      <c r="Z401">
        <v>69.900000000000006</v>
      </c>
      <c r="AA401">
        <v>0</v>
      </c>
      <c r="AB401" t="s">
        <v>363</v>
      </c>
      <c r="AF401" t="s">
        <v>1336</v>
      </c>
      <c r="AG401" t="s">
        <v>1336</v>
      </c>
      <c r="AH401" t="s">
        <v>1175</v>
      </c>
      <c r="AI401">
        <v>99999</v>
      </c>
      <c r="AJ401">
        <v>99999</v>
      </c>
      <c r="AK401">
        <v>699</v>
      </c>
      <c r="AL401" t="b">
        <v>1</v>
      </c>
      <c r="AM401" t="b">
        <v>1</v>
      </c>
      <c r="AN401" t="b">
        <v>0</v>
      </c>
      <c r="AO401">
        <v>99999</v>
      </c>
      <c r="AP401" t="s">
        <v>64</v>
      </c>
      <c r="AR401" t="b">
        <v>0</v>
      </c>
      <c r="AS401">
        <v>12</v>
      </c>
      <c r="AT401" t="s">
        <v>327</v>
      </c>
      <c r="AV401" t="s">
        <v>1368</v>
      </c>
      <c r="CRL401">
        <v>12</v>
      </c>
    </row>
    <row r="402" spans="1:48 2508:2508" x14ac:dyDescent="0.25">
      <c r="A402" t="s">
        <v>3323</v>
      </c>
      <c r="B402" t="s">
        <v>302</v>
      </c>
      <c r="C402" t="s">
        <v>62</v>
      </c>
      <c r="D402">
        <v>99999</v>
      </c>
      <c r="F402" s="109">
        <v>10000</v>
      </c>
      <c r="G402" t="b">
        <v>0</v>
      </c>
      <c r="H402" t="s">
        <v>337</v>
      </c>
      <c r="K402" t="s">
        <v>393</v>
      </c>
      <c r="L402" t="s">
        <v>303</v>
      </c>
      <c r="M402" t="s">
        <v>323</v>
      </c>
      <c r="N402" t="s">
        <v>63</v>
      </c>
      <c r="O402" s="110">
        <v>29.9</v>
      </c>
      <c r="R402" s="110">
        <v>324.89</v>
      </c>
      <c r="S402" s="110">
        <v>85</v>
      </c>
      <c r="T402" s="110">
        <v>0</v>
      </c>
      <c r="U402" s="110">
        <v>42.99</v>
      </c>
      <c r="X402">
        <v>126.99999999999997</v>
      </c>
      <c r="Y402">
        <v>69.900000000000006</v>
      </c>
      <c r="Z402">
        <v>69.900000000000006</v>
      </c>
      <c r="AA402">
        <v>0</v>
      </c>
      <c r="AB402" t="s">
        <v>363</v>
      </c>
      <c r="AF402" t="s">
        <v>1484</v>
      </c>
      <c r="AG402" t="s">
        <v>1484</v>
      </c>
      <c r="AH402" t="s">
        <v>1175</v>
      </c>
      <c r="AI402">
        <v>99999</v>
      </c>
      <c r="AJ402">
        <v>99999</v>
      </c>
      <c r="AK402">
        <v>699</v>
      </c>
      <c r="AL402" t="b">
        <v>1</v>
      </c>
      <c r="AM402" t="b">
        <v>1</v>
      </c>
      <c r="AN402" t="b">
        <v>0</v>
      </c>
      <c r="AO402">
        <v>99999</v>
      </c>
      <c r="AP402" t="s">
        <v>64</v>
      </c>
      <c r="AR402" t="b">
        <v>0</v>
      </c>
      <c r="AS402">
        <v>12</v>
      </c>
      <c r="AT402" t="s">
        <v>327</v>
      </c>
      <c r="AV402" t="s">
        <v>1516</v>
      </c>
      <c r="CRL402">
        <v>12</v>
      </c>
    </row>
    <row r="403" spans="1:48 2508:2508" x14ac:dyDescent="0.25">
      <c r="A403" t="s">
        <v>3323</v>
      </c>
      <c r="B403" t="s">
        <v>302</v>
      </c>
      <c r="C403" t="s">
        <v>62</v>
      </c>
      <c r="D403">
        <v>99999</v>
      </c>
      <c r="F403" s="109">
        <v>10000</v>
      </c>
      <c r="G403" t="b">
        <v>0</v>
      </c>
      <c r="H403" t="s">
        <v>337</v>
      </c>
      <c r="K403" t="s">
        <v>393</v>
      </c>
      <c r="L403" t="s">
        <v>303</v>
      </c>
      <c r="M403" t="s">
        <v>323</v>
      </c>
      <c r="N403" t="s">
        <v>63</v>
      </c>
      <c r="O403" s="110">
        <v>39.9</v>
      </c>
      <c r="R403" s="110">
        <v>284.89</v>
      </c>
      <c r="S403" s="110">
        <v>79.900000000000006</v>
      </c>
      <c r="T403" s="110">
        <v>0</v>
      </c>
      <c r="U403" s="110">
        <v>42.99</v>
      </c>
      <c r="X403">
        <v>92.099999999999966</v>
      </c>
      <c r="Y403">
        <v>69.900000000000006</v>
      </c>
      <c r="Z403">
        <v>69.900000000000006</v>
      </c>
      <c r="AA403">
        <v>0</v>
      </c>
      <c r="AB403" t="s">
        <v>363</v>
      </c>
      <c r="AF403" t="s">
        <v>1269</v>
      </c>
      <c r="AG403" t="s">
        <v>1269</v>
      </c>
      <c r="AH403" t="s">
        <v>1175</v>
      </c>
      <c r="AI403">
        <v>99999</v>
      </c>
      <c r="AJ403">
        <v>99999</v>
      </c>
      <c r="AK403">
        <v>699</v>
      </c>
      <c r="AL403" t="b">
        <v>1</v>
      </c>
      <c r="AM403" t="b">
        <v>1</v>
      </c>
      <c r="AN403" t="b">
        <v>0</v>
      </c>
      <c r="AO403">
        <v>99999</v>
      </c>
      <c r="AP403" t="s">
        <v>64</v>
      </c>
      <c r="AR403" t="b">
        <v>0</v>
      </c>
      <c r="AS403">
        <v>12</v>
      </c>
      <c r="AT403" t="s">
        <v>327</v>
      </c>
      <c r="AV403" t="s">
        <v>1301</v>
      </c>
      <c r="CRL403">
        <v>12</v>
      </c>
    </row>
    <row r="404" spans="1:48 2508:2508" x14ac:dyDescent="0.25">
      <c r="A404" t="s">
        <v>3323</v>
      </c>
      <c r="B404" t="s">
        <v>302</v>
      </c>
      <c r="C404" t="s">
        <v>62</v>
      </c>
      <c r="D404">
        <v>99999</v>
      </c>
      <c r="F404" s="109">
        <v>10000</v>
      </c>
      <c r="G404" t="b">
        <v>0</v>
      </c>
      <c r="H404" t="s">
        <v>337</v>
      </c>
      <c r="K404" t="s">
        <v>393</v>
      </c>
      <c r="L404" t="s">
        <v>303</v>
      </c>
      <c r="M404" t="s">
        <v>323</v>
      </c>
      <c r="N404" t="s">
        <v>63</v>
      </c>
      <c r="O404" s="110">
        <v>39.9</v>
      </c>
      <c r="R404" s="110">
        <v>304.89</v>
      </c>
      <c r="S404" s="110">
        <v>79.900000000000006</v>
      </c>
      <c r="T404" s="110">
        <v>0</v>
      </c>
      <c r="U404" s="110">
        <v>42.99</v>
      </c>
      <c r="X404">
        <v>112.09999999999997</v>
      </c>
      <c r="Y404">
        <v>69.900000000000006</v>
      </c>
      <c r="Z404">
        <v>69.900000000000006</v>
      </c>
      <c r="AA404">
        <v>0</v>
      </c>
      <c r="AB404" t="s">
        <v>363</v>
      </c>
      <c r="AF404" t="s">
        <v>1403</v>
      </c>
      <c r="AG404" t="s">
        <v>1403</v>
      </c>
      <c r="AH404" t="s">
        <v>1175</v>
      </c>
      <c r="AI404">
        <v>99999</v>
      </c>
      <c r="AJ404">
        <v>99999</v>
      </c>
      <c r="AK404">
        <v>699</v>
      </c>
      <c r="AL404" t="b">
        <v>1</v>
      </c>
      <c r="AM404" t="b">
        <v>1</v>
      </c>
      <c r="AN404" t="b">
        <v>0</v>
      </c>
      <c r="AO404">
        <v>99999</v>
      </c>
      <c r="AP404" t="s">
        <v>64</v>
      </c>
      <c r="AR404" t="b">
        <v>0</v>
      </c>
      <c r="AS404">
        <v>12</v>
      </c>
      <c r="AT404" t="s">
        <v>327</v>
      </c>
      <c r="AV404" t="s">
        <v>1435</v>
      </c>
      <c r="CRL404">
        <v>12</v>
      </c>
    </row>
    <row r="405" spans="1:48 2508:2508" x14ac:dyDescent="0.25">
      <c r="A405" t="s">
        <v>3323</v>
      </c>
      <c r="B405" t="s">
        <v>302</v>
      </c>
      <c r="C405" t="s">
        <v>62</v>
      </c>
      <c r="D405">
        <v>99999</v>
      </c>
      <c r="F405" s="109">
        <v>10000</v>
      </c>
      <c r="G405" t="b">
        <v>0</v>
      </c>
      <c r="H405" t="s">
        <v>337</v>
      </c>
      <c r="K405" t="s">
        <v>393</v>
      </c>
      <c r="L405" t="s">
        <v>303</v>
      </c>
      <c r="M405" t="s">
        <v>323</v>
      </c>
      <c r="N405" t="s">
        <v>63</v>
      </c>
      <c r="O405" s="110">
        <v>39.9</v>
      </c>
      <c r="R405" s="110">
        <v>324.89</v>
      </c>
      <c r="S405" s="110">
        <v>85</v>
      </c>
      <c r="T405" s="110">
        <v>0</v>
      </c>
      <c r="U405" s="110">
        <v>42.99</v>
      </c>
      <c r="X405">
        <v>126.99999999999997</v>
      </c>
      <c r="Y405">
        <v>69.900000000000006</v>
      </c>
      <c r="Z405">
        <v>69.900000000000006</v>
      </c>
      <c r="AA405">
        <v>0</v>
      </c>
      <c r="AB405" t="s">
        <v>363</v>
      </c>
      <c r="AF405" t="s">
        <v>1551</v>
      </c>
      <c r="AG405" t="s">
        <v>1551</v>
      </c>
      <c r="AH405" t="s">
        <v>1175</v>
      </c>
      <c r="AI405">
        <v>99999</v>
      </c>
      <c r="AJ405">
        <v>99999</v>
      </c>
      <c r="AK405">
        <v>699</v>
      </c>
      <c r="AL405" t="b">
        <v>1</v>
      </c>
      <c r="AM405" t="b">
        <v>1</v>
      </c>
      <c r="AN405" t="b">
        <v>0</v>
      </c>
      <c r="AO405">
        <v>99999</v>
      </c>
      <c r="AP405" t="s">
        <v>64</v>
      </c>
      <c r="AR405" t="b">
        <v>0</v>
      </c>
      <c r="AS405">
        <v>12</v>
      </c>
      <c r="AT405" t="s">
        <v>327</v>
      </c>
      <c r="AV405" t="s">
        <v>1583</v>
      </c>
      <c r="CRL405">
        <v>12</v>
      </c>
    </row>
    <row r="406" spans="1:48 2508:2508" x14ac:dyDescent="0.25">
      <c r="A406" t="s">
        <v>3323</v>
      </c>
      <c r="B406" t="s">
        <v>302</v>
      </c>
      <c r="C406" t="s">
        <v>62</v>
      </c>
      <c r="D406">
        <v>99999</v>
      </c>
      <c r="F406" s="109">
        <v>10000</v>
      </c>
      <c r="G406" t="b">
        <v>0</v>
      </c>
      <c r="H406" t="s">
        <v>337</v>
      </c>
      <c r="K406" t="s">
        <v>393</v>
      </c>
      <c r="L406" t="s">
        <v>303</v>
      </c>
      <c r="M406" t="s">
        <v>323</v>
      </c>
      <c r="N406" t="s">
        <v>63</v>
      </c>
      <c r="O406" s="110">
        <v>49.9</v>
      </c>
      <c r="R406" s="110">
        <v>310.69</v>
      </c>
      <c r="S406" s="110">
        <v>130</v>
      </c>
      <c r="T406" s="110">
        <v>0</v>
      </c>
      <c r="U406" s="110">
        <v>34.99</v>
      </c>
      <c r="X406">
        <v>75.799999999999983</v>
      </c>
      <c r="Y406">
        <v>69.900000000000006</v>
      </c>
      <c r="Z406">
        <v>69.900000000000006</v>
      </c>
      <c r="AA406">
        <v>0</v>
      </c>
      <c r="AB406" t="s">
        <v>363</v>
      </c>
      <c r="AF406" t="s">
        <v>2771</v>
      </c>
      <c r="AG406" t="s">
        <v>2771</v>
      </c>
      <c r="AH406" t="s">
        <v>1175</v>
      </c>
      <c r="AI406">
        <v>99999</v>
      </c>
      <c r="AJ406">
        <v>99999</v>
      </c>
      <c r="AK406">
        <v>699</v>
      </c>
      <c r="AL406" t="b">
        <v>1</v>
      </c>
      <c r="AM406" t="b">
        <v>1</v>
      </c>
      <c r="AN406" t="b">
        <v>0</v>
      </c>
      <c r="AO406">
        <v>99999</v>
      </c>
      <c r="AP406" t="s">
        <v>64</v>
      </c>
      <c r="AR406" t="b">
        <v>0</v>
      </c>
      <c r="AS406">
        <v>12</v>
      </c>
      <c r="AT406" t="s">
        <v>327</v>
      </c>
      <c r="AV406" t="s">
        <v>2803</v>
      </c>
      <c r="CRL406">
        <v>12</v>
      </c>
    </row>
    <row r="407" spans="1:48 2508:2508" x14ac:dyDescent="0.25">
      <c r="A407" t="s">
        <v>3323</v>
      </c>
      <c r="B407" t="s">
        <v>302</v>
      </c>
      <c r="C407" t="s">
        <v>62</v>
      </c>
      <c r="D407">
        <v>99999</v>
      </c>
      <c r="F407" s="109">
        <v>10000</v>
      </c>
      <c r="G407" t="b">
        <v>0</v>
      </c>
      <c r="H407" t="s">
        <v>337</v>
      </c>
      <c r="K407" t="s">
        <v>393</v>
      </c>
      <c r="L407" t="s">
        <v>303</v>
      </c>
      <c r="M407" t="s">
        <v>323</v>
      </c>
      <c r="N407" t="s">
        <v>63</v>
      </c>
      <c r="O407" s="110">
        <v>49.9</v>
      </c>
      <c r="R407" s="110">
        <v>334.99</v>
      </c>
      <c r="S407" s="110">
        <v>130</v>
      </c>
      <c r="T407" s="110">
        <v>0</v>
      </c>
      <c r="U407" s="110">
        <v>42.99</v>
      </c>
      <c r="X407">
        <v>92.099999999999966</v>
      </c>
      <c r="Y407">
        <v>69.900000000000006</v>
      </c>
      <c r="Z407">
        <v>69.900000000000006</v>
      </c>
      <c r="AA407">
        <v>0</v>
      </c>
      <c r="AB407" t="s">
        <v>363</v>
      </c>
      <c r="AF407" t="s">
        <v>2845</v>
      </c>
      <c r="AG407" t="s">
        <v>2845</v>
      </c>
      <c r="AH407" t="s">
        <v>1175</v>
      </c>
      <c r="AI407">
        <v>99999</v>
      </c>
      <c r="AJ407">
        <v>99999</v>
      </c>
      <c r="AK407">
        <v>699</v>
      </c>
      <c r="AL407" t="b">
        <v>1</v>
      </c>
      <c r="AM407" t="b">
        <v>1</v>
      </c>
      <c r="AN407" t="b">
        <v>0</v>
      </c>
      <c r="AO407">
        <v>99999</v>
      </c>
      <c r="AP407" t="s">
        <v>64</v>
      </c>
      <c r="AR407" t="b">
        <v>0</v>
      </c>
      <c r="AS407">
        <v>12</v>
      </c>
      <c r="AT407" t="s">
        <v>327</v>
      </c>
      <c r="AV407" t="s">
        <v>2877</v>
      </c>
      <c r="CRL407">
        <v>12</v>
      </c>
    </row>
    <row r="408" spans="1:48 2508:2508" x14ac:dyDescent="0.25">
      <c r="A408" t="s">
        <v>3323</v>
      </c>
      <c r="B408" t="s">
        <v>302</v>
      </c>
      <c r="C408" t="s">
        <v>62</v>
      </c>
      <c r="D408">
        <v>99999</v>
      </c>
      <c r="F408" s="109">
        <v>10000</v>
      </c>
      <c r="G408" t="b">
        <v>0</v>
      </c>
      <c r="H408" t="s">
        <v>337</v>
      </c>
      <c r="K408" t="s">
        <v>393</v>
      </c>
      <c r="L408" t="s">
        <v>303</v>
      </c>
      <c r="M408" t="s">
        <v>323</v>
      </c>
      <c r="N408" t="s">
        <v>63</v>
      </c>
      <c r="O408" s="110">
        <v>49.9</v>
      </c>
      <c r="R408" s="110">
        <v>354.99</v>
      </c>
      <c r="S408" s="110">
        <v>130</v>
      </c>
      <c r="T408" s="110">
        <v>0</v>
      </c>
      <c r="U408" s="110">
        <v>42.99</v>
      </c>
      <c r="X408">
        <v>112.09999999999997</v>
      </c>
      <c r="Y408">
        <v>69.900000000000006</v>
      </c>
      <c r="Z408">
        <v>69.900000000000006</v>
      </c>
      <c r="AA408">
        <v>0</v>
      </c>
      <c r="AB408" t="s">
        <v>363</v>
      </c>
      <c r="AF408" t="s">
        <v>2912</v>
      </c>
      <c r="AG408" t="s">
        <v>2912</v>
      </c>
      <c r="AH408" t="s">
        <v>1175</v>
      </c>
      <c r="AI408">
        <v>99999</v>
      </c>
      <c r="AJ408">
        <v>99999</v>
      </c>
      <c r="AK408">
        <v>699</v>
      </c>
      <c r="AL408" t="b">
        <v>1</v>
      </c>
      <c r="AM408" t="b">
        <v>1</v>
      </c>
      <c r="AN408" t="b">
        <v>0</v>
      </c>
      <c r="AO408">
        <v>99999</v>
      </c>
      <c r="AP408" t="s">
        <v>64</v>
      </c>
      <c r="AR408" t="b">
        <v>0</v>
      </c>
      <c r="AS408">
        <v>12</v>
      </c>
      <c r="AT408" t="s">
        <v>327</v>
      </c>
      <c r="AV408" t="s">
        <v>2944</v>
      </c>
      <c r="CRL408">
        <v>12</v>
      </c>
    </row>
    <row r="409" spans="1:48 2508:2508" x14ac:dyDescent="0.25">
      <c r="A409" t="s">
        <v>3323</v>
      </c>
      <c r="B409" t="s">
        <v>302</v>
      </c>
      <c r="C409" t="s">
        <v>62</v>
      </c>
      <c r="D409">
        <v>99999</v>
      </c>
      <c r="F409" s="109">
        <v>10000</v>
      </c>
      <c r="G409" t="b">
        <v>0</v>
      </c>
      <c r="H409" t="s">
        <v>337</v>
      </c>
      <c r="K409" t="s">
        <v>393</v>
      </c>
      <c r="L409" t="s">
        <v>303</v>
      </c>
      <c r="M409" t="s">
        <v>323</v>
      </c>
      <c r="N409" t="s">
        <v>63</v>
      </c>
      <c r="O409" s="110">
        <v>49.9</v>
      </c>
      <c r="R409" s="110">
        <v>369.89</v>
      </c>
      <c r="S409" s="110">
        <v>130</v>
      </c>
      <c r="T409" s="110">
        <v>0</v>
      </c>
      <c r="U409" s="110">
        <v>42.99</v>
      </c>
      <c r="X409">
        <v>126.99999999999997</v>
      </c>
      <c r="Y409">
        <v>69.900000000000006</v>
      </c>
      <c r="Z409">
        <v>69.900000000000006</v>
      </c>
      <c r="AA409">
        <v>0</v>
      </c>
      <c r="AB409" t="s">
        <v>363</v>
      </c>
      <c r="AF409" t="s">
        <v>2986</v>
      </c>
      <c r="AG409" t="s">
        <v>2986</v>
      </c>
      <c r="AH409" t="s">
        <v>1175</v>
      </c>
      <c r="AI409">
        <v>99999</v>
      </c>
      <c r="AJ409">
        <v>99999</v>
      </c>
      <c r="AK409">
        <v>699</v>
      </c>
      <c r="AL409" t="b">
        <v>1</v>
      </c>
      <c r="AM409" t="b">
        <v>1</v>
      </c>
      <c r="AN409" t="b">
        <v>0</v>
      </c>
      <c r="AO409">
        <v>99999</v>
      </c>
      <c r="AP409" t="s">
        <v>64</v>
      </c>
      <c r="AR409" t="b">
        <v>0</v>
      </c>
      <c r="AS409">
        <v>12</v>
      </c>
      <c r="AT409" t="s">
        <v>327</v>
      </c>
      <c r="AV409" t="s">
        <v>3018</v>
      </c>
      <c r="CRL409">
        <v>12</v>
      </c>
    </row>
    <row r="410" spans="1:48 2508:2508" x14ac:dyDescent="0.25">
      <c r="A410" t="s">
        <v>3323</v>
      </c>
      <c r="B410" t="s">
        <v>302</v>
      </c>
      <c r="C410" t="s">
        <v>62</v>
      </c>
      <c r="D410">
        <v>99999</v>
      </c>
      <c r="F410" s="109">
        <v>10000</v>
      </c>
      <c r="G410" t="b">
        <v>0</v>
      </c>
      <c r="H410" t="s">
        <v>337</v>
      </c>
      <c r="K410" t="s">
        <v>364</v>
      </c>
      <c r="L410" t="s">
        <v>303</v>
      </c>
      <c r="M410" t="s">
        <v>323</v>
      </c>
      <c r="N410" t="s">
        <v>63</v>
      </c>
      <c r="O410" s="110">
        <v>29.9</v>
      </c>
      <c r="R410" s="110">
        <v>264.89</v>
      </c>
      <c r="S410" s="110">
        <v>79.900000000000006</v>
      </c>
      <c r="T410" s="110">
        <v>0</v>
      </c>
      <c r="U410" s="110">
        <v>42.99</v>
      </c>
      <c r="X410">
        <v>92.099999999999966</v>
      </c>
      <c r="Y410">
        <v>49.9</v>
      </c>
      <c r="Z410">
        <v>49.9</v>
      </c>
      <c r="AA410">
        <v>0</v>
      </c>
      <c r="AB410" t="s">
        <v>363</v>
      </c>
      <c r="AF410" t="s">
        <v>1202</v>
      </c>
      <c r="AG410" t="s">
        <v>1202</v>
      </c>
      <c r="AH410" t="s">
        <v>1175</v>
      </c>
      <c r="AI410">
        <v>99999</v>
      </c>
      <c r="AJ410">
        <v>99999</v>
      </c>
      <c r="AK410">
        <v>699</v>
      </c>
      <c r="AL410" t="b">
        <v>1</v>
      </c>
      <c r="AM410" t="b">
        <v>1</v>
      </c>
      <c r="AN410" t="b">
        <v>0</v>
      </c>
      <c r="AO410">
        <v>99999</v>
      </c>
      <c r="AP410" t="s">
        <v>64</v>
      </c>
      <c r="AR410" t="b">
        <v>0</v>
      </c>
      <c r="AS410">
        <v>12</v>
      </c>
      <c r="AT410" t="s">
        <v>327</v>
      </c>
      <c r="AV410" t="s">
        <v>1208</v>
      </c>
      <c r="CRL410">
        <v>12</v>
      </c>
    </row>
    <row r="411" spans="1:48 2508:2508" x14ac:dyDescent="0.25">
      <c r="A411" t="s">
        <v>3323</v>
      </c>
      <c r="B411" t="s">
        <v>302</v>
      </c>
      <c r="C411" t="s">
        <v>62</v>
      </c>
      <c r="D411">
        <v>99999</v>
      </c>
      <c r="F411" s="109">
        <v>10000</v>
      </c>
      <c r="G411" t="b">
        <v>0</v>
      </c>
      <c r="H411" t="s">
        <v>337</v>
      </c>
      <c r="K411" t="s">
        <v>364</v>
      </c>
      <c r="L411" t="s">
        <v>303</v>
      </c>
      <c r="M411" t="s">
        <v>323</v>
      </c>
      <c r="N411" t="s">
        <v>63</v>
      </c>
      <c r="O411" s="110">
        <v>29.9</v>
      </c>
      <c r="R411" s="110">
        <v>284.89</v>
      </c>
      <c r="S411" s="110">
        <v>79.900000000000006</v>
      </c>
      <c r="T411" s="110">
        <v>0</v>
      </c>
      <c r="U411" s="110">
        <v>42.99</v>
      </c>
      <c r="X411">
        <v>112.09999999999997</v>
      </c>
      <c r="Y411">
        <v>49.9</v>
      </c>
      <c r="Z411">
        <v>49.9</v>
      </c>
      <c r="AA411">
        <v>0</v>
      </c>
      <c r="AB411" t="s">
        <v>363</v>
      </c>
      <c r="AF411" t="s">
        <v>1336</v>
      </c>
      <c r="AG411" t="s">
        <v>1336</v>
      </c>
      <c r="AH411" t="s">
        <v>1175</v>
      </c>
      <c r="AI411">
        <v>99999</v>
      </c>
      <c r="AJ411">
        <v>99999</v>
      </c>
      <c r="AK411">
        <v>699</v>
      </c>
      <c r="AL411" t="b">
        <v>1</v>
      </c>
      <c r="AM411" t="b">
        <v>1</v>
      </c>
      <c r="AN411" t="b">
        <v>0</v>
      </c>
      <c r="AO411">
        <v>99999</v>
      </c>
      <c r="AP411" t="s">
        <v>64</v>
      </c>
      <c r="AR411" t="b">
        <v>0</v>
      </c>
      <c r="AS411">
        <v>12</v>
      </c>
      <c r="AT411" t="s">
        <v>327</v>
      </c>
      <c r="AV411" t="s">
        <v>1342</v>
      </c>
      <c r="CRL411">
        <v>12</v>
      </c>
    </row>
    <row r="412" spans="1:48 2508:2508" x14ac:dyDescent="0.25">
      <c r="A412" t="s">
        <v>3323</v>
      </c>
      <c r="B412" t="s">
        <v>302</v>
      </c>
      <c r="C412" t="s">
        <v>62</v>
      </c>
      <c r="D412">
        <v>99999</v>
      </c>
      <c r="F412" s="109">
        <v>10000</v>
      </c>
      <c r="G412" t="b">
        <v>0</v>
      </c>
      <c r="H412" t="s">
        <v>337</v>
      </c>
      <c r="K412" t="s">
        <v>364</v>
      </c>
      <c r="L412" t="s">
        <v>303</v>
      </c>
      <c r="M412" t="s">
        <v>323</v>
      </c>
      <c r="N412" t="s">
        <v>63</v>
      </c>
      <c r="O412" s="110">
        <v>29.9</v>
      </c>
      <c r="R412" s="110">
        <v>304.89</v>
      </c>
      <c r="S412" s="110">
        <v>85</v>
      </c>
      <c r="T412" s="110">
        <v>0</v>
      </c>
      <c r="U412" s="110">
        <v>42.99</v>
      </c>
      <c r="X412">
        <v>126.99999999999997</v>
      </c>
      <c r="Y412">
        <v>49.9</v>
      </c>
      <c r="Z412">
        <v>49.9</v>
      </c>
      <c r="AA412">
        <v>0</v>
      </c>
      <c r="AB412" t="s">
        <v>363</v>
      </c>
      <c r="AF412" t="s">
        <v>1484</v>
      </c>
      <c r="AG412" t="s">
        <v>1484</v>
      </c>
      <c r="AH412" t="s">
        <v>1175</v>
      </c>
      <c r="AI412">
        <v>99999</v>
      </c>
      <c r="AJ412">
        <v>99999</v>
      </c>
      <c r="AK412">
        <v>699</v>
      </c>
      <c r="AL412" t="b">
        <v>1</v>
      </c>
      <c r="AM412" t="b">
        <v>1</v>
      </c>
      <c r="AN412" t="b">
        <v>0</v>
      </c>
      <c r="AO412">
        <v>99999</v>
      </c>
      <c r="AP412" t="s">
        <v>64</v>
      </c>
      <c r="AR412" t="b">
        <v>0</v>
      </c>
      <c r="AS412">
        <v>12</v>
      </c>
      <c r="AT412" t="s">
        <v>327</v>
      </c>
      <c r="AV412" t="s">
        <v>1490</v>
      </c>
      <c r="CRL412">
        <v>12</v>
      </c>
    </row>
    <row r="413" spans="1:48 2508:2508" x14ac:dyDescent="0.25">
      <c r="A413" t="s">
        <v>3323</v>
      </c>
      <c r="B413" t="s">
        <v>302</v>
      </c>
      <c r="C413" t="s">
        <v>62</v>
      </c>
      <c r="D413">
        <v>99999</v>
      </c>
      <c r="F413" s="109">
        <v>10000</v>
      </c>
      <c r="G413" t="b">
        <v>0</v>
      </c>
      <c r="H413" t="s">
        <v>337</v>
      </c>
      <c r="K413" t="s">
        <v>364</v>
      </c>
      <c r="L413" t="s">
        <v>303</v>
      </c>
      <c r="M413" t="s">
        <v>323</v>
      </c>
      <c r="N413" t="s">
        <v>63</v>
      </c>
      <c r="O413" s="110">
        <v>39.9</v>
      </c>
      <c r="R413" s="110">
        <v>264.89</v>
      </c>
      <c r="S413" s="110">
        <v>79.900000000000006</v>
      </c>
      <c r="T413" s="110">
        <v>0</v>
      </c>
      <c r="U413" s="110">
        <v>42.99</v>
      </c>
      <c r="X413">
        <v>92.099999999999966</v>
      </c>
      <c r="Y413">
        <v>49.9</v>
      </c>
      <c r="Z413">
        <v>49.9</v>
      </c>
      <c r="AA413">
        <v>0</v>
      </c>
      <c r="AB413" t="s">
        <v>363</v>
      </c>
      <c r="AF413" t="s">
        <v>1269</v>
      </c>
      <c r="AG413" t="s">
        <v>1269</v>
      </c>
      <c r="AH413" t="s">
        <v>1175</v>
      </c>
      <c r="AI413">
        <v>99999</v>
      </c>
      <c r="AJ413">
        <v>99999</v>
      </c>
      <c r="AK413">
        <v>699</v>
      </c>
      <c r="AL413" t="b">
        <v>1</v>
      </c>
      <c r="AM413" t="b">
        <v>1</v>
      </c>
      <c r="AN413" t="b">
        <v>0</v>
      </c>
      <c r="AO413">
        <v>99999</v>
      </c>
      <c r="AP413" t="s">
        <v>64</v>
      </c>
      <c r="AR413" t="b">
        <v>0</v>
      </c>
      <c r="AS413">
        <v>12</v>
      </c>
      <c r="AT413" t="s">
        <v>327</v>
      </c>
      <c r="AV413" t="s">
        <v>1275</v>
      </c>
      <c r="CRL413">
        <v>12</v>
      </c>
    </row>
    <row r="414" spans="1:48 2508:2508" x14ac:dyDescent="0.25">
      <c r="A414" t="s">
        <v>3323</v>
      </c>
      <c r="B414" t="s">
        <v>302</v>
      </c>
      <c r="C414" t="s">
        <v>62</v>
      </c>
      <c r="D414">
        <v>99999</v>
      </c>
      <c r="F414" s="109">
        <v>10000</v>
      </c>
      <c r="G414" t="b">
        <v>0</v>
      </c>
      <c r="H414" t="s">
        <v>337</v>
      </c>
      <c r="K414" t="s">
        <v>364</v>
      </c>
      <c r="L414" t="s">
        <v>303</v>
      </c>
      <c r="M414" t="s">
        <v>323</v>
      </c>
      <c r="N414" t="s">
        <v>63</v>
      </c>
      <c r="O414" s="110">
        <v>39.9</v>
      </c>
      <c r="R414" s="110">
        <v>284.89</v>
      </c>
      <c r="S414" s="110">
        <v>79.900000000000006</v>
      </c>
      <c r="T414" s="110">
        <v>0</v>
      </c>
      <c r="U414" s="110">
        <v>42.99</v>
      </c>
      <c r="X414">
        <v>112.09999999999997</v>
      </c>
      <c r="Y414">
        <v>49.9</v>
      </c>
      <c r="Z414">
        <v>49.9</v>
      </c>
      <c r="AA414">
        <v>0</v>
      </c>
      <c r="AB414" t="s">
        <v>363</v>
      </c>
      <c r="AF414" t="s">
        <v>1403</v>
      </c>
      <c r="AG414" t="s">
        <v>1403</v>
      </c>
      <c r="AH414" t="s">
        <v>1175</v>
      </c>
      <c r="AI414">
        <v>99999</v>
      </c>
      <c r="AJ414">
        <v>99999</v>
      </c>
      <c r="AK414">
        <v>699</v>
      </c>
      <c r="AL414" t="b">
        <v>1</v>
      </c>
      <c r="AM414" t="b">
        <v>1</v>
      </c>
      <c r="AN414" t="b">
        <v>0</v>
      </c>
      <c r="AO414">
        <v>99999</v>
      </c>
      <c r="AP414" t="s">
        <v>64</v>
      </c>
      <c r="AR414" t="b">
        <v>0</v>
      </c>
      <c r="AS414">
        <v>12</v>
      </c>
      <c r="AT414" t="s">
        <v>327</v>
      </c>
      <c r="AV414" t="s">
        <v>1409</v>
      </c>
      <c r="CRL414">
        <v>12</v>
      </c>
    </row>
    <row r="415" spans="1:48 2508:2508" x14ac:dyDescent="0.25">
      <c r="A415" t="s">
        <v>3323</v>
      </c>
      <c r="B415" t="s">
        <v>302</v>
      </c>
      <c r="C415" t="s">
        <v>62</v>
      </c>
      <c r="D415">
        <v>99999</v>
      </c>
      <c r="F415" s="109">
        <v>10000</v>
      </c>
      <c r="G415" t="b">
        <v>0</v>
      </c>
      <c r="H415" t="s">
        <v>337</v>
      </c>
      <c r="K415" t="s">
        <v>364</v>
      </c>
      <c r="L415" t="s">
        <v>303</v>
      </c>
      <c r="M415" t="s">
        <v>323</v>
      </c>
      <c r="N415" t="s">
        <v>63</v>
      </c>
      <c r="O415" s="110">
        <v>39.9</v>
      </c>
      <c r="R415" s="110">
        <v>304.89</v>
      </c>
      <c r="S415" s="110">
        <v>85</v>
      </c>
      <c r="T415" s="110">
        <v>0</v>
      </c>
      <c r="U415" s="110">
        <v>42.99</v>
      </c>
      <c r="X415">
        <v>126.99999999999997</v>
      </c>
      <c r="Y415">
        <v>49.9</v>
      </c>
      <c r="Z415">
        <v>49.9</v>
      </c>
      <c r="AA415">
        <v>0</v>
      </c>
      <c r="AB415" t="s">
        <v>363</v>
      </c>
      <c r="AF415" t="s">
        <v>1551</v>
      </c>
      <c r="AG415" t="s">
        <v>1551</v>
      </c>
      <c r="AH415" t="s">
        <v>1175</v>
      </c>
      <c r="AI415">
        <v>99999</v>
      </c>
      <c r="AJ415">
        <v>99999</v>
      </c>
      <c r="AK415">
        <v>699</v>
      </c>
      <c r="AL415" t="b">
        <v>1</v>
      </c>
      <c r="AM415" t="b">
        <v>1</v>
      </c>
      <c r="AN415" t="b">
        <v>0</v>
      </c>
      <c r="AO415">
        <v>99999</v>
      </c>
      <c r="AP415" t="s">
        <v>64</v>
      </c>
      <c r="AR415" t="b">
        <v>0</v>
      </c>
      <c r="AS415">
        <v>12</v>
      </c>
      <c r="AT415" t="s">
        <v>327</v>
      </c>
      <c r="AV415" t="s">
        <v>1557</v>
      </c>
      <c r="CRL415">
        <v>12</v>
      </c>
    </row>
    <row r="416" spans="1:48 2508:2508" x14ac:dyDescent="0.25">
      <c r="A416" t="s">
        <v>3323</v>
      </c>
      <c r="B416" t="s">
        <v>302</v>
      </c>
      <c r="C416" t="s">
        <v>62</v>
      </c>
      <c r="D416">
        <v>99999</v>
      </c>
      <c r="F416" s="109">
        <v>10000</v>
      </c>
      <c r="G416" t="b">
        <v>0</v>
      </c>
      <c r="H416" t="s">
        <v>337</v>
      </c>
      <c r="K416" t="s">
        <v>364</v>
      </c>
      <c r="L416" t="s">
        <v>303</v>
      </c>
      <c r="M416" t="s">
        <v>323</v>
      </c>
      <c r="N416" t="s">
        <v>63</v>
      </c>
      <c r="O416" s="110">
        <v>49.9</v>
      </c>
      <c r="R416" s="110">
        <v>290.68999999999994</v>
      </c>
      <c r="S416" s="110">
        <v>130</v>
      </c>
      <c r="T416" s="110">
        <v>0</v>
      </c>
      <c r="U416" s="110">
        <v>34.99</v>
      </c>
      <c r="X416">
        <v>75.799999999999983</v>
      </c>
      <c r="Y416">
        <v>49.9</v>
      </c>
      <c r="Z416">
        <v>49.9</v>
      </c>
      <c r="AA416">
        <v>0</v>
      </c>
      <c r="AB416" t="s">
        <v>363</v>
      </c>
      <c r="AF416" t="s">
        <v>2771</v>
      </c>
      <c r="AG416" t="s">
        <v>2771</v>
      </c>
      <c r="AH416" t="s">
        <v>1175</v>
      </c>
      <c r="AI416">
        <v>99999</v>
      </c>
      <c r="AJ416">
        <v>99999</v>
      </c>
      <c r="AK416">
        <v>699</v>
      </c>
      <c r="AL416" t="b">
        <v>1</v>
      </c>
      <c r="AM416" t="b">
        <v>1</v>
      </c>
      <c r="AN416" t="b">
        <v>0</v>
      </c>
      <c r="AO416">
        <v>99999</v>
      </c>
      <c r="AP416" t="s">
        <v>64</v>
      </c>
      <c r="AR416" t="b">
        <v>0</v>
      </c>
      <c r="AS416">
        <v>12</v>
      </c>
      <c r="AT416" t="s">
        <v>327</v>
      </c>
      <c r="AV416" t="s">
        <v>2777</v>
      </c>
      <c r="CRL416">
        <v>12</v>
      </c>
    </row>
    <row r="417" spans="1:48 2508:2508" x14ac:dyDescent="0.25">
      <c r="A417" t="s">
        <v>3323</v>
      </c>
      <c r="B417" t="s">
        <v>302</v>
      </c>
      <c r="C417" t="s">
        <v>62</v>
      </c>
      <c r="D417">
        <v>99999</v>
      </c>
      <c r="F417" s="109">
        <v>10000</v>
      </c>
      <c r="G417" t="b">
        <v>0</v>
      </c>
      <c r="H417" t="s">
        <v>337</v>
      </c>
      <c r="K417" t="s">
        <v>364</v>
      </c>
      <c r="L417" t="s">
        <v>303</v>
      </c>
      <c r="M417" t="s">
        <v>323</v>
      </c>
      <c r="N417" t="s">
        <v>63</v>
      </c>
      <c r="O417" s="110">
        <v>49.9</v>
      </c>
      <c r="R417" s="110">
        <v>314.98999999999995</v>
      </c>
      <c r="S417" s="110">
        <v>130</v>
      </c>
      <c r="T417" s="110">
        <v>0</v>
      </c>
      <c r="U417" s="110">
        <v>42.99</v>
      </c>
      <c r="X417">
        <v>92.099999999999966</v>
      </c>
      <c r="Y417">
        <v>49.9</v>
      </c>
      <c r="Z417">
        <v>49.9</v>
      </c>
      <c r="AA417">
        <v>0</v>
      </c>
      <c r="AB417" t="s">
        <v>363</v>
      </c>
      <c r="AF417" t="s">
        <v>2845</v>
      </c>
      <c r="AG417" t="s">
        <v>2845</v>
      </c>
      <c r="AH417" t="s">
        <v>1175</v>
      </c>
      <c r="AI417">
        <v>99999</v>
      </c>
      <c r="AJ417">
        <v>99999</v>
      </c>
      <c r="AK417">
        <v>699</v>
      </c>
      <c r="AL417" t="b">
        <v>1</v>
      </c>
      <c r="AM417" t="b">
        <v>1</v>
      </c>
      <c r="AN417" t="b">
        <v>0</v>
      </c>
      <c r="AO417">
        <v>99999</v>
      </c>
      <c r="AP417" t="s">
        <v>64</v>
      </c>
      <c r="AR417" t="b">
        <v>0</v>
      </c>
      <c r="AS417">
        <v>12</v>
      </c>
      <c r="AT417" t="s">
        <v>327</v>
      </c>
      <c r="AV417" t="s">
        <v>2851</v>
      </c>
      <c r="CRL417">
        <v>12</v>
      </c>
    </row>
    <row r="418" spans="1:48 2508:2508" x14ac:dyDescent="0.25">
      <c r="A418" t="s">
        <v>3323</v>
      </c>
      <c r="B418" t="s">
        <v>302</v>
      </c>
      <c r="C418" t="s">
        <v>62</v>
      </c>
      <c r="D418">
        <v>99999</v>
      </c>
      <c r="F418" s="109">
        <v>10000</v>
      </c>
      <c r="G418" t="b">
        <v>0</v>
      </c>
      <c r="H418" t="s">
        <v>337</v>
      </c>
      <c r="K418" t="s">
        <v>364</v>
      </c>
      <c r="L418" t="s">
        <v>303</v>
      </c>
      <c r="M418" t="s">
        <v>323</v>
      </c>
      <c r="N418" t="s">
        <v>63</v>
      </c>
      <c r="O418" s="110">
        <v>49.9</v>
      </c>
      <c r="R418" s="110">
        <v>334.98999999999995</v>
      </c>
      <c r="S418" s="110">
        <v>130</v>
      </c>
      <c r="T418" s="110">
        <v>0</v>
      </c>
      <c r="U418" s="110">
        <v>42.99</v>
      </c>
      <c r="X418">
        <v>112.09999999999997</v>
      </c>
      <c r="Y418">
        <v>49.9</v>
      </c>
      <c r="Z418">
        <v>49.9</v>
      </c>
      <c r="AA418">
        <v>0</v>
      </c>
      <c r="AB418" t="s">
        <v>363</v>
      </c>
      <c r="AF418" t="s">
        <v>2912</v>
      </c>
      <c r="AG418" t="s">
        <v>2912</v>
      </c>
      <c r="AH418" t="s">
        <v>1175</v>
      </c>
      <c r="AI418">
        <v>99999</v>
      </c>
      <c r="AJ418">
        <v>99999</v>
      </c>
      <c r="AK418">
        <v>699</v>
      </c>
      <c r="AL418" t="b">
        <v>1</v>
      </c>
      <c r="AM418" t="b">
        <v>1</v>
      </c>
      <c r="AN418" t="b">
        <v>0</v>
      </c>
      <c r="AO418">
        <v>99999</v>
      </c>
      <c r="AP418" t="s">
        <v>64</v>
      </c>
      <c r="AR418" t="b">
        <v>0</v>
      </c>
      <c r="AS418">
        <v>12</v>
      </c>
      <c r="AT418" t="s">
        <v>327</v>
      </c>
      <c r="AV418" t="s">
        <v>2918</v>
      </c>
      <c r="CRL418">
        <v>12</v>
      </c>
    </row>
    <row r="419" spans="1:48 2508:2508" x14ac:dyDescent="0.25">
      <c r="A419" t="s">
        <v>3323</v>
      </c>
      <c r="B419" t="s">
        <v>302</v>
      </c>
      <c r="C419" t="s">
        <v>62</v>
      </c>
      <c r="D419">
        <v>99999</v>
      </c>
      <c r="F419" s="109">
        <v>10000</v>
      </c>
      <c r="G419" t="b">
        <v>0</v>
      </c>
      <c r="H419" t="s">
        <v>337</v>
      </c>
      <c r="K419" t="s">
        <v>364</v>
      </c>
      <c r="L419" t="s">
        <v>303</v>
      </c>
      <c r="M419" t="s">
        <v>323</v>
      </c>
      <c r="N419" t="s">
        <v>63</v>
      </c>
      <c r="O419" s="110">
        <v>49.9</v>
      </c>
      <c r="R419" s="110">
        <v>349.89</v>
      </c>
      <c r="S419" s="110">
        <v>130</v>
      </c>
      <c r="T419" s="110">
        <v>0</v>
      </c>
      <c r="U419" s="110">
        <v>42.99</v>
      </c>
      <c r="X419">
        <v>126.99999999999997</v>
      </c>
      <c r="Y419">
        <v>49.9</v>
      </c>
      <c r="Z419">
        <v>49.9</v>
      </c>
      <c r="AA419">
        <v>0</v>
      </c>
      <c r="AB419" t="s">
        <v>363</v>
      </c>
      <c r="AF419" t="s">
        <v>2986</v>
      </c>
      <c r="AG419" t="s">
        <v>2986</v>
      </c>
      <c r="AH419" t="s">
        <v>1175</v>
      </c>
      <c r="AI419">
        <v>99999</v>
      </c>
      <c r="AJ419">
        <v>99999</v>
      </c>
      <c r="AK419">
        <v>699</v>
      </c>
      <c r="AL419" t="b">
        <v>1</v>
      </c>
      <c r="AM419" t="b">
        <v>1</v>
      </c>
      <c r="AN419" t="b">
        <v>0</v>
      </c>
      <c r="AO419">
        <v>99999</v>
      </c>
      <c r="AP419" t="s">
        <v>64</v>
      </c>
      <c r="AR419" t="b">
        <v>0</v>
      </c>
      <c r="AS419">
        <v>12</v>
      </c>
      <c r="AT419" t="s">
        <v>327</v>
      </c>
      <c r="AV419" t="s">
        <v>2992</v>
      </c>
      <c r="CRL419">
        <v>12</v>
      </c>
    </row>
    <row r="420" spans="1:48 2508:2508" x14ac:dyDescent="0.25">
      <c r="A420" t="s">
        <v>3323</v>
      </c>
      <c r="B420" t="s">
        <v>302</v>
      </c>
      <c r="C420" t="s">
        <v>62</v>
      </c>
      <c r="D420">
        <v>99999</v>
      </c>
      <c r="F420" s="109">
        <v>10000</v>
      </c>
      <c r="G420" t="b">
        <v>0</v>
      </c>
      <c r="H420" t="s">
        <v>337</v>
      </c>
      <c r="K420" t="s">
        <v>379</v>
      </c>
      <c r="L420" t="s">
        <v>303</v>
      </c>
      <c r="M420" t="s">
        <v>323</v>
      </c>
      <c r="N420" t="s">
        <v>63</v>
      </c>
      <c r="O420" s="110">
        <v>29.9</v>
      </c>
      <c r="R420" s="110">
        <v>274.89</v>
      </c>
      <c r="S420" s="110">
        <v>79.900000000000006</v>
      </c>
      <c r="T420" s="110">
        <v>0</v>
      </c>
      <c r="U420" s="110">
        <v>42.99</v>
      </c>
      <c r="X420">
        <v>92.099999999999966</v>
      </c>
      <c r="Y420">
        <v>59.9</v>
      </c>
      <c r="Z420">
        <v>59.9</v>
      </c>
      <c r="AA420">
        <v>0</v>
      </c>
      <c r="AB420" t="s">
        <v>363</v>
      </c>
      <c r="AF420" t="s">
        <v>1202</v>
      </c>
      <c r="AG420" t="s">
        <v>1202</v>
      </c>
      <c r="AH420" t="s">
        <v>1175</v>
      </c>
      <c r="AI420">
        <v>99999</v>
      </c>
      <c r="AJ420">
        <v>99999</v>
      </c>
      <c r="AK420">
        <v>699</v>
      </c>
      <c r="AL420" t="b">
        <v>1</v>
      </c>
      <c r="AM420" t="b">
        <v>1</v>
      </c>
      <c r="AN420" t="b">
        <v>0</v>
      </c>
      <c r="AO420">
        <v>99999</v>
      </c>
      <c r="AP420" t="s">
        <v>64</v>
      </c>
      <c r="AR420" t="b">
        <v>0</v>
      </c>
      <c r="AS420">
        <v>12</v>
      </c>
      <c r="AT420" t="s">
        <v>327</v>
      </c>
      <c r="AV420" t="s">
        <v>1221</v>
      </c>
      <c r="CRL420">
        <v>12</v>
      </c>
    </row>
    <row r="421" spans="1:48 2508:2508" x14ac:dyDescent="0.25">
      <c r="A421" t="s">
        <v>3323</v>
      </c>
      <c r="B421" t="s">
        <v>302</v>
      </c>
      <c r="C421" t="s">
        <v>62</v>
      </c>
      <c r="D421">
        <v>99999</v>
      </c>
      <c r="F421" s="109">
        <v>10000</v>
      </c>
      <c r="G421" t="b">
        <v>0</v>
      </c>
      <c r="H421" t="s">
        <v>337</v>
      </c>
      <c r="K421" t="s">
        <v>379</v>
      </c>
      <c r="L421" t="s">
        <v>303</v>
      </c>
      <c r="M421" t="s">
        <v>323</v>
      </c>
      <c r="N421" t="s">
        <v>63</v>
      </c>
      <c r="O421" s="110">
        <v>29.9</v>
      </c>
      <c r="R421" s="110">
        <v>294.89</v>
      </c>
      <c r="S421" s="110">
        <v>79.900000000000006</v>
      </c>
      <c r="T421" s="110">
        <v>0</v>
      </c>
      <c r="U421" s="110">
        <v>42.99</v>
      </c>
      <c r="X421">
        <v>112.09999999999997</v>
      </c>
      <c r="Y421">
        <v>59.9</v>
      </c>
      <c r="Z421">
        <v>59.9</v>
      </c>
      <c r="AA421">
        <v>0</v>
      </c>
      <c r="AB421" t="s">
        <v>363</v>
      </c>
      <c r="AF421" t="s">
        <v>1336</v>
      </c>
      <c r="AG421" t="s">
        <v>1336</v>
      </c>
      <c r="AH421" t="s">
        <v>1175</v>
      </c>
      <c r="AI421">
        <v>99999</v>
      </c>
      <c r="AJ421">
        <v>99999</v>
      </c>
      <c r="AK421">
        <v>699</v>
      </c>
      <c r="AL421" t="b">
        <v>1</v>
      </c>
      <c r="AM421" t="b">
        <v>1</v>
      </c>
      <c r="AN421" t="b">
        <v>0</v>
      </c>
      <c r="AO421">
        <v>99999</v>
      </c>
      <c r="AP421" t="s">
        <v>64</v>
      </c>
      <c r="AR421" t="b">
        <v>0</v>
      </c>
      <c r="AS421">
        <v>12</v>
      </c>
      <c r="AT421" t="s">
        <v>327</v>
      </c>
      <c r="AV421" t="s">
        <v>1355</v>
      </c>
      <c r="CRL421">
        <v>12</v>
      </c>
    </row>
    <row r="422" spans="1:48 2508:2508" x14ac:dyDescent="0.25">
      <c r="A422" t="s">
        <v>3323</v>
      </c>
      <c r="B422" t="s">
        <v>302</v>
      </c>
      <c r="C422" t="s">
        <v>62</v>
      </c>
      <c r="D422">
        <v>99999</v>
      </c>
      <c r="F422" s="109">
        <v>10000</v>
      </c>
      <c r="G422" t="b">
        <v>0</v>
      </c>
      <c r="H422" t="s">
        <v>337</v>
      </c>
      <c r="K422" t="s">
        <v>379</v>
      </c>
      <c r="L422" t="s">
        <v>303</v>
      </c>
      <c r="M422" t="s">
        <v>323</v>
      </c>
      <c r="N422" t="s">
        <v>63</v>
      </c>
      <c r="O422" s="110">
        <v>29.9</v>
      </c>
      <c r="R422" s="110">
        <v>314.89</v>
      </c>
      <c r="S422" s="110">
        <v>85</v>
      </c>
      <c r="T422" s="110">
        <v>0</v>
      </c>
      <c r="U422" s="110">
        <v>42.99</v>
      </c>
      <c r="X422">
        <v>126.99999999999997</v>
      </c>
      <c r="Y422">
        <v>59.9</v>
      </c>
      <c r="Z422">
        <v>59.9</v>
      </c>
      <c r="AA422">
        <v>0</v>
      </c>
      <c r="AB422" t="s">
        <v>363</v>
      </c>
      <c r="AF422" t="s">
        <v>1484</v>
      </c>
      <c r="AG422" t="s">
        <v>1484</v>
      </c>
      <c r="AH422" t="s">
        <v>1175</v>
      </c>
      <c r="AI422">
        <v>99999</v>
      </c>
      <c r="AJ422">
        <v>99999</v>
      </c>
      <c r="AK422">
        <v>699</v>
      </c>
      <c r="AL422" t="b">
        <v>1</v>
      </c>
      <c r="AM422" t="b">
        <v>1</v>
      </c>
      <c r="AN422" t="b">
        <v>0</v>
      </c>
      <c r="AO422">
        <v>99999</v>
      </c>
      <c r="AP422" t="s">
        <v>64</v>
      </c>
      <c r="AR422" t="b">
        <v>0</v>
      </c>
      <c r="AS422">
        <v>12</v>
      </c>
      <c r="AT422" t="s">
        <v>327</v>
      </c>
      <c r="AV422" t="s">
        <v>1503</v>
      </c>
      <c r="CRL422">
        <v>12</v>
      </c>
    </row>
    <row r="423" spans="1:48 2508:2508" x14ac:dyDescent="0.25">
      <c r="A423" t="s">
        <v>3323</v>
      </c>
      <c r="B423" t="s">
        <v>302</v>
      </c>
      <c r="C423" t="s">
        <v>62</v>
      </c>
      <c r="D423">
        <v>99999</v>
      </c>
      <c r="F423" s="109">
        <v>10000</v>
      </c>
      <c r="G423" t="b">
        <v>0</v>
      </c>
      <c r="H423" t="s">
        <v>337</v>
      </c>
      <c r="K423" t="s">
        <v>379</v>
      </c>
      <c r="L423" t="s">
        <v>303</v>
      </c>
      <c r="M423" t="s">
        <v>323</v>
      </c>
      <c r="N423" t="s">
        <v>63</v>
      </c>
      <c r="O423" s="110">
        <v>39.9</v>
      </c>
      <c r="R423" s="110">
        <v>274.89</v>
      </c>
      <c r="S423" s="110">
        <v>79.900000000000006</v>
      </c>
      <c r="T423" s="110">
        <v>0</v>
      </c>
      <c r="U423" s="110">
        <v>42.99</v>
      </c>
      <c r="X423">
        <v>92.099999999999966</v>
      </c>
      <c r="Y423">
        <v>59.9</v>
      </c>
      <c r="Z423">
        <v>59.9</v>
      </c>
      <c r="AA423">
        <v>0</v>
      </c>
      <c r="AB423" t="s">
        <v>363</v>
      </c>
      <c r="AF423" t="s">
        <v>1269</v>
      </c>
      <c r="AG423" t="s">
        <v>1269</v>
      </c>
      <c r="AH423" t="s">
        <v>1175</v>
      </c>
      <c r="AI423">
        <v>99999</v>
      </c>
      <c r="AJ423">
        <v>99999</v>
      </c>
      <c r="AK423">
        <v>699</v>
      </c>
      <c r="AL423" t="b">
        <v>1</v>
      </c>
      <c r="AM423" t="b">
        <v>1</v>
      </c>
      <c r="AN423" t="b">
        <v>0</v>
      </c>
      <c r="AO423">
        <v>99999</v>
      </c>
      <c r="AP423" t="s">
        <v>64</v>
      </c>
      <c r="AR423" t="b">
        <v>0</v>
      </c>
      <c r="AS423">
        <v>12</v>
      </c>
      <c r="AT423" t="s">
        <v>327</v>
      </c>
      <c r="AV423" t="s">
        <v>1288</v>
      </c>
      <c r="CRL423">
        <v>12</v>
      </c>
    </row>
    <row r="424" spans="1:48 2508:2508" x14ac:dyDescent="0.25">
      <c r="A424" t="s">
        <v>3323</v>
      </c>
      <c r="B424" t="s">
        <v>302</v>
      </c>
      <c r="C424" t="s">
        <v>62</v>
      </c>
      <c r="D424">
        <v>99999</v>
      </c>
      <c r="F424" s="109">
        <v>10000</v>
      </c>
      <c r="G424" t="b">
        <v>0</v>
      </c>
      <c r="H424" t="s">
        <v>337</v>
      </c>
      <c r="K424" t="s">
        <v>379</v>
      </c>
      <c r="L424" t="s">
        <v>303</v>
      </c>
      <c r="M424" t="s">
        <v>323</v>
      </c>
      <c r="N424" t="s">
        <v>63</v>
      </c>
      <c r="O424" s="110">
        <v>39.9</v>
      </c>
      <c r="R424" s="110">
        <v>294.89</v>
      </c>
      <c r="S424" s="110">
        <v>79.900000000000006</v>
      </c>
      <c r="T424" s="110">
        <v>0</v>
      </c>
      <c r="U424" s="110">
        <v>42.99</v>
      </c>
      <c r="X424">
        <v>112.09999999999997</v>
      </c>
      <c r="Y424">
        <v>59.9</v>
      </c>
      <c r="Z424">
        <v>59.9</v>
      </c>
      <c r="AA424">
        <v>0</v>
      </c>
      <c r="AB424" t="s">
        <v>363</v>
      </c>
      <c r="AF424" t="s">
        <v>1403</v>
      </c>
      <c r="AG424" t="s">
        <v>1403</v>
      </c>
      <c r="AH424" t="s">
        <v>1175</v>
      </c>
      <c r="AI424">
        <v>99999</v>
      </c>
      <c r="AJ424">
        <v>99999</v>
      </c>
      <c r="AK424">
        <v>699</v>
      </c>
      <c r="AL424" t="b">
        <v>1</v>
      </c>
      <c r="AM424" t="b">
        <v>1</v>
      </c>
      <c r="AN424" t="b">
        <v>0</v>
      </c>
      <c r="AO424">
        <v>99999</v>
      </c>
      <c r="AP424" t="s">
        <v>64</v>
      </c>
      <c r="AR424" t="b">
        <v>0</v>
      </c>
      <c r="AS424">
        <v>12</v>
      </c>
      <c r="AT424" t="s">
        <v>327</v>
      </c>
      <c r="AV424" t="s">
        <v>1422</v>
      </c>
      <c r="CRL424">
        <v>12</v>
      </c>
    </row>
    <row r="425" spans="1:48 2508:2508" x14ac:dyDescent="0.25">
      <c r="A425" t="s">
        <v>3323</v>
      </c>
      <c r="B425" t="s">
        <v>302</v>
      </c>
      <c r="C425" t="s">
        <v>62</v>
      </c>
      <c r="D425">
        <v>99999</v>
      </c>
      <c r="F425" s="109">
        <v>10000</v>
      </c>
      <c r="G425" t="b">
        <v>0</v>
      </c>
      <c r="H425" t="s">
        <v>337</v>
      </c>
      <c r="K425" t="s">
        <v>379</v>
      </c>
      <c r="L425" t="s">
        <v>303</v>
      </c>
      <c r="M425" t="s">
        <v>323</v>
      </c>
      <c r="N425" t="s">
        <v>63</v>
      </c>
      <c r="O425" s="110">
        <v>39.9</v>
      </c>
      <c r="R425" s="110">
        <v>314.89</v>
      </c>
      <c r="S425" s="110">
        <v>85</v>
      </c>
      <c r="T425" s="110">
        <v>0</v>
      </c>
      <c r="U425" s="110">
        <v>42.99</v>
      </c>
      <c r="X425">
        <v>126.99999999999997</v>
      </c>
      <c r="Y425">
        <v>59.9</v>
      </c>
      <c r="Z425">
        <v>59.9</v>
      </c>
      <c r="AA425">
        <v>0</v>
      </c>
      <c r="AB425" t="s">
        <v>363</v>
      </c>
      <c r="AF425" t="s">
        <v>1551</v>
      </c>
      <c r="AG425" t="s">
        <v>1551</v>
      </c>
      <c r="AH425" t="s">
        <v>1175</v>
      </c>
      <c r="AI425">
        <v>99999</v>
      </c>
      <c r="AJ425">
        <v>99999</v>
      </c>
      <c r="AK425">
        <v>699</v>
      </c>
      <c r="AL425" t="b">
        <v>1</v>
      </c>
      <c r="AM425" t="b">
        <v>1</v>
      </c>
      <c r="AN425" t="b">
        <v>0</v>
      </c>
      <c r="AO425">
        <v>99999</v>
      </c>
      <c r="AP425" t="s">
        <v>64</v>
      </c>
      <c r="AR425" t="b">
        <v>0</v>
      </c>
      <c r="AS425">
        <v>12</v>
      </c>
      <c r="AT425" t="s">
        <v>327</v>
      </c>
      <c r="AV425" t="s">
        <v>1570</v>
      </c>
      <c r="CRL425">
        <v>12</v>
      </c>
    </row>
    <row r="426" spans="1:48 2508:2508" x14ac:dyDescent="0.25">
      <c r="A426" t="s">
        <v>3323</v>
      </c>
      <c r="B426" t="s">
        <v>302</v>
      </c>
      <c r="C426" t="s">
        <v>62</v>
      </c>
      <c r="D426">
        <v>99999</v>
      </c>
      <c r="F426" s="109">
        <v>10000</v>
      </c>
      <c r="G426" t="b">
        <v>0</v>
      </c>
      <c r="H426" t="s">
        <v>337</v>
      </c>
      <c r="K426" t="s">
        <v>379</v>
      </c>
      <c r="L426" t="s">
        <v>303</v>
      </c>
      <c r="M426" t="s">
        <v>323</v>
      </c>
      <c r="N426" t="s">
        <v>63</v>
      </c>
      <c r="O426" s="110">
        <v>49.9</v>
      </c>
      <c r="R426" s="110">
        <v>300.68999999999994</v>
      </c>
      <c r="S426" s="110">
        <v>130</v>
      </c>
      <c r="T426" s="110">
        <v>0</v>
      </c>
      <c r="U426" s="110">
        <v>34.99</v>
      </c>
      <c r="X426">
        <v>75.799999999999983</v>
      </c>
      <c r="Y426">
        <v>59.9</v>
      </c>
      <c r="Z426">
        <v>59.9</v>
      </c>
      <c r="AA426">
        <v>0</v>
      </c>
      <c r="AB426" t="s">
        <v>363</v>
      </c>
      <c r="AF426" t="s">
        <v>2771</v>
      </c>
      <c r="AG426" t="s">
        <v>2771</v>
      </c>
      <c r="AH426" t="s">
        <v>1175</v>
      </c>
      <c r="AI426">
        <v>99999</v>
      </c>
      <c r="AJ426">
        <v>99999</v>
      </c>
      <c r="AK426">
        <v>699</v>
      </c>
      <c r="AL426" t="b">
        <v>1</v>
      </c>
      <c r="AM426" t="b">
        <v>1</v>
      </c>
      <c r="AN426" t="b">
        <v>0</v>
      </c>
      <c r="AO426">
        <v>99999</v>
      </c>
      <c r="AP426" t="s">
        <v>64</v>
      </c>
      <c r="AR426" t="b">
        <v>0</v>
      </c>
      <c r="AS426">
        <v>12</v>
      </c>
      <c r="AT426" t="s">
        <v>327</v>
      </c>
      <c r="AV426" t="s">
        <v>2790</v>
      </c>
      <c r="CRL426">
        <v>12</v>
      </c>
    </row>
    <row r="427" spans="1:48 2508:2508" x14ac:dyDescent="0.25">
      <c r="A427" t="s">
        <v>3323</v>
      </c>
      <c r="B427" t="s">
        <v>302</v>
      </c>
      <c r="C427" t="s">
        <v>62</v>
      </c>
      <c r="D427">
        <v>99999</v>
      </c>
      <c r="F427" s="109">
        <v>10000</v>
      </c>
      <c r="G427" t="b">
        <v>0</v>
      </c>
      <c r="H427" t="s">
        <v>337</v>
      </c>
      <c r="K427" t="s">
        <v>379</v>
      </c>
      <c r="L427" t="s">
        <v>303</v>
      </c>
      <c r="M427" t="s">
        <v>323</v>
      </c>
      <c r="N427" t="s">
        <v>63</v>
      </c>
      <c r="O427" s="110">
        <v>49.9</v>
      </c>
      <c r="R427" s="110">
        <v>324.98999999999995</v>
      </c>
      <c r="S427" s="110">
        <v>130</v>
      </c>
      <c r="T427" s="110">
        <v>0</v>
      </c>
      <c r="U427" s="110">
        <v>42.99</v>
      </c>
      <c r="X427">
        <v>92.099999999999966</v>
      </c>
      <c r="Y427">
        <v>59.9</v>
      </c>
      <c r="Z427">
        <v>59.9</v>
      </c>
      <c r="AA427">
        <v>0</v>
      </c>
      <c r="AB427" t="s">
        <v>363</v>
      </c>
      <c r="AF427" t="s">
        <v>2845</v>
      </c>
      <c r="AG427" t="s">
        <v>2845</v>
      </c>
      <c r="AH427" t="s">
        <v>1175</v>
      </c>
      <c r="AI427">
        <v>99999</v>
      </c>
      <c r="AJ427">
        <v>99999</v>
      </c>
      <c r="AK427">
        <v>699</v>
      </c>
      <c r="AL427" t="b">
        <v>1</v>
      </c>
      <c r="AM427" t="b">
        <v>1</v>
      </c>
      <c r="AN427" t="b">
        <v>0</v>
      </c>
      <c r="AO427">
        <v>99999</v>
      </c>
      <c r="AP427" t="s">
        <v>64</v>
      </c>
      <c r="AR427" t="b">
        <v>0</v>
      </c>
      <c r="AS427">
        <v>12</v>
      </c>
      <c r="AT427" t="s">
        <v>327</v>
      </c>
      <c r="AV427" t="s">
        <v>2864</v>
      </c>
      <c r="CRL427">
        <v>12</v>
      </c>
    </row>
    <row r="428" spans="1:48 2508:2508" x14ac:dyDescent="0.25">
      <c r="A428" t="s">
        <v>3323</v>
      </c>
      <c r="B428" t="s">
        <v>302</v>
      </c>
      <c r="C428" t="s">
        <v>62</v>
      </c>
      <c r="D428">
        <v>99999</v>
      </c>
      <c r="F428" s="109">
        <v>10000</v>
      </c>
      <c r="G428" t="b">
        <v>0</v>
      </c>
      <c r="H428" t="s">
        <v>337</v>
      </c>
      <c r="K428" t="s">
        <v>379</v>
      </c>
      <c r="L428" t="s">
        <v>303</v>
      </c>
      <c r="M428" t="s">
        <v>323</v>
      </c>
      <c r="N428" t="s">
        <v>63</v>
      </c>
      <c r="O428" s="110">
        <v>49.9</v>
      </c>
      <c r="R428" s="110">
        <v>344.98999999999995</v>
      </c>
      <c r="S428" s="110">
        <v>130</v>
      </c>
      <c r="T428" s="110">
        <v>0</v>
      </c>
      <c r="U428" s="110">
        <v>42.99</v>
      </c>
      <c r="X428">
        <v>112.09999999999997</v>
      </c>
      <c r="Y428">
        <v>59.9</v>
      </c>
      <c r="Z428">
        <v>59.9</v>
      </c>
      <c r="AA428">
        <v>0</v>
      </c>
      <c r="AB428" t="s">
        <v>363</v>
      </c>
      <c r="AF428" t="s">
        <v>2912</v>
      </c>
      <c r="AG428" t="s">
        <v>2912</v>
      </c>
      <c r="AH428" t="s">
        <v>1175</v>
      </c>
      <c r="AI428">
        <v>99999</v>
      </c>
      <c r="AJ428">
        <v>99999</v>
      </c>
      <c r="AK428">
        <v>699</v>
      </c>
      <c r="AL428" t="b">
        <v>1</v>
      </c>
      <c r="AM428" t="b">
        <v>1</v>
      </c>
      <c r="AN428" t="b">
        <v>0</v>
      </c>
      <c r="AO428">
        <v>99999</v>
      </c>
      <c r="AP428" t="s">
        <v>64</v>
      </c>
      <c r="AR428" t="b">
        <v>0</v>
      </c>
      <c r="AS428">
        <v>12</v>
      </c>
      <c r="AT428" t="s">
        <v>327</v>
      </c>
      <c r="AV428" t="s">
        <v>2931</v>
      </c>
      <c r="CRL428">
        <v>12</v>
      </c>
    </row>
    <row r="429" spans="1:48 2508:2508" x14ac:dyDescent="0.25">
      <c r="A429" t="s">
        <v>3323</v>
      </c>
      <c r="B429" t="s">
        <v>302</v>
      </c>
      <c r="C429" t="s">
        <v>62</v>
      </c>
      <c r="D429">
        <v>99999</v>
      </c>
      <c r="F429" s="109">
        <v>10000</v>
      </c>
      <c r="G429" t="b">
        <v>0</v>
      </c>
      <c r="H429" t="s">
        <v>337</v>
      </c>
      <c r="K429" t="s">
        <v>379</v>
      </c>
      <c r="L429" t="s">
        <v>303</v>
      </c>
      <c r="M429" t="s">
        <v>323</v>
      </c>
      <c r="N429" t="s">
        <v>63</v>
      </c>
      <c r="O429" s="110">
        <v>49.9</v>
      </c>
      <c r="R429" s="110">
        <v>359.89</v>
      </c>
      <c r="S429" s="110">
        <v>130</v>
      </c>
      <c r="T429" s="110">
        <v>0</v>
      </c>
      <c r="U429" s="110">
        <v>42.99</v>
      </c>
      <c r="X429">
        <v>126.99999999999997</v>
      </c>
      <c r="Y429">
        <v>59.9</v>
      </c>
      <c r="Z429">
        <v>59.9</v>
      </c>
      <c r="AA429">
        <v>0</v>
      </c>
      <c r="AB429" t="s">
        <v>363</v>
      </c>
      <c r="AF429" t="s">
        <v>2986</v>
      </c>
      <c r="AG429" t="s">
        <v>2986</v>
      </c>
      <c r="AH429" t="s">
        <v>1175</v>
      </c>
      <c r="AI429">
        <v>99999</v>
      </c>
      <c r="AJ429">
        <v>99999</v>
      </c>
      <c r="AK429">
        <v>699</v>
      </c>
      <c r="AL429" t="b">
        <v>1</v>
      </c>
      <c r="AM429" t="b">
        <v>1</v>
      </c>
      <c r="AN429" t="b">
        <v>0</v>
      </c>
      <c r="AO429">
        <v>99999</v>
      </c>
      <c r="AP429" t="s">
        <v>64</v>
      </c>
      <c r="AR429" t="b">
        <v>0</v>
      </c>
      <c r="AS429">
        <v>12</v>
      </c>
      <c r="AT429" t="s">
        <v>327</v>
      </c>
      <c r="AV429" t="s">
        <v>3005</v>
      </c>
      <c r="CRL429">
        <v>12</v>
      </c>
    </row>
    <row r="430" spans="1:48 2508:2508" x14ac:dyDescent="0.25">
      <c r="A430" t="s">
        <v>3323</v>
      </c>
      <c r="B430" t="s">
        <v>302</v>
      </c>
      <c r="C430" t="s">
        <v>62</v>
      </c>
      <c r="D430">
        <v>99999</v>
      </c>
      <c r="F430" s="109">
        <v>10000</v>
      </c>
      <c r="G430" t="b">
        <v>0</v>
      </c>
      <c r="H430" t="s">
        <v>337</v>
      </c>
      <c r="K430" t="s">
        <v>61</v>
      </c>
      <c r="L430" t="s">
        <v>303</v>
      </c>
      <c r="M430" t="s">
        <v>323</v>
      </c>
      <c r="N430" t="s">
        <v>63</v>
      </c>
      <c r="O430" s="110">
        <v>29.9</v>
      </c>
      <c r="R430" s="110">
        <v>259.89</v>
      </c>
      <c r="S430" s="110">
        <v>79.900000000000006</v>
      </c>
      <c r="T430" s="110">
        <v>0</v>
      </c>
      <c r="U430" s="110">
        <v>42.99</v>
      </c>
      <c r="X430">
        <v>92.099999999999966</v>
      </c>
      <c r="Y430">
        <v>44.9</v>
      </c>
      <c r="Z430">
        <v>44.9</v>
      </c>
      <c r="AA430">
        <v>0</v>
      </c>
      <c r="AB430" t="s">
        <v>324</v>
      </c>
      <c r="AF430" t="s">
        <v>1174</v>
      </c>
      <c r="AG430" t="s">
        <v>1174</v>
      </c>
      <c r="AH430" t="s">
        <v>1175</v>
      </c>
      <c r="AI430">
        <v>99999</v>
      </c>
      <c r="AJ430">
        <v>99999</v>
      </c>
      <c r="AK430">
        <v>699</v>
      </c>
      <c r="AL430" t="b">
        <v>1</v>
      </c>
      <c r="AM430" t="b">
        <v>1</v>
      </c>
      <c r="AN430" t="b">
        <v>0</v>
      </c>
      <c r="AO430">
        <v>99999</v>
      </c>
      <c r="AP430" t="s">
        <v>64</v>
      </c>
      <c r="AR430" t="b">
        <v>0</v>
      </c>
      <c r="AS430">
        <v>12</v>
      </c>
      <c r="AT430" t="s">
        <v>327</v>
      </c>
      <c r="AV430" t="s">
        <v>1181</v>
      </c>
      <c r="CRL430">
        <v>12</v>
      </c>
    </row>
    <row r="431" spans="1:48 2508:2508" x14ac:dyDescent="0.25">
      <c r="A431" t="s">
        <v>3323</v>
      </c>
      <c r="B431" t="s">
        <v>302</v>
      </c>
      <c r="C431" t="s">
        <v>62</v>
      </c>
      <c r="D431">
        <v>99999</v>
      </c>
      <c r="F431" s="109">
        <v>10000</v>
      </c>
      <c r="G431" t="b">
        <v>0</v>
      </c>
      <c r="H431" t="s">
        <v>337</v>
      </c>
      <c r="K431" t="s">
        <v>61</v>
      </c>
      <c r="L431" t="s">
        <v>303</v>
      </c>
      <c r="M431" t="s">
        <v>323</v>
      </c>
      <c r="N431" t="s">
        <v>63</v>
      </c>
      <c r="O431" s="110">
        <v>29.9</v>
      </c>
      <c r="R431" s="110">
        <v>279.89</v>
      </c>
      <c r="S431" s="110">
        <v>79.900000000000006</v>
      </c>
      <c r="T431" s="110">
        <v>0</v>
      </c>
      <c r="U431" s="110">
        <v>42.99</v>
      </c>
      <c r="X431">
        <v>112.09999999999997</v>
      </c>
      <c r="Y431">
        <v>44.9</v>
      </c>
      <c r="Z431">
        <v>44.9</v>
      </c>
      <c r="AA431">
        <v>0</v>
      </c>
      <c r="AB431" t="s">
        <v>324</v>
      </c>
      <c r="AF431" t="s">
        <v>1309</v>
      </c>
      <c r="AG431" t="s">
        <v>1309</v>
      </c>
      <c r="AH431" t="s">
        <v>1175</v>
      </c>
      <c r="AI431">
        <v>99999</v>
      </c>
      <c r="AJ431">
        <v>99999</v>
      </c>
      <c r="AK431">
        <v>699</v>
      </c>
      <c r="AL431" t="b">
        <v>1</v>
      </c>
      <c r="AM431" t="b">
        <v>1</v>
      </c>
      <c r="AN431" t="b">
        <v>0</v>
      </c>
      <c r="AO431">
        <v>99999</v>
      </c>
      <c r="AP431" t="s">
        <v>64</v>
      </c>
      <c r="AR431" t="b">
        <v>0</v>
      </c>
      <c r="AS431">
        <v>12</v>
      </c>
      <c r="AT431" t="s">
        <v>327</v>
      </c>
      <c r="AV431" t="s">
        <v>1315</v>
      </c>
      <c r="CRL431">
        <v>12</v>
      </c>
    </row>
    <row r="432" spans="1:48 2508:2508" x14ac:dyDescent="0.25">
      <c r="A432" t="s">
        <v>3323</v>
      </c>
      <c r="B432" t="s">
        <v>302</v>
      </c>
      <c r="C432" t="s">
        <v>62</v>
      </c>
      <c r="D432">
        <v>99999</v>
      </c>
      <c r="F432" s="109">
        <v>10000</v>
      </c>
      <c r="G432" t="b">
        <v>0</v>
      </c>
      <c r="H432" t="s">
        <v>337</v>
      </c>
      <c r="K432" t="s">
        <v>61</v>
      </c>
      <c r="L432" t="s">
        <v>303</v>
      </c>
      <c r="M432" t="s">
        <v>323</v>
      </c>
      <c r="N432" t="s">
        <v>63</v>
      </c>
      <c r="O432" s="110">
        <v>29.9</v>
      </c>
      <c r="R432" s="110">
        <v>299.89</v>
      </c>
      <c r="S432" s="110">
        <v>85</v>
      </c>
      <c r="T432" s="110">
        <v>0</v>
      </c>
      <c r="U432" s="110">
        <v>42.99</v>
      </c>
      <c r="X432">
        <v>126.99999999999997</v>
      </c>
      <c r="Y432">
        <v>44.9</v>
      </c>
      <c r="Z432">
        <v>44.9</v>
      </c>
      <c r="AA432">
        <v>0</v>
      </c>
      <c r="AB432" t="s">
        <v>324</v>
      </c>
      <c r="AF432" t="s">
        <v>1457</v>
      </c>
      <c r="AG432" t="s">
        <v>1457</v>
      </c>
      <c r="AH432" t="s">
        <v>1175</v>
      </c>
      <c r="AI432">
        <v>99999</v>
      </c>
      <c r="AJ432">
        <v>99999</v>
      </c>
      <c r="AK432">
        <v>699</v>
      </c>
      <c r="AL432" t="b">
        <v>1</v>
      </c>
      <c r="AM432" t="b">
        <v>1</v>
      </c>
      <c r="AN432" t="b">
        <v>0</v>
      </c>
      <c r="AO432">
        <v>99999</v>
      </c>
      <c r="AP432" t="s">
        <v>64</v>
      </c>
      <c r="AR432" t="b">
        <v>0</v>
      </c>
      <c r="AS432">
        <v>12</v>
      </c>
      <c r="AT432" t="s">
        <v>327</v>
      </c>
      <c r="AV432" t="s">
        <v>1463</v>
      </c>
      <c r="CRL432">
        <v>12</v>
      </c>
    </row>
    <row r="433" spans="1:48 2508:2508" x14ac:dyDescent="0.25">
      <c r="A433" t="s">
        <v>3323</v>
      </c>
      <c r="B433" t="s">
        <v>302</v>
      </c>
      <c r="C433" t="s">
        <v>62</v>
      </c>
      <c r="D433">
        <v>99999</v>
      </c>
      <c r="F433" s="109">
        <v>10000</v>
      </c>
      <c r="G433" t="b">
        <v>0</v>
      </c>
      <c r="H433" t="s">
        <v>337</v>
      </c>
      <c r="K433" t="s">
        <v>61</v>
      </c>
      <c r="L433" t="s">
        <v>303</v>
      </c>
      <c r="M433" t="s">
        <v>323</v>
      </c>
      <c r="N433" t="s">
        <v>63</v>
      </c>
      <c r="O433" s="110">
        <v>39.9</v>
      </c>
      <c r="R433" s="110">
        <v>259.89</v>
      </c>
      <c r="S433" s="110">
        <v>79.900000000000006</v>
      </c>
      <c r="T433" s="110">
        <v>0</v>
      </c>
      <c r="U433" s="110">
        <v>42.99</v>
      </c>
      <c r="X433">
        <v>92.099999999999966</v>
      </c>
      <c r="Y433">
        <v>44.9</v>
      </c>
      <c r="Z433">
        <v>44.9</v>
      </c>
      <c r="AA433">
        <v>0</v>
      </c>
      <c r="AB433" t="s">
        <v>324</v>
      </c>
      <c r="AF433" t="s">
        <v>1242</v>
      </c>
      <c r="AG433" t="s">
        <v>1242</v>
      </c>
      <c r="AH433" t="s">
        <v>1175</v>
      </c>
      <c r="AI433">
        <v>99999</v>
      </c>
      <c r="AJ433">
        <v>99999</v>
      </c>
      <c r="AK433">
        <v>699</v>
      </c>
      <c r="AL433" t="b">
        <v>1</v>
      </c>
      <c r="AM433" t="b">
        <v>1</v>
      </c>
      <c r="AN433" t="b">
        <v>0</v>
      </c>
      <c r="AO433">
        <v>99999</v>
      </c>
      <c r="AP433" t="s">
        <v>64</v>
      </c>
      <c r="AR433" t="b">
        <v>0</v>
      </c>
      <c r="AS433">
        <v>12</v>
      </c>
      <c r="AT433" t="s">
        <v>327</v>
      </c>
      <c r="AV433" t="s">
        <v>1248</v>
      </c>
      <c r="CRL433">
        <v>12</v>
      </c>
    </row>
    <row r="434" spans="1:48 2508:2508" x14ac:dyDescent="0.25">
      <c r="A434" t="s">
        <v>3323</v>
      </c>
      <c r="B434" t="s">
        <v>302</v>
      </c>
      <c r="C434" t="s">
        <v>62</v>
      </c>
      <c r="D434">
        <v>99999</v>
      </c>
      <c r="F434" s="109">
        <v>10000</v>
      </c>
      <c r="G434" t="b">
        <v>0</v>
      </c>
      <c r="H434" t="s">
        <v>337</v>
      </c>
      <c r="K434" t="s">
        <v>61</v>
      </c>
      <c r="L434" t="s">
        <v>303</v>
      </c>
      <c r="M434" t="s">
        <v>323</v>
      </c>
      <c r="N434" t="s">
        <v>63</v>
      </c>
      <c r="O434" s="110">
        <v>39.9</v>
      </c>
      <c r="R434" s="110">
        <v>279.89</v>
      </c>
      <c r="S434" s="110">
        <v>79.900000000000006</v>
      </c>
      <c r="T434" s="110">
        <v>0</v>
      </c>
      <c r="U434" s="110">
        <v>42.99</v>
      </c>
      <c r="X434">
        <v>112.09999999999997</v>
      </c>
      <c r="Y434">
        <v>44.9</v>
      </c>
      <c r="Z434">
        <v>44.9</v>
      </c>
      <c r="AA434">
        <v>0</v>
      </c>
      <c r="AB434" t="s">
        <v>324</v>
      </c>
      <c r="AF434" t="s">
        <v>1376</v>
      </c>
      <c r="AG434" t="s">
        <v>1376</v>
      </c>
      <c r="AH434" t="s">
        <v>1175</v>
      </c>
      <c r="AI434">
        <v>99999</v>
      </c>
      <c r="AJ434">
        <v>99999</v>
      </c>
      <c r="AK434">
        <v>699</v>
      </c>
      <c r="AL434" t="b">
        <v>1</v>
      </c>
      <c r="AM434" t="b">
        <v>1</v>
      </c>
      <c r="AN434" t="b">
        <v>0</v>
      </c>
      <c r="AO434">
        <v>99999</v>
      </c>
      <c r="AP434" t="s">
        <v>64</v>
      </c>
      <c r="AR434" t="b">
        <v>0</v>
      </c>
      <c r="AS434">
        <v>12</v>
      </c>
      <c r="AT434" t="s">
        <v>327</v>
      </c>
      <c r="AV434" t="s">
        <v>1382</v>
      </c>
      <c r="CRL434">
        <v>12</v>
      </c>
    </row>
    <row r="435" spans="1:48 2508:2508" x14ac:dyDescent="0.25">
      <c r="A435" t="s">
        <v>3323</v>
      </c>
      <c r="B435" t="s">
        <v>302</v>
      </c>
      <c r="C435" t="s">
        <v>62</v>
      </c>
      <c r="D435">
        <v>99999</v>
      </c>
      <c r="F435" s="109">
        <v>10000</v>
      </c>
      <c r="G435" t="b">
        <v>0</v>
      </c>
      <c r="H435" t="s">
        <v>337</v>
      </c>
      <c r="K435" t="s">
        <v>61</v>
      </c>
      <c r="L435" t="s">
        <v>303</v>
      </c>
      <c r="M435" t="s">
        <v>323</v>
      </c>
      <c r="N435" t="s">
        <v>63</v>
      </c>
      <c r="O435" s="110">
        <v>39.9</v>
      </c>
      <c r="R435" s="110">
        <v>299.89</v>
      </c>
      <c r="S435" s="110">
        <v>85</v>
      </c>
      <c r="T435" s="110">
        <v>0</v>
      </c>
      <c r="U435" s="110">
        <v>42.99</v>
      </c>
      <c r="X435">
        <v>126.99999999999997</v>
      </c>
      <c r="Y435">
        <v>44.9</v>
      </c>
      <c r="Z435">
        <v>44.9</v>
      </c>
      <c r="AA435">
        <v>0</v>
      </c>
      <c r="AB435" t="s">
        <v>324</v>
      </c>
      <c r="AF435" t="s">
        <v>1524</v>
      </c>
      <c r="AG435" t="s">
        <v>1524</v>
      </c>
      <c r="AH435" t="s">
        <v>1175</v>
      </c>
      <c r="AI435">
        <v>99999</v>
      </c>
      <c r="AJ435">
        <v>99999</v>
      </c>
      <c r="AK435">
        <v>699</v>
      </c>
      <c r="AL435" t="b">
        <v>1</v>
      </c>
      <c r="AM435" t="b">
        <v>1</v>
      </c>
      <c r="AN435" t="b">
        <v>0</v>
      </c>
      <c r="AO435">
        <v>99999</v>
      </c>
      <c r="AP435" t="s">
        <v>64</v>
      </c>
      <c r="AR435" t="b">
        <v>0</v>
      </c>
      <c r="AS435">
        <v>12</v>
      </c>
      <c r="AT435" t="s">
        <v>327</v>
      </c>
      <c r="AV435" t="s">
        <v>1530</v>
      </c>
      <c r="CRL435">
        <v>12</v>
      </c>
    </row>
    <row r="436" spans="1:48 2508:2508" x14ac:dyDescent="0.25">
      <c r="A436" t="s">
        <v>3323</v>
      </c>
      <c r="B436" t="s">
        <v>302</v>
      </c>
      <c r="C436" t="s">
        <v>62</v>
      </c>
      <c r="D436">
        <v>99999</v>
      </c>
      <c r="F436" s="109">
        <v>10000</v>
      </c>
      <c r="G436" t="b">
        <v>0</v>
      </c>
      <c r="H436" t="s">
        <v>337</v>
      </c>
      <c r="K436" t="s">
        <v>61</v>
      </c>
      <c r="L436" t="s">
        <v>303</v>
      </c>
      <c r="M436" t="s">
        <v>323</v>
      </c>
      <c r="N436" t="s">
        <v>63</v>
      </c>
      <c r="O436" s="110">
        <v>49.9</v>
      </c>
      <c r="R436" s="110">
        <v>285.68999999999994</v>
      </c>
      <c r="S436" s="110">
        <v>130</v>
      </c>
      <c r="T436" s="110">
        <v>0</v>
      </c>
      <c r="U436" s="110">
        <v>34.99</v>
      </c>
      <c r="X436">
        <v>75.799999999999983</v>
      </c>
      <c r="Y436">
        <v>44.9</v>
      </c>
      <c r="Z436">
        <v>44.9</v>
      </c>
      <c r="AA436">
        <v>0</v>
      </c>
      <c r="AB436" t="s">
        <v>324</v>
      </c>
      <c r="AF436" t="s">
        <v>2744</v>
      </c>
      <c r="AG436" t="s">
        <v>2744</v>
      </c>
      <c r="AH436" t="s">
        <v>1175</v>
      </c>
      <c r="AI436">
        <v>99999</v>
      </c>
      <c r="AJ436">
        <v>99999</v>
      </c>
      <c r="AK436">
        <v>699</v>
      </c>
      <c r="AL436" t="b">
        <v>1</v>
      </c>
      <c r="AM436" t="b">
        <v>1</v>
      </c>
      <c r="AN436" t="b">
        <v>0</v>
      </c>
      <c r="AO436">
        <v>99999</v>
      </c>
      <c r="AP436" t="s">
        <v>64</v>
      </c>
      <c r="AR436" t="b">
        <v>0</v>
      </c>
      <c r="AS436">
        <v>12</v>
      </c>
      <c r="AT436" t="s">
        <v>327</v>
      </c>
      <c r="AV436" t="s">
        <v>2750</v>
      </c>
      <c r="CRL436">
        <v>12</v>
      </c>
    </row>
    <row r="437" spans="1:48 2508:2508" x14ac:dyDescent="0.25">
      <c r="A437" t="s">
        <v>3323</v>
      </c>
      <c r="B437" t="s">
        <v>302</v>
      </c>
      <c r="C437" t="s">
        <v>62</v>
      </c>
      <c r="D437">
        <v>99999</v>
      </c>
      <c r="F437" s="109">
        <v>10000</v>
      </c>
      <c r="G437" t="b">
        <v>0</v>
      </c>
      <c r="H437" t="s">
        <v>337</v>
      </c>
      <c r="K437" t="s">
        <v>61</v>
      </c>
      <c r="L437" t="s">
        <v>303</v>
      </c>
      <c r="M437" t="s">
        <v>323</v>
      </c>
      <c r="N437" t="s">
        <v>63</v>
      </c>
      <c r="O437" s="110">
        <v>49.9</v>
      </c>
      <c r="R437" s="110">
        <v>309.98999999999995</v>
      </c>
      <c r="S437" s="110">
        <v>130</v>
      </c>
      <c r="T437" s="110">
        <v>0</v>
      </c>
      <c r="U437" s="110">
        <v>42.99</v>
      </c>
      <c r="X437">
        <v>92.099999999999966</v>
      </c>
      <c r="Y437">
        <v>44.9</v>
      </c>
      <c r="Z437">
        <v>44.9</v>
      </c>
      <c r="AA437">
        <v>0</v>
      </c>
      <c r="AB437" t="s">
        <v>324</v>
      </c>
      <c r="AF437" t="s">
        <v>2818</v>
      </c>
      <c r="AG437" t="s">
        <v>2818</v>
      </c>
      <c r="AH437" t="s">
        <v>1175</v>
      </c>
      <c r="AI437">
        <v>99999</v>
      </c>
      <c r="AJ437">
        <v>99999</v>
      </c>
      <c r="AK437">
        <v>699</v>
      </c>
      <c r="AL437" t="b">
        <v>1</v>
      </c>
      <c r="AM437" t="b">
        <v>1</v>
      </c>
      <c r="AN437" t="b">
        <v>0</v>
      </c>
      <c r="AO437">
        <v>99999</v>
      </c>
      <c r="AP437" t="s">
        <v>64</v>
      </c>
      <c r="AR437" t="b">
        <v>0</v>
      </c>
      <c r="AS437">
        <v>12</v>
      </c>
      <c r="AT437" t="s">
        <v>327</v>
      </c>
      <c r="AV437" t="s">
        <v>2824</v>
      </c>
      <c r="CRL437">
        <v>12</v>
      </c>
    </row>
    <row r="438" spans="1:48 2508:2508" x14ac:dyDescent="0.25">
      <c r="A438" t="s">
        <v>3323</v>
      </c>
      <c r="B438" t="s">
        <v>302</v>
      </c>
      <c r="C438" t="s">
        <v>62</v>
      </c>
      <c r="D438">
        <v>99999</v>
      </c>
      <c r="F438" s="109">
        <v>10000</v>
      </c>
      <c r="G438" t="b">
        <v>0</v>
      </c>
      <c r="H438" t="s">
        <v>337</v>
      </c>
      <c r="K438" t="s">
        <v>61</v>
      </c>
      <c r="L438" t="s">
        <v>303</v>
      </c>
      <c r="M438" t="s">
        <v>323</v>
      </c>
      <c r="N438" t="s">
        <v>63</v>
      </c>
      <c r="O438" s="110">
        <v>49.9</v>
      </c>
      <c r="R438" s="110">
        <v>329.98999999999995</v>
      </c>
      <c r="S438" s="110">
        <v>130</v>
      </c>
      <c r="T438" s="110">
        <v>0</v>
      </c>
      <c r="U438" s="110">
        <v>42.99</v>
      </c>
      <c r="X438">
        <v>112.09999999999997</v>
      </c>
      <c r="Y438">
        <v>44.9</v>
      </c>
      <c r="Z438">
        <v>44.9</v>
      </c>
      <c r="AA438">
        <v>0</v>
      </c>
      <c r="AB438" t="s">
        <v>324</v>
      </c>
      <c r="AF438" t="s">
        <v>2885</v>
      </c>
      <c r="AG438" t="s">
        <v>2885</v>
      </c>
      <c r="AH438" t="s">
        <v>1175</v>
      </c>
      <c r="AI438">
        <v>99999</v>
      </c>
      <c r="AJ438">
        <v>99999</v>
      </c>
      <c r="AK438">
        <v>699</v>
      </c>
      <c r="AL438" t="b">
        <v>1</v>
      </c>
      <c r="AM438" t="b">
        <v>1</v>
      </c>
      <c r="AN438" t="b">
        <v>0</v>
      </c>
      <c r="AO438">
        <v>99999</v>
      </c>
      <c r="AP438" t="s">
        <v>64</v>
      </c>
      <c r="AR438" t="b">
        <v>0</v>
      </c>
      <c r="AS438">
        <v>12</v>
      </c>
      <c r="AT438" t="s">
        <v>327</v>
      </c>
      <c r="AV438" t="s">
        <v>2891</v>
      </c>
      <c r="CRL438">
        <v>12</v>
      </c>
    </row>
    <row r="439" spans="1:48 2508:2508" x14ac:dyDescent="0.25">
      <c r="A439" t="s">
        <v>3323</v>
      </c>
      <c r="B439" t="s">
        <v>302</v>
      </c>
      <c r="C439" t="s">
        <v>62</v>
      </c>
      <c r="D439">
        <v>99999</v>
      </c>
      <c r="F439" s="109">
        <v>10000</v>
      </c>
      <c r="G439" t="b">
        <v>0</v>
      </c>
      <c r="H439" t="s">
        <v>337</v>
      </c>
      <c r="K439" t="s">
        <v>61</v>
      </c>
      <c r="L439" t="s">
        <v>303</v>
      </c>
      <c r="M439" t="s">
        <v>323</v>
      </c>
      <c r="N439" t="s">
        <v>63</v>
      </c>
      <c r="O439" s="110">
        <v>49.9</v>
      </c>
      <c r="R439" s="110">
        <v>344.89</v>
      </c>
      <c r="S439" s="110">
        <v>130</v>
      </c>
      <c r="T439" s="110">
        <v>0</v>
      </c>
      <c r="U439" s="110">
        <v>42.99</v>
      </c>
      <c r="X439">
        <v>126.99999999999997</v>
      </c>
      <c r="Y439">
        <v>44.9</v>
      </c>
      <c r="Z439">
        <v>44.9</v>
      </c>
      <c r="AA439">
        <v>0</v>
      </c>
      <c r="AB439" t="s">
        <v>324</v>
      </c>
      <c r="AF439" t="s">
        <v>2959</v>
      </c>
      <c r="AG439" t="s">
        <v>2959</v>
      </c>
      <c r="AH439" t="s">
        <v>1175</v>
      </c>
      <c r="AI439">
        <v>99999</v>
      </c>
      <c r="AJ439">
        <v>99999</v>
      </c>
      <c r="AK439">
        <v>699</v>
      </c>
      <c r="AL439" t="b">
        <v>1</v>
      </c>
      <c r="AM439" t="b">
        <v>1</v>
      </c>
      <c r="AN439" t="b">
        <v>0</v>
      </c>
      <c r="AO439">
        <v>99999</v>
      </c>
      <c r="AP439" t="s">
        <v>64</v>
      </c>
      <c r="AR439" t="b">
        <v>0</v>
      </c>
      <c r="AS439">
        <v>12</v>
      </c>
      <c r="AT439" t="s">
        <v>327</v>
      </c>
      <c r="AV439" t="s">
        <v>2965</v>
      </c>
      <c r="CRL439">
        <v>12</v>
      </c>
    </row>
    <row r="440" spans="1:48 2508:2508" x14ac:dyDescent="0.25">
      <c r="A440" t="s">
        <v>3323</v>
      </c>
      <c r="B440" t="s">
        <v>302</v>
      </c>
      <c r="C440" t="s">
        <v>62</v>
      </c>
      <c r="D440">
        <v>99999</v>
      </c>
      <c r="F440" s="109">
        <v>10000</v>
      </c>
      <c r="G440" t="b">
        <v>0</v>
      </c>
      <c r="H440" t="s">
        <v>341</v>
      </c>
      <c r="K440" t="s">
        <v>349</v>
      </c>
      <c r="L440" t="s">
        <v>303</v>
      </c>
      <c r="M440" t="s">
        <v>323</v>
      </c>
      <c r="N440" t="s">
        <v>63</v>
      </c>
      <c r="O440" s="110">
        <v>29.9</v>
      </c>
      <c r="R440" s="110">
        <v>304.89</v>
      </c>
      <c r="S440" s="110">
        <v>79.900000000000006</v>
      </c>
      <c r="T440" s="110">
        <v>0</v>
      </c>
      <c r="U440" s="110">
        <v>42.99</v>
      </c>
      <c r="X440">
        <v>137.09999999999997</v>
      </c>
      <c r="Y440">
        <v>44.9</v>
      </c>
      <c r="Z440">
        <v>44.9</v>
      </c>
      <c r="AA440">
        <v>0</v>
      </c>
      <c r="AB440" t="s">
        <v>324</v>
      </c>
      <c r="AF440" t="s">
        <v>1174</v>
      </c>
      <c r="AG440" t="s">
        <v>1174</v>
      </c>
      <c r="AH440" t="s">
        <v>1175</v>
      </c>
      <c r="AI440">
        <v>99999</v>
      </c>
      <c r="AJ440">
        <v>99999</v>
      </c>
      <c r="AK440">
        <v>699</v>
      </c>
      <c r="AL440" t="b">
        <v>1</v>
      </c>
      <c r="AM440" t="b">
        <v>1</v>
      </c>
      <c r="AN440" t="b">
        <v>0</v>
      </c>
      <c r="AO440">
        <v>99999</v>
      </c>
      <c r="AP440" t="s">
        <v>64</v>
      </c>
      <c r="AR440" t="b">
        <v>0</v>
      </c>
      <c r="AS440">
        <v>12</v>
      </c>
      <c r="AT440" t="s">
        <v>327</v>
      </c>
      <c r="AV440" t="s">
        <v>1196</v>
      </c>
      <c r="CRL440">
        <v>12</v>
      </c>
    </row>
    <row r="441" spans="1:48 2508:2508" x14ac:dyDescent="0.25">
      <c r="A441" t="s">
        <v>3323</v>
      </c>
      <c r="B441" t="s">
        <v>302</v>
      </c>
      <c r="C441" t="s">
        <v>62</v>
      </c>
      <c r="D441">
        <v>99999</v>
      </c>
      <c r="F441" s="109">
        <v>10000</v>
      </c>
      <c r="G441" t="b">
        <v>0</v>
      </c>
      <c r="H441" t="s">
        <v>341</v>
      </c>
      <c r="K441" t="s">
        <v>349</v>
      </c>
      <c r="L441" t="s">
        <v>303</v>
      </c>
      <c r="M441" t="s">
        <v>323</v>
      </c>
      <c r="N441" t="s">
        <v>63</v>
      </c>
      <c r="O441" s="110">
        <v>29.9</v>
      </c>
      <c r="R441" s="110">
        <v>324.89</v>
      </c>
      <c r="S441" s="110">
        <v>79.900000000000006</v>
      </c>
      <c r="T441" s="110">
        <v>0</v>
      </c>
      <c r="U441" s="110">
        <v>42.99</v>
      </c>
      <c r="X441">
        <v>157.09999999999997</v>
      </c>
      <c r="Y441">
        <v>44.9</v>
      </c>
      <c r="Z441">
        <v>44.9</v>
      </c>
      <c r="AA441">
        <v>0</v>
      </c>
      <c r="AB441" t="s">
        <v>324</v>
      </c>
      <c r="AF441" t="s">
        <v>1309</v>
      </c>
      <c r="AG441" t="s">
        <v>1309</v>
      </c>
      <c r="AH441" t="s">
        <v>1175</v>
      </c>
      <c r="AI441">
        <v>99999</v>
      </c>
      <c r="AJ441">
        <v>99999</v>
      </c>
      <c r="AK441">
        <v>699</v>
      </c>
      <c r="AL441" t="b">
        <v>1</v>
      </c>
      <c r="AM441" t="b">
        <v>1</v>
      </c>
      <c r="AN441" t="b">
        <v>0</v>
      </c>
      <c r="AO441">
        <v>99999</v>
      </c>
      <c r="AP441" t="s">
        <v>64</v>
      </c>
      <c r="AR441" t="b">
        <v>0</v>
      </c>
      <c r="AS441">
        <v>12</v>
      </c>
      <c r="AT441" t="s">
        <v>327</v>
      </c>
      <c r="AV441" t="s">
        <v>1330</v>
      </c>
      <c r="CRL441">
        <v>12</v>
      </c>
    </row>
    <row r="442" spans="1:48 2508:2508" x14ac:dyDescent="0.25">
      <c r="A442" t="s">
        <v>3323</v>
      </c>
      <c r="B442" t="s">
        <v>302</v>
      </c>
      <c r="C442" t="s">
        <v>62</v>
      </c>
      <c r="D442">
        <v>99999</v>
      </c>
      <c r="F442" s="109">
        <v>10000</v>
      </c>
      <c r="G442" t="b">
        <v>0</v>
      </c>
      <c r="H442" t="s">
        <v>341</v>
      </c>
      <c r="K442" t="s">
        <v>349</v>
      </c>
      <c r="L442" t="s">
        <v>303</v>
      </c>
      <c r="M442" t="s">
        <v>323</v>
      </c>
      <c r="N442" t="s">
        <v>63</v>
      </c>
      <c r="O442" s="110">
        <v>29.9</v>
      </c>
      <c r="R442" s="110">
        <v>344.89</v>
      </c>
      <c r="S442" s="110">
        <v>85</v>
      </c>
      <c r="T442" s="110">
        <v>0</v>
      </c>
      <c r="U442" s="110">
        <v>42.99</v>
      </c>
      <c r="X442">
        <v>171.99999999999997</v>
      </c>
      <c r="Y442">
        <v>44.9</v>
      </c>
      <c r="Z442">
        <v>44.9</v>
      </c>
      <c r="AA442">
        <v>0</v>
      </c>
      <c r="AB442" t="s">
        <v>324</v>
      </c>
      <c r="AF442" t="s">
        <v>1457</v>
      </c>
      <c r="AG442" t="s">
        <v>1457</v>
      </c>
      <c r="AH442" t="s">
        <v>1175</v>
      </c>
      <c r="AI442">
        <v>99999</v>
      </c>
      <c r="AJ442">
        <v>99999</v>
      </c>
      <c r="AK442">
        <v>699</v>
      </c>
      <c r="AL442" t="b">
        <v>1</v>
      </c>
      <c r="AM442" t="b">
        <v>1</v>
      </c>
      <c r="AN442" t="b">
        <v>0</v>
      </c>
      <c r="AO442">
        <v>99999</v>
      </c>
      <c r="AP442" t="s">
        <v>64</v>
      </c>
      <c r="AR442" t="b">
        <v>0</v>
      </c>
      <c r="AS442">
        <v>12</v>
      </c>
      <c r="AT442" t="s">
        <v>327</v>
      </c>
      <c r="AV442" t="s">
        <v>1478</v>
      </c>
      <c r="CRL442">
        <v>12</v>
      </c>
    </row>
    <row r="443" spans="1:48 2508:2508" x14ac:dyDescent="0.25">
      <c r="A443" t="s">
        <v>3323</v>
      </c>
      <c r="B443" t="s">
        <v>302</v>
      </c>
      <c r="C443" t="s">
        <v>62</v>
      </c>
      <c r="D443">
        <v>99999</v>
      </c>
      <c r="F443" s="109">
        <v>10000</v>
      </c>
      <c r="G443" t="b">
        <v>0</v>
      </c>
      <c r="H443" t="s">
        <v>341</v>
      </c>
      <c r="K443" t="s">
        <v>349</v>
      </c>
      <c r="L443" t="s">
        <v>303</v>
      </c>
      <c r="M443" t="s">
        <v>323</v>
      </c>
      <c r="N443" t="s">
        <v>63</v>
      </c>
      <c r="O443" s="110">
        <v>39.9</v>
      </c>
      <c r="R443" s="110">
        <v>304.89</v>
      </c>
      <c r="S443" s="110">
        <v>79.900000000000006</v>
      </c>
      <c r="T443" s="110">
        <v>0</v>
      </c>
      <c r="U443" s="110">
        <v>42.99</v>
      </c>
      <c r="X443">
        <v>137.09999999999997</v>
      </c>
      <c r="Y443">
        <v>44.9</v>
      </c>
      <c r="Z443">
        <v>44.9</v>
      </c>
      <c r="AA443">
        <v>0</v>
      </c>
      <c r="AB443" t="s">
        <v>324</v>
      </c>
      <c r="AF443" t="s">
        <v>1242</v>
      </c>
      <c r="AG443" t="s">
        <v>1242</v>
      </c>
      <c r="AH443" t="s">
        <v>1175</v>
      </c>
      <c r="AI443">
        <v>99999</v>
      </c>
      <c r="AJ443">
        <v>99999</v>
      </c>
      <c r="AK443">
        <v>699</v>
      </c>
      <c r="AL443" t="b">
        <v>1</v>
      </c>
      <c r="AM443" t="b">
        <v>1</v>
      </c>
      <c r="AN443" t="b">
        <v>0</v>
      </c>
      <c r="AO443">
        <v>99999</v>
      </c>
      <c r="AP443" t="s">
        <v>64</v>
      </c>
      <c r="AR443" t="b">
        <v>0</v>
      </c>
      <c r="AS443">
        <v>12</v>
      </c>
      <c r="AT443" t="s">
        <v>327</v>
      </c>
      <c r="AV443" t="s">
        <v>1263</v>
      </c>
      <c r="CRL443">
        <v>12</v>
      </c>
    </row>
    <row r="444" spans="1:48 2508:2508" x14ac:dyDescent="0.25">
      <c r="A444" t="s">
        <v>3323</v>
      </c>
      <c r="B444" t="s">
        <v>302</v>
      </c>
      <c r="C444" t="s">
        <v>62</v>
      </c>
      <c r="D444">
        <v>99999</v>
      </c>
      <c r="F444" s="109">
        <v>10000</v>
      </c>
      <c r="G444" t="b">
        <v>0</v>
      </c>
      <c r="H444" t="s">
        <v>341</v>
      </c>
      <c r="K444" t="s">
        <v>349</v>
      </c>
      <c r="L444" t="s">
        <v>303</v>
      </c>
      <c r="M444" t="s">
        <v>323</v>
      </c>
      <c r="N444" t="s">
        <v>63</v>
      </c>
      <c r="O444" s="110">
        <v>39.9</v>
      </c>
      <c r="R444" s="110">
        <v>324.89</v>
      </c>
      <c r="S444" s="110">
        <v>79.900000000000006</v>
      </c>
      <c r="T444" s="110">
        <v>0</v>
      </c>
      <c r="U444" s="110">
        <v>42.99</v>
      </c>
      <c r="X444">
        <v>157.09999999999997</v>
      </c>
      <c r="Y444">
        <v>44.9</v>
      </c>
      <c r="Z444">
        <v>44.9</v>
      </c>
      <c r="AA444">
        <v>0</v>
      </c>
      <c r="AB444" t="s">
        <v>324</v>
      </c>
      <c r="AF444" t="s">
        <v>1376</v>
      </c>
      <c r="AG444" t="s">
        <v>1376</v>
      </c>
      <c r="AH444" t="s">
        <v>1175</v>
      </c>
      <c r="AI444">
        <v>99999</v>
      </c>
      <c r="AJ444">
        <v>99999</v>
      </c>
      <c r="AK444">
        <v>699</v>
      </c>
      <c r="AL444" t="b">
        <v>1</v>
      </c>
      <c r="AM444" t="b">
        <v>1</v>
      </c>
      <c r="AN444" t="b">
        <v>0</v>
      </c>
      <c r="AO444">
        <v>99999</v>
      </c>
      <c r="AP444" t="s">
        <v>64</v>
      </c>
      <c r="AR444" t="b">
        <v>0</v>
      </c>
      <c r="AS444">
        <v>12</v>
      </c>
      <c r="AT444" t="s">
        <v>327</v>
      </c>
      <c r="AV444" t="s">
        <v>1397</v>
      </c>
      <c r="CRL444">
        <v>12</v>
      </c>
    </row>
    <row r="445" spans="1:48 2508:2508" x14ac:dyDescent="0.25">
      <c r="A445" t="s">
        <v>3323</v>
      </c>
      <c r="B445" t="s">
        <v>302</v>
      </c>
      <c r="C445" t="s">
        <v>62</v>
      </c>
      <c r="D445">
        <v>99999</v>
      </c>
      <c r="F445" s="109">
        <v>10000</v>
      </c>
      <c r="G445" t="b">
        <v>0</v>
      </c>
      <c r="H445" t="s">
        <v>341</v>
      </c>
      <c r="K445" t="s">
        <v>349</v>
      </c>
      <c r="L445" t="s">
        <v>303</v>
      </c>
      <c r="M445" t="s">
        <v>323</v>
      </c>
      <c r="N445" t="s">
        <v>63</v>
      </c>
      <c r="O445" s="110">
        <v>39.9</v>
      </c>
      <c r="R445" s="110">
        <v>344.89</v>
      </c>
      <c r="S445" s="110">
        <v>85</v>
      </c>
      <c r="T445" s="110">
        <v>0</v>
      </c>
      <c r="U445" s="110">
        <v>42.99</v>
      </c>
      <c r="X445">
        <v>171.99999999999997</v>
      </c>
      <c r="Y445">
        <v>44.9</v>
      </c>
      <c r="Z445">
        <v>44.9</v>
      </c>
      <c r="AA445">
        <v>0</v>
      </c>
      <c r="AB445" t="s">
        <v>324</v>
      </c>
      <c r="AF445" t="s">
        <v>1524</v>
      </c>
      <c r="AG445" t="s">
        <v>1524</v>
      </c>
      <c r="AH445" t="s">
        <v>1175</v>
      </c>
      <c r="AI445">
        <v>99999</v>
      </c>
      <c r="AJ445">
        <v>99999</v>
      </c>
      <c r="AK445">
        <v>699</v>
      </c>
      <c r="AL445" t="b">
        <v>1</v>
      </c>
      <c r="AM445" t="b">
        <v>1</v>
      </c>
      <c r="AN445" t="b">
        <v>0</v>
      </c>
      <c r="AO445">
        <v>99999</v>
      </c>
      <c r="AP445" t="s">
        <v>64</v>
      </c>
      <c r="AR445" t="b">
        <v>0</v>
      </c>
      <c r="AS445">
        <v>12</v>
      </c>
      <c r="AT445" t="s">
        <v>327</v>
      </c>
      <c r="AV445" t="s">
        <v>1545</v>
      </c>
      <c r="CRL445">
        <v>12</v>
      </c>
    </row>
    <row r="446" spans="1:48 2508:2508" x14ac:dyDescent="0.25">
      <c r="A446" t="s">
        <v>3323</v>
      </c>
      <c r="B446" t="s">
        <v>302</v>
      </c>
      <c r="C446" t="s">
        <v>62</v>
      </c>
      <c r="D446">
        <v>99999</v>
      </c>
      <c r="F446" s="109">
        <v>10000</v>
      </c>
      <c r="G446" t="b">
        <v>0</v>
      </c>
      <c r="H446" t="s">
        <v>341</v>
      </c>
      <c r="K446" t="s">
        <v>349</v>
      </c>
      <c r="L446" t="s">
        <v>303</v>
      </c>
      <c r="M446" t="s">
        <v>323</v>
      </c>
      <c r="N446" t="s">
        <v>63</v>
      </c>
      <c r="O446" s="110">
        <v>49.9</v>
      </c>
      <c r="R446" s="110">
        <v>330.68999999999994</v>
      </c>
      <c r="S446" s="110">
        <v>130</v>
      </c>
      <c r="T446" s="110">
        <v>0</v>
      </c>
      <c r="U446" s="110">
        <v>34.99</v>
      </c>
      <c r="X446">
        <v>120.79999999999998</v>
      </c>
      <c r="Y446">
        <v>44.9</v>
      </c>
      <c r="Z446">
        <v>44.9</v>
      </c>
      <c r="AA446">
        <v>0</v>
      </c>
      <c r="AB446" t="s">
        <v>324</v>
      </c>
      <c r="AF446" t="s">
        <v>2744</v>
      </c>
      <c r="AG446" t="s">
        <v>2744</v>
      </c>
      <c r="AH446" t="s">
        <v>1175</v>
      </c>
      <c r="AI446">
        <v>99999</v>
      </c>
      <c r="AJ446">
        <v>99999</v>
      </c>
      <c r="AK446">
        <v>699</v>
      </c>
      <c r="AL446" t="b">
        <v>1</v>
      </c>
      <c r="AM446" t="b">
        <v>1</v>
      </c>
      <c r="AN446" t="b">
        <v>0</v>
      </c>
      <c r="AO446">
        <v>99999</v>
      </c>
      <c r="AP446" t="s">
        <v>64</v>
      </c>
      <c r="AR446" t="b">
        <v>0</v>
      </c>
      <c r="AS446">
        <v>12</v>
      </c>
      <c r="AT446" t="s">
        <v>327</v>
      </c>
      <c r="AV446" t="s">
        <v>2765</v>
      </c>
      <c r="CRL446">
        <v>12</v>
      </c>
    </row>
    <row r="447" spans="1:48 2508:2508" x14ac:dyDescent="0.25">
      <c r="A447" t="s">
        <v>3323</v>
      </c>
      <c r="B447" t="s">
        <v>302</v>
      </c>
      <c r="C447" t="s">
        <v>62</v>
      </c>
      <c r="D447">
        <v>99999</v>
      </c>
      <c r="F447" s="109">
        <v>10000</v>
      </c>
      <c r="G447" t="b">
        <v>0</v>
      </c>
      <c r="H447" t="s">
        <v>341</v>
      </c>
      <c r="K447" t="s">
        <v>349</v>
      </c>
      <c r="L447" t="s">
        <v>303</v>
      </c>
      <c r="M447" t="s">
        <v>323</v>
      </c>
      <c r="N447" t="s">
        <v>63</v>
      </c>
      <c r="O447" s="110">
        <v>49.9</v>
      </c>
      <c r="R447" s="110">
        <v>354.98999999999995</v>
      </c>
      <c r="S447" s="110">
        <v>130</v>
      </c>
      <c r="T447" s="110">
        <v>0</v>
      </c>
      <c r="U447" s="110">
        <v>42.99</v>
      </c>
      <c r="X447">
        <v>137.09999999999997</v>
      </c>
      <c r="Y447">
        <v>44.9</v>
      </c>
      <c r="Z447">
        <v>44.9</v>
      </c>
      <c r="AA447">
        <v>0</v>
      </c>
      <c r="AB447" t="s">
        <v>324</v>
      </c>
      <c r="AF447" t="s">
        <v>2818</v>
      </c>
      <c r="AG447" t="s">
        <v>2818</v>
      </c>
      <c r="AH447" t="s">
        <v>1175</v>
      </c>
      <c r="AI447">
        <v>99999</v>
      </c>
      <c r="AJ447">
        <v>99999</v>
      </c>
      <c r="AK447">
        <v>699</v>
      </c>
      <c r="AL447" t="b">
        <v>1</v>
      </c>
      <c r="AM447" t="b">
        <v>1</v>
      </c>
      <c r="AN447" t="b">
        <v>0</v>
      </c>
      <c r="AO447">
        <v>99999</v>
      </c>
      <c r="AP447" t="s">
        <v>64</v>
      </c>
      <c r="AR447" t="b">
        <v>0</v>
      </c>
      <c r="AS447">
        <v>12</v>
      </c>
      <c r="AT447" t="s">
        <v>327</v>
      </c>
      <c r="AV447" t="s">
        <v>2839</v>
      </c>
      <c r="CRL447">
        <v>12</v>
      </c>
    </row>
    <row r="448" spans="1:48 2508:2508" x14ac:dyDescent="0.25">
      <c r="A448" t="s">
        <v>3323</v>
      </c>
      <c r="B448" t="s">
        <v>302</v>
      </c>
      <c r="C448" t="s">
        <v>62</v>
      </c>
      <c r="D448">
        <v>99999</v>
      </c>
      <c r="F448" s="109">
        <v>10000</v>
      </c>
      <c r="G448" t="b">
        <v>0</v>
      </c>
      <c r="H448" t="s">
        <v>341</v>
      </c>
      <c r="K448" t="s">
        <v>349</v>
      </c>
      <c r="L448" t="s">
        <v>303</v>
      </c>
      <c r="M448" t="s">
        <v>323</v>
      </c>
      <c r="N448" t="s">
        <v>63</v>
      </c>
      <c r="O448" s="110">
        <v>49.9</v>
      </c>
      <c r="R448" s="110">
        <v>374.98999999999995</v>
      </c>
      <c r="S448" s="110">
        <v>130</v>
      </c>
      <c r="T448" s="110">
        <v>0</v>
      </c>
      <c r="U448" s="110">
        <v>42.99</v>
      </c>
      <c r="X448">
        <v>157.09999999999997</v>
      </c>
      <c r="Y448">
        <v>44.9</v>
      </c>
      <c r="Z448">
        <v>44.9</v>
      </c>
      <c r="AA448">
        <v>0</v>
      </c>
      <c r="AB448" t="s">
        <v>324</v>
      </c>
      <c r="AF448" t="s">
        <v>2885</v>
      </c>
      <c r="AG448" t="s">
        <v>2885</v>
      </c>
      <c r="AH448" t="s">
        <v>1175</v>
      </c>
      <c r="AI448">
        <v>99999</v>
      </c>
      <c r="AJ448">
        <v>99999</v>
      </c>
      <c r="AK448">
        <v>699</v>
      </c>
      <c r="AL448" t="b">
        <v>1</v>
      </c>
      <c r="AM448" t="b">
        <v>1</v>
      </c>
      <c r="AN448" t="b">
        <v>0</v>
      </c>
      <c r="AO448">
        <v>99999</v>
      </c>
      <c r="AP448" t="s">
        <v>64</v>
      </c>
      <c r="AR448" t="b">
        <v>0</v>
      </c>
      <c r="AS448">
        <v>12</v>
      </c>
      <c r="AT448" t="s">
        <v>327</v>
      </c>
      <c r="AV448" t="s">
        <v>2906</v>
      </c>
      <c r="CRL448">
        <v>12</v>
      </c>
    </row>
    <row r="449" spans="1:48 2508:2508" x14ac:dyDescent="0.25">
      <c r="A449" t="s">
        <v>3323</v>
      </c>
      <c r="B449" t="s">
        <v>302</v>
      </c>
      <c r="C449" t="s">
        <v>62</v>
      </c>
      <c r="D449">
        <v>99999</v>
      </c>
      <c r="F449" s="109">
        <v>10000</v>
      </c>
      <c r="G449" t="b">
        <v>0</v>
      </c>
      <c r="H449" t="s">
        <v>341</v>
      </c>
      <c r="K449" t="s">
        <v>349</v>
      </c>
      <c r="L449" t="s">
        <v>303</v>
      </c>
      <c r="M449" t="s">
        <v>323</v>
      </c>
      <c r="N449" t="s">
        <v>63</v>
      </c>
      <c r="O449" s="110">
        <v>49.9</v>
      </c>
      <c r="R449" s="110">
        <v>389.89</v>
      </c>
      <c r="S449" s="110">
        <v>130</v>
      </c>
      <c r="T449" s="110">
        <v>0</v>
      </c>
      <c r="U449" s="110">
        <v>42.99</v>
      </c>
      <c r="X449">
        <v>171.99999999999997</v>
      </c>
      <c r="Y449">
        <v>44.9</v>
      </c>
      <c r="Z449">
        <v>44.9</v>
      </c>
      <c r="AA449">
        <v>0</v>
      </c>
      <c r="AB449" t="s">
        <v>324</v>
      </c>
      <c r="AF449" t="s">
        <v>2959</v>
      </c>
      <c r="AG449" t="s">
        <v>2959</v>
      </c>
      <c r="AH449" t="s">
        <v>1175</v>
      </c>
      <c r="AI449">
        <v>99999</v>
      </c>
      <c r="AJ449">
        <v>99999</v>
      </c>
      <c r="AK449">
        <v>699</v>
      </c>
      <c r="AL449" t="b">
        <v>1</v>
      </c>
      <c r="AM449" t="b">
        <v>1</v>
      </c>
      <c r="AN449" t="b">
        <v>0</v>
      </c>
      <c r="AO449">
        <v>99999</v>
      </c>
      <c r="AP449" t="s">
        <v>64</v>
      </c>
      <c r="AR449" t="b">
        <v>0</v>
      </c>
      <c r="AS449">
        <v>12</v>
      </c>
      <c r="AT449" t="s">
        <v>327</v>
      </c>
      <c r="AV449" t="s">
        <v>2980</v>
      </c>
      <c r="CRL449">
        <v>12</v>
      </c>
    </row>
    <row r="450" spans="1:48 2508:2508" x14ac:dyDescent="0.25">
      <c r="A450" t="s">
        <v>3323</v>
      </c>
      <c r="B450" t="s">
        <v>302</v>
      </c>
      <c r="C450" t="s">
        <v>62</v>
      </c>
      <c r="D450">
        <v>99999</v>
      </c>
      <c r="F450" s="109">
        <v>10000</v>
      </c>
      <c r="G450" t="b">
        <v>0</v>
      </c>
      <c r="H450" t="s">
        <v>341</v>
      </c>
      <c r="K450" t="s">
        <v>393</v>
      </c>
      <c r="L450" t="s">
        <v>303</v>
      </c>
      <c r="M450" t="s">
        <v>323</v>
      </c>
      <c r="N450" t="s">
        <v>63</v>
      </c>
      <c r="O450" s="110">
        <v>29.9</v>
      </c>
      <c r="R450" s="110">
        <v>329.89</v>
      </c>
      <c r="S450" s="110">
        <v>79.900000000000006</v>
      </c>
      <c r="T450" s="110">
        <v>0</v>
      </c>
      <c r="U450" s="110">
        <v>42.99</v>
      </c>
      <c r="X450">
        <v>137.09999999999997</v>
      </c>
      <c r="Y450">
        <v>69.900000000000006</v>
      </c>
      <c r="Z450">
        <v>69.900000000000006</v>
      </c>
      <c r="AA450">
        <v>0</v>
      </c>
      <c r="AB450" t="s">
        <v>363</v>
      </c>
      <c r="AF450" t="s">
        <v>1202</v>
      </c>
      <c r="AG450" t="s">
        <v>1202</v>
      </c>
      <c r="AH450" t="s">
        <v>1175</v>
      </c>
      <c r="AI450">
        <v>99999</v>
      </c>
      <c r="AJ450">
        <v>99999</v>
      </c>
      <c r="AK450">
        <v>699</v>
      </c>
      <c r="AL450" t="b">
        <v>1</v>
      </c>
      <c r="AM450" t="b">
        <v>1</v>
      </c>
      <c r="AN450" t="b">
        <v>0</v>
      </c>
      <c r="AO450">
        <v>99999</v>
      </c>
      <c r="AP450" t="s">
        <v>64</v>
      </c>
      <c r="AR450" t="b">
        <v>0</v>
      </c>
      <c r="AS450">
        <v>12</v>
      </c>
      <c r="AT450" t="s">
        <v>327</v>
      </c>
      <c r="AV450" t="s">
        <v>1236</v>
      </c>
      <c r="CRL450">
        <v>12</v>
      </c>
    </row>
    <row r="451" spans="1:48 2508:2508" x14ac:dyDescent="0.25">
      <c r="A451" t="s">
        <v>3323</v>
      </c>
      <c r="B451" t="s">
        <v>302</v>
      </c>
      <c r="C451" t="s">
        <v>62</v>
      </c>
      <c r="D451">
        <v>99999</v>
      </c>
      <c r="F451" s="109">
        <v>10000</v>
      </c>
      <c r="G451" t="b">
        <v>0</v>
      </c>
      <c r="H451" t="s">
        <v>341</v>
      </c>
      <c r="K451" t="s">
        <v>393</v>
      </c>
      <c r="L451" t="s">
        <v>303</v>
      </c>
      <c r="M451" t="s">
        <v>323</v>
      </c>
      <c r="N451" t="s">
        <v>63</v>
      </c>
      <c r="O451" s="110">
        <v>29.9</v>
      </c>
      <c r="R451" s="110">
        <v>349.89</v>
      </c>
      <c r="S451" s="110">
        <v>79.900000000000006</v>
      </c>
      <c r="T451" s="110">
        <v>0</v>
      </c>
      <c r="U451" s="110">
        <v>42.99</v>
      </c>
      <c r="X451">
        <v>157.09999999999997</v>
      </c>
      <c r="Y451">
        <v>69.900000000000006</v>
      </c>
      <c r="Z451">
        <v>69.900000000000006</v>
      </c>
      <c r="AA451">
        <v>0</v>
      </c>
      <c r="AB451" t="s">
        <v>363</v>
      </c>
      <c r="AF451" t="s">
        <v>1336</v>
      </c>
      <c r="AG451" t="s">
        <v>1336</v>
      </c>
      <c r="AH451" t="s">
        <v>1175</v>
      </c>
      <c r="AI451">
        <v>99999</v>
      </c>
      <c r="AJ451">
        <v>99999</v>
      </c>
      <c r="AK451">
        <v>699</v>
      </c>
      <c r="AL451" t="b">
        <v>1</v>
      </c>
      <c r="AM451" t="b">
        <v>1</v>
      </c>
      <c r="AN451" t="b">
        <v>0</v>
      </c>
      <c r="AO451">
        <v>99999</v>
      </c>
      <c r="AP451" t="s">
        <v>64</v>
      </c>
      <c r="AR451" t="b">
        <v>0</v>
      </c>
      <c r="AS451">
        <v>12</v>
      </c>
      <c r="AT451" t="s">
        <v>327</v>
      </c>
      <c r="AV451" t="s">
        <v>1370</v>
      </c>
      <c r="CRL451">
        <v>12</v>
      </c>
    </row>
    <row r="452" spans="1:48 2508:2508" x14ac:dyDescent="0.25">
      <c r="A452" t="s">
        <v>3323</v>
      </c>
      <c r="B452" t="s">
        <v>302</v>
      </c>
      <c r="C452" t="s">
        <v>62</v>
      </c>
      <c r="D452">
        <v>99999</v>
      </c>
      <c r="F452" s="109">
        <v>10000</v>
      </c>
      <c r="G452" t="b">
        <v>0</v>
      </c>
      <c r="H452" t="s">
        <v>341</v>
      </c>
      <c r="K452" t="s">
        <v>393</v>
      </c>
      <c r="L452" t="s">
        <v>303</v>
      </c>
      <c r="M452" t="s">
        <v>323</v>
      </c>
      <c r="N452" t="s">
        <v>63</v>
      </c>
      <c r="O452" s="110">
        <v>29.9</v>
      </c>
      <c r="R452" s="110">
        <v>369.89</v>
      </c>
      <c r="S452" s="110">
        <v>85</v>
      </c>
      <c r="T452" s="110">
        <v>0</v>
      </c>
      <c r="U452" s="110">
        <v>42.99</v>
      </c>
      <c r="X452">
        <v>171.99999999999997</v>
      </c>
      <c r="Y452">
        <v>69.900000000000006</v>
      </c>
      <c r="Z452">
        <v>69.900000000000006</v>
      </c>
      <c r="AA452">
        <v>0</v>
      </c>
      <c r="AB452" t="s">
        <v>363</v>
      </c>
      <c r="AF452" t="s">
        <v>1484</v>
      </c>
      <c r="AG452" t="s">
        <v>1484</v>
      </c>
      <c r="AH452" t="s">
        <v>1175</v>
      </c>
      <c r="AI452">
        <v>99999</v>
      </c>
      <c r="AJ452">
        <v>99999</v>
      </c>
      <c r="AK452">
        <v>699</v>
      </c>
      <c r="AL452" t="b">
        <v>1</v>
      </c>
      <c r="AM452" t="b">
        <v>1</v>
      </c>
      <c r="AN452" t="b">
        <v>0</v>
      </c>
      <c r="AO452">
        <v>99999</v>
      </c>
      <c r="AP452" t="s">
        <v>64</v>
      </c>
      <c r="AR452" t="b">
        <v>0</v>
      </c>
      <c r="AS452">
        <v>12</v>
      </c>
      <c r="AT452" t="s">
        <v>327</v>
      </c>
      <c r="AV452" t="s">
        <v>1518</v>
      </c>
      <c r="CRL452">
        <v>12</v>
      </c>
    </row>
    <row r="453" spans="1:48 2508:2508" x14ac:dyDescent="0.25">
      <c r="A453" t="s">
        <v>3323</v>
      </c>
      <c r="B453" t="s">
        <v>302</v>
      </c>
      <c r="C453" t="s">
        <v>62</v>
      </c>
      <c r="D453">
        <v>99999</v>
      </c>
      <c r="F453" s="109">
        <v>10000</v>
      </c>
      <c r="G453" t="b">
        <v>0</v>
      </c>
      <c r="H453" t="s">
        <v>341</v>
      </c>
      <c r="K453" t="s">
        <v>393</v>
      </c>
      <c r="L453" t="s">
        <v>303</v>
      </c>
      <c r="M453" t="s">
        <v>323</v>
      </c>
      <c r="N453" t="s">
        <v>63</v>
      </c>
      <c r="O453" s="110">
        <v>39.9</v>
      </c>
      <c r="R453" s="110">
        <v>329.89</v>
      </c>
      <c r="S453" s="110">
        <v>79.900000000000006</v>
      </c>
      <c r="T453" s="110">
        <v>0</v>
      </c>
      <c r="U453" s="110">
        <v>42.99</v>
      </c>
      <c r="X453">
        <v>137.09999999999997</v>
      </c>
      <c r="Y453">
        <v>69.900000000000006</v>
      </c>
      <c r="Z453">
        <v>69.900000000000006</v>
      </c>
      <c r="AA453">
        <v>0</v>
      </c>
      <c r="AB453" t="s">
        <v>363</v>
      </c>
      <c r="AF453" t="s">
        <v>1269</v>
      </c>
      <c r="AG453" t="s">
        <v>1269</v>
      </c>
      <c r="AH453" t="s">
        <v>1175</v>
      </c>
      <c r="AI453">
        <v>99999</v>
      </c>
      <c r="AJ453">
        <v>99999</v>
      </c>
      <c r="AK453">
        <v>699</v>
      </c>
      <c r="AL453" t="b">
        <v>1</v>
      </c>
      <c r="AM453" t="b">
        <v>1</v>
      </c>
      <c r="AN453" t="b">
        <v>0</v>
      </c>
      <c r="AO453">
        <v>99999</v>
      </c>
      <c r="AP453" t="s">
        <v>64</v>
      </c>
      <c r="AR453" t="b">
        <v>0</v>
      </c>
      <c r="AS453">
        <v>12</v>
      </c>
      <c r="AT453" t="s">
        <v>327</v>
      </c>
      <c r="AV453" t="s">
        <v>1303</v>
      </c>
      <c r="CRL453">
        <v>12</v>
      </c>
    </row>
    <row r="454" spans="1:48 2508:2508" x14ac:dyDescent="0.25">
      <c r="A454" t="s">
        <v>3323</v>
      </c>
      <c r="B454" t="s">
        <v>302</v>
      </c>
      <c r="C454" t="s">
        <v>62</v>
      </c>
      <c r="D454">
        <v>99999</v>
      </c>
      <c r="F454" s="109">
        <v>10000</v>
      </c>
      <c r="G454" t="b">
        <v>0</v>
      </c>
      <c r="H454" t="s">
        <v>341</v>
      </c>
      <c r="K454" t="s">
        <v>393</v>
      </c>
      <c r="L454" t="s">
        <v>303</v>
      </c>
      <c r="M454" t="s">
        <v>323</v>
      </c>
      <c r="N454" t="s">
        <v>63</v>
      </c>
      <c r="O454" s="110">
        <v>39.9</v>
      </c>
      <c r="R454" s="110">
        <v>349.89</v>
      </c>
      <c r="S454" s="110">
        <v>79.900000000000006</v>
      </c>
      <c r="T454" s="110">
        <v>0</v>
      </c>
      <c r="U454" s="110">
        <v>42.99</v>
      </c>
      <c r="X454">
        <v>157.09999999999997</v>
      </c>
      <c r="Y454">
        <v>69.900000000000006</v>
      </c>
      <c r="Z454">
        <v>69.900000000000006</v>
      </c>
      <c r="AA454">
        <v>0</v>
      </c>
      <c r="AB454" t="s">
        <v>363</v>
      </c>
      <c r="AF454" t="s">
        <v>1403</v>
      </c>
      <c r="AG454" t="s">
        <v>1403</v>
      </c>
      <c r="AH454" t="s">
        <v>1175</v>
      </c>
      <c r="AI454">
        <v>99999</v>
      </c>
      <c r="AJ454">
        <v>99999</v>
      </c>
      <c r="AK454">
        <v>699</v>
      </c>
      <c r="AL454" t="b">
        <v>1</v>
      </c>
      <c r="AM454" t="b">
        <v>1</v>
      </c>
      <c r="AN454" t="b">
        <v>0</v>
      </c>
      <c r="AO454">
        <v>99999</v>
      </c>
      <c r="AP454" t="s">
        <v>64</v>
      </c>
      <c r="AR454" t="b">
        <v>0</v>
      </c>
      <c r="AS454">
        <v>12</v>
      </c>
      <c r="AT454" t="s">
        <v>327</v>
      </c>
      <c r="AV454" t="s">
        <v>1437</v>
      </c>
      <c r="CRL454">
        <v>12</v>
      </c>
    </row>
    <row r="455" spans="1:48 2508:2508" x14ac:dyDescent="0.25">
      <c r="A455" t="s">
        <v>3323</v>
      </c>
      <c r="B455" t="s">
        <v>302</v>
      </c>
      <c r="C455" t="s">
        <v>62</v>
      </c>
      <c r="D455">
        <v>99999</v>
      </c>
      <c r="F455" s="109">
        <v>10000</v>
      </c>
      <c r="G455" t="b">
        <v>0</v>
      </c>
      <c r="H455" t="s">
        <v>341</v>
      </c>
      <c r="K455" t="s">
        <v>393</v>
      </c>
      <c r="L455" t="s">
        <v>303</v>
      </c>
      <c r="M455" t="s">
        <v>323</v>
      </c>
      <c r="N455" t="s">
        <v>63</v>
      </c>
      <c r="O455" s="110">
        <v>39.9</v>
      </c>
      <c r="R455" s="110">
        <v>369.89</v>
      </c>
      <c r="S455" s="110">
        <v>85</v>
      </c>
      <c r="T455" s="110">
        <v>0</v>
      </c>
      <c r="U455" s="110">
        <v>42.99</v>
      </c>
      <c r="X455">
        <v>171.99999999999997</v>
      </c>
      <c r="Y455">
        <v>69.900000000000006</v>
      </c>
      <c r="Z455">
        <v>69.900000000000006</v>
      </c>
      <c r="AA455">
        <v>0</v>
      </c>
      <c r="AB455" t="s">
        <v>363</v>
      </c>
      <c r="AF455" t="s">
        <v>1551</v>
      </c>
      <c r="AG455" t="s">
        <v>1551</v>
      </c>
      <c r="AH455" t="s">
        <v>1175</v>
      </c>
      <c r="AI455">
        <v>99999</v>
      </c>
      <c r="AJ455">
        <v>99999</v>
      </c>
      <c r="AK455">
        <v>699</v>
      </c>
      <c r="AL455" t="b">
        <v>1</v>
      </c>
      <c r="AM455" t="b">
        <v>1</v>
      </c>
      <c r="AN455" t="b">
        <v>0</v>
      </c>
      <c r="AO455">
        <v>99999</v>
      </c>
      <c r="AP455" t="s">
        <v>64</v>
      </c>
      <c r="AR455" t="b">
        <v>0</v>
      </c>
      <c r="AS455">
        <v>12</v>
      </c>
      <c r="AT455" t="s">
        <v>327</v>
      </c>
      <c r="AV455" t="s">
        <v>1585</v>
      </c>
      <c r="CRL455">
        <v>12</v>
      </c>
    </row>
    <row r="456" spans="1:48 2508:2508" x14ac:dyDescent="0.25">
      <c r="A456" t="s">
        <v>3323</v>
      </c>
      <c r="B456" t="s">
        <v>302</v>
      </c>
      <c r="C456" t="s">
        <v>62</v>
      </c>
      <c r="D456">
        <v>99999</v>
      </c>
      <c r="F456" s="109">
        <v>10000</v>
      </c>
      <c r="G456" t="b">
        <v>0</v>
      </c>
      <c r="H456" t="s">
        <v>341</v>
      </c>
      <c r="K456" t="s">
        <v>393</v>
      </c>
      <c r="L456" t="s">
        <v>303</v>
      </c>
      <c r="M456" t="s">
        <v>323</v>
      </c>
      <c r="N456" t="s">
        <v>63</v>
      </c>
      <c r="O456" s="110">
        <v>49.9</v>
      </c>
      <c r="R456" s="110">
        <v>355.69</v>
      </c>
      <c r="S456" s="110">
        <v>130</v>
      </c>
      <c r="T456" s="110">
        <v>0</v>
      </c>
      <c r="U456" s="110">
        <v>34.99</v>
      </c>
      <c r="X456">
        <v>120.79999999999998</v>
      </c>
      <c r="Y456">
        <v>69.900000000000006</v>
      </c>
      <c r="Z456">
        <v>69.900000000000006</v>
      </c>
      <c r="AA456">
        <v>0</v>
      </c>
      <c r="AB456" t="s">
        <v>363</v>
      </c>
      <c r="AF456" t="s">
        <v>2771</v>
      </c>
      <c r="AG456" t="s">
        <v>2771</v>
      </c>
      <c r="AH456" t="s">
        <v>1175</v>
      </c>
      <c r="AI456">
        <v>99999</v>
      </c>
      <c r="AJ456">
        <v>99999</v>
      </c>
      <c r="AK456">
        <v>699</v>
      </c>
      <c r="AL456" t="b">
        <v>1</v>
      </c>
      <c r="AM456" t="b">
        <v>1</v>
      </c>
      <c r="AN456" t="b">
        <v>0</v>
      </c>
      <c r="AO456">
        <v>99999</v>
      </c>
      <c r="AP456" t="s">
        <v>64</v>
      </c>
      <c r="AR456" t="b">
        <v>0</v>
      </c>
      <c r="AS456">
        <v>12</v>
      </c>
      <c r="AT456" t="s">
        <v>327</v>
      </c>
      <c r="AV456" t="s">
        <v>2805</v>
      </c>
      <c r="CRL456">
        <v>12</v>
      </c>
    </row>
    <row r="457" spans="1:48 2508:2508" x14ac:dyDescent="0.25">
      <c r="A457" t="s">
        <v>3323</v>
      </c>
      <c r="B457" t="s">
        <v>302</v>
      </c>
      <c r="C457" t="s">
        <v>62</v>
      </c>
      <c r="D457">
        <v>99999</v>
      </c>
      <c r="F457" s="109">
        <v>10000</v>
      </c>
      <c r="G457" t="b">
        <v>0</v>
      </c>
      <c r="H457" t="s">
        <v>341</v>
      </c>
      <c r="K457" t="s">
        <v>393</v>
      </c>
      <c r="L457" t="s">
        <v>303</v>
      </c>
      <c r="M457" t="s">
        <v>323</v>
      </c>
      <c r="N457" t="s">
        <v>63</v>
      </c>
      <c r="O457" s="110">
        <v>49.9</v>
      </c>
      <c r="R457" s="110">
        <v>379.99</v>
      </c>
      <c r="S457" s="110">
        <v>130</v>
      </c>
      <c r="T457" s="110">
        <v>0</v>
      </c>
      <c r="U457" s="110">
        <v>42.99</v>
      </c>
      <c r="X457">
        <v>137.09999999999997</v>
      </c>
      <c r="Y457">
        <v>69.900000000000006</v>
      </c>
      <c r="Z457">
        <v>69.900000000000006</v>
      </c>
      <c r="AA457">
        <v>0</v>
      </c>
      <c r="AB457" t="s">
        <v>363</v>
      </c>
      <c r="AF457" t="s">
        <v>2845</v>
      </c>
      <c r="AG457" t="s">
        <v>2845</v>
      </c>
      <c r="AH457" t="s">
        <v>1175</v>
      </c>
      <c r="AI457">
        <v>99999</v>
      </c>
      <c r="AJ457">
        <v>99999</v>
      </c>
      <c r="AK457">
        <v>699</v>
      </c>
      <c r="AL457" t="b">
        <v>1</v>
      </c>
      <c r="AM457" t="b">
        <v>1</v>
      </c>
      <c r="AN457" t="b">
        <v>0</v>
      </c>
      <c r="AO457">
        <v>99999</v>
      </c>
      <c r="AP457" t="s">
        <v>64</v>
      </c>
      <c r="AR457" t="b">
        <v>0</v>
      </c>
      <c r="AS457">
        <v>12</v>
      </c>
      <c r="AT457" t="s">
        <v>327</v>
      </c>
      <c r="AV457" t="s">
        <v>2879</v>
      </c>
      <c r="CRL457">
        <v>12</v>
      </c>
    </row>
    <row r="458" spans="1:48 2508:2508" x14ac:dyDescent="0.25">
      <c r="A458" t="s">
        <v>3323</v>
      </c>
      <c r="B458" t="s">
        <v>302</v>
      </c>
      <c r="C458" t="s">
        <v>62</v>
      </c>
      <c r="D458">
        <v>99999</v>
      </c>
      <c r="F458" s="109">
        <v>10000</v>
      </c>
      <c r="G458" t="b">
        <v>0</v>
      </c>
      <c r="H458" t="s">
        <v>341</v>
      </c>
      <c r="K458" t="s">
        <v>393</v>
      </c>
      <c r="L458" t="s">
        <v>303</v>
      </c>
      <c r="M458" t="s">
        <v>323</v>
      </c>
      <c r="N458" t="s">
        <v>63</v>
      </c>
      <c r="O458" s="110">
        <v>49.9</v>
      </c>
      <c r="R458" s="110">
        <v>399.99</v>
      </c>
      <c r="S458" s="110">
        <v>130</v>
      </c>
      <c r="T458" s="110">
        <v>0</v>
      </c>
      <c r="U458" s="110">
        <v>42.99</v>
      </c>
      <c r="X458">
        <v>157.09999999999997</v>
      </c>
      <c r="Y458">
        <v>69.900000000000006</v>
      </c>
      <c r="Z458">
        <v>69.900000000000006</v>
      </c>
      <c r="AA458">
        <v>0</v>
      </c>
      <c r="AB458" t="s">
        <v>363</v>
      </c>
      <c r="AF458" t="s">
        <v>2912</v>
      </c>
      <c r="AG458" t="s">
        <v>2912</v>
      </c>
      <c r="AH458" t="s">
        <v>1175</v>
      </c>
      <c r="AI458">
        <v>99999</v>
      </c>
      <c r="AJ458">
        <v>99999</v>
      </c>
      <c r="AK458">
        <v>699</v>
      </c>
      <c r="AL458" t="b">
        <v>1</v>
      </c>
      <c r="AM458" t="b">
        <v>1</v>
      </c>
      <c r="AN458" t="b">
        <v>0</v>
      </c>
      <c r="AO458">
        <v>99999</v>
      </c>
      <c r="AP458" t="s">
        <v>64</v>
      </c>
      <c r="AR458" t="b">
        <v>0</v>
      </c>
      <c r="AS458">
        <v>12</v>
      </c>
      <c r="AT458" t="s">
        <v>327</v>
      </c>
      <c r="AV458" t="s">
        <v>2946</v>
      </c>
      <c r="CRL458">
        <v>12</v>
      </c>
    </row>
    <row r="459" spans="1:48 2508:2508" x14ac:dyDescent="0.25">
      <c r="A459" t="s">
        <v>3323</v>
      </c>
      <c r="B459" t="s">
        <v>302</v>
      </c>
      <c r="C459" t="s">
        <v>62</v>
      </c>
      <c r="D459">
        <v>99999</v>
      </c>
      <c r="F459" s="109">
        <v>10000</v>
      </c>
      <c r="G459" t="b">
        <v>0</v>
      </c>
      <c r="H459" t="s">
        <v>341</v>
      </c>
      <c r="K459" t="s">
        <v>393</v>
      </c>
      <c r="L459" t="s">
        <v>303</v>
      </c>
      <c r="M459" t="s">
        <v>323</v>
      </c>
      <c r="N459" t="s">
        <v>63</v>
      </c>
      <c r="O459" s="110">
        <v>49.9</v>
      </c>
      <c r="R459" s="110">
        <v>414.89</v>
      </c>
      <c r="S459" s="110">
        <v>130</v>
      </c>
      <c r="T459" s="110">
        <v>0</v>
      </c>
      <c r="U459" s="110">
        <v>42.99</v>
      </c>
      <c r="X459">
        <v>171.99999999999997</v>
      </c>
      <c r="Y459">
        <v>69.900000000000006</v>
      </c>
      <c r="Z459">
        <v>69.900000000000006</v>
      </c>
      <c r="AA459">
        <v>0</v>
      </c>
      <c r="AB459" t="s">
        <v>363</v>
      </c>
      <c r="AF459" t="s">
        <v>2986</v>
      </c>
      <c r="AG459" t="s">
        <v>2986</v>
      </c>
      <c r="AH459" t="s">
        <v>1175</v>
      </c>
      <c r="AI459">
        <v>99999</v>
      </c>
      <c r="AJ459">
        <v>99999</v>
      </c>
      <c r="AK459">
        <v>699</v>
      </c>
      <c r="AL459" t="b">
        <v>1</v>
      </c>
      <c r="AM459" t="b">
        <v>1</v>
      </c>
      <c r="AN459" t="b">
        <v>0</v>
      </c>
      <c r="AO459">
        <v>99999</v>
      </c>
      <c r="AP459" t="s">
        <v>64</v>
      </c>
      <c r="AR459" t="b">
        <v>0</v>
      </c>
      <c r="AS459">
        <v>12</v>
      </c>
      <c r="AT459" t="s">
        <v>327</v>
      </c>
      <c r="AV459" t="s">
        <v>3020</v>
      </c>
      <c r="CRL459">
        <v>12</v>
      </c>
    </row>
    <row r="460" spans="1:48 2508:2508" x14ac:dyDescent="0.25">
      <c r="A460" t="s">
        <v>3323</v>
      </c>
      <c r="B460" t="s">
        <v>302</v>
      </c>
      <c r="C460" t="s">
        <v>62</v>
      </c>
      <c r="D460">
        <v>99999</v>
      </c>
      <c r="F460" s="109">
        <v>10000</v>
      </c>
      <c r="G460" t="b">
        <v>0</v>
      </c>
      <c r="H460" t="s">
        <v>341</v>
      </c>
      <c r="K460" t="s">
        <v>364</v>
      </c>
      <c r="L460" t="s">
        <v>303</v>
      </c>
      <c r="M460" t="s">
        <v>323</v>
      </c>
      <c r="N460" t="s">
        <v>63</v>
      </c>
      <c r="O460" s="110">
        <v>29.9</v>
      </c>
      <c r="R460" s="110">
        <v>309.89</v>
      </c>
      <c r="S460" s="110">
        <v>79.900000000000006</v>
      </c>
      <c r="T460" s="110">
        <v>0</v>
      </c>
      <c r="U460" s="110">
        <v>42.99</v>
      </c>
      <c r="X460">
        <v>137.09999999999997</v>
      </c>
      <c r="Y460">
        <v>49.9</v>
      </c>
      <c r="Z460">
        <v>49.9</v>
      </c>
      <c r="AA460">
        <v>0</v>
      </c>
      <c r="AB460" t="s">
        <v>363</v>
      </c>
      <c r="AF460" t="s">
        <v>1202</v>
      </c>
      <c r="AG460" t="s">
        <v>1202</v>
      </c>
      <c r="AH460" t="s">
        <v>1175</v>
      </c>
      <c r="AI460">
        <v>99999</v>
      </c>
      <c r="AJ460">
        <v>99999</v>
      </c>
      <c r="AK460">
        <v>699</v>
      </c>
      <c r="AL460" t="b">
        <v>1</v>
      </c>
      <c r="AM460" t="b">
        <v>1</v>
      </c>
      <c r="AN460" t="b">
        <v>0</v>
      </c>
      <c r="AO460">
        <v>99999</v>
      </c>
      <c r="AP460" t="s">
        <v>64</v>
      </c>
      <c r="AR460" t="b">
        <v>0</v>
      </c>
      <c r="AS460">
        <v>12</v>
      </c>
      <c r="AT460" t="s">
        <v>327</v>
      </c>
      <c r="AV460" t="s">
        <v>1210</v>
      </c>
      <c r="CRL460">
        <v>12</v>
      </c>
    </row>
    <row r="461" spans="1:48 2508:2508" x14ac:dyDescent="0.25">
      <c r="A461" t="s">
        <v>3323</v>
      </c>
      <c r="B461" t="s">
        <v>302</v>
      </c>
      <c r="C461" t="s">
        <v>62</v>
      </c>
      <c r="D461">
        <v>99999</v>
      </c>
      <c r="F461" s="109">
        <v>10000</v>
      </c>
      <c r="G461" t="b">
        <v>0</v>
      </c>
      <c r="H461" t="s">
        <v>341</v>
      </c>
      <c r="K461" t="s">
        <v>364</v>
      </c>
      <c r="L461" t="s">
        <v>303</v>
      </c>
      <c r="M461" t="s">
        <v>323</v>
      </c>
      <c r="N461" t="s">
        <v>63</v>
      </c>
      <c r="O461" s="110">
        <v>29.9</v>
      </c>
      <c r="R461" s="110">
        <v>329.89</v>
      </c>
      <c r="S461" s="110">
        <v>79.900000000000006</v>
      </c>
      <c r="T461" s="110">
        <v>0</v>
      </c>
      <c r="U461" s="110">
        <v>42.99</v>
      </c>
      <c r="X461">
        <v>157.09999999999997</v>
      </c>
      <c r="Y461">
        <v>49.9</v>
      </c>
      <c r="Z461">
        <v>49.9</v>
      </c>
      <c r="AA461">
        <v>0</v>
      </c>
      <c r="AB461" t="s">
        <v>363</v>
      </c>
      <c r="AF461" t="s">
        <v>1336</v>
      </c>
      <c r="AG461" t="s">
        <v>1336</v>
      </c>
      <c r="AH461" t="s">
        <v>1175</v>
      </c>
      <c r="AI461">
        <v>99999</v>
      </c>
      <c r="AJ461">
        <v>99999</v>
      </c>
      <c r="AK461">
        <v>699</v>
      </c>
      <c r="AL461" t="b">
        <v>1</v>
      </c>
      <c r="AM461" t="b">
        <v>1</v>
      </c>
      <c r="AN461" t="b">
        <v>0</v>
      </c>
      <c r="AO461">
        <v>99999</v>
      </c>
      <c r="AP461" t="s">
        <v>64</v>
      </c>
      <c r="AR461" t="b">
        <v>0</v>
      </c>
      <c r="AS461">
        <v>12</v>
      </c>
      <c r="AT461" t="s">
        <v>327</v>
      </c>
      <c r="AV461" t="s">
        <v>1344</v>
      </c>
      <c r="CRL461">
        <v>12</v>
      </c>
    </row>
    <row r="462" spans="1:48 2508:2508" x14ac:dyDescent="0.25">
      <c r="A462" t="s">
        <v>3323</v>
      </c>
      <c r="B462" t="s">
        <v>302</v>
      </c>
      <c r="C462" t="s">
        <v>62</v>
      </c>
      <c r="D462">
        <v>99999</v>
      </c>
      <c r="F462" s="109">
        <v>10000</v>
      </c>
      <c r="G462" t="b">
        <v>0</v>
      </c>
      <c r="H462" t="s">
        <v>341</v>
      </c>
      <c r="K462" t="s">
        <v>364</v>
      </c>
      <c r="L462" t="s">
        <v>303</v>
      </c>
      <c r="M462" t="s">
        <v>323</v>
      </c>
      <c r="N462" t="s">
        <v>63</v>
      </c>
      <c r="O462" s="110">
        <v>29.9</v>
      </c>
      <c r="R462" s="110">
        <v>349.89</v>
      </c>
      <c r="S462" s="110">
        <v>85</v>
      </c>
      <c r="T462" s="110">
        <v>0</v>
      </c>
      <c r="U462" s="110">
        <v>42.99</v>
      </c>
      <c r="X462">
        <v>171.99999999999997</v>
      </c>
      <c r="Y462">
        <v>49.9</v>
      </c>
      <c r="Z462">
        <v>49.9</v>
      </c>
      <c r="AA462">
        <v>0</v>
      </c>
      <c r="AB462" t="s">
        <v>363</v>
      </c>
      <c r="AF462" t="s">
        <v>1484</v>
      </c>
      <c r="AG462" t="s">
        <v>1484</v>
      </c>
      <c r="AH462" t="s">
        <v>1175</v>
      </c>
      <c r="AI462">
        <v>99999</v>
      </c>
      <c r="AJ462">
        <v>99999</v>
      </c>
      <c r="AK462">
        <v>699</v>
      </c>
      <c r="AL462" t="b">
        <v>1</v>
      </c>
      <c r="AM462" t="b">
        <v>1</v>
      </c>
      <c r="AN462" t="b">
        <v>0</v>
      </c>
      <c r="AO462">
        <v>99999</v>
      </c>
      <c r="AP462" t="s">
        <v>64</v>
      </c>
      <c r="AR462" t="b">
        <v>0</v>
      </c>
      <c r="AS462">
        <v>12</v>
      </c>
      <c r="AT462" t="s">
        <v>327</v>
      </c>
      <c r="AV462" t="s">
        <v>1492</v>
      </c>
      <c r="CRL462">
        <v>12</v>
      </c>
    </row>
    <row r="463" spans="1:48 2508:2508" x14ac:dyDescent="0.25">
      <c r="A463" t="s">
        <v>3323</v>
      </c>
      <c r="B463" t="s">
        <v>302</v>
      </c>
      <c r="C463" t="s">
        <v>62</v>
      </c>
      <c r="D463">
        <v>99999</v>
      </c>
      <c r="F463" s="109">
        <v>10000</v>
      </c>
      <c r="G463" t="b">
        <v>0</v>
      </c>
      <c r="H463" t="s">
        <v>341</v>
      </c>
      <c r="K463" t="s">
        <v>364</v>
      </c>
      <c r="L463" t="s">
        <v>303</v>
      </c>
      <c r="M463" t="s">
        <v>323</v>
      </c>
      <c r="N463" t="s">
        <v>63</v>
      </c>
      <c r="O463" s="110">
        <v>39.9</v>
      </c>
      <c r="R463" s="110">
        <v>309.89</v>
      </c>
      <c r="S463" s="110">
        <v>79.900000000000006</v>
      </c>
      <c r="T463" s="110">
        <v>0</v>
      </c>
      <c r="U463" s="110">
        <v>42.99</v>
      </c>
      <c r="X463">
        <v>137.09999999999997</v>
      </c>
      <c r="Y463">
        <v>49.9</v>
      </c>
      <c r="Z463">
        <v>49.9</v>
      </c>
      <c r="AA463">
        <v>0</v>
      </c>
      <c r="AB463" t="s">
        <v>363</v>
      </c>
      <c r="AF463" t="s">
        <v>1269</v>
      </c>
      <c r="AG463" t="s">
        <v>1269</v>
      </c>
      <c r="AH463" t="s">
        <v>1175</v>
      </c>
      <c r="AI463">
        <v>99999</v>
      </c>
      <c r="AJ463">
        <v>99999</v>
      </c>
      <c r="AK463">
        <v>699</v>
      </c>
      <c r="AL463" t="b">
        <v>1</v>
      </c>
      <c r="AM463" t="b">
        <v>1</v>
      </c>
      <c r="AN463" t="b">
        <v>0</v>
      </c>
      <c r="AO463">
        <v>99999</v>
      </c>
      <c r="AP463" t="s">
        <v>64</v>
      </c>
      <c r="AR463" t="b">
        <v>0</v>
      </c>
      <c r="AS463">
        <v>12</v>
      </c>
      <c r="AT463" t="s">
        <v>327</v>
      </c>
      <c r="AV463" t="s">
        <v>1277</v>
      </c>
      <c r="CRL463">
        <v>12</v>
      </c>
    </row>
    <row r="464" spans="1:48 2508:2508" x14ac:dyDescent="0.25">
      <c r="A464" t="s">
        <v>3323</v>
      </c>
      <c r="B464" t="s">
        <v>302</v>
      </c>
      <c r="C464" t="s">
        <v>62</v>
      </c>
      <c r="D464">
        <v>99999</v>
      </c>
      <c r="F464" s="109">
        <v>10000</v>
      </c>
      <c r="G464" t="b">
        <v>0</v>
      </c>
      <c r="H464" t="s">
        <v>341</v>
      </c>
      <c r="K464" t="s">
        <v>364</v>
      </c>
      <c r="L464" t="s">
        <v>303</v>
      </c>
      <c r="M464" t="s">
        <v>323</v>
      </c>
      <c r="N464" t="s">
        <v>63</v>
      </c>
      <c r="O464" s="110">
        <v>39.9</v>
      </c>
      <c r="R464" s="110">
        <v>329.89</v>
      </c>
      <c r="S464" s="110">
        <v>79.900000000000006</v>
      </c>
      <c r="T464" s="110">
        <v>0</v>
      </c>
      <c r="U464" s="110">
        <v>42.99</v>
      </c>
      <c r="X464">
        <v>157.09999999999997</v>
      </c>
      <c r="Y464">
        <v>49.9</v>
      </c>
      <c r="Z464">
        <v>49.9</v>
      </c>
      <c r="AA464">
        <v>0</v>
      </c>
      <c r="AB464" t="s">
        <v>363</v>
      </c>
      <c r="AF464" t="s">
        <v>1403</v>
      </c>
      <c r="AG464" t="s">
        <v>1403</v>
      </c>
      <c r="AH464" t="s">
        <v>1175</v>
      </c>
      <c r="AI464">
        <v>99999</v>
      </c>
      <c r="AJ464">
        <v>99999</v>
      </c>
      <c r="AK464">
        <v>699</v>
      </c>
      <c r="AL464" t="b">
        <v>1</v>
      </c>
      <c r="AM464" t="b">
        <v>1</v>
      </c>
      <c r="AN464" t="b">
        <v>0</v>
      </c>
      <c r="AO464">
        <v>99999</v>
      </c>
      <c r="AP464" t="s">
        <v>64</v>
      </c>
      <c r="AR464" t="b">
        <v>0</v>
      </c>
      <c r="AS464">
        <v>12</v>
      </c>
      <c r="AT464" t="s">
        <v>327</v>
      </c>
      <c r="AV464" t="s">
        <v>1411</v>
      </c>
      <c r="CRL464">
        <v>12</v>
      </c>
    </row>
    <row r="465" spans="1:48 2508:2508" x14ac:dyDescent="0.25">
      <c r="A465" t="s">
        <v>3323</v>
      </c>
      <c r="B465" t="s">
        <v>302</v>
      </c>
      <c r="C465" t="s">
        <v>62</v>
      </c>
      <c r="D465">
        <v>99999</v>
      </c>
      <c r="F465" s="109">
        <v>10000</v>
      </c>
      <c r="G465" t="b">
        <v>0</v>
      </c>
      <c r="H465" t="s">
        <v>341</v>
      </c>
      <c r="K465" t="s">
        <v>364</v>
      </c>
      <c r="L465" t="s">
        <v>303</v>
      </c>
      <c r="M465" t="s">
        <v>323</v>
      </c>
      <c r="N465" t="s">
        <v>63</v>
      </c>
      <c r="O465" s="110">
        <v>39.9</v>
      </c>
      <c r="R465" s="110">
        <v>349.89</v>
      </c>
      <c r="S465" s="110">
        <v>85</v>
      </c>
      <c r="T465" s="110">
        <v>0</v>
      </c>
      <c r="U465" s="110">
        <v>42.99</v>
      </c>
      <c r="X465">
        <v>171.99999999999997</v>
      </c>
      <c r="Y465">
        <v>49.9</v>
      </c>
      <c r="Z465">
        <v>49.9</v>
      </c>
      <c r="AA465">
        <v>0</v>
      </c>
      <c r="AB465" t="s">
        <v>363</v>
      </c>
      <c r="AF465" t="s">
        <v>1551</v>
      </c>
      <c r="AG465" t="s">
        <v>1551</v>
      </c>
      <c r="AH465" t="s">
        <v>1175</v>
      </c>
      <c r="AI465">
        <v>99999</v>
      </c>
      <c r="AJ465">
        <v>99999</v>
      </c>
      <c r="AK465">
        <v>699</v>
      </c>
      <c r="AL465" t="b">
        <v>1</v>
      </c>
      <c r="AM465" t="b">
        <v>1</v>
      </c>
      <c r="AN465" t="b">
        <v>0</v>
      </c>
      <c r="AO465">
        <v>99999</v>
      </c>
      <c r="AP465" t="s">
        <v>64</v>
      </c>
      <c r="AR465" t="b">
        <v>0</v>
      </c>
      <c r="AS465">
        <v>12</v>
      </c>
      <c r="AT465" t="s">
        <v>327</v>
      </c>
      <c r="AV465" t="s">
        <v>1559</v>
      </c>
      <c r="CRL465">
        <v>12</v>
      </c>
    </row>
    <row r="466" spans="1:48 2508:2508" x14ac:dyDescent="0.25">
      <c r="A466" t="s">
        <v>3323</v>
      </c>
      <c r="B466" t="s">
        <v>302</v>
      </c>
      <c r="C466" t="s">
        <v>62</v>
      </c>
      <c r="D466">
        <v>99999</v>
      </c>
      <c r="F466" s="109">
        <v>10000</v>
      </c>
      <c r="G466" t="b">
        <v>0</v>
      </c>
      <c r="H466" t="s">
        <v>341</v>
      </c>
      <c r="K466" t="s">
        <v>364</v>
      </c>
      <c r="L466" t="s">
        <v>303</v>
      </c>
      <c r="M466" t="s">
        <v>323</v>
      </c>
      <c r="N466" t="s">
        <v>63</v>
      </c>
      <c r="O466" s="110">
        <v>49.9</v>
      </c>
      <c r="R466" s="110">
        <v>335.68999999999994</v>
      </c>
      <c r="S466" s="110">
        <v>130</v>
      </c>
      <c r="T466" s="110">
        <v>0</v>
      </c>
      <c r="U466" s="110">
        <v>34.99</v>
      </c>
      <c r="X466">
        <v>120.79999999999998</v>
      </c>
      <c r="Y466">
        <v>49.9</v>
      </c>
      <c r="Z466">
        <v>49.9</v>
      </c>
      <c r="AA466">
        <v>0</v>
      </c>
      <c r="AB466" t="s">
        <v>363</v>
      </c>
      <c r="AF466" t="s">
        <v>2771</v>
      </c>
      <c r="AG466" t="s">
        <v>2771</v>
      </c>
      <c r="AH466" t="s">
        <v>1175</v>
      </c>
      <c r="AI466">
        <v>99999</v>
      </c>
      <c r="AJ466">
        <v>99999</v>
      </c>
      <c r="AK466">
        <v>699</v>
      </c>
      <c r="AL466" t="b">
        <v>1</v>
      </c>
      <c r="AM466" t="b">
        <v>1</v>
      </c>
      <c r="AN466" t="b">
        <v>0</v>
      </c>
      <c r="AO466">
        <v>99999</v>
      </c>
      <c r="AP466" t="s">
        <v>64</v>
      </c>
      <c r="AR466" t="b">
        <v>0</v>
      </c>
      <c r="AS466">
        <v>12</v>
      </c>
      <c r="AT466" t="s">
        <v>327</v>
      </c>
      <c r="AV466" t="s">
        <v>2779</v>
      </c>
      <c r="CRL466">
        <v>12</v>
      </c>
    </row>
    <row r="467" spans="1:48 2508:2508" x14ac:dyDescent="0.25">
      <c r="A467" t="s">
        <v>3323</v>
      </c>
      <c r="B467" t="s">
        <v>302</v>
      </c>
      <c r="C467" t="s">
        <v>62</v>
      </c>
      <c r="D467">
        <v>99999</v>
      </c>
      <c r="F467" s="109">
        <v>10000</v>
      </c>
      <c r="G467" t="b">
        <v>0</v>
      </c>
      <c r="H467" t="s">
        <v>341</v>
      </c>
      <c r="K467" t="s">
        <v>364</v>
      </c>
      <c r="L467" t="s">
        <v>303</v>
      </c>
      <c r="M467" t="s">
        <v>323</v>
      </c>
      <c r="N467" t="s">
        <v>63</v>
      </c>
      <c r="O467" s="110">
        <v>49.9</v>
      </c>
      <c r="R467" s="110">
        <v>359.98999999999995</v>
      </c>
      <c r="S467" s="110">
        <v>130</v>
      </c>
      <c r="T467" s="110">
        <v>0</v>
      </c>
      <c r="U467" s="110">
        <v>42.99</v>
      </c>
      <c r="X467">
        <v>137.09999999999997</v>
      </c>
      <c r="Y467">
        <v>49.9</v>
      </c>
      <c r="Z467">
        <v>49.9</v>
      </c>
      <c r="AA467">
        <v>0</v>
      </c>
      <c r="AB467" t="s">
        <v>363</v>
      </c>
      <c r="AF467" t="s">
        <v>2845</v>
      </c>
      <c r="AG467" t="s">
        <v>2845</v>
      </c>
      <c r="AH467" t="s">
        <v>1175</v>
      </c>
      <c r="AI467">
        <v>99999</v>
      </c>
      <c r="AJ467">
        <v>99999</v>
      </c>
      <c r="AK467">
        <v>699</v>
      </c>
      <c r="AL467" t="b">
        <v>1</v>
      </c>
      <c r="AM467" t="b">
        <v>1</v>
      </c>
      <c r="AN467" t="b">
        <v>0</v>
      </c>
      <c r="AO467">
        <v>99999</v>
      </c>
      <c r="AP467" t="s">
        <v>64</v>
      </c>
      <c r="AR467" t="b">
        <v>0</v>
      </c>
      <c r="AS467">
        <v>12</v>
      </c>
      <c r="AT467" t="s">
        <v>327</v>
      </c>
      <c r="AV467" t="s">
        <v>2853</v>
      </c>
      <c r="CRL467">
        <v>12</v>
      </c>
    </row>
    <row r="468" spans="1:48 2508:2508" x14ac:dyDescent="0.25">
      <c r="A468" t="s">
        <v>3323</v>
      </c>
      <c r="B468" t="s">
        <v>302</v>
      </c>
      <c r="C468" t="s">
        <v>62</v>
      </c>
      <c r="D468">
        <v>99999</v>
      </c>
      <c r="F468" s="109">
        <v>10000</v>
      </c>
      <c r="G468" t="b">
        <v>0</v>
      </c>
      <c r="H468" t="s">
        <v>341</v>
      </c>
      <c r="K468" t="s">
        <v>364</v>
      </c>
      <c r="L468" t="s">
        <v>303</v>
      </c>
      <c r="M468" t="s">
        <v>323</v>
      </c>
      <c r="N468" t="s">
        <v>63</v>
      </c>
      <c r="O468" s="110">
        <v>49.9</v>
      </c>
      <c r="R468" s="110">
        <v>379.98999999999995</v>
      </c>
      <c r="S468" s="110">
        <v>130</v>
      </c>
      <c r="T468" s="110">
        <v>0</v>
      </c>
      <c r="U468" s="110">
        <v>42.99</v>
      </c>
      <c r="X468">
        <v>157.09999999999997</v>
      </c>
      <c r="Y468">
        <v>49.9</v>
      </c>
      <c r="Z468">
        <v>49.9</v>
      </c>
      <c r="AA468">
        <v>0</v>
      </c>
      <c r="AB468" t="s">
        <v>363</v>
      </c>
      <c r="AF468" t="s">
        <v>2912</v>
      </c>
      <c r="AG468" t="s">
        <v>2912</v>
      </c>
      <c r="AH468" t="s">
        <v>1175</v>
      </c>
      <c r="AI468">
        <v>99999</v>
      </c>
      <c r="AJ468">
        <v>99999</v>
      </c>
      <c r="AK468">
        <v>699</v>
      </c>
      <c r="AL468" t="b">
        <v>1</v>
      </c>
      <c r="AM468" t="b">
        <v>1</v>
      </c>
      <c r="AN468" t="b">
        <v>0</v>
      </c>
      <c r="AO468">
        <v>99999</v>
      </c>
      <c r="AP468" t="s">
        <v>64</v>
      </c>
      <c r="AR468" t="b">
        <v>0</v>
      </c>
      <c r="AS468">
        <v>12</v>
      </c>
      <c r="AT468" t="s">
        <v>327</v>
      </c>
      <c r="AV468" t="s">
        <v>2920</v>
      </c>
      <c r="CRL468">
        <v>12</v>
      </c>
    </row>
    <row r="469" spans="1:48 2508:2508" x14ac:dyDescent="0.25">
      <c r="A469" t="s">
        <v>3323</v>
      </c>
      <c r="B469" t="s">
        <v>302</v>
      </c>
      <c r="C469" t="s">
        <v>62</v>
      </c>
      <c r="D469">
        <v>99999</v>
      </c>
      <c r="F469" s="109">
        <v>10000</v>
      </c>
      <c r="G469" t="b">
        <v>0</v>
      </c>
      <c r="H469" t="s">
        <v>341</v>
      </c>
      <c r="K469" t="s">
        <v>364</v>
      </c>
      <c r="L469" t="s">
        <v>303</v>
      </c>
      <c r="M469" t="s">
        <v>323</v>
      </c>
      <c r="N469" t="s">
        <v>63</v>
      </c>
      <c r="O469" s="110">
        <v>49.9</v>
      </c>
      <c r="R469" s="110">
        <v>394.89</v>
      </c>
      <c r="S469" s="110">
        <v>130</v>
      </c>
      <c r="T469" s="110">
        <v>0</v>
      </c>
      <c r="U469" s="110">
        <v>42.99</v>
      </c>
      <c r="X469">
        <v>171.99999999999997</v>
      </c>
      <c r="Y469">
        <v>49.9</v>
      </c>
      <c r="Z469">
        <v>49.9</v>
      </c>
      <c r="AA469">
        <v>0</v>
      </c>
      <c r="AB469" t="s">
        <v>363</v>
      </c>
      <c r="AF469" t="s">
        <v>2986</v>
      </c>
      <c r="AG469" t="s">
        <v>2986</v>
      </c>
      <c r="AH469" t="s">
        <v>1175</v>
      </c>
      <c r="AI469">
        <v>99999</v>
      </c>
      <c r="AJ469">
        <v>99999</v>
      </c>
      <c r="AK469">
        <v>699</v>
      </c>
      <c r="AL469" t="b">
        <v>1</v>
      </c>
      <c r="AM469" t="b">
        <v>1</v>
      </c>
      <c r="AN469" t="b">
        <v>0</v>
      </c>
      <c r="AO469">
        <v>99999</v>
      </c>
      <c r="AP469" t="s">
        <v>64</v>
      </c>
      <c r="AR469" t="b">
        <v>0</v>
      </c>
      <c r="AS469">
        <v>12</v>
      </c>
      <c r="AT469" t="s">
        <v>327</v>
      </c>
      <c r="AV469" t="s">
        <v>2994</v>
      </c>
      <c r="CRL469">
        <v>12</v>
      </c>
    </row>
    <row r="470" spans="1:48 2508:2508" x14ac:dyDescent="0.25">
      <c r="A470" t="s">
        <v>3323</v>
      </c>
      <c r="B470" t="s">
        <v>302</v>
      </c>
      <c r="C470" t="s">
        <v>62</v>
      </c>
      <c r="D470">
        <v>99999</v>
      </c>
      <c r="F470" s="109">
        <v>10000</v>
      </c>
      <c r="G470" t="b">
        <v>0</v>
      </c>
      <c r="H470" t="s">
        <v>341</v>
      </c>
      <c r="K470" t="s">
        <v>379</v>
      </c>
      <c r="L470" t="s">
        <v>303</v>
      </c>
      <c r="M470" t="s">
        <v>323</v>
      </c>
      <c r="N470" t="s">
        <v>63</v>
      </c>
      <c r="O470" s="110">
        <v>29.9</v>
      </c>
      <c r="R470" s="110">
        <v>319.89</v>
      </c>
      <c r="S470" s="110">
        <v>79.900000000000006</v>
      </c>
      <c r="T470" s="110">
        <v>0</v>
      </c>
      <c r="U470" s="110">
        <v>42.99</v>
      </c>
      <c r="X470">
        <v>137.09999999999997</v>
      </c>
      <c r="Y470">
        <v>59.9</v>
      </c>
      <c r="Z470">
        <v>59.9</v>
      </c>
      <c r="AA470">
        <v>0</v>
      </c>
      <c r="AB470" t="s">
        <v>363</v>
      </c>
      <c r="AF470" t="s">
        <v>1202</v>
      </c>
      <c r="AG470" t="s">
        <v>1202</v>
      </c>
      <c r="AH470" t="s">
        <v>1175</v>
      </c>
      <c r="AI470">
        <v>99999</v>
      </c>
      <c r="AJ470">
        <v>99999</v>
      </c>
      <c r="AK470">
        <v>699</v>
      </c>
      <c r="AL470" t="b">
        <v>1</v>
      </c>
      <c r="AM470" t="b">
        <v>1</v>
      </c>
      <c r="AN470" t="b">
        <v>0</v>
      </c>
      <c r="AO470">
        <v>99999</v>
      </c>
      <c r="AP470" t="s">
        <v>64</v>
      </c>
      <c r="AR470" t="b">
        <v>0</v>
      </c>
      <c r="AS470">
        <v>12</v>
      </c>
      <c r="AT470" t="s">
        <v>327</v>
      </c>
      <c r="AV470" t="s">
        <v>1223</v>
      </c>
      <c r="CRL470">
        <v>12</v>
      </c>
    </row>
    <row r="471" spans="1:48 2508:2508" x14ac:dyDescent="0.25">
      <c r="A471" t="s">
        <v>3323</v>
      </c>
      <c r="B471" t="s">
        <v>302</v>
      </c>
      <c r="C471" t="s">
        <v>62</v>
      </c>
      <c r="D471">
        <v>99999</v>
      </c>
      <c r="F471" s="109">
        <v>10000</v>
      </c>
      <c r="G471" t="b">
        <v>0</v>
      </c>
      <c r="H471" t="s">
        <v>341</v>
      </c>
      <c r="K471" t="s">
        <v>379</v>
      </c>
      <c r="L471" t="s">
        <v>303</v>
      </c>
      <c r="M471" t="s">
        <v>323</v>
      </c>
      <c r="N471" t="s">
        <v>63</v>
      </c>
      <c r="O471" s="110">
        <v>29.9</v>
      </c>
      <c r="R471" s="110">
        <v>339.89</v>
      </c>
      <c r="S471" s="110">
        <v>79.900000000000006</v>
      </c>
      <c r="T471" s="110">
        <v>0</v>
      </c>
      <c r="U471" s="110">
        <v>42.99</v>
      </c>
      <c r="X471">
        <v>157.09999999999997</v>
      </c>
      <c r="Y471">
        <v>59.9</v>
      </c>
      <c r="Z471">
        <v>59.9</v>
      </c>
      <c r="AA471">
        <v>0</v>
      </c>
      <c r="AB471" t="s">
        <v>363</v>
      </c>
      <c r="AF471" t="s">
        <v>1336</v>
      </c>
      <c r="AG471" t="s">
        <v>1336</v>
      </c>
      <c r="AH471" t="s">
        <v>1175</v>
      </c>
      <c r="AI471">
        <v>99999</v>
      </c>
      <c r="AJ471">
        <v>99999</v>
      </c>
      <c r="AK471">
        <v>699</v>
      </c>
      <c r="AL471" t="b">
        <v>1</v>
      </c>
      <c r="AM471" t="b">
        <v>1</v>
      </c>
      <c r="AN471" t="b">
        <v>0</v>
      </c>
      <c r="AO471">
        <v>99999</v>
      </c>
      <c r="AP471" t="s">
        <v>64</v>
      </c>
      <c r="AR471" t="b">
        <v>0</v>
      </c>
      <c r="AS471">
        <v>12</v>
      </c>
      <c r="AT471" t="s">
        <v>327</v>
      </c>
      <c r="AV471" t="s">
        <v>1357</v>
      </c>
      <c r="CRL471">
        <v>12</v>
      </c>
    </row>
    <row r="472" spans="1:48 2508:2508" x14ac:dyDescent="0.25">
      <c r="A472" t="s">
        <v>3323</v>
      </c>
      <c r="B472" t="s">
        <v>302</v>
      </c>
      <c r="C472" t="s">
        <v>62</v>
      </c>
      <c r="D472">
        <v>99999</v>
      </c>
      <c r="F472" s="109">
        <v>10000</v>
      </c>
      <c r="G472" t="b">
        <v>0</v>
      </c>
      <c r="H472" t="s">
        <v>341</v>
      </c>
      <c r="K472" t="s">
        <v>379</v>
      </c>
      <c r="L472" t="s">
        <v>303</v>
      </c>
      <c r="M472" t="s">
        <v>323</v>
      </c>
      <c r="N472" t="s">
        <v>63</v>
      </c>
      <c r="O472" s="110">
        <v>29.9</v>
      </c>
      <c r="R472" s="110">
        <v>359.89</v>
      </c>
      <c r="S472" s="110">
        <v>85</v>
      </c>
      <c r="T472" s="110">
        <v>0</v>
      </c>
      <c r="U472" s="110">
        <v>42.99</v>
      </c>
      <c r="X472">
        <v>171.99999999999997</v>
      </c>
      <c r="Y472">
        <v>59.9</v>
      </c>
      <c r="Z472">
        <v>59.9</v>
      </c>
      <c r="AA472">
        <v>0</v>
      </c>
      <c r="AB472" t="s">
        <v>363</v>
      </c>
      <c r="AF472" t="s">
        <v>1484</v>
      </c>
      <c r="AG472" t="s">
        <v>1484</v>
      </c>
      <c r="AH472" t="s">
        <v>1175</v>
      </c>
      <c r="AI472">
        <v>99999</v>
      </c>
      <c r="AJ472">
        <v>99999</v>
      </c>
      <c r="AK472">
        <v>699</v>
      </c>
      <c r="AL472" t="b">
        <v>1</v>
      </c>
      <c r="AM472" t="b">
        <v>1</v>
      </c>
      <c r="AN472" t="b">
        <v>0</v>
      </c>
      <c r="AO472">
        <v>99999</v>
      </c>
      <c r="AP472" t="s">
        <v>64</v>
      </c>
      <c r="AR472" t="b">
        <v>0</v>
      </c>
      <c r="AS472">
        <v>12</v>
      </c>
      <c r="AT472" t="s">
        <v>327</v>
      </c>
      <c r="AV472" t="s">
        <v>1505</v>
      </c>
      <c r="CRL472">
        <v>12</v>
      </c>
    </row>
    <row r="473" spans="1:48 2508:2508" x14ac:dyDescent="0.25">
      <c r="A473" t="s">
        <v>3323</v>
      </c>
      <c r="B473" t="s">
        <v>302</v>
      </c>
      <c r="C473" t="s">
        <v>62</v>
      </c>
      <c r="D473">
        <v>99999</v>
      </c>
      <c r="F473" s="109">
        <v>10000</v>
      </c>
      <c r="G473" t="b">
        <v>0</v>
      </c>
      <c r="H473" t="s">
        <v>341</v>
      </c>
      <c r="K473" t="s">
        <v>379</v>
      </c>
      <c r="L473" t="s">
        <v>303</v>
      </c>
      <c r="M473" t="s">
        <v>323</v>
      </c>
      <c r="N473" t="s">
        <v>63</v>
      </c>
      <c r="O473" s="110">
        <v>39.9</v>
      </c>
      <c r="R473" s="110">
        <v>319.89</v>
      </c>
      <c r="S473" s="110">
        <v>79.900000000000006</v>
      </c>
      <c r="T473" s="110">
        <v>0</v>
      </c>
      <c r="U473" s="110">
        <v>42.99</v>
      </c>
      <c r="X473">
        <v>137.09999999999997</v>
      </c>
      <c r="Y473">
        <v>59.9</v>
      </c>
      <c r="Z473">
        <v>59.9</v>
      </c>
      <c r="AA473">
        <v>0</v>
      </c>
      <c r="AB473" t="s">
        <v>363</v>
      </c>
      <c r="AF473" t="s">
        <v>1269</v>
      </c>
      <c r="AG473" t="s">
        <v>1269</v>
      </c>
      <c r="AH473" t="s">
        <v>1175</v>
      </c>
      <c r="AI473">
        <v>99999</v>
      </c>
      <c r="AJ473">
        <v>99999</v>
      </c>
      <c r="AK473">
        <v>699</v>
      </c>
      <c r="AL473" t="b">
        <v>1</v>
      </c>
      <c r="AM473" t="b">
        <v>1</v>
      </c>
      <c r="AN473" t="b">
        <v>0</v>
      </c>
      <c r="AO473">
        <v>99999</v>
      </c>
      <c r="AP473" t="s">
        <v>64</v>
      </c>
      <c r="AR473" t="b">
        <v>0</v>
      </c>
      <c r="AS473">
        <v>12</v>
      </c>
      <c r="AT473" t="s">
        <v>327</v>
      </c>
      <c r="AV473" t="s">
        <v>1290</v>
      </c>
      <c r="CRL473">
        <v>12</v>
      </c>
    </row>
    <row r="474" spans="1:48 2508:2508" x14ac:dyDescent="0.25">
      <c r="A474" t="s">
        <v>3323</v>
      </c>
      <c r="B474" t="s">
        <v>302</v>
      </c>
      <c r="C474" t="s">
        <v>62</v>
      </c>
      <c r="D474">
        <v>99999</v>
      </c>
      <c r="F474" s="109">
        <v>10000</v>
      </c>
      <c r="G474" t="b">
        <v>0</v>
      </c>
      <c r="H474" t="s">
        <v>341</v>
      </c>
      <c r="K474" t="s">
        <v>379</v>
      </c>
      <c r="L474" t="s">
        <v>303</v>
      </c>
      <c r="M474" t="s">
        <v>323</v>
      </c>
      <c r="N474" t="s">
        <v>63</v>
      </c>
      <c r="O474" s="110">
        <v>39.9</v>
      </c>
      <c r="R474" s="110">
        <v>339.89</v>
      </c>
      <c r="S474" s="110">
        <v>79.900000000000006</v>
      </c>
      <c r="T474" s="110">
        <v>0</v>
      </c>
      <c r="U474" s="110">
        <v>42.99</v>
      </c>
      <c r="X474">
        <v>157.09999999999997</v>
      </c>
      <c r="Y474">
        <v>59.9</v>
      </c>
      <c r="Z474">
        <v>59.9</v>
      </c>
      <c r="AA474">
        <v>0</v>
      </c>
      <c r="AB474" t="s">
        <v>363</v>
      </c>
      <c r="AF474" t="s">
        <v>1403</v>
      </c>
      <c r="AG474" t="s">
        <v>1403</v>
      </c>
      <c r="AH474" t="s">
        <v>1175</v>
      </c>
      <c r="AI474">
        <v>99999</v>
      </c>
      <c r="AJ474">
        <v>99999</v>
      </c>
      <c r="AK474">
        <v>699</v>
      </c>
      <c r="AL474" t="b">
        <v>1</v>
      </c>
      <c r="AM474" t="b">
        <v>1</v>
      </c>
      <c r="AN474" t="b">
        <v>0</v>
      </c>
      <c r="AO474">
        <v>99999</v>
      </c>
      <c r="AP474" t="s">
        <v>64</v>
      </c>
      <c r="AR474" t="b">
        <v>0</v>
      </c>
      <c r="AS474">
        <v>12</v>
      </c>
      <c r="AT474" t="s">
        <v>327</v>
      </c>
      <c r="AV474" t="s">
        <v>1424</v>
      </c>
      <c r="CRL474">
        <v>12</v>
      </c>
    </row>
    <row r="475" spans="1:48 2508:2508" x14ac:dyDescent="0.25">
      <c r="A475" t="s">
        <v>3323</v>
      </c>
      <c r="B475" t="s">
        <v>302</v>
      </c>
      <c r="C475" t="s">
        <v>62</v>
      </c>
      <c r="D475">
        <v>99999</v>
      </c>
      <c r="F475" s="109">
        <v>10000</v>
      </c>
      <c r="G475" t="b">
        <v>0</v>
      </c>
      <c r="H475" t="s">
        <v>341</v>
      </c>
      <c r="K475" t="s">
        <v>379</v>
      </c>
      <c r="L475" t="s">
        <v>303</v>
      </c>
      <c r="M475" t="s">
        <v>323</v>
      </c>
      <c r="N475" t="s">
        <v>63</v>
      </c>
      <c r="O475" s="110">
        <v>39.9</v>
      </c>
      <c r="R475" s="110">
        <v>359.89</v>
      </c>
      <c r="S475" s="110">
        <v>85</v>
      </c>
      <c r="T475" s="110">
        <v>0</v>
      </c>
      <c r="U475" s="110">
        <v>42.99</v>
      </c>
      <c r="X475">
        <v>171.99999999999997</v>
      </c>
      <c r="Y475">
        <v>59.9</v>
      </c>
      <c r="Z475">
        <v>59.9</v>
      </c>
      <c r="AA475">
        <v>0</v>
      </c>
      <c r="AB475" t="s">
        <v>363</v>
      </c>
      <c r="AF475" t="s">
        <v>1551</v>
      </c>
      <c r="AG475" t="s">
        <v>1551</v>
      </c>
      <c r="AH475" t="s">
        <v>1175</v>
      </c>
      <c r="AI475">
        <v>99999</v>
      </c>
      <c r="AJ475">
        <v>99999</v>
      </c>
      <c r="AK475">
        <v>699</v>
      </c>
      <c r="AL475" t="b">
        <v>1</v>
      </c>
      <c r="AM475" t="b">
        <v>1</v>
      </c>
      <c r="AN475" t="b">
        <v>0</v>
      </c>
      <c r="AO475">
        <v>99999</v>
      </c>
      <c r="AP475" t="s">
        <v>64</v>
      </c>
      <c r="AR475" t="b">
        <v>0</v>
      </c>
      <c r="AS475">
        <v>12</v>
      </c>
      <c r="AT475" t="s">
        <v>327</v>
      </c>
      <c r="AV475" t="s">
        <v>1572</v>
      </c>
      <c r="CRL475">
        <v>12</v>
      </c>
    </row>
    <row r="476" spans="1:48 2508:2508" x14ac:dyDescent="0.25">
      <c r="A476" t="s">
        <v>3323</v>
      </c>
      <c r="B476" t="s">
        <v>302</v>
      </c>
      <c r="C476" t="s">
        <v>62</v>
      </c>
      <c r="D476">
        <v>99999</v>
      </c>
      <c r="F476" s="109">
        <v>10000</v>
      </c>
      <c r="G476" t="b">
        <v>0</v>
      </c>
      <c r="H476" t="s">
        <v>341</v>
      </c>
      <c r="K476" t="s">
        <v>379</v>
      </c>
      <c r="L476" t="s">
        <v>303</v>
      </c>
      <c r="M476" t="s">
        <v>323</v>
      </c>
      <c r="N476" t="s">
        <v>63</v>
      </c>
      <c r="O476" s="110">
        <v>49.9</v>
      </c>
      <c r="R476" s="110">
        <v>345.68999999999994</v>
      </c>
      <c r="S476" s="110">
        <v>130</v>
      </c>
      <c r="T476" s="110">
        <v>0</v>
      </c>
      <c r="U476" s="110">
        <v>34.99</v>
      </c>
      <c r="X476">
        <v>120.79999999999998</v>
      </c>
      <c r="Y476">
        <v>59.9</v>
      </c>
      <c r="Z476">
        <v>59.9</v>
      </c>
      <c r="AA476">
        <v>0</v>
      </c>
      <c r="AB476" t="s">
        <v>363</v>
      </c>
      <c r="AF476" t="s">
        <v>2771</v>
      </c>
      <c r="AG476" t="s">
        <v>2771</v>
      </c>
      <c r="AH476" t="s">
        <v>1175</v>
      </c>
      <c r="AI476">
        <v>99999</v>
      </c>
      <c r="AJ476">
        <v>99999</v>
      </c>
      <c r="AK476">
        <v>699</v>
      </c>
      <c r="AL476" t="b">
        <v>1</v>
      </c>
      <c r="AM476" t="b">
        <v>1</v>
      </c>
      <c r="AN476" t="b">
        <v>0</v>
      </c>
      <c r="AO476">
        <v>99999</v>
      </c>
      <c r="AP476" t="s">
        <v>64</v>
      </c>
      <c r="AR476" t="b">
        <v>0</v>
      </c>
      <c r="AS476">
        <v>12</v>
      </c>
      <c r="AT476" t="s">
        <v>327</v>
      </c>
      <c r="AV476" t="s">
        <v>2792</v>
      </c>
      <c r="CRL476">
        <v>12</v>
      </c>
    </row>
    <row r="477" spans="1:48 2508:2508" x14ac:dyDescent="0.25">
      <c r="A477" t="s">
        <v>3323</v>
      </c>
      <c r="B477" t="s">
        <v>302</v>
      </c>
      <c r="C477" t="s">
        <v>62</v>
      </c>
      <c r="D477">
        <v>99999</v>
      </c>
      <c r="F477" s="109">
        <v>10000</v>
      </c>
      <c r="G477" t="b">
        <v>0</v>
      </c>
      <c r="H477" t="s">
        <v>341</v>
      </c>
      <c r="K477" t="s">
        <v>379</v>
      </c>
      <c r="L477" t="s">
        <v>303</v>
      </c>
      <c r="M477" t="s">
        <v>323</v>
      </c>
      <c r="N477" t="s">
        <v>63</v>
      </c>
      <c r="O477" s="110">
        <v>49.9</v>
      </c>
      <c r="R477" s="110">
        <v>369.98999999999995</v>
      </c>
      <c r="S477" s="110">
        <v>130</v>
      </c>
      <c r="T477" s="110">
        <v>0</v>
      </c>
      <c r="U477" s="110">
        <v>42.99</v>
      </c>
      <c r="X477">
        <v>137.09999999999997</v>
      </c>
      <c r="Y477">
        <v>59.9</v>
      </c>
      <c r="Z477">
        <v>59.9</v>
      </c>
      <c r="AA477">
        <v>0</v>
      </c>
      <c r="AB477" t="s">
        <v>363</v>
      </c>
      <c r="AF477" t="s">
        <v>2845</v>
      </c>
      <c r="AG477" t="s">
        <v>2845</v>
      </c>
      <c r="AH477" t="s">
        <v>1175</v>
      </c>
      <c r="AI477">
        <v>99999</v>
      </c>
      <c r="AJ477">
        <v>99999</v>
      </c>
      <c r="AK477">
        <v>699</v>
      </c>
      <c r="AL477" t="b">
        <v>1</v>
      </c>
      <c r="AM477" t="b">
        <v>1</v>
      </c>
      <c r="AN477" t="b">
        <v>0</v>
      </c>
      <c r="AO477">
        <v>99999</v>
      </c>
      <c r="AP477" t="s">
        <v>64</v>
      </c>
      <c r="AR477" t="b">
        <v>0</v>
      </c>
      <c r="AS477">
        <v>12</v>
      </c>
      <c r="AT477" t="s">
        <v>327</v>
      </c>
      <c r="AV477" t="s">
        <v>2866</v>
      </c>
      <c r="CRL477">
        <v>12</v>
      </c>
    </row>
    <row r="478" spans="1:48 2508:2508" x14ac:dyDescent="0.25">
      <c r="A478" t="s">
        <v>3323</v>
      </c>
      <c r="B478" t="s">
        <v>302</v>
      </c>
      <c r="C478" t="s">
        <v>62</v>
      </c>
      <c r="D478">
        <v>99999</v>
      </c>
      <c r="F478" s="109">
        <v>10000</v>
      </c>
      <c r="G478" t="b">
        <v>0</v>
      </c>
      <c r="H478" t="s">
        <v>341</v>
      </c>
      <c r="K478" t="s">
        <v>379</v>
      </c>
      <c r="L478" t="s">
        <v>303</v>
      </c>
      <c r="M478" t="s">
        <v>323</v>
      </c>
      <c r="N478" t="s">
        <v>63</v>
      </c>
      <c r="O478" s="110">
        <v>49.9</v>
      </c>
      <c r="R478" s="110">
        <v>389.98999999999995</v>
      </c>
      <c r="S478" s="110">
        <v>130</v>
      </c>
      <c r="T478" s="110">
        <v>0</v>
      </c>
      <c r="U478" s="110">
        <v>42.99</v>
      </c>
      <c r="X478">
        <v>157.09999999999997</v>
      </c>
      <c r="Y478">
        <v>59.9</v>
      </c>
      <c r="Z478">
        <v>59.9</v>
      </c>
      <c r="AA478">
        <v>0</v>
      </c>
      <c r="AB478" t="s">
        <v>363</v>
      </c>
      <c r="AF478" t="s">
        <v>2912</v>
      </c>
      <c r="AG478" t="s">
        <v>2912</v>
      </c>
      <c r="AH478" t="s">
        <v>1175</v>
      </c>
      <c r="AI478">
        <v>99999</v>
      </c>
      <c r="AJ478">
        <v>99999</v>
      </c>
      <c r="AK478">
        <v>699</v>
      </c>
      <c r="AL478" t="b">
        <v>1</v>
      </c>
      <c r="AM478" t="b">
        <v>1</v>
      </c>
      <c r="AN478" t="b">
        <v>0</v>
      </c>
      <c r="AO478">
        <v>99999</v>
      </c>
      <c r="AP478" t="s">
        <v>64</v>
      </c>
      <c r="AR478" t="b">
        <v>0</v>
      </c>
      <c r="AS478">
        <v>12</v>
      </c>
      <c r="AT478" t="s">
        <v>327</v>
      </c>
      <c r="AV478" t="s">
        <v>2933</v>
      </c>
      <c r="CRL478">
        <v>12</v>
      </c>
    </row>
    <row r="479" spans="1:48 2508:2508" x14ac:dyDescent="0.25">
      <c r="A479" t="s">
        <v>3323</v>
      </c>
      <c r="B479" t="s">
        <v>302</v>
      </c>
      <c r="C479" t="s">
        <v>62</v>
      </c>
      <c r="D479">
        <v>99999</v>
      </c>
      <c r="F479" s="109">
        <v>10000</v>
      </c>
      <c r="G479" t="b">
        <v>0</v>
      </c>
      <c r="H479" t="s">
        <v>341</v>
      </c>
      <c r="K479" t="s">
        <v>379</v>
      </c>
      <c r="L479" t="s">
        <v>303</v>
      </c>
      <c r="M479" t="s">
        <v>323</v>
      </c>
      <c r="N479" t="s">
        <v>63</v>
      </c>
      <c r="O479" s="110">
        <v>49.9</v>
      </c>
      <c r="R479" s="110">
        <v>404.89</v>
      </c>
      <c r="S479" s="110">
        <v>130</v>
      </c>
      <c r="T479" s="110">
        <v>0</v>
      </c>
      <c r="U479" s="110">
        <v>42.99</v>
      </c>
      <c r="X479">
        <v>171.99999999999997</v>
      </c>
      <c r="Y479">
        <v>59.9</v>
      </c>
      <c r="Z479">
        <v>59.9</v>
      </c>
      <c r="AA479">
        <v>0</v>
      </c>
      <c r="AB479" t="s">
        <v>363</v>
      </c>
      <c r="AF479" t="s">
        <v>2986</v>
      </c>
      <c r="AG479" t="s">
        <v>2986</v>
      </c>
      <c r="AH479" t="s">
        <v>1175</v>
      </c>
      <c r="AI479">
        <v>99999</v>
      </c>
      <c r="AJ479">
        <v>99999</v>
      </c>
      <c r="AK479">
        <v>699</v>
      </c>
      <c r="AL479" t="b">
        <v>1</v>
      </c>
      <c r="AM479" t="b">
        <v>1</v>
      </c>
      <c r="AN479" t="b">
        <v>0</v>
      </c>
      <c r="AO479">
        <v>99999</v>
      </c>
      <c r="AP479" t="s">
        <v>64</v>
      </c>
      <c r="AR479" t="b">
        <v>0</v>
      </c>
      <c r="AS479">
        <v>12</v>
      </c>
      <c r="AT479" t="s">
        <v>327</v>
      </c>
      <c r="AV479" t="s">
        <v>3007</v>
      </c>
      <c r="CRL479">
        <v>12</v>
      </c>
    </row>
    <row r="480" spans="1:48 2508:2508" x14ac:dyDescent="0.25">
      <c r="A480" t="s">
        <v>3323</v>
      </c>
      <c r="B480" t="s">
        <v>302</v>
      </c>
      <c r="C480" t="s">
        <v>62</v>
      </c>
      <c r="D480">
        <v>99999</v>
      </c>
      <c r="F480" s="109">
        <v>10000</v>
      </c>
      <c r="G480" t="b">
        <v>0</v>
      </c>
      <c r="H480" t="s">
        <v>341</v>
      </c>
      <c r="K480" t="s">
        <v>61</v>
      </c>
      <c r="L480" t="s">
        <v>303</v>
      </c>
      <c r="M480" t="s">
        <v>323</v>
      </c>
      <c r="N480" t="s">
        <v>63</v>
      </c>
      <c r="O480" s="110">
        <v>29.9</v>
      </c>
      <c r="R480" s="110">
        <v>304.89</v>
      </c>
      <c r="S480" s="110">
        <v>79.900000000000006</v>
      </c>
      <c r="T480" s="110">
        <v>0</v>
      </c>
      <c r="U480" s="110">
        <v>42.99</v>
      </c>
      <c r="X480">
        <v>137.09999999999997</v>
      </c>
      <c r="Y480">
        <v>44.9</v>
      </c>
      <c r="Z480">
        <v>44.9</v>
      </c>
      <c r="AA480">
        <v>0</v>
      </c>
      <c r="AB480" t="s">
        <v>324</v>
      </c>
      <c r="AF480" t="s">
        <v>1174</v>
      </c>
      <c r="AG480" t="s">
        <v>1174</v>
      </c>
      <c r="AH480" t="s">
        <v>1175</v>
      </c>
      <c r="AI480">
        <v>99999</v>
      </c>
      <c r="AJ480">
        <v>99999</v>
      </c>
      <c r="AK480">
        <v>699</v>
      </c>
      <c r="AL480" t="b">
        <v>1</v>
      </c>
      <c r="AM480" t="b">
        <v>1</v>
      </c>
      <c r="AN480" t="b">
        <v>0</v>
      </c>
      <c r="AO480">
        <v>99999</v>
      </c>
      <c r="AP480" t="s">
        <v>64</v>
      </c>
      <c r="AR480" t="b">
        <v>0</v>
      </c>
      <c r="AS480">
        <v>12</v>
      </c>
      <c r="AT480" t="s">
        <v>327</v>
      </c>
      <c r="AV480" t="s">
        <v>1183</v>
      </c>
      <c r="CRL480">
        <v>12</v>
      </c>
    </row>
    <row r="481" spans="1:48 2508:2508" x14ac:dyDescent="0.25">
      <c r="A481" t="s">
        <v>3323</v>
      </c>
      <c r="B481" t="s">
        <v>302</v>
      </c>
      <c r="C481" t="s">
        <v>62</v>
      </c>
      <c r="D481">
        <v>99999</v>
      </c>
      <c r="F481" s="109">
        <v>10000</v>
      </c>
      <c r="G481" t="b">
        <v>0</v>
      </c>
      <c r="H481" t="s">
        <v>341</v>
      </c>
      <c r="K481" t="s">
        <v>61</v>
      </c>
      <c r="L481" t="s">
        <v>303</v>
      </c>
      <c r="M481" t="s">
        <v>323</v>
      </c>
      <c r="N481" t="s">
        <v>63</v>
      </c>
      <c r="O481" s="110">
        <v>29.9</v>
      </c>
      <c r="R481" s="110">
        <v>324.89</v>
      </c>
      <c r="S481" s="110">
        <v>79.900000000000006</v>
      </c>
      <c r="T481" s="110">
        <v>0</v>
      </c>
      <c r="U481" s="110">
        <v>42.99</v>
      </c>
      <c r="X481">
        <v>157.09999999999997</v>
      </c>
      <c r="Y481">
        <v>44.9</v>
      </c>
      <c r="Z481">
        <v>44.9</v>
      </c>
      <c r="AA481">
        <v>0</v>
      </c>
      <c r="AB481" t="s">
        <v>324</v>
      </c>
      <c r="AF481" t="s">
        <v>1309</v>
      </c>
      <c r="AG481" t="s">
        <v>1309</v>
      </c>
      <c r="AH481" t="s">
        <v>1175</v>
      </c>
      <c r="AI481">
        <v>99999</v>
      </c>
      <c r="AJ481">
        <v>99999</v>
      </c>
      <c r="AK481">
        <v>699</v>
      </c>
      <c r="AL481" t="b">
        <v>1</v>
      </c>
      <c r="AM481" t="b">
        <v>1</v>
      </c>
      <c r="AN481" t="b">
        <v>0</v>
      </c>
      <c r="AO481">
        <v>99999</v>
      </c>
      <c r="AP481" t="s">
        <v>64</v>
      </c>
      <c r="AR481" t="b">
        <v>0</v>
      </c>
      <c r="AS481">
        <v>12</v>
      </c>
      <c r="AT481" t="s">
        <v>327</v>
      </c>
      <c r="AV481" t="s">
        <v>1317</v>
      </c>
      <c r="CRL481">
        <v>12</v>
      </c>
    </row>
    <row r="482" spans="1:48 2508:2508" x14ac:dyDescent="0.25">
      <c r="A482" t="s">
        <v>3323</v>
      </c>
      <c r="B482" t="s">
        <v>302</v>
      </c>
      <c r="C482" t="s">
        <v>62</v>
      </c>
      <c r="D482">
        <v>99999</v>
      </c>
      <c r="F482" s="109">
        <v>10000</v>
      </c>
      <c r="G482" t="b">
        <v>0</v>
      </c>
      <c r="H482" t="s">
        <v>341</v>
      </c>
      <c r="K482" t="s">
        <v>61</v>
      </c>
      <c r="L482" t="s">
        <v>303</v>
      </c>
      <c r="M482" t="s">
        <v>323</v>
      </c>
      <c r="N482" t="s">
        <v>63</v>
      </c>
      <c r="O482" s="110">
        <v>29.9</v>
      </c>
      <c r="R482" s="110">
        <v>344.89</v>
      </c>
      <c r="S482" s="110">
        <v>85</v>
      </c>
      <c r="T482" s="110">
        <v>0</v>
      </c>
      <c r="U482" s="110">
        <v>42.99</v>
      </c>
      <c r="X482">
        <v>171.99999999999997</v>
      </c>
      <c r="Y482">
        <v>44.9</v>
      </c>
      <c r="Z482">
        <v>44.9</v>
      </c>
      <c r="AA482">
        <v>0</v>
      </c>
      <c r="AB482" t="s">
        <v>324</v>
      </c>
      <c r="AF482" t="s">
        <v>1457</v>
      </c>
      <c r="AG482" t="s">
        <v>1457</v>
      </c>
      <c r="AH482" t="s">
        <v>1175</v>
      </c>
      <c r="AI482">
        <v>99999</v>
      </c>
      <c r="AJ482">
        <v>99999</v>
      </c>
      <c r="AK482">
        <v>699</v>
      </c>
      <c r="AL482" t="b">
        <v>1</v>
      </c>
      <c r="AM482" t="b">
        <v>1</v>
      </c>
      <c r="AN482" t="b">
        <v>0</v>
      </c>
      <c r="AO482">
        <v>99999</v>
      </c>
      <c r="AP482" t="s">
        <v>64</v>
      </c>
      <c r="AR482" t="b">
        <v>0</v>
      </c>
      <c r="AS482">
        <v>12</v>
      </c>
      <c r="AT482" t="s">
        <v>327</v>
      </c>
      <c r="AV482" t="s">
        <v>1465</v>
      </c>
      <c r="CRL482">
        <v>12</v>
      </c>
    </row>
    <row r="483" spans="1:48 2508:2508" x14ac:dyDescent="0.25">
      <c r="A483" t="s">
        <v>3323</v>
      </c>
      <c r="B483" t="s">
        <v>302</v>
      </c>
      <c r="C483" t="s">
        <v>62</v>
      </c>
      <c r="D483">
        <v>99999</v>
      </c>
      <c r="F483" s="109">
        <v>10000</v>
      </c>
      <c r="G483" t="b">
        <v>0</v>
      </c>
      <c r="H483" t="s">
        <v>341</v>
      </c>
      <c r="K483" t="s">
        <v>61</v>
      </c>
      <c r="L483" t="s">
        <v>303</v>
      </c>
      <c r="M483" t="s">
        <v>323</v>
      </c>
      <c r="N483" t="s">
        <v>63</v>
      </c>
      <c r="O483" s="110">
        <v>39.9</v>
      </c>
      <c r="R483" s="110">
        <v>304.89</v>
      </c>
      <c r="S483" s="110">
        <v>79.900000000000006</v>
      </c>
      <c r="T483" s="110">
        <v>0</v>
      </c>
      <c r="U483" s="110">
        <v>42.99</v>
      </c>
      <c r="X483">
        <v>137.09999999999997</v>
      </c>
      <c r="Y483">
        <v>44.9</v>
      </c>
      <c r="Z483">
        <v>44.9</v>
      </c>
      <c r="AA483">
        <v>0</v>
      </c>
      <c r="AB483" t="s">
        <v>324</v>
      </c>
      <c r="AF483" t="s">
        <v>1242</v>
      </c>
      <c r="AG483" t="s">
        <v>1242</v>
      </c>
      <c r="AH483" t="s">
        <v>1175</v>
      </c>
      <c r="AI483">
        <v>99999</v>
      </c>
      <c r="AJ483">
        <v>99999</v>
      </c>
      <c r="AK483">
        <v>699</v>
      </c>
      <c r="AL483" t="b">
        <v>1</v>
      </c>
      <c r="AM483" t="b">
        <v>1</v>
      </c>
      <c r="AN483" t="b">
        <v>0</v>
      </c>
      <c r="AO483">
        <v>99999</v>
      </c>
      <c r="AP483" t="s">
        <v>64</v>
      </c>
      <c r="AR483" t="b">
        <v>0</v>
      </c>
      <c r="AS483">
        <v>12</v>
      </c>
      <c r="AT483" t="s">
        <v>327</v>
      </c>
      <c r="AV483" t="s">
        <v>1250</v>
      </c>
      <c r="CRL483">
        <v>12</v>
      </c>
    </row>
    <row r="484" spans="1:48 2508:2508" x14ac:dyDescent="0.25">
      <c r="A484" t="s">
        <v>3323</v>
      </c>
      <c r="B484" t="s">
        <v>302</v>
      </c>
      <c r="C484" t="s">
        <v>62</v>
      </c>
      <c r="D484">
        <v>99999</v>
      </c>
      <c r="F484" s="109">
        <v>10000</v>
      </c>
      <c r="G484" t="b">
        <v>0</v>
      </c>
      <c r="H484" t="s">
        <v>341</v>
      </c>
      <c r="K484" t="s">
        <v>61</v>
      </c>
      <c r="L484" t="s">
        <v>303</v>
      </c>
      <c r="M484" t="s">
        <v>323</v>
      </c>
      <c r="N484" t="s">
        <v>63</v>
      </c>
      <c r="O484" s="110">
        <v>39.9</v>
      </c>
      <c r="R484" s="110">
        <v>324.89</v>
      </c>
      <c r="S484" s="110">
        <v>79.900000000000006</v>
      </c>
      <c r="T484" s="110">
        <v>0</v>
      </c>
      <c r="U484" s="110">
        <v>42.99</v>
      </c>
      <c r="X484">
        <v>157.09999999999997</v>
      </c>
      <c r="Y484">
        <v>44.9</v>
      </c>
      <c r="Z484">
        <v>44.9</v>
      </c>
      <c r="AA484">
        <v>0</v>
      </c>
      <c r="AB484" t="s">
        <v>324</v>
      </c>
      <c r="AF484" t="s">
        <v>1376</v>
      </c>
      <c r="AG484" t="s">
        <v>1376</v>
      </c>
      <c r="AH484" t="s">
        <v>1175</v>
      </c>
      <c r="AI484">
        <v>99999</v>
      </c>
      <c r="AJ484">
        <v>99999</v>
      </c>
      <c r="AK484">
        <v>699</v>
      </c>
      <c r="AL484" t="b">
        <v>1</v>
      </c>
      <c r="AM484" t="b">
        <v>1</v>
      </c>
      <c r="AN484" t="b">
        <v>0</v>
      </c>
      <c r="AO484">
        <v>99999</v>
      </c>
      <c r="AP484" t="s">
        <v>64</v>
      </c>
      <c r="AR484" t="b">
        <v>0</v>
      </c>
      <c r="AS484">
        <v>12</v>
      </c>
      <c r="AT484" t="s">
        <v>327</v>
      </c>
      <c r="AV484" t="s">
        <v>1384</v>
      </c>
      <c r="CRL484">
        <v>12</v>
      </c>
    </row>
    <row r="485" spans="1:48 2508:2508" x14ac:dyDescent="0.25">
      <c r="A485" t="s">
        <v>3323</v>
      </c>
      <c r="B485" t="s">
        <v>302</v>
      </c>
      <c r="C485" t="s">
        <v>62</v>
      </c>
      <c r="D485">
        <v>99999</v>
      </c>
      <c r="F485" s="109">
        <v>10000</v>
      </c>
      <c r="G485" t="b">
        <v>0</v>
      </c>
      <c r="H485" t="s">
        <v>341</v>
      </c>
      <c r="K485" t="s">
        <v>61</v>
      </c>
      <c r="L485" t="s">
        <v>303</v>
      </c>
      <c r="M485" t="s">
        <v>323</v>
      </c>
      <c r="N485" t="s">
        <v>63</v>
      </c>
      <c r="O485" s="110">
        <v>39.9</v>
      </c>
      <c r="R485" s="110">
        <v>344.89</v>
      </c>
      <c r="S485" s="110">
        <v>85</v>
      </c>
      <c r="T485" s="110">
        <v>0</v>
      </c>
      <c r="U485" s="110">
        <v>42.99</v>
      </c>
      <c r="X485">
        <v>171.99999999999997</v>
      </c>
      <c r="Y485">
        <v>44.9</v>
      </c>
      <c r="Z485">
        <v>44.9</v>
      </c>
      <c r="AA485">
        <v>0</v>
      </c>
      <c r="AB485" t="s">
        <v>324</v>
      </c>
      <c r="AF485" t="s">
        <v>1524</v>
      </c>
      <c r="AG485" t="s">
        <v>1524</v>
      </c>
      <c r="AH485" t="s">
        <v>1175</v>
      </c>
      <c r="AI485">
        <v>99999</v>
      </c>
      <c r="AJ485">
        <v>99999</v>
      </c>
      <c r="AK485">
        <v>699</v>
      </c>
      <c r="AL485" t="b">
        <v>1</v>
      </c>
      <c r="AM485" t="b">
        <v>1</v>
      </c>
      <c r="AN485" t="b">
        <v>0</v>
      </c>
      <c r="AO485">
        <v>99999</v>
      </c>
      <c r="AP485" t="s">
        <v>64</v>
      </c>
      <c r="AR485" t="b">
        <v>0</v>
      </c>
      <c r="AS485">
        <v>12</v>
      </c>
      <c r="AT485" t="s">
        <v>327</v>
      </c>
      <c r="AV485" t="s">
        <v>1532</v>
      </c>
      <c r="CRL485">
        <v>12</v>
      </c>
    </row>
    <row r="486" spans="1:48 2508:2508" x14ac:dyDescent="0.25">
      <c r="A486" t="s">
        <v>3323</v>
      </c>
      <c r="B486" t="s">
        <v>302</v>
      </c>
      <c r="C486" t="s">
        <v>62</v>
      </c>
      <c r="D486">
        <v>99999</v>
      </c>
      <c r="F486" s="109">
        <v>10000</v>
      </c>
      <c r="G486" t="b">
        <v>0</v>
      </c>
      <c r="H486" t="s">
        <v>341</v>
      </c>
      <c r="K486" t="s">
        <v>61</v>
      </c>
      <c r="L486" t="s">
        <v>303</v>
      </c>
      <c r="M486" t="s">
        <v>323</v>
      </c>
      <c r="N486" t="s">
        <v>63</v>
      </c>
      <c r="O486" s="110">
        <v>49.9</v>
      </c>
      <c r="R486" s="110">
        <v>330.68999999999994</v>
      </c>
      <c r="S486" s="110">
        <v>130</v>
      </c>
      <c r="T486" s="110">
        <v>0</v>
      </c>
      <c r="U486" s="110">
        <v>34.99</v>
      </c>
      <c r="X486">
        <v>120.79999999999998</v>
      </c>
      <c r="Y486">
        <v>44.9</v>
      </c>
      <c r="Z486">
        <v>44.9</v>
      </c>
      <c r="AA486">
        <v>0</v>
      </c>
      <c r="AB486" t="s">
        <v>324</v>
      </c>
      <c r="AF486" t="s">
        <v>2744</v>
      </c>
      <c r="AG486" t="s">
        <v>2744</v>
      </c>
      <c r="AH486" t="s">
        <v>1175</v>
      </c>
      <c r="AI486">
        <v>99999</v>
      </c>
      <c r="AJ486">
        <v>99999</v>
      </c>
      <c r="AK486">
        <v>699</v>
      </c>
      <c r="AL486" t="b">
        <v>1</v>
      </c>
      <c r="AM486" t="b">
        <v>1</v>
      </c>
      <c r="AN486" t="b">
        <v>0</v>
      </c>
      <c r="AO486">
        <v>99999</v>
      </c>
      <c r="AP486" t="s">
        <v>64</v>
      </c>
      <c r="AR486" t="b">
        <v>0</v>
      </c>
      <c r="AS486">
        <v>12</v>
      </c>
      <c r="AT486" t="s">
        <v>327</v>
      </c>
      <c r="AV486" t="s">
        <v>2752</v>
      </c>
      <c r="CRL486">
        <v>12</v>
      </c>
    </row>
    <row r="487" spans="1:48 2508:2508" x14ac:dyDescent="0.25">
      <c r="A487" t="s">
        <v>3323</v>
      </c>
      <c r="B487" t="s">
        <v>302</v>
      </c>
      <c r="C487" t="s">
        <v>62</v>
      </c>
      <c r="D487">
        <v>99999</v>
      </c>
      <c r="F487" s="109">
        <v>10000</v>
      </c>
      <c r="G487" t="b">
        <v>0</v>
      </c>
      <c r="H487" t="s">
        <v>341</v>
      </c>
      <c r="K487" t="s">
        <v>61</v>
      </c>
      <c r="L487" t="s">
        <v>303</v>
      </c>
      <c r="M487" t="s">
        <v>323</v>
      </c>
      <c r="N487" t="s">
        <v>63</v>
      </c>
      <c r="O487" s="110">
        <v>49.9</v>
      </c>
      <c r="R487" s="110">
        <v>354.98999999999995</v>
      </c>
      <c r="S487" s="110">
        <v>130</v>
      </c>
      <c r="T487" s="110">
        <v>0</v>
      </c>
      <c r="U487" s="110">
        <v>42.99</v>
      </c>
      <c r="X487">
        <v>137.09999999999997</v>
      </c>
      <c r="Y487">
        <v>44.9</v>
      </c>
      <c r="Z487">
        <v>44.9</v>
      </c>
      <c r="AA487">
        <v>0</v>
      </c>
      <c r="AB487" t="s">
        <v>324</v>
      </c>
      <c r="AF487" t="s">
        <v>2818</v>
      </c>
      <c r="AG487" t="s">
        <v>2818</v>
      </c>
      <c r="AH487" t="s">
        <v>1175</v>
      </c>
      <c r="AI487">
        <v>99999</v>
      </c>
      <c r="AJ487">
        <v>99999</v>
      </c>
      <c r="AK487">
        <v>699</v>
      </c>
      <c r="AL487" t="b">
        <v>1</v>
      </c>
      <c r="AM487" t="b">
        <v>1</v>
      </c>
      <c r="AN487" t="b">
        <v>0</v>
      </c>
      <c r="AO487">
        <v>99999</v>
      </c>
      <c r="AP487" t="s">
        <v>64</v>
      </c>
      <c r="AR487" t="b">
        <v>0</v>
      </c>
      <c r="AS487">
        <v>12</v>
      </c>
      <c r="AT487" t="s">
        <v>327</v>
      </c>
      <c r="AV487" t="s">
        <v>2826</v>
      </c>
      <c r="CRL487">
        <v>12</v>
      </c>
    </row>
    <row r="488" spans="1:48 2508:2508" x14ac:dyDescent="0.25">
      <c r="A488" t="s">
        <v>3323</v>
      </c>
      <c r="B488" t="s">
        <v>302</v>
      </c>
      <c r="C488" t="s">
        <v>62</v>
      </c>
      <c r="D488">
        <v>99999</v>
      </c>
      <c r="F488" s="109">
        <v>10000</v>
      </c>
      <c r="G488" t="b">
        <v>0</v>
      </c>
      <c r="H488" t="s">
        <v>341</v>
      </c>
      <c r="K488" t="s">
        <v>61</v>
      </c>
      <c r="L488" t="s">
        <v>303</v>
      </c>
      <c r="M488" t="s">
        <v>323</v>
      </c>
      <c r="N488" t="s">
        <v>63</v>
      </c>
      <c r="O488" s="110">
        <v>49.9</v>
      </c>
      <c r="R488" s="110">
        <v>374.98999999999995</v>
      </c>
      <c r="S488" s="110">
        <v>130</v>
      </c>
      <c r="T488" s="110">
        <v>0</v>
      </c>
      <c r="U488" s="110">
        <v>42.99</v>
      </c>
      <c r="X488">
        <v>157.09999999999997</v>
      </c>
      <c r="Y488">
        <v>44.9</v>
      </c>
      <c r="Z488">
        <v>44.9</v>
      </c>
      <c r="AA488">
        <v>0</v>
      </c>
      <c r="AB488" t="s">
        <v>324</v>
      </c>
      <c r="AF488" t="s">
        <v>2885</v>
      </c>
      <c r="AG488" t="s">
        <v>2885</v>
      </c>
      <c r="AH488" t="s">
        <v>1175</v>
      </c>
      <c r="AI488">
        <v>99999</v>
      </c>
      <c r="AJ488">
        <v>99999</v>
      </c>
      <c r="AK488">
        <v>699</v>
      </c>
      <c r="AL488" t="b">
        <v>1</v>
      </c>
      <c r="AM488" t="b">
        <v>1</v>
      </c>
      <c r="AN488" t="b">
        <v>0</v>
      </c>
      <c r="AO488">
        <v>99999</v>
      </c>
      <c r="AP488" t="s">
        <v>64</v>
      </c>
      <c r="AR488" t="b">
        <v>0</v>
      </c>
      <c r="AS488">
        <v>12</v>
      </c>
      <c r="AT488" t="s">
        <v>327</v>
      </c>
      <c r="AV488" t="s">
        <v>2893</v>
      </c>
      <c r="CRL488">
        <v>12</v>
      </c>
    </row>
    <row r="489" spans="1:48 2508:2508" x14ac:dyDescent="0.25">
      <c r="A489" t="s">
        <v>3323</v>
      </c>
      <c r="B489" t="s">
        <v>302</v>
      </c>
      <c r="C489" t="s">
        <v>62</v>
      </c>
      <c r="D489">
        <v>99999</v>
      </c>
      <c r="F489" s="109">
        <v>10000</v>
      </c>
      <c r="G489" t="b">
        <v>0</v>
      </c>
      <c r="H489" t="s">
        <v>341</v>
      </c>
      <c r="K489" t="s">
        <v>61</v>
      </c>
      <c r="L489" t="s">
        <v>303</v>
      </c>
      <c r="M489" t="s">
        <v>323</v>
      </c>
      <c r="N489" t="s">
        <v>63</v>
      </c>
      <c r="O489" s="110">
        <v>49.9</v>
      </c>
      <c r="R489" s="110">
        <v>389.89</v>
      </c>
      <c r="S489" s="110">
        <v>130</v>
      </c>
      <c r="T489" s="110">
        <v>0</v>
      </c>
      <c r="U489" s="110">
        <v>42.99</v>
      </c>
      <c r="X489">
        <v>171.99999999999997</v>
      </c>
      <c r="Y489">
        <v>44.9</v>
      </c>
      <c r="Z489">
        <v>44.9</v>
      </c>
      <c r="AA489">
        <v>0</v>
      </c>
      <c r="AB489" t="s">
        <v>324</v>
      </c>
      <c r="AF489" t="s">
        <v>2959</v>
      </c>
      <c r="AG489" t="s">
        <v>2959</v>
      </c>
      <c r="AH489" t="s">
        <v>1175</v>
      </c>
      <c r="AI489">
        <v>99999</v>
      </c>
      <c r="AJ489">
        <v>99999</v>
      </c>
      <c r="AK489">
        <v>699</v>
      </c>
      <c r="AL489" t="b">
        <v>1</v>
      </c>
      <c r="AM489" t="b">
        <v>1</v>
      </c>
      <c r="AN489" t="b">
        <v>0</v>
      </c>
      <c r="AO489">
        <v>99999</v>
      </c>
      <c r="AP489" t="s">
        <v>64</v>
      </c>
      <c r="AR489" t="b">
        <v>0</v>
      </c>
      <c r="AS489">
        <v>12</v>
      </c>
      <c r="AT489" t="s">
        <v>327</v>
      </c>
      <c r="AV489" t="s">
        <v>2967</v>
      </c>
      <c r="CRL489">
        <v>12</v>
      </c>
    </row>
    <row r="490" spans="1:48 2508:2508" x14ac:dyDescent="0.25">
      <c r="A490" t="s">
        <v>3323</v>
      </c>
      <c r="B490" t="s">
        <v>302</v>
      </c>
      <c r="C490" t="s">
        <v>62</v>
      </c>
      <c r="D490">
        <v>99999</v>
      </c>
      <c r="F490" s="109">
        <v>10000</v>
      </c>
      <c r="G490" t="b">
        <v>1</v>
      </c>
      <c r="H490" t="s">
        <v>343</v>
      </c>
      <c r="K490" t="s">
        <v>349</v>
      </c>
      <c r="L490" t="s">
        <v>303</v>
      </c>
      <c r="M490" t="s">
        <v>323</v>
      </c>
      <c r="N490" t="s">
        <v>63</v>
      </c>
      <c r="O490" s="110">
        <v>29.9</v>
      </c>
      <c r="R490" s="110">
        <v>339.89</v>
      </c>
      <c r="S490" s="110">
        <v>79.900000000000006</v>
      </c>
      <c r="T490" s="110">
        <v>0</v>
      </c>
      <c r="U490" s="110">
        <v>42.99</v>
      </c>
      <c r="X490">
        <v>172.09999999999994</v>
      </c>
      <c r="Y490">
        <v>44.9</v>
      </c>
      <c r="Z490">
        <v>44.9</v>
      </c>
      <c r="AA490">
        <v>0</v>
      </c>
      <c r="AB490" t="s">
        <v>324</v>
      </c>
      <c r="AF490" t="s">
        <v>1174</v>
      </c>
      <c r="AG490" t="s">
        <v>1174</v>
      </c>
      <c r="AH490" t="s">
        <v>1175</v>
      </c>
      <c r="AI490">
        <v>99999</v>
      </c>
      <c r="AJ490">
        <v>99999</v>
      </c>
      <c r="AK490">
        <v>699</v>
      </c>
      <c r="AL490" t="b">
        <v>1</v>
      </c>
      <c r="AM490" t="b">
        <v>1</v>
      </c>
      <c r="AN490" t="b">
        <v>1</v>
      </c>
      <c r="AO490">
        <v>99999</v>
      </c>
      <c r="AP490" t="s">
        <v>64</v>
      </c>
      <c r="AR490" t="b">
        <v>0</v>
      </c>
      <c r="AS490">
        <v>12</v>
      </c>
      <c r="AT490" t="s">
        <v>327</v>
      </c>
      <c r="AV490" t="s">
        <v>1201</v>
      </c>
      <c r="CRL490">
        <v>12</v>
      </c>
    </row>
    <row r="491" spans="1:48 2508:2508" x14ac:dyDescent="0.25">
      <c r="A491" t="s">
        <v>3323</v>
      </c>
      <c r="B491" t="s">
        <v>302</v>
      </c>
      <c r="C491" t="s">
        <v>62</v>
      </c>
      <c r="D491">
        <v>99999</v>
      </c>
      <c r="F491" s="109">
        <v>10000</v>
      </c>
      <c r="G491" t="b">
        <v>1</v>
      </c>
      <c r="H491" t="s">
        <v>343</v>
      </c>
      <c r="K491" t="s">
        <v>349</v>
      </c>
      <c r="L491" t="s">
        <v>303</v>
      </c>
      <c r="M491" t="s">
        <v>323</v>
      </c>
      <c r="N491" t="s">
        <v>63</v>
      </c>
      <c r="O491" s="110">
        <v>29.9</v>
      </c>
      <c r="R491" s="110">
        <v>359.89</v>
      </c>
      <c r="S491" s="110">
        <v>79.900000000000006</v>
      </c>
      <c r="T491" s="110">
        <v>0</v>
      </c>
      <c r="U491" s="110">
        <v>42.99</v>
      </c>
      <c r="X491">
        <v>192.09999999999994</v>
      </c>
      <c r="Y491">
        <v>44.9</v>
      </c>
      <c r="Z491">
        <v>44.9</v>
      </c>
      <c r="AA491">
        <v>0</v>
      </c>
      <c r="AB491" t="s">
        <v>324</v>
      </c>
      <c r="AF491" t="s">
        <v>1309</v>
      </c>
      <c r="AG491" t="s">
        <v>1309</v>
      </c>
      <c r="AH491" t="s">
        <v>1175</v>
      </c>
      <c r="AI491">
        <v>99999</v>
      </c>
      <c r="AJ491">
        <v>99999</v>
      </c>
      <c r="AK491">
        <v>699</v>
      </c>
      <c r="AL491" t="b">
        <v>1</v>
      </c>
      <c r="AM491" t="b">
        <v>1</v>
      </c>
      <c r="AN491" t="b">
        <v>1</v>
      </c>
      <c r="AO491">
        <v>99999</v>
      </c>
      <c r="AP491" t="s">
        <v>64</v>
      </c>
      <c r="AR491" t="b">
        <v>0</v>
      </c>
      <c r="AS491">
        <v>12</v>
      </c>
      <c r="AT491" t="s">
        <v>327</v>
      </c>
      <c r="AV491" t="s">
        <v>1335</v>
      </c>
      <c r="CRL491">
        <v>12</v>
      </c>
    </row>
    <row r="492" spans="1:48 2508:2508" x14ac:dyDescent="0.25">
      <c r="A492" t="s">
        <v>3323</v>
      </c>
      <c r="B492" t="s">
        <v>302</v>
      </c>
      <c r="C492" t="s">
        <v>62</v>
      </c>
      <c r="D492">
        <v>99999</v>
      </c>
      <c r="F492" s="109">
        <v>10000</v>
      </c>
      <c r="G492" t="b">
        <v>1</v>
      </c>
      <c r="H492" t="s">
        <v>343</v>
      </c>
      <c r="K492" t="s">
        <v>349</v>
      </c>
      <c r="L492" t="s">
        <v>303</v>
      </c>
      <c r="M492" t="s">
        <v>323</v>
      </c>
      <c r="N492" t="s">
        <v>63</v>
      </c>
      <c r="O492" s="110">
        <v>29.9</v>
      </c>
      <c r="R492" s="110">
        <v>379.88999999999993</v>
      </c>
      <c r="S492" s="110">
        <v>85</v>
      </c>
      <c r="T492" s="110">
        <v>0</v>
      </c>
      <c r="U492" s="110">
        <v>42.99</v>
      </c>
      <c r="X492">
        <v>206.99999999999994</v>
      </c>
      <c r="Y492">
        <v>44.9</v>
      </c>
      <c r="Z492">
        <v>44.9</v>
      </c>
      <c r="AA492">
        <v>0</v>
      </c>
      <c r="AB492" t="s">
        <v>324</v>
      </c>
      <c r="AF492" t="s">
        <v>1457</v>
      </c>
      <c r="AG492" t="s">
        <v>1457</v>
      </c>
      <c r="AH492" t="s">
        <v>1175</v>
      </c>
      <c r="AI492">
        <v>99999</v>
      </c>
      <c r="AJ492">
        <v>99999</v>
      </c>
      <c r="AK492">
        <v>699</v>
      </c>
      <c r="AL492" t="b">
        <v>1</v>
      </c>
      <c r="AM492" t="b">
        <v>1</v>
      </c>
      <c r="AN492" t="b">
        <v>1</v>
      </c>
      <c r="AO492">
        <v>99999</v>
      </c>
      <c r="AP492" t="s">
        <v>64</v>
      </c>
      <c r="AR492" t="b">
        <v>0</v>
      </c>
      <c r="AS492">
        <v>12</v>
      </c>
      <c r="AT492" t="s">
        <v>327</v>
      </c>
      <c r="AV492" t="s">
        <v>1483</v>
      </c>
      <c r="CRL492">
        <v>12</v>
      </c>
    </row>
    <row r="493" spans="1:48 2508:2508" x14ac:dyDescent="0.25">
      <c r="A493" t="s">
        <v>3323</v>
      </c>
      <c r="B493" t="s">
        <v>302</v>
      </c>
      <c r="C493" t="s">
        <v>62</v>
      </c>
      <c r="D493">
        <v>99999</v>
      </c>
      <c r="F493" s="109">
        <v>10000</v>
      </c>
      <c r="G493" t="b">
        <v>1</v>
      </c>
      <c r="H493" t="s">
        <v>343</v>
      </c>
      <c r="K493" t="s">
        <v>349</v>
      </c>
      <c r="L493" t="s">
        <v>303</v>
      </c>
      <c r="M493" t="s">
        <v>323</v>
      </c>
      <c r="N493" t="s">
        <v>63</v>
      </c>
      <c r="O493" s="110">
        <v>39.9</v>
      </c>
      <c r="R493" s="110">
        <v>339.89</v>
      </c>
      <c r="S493" s="110">
        <v>79.900000000000006</v>
      </c>
      <c r="T493" s="110">
        <v>0</v>
      </c>
      <c r="U493" s="110">
        <v>42.99</v>
      </c>
      <c r="X493">
        <v>172.09999999999994</v>
      </c>
      <c r="Y493">
        <v>44.9</v>
      </c>
      <c r="Z493">
        <v>44.9</v>
      </c>
      <c r="AA493">
        <v>0</v>
      </c>
      <c r="AB493" t="s">
        <v>324</v>
      </c>
      <c r="AF493" t="s">
        <v>1242</v>
      </c>
      <c r="AG493" t="s">
        <v>1242</v>
      </c>
      <c r="AH493" t="s">
        <v>1175</v>
      </c>
      <c r="AI493">
        <v>99999</v>
      </c>
      <c r="AJ493">
        <v>99999</v>
      </c>
      <c r="AK493">
        <v>699</v>
      </c>
      <c r="AL493" t="b">
        <v>1</v>
      </c>
      <c r="AM493" t="b">
        <v>1</v>
      </c>
      <c r="AN493" t="b">
        <v>1</v>
      </c>
      <c r="AO493">
        <v>99999</v>
      </c>
      <c r="AP493" t="s">
        <v>64</v>
      </c>
      <c r="AR493" t="b">
        <v>0</v>
      </c>
      <c r="AS493">
        <v>12</v>
      </c>
      <c r="AT493" t="s">
        <v>327</v>
      </c>
      <c r="AV493" t="s">
        <v>1268</v>
      </c>
      <c r="CRL493">
        <v>12</v>
      </c>
    </row>
    <row r="494" spans="1:48 2508:2508" x14ac:dyDescent="0.25">
      <c r="A494" t="s">
        <v>3323</v>
      </c>
      <c r="B494" t="s">
        <v>302</v>
      </c>
      <c r="C494" t="s">
        <v>62</v>
      </c>
      <c r="D494">
        <v>99999</v>
      </c>
      <c r="F494" s="109">
        <v>10000</v>
      </c>
      <c r="G494" t="b">
        <v>1</v>
      </c>
      <c r="H494" t="s">
        <v>343</v>
      </c>
      <c r="K494" t="s">
        <v>349</v>
      </c>
      <c r="L494" t="s">
        <v>303</v>
      </c>
      <c r="M494" t="s">
        <v>323</v>
      </c>
      <c r="N494" t="s">
        <v>63</v>
      </c>
      <c r="O494" s="110">
        <v>39.9</v>
      </c>
      <c r="R494" s="110">
        <v>359.89</v>
      </c>
      <c r="S494" s="110">
        <v>79.900000000000006</v>
      </c>
      <c r="T494" s="110">
        <v>0</v>
      </c>
      <c r="U494" s="110">
        <v>42.99</v>
      </c>
      <c r="X494">
        <v>192.09999999999994</v>
      </c>
      <c r="Y494">
        <v>44.9</v>
      </c>
      <c r="Z494">
        <v>44.9</v>
      </c>
      <c r="AA494">
        <v>0</v>
      </c>
      <c r="AB494" t="s">
        <v>324</v>
      </c>
      <c r="AF494" t="s">
        <v>1376</v>
      </c>
      <c r="AG494" t="s">
        <v>1376</v>
      </c>
      <c r="AH494" t="s">
        <v>1175</v>
      </c>
      <c r="AI494">
        <v>99999</v>
      </c>
      <c r="AJ494">
        <v>99999</v>
      </c>
      <c r="AK494">
        <v>699</v>
      </c>
      <c r="AL494" t="b">
        <v>1</v>
      </c>
      <c r="AM494" t="b">
        <v>1</v>
      </c>
      <c r="AN494" t="b">
        <v>1</v>
      </c>
      <c r="AO494">
        <v>99999</v>
      </c>
      <c r="AP494" t="s">
        <v>64</v>
      </c>
      <c r="AR494" t="b">
        <v>0</v>
      </c>
      <c r="AS494">
        <v>12</v>
      </c>
      <c r="AT494" t="s">
        <v>327</v>
      </c>
      <c r="AV494" t="s">
        <v>1402</v>
      </c>
      <c r="CRL494">
        <v>12</v>
      </c>
    </row>
    <row r="495" spans="1:48 2508:2508" x14ac:dyDescent="0.25">
      <c r="A495" t="s">
        <v>3323</v>
      </c>
      <c r="B495" t="s">
        <v>302</v>
      </c>
      <c r="C495" t="s">
        <v>62</v>
      </c>
      <c r="D495">
        <v>99999</v>
      </c>
      <c r="F495" s="109">
        <v>10000</v>
      </c>
      <c r="G495" t="b">
        <v>1</v>
      </c>
      <c r="H495" t="s">
        <v>343</v>
      </c>
      <c r="K495" t="s">
        <v>349</v>
      </c>
      <c r="L495" t="s">
        <v>303</v>
      </c>
      <c r="M495" t="s">
        <v>323</v>
      </c>
      <c r="N495" t="s">
        <v>63</v>
      </c>
      <c r="O495" s="110">
        <v>39.9</v>
      </c>
      <c r="R495" s="110">
        <v>379.88999999999993</v>
      </c>
      <c r="S495" s="110">
        <v>85</v>
      </c>
      <c r="T495" s="110">
        <v>0</v>
      </c>
      <c r="U495" s="110">
        <v>42.99</v>
      </c>
      <c r="X495">
        <v>206.99999999999994</v>
      </c>
      <c r="Y495">
        <v>44.9</v>
      </c>
      <c r="Z495">
        <v>44.9</v>
      </c>
      <c r="AA495">
        <v>0</v>
      </c>
      <c r="AB495" t="s">
        <v>324</v>
      </c>
      <c r="AF495" t="s">
        <v>1524</v>
      </c>
      <c r="AG495" t="s">
        <v>1524</v>
      </c>
      <c r="AH495" t="s">
        <v>1175</v>
      </c>
      <c r="AI495">
        <v>99999</v>
      </c>
      <c r="AJ495">
        <v>99999</v>
      </c>
      <c r="AK495">
        <v>699</v>
      </c>
      <c r="AL495" t="b">
        <v>1</v>
      </c>
      <c r="AM495" t="b">
        <v>1</v>
      </c>
      <c r="AN495" t="b">
        <v>1</v>
      </c>
      <c r="AO495">
        <v>99999</v>
      </c>
      <c r="AP495" t="s">
        <v>64</v>
      </c>
      <c r="AR495" t="b">
        <v>0</v>
      </c>
      <c r="AS495">
        <v>12</v>
      </c>
      <c r="AT495" t="s">
        <v>327</v>
      </c>
      <c r="AV495" t="s">
        <v>1550</v>
      </c>
      <c r="CRL495">
        <v>12</v>
      </c>
    </row>
    <row r="496" spans="1:48 2508:2508" x14ac:dyDescent="0.25">
      <c r="A496" t="s">
        <v>3323</v>
      </c>
      <c r="B496" t="s">
        <v>302</v>
      </c>
      <c r="C496" t="s">
        <v>62</v>
      </c>
      <c r="D496">
        <v>99999</v>
      </c>
      <c r="F496" s="109">
        <v>10000</v>
      </c>
      <c r="G496" t="b">
        <v>1</v>
      </c>
      <c r="H496" t="s">
        <v>343</v>
      </c>
      <c r="K496" t="s">
        <v>349</v>
      </c>
      <c r="L496" t="s">
        <v>303</v>
      </c>
      <c r="M496" t="s">
        <v>323</v>
      </c>
      <c r="N496" t="s">
        <v>63</v>
      </c>
      <c r="O496" s="110">
        <v>49.9</v>
      </c>
      <c r="R496" s="110">
        <v>365.68999999999994</v>
      </c>
      <c r="S496" s="110">
        <v>130</v>
      </c>
      <c r="T496" s="110">
        <v>0</v>
      </c>
      <c r="U496" s="110">
        <v>34.99</v>
      </c>
      <c r="X496">
        <v>155.79999999999995</v>
      </c>
      <c r="Y496">
        <v>44.9</v>
      </c>
      <c r="Z496">
        <v>44.9</v>
      </c>
      <c r="AA496">
        <v>0</v>
      </c>
      <c r="AB496" t="s">
        <v>324</v>
      </c>
      <c r="AF496" t="s">
        <v>2744</v>
      </c>
      <c r="AG496" t="s">
        <v>2744</v>
      </c>
      <c r="AH496" t="s">
        <v>1175</v>
      </c>
      <c r="AI496">
        <v>99999</v>
      </c>
      <c r="AJ496">
        <v>99999</v>
      </c>
      <c r="AK496">
        <v>699</v>
      </c>
      <c r="AL496" t="b">
        <v>1</v>
      </c>
      <c r="AM496" t="b">
        <v>1</v>
      </c>
      <c r="AN496" t="b">
        <v>1</v>
      </c>
      <c r="AO496">
        <v>99999</v>
      </c>
      <c r="AP496" t="s">
        <v>64</v>
      </c>
      <c r="AR496" t="b">
        <v>0</v>
      </c>
      <c r="AS496">
        <v>12</v>
      </c>
      <c r="AT496" t="s">
        <v>327</v>
      </c>
      <c r="AV496" t="s">
        <v>2770</v>
      </c>
      <c r="CRL496">
        <v>12</v>
      </c>
    </row>
    <row r="497" spans="1:48 2508:2508" x14ac:dyDescent="0.25">
      <c r="A497" t="s">
        <v>3323</v>
      </c>
      <c r="B497" t="s">
        <v>302</v>
      </c>
      <c r="C497" t="s">
        <v>62</v>
      </c>
      <c r="D497">
        <v>99999</v>
      </c>
      <c r="F497" s="109">
        <v>10000</v>
      </c>
      <c r="G497" t="b">
        <v>1</v>
      </c>
      <c r="H497" t="s">
        <v>343</v>
      </c>
      <c r="K497" t="s">
        <v>349</v>
      </c>
      <c r="L497" t="s">
        <v>303</v>
      </c>
      <c r="M497" t="s">
        <v>323</v>
      </c>
      <c r="N497" t="s">
        <v>63</v>
      </c>
      <c r="O497" s="110">
        <v>49.9</v>
      </c>
      <c r="R497" s="110">
        <v>389.9899999999999</v>
      </c>
      <c r="S497" s="110">
        <v>130</v>
      </c>
      <c r="T497" s="110">
        <v>0</v>
      </c>
      <c r="U497" s="110">
        <v>42.99</v>
      </c>
      <c r="X497">
        <v>172.09999999999994</v>
      </c>
      <c r="Y497">
        <v>44.9</v>
      </c>
      <c r="Z497">
        <v>44.9</v>
      </c>
      <c r="AA497">
        <v>0</v>
      </c>
      <c r="AB497" t="s">
        <v>324</v>
      </c>
      <c r="AF497" t="s">
        <v>2818</v>
      </c>
      <c r="AG497" t="s">
        <v>2818</v>
      </c>
      <c r="AH497" t="s">
        <v>1175</v>
      </c>
      <c r="AI497">
        <v>99999</v>
      </c>
      <c r="AJ497">
        <v>99999</v>
      </c>
      <c r="AK497">
        <v>699</v>
      </c>
      <c r="AL497" t="b">
        <v>1</v>
      </c>
      <c r="AM497" t="b">
        <v>1</v>
      </c>
      <c r="AN497" t="b">
        <v>1</v>
      </c>
      <c r="AO497">
        <v>99999</v>
      </c>
      <c r="AP497" t="s">
        <v>64</v>
      </c>
      <c r="AR497" t="b">
        <v>0</v>
      </c>
      <c r="AS497">
        <v>12</v>
      </c>
      <c r="AT497" t="s">
        <v>327</v>
      </c>
      <c r="AV497" t="s">
        <v>2844</v>
      </c>
      <c r="CRL497">
        <v>12</v>
      </c>
    </row>
    <row r="498" spans="1:48 2508:2508" x14ac:dyDescent="0.25">
      <c r="A498" t="s">
        <v>3323</v>
      </c>
      <c r="B498" t="s">
        <v>302</v>
      </c>
      <c r="C498" t="s">
        <v>62</v>
      </c>
      <c r="D498">
        <v>99999</v>
      </c>
      <c r="F498" s="109">
        <v>10000</v>
      </c>
      <c r="G498" t="b">
        <v>1</v>
      </c>
      <c r="H498" t="s">
        <v>343</v>
      </c>
      <c r="K498" t="s">
        <v>349</v>
      </c>
      <c r="L498" t="s">
        <v>303</v>
      </c>
      <c r="M498" t="s">
        <v>323</v>
      </c>
      <c r="N498" t="s">
        <v>63</v>
      </c>
      <c r="O498" s="110">
        <v>49.9</v>
      </c>
      <c r="R498" s="110">
        <v>409.9899999999999</v>
      </c>
      <c r="S498" s="110">
        <v>130</v>
      </c>
      <c r="T498" s="110">
        <v>0</v>
      </c>
      <c r="U498" s="110">
        <v>42.99</v>
      </c>
      <c r="X498">
        <v>192.09999999999994</v>
      </c>
      <c r="Y498">
        <v>44.9</v>
      </c>
      <c r="Z498">
        <v>44.9</v>
      </c>
      <c r="AA498">
        <v>0</v>
      </c>
      <c r="AB498" t="s">
        <v>324</v>
      </c>
      <c r="AF498" t="s">
        <v>2885</v>
      </c>
      <c r="AG498" t="s">
        <v>2885</v>
      </c>
      <c r="AH498" t="s">
        <v>1175</v>
      </c>
      <c r="AI498">
        <v>99999</v>
      </c>
      <c r="AJ498">
        <v>99999</v>
      </c>
      <c r="AK498">
        <v>699</v>
      </c>
      <c r="AL498" t="b">
        <v>1</v>
      </c>
      <c r="AM498" t="b">
        <v>1</v>
      </c>
      <c r="AN498" t="b">
        <v>1</v>
      </c>
      <c r="AO498">
        <v>99999</v>
      </c>
      <c r="AP498" t="s">
        <v>64</v>
      </c>
      <c r="AR498" t="b">
        <v>0</v>
      </c>
      <c r="AS498">
        <v>12</v>
      </c>
      <c r="AT498" t="s">
        <v>327</v>
      </c>
      <c r="AV498" t="s">
        <v>2911</v>
      </c>
      <c r="CRL498">
        <v>12</v>
      </c>
    </row>
    <row r="499" spans="1:48 2508:2508" x14ac:dyDescent="0.25">
      <c r="A499" t="s">
        <v>3323</v>
      </c>
      <c r="B499" t="s">
        <v>302</v>
      </c>
      <c r="C499" t="s">
        <v>62</v>
      </c>
      <c r="D499">
        <v>99999</v>
      </c>
      <c r="F499" s="109">
        <v>10000</v>
      </c>
      <c r="G499" t="b">
        <v>1</v>
      </c>
      <c r="H499" t="s">
        <v>343</v>
      </c>
      <c r="K499" t="s">
        <v>349</v>
      </c>
      <c r="L499" t="s">
        <v>303</v>
      </c>
      <c r="M499" t="s">
        <v>323</v>
      </c>
      <c r="N499" t="s">
        <v>63</v>
      </c>
      <c r="O499" s="110">
        <v>49.9</v>
      </c>
      <c r="R499" s="110">
        <v>424.88999999999993</v>
      </c>
      <c r="S499" s="110">
        <v>130</v>
      </c>
      <c r="T499" s="110">
        <v>0</v>
      </c>
      <c r="U499" s="110">
        <v>42.99</v>
      </c>
      <c r="X499">
        <v>206.99999999999994</v>
      </c>
      <c r="Y499">
        <v>44.9</v>
      </c>
      <c r="Z499">
        <v>44.9</v>
      </c>
      <c r="AA499">
        <v>0</v>
      </c>
      <c r="AB499" t="s">
        <v>324</v>
      </c>
      <c r="AF499" t="s">
        <v>2959</v>
      </c>
      <c r="AG499" t="s">
        <v>2959</v>
      </c>
      <c r="AH499" t="s">
        <v>1175</v>
      </c>
      <c r="AI499">
        <v>99999</v>
      </c>
      <c r="AJ499">
        <v>99999</v>
      </c>
      <c r="AK499">
        <v>699</v>
      </c>
      <c r="AL499" t="b">
        <v>1</v>
      </c>
      <c r="AM499" t="b">
        <v>1</v>
      </c>
      <c r="AN499" t="b">
        <v>1</v>
      </c>
      <c r="AO499">
        <v>99999</v>
      </c>
      <c r="AP499" t="s">
        <v>64</v>
      </c>
      <c r="AR499" t="b">
        <v>0</v>
      </c>
      <c r="AS499">
        <v>12</v>
      </c>
      <c r="AT499" t="s">
        <v>327</v>
      </c>
      <c r="AV499" t="s">
        <v>2985</v>
      </c>
      <c r="CRL499">
        <v>12</v>
      </c>
    </row>
    <row r="500" spans="1:48 2508:2508" x14ac:dyDescent="0.25">
      <c r="A500" t="s">
        <v>3323</v>
      </c>
      <c r="B500" t="s">
        <v>302</v>
      </c>
      <c r="C500" t="s">
        <v>62</v>
      </c>
      <c r="D500">
        <v>99999</v>
      </c>
      <c r="F500" s="109">
        <v>10000</v>
      </c>
      <c r="G500" t="b">
        <v>1</v>
      </c>
      <c r="H500" t="s">
        <v>343</v>
      </c>
      <c r="K500" t="s">
        <v>393</v>
      </c>
      <c r="L500" t="s">
        <v>303</v>
      </c>
      <c r="M500" t="s">
        <v>323</v>
      </c>
      <c r="N500" t="s">
        <v>63</v>
      </c>
      <c r="O500" s="110">
        <v>29.9</v>
      </c>
      <c r="R500" s="110">
        <v>364.89</v>
      </c>
      <c r="S500" s="110">
        <v>79.900000000000006</v>
      </c>
      <c r="T500" s="110">
        <v>0</v>
      </c>
      <c r="U500" s="110">
        <v>42.99</v>
      </c>
      <c r="X500">
        <v>172.09999999999994</v>
      </c>
      <c r="Y500">
        <v>69.900000000000006</v>
      </c>
      <c r="Z500">
        <v>69.900000000000006</v>
      </c>
      <c r="AA500">
        <v>0</v>
      </c>
      <c r="AB500" t="s">
        <v>363</v>
      </c>
      <c r="AF500" t="s">
        <v>1202</v>
      </c>
      <c r="AG500" t="s">
        <v>1202</v>
      </c>
      <c r="AH500" t="s">
        <v>1175</v>
      </c>
      <c r="AI500">
        <v>99999</v>
      </c>
      <c r="AJ500">
        <v>99999</v>
      </c>
      <c r="AK500">
        <v>699</v>
      </c>
      <c r="AL500" t="b">
        <v>1</v>
      </c>
      <c r="AM500" t="b">
        <v>1</v>
      </c>
      <c r="AN500" t="b">
        <v>1</v>
      </c>
      <c r="AO500">
        <v>99999</v>
      </c>
      <c r="AP500" t="s">
        <v>64</v>
      </c>
      <c r="AR500" t="b">
        <v>0</v>
      </c>
      <c r="AS500">
        <v>12</v>
      </c>
      <c r="AT500" t="s">
        <v>327</v>
      </c>
      <c r="AV500" t="s">
        <v>1241</v>
      </c>
      <c r="CRL500">
        <v>12</v>
      </c>
    </row>
    <row r="501" spans="1:48 2508:2508" x14ac:dyDescent="0.25">
      <c r="A501" t="s">
        <v>3323</v>
      </c>
      <c r="B501" t="s">
        <v>302</v>
      </c>
      <c r="C501" t="s">
        <v>62</v>
      </c>
      <c r="D501">
        <v>99999</v>
      </c>
      <c r="F501" s="109">
        <v>10000</v>
      </c>
      <c r="G501" t="b">
        <v>1</v>
      </c>
      <c r="H501" t="s">
        <v>343</v>
      </c>
      <c r="K501" t="s">
        <v>393</v>
      </c>
      <c r="L501" t="s">
        <v>303</v>
      </c>
      <c r="M501" t="s">
        <v>323</v>
      </c>
      <c r="N501" t="s">
        <v>63</v>
      </c>
      <c r="O501" s="110">
        <v>29.9</v>
      </c>
      <c r="R501" s="110">
        <v>384.89</v>
      </c>
      <c r="S501" s="110">
        <v>79.900000000000006</v>
      </c>
      <c r="T501" s="110">
        <v>0</v>
      </c>
      <c r="U501" s="110">
        <v>42.99</v>
      </c>
      <c r="X501">
        <v>192.09999999999994</v>
      </c>
      <c r="Y501">
        <v>69.900000000000006</v>
      </c>
      <c r="Z501">
        <v>69.900000000000006</v>
      </c>
      <c r="AA501">
        <v>0</v>
      </c>
      <c r="AB501" t="s">
        <v>363</v>
      </c>
      <c r="AF501" t="s">
        <v>1336</v>
      </c>
      <c r="AG501" t="s">
        <v>1336</v>
      </c>
      <c r="AH501" t="s">
        <v>1175</v>
      </c>
      <c r="AI501">
        <v>99999</v>
      </c>
      <c r="AJ501">
        <v>99999</v>
      </c>
      <c r="AK501">
        <v>699</v>
      </c>
      <c r="AL501" t="b">
        <v>1</v>
      </c>
      <c r="AM501" t="b">
        <v>1</v>
      </c>
      <c r="AN501" t="b">
        <v>1</v>
      </c>
      <c r="AO501">
        <v>99999</v>
      </c>
      <c r="AP501" t="s">
        <v>64</v>
      </c>
      <c r="AR501" t="b">
        <v>0</v>
      </c>
      <c r="AS501">
        <v>12</v>
      </c>
      <c r="AT501" t="s">
        <v>327</v>
      </c>
      <c r="AV501" t="s">
        <v>1375</v>
      </c>
      <c r="CRL501">
        <v>12</v>
      </c>
    </row>
    <row r="502" spans="1:48 2508:2508" x14ac:dyDescent="0.25">
      <c r="A502" t="s">
        <v>3323</v>
      </c>
      <c r="B502" t="s">
        <v>302</v>
      </c>
      <c r="C502" t="s">
        <v>62</v>
      </c>
      <c r="D502">
        <v>99999</v>
      </c>
      <c r="F502" s="109">
        <v>10000</v>
      </c>
      <c r="G502" t="b">
        <v>1</v>
      </c>
      <c r="H502" t="s">
        <v>343</v>
      </c>
      <c r="K502" t="s">
        <v>393</v>
      </c>
      <c r="L502" t="s">
        <v>303</v>
      </c>
      <c r="M502" t="s">
        <v>323</v>
      </c>
      <c r="N502" t="s">
        <v>63</v>
      </c>
      <c r="O502" s="110">
        <v>29.9</v>
      </c>
      <c r="R502" s="110">
        <v>404.89</v>
      </c>
      <c r="S502" s="110">
        <v>85</v>
      </c>
      <c r="T502" s="110">
        <v>0</v>
      </c>
      <c r="U502" s="110">
        <v>42.99</v>
      </c>
      <c r="X502">
        <v>206.99999999999994</v>
      </c>
      <c r="Y502">
        <v>69.900000000000006</v>
      </c>
      <c r="Z502">
        <v>69.900000000000006</v>
      </c>
      <c r="AA502">
        <v>0</v>
      </c>
      <c r="AB502" t="s">
        <v>363</v>
      </c>
      <c r="AF502" t="s">
        <v>1484</v>
      </c>
      <c r="AG502" t="s">
        <v>1484</v>
      </c>
      <c r="AH502" t="s">
        <v>1175</v>
      </c>
      <c r="AI502">
        <v>99999</v>
      </c>
      <c r="AJ502">
        <v>99999</v>
      </c>
      <c r="AK502">
        <v>699</v>
      </c>
      <c r="AL502" t="b">
        <v>1</v>
      </c>
      <c r="AM502" t="b">
        <v>1</v>
      </c>
      <c r="AN502" t="b">
        <v>1</v>
      </c>
      <c r="AO502">
        <v>99999</v>
      </c>
      <c r="AP502" t="s">
        <v>64</v>
      </c>
      <c r="AR502" t="b">
        <v>0</v>
      </c>
      <c r="AS502">
        <v>12</v>
      </c>
      <c r="AT502" t="s">
        <v>327</v>
      </c>
      <c r="AV502" t="s">
        <v>1523</v>
      </c>
      <c r="CRL502">
        <v>12</v>
      </c>
    </row>
    <row r="503" spans="1:48 2508:2508" x14ac:dyDescent="0.25">
      <c r="A503" t="s">
        <v>3323</v>
      </c>
      <c r="B503" t="s">
        <v>302</v>
      </c>
      <c r="C503" t="s">
        <v>62</v>
      </c>
      <c r="D503">
        <v>99999</v>
      </c>
      <c r="F503" s="109">
        <v>10000</v>
      </c>
      <c r="G503" t="b">
        <v>1</v>
      </c>
      <c r="H503" t="s">
        <v>343</v>
      </c>
      <c r="K503" t="s">
        <v>393</v>
      </c>
      <c r="L503" t="s">
        <v>303</v>
      </c>
      <c r="M503" t="s">
        <v>323</v>
      </c>
      <c r="N503" t="s">
        <v>63</v>
      </c>
      <c r="O503" s="110">
        <v>39.9</v>
      </c>
      <c r="R503" s="110">
        <v>364.89</v>
      </c>
      <c r="S503" s="110">
        <v>79.900000000000006</v>
      </c>
      <c r="T503" s="110">
        <v>0</v>
      </c>
      <c r="U503" s="110">
        <v>42.99</v>
      </c>
      <c r="X503">
        <v>172.09999999999994</v>
      </c>
      <c r="Y503">
        <v>69.900000000000006</v>
      </c>
      <c r="Z503">
        <v>69.900000000000006</v>
      </c>
      <c r="AA503">
        <v>0</v>
      </c>
      <c r="AB503" t="s">
        <v>363</v>
      </c>
      <c r="AF503" t="s">
        <v>1269</v>
      </c>
      <c r="AG503" t="s">
        <v>1269</v>
      </c>
      <c r="AH503" t="s">
        <v>1175</v>
      </c>
      <c r="AI503">
        <v>99999</v>
      </c>
      <c r="AJ503">
        <v>99999</v>
      </c>
      <c r="AK503">
        <v>699</v>
      </c>
      <c r="AL503" t="b">
        <v>1</v>
      </c>
      <c r="AM503" t="b">
        <v>1</v>
      </c>
      <c r="AN503" t="b">
        <v>1</v>
      </c>
      <c r="AO503">
        <v>99999</v>
      </c>
      <c r="AP503" t="s">
        <v>64</v>
      </c>
      <c r="AR503" t="b">
        <v>0</v>
      </c>
      <c r="AS503">
        <v>12</v>
      </c>
      <c r="AT503" t="s">
        <v>327</v>
      </c>
      <c r="AV503" t="s">
        <v>1308</v>
      </c>
      <c r="CRL503">
        <v>12</v>
      </c>
    </row>
    <row r="504" spans="1:48 2508:2508" x14ac:dyDescent="0.25">
      <c r="A504" t="s">
        <v>3323</v>
      </c>
      <c r="B504" t="s">
        <v>302</v>
      </c>
      <c r="C504" t="s">
        <v>62</v>
      </c>
      <c r="D504">
        <v>99999</v>
      </c>
      <c r="F504" s="109">
        <v>10000</v>
      </c>
      <c r="G504" t="b">
        <v>1</v>
      </c>
      <c r="H504" t="s">
        <v>343</v>
      </c>
      <c r="K504" t="s">
        <v>393</v>
      </c>
      <c r="L504" t="s">
        <v>303</v>
      </c>
      <c r="M504" t="s">
        <v>323</v>
      </c>
      <c r="N504" t="s">
        <v>63</v>
      </c>
      <c r="O504" s="110">
        <v>39.9</v>
      </c>
      <c r="R504" s="110">
        <v>384.89</v>
      </c>
      <c r="S504" s="110">
        <v>79.900000000000006</v>
      </c>
      <c r="T504" s="110">
        <v>0</v>
      </c>
      <c r="U504" s="110">
        <v>42.99</v>
      </c>
      <c r="X504">
        <v>192.09999999999994</v>
      </c>
      <c r="Y504">
        <v>69.900000000000006</v>
      </c>
      <c r="Z504">
        <v>69.900000000000006</v>
      </c>
      <c r="AA504">
        <v>0</v>
      </c>
      <c r="AB504" t="s">
        <v>363</v>
      </c>
      <c r="AF504" t="s">
        <v>1403</v>
      </c>
      <c r="AG504" t="s">
        <v>1403</v>
      </c>
      <c r="AH504" t="s">
        <v>1175</v>
      </c>
      <c r="AI504">
        <v>99999</v>
      </c>
      <c r="AJ504">
        <v>99999</v>
      </c>
      <c r="AK504">
        <v>699</v>
      </c>
      <c r="AL504" t="b">
        <v>1</v>
      </c>
      <c r="AM504" t="b">
        <v>1</v>
      </c>
      <c r="AN504" t="b">
        <v>1</v>
      </c>
      <c r="AO504">
        <v>99999</v>
      </c>
      <c r="AP504" t="s">
        <v>64</v>
      </c>
      <c r="AR504" t="b">
        <v>0</v>
      </c>
      <c r="AS504">
        <v>12</v>
      </c>
      <c r="AT504" t="s">
        <v>327</v>
      </c>
      <c r="AV504" t="s">
        <v>1442</v>
      </c>
      <c r="CRL504">
        <v>12</v>
      </c>
    </row>
    <row r="505" spans="1:48 2508:2508" x14ac:dyDescent="0.25">
      <c r="A505" t="s">
        <v>3323</v>
      </c>
      <c r="B505" t="s">
        <v>302</v>
      </c>
      <c r="C505" t="s">
        <v>62</v>
      </c>
      <c r="D505">
        <v>99999</v>
      </c>
      <c r="F505" s="109">
        <v>10000</v>
      </c>
      <c r="G505" t="b">
        <v>1</v>
      </c>
      <c r="H505" t="s">
        <v>343</v>
      </c>
      <c r="K505" t="s">
        <v>393</v>
      </c>
      <c r="L505" t="s">
        <v>303</v>
      </c>
      <c r="M505" t="s">
        <v>323</v>
      </c>
      <c r="N505" t="s">
        <v>63</v>
      </c>
      <c r="O505" s="110">
        <v>39.9</v>
      </c>
      <c r="R505" s="110">
        <v>404.89</v>
      </c>
      <c r="S505" s="110">
        <v>85</v>
      </c>
      <c r="T505" s="110">
        <v>0</v>
      </c>
      <c r="U505" s="110">
        <v>42.99</v>
      </c>
      <c r="X505">
        <v>206.99999999999994</v>
      </c>
      <c r="Y505">
        <v>69.900000000000006</v>
      </c>
      <c r="Z505">
        <v>69.900000000000006</v>
      </c>
      <c r="AA505">
        <v>0</v>
      </c>
      <c r="AB505" t="s">
        <v>363</v>
      </c>
      <c r="AF505" t="s">
        <v>1551</v>
      </c>
      <c r="AG505" t="s">
        <v>1551</v>
      </c>
      <c r="AH505" t="s">
        <v>1175</v>
      </c>
      <c r="AI505">
        <v>99999</v>
      </c>
      <c r="AJ505">
        <v>99999</v>
      </c>
      <c r="AK505">
        <v>699</v>
      </c>
      <c r="AL505" t="b">
        <v>1</v>
      </c>
      <c r="AM505" t="b">
        <v>1</v>
      </c>
      <c r="AN505" t="b">
        <v>1</v>
      </c>
      <c r="AO505">
        <v>99999</v>
      </c>
      <c r="AP505" t="s">
        <v>64</v>
      </c>
      <c r="AR505" t="b">
        <v>0</v>
      </c>
      <c r="AS505">
        <v>12</v>
      </c>
      <c r="AT505" t="s">
        <v>327</v>
      </c>
      <c r="AV505" t="s">
        <v>1590</v>
      </c>
      <c r="CRL505">
        <v>12</v>
      </c>
    </row>
    <row r="506" spans="1:48 2508:2508" x14ac:dyDescent="0.25">
      <c r="A506" t="s">
        <v>3323</v>
      </c>
      <c r="B506" t="s">
        <v>302</v>
      </c>
      <c r="C506" t="s">
        <v>62</v>
      </c>
      <c r="D506">
        <v>99999</v>
      </c>
      <c r="F506" s="109">
        <v>10000</v>
      </c>
      <c r="G506" t="b">
        <v>1</v>
      </c>
      <c r="H506" t="s">
        <v>343</v>
      </c>
      <c r="K506" t="s">
        <v>393</v>
      </c>
      <c r="L506" t="s">
        <v>303</v>
      </c>
      <c r="M506" t="s">
        <v>323</v>
      </c>
      <c r="N506" t="s">
        <v>63</v>
      </c>
      <c r="O506" s="110">
        <v>49.9</v>
      </c>
      <c r="R506" s="110">
        <v>390.68999999999994</v>
      </c>
      <c r="S506" s="110">
        <v>130</v>
      </c>
      <c r="T506" s="110">
        <v>0</v>
      </c>
      <c r="U506" s="110">
        <v>34.99</v>
      </c>
      <c r="X506">
        <v>155.79999999999995</v>
      </c>
      <c r="Y506">
        <v>69.900000000000006</v>
      </c>
      <c r="Z506">
        <v>69.900000000000006</v>
      </c>
      <c r="AA506">
        <v>0</v>
      </c>
      <c r="AB506" t="s">
        <v>363</v>
      </c>
      <c r="AF506" t="s">
        <v>2771</v>
      </c>
      <c r="AG506" t="s">
        <v>2771</v>
      </c>
      <c r="AH506" t="s">
        <v>1175</v>
      </c>
      <c r="AI506">
        <v>99999</v>
      </c>
      <c r="AJ506">
        <v>99999</v>
      </c>
      <c r="AK506">
        <v>699</v>
      </c>
      <c r="AL506" t="b">
        <v>1</v>
      </c>
      <c r="AM506" t="b">
        <v>1</v>
      </c>
      <c r="AN506" t="b">
        <v>1</v>
      </c>
      <c r="AO506">
        <v>99999</v>
      </c>
      <c r="AP506" t="s">
        <v>64</v>
      </c>
      <c r="AR506" t="b">
        <v>0</v>
      </c>
      <c r="AS506">
        <v>12</v>
      </c>
      <c r="AT506" t="s">
        <v>327</v>
      </c>
      <c r="AV506" t="s">
        <v>2810</v>
      </c>
      <c r="CRL506">
        <v>12</v>
      </c>
    </row>
    <row r="507" spans="1:48 2508:2508" x14ac:dyDescent="0.25">
      <c r="A507" t="s">
        <v>3323</v>
      </c>
      <c r="B507" t="s">
        <v>302</v>
      </c>
      <c r="C507" t="s">
        <v>62</v>
      </c>
      <c r="D507">
        <v>99999</v>
      </c>
      <c r="F507" s="109">
        <v>10000</v>
      </c>
      <c r="G507" t="b">
        <v>1</v>
      </c>
      <c r="H507" t="s">
        <v>343</v>
      </c>
      <c r="K507" t="s">
        <v>393</v>
      </c>
      <c r="L507" t="s">
        <v>303</v>
      </c>
      <c r="M507" t="s">
        <v>323</v>
      </c>
      <c r="N507" t="s">
        <v>63</v>
      </c>
      <c r="O507" s="110">
        <v>49.9</v>
      </c>
      <c r="R507" s="110">
        <v>414.98999999999995</v>
      </c>
      <c r="S507" s="110">
        <v>130</v>
      </c>
      <c r="T507" s="110">
        <v>0</v>
      </c>
      <c r="U507" s="110">
        <v>42.99</v>
      </c>
      <c r="X507">
        <v>172.09999999999994</v>
      </c>
      <c r="Y507">
        <v>69.900000000000006</v>
      </c>
      <c r="Z507">
        <v>69.900000000000006</v>
      </c>
      <c r="AA507">
        <v>0</v>
      </c>
      <c r="AB507" t="s">
        <v>363</v>
      </c>
      <c r="AF507" t="s">
        <v>2845</v>
      </c>
      <c r="AG507" t="s">
        <v>2845</v>
      </c>
      <c r="AH507" t="s">
        <v>1175</v>
      </c>
      <c r="AI507">
        <v>99999</v>
      </c>
      <c r="AJ507">
        <v>99999</v>
      </c>
      <c r="AK507">
        <v>699</v>
      </c>
      <c r="AL507" t="b">
        <v>1</v>
      </c>
      <c r="AM507" t="b">
        <v>1</v>
      </c>
      <c r="AN507" t="b">
        <v>1</v>
      </c>
      <c r="AO507">
        <v>99999</v>
      </c>
      <c r="AP507" t="s">
        <v>64</v>
      </c>
      <c r="AR507" t="b">
        <v>0</v>
      </c>
      <c r="AS507">
        <v>12</v>
      </c>
      <c r="AT507" t="s">
        <v>327</v>
      </c>
      <c r="AV507" t="s">
        <v>2884</v>
      </c>
      <c r="CRL507">
        <v>12</v>
      </c>
    </row>
    <row r="508" spans="1:48 2508:2508" x14ac:dyDescent="0.25">
      <c r="A508" t="s">
        <v>3323</v>
      </c>
      <c r="B508" t="s">
        <v>302</v>
      </c>
      <c r="C508" t="s">
        <v>62</v>
      </c>
      <c r="D508">
        <v>99999</v>
      </c>
      <c r="F508" s="109">
        <v>10000</v>
      </c>
      <c r="G508" t="b">
        <v>1</v>
      </c>
      <c r="H508" t="s">
        <v>343</v>
      </c>
      <c r="K508" t="s">
        <v>393</v>
      </c>
      <c r="L508" t="s">
        <v>303</v>
      </c>
      <c r="M508" t="s">
        <v>323</v>
      </c>
      <c r="N508" t="s">
        <v>63</v>
      </c>
      <c r="O508" s="110">
        <v>49.9</v>
      </c>
      <c r="R508" s="110">
        <v>434.98999999999995</v>
      </c>
      <c r="S508" s="110">
        <v>130</v>
      </c>
      <c r="T508" s="110">
        <v>0</v>
      </c>
      <c r="U508" s="110">
        <v>42.99</v>
      </c>
      <c r="X508">
        <v>192.09999999999994</v>
      </c>
      <c r="Y508">
        <v>69.900000000000006</v>
      </c>
      <c r="Z508">
        <v>69.900000000000006</v>
      </c>
      <c r="AA508">
        <v>0</v>
      </c>
      <c r="AB508" t="s">
        <v>363</v>
      </c>
      <c r="AF508" t="s">
        <v>2912</v>
      </c>
      <c r="AG508" t="s">
        <v>2912</v>
      </c>
      <c r="AH508" t="s">
        <v>1175</v>
      </c>
      <c r="AI508">
        <v>99999</v>
      </c>
      <c r="AJ508">
        <v>99999</v>
      </c>
      <c r="AK508">
        <v>699</v>
      </c>
      <c r="AL508" t="b">
        <v>1</v>
      </c>
      <c r="AM508" t="b">
        <v>1</v>
      </c>
      <c r="AN508" t="b">
        <v>1</v>
      </c>
      <c r="AO508">
        <v>99999</v>
      </c>
      <c r="AP508" t="s">
        <v>64</v>
      </c>
      <c r="AR508" t="b">
        <v>0</v>
      </c>
      <c r="AS508">
        <v>12</v>
      </c>
      <c r="AT508" t="s">
        <v>327</v>
      </c>
      <c r="AV508" t="s">
        <v>2951</v>
      </c>
      <c r="CRL508">
        <v>12</v>
      </c>
    </row>
    <row r="509" spans="1:48 2508:2508" x14ac:dyDescent="0.25">
      <c r="A509" t="s">
        <v>3323</v>
      </c>
      <c r="B509" t="s">
        <v>302</v>
      </c>
      <c r="C509" t="s">
        <v>62</v>
      </c>
      <c r="D509">
        <v>99999</v>
      </c>
      <c r="F509" s="109">
        <v>10000</v>
      </c>
      <c r="G509" t="b">
        <v>1</v>
      </c>
      <c r="H509" t="s">
        <v>343</v>
      </c>
      <c r="K509" t="s">
        <v>393</v>
      </c>
      <c r="L509" t="s">
        <v>303</v>
      </c>
      <c r="M509" t="s">
        <v>323</v>
      </c>
      <c r="N509" t="s">
        <v>63</v>
      </c>
      <c r="O509" s="110">
        <v>49.9</v>
      </c>
      <c r="R509" s="110">
        <v>449.89</v>
      </c>
      <c r="S509" s="110">
        <v>130</v>
      </c>
      <c r="T509" s="110">
        <v>0</v>
      </c>
      <c r="U509" s="110">
        <v>42.99</v>
      </c>
      <c r="X509">
        <v>206.99999999999994</v>
      </c>
      <c r="Y509">
        <v>69.900000000000006</v>
      </c>
      <c r="Z509">
        <v>69.900000000000006</v>
      </c>
      <c r="AA509">
        <v>0</v>
      </c>
      <c r="AB509" t="s">
        <v>363</v>
      </c>
      <c r="AF509" t="s">
        <v>2986</v>
      </c>
      <c r="AG509" t="s">
        <v>2986</v>
      </c>
      <c r="AH509" t="s">
        <v>1175</v>
      </c>
      <c r="AI509">
        <v>99999</v>
      </c>
      <c r="AJ509">
        <v>99999</v>
      </c>
      <c r="AK509">
        <v>699</v>
      </c>
      <c r="AL509" t="b">
        <v>1</v>
      </c>
      <c r="AM509" t="b">
        <v>1</v>
      </c>
      <c r="AN509" t="b">
        <v>1</v>
      </c>
      <c r="AO509">
        <v>99999</v>
      </c>
      <c r="AP509" t="s">
        <v>64</v>
      </c>
      <c r="AR509" t="b">
        <v>0</v>
      </c>
      <c r="AS509">
        <v>12</v>
      </c>
      <c r="AT509" t="s">
        <v>327</v>
      </c>
      <c r="AV509" t="s">
        <v>3025</v>
      </c>
      <c r="CRL509">
        <v>12</v>
      </c>
    </row>
    <row r="510" spans="1:48 2508:2508" x14ac:dyDescent="0.25">
      <c r="A510" t="s">
        <v>3323</v>
      </c>
      <c r="B510" t="s">
        <v>302</v>
      </c>
      <c r="C510" t="s">
        <v>62</v>
      </c>
      <c r="D510">
        <v>99999</v>
      </c>
      <c r="F510" s="109">
        <v>10000</v>
      </c>
      <c r="G510" t="b">
        <v>1</v>
      </c>
      <c r="H510" t="s">
        <v>343</v>
      </c>
      <c r="K510" t="s">
        <v>364</v>
      </c>
      <c r="L510" t="s">
        <v>303</v>
      </c>
      <c r="M510" t="s">
        <v>323</v>
      </c>
      <c r="N510" t="s">
        <v>63</v>
      </c>
      <c r="O510" s="110">
        <v>29.9</v>
      </c>
      <c r="R510" s="110">
        <v>344.89</v>
      </c>
      <c r="S510" s="110">
        <v>79.900000000000006</v>
      </c>
      <c r="T510" s="110">
        <v>0</v>
      </c>
      <c r="U510" s="110">
        <v>42.99</v>
      </c>
      <c r="X510">
        <v>172.09999999999994</v>
      </c>
      <c r="Y510">
        <v>49.9</v>
      </c>
      <c r="Z510">
        <v>49.9</v>
      </c>
      <c r="AA510">
        <v>0</v>
      </c>
      <c r="AB510" t="s">
        <v>363</v>
      </c>
      <c r="AF510" t="s">
        <v>1202</v>
      </c>
      <c r="AG510" t="s">
        <v>1202</v>
      </c>
      <c r="AH510" t="s">
        <v>1175</v>
      </c>
      <c r="AI510">
        <v>99999</v>
      </c>
      <c r="AJ510">
        <v>99999</v>
      </c>
      <c r="AK510">
        <v>699</v>
      </c>
      <c r="AL510" t="b">
        <v>1</v>
      </c>
      <c r="AM510" t="b">
        <v>1</v>
      </c>
      <c r="AN510" t="b">
        <v>1</v>
      </c>
      <c r="AO510">
        <v>99999</v>
      </c>
      <c r="AP510" t="s">
        <v>64</v>
      </c>
      <c r="AR510" t="b">
        <v>0</v>
      </c>
      <c r="AS510">
        <v>12</v>
      </c>
      <c r="AT510" t="s">
        <v>327</v>
      </c>
      <c r="AV510" t="s">
        <v>1215</v>
      </c>
      <c r="CRL510">
        <v>12</v>
      </c>
    </row>
    <row r="511" spans="1:48 2508:2508" x14ac:dyDescent="0.25">
      <c r="A511" t="s">
        <v>3323</v>
      </c>
      <c r="B511" t="s">
        <v>302</v>
      </c>
      <c r="C511" t="s">
        <v>62</v>
      </c>
      <c r="D511">
        <v>99999</v>
      </c>
      <c r="F511" s="109">
        <v>10000</v>
      </c>
      <c r="G511" t="b">
        <v>1</v>
      </c>
      <c r="H511" t="s">
        <v>343</v>
      </c>
      <c r="K511" t="s">
        <v>364</v>
      </c>
      <c r="L511" t="s">
        <v>303</v>
      </c>
      <c r="M511" t="s">
        <v>323</v>
      </c>
      <c r="N511" t="s">
        <v>63</v>
      </c>
      <c r="O511" s="110">
        <v>29.9</v>
      </c>
      <c r="R511" s="110">
        <v>364.89</v>
      </c>
      <c r="S511" s="110">
        <v>79.900000000000006</v>
      </c>
      <c r="T511" s="110">
        <v>0</v>
      </c>
      <c r="U511" s="110">
        <v>42.99</v>
      </c>
      <c r="X511">
        <v>192.09999999999994</v>
      </c>
      <c r="Y511">
        <v>49.9</v>
      </c>
      <c r="Z511">
        <v>49.9</v>
      </c>
      <c r="AA511">
        <v>0</v>
      </c>
      <c r="AB511" t="s">
        <v>363</v>
      </c>
      <c r="AF511" t="s">
        <v>1336</v>
      </c>
      <c r="AG511" t="s">
        <v>1336</v>
      </c>
      <c r="AH511" t="s">
        <v>1175</v>
      </c>
      <c r="AI511">
        <v>99999</v>
      </c>
      <c r="AJ511">
        <v>99999</v>
      </c>
      <c r="AK511">
        <v>699</v>
      </c>
      <c r="AL511" t="b">
        <v>1</v>
      </c>
      <c r="AM511" t="b">
        <v>1</v>
      </c>
      <c r="AN511" t="b">
        <v>1</v>
      </c>
      <c r="AO511">
        <v>99999</v>
      </c>
      <c r="AP511" t="s">
        <v>64</v>
      </c>
      <c r="AR511" t="b">
        <v>0</v>
      </c>
      <c r="AS511">
        <v>12</v>
      </c>
      <c r="AT511" t="s">
        <v>327</v>
      </c>
      <c r="AV511" t="s">
        <v>1349</v>
      </c>
      <c r="CRL511">
        <v>12</v>
      </c>
    </row>
    <row r="512" spans="1:48 2508:2508" x14ac:dyDescent="0.25">
      <c r="A512" t="s">
        <v>3323</v>
      </c>
      <c r="B512" t="s">
        <v>302</v>
      </c>
      <c r="C512" t="s">
        <v>62</v>
      </c>
      <c r="D512">
        <v>99999</v>
      </c>
      <c r="F512" s="109">
        <v>10000</v>
      </c>
      <c r="G512" t="b">
        <v>1</v>
      </c>
      <c r="H512" t="s">
        <v>343</v>
      </c>
      <c r="K512" t="s">
        <v>364</v>
      </c>
      <c r="L512" t="s">
        <v>303</v>
      </c>
      <c r="M512" t="s">
        <v>323</v>
      </c>
      <c r="N512" t="s">
        <v>63</v>
      </c>
      <c r="O512" s="110">
        <v>29.9</v>
      </c>
      <c r="R512" s="110">
        <v>384.88999999999993</v>
      </c>
      <c r="S512" s="110">
        <v>85</v>
      </c>
      <c r="T512" s="110">
        <v>0</v>
      </c>
      <c r="U512" s="110">
        <v>42.99</v>
      </c>
      <c r="X512">
        <v>206.99999999999994</v>
      </c>
      <c r="Y512">
        <v>49.9</v>
      </c>
      <c r="Z512">
        <v>49.9</v>
      </c>
      <c r="AA512">
        <v>0</v>
      </c>
      <c r="AB512" t="s">
        <v>363</v>
      </c>
      <c r="AF512" t="s">
        <v>1484</v>
      </c>
      <c r="AG512" t="s">
        <v>1484</v>
      </c>
      <c r="AH512" t="s">
        <v>1175</v>
      </c>
      <c r="AI512">
        <v>99999</v>
      </c>
      <c r="AJ512">
        <v>99999</v>
      </c>
      <c r="AK512">
        <v>699</v>
      </c>
      <c r="AL512" t="b">
        <v>1</v>
      </c>
      <c r="AM512" t="b">
        <v>1</v>
      </c>
      <c r="AN512" t="b">
        <v>1</v>
      </c>
      <c r="AO512">
        <v>99999</v>
      </c>
      <c r="AP512" t="s">
        <v>64</v>
      </c>
      <c r="AR512" t="b">
        <v>0</v>
      </c>
      <c r="AS512">
        <v>12</v>
      </c>
      <c r="AT512" t="s">
        <v>327</v>
      </c>
      <c r="AV512" t="s">
        <v>1497</v>
      </c>
      <c r="CRL512">
        <v>12</v>
      </c>
    </row>
    <row r="513" spans="1:48 2508:2508" x14ac:dyDescent="0.25">
      <c r="A513" t="s">
        <v>3323</v>
      </c>
      <c r="B513" t="s">
        <v>302</v>
      </c>
      <c r="C513" t="s">
        <v>62</v>
      </c>
      <c r="D513">
        <v>99999</v>
      </c>
      <c r="F513" s="109">
        <v>10000</v>
      </c>
      <c r="G513" t="b">
        <v>1</v>
      </c>
      <c r="H513" t="s">
        <v>343</v>
      </c>
      <c r="K513" t="s">
        <v>364</v>
      </c>
      <c r="L513" t="s">
        <v>303</v>
      </c>
      <c r="M513" t="s">
        <v>323</v>
      </c>
      <c r="N513" t="s">
        <v>63</v>
      </c>
      <c r="O513" s="110">
        <v>39.9</v>
      </c>
      <c r="R513" s="110">
        <v>344.89</v>
      </c>
      <c r="S513" s="110">
        <v>79.900000000000006</v>
      </c>
      <c r="T513" s="110">
        <v>0</v>
      </c>
      <c r="U513" s="110">
        <v>42.99</v>
      </c>
      <c r="X513">
        <v>172.09999999999994</v>
      </c>
      <c r="Y513">
        <v>49.9</v>
      </c>
      <c r="Z513">
        <v>49.9</v>
      </c>
      <c r="AA513">
        <v>0</v>
      </c>
      <c r="AB513" t="s">
        <v>363</v>
      </c>
      <c r="AF513" t="s">
        <v>1269</v>
      </c>
      <c r="AG513" t="s">
        <v>1269</v>
      </c>
      <c r="AH513" t="s">
        <v>1175</v>
      </c>
      <c r="AI513">
        <v>99999</v>
      </c>
      <c r="AJ513">
        <v>99999</v>
      </c>
      <c r="AK513">
        <v>699</v>
      </c>
      <c r="AL513" t="b">
        <v>1</v>
      </c>
      <c r="AM513" t="b">
        <v>1</v>
      </c>
      <c r="AN513" t="b">
        <v>1</v>
      </c>
      <c r="AO513">
        <v>99999</v>
      </c>
      <c r="AP513" t="s">
        <v>64</v>
      </c>
      <c r="AR513" t="b">
        <v>0</v>
      </c>
      <c r="AS513">
        <v>12</v>
      </c>
      <c r="AT513" t="s">
        <v>327</v>
      </c>
      <c r="AV513" t="s">
        <v>1282</v>
      </c>
      <c r="CRL513">
        <v>12</v>
      </c>
    </row>
    <row r="514" spans="1:48 2508:2508" x14ac:dyDescent="0.25">
      <c r="A514" t="s">
        <v>3323</v>
      </c>
      <c r="B514" t="s">
        <v>302</v>
      </c>
      <c r="C514" t="s">
        <v>62</v>
      </c>
      <c r="D514">
        <v>99999</v>
      </c>
      <c r="F514" s="109">
        <v>10000</v>
      </c>
      <c r="G514" t="b">
        <v>1</v>
      </c>
      <c r="H514" t="s">
        <v>343</v>
      </c>
      <c r="K514" t="s">
        <v>364</v>
      </c>
      <c r="L514" t="s">
        <v>303</v>
      </c>
      <c r="M514" t="s">
        <v>323</v>
      </c>
      <c r="N514" t="s">
        <v>63</v>
      </c>
      <c r="O514" s="110">
        <v>39.9</v>
      </c>
      <c r="R514" s="110">
        <v>364.89</v>
      </c>
      <c r="S514" s="110">
        <v>79.900000000000006</v>
      </c>
      <c r="T514" s="110">
        <v>0</v>
      </c>
      <c r="U514" s="110">
        <v>42.99</v>
      </c>
      <c r="X514">
        <v>192.09999999999994</v>
      </c>
      <c r="Y514">
        <v>49.9</v>
      </c>
      <c r="Z514">
        <v>49.9</v>
      </c>
      <c r="AA514">
        <v>0</v>
      </c>
      <c r="AB514" t="s">
        <v>363</v>
      </c>
      <c r="AF514" t="s">
        <v>1403</v>
      </c>
      <c r="AG514" t="s">
        <v>1403</v>
      </c>
      <c r="AH514" t="s">
        <v>1175</v>
      </c>
      <c r="AI514">
        <v>99999</v>
      </c>
      <c r="AJ514">
        <v>99999</v>
      </c>
      <c r="AK514">
        <v>699</v>
      </c>
      <c r="AL514" t="b">
        <v>1</v>
      </c>
      <c r="AM514" t="b">
        <v>1</v>
      </c>
      <c r="AN514" t="b">
        <v>1</v>
      </c>
      <c r="AO514">
        <v>99999</v>
      </c>
      <c r="AP514" t="s">
        <v>64</v>
      </c>
      <c r="AR514" t="b">
        <v>0</v>
      </c>
      <c r="AS514">
        <v>12</v>
      </c>
      <c r="AT514" t="s">
        <v>327</v>
      </c>
      <c r="AV514" t="s">
        <v>1416</v>
      </c>
      <c r="CRL514">
        <v>12</v>
      </c>
    </row>
    <row r="515" spans="1:48 2508:2508" x14ac:dyDescent="0.25">
      <c r="A515" t="s">
        <v>3323</v>
      </c>
      <c r="B515" t="s">
        <v>302</v>
      </c>
      <c r="C515" t="s">
        <v>62</v>
      </c>
      <c r="D515">
        <v>99999</v>
      </c>
      <c r="F515" s="109">
        <v>10000</v>
      </c>
      <c r="G515" t="b">
        <v>1</v>
      </c>
      <c r="H515" t="s">
        <v>343</v>
      </c>
      <c r="K515" t="s">
        <v>364</v>
      </c>
      <c r="L515" t="s">
        <v>303</v>
      </c>
      <c r="M515" t="s">
        <v>323</v>
      </c>
      <c r="N515" t="s">
        <v>63</v>
      </c>
      <c r="O515" s="110">
        <v>39.9</v>
      </c>
      <c r="R515" s="110">
        <v>384.88999999999993</v>
      </c>
      <c r="S515" s="110">
        <v>85</v>
      </c>
      <c r="T515" s="110">
        <v>0</v>
      </c>
      <c r="U515" s="110">
        <v>42.99</v>
      </c>
      <c r="X515">
        <v>206.99999999999994</v>
      </c>
      <c r="Y515">
        <v>49.9</v>
      </c>
      <c r="Z515">
        <v>49.9</v>
      </c>
      <c r="AA515">
        <v>0</v>
      </c>
      <c r="AB515" t="s">
        <v>363</v>
      </c>
      <c r="AF515" t="s">
        <v>1551</v>
      </c>
      <c r="AG515" t="s">
        <v>1551</v>
      </c>
      <c r="AH515" t="s">
        <v>1175</v>
      </c>
      <c r="AI515">
        <v>99999</v>
      </c>
      <c r="AJ515">
        <v>99999</v>
      </c>
      <c r="AK515">
        <v>699</v>
      </c>
      <c r="AL515" t="b">
        <v>1</v>
      </c>
      <c r="AM515" t="b">
        <v>1</v>
      </c>
      <c r="AN515" t="b">
        <v>1</v>
      </c>
      <c r="AO515">
        <v>99999</v>
      </c>
      <c r="AP515" t="s">
        <v>64</v>
      </c>
      <c r="AR515" t="b">
        <v>0</v>
      </c>
      <c r="AS515">
        <v>12</v>
      </c>
      <c r="AT515" t="s">
        <v>327</v>
      </c>
      <c r="AV515" t="s">
        <v>1564</v>
      </c>
      <c r="CRL515">
        <v>12</v>
      </c>
    </row>
    <row r="516" spans="1:48 2508:2508" x14ac:dyDescent="0.25">
      <c r="A516" t="s">
        <v>3323</v>
      </c>
      <c r="B516" t="s">
        <v>302</v>
      </c>
      <c r="C516" t="s">
        <v>62</v>
      </c>
      <c r="D516">
        <v>99999</v>
      </c>
      <c r="F516" s="109">
        <v>10000</v>
      </c>
      <c r="G516" t="b">
        <v>1</v>
      </c>
      <c r="H516" t="s">
        <v>343</v>
      </c>
      <c r="K516" t="s">
        <v>364</v>
      </c>
      <c r="L516" t="s">
        <v>303</v>
      </c>
      <c r="M516" t="s">
        <v>323</v>
      </c>
      <c r="N516" t="s">
        <v>63</v>
      </c>
      <c r="O516" s="110">
        <v>49.9</v>
      </c>
      <c r="R516" s="110">
        <v>370.68999999999994</v>
      </c>
      <c r="S516" s="110">
        <v>130</v>
      </c>
      <c r="T516" s="110">
        <v>0</v>
      </c>
      <c r="U516" s="110">
        <v>34.99</v>
      </c>
      <c r="X516">
        <v>155.79999999999995</v>
      </c>
      <c r="Y516">
        <v>49.9</v>
      </c>
      <c r="Z516">
        <v>49.9</v>
      </c>
      <c r="AA516">
        <v>0</v>
      </c>
      <c r="AB516" t="s">
        <v>363</v>
      </c>
      <c r="AF516" t="s">
        <v>2771</v>
      </c>
      <c r="AG516" t="s">
        <v>2771</v>
      </c>
      <c r="AH516" t="s">
        <v>1175</v>
      </c>
      <c r="AI516">
        <v>99999</v>
      </c>
      <c r="AJ516">
        <v>99999</v>
      </c>
      <c r="AK516">
        <v>699</v>
      </c>
      <c r="AL516" t="b">
        <v>1</v>
      </c>
      <c r="AM516" t="b">
        <v>1</v>
      </c>
      <c r="AN516" t="b">
        <v>1</v>
      </c>
      <c r="AO516">
        <v>99999</v>
      </c>
      <c r="AP516" t="s">
        <v>64</v>
      </c>
      <c r="AR516" t="b">
        <v>0</v>
      </c>
      <c r="AS516">
        <v>12</v>
      </c>
      <c r="AT516" t="s">
        <v>327</v>
      </c>
      <c r="AV516" t="s">
        <v>2784</v>
      </c>
      <c r="CRL516">
        <v>12</v>
      </c>
    </row>
    <row r="517" spans="1:48 2508:2508" x14ac:dyDescent="0.25">
      <c r="A517" t="s">
        <v>3323</v>
      </c>
      <c r="B517" t="s">
        <v>302</v>
      </c>
      <c r="C517" t="s">
        <v>62</v>
      </c>
      <c r="D517">
        <v>99999</v>
      </c>
      <c r="F517" s="109">
        <v>10000</v>
      </c>
      <c r="G517" t="b">
        <v>1</v>
      </c>
      <c r="H517" t="s">
        <v>343</v>
      </c>
      <c r="K517" t="s">
        <v>364</v>
      </c>
      <c r="L517" t="s">
        <v>303</v>
      </c>
      <c r="M517" t="s">
        <v>323</v>
      </c>
      <c r="N517" t="s">
        <v>63</v>
      </c>
      <c r="O517" s="110">
        <v>49.9</v>
      </c>
      <c r="R517" s="110">
        <v>394.9899999999999</v>
      </c>
      <c r="S517" s="110">
        <v>130</v>
      </c>
      <c r="T517" s="110">
        <v>0</v>
      </c>
      <c r="U517" s="110">
        <v>42.99</v>
      </c>
      <c r="X517">
        <v>172.09999999999994</v>
      </c>
      <c r="Y517">
        <v>49.9</v>
      </c>
      <c r="Z517">
        <v>49.9</v>
      </c>
      <c r="AA517">
        <v>0</v>
      </c>
      <c r="AB517" t="s">
        <v>363</v>
      </c>
      <c r="AF517" t="s">
        <v>2845</v>
      </c>
      <c r="AG517" t="s">
        <v>2845</v>
      </c>
      <c r="AH517" t="s">
        <v>1175</v>
      </c>
      <c r="AI517">
        <v>99999</v>
      </c>
      <c r="AJ517">
        <v>99999</v>
      </c>
      <c r="AK517">
        <v>699</v>
      </c>
      <c r="AL517" t="b">
        <v>1</v>
      </c>
      <c r="AM517" t="b">
        <v>1</v>
      </c>
      <c r="AN517" t="b">
        <v>1</v>
      </c>
      <c r="AO517">
        <v>99999</v>
      </c>
      <c r="AP517" t="s">
        <v>64</v>
      </c>
      <c r="AR517" t="b">
        <v>0</v>
      </c>
      <c r="AS517">
        <v>12</v>
      </c>
      <c r="AT517" t="s">
        <v>327</v>
      </c>
      <c r="AV517" t="s">
        <v>2858</v>
      </c>
      <c r="CRL517">
        <v>12</v>
      </c>
    </row>
    <row r="518" spans="1:48 2508:2508" x14ac:dyDescent="0.25">
      <c r="A518" t="s">
        <v>3323</v>
      </c>
      <c r="B518" t="s">
        <v>302</v>
      </c>
      <c r="C518" t="s">
        <v>62</v>
      </c>
      <c r="D518">
        <v>99999</v>
      </c>
      <c r="F518" s="109">
        <v>10000</v>
      </c>
      <c r="G518" t="b">
        <v>1</v>
      </c>
      <c r="H518" t="s">
        <v>343</v>
      </c>
      <c r="K518" t="s">
        <v>364</v>
      </c>
      <c r="L518" t="s">
        <v>303</v>
      </c>
      <c r="M518" t="s">
        <v>323</v>
      </c>
      <c r="N518" t="s">
        <v>63</v>
      </c>
      <c r="O518" s="110">
        <v>49.9</v>
      </c>
      <c r="R518" s="110">
        <v>414.9899999999999</v>
      </c>
      <c r="S518" s="110">
        <v>130</v>
      </c>
      <c r="T518" s="110">
        <v>0</v>
      </c>
      <c r="U518" s="110">
        <v>42.99</v>
      </c>
      <c r="X518">
        <v>192.09999999999994</v>
      </c>
      <c r="Y518">
        <v>49.9</v>
      </c>
      <c r="Z518">
        <v>49.9</v>
      </c>
      <c r="AA518">
        <v>0</v>
      </c>
      <c r="AB518" t="s">
        <v>363</v>
      </c>
      <c r="AF518" t="s">
        <v>2912</v>
      </c>
      <c r="AG518" t="s">
        <v>2912</v>
      </c>
      <c r="AH518" t="s">
        <v>1175</v>
      </c>
      <c r="AI518">
        <v>99999</v>
      </c>
      <c r="AJ518">
        <v>99999</v>
      </c>
      <c r="AK518">
        <v>699</v>
      </c>
      <c r="AL518" t="b">
        <v>1</v>
      </c>
      <c r="AM518" t="b">
        <v>1</v>
      </c>
      <c r="AN518" t="b">
        <v>1</v>
      </c>
      <c r="AO518">
        <v>99999</v>
      </c>
      <c r="AP518" t="s">
        <v>64</v>
      </c>
      <c r="AR518" t="b">
        <v>0</v>
      </c>
      <c r="AS518">
        <v>12</v>
      </c>
      <c r="AT518" t="s">
        <v>327</v>
      </c>
      <c r="AV518" t="s">
        <v>2925</v>
      </c>
      <c r="CRL518">
        <v>12</v>
      </c>
    </row>
    <row r="519" spans="1:48 2508:2508" x14ac:dyDescent="0.25">
      <c r="A519" t="s">
        <v>3323</v>
      </c>
      <c r="B519" t="s">
        <v>302</v>
      </c>
      <c r="C519" t="s">
        <v>62</v>
      </c>
      <c r="D519">
        <v>99999</v>
      </c>
      <c r="F519" s="109">
        <v>10000</v>
      </c>
      <c r="G519" t="b">
        <v>1</v>
      </c>
      <c r="H519" t="s">
        <v>343</v>
      </c>
      <c r="K519" t="s">
        <v>364</v>
      </c>
      <c r="L519" t="s">
        <v>303</v>
      </c>
      <c r="M519" t="s">
        <v>323</v>
      </c>
      <c r="N519" t="s">
        <v>63</v>
      </c>
      <c r="O519" s="110">
        <v>49.9</v>
      </c>
      <c r="R519" s="110">
        <v>429.88999999999993</v>
      </c>
      <c r="S519" s="110">
        <v>130</v>
      </c>
      <c r="T519" s="110">
        <v>0</v>
      </c>
      <c r="U519" s="110">
        <v>42.99</v>
      </c>
      <c r="X519">
        <v>206.99999999999994</v>
      </c>
      <c r="Y519">
        <v>49.9</v>
      </c>
      <c r="Z519">
        <v>49.9</v>
      </c>
      <c r="AA519">
        <v>0</v>
      </c>
      <c r="AB519" t="s">
        <v>363</v>
      </c>
      <c r="AF519" t="s">
        <v>2986</v>
      </c>
      <c r="AG519" t="s">
        <v>2986</v>
      </c>
      <c r="AH519" t="s">
        <v>1175</v>
      </c>
      <c r="AI519">
        <v>99999</v>
      </c>
      <c r="AJ519">
        <v>99999</v>
      </c>
      <c r="AK519">
        <v>699</v>
      </c>
      <c r="AL519" t="b">
        <v>1</v>
      </c>
      <c r="AM519" t="b">
        <v>1</v>
      </c>
      <c r="AN519" t="b">
        <v>1</v>
      </c>
      <c r="AO519">
        <v>99999</v>
      </c>
      <c r="AP519" t="s">
        <v>64</v>
      </c>
      <c r="AR519" t="b">
        <v>0</v>
      </c>
      <c r="AS519">
        <v>12</v>
      </c>
      <c r="AT519" t="s">
        <v>327</v>
      </c>
      <c r="AV519" t="s">
        <v>2999</v>
      </c>
      <c r="CRL519">
        <v>12</v>
      </c>
    </row>
    <row r="520" spans="1:48 2508:2508" x14ac:dyDescent="0.25">
      <c r="A520" t="s">
        <v>3323</v>
      </c>
      <c r="B520" t="s">
        <v>302</v>
      </c>
      <c r="C520" t="s">
        <v>62</v>
      </c>
      <c r="D520">
        <v>99999</v>
      </c>
      <c r="F520" s="109">
        <v>10000</v>
      </c>
      <c r="G520" t="b">
        <v>1</v>
      </c>
      <c r="H520" t="s">
        <v>343</v>
      </c>
      <c r="K520" t="s">
        <v>379</v>
      </c>
      <c r="L520" t="s">
        <v>303</v>
      </c>
      <c r="M520" t="s">
        <v>323</v>
      </c>
      <c r="N520" t="s">
        <v>63</v>
      </c>
      <c r="O520" s="110">
        <v>29.9</v>
      </c>
      <c r="R520" s="110">
        <v>354.89</v>
      </c>
      <c r="S520" s="110">
        <v>79.900000000000006</v>
      </c>
      <c r="T520" s="110">
        <v>0</v>
      </c>
      <c r="U520" s="110">
        <v>42.99</v>
      </c>
      <c r="X520">
        <v>172.09999999999994</v>
      </c>
      <c r="Y520">
        <v>59.9</v>
      </c>
      <c r="Z520">
        <v>59.9</v>
      </c>
      <c r="AA520">
        <v>0</v>
      </c>
      <c r="AB520" t="s">
        <v>363</v>
      </c>
      <c r="AF520" t="s">
        <v>1202</v>
      </c>
      <c r="AG520" t="s">
        <v>1202</v>
      </c>
      <c r="AH520" t="s">
        <v>1175</v>
      </c>
      <c r="AI520">
        <v>99999</v>
      </c>
      <c r="AJ520">
        <v>99999</v>
      </c>
      <c r="AK520">
        <v>699</v>
      </c>
      <c r="AL520" t="b">
        <v>1</v>
      </c>
      <c r="AM520" t="b">
        <v>1</v>
      </c>
      <c r="AN520" t="b">
        <v>1</v>
      </c>
      <c r="AO520">
        <v>99999</v>
      </c>
      <c r="AP520" t="s">
        <v>64</v>
      </c>
      <c r="AR520" t="b">
        <v>0</v>
      </c>
      <c r="AS520">
        <v>12</v>
      </c>
      <c r="AT520" t="s">
        <v>327</v>
      </c>
      <c r="AV520" t="s">
        <v>1228</v>
      </c>
      <c r="CRL520">
        <v>12</v>
      </c>
    </row>
    <row r="521" spans="1:48 2508:2508" x14ac:dyDescent="0.25">
      <c r="A521" t="s">
        <v>3323</v>
      </c>
      <c r="B521" t="s">
        <v>302</v>
      </c>
      <c r="C521" t="s">
        <v>62</v>
      </c>
      <c r="D521">
        <v>99999</v>
      </c>
      <c r="F521" s="109">
        <v>10000</v>
      </c>
      <c r="G521" t="b">
        <v>1</v>
      </c>
      <c r="H521" t="s">
        <v>343</v>
      </c>
      <c r="K521" t="s">
        <v>379</v>
      </c>
      <c r="L521" t="s">
        <v>303</v>
      </c>
      <c r="M521" t="s">
        <v>323</v>
      </c>
      <c r="N521" t="s">
        <v>63</v>
      </c>
      <c r="O521" s="110">
        <v>29.9</v>
      </c>
      <c r="R521" s="110">
        <v>374.89</v>
      </c>
      <c r="S521" s="110">
        <v>79.900000000000006</v>
      </c>
      <c r="T521" s="110">
        <v>0</v>
      </c>
      <c r="U521" s="110">
        <v>42.99</v>
      </c>
      <c r="X521">
        <v>192.09999999999994</v>
      </c>
      <c r="Y521">
        <v>59.9</v>
      </c>
      <c r="Z521">
        <v>59.9</v>
      </c>
      <c r="AA521">
        <v>0</v>
      </c>
      <c r="AB521" t="s">
        <v>363</v>
      </c>
      <c r="AF521" t="s">
        <v>1336</v>
      </c>
      <c r="AG521" t="s">
        <v>1336</v>
      </c>
      <c r="AH521" t="s">
        <v>1175</v>
      </c>
      <c r="AI521">
        <v>99999</v>
      </c>
      <c r="AJ521">
        <v>99999</v>
      </c>
      <c r="AK521">
        <v>699</v>
      </c>
      <c r="AL521" t="b">
        <v>1</v>
      </c>
      <c r="AM521" t="b">
        <v>1</v>
      </c>
      <c r="AN521" t="b">
        <v>1</v>
      </c>
      <c r="AO521">
        <v>99999</v>
      </c>
      <c r="AP521" t="s">
        <v>64</v>
      </c>
      <c r="AR521" t="b">
        <v>0</v>
      </c>
      <c r="AS521">
        <v>12</v>
      </c>
      <c r="AT521" t="s">
        <v>327</v>
      </c>
      <c r="AV521" t="s">
        <v>1362</v>
      </c>
      <c r="CRL521">
        <v>12</v>
      </c>
    </row>
    <row r="522" spans="1:48 2508:2508" x14ac:dyDescent="0.25">
      <c r="A522" t="s">
        <v>3323</v>
      </c>
      <c r="B522" t="s">
        <v>302</v>
      </c>
      <c r="C522" t="s">
        <v>62</v>
      </c>
      <c r="D522">
        <v>99999</v>
      </c>
      <c r="F522" s="109">
        <v>10000</v>
      </c>
      <c r="G522" t="b">
        <v>1</v>
      </c>
      <c r="H522" t="s">
        <v>343</v>
      </c>
      <c r="K522" t="s">
        <v>379</v>
      </c>
      <c r="L522" t="s">
        <v>303</v>
      </c>
      <c r="M522" t="s">
        <v>323</v>
      </c>
      <c r="N522" t="s">
        <v>63</v>
      </c>
      <c r="O522" s="110">
        <v>29.9</v>
      </c>
      <c r="R522" s="110">
        <v>394.88999999999993</v>
      </c>
      <c r="S522" s="110">
        <v>85</v>
      </c>
      <c r="T522" s="110">
        <v>0</v>
      </c>
      <c r="U522" s="110">
        <v>42.99</v>
      </c>
      <c r="X522">
        <v>206.99999999999994</v>
      </c>
      <c r="Y522">
        <v>59.9</v>
      </c>
      <c r="Z522">
        <v>59.9</v>
      </c>
      <c r="AA522">
        <v>0</v>
      </c>
      <c r="AB522" t="s">
        <v>363</v>
      </c>
      <c r="AF522" t="s">
        <v>1484</v>
      </c>
      <c r="AG522" t="s">
        <v>1484</v>
      </c>
      <c r="AH522" t="s">
        <v>1175</v>
      </c>
      <c r="AI522">
        <v>99999</v>
      </c>
      <c r="AJ522">
        <v>99999</v>
      </c>
      <c r="AK522">
        <v>699</v>
      </c>
      <c r="AL522" t="b">
        <v>1</v>
      </c>
      <c r="AM522" t="b">
        <v>1</v>
      </c>
      <c r="AN522" t="b">
        <v>1</v>
      </c>
      <c r="AO522">
        <v>99999</v>
      </c>
      <c r="AP522" t="s">
        <v>64</v>
      </c>
      <c r="AR522" t="b">
        <v>0</v>
      </c>
      <c r="AS522">
        <v>12</v>
      </c>
      <c r="AT522" t="s">
        <v>327</v>
      </c>
      <c r="AV522" t="s">
        <v>1510</v>
      </c>
      <c r="CRL522">
        <v>12</v>
      </c>
    </row>
    <row r="523" spans="1:48 2508:2508" x14ac:dyDescent="0.25">
      <c r="A523" t="s">
        <v>3323</v>
      </c>
      <c r="B523" t="s">
        <v>302</v>
      </c>
      <c r="C523" t="s">
        <v>62</v>
      </c>
      <c r="D523">
        <v>99999</v>
      </c>
      <c r="F523" s="109">
        <v>10000</v>
      </c>
      <c r="G523" t="b">
        <v>1</v>
      </c>
      <c r="H523" t="s">
        <v>343</v>
      </c>
      <c r="K523" t="s">
        <v>379</v>
      </c>
      <c r="L523" t="s">
        <v>303</v>
      </c>
      <c r="M523" t="s">
        <v>323</v>
      </c>
      <c r="N523" t="s">
        <v>63</v>
      </c>
      <c r="O523" s="110">
        <v>39.9</v>
      </c>
      <c r="R523" s="110">
        <v>354.89</v>
      </c>
      <c r="S523" s="110">
        <v>79.900000000000006</v>
      </c>
      <c r="T523" s="110">
        <v>0</v>
      </c>
      <c r="U523" s="110">
        <v>42.99</v>
      </c>
      <c r="X523">
        <v>172.09999999999994</v>
      </c>
      <c r="Y523">
        <v>59.9</v>
      </c>
      <c r="Z523">
        <v>59.9</v>
      </c>
      <c r="AA523">
        <v>0</v>
      </c>
      <c r="AB523" t="s">
        <v>363</v>
      </c>
      <c r="AF523" t="s">
        <v>1269</v>
      </c>
      <c r="AG523" t="s">
        <v>1269</v>
      </c>
      <c r="AH523" t="s">
        <v>1175</v>
      </c>
      <c r="AI523">
        <v>99999</v>
      </c>
      <c r="AJ523">
        <v>99999</v>
      </c>
      <c r="AK523">
        <v>699</v>
      </c>
      <c r="AL523" t="b">
        <v>1</v>
      </c>
      <c r="AM523" t="b">
        <v>1</v>
      </c>
      <c r="AN523" t="b">
        <v>1</v>
      </c>
      <c r="AO523">
        <v>99999</v>
      </c>
      <c r="AP523" t="s">
        <v>64</v>
      </c>
      <c r="AR523" t="b">
        <v>0</v>
      </c>
      <c r="AS523">
        <v>12</v>
      </c>
      <c r="AT523" t="s">
        <v>327</v>
      </c>
      <c r="AV523" t="s">
        <v>1295</v>
      </c>
      <c r="CRL523">
        <v>12</v>
      </c>
    </row>
    <row r="524" spans="1:48 2508:2508" x14ac:dyDescent="0.25">
      <c r="A524" t="s">
        <v>3323</v>
      </c>
      <c r="B524" t="s">
        <v>302</v>
      </c>
      <c r="C524" t="s">
        <v>62</v>
      </c>
      <c r="D524">
        <v>99999</v>
      </c>
      <c r="F524" s="109">
        <v>10000</v>
      </c>
      <c r="G524" t="b">
        <v>1</v>
      </c>
      <c r="H524" t="s">
        <v>343</v>
      </c>
      <c r="K524" t="s">
        <v>379</v>
      </c>
      <c r="L524" t="s">
        <v>303</v>
      </c>
      <c r="M524" t="s">
        <v>323</v>
      </c>
      <c r="N524" t="s">
        <v>63</v>
      </c>
      <c r="O524" s="110">
        <v>39.9</v>
      </c>
      <c r="R524" s="110">
        <v>374.89</v>
      </c>
      <c r="S524" s="110">
        <v>79.900000000000006</v>
      </c>
      <c r="T524" s="110">
        <v>0</v>
      </c>
      <c r="U524" s="110">
        <v>42.99</v>
      </c>
      <c r="X524">
        <v>192.09999999999994</v>
      </c>
      <c r="Y524">
        <v>59.9</v>
      </c>
      <c r="Z524">
        <v>59.9</v>
      </c>
      <c r="AA524">
        <v>0</v>
      </c>
      <c r="AB524" t="s">
        <v>363</v>
      </c>
      <c r="AF524" t="s">
        <v>1403</v>
      </c>
      <c r="AG524" t="s">
        <v>1403</v>
      </c>
      <c r="AH524" t="s">
        <v>1175</v>
      </c>
      <c r="AI524">
        <v>99999</v>
      </c>
      <c r="AJ524">
        <v>99999</v>
      </c>
      <c r="AK524">
        <v>699</v>
      </c>
      <c r="AL524" t="b">
        <v>1</v>
      </c>
      <c r="AM524" t="b">
        <v>1</v>
      </c>
      <c r="AN524" t="b">
        <v>1</v>
      </c>
      <c r="AO524">
        <v>99999</v>
      </c>
      <c r="AP524" t="s">
        <v>64</v>
      </c>
      <c r="AR524" t="b">
        <v>0</v>
      </c>
      <c r="AS524">
        <v>12</v>
      </c>
      <c r="AT524" t="s">
        <v>327</v>
      </c>
      <c r="AV524" t="s">
        <v>1429</v>
      </c>
      <c r="CRL524">
        <v>12</v>
      </c>
    </row>
    <row r="525" spans="1:48 2508:2508" x14ac:dyDescent="0.25">
      <c r="A525" t="s">
        <v>3323</v>
      </c>
      <c r="B525" t="s">
        <v>302</v>
      </c>
      <c r="C525" t="s">
        <v>62</v>
      </c>
      <c r="D525">
        <v>99999</v>
      </c>
      <c r="F525" s="109">
        <v>10000</v>
      </c>
      <c r="G525" t="b">
        <v>1</v>
      </c>
      <c r="H525" t="s">
        <v>343</v>
      </c>
      <c r="K525" t="s">
        <v>379</v>
      </c>
      <c r="L525" t="s">
        <v>303</v>
      </c>
      <c r="M525" t="s">
        <v>323</v>
      </c>
      <c r="N525" t="s">
        <v>63</v>
      </c>
      <c r="O525" s="110">
        <v>39.9</v>
      </c>
      <c r="R525" s="110">
        <v>394.88999999999993</v>
      </c>
      <c r="S525" s="110">
        <v>85</v>
      </c>
      <c r="T525" s="110">
        <v>0</v>
      </c>
      <c r="U525" s="110">
        <v>42.99</v>
      </c>
      <c r="X525">
        <v>206.99999999999994</v>
      </c>
      <c r="Y525">
        <v>59.9</v>
      </c>
      <c r="Z525">
        <v>59.9</v>
      </c>
      <c r="AA525">
        <v>0</v>
      </c>
      <c r="AB525" t="s">
        <v>363</v>
      </c>
      <c r="AF525" t="s">
        <v>1551</v>
      </c>
      <c r="AG525" t="s">
        <v>1551</v>
      </c>
      <c r="AH525" t="s">
        <v>1175</v>
      </c>
      <c r="AI525">
        <v>99999</v>
      </c>
      <c r="AJ525">
        <v>99999</v>
      </c>
      <c r="AK525">
        <v>699</v>
      </c>
      <c r="AL525" t="b">
        <v>1</v>
      </c>
      <c r="AM525" t="b">
        <v>1</v>
      </c>
      <c r="AN525" t="b">
        <v>1</v>
      </c>
      <c r="AO525">
        <v>99999</v>
      </c>
      <c r="AP525" t="s">
        <v>64</v>
      </c>
      <c r="AR525" t="b">
        <v>0</v>
      </c>
      <c r="AS525">
        <v>12</v>
      </c>
      <c r="AT525" t="s">
        <v>327</v>
      </c>
      <c r="AV525" t="s">
        <v>1577</v>
      </c>
      <c r="CRL525">
        <v>12</v>
      </c>
    </row>
    <row r="526" spans="1:48 2508:2508" x14ac:dyDescent="0.25">
      <c r="A526" t="s">
        <v>3323</v>
      </c>
      <c r="B526" t="s">
        <v>302</v>
      </c>
      <c r="C526" t="s">
        <v>62</v>
      </c>
      <c r="D526">
        <v>99999</v>
      </c>
      <c r="F526" s="109">
        <v>10000</v>
      </c>
      <c r="G526" t="b">
        <v>1</v>
      </c>
      <c r="H526" t="s">
        <v>343</v>
      </c>
      <c r="K526" t="s">
        <v>379</v>
      </c>
      <c r="L526" t="s">
        <v>303</v>
      </c>
      <c r="M526" t="s">
        <v>323</v>
      </c>
      <c r="N526" t="s">
        <v>63</v>
      </c>
      <c r="O526" s="110">
        <v>49.9</v>
      </c>
      <c r="R526" s="110">
        <v>380.68999999999994</v>
      </c>
      <c r="S526" s="110">
        <v>130</v>
      </c>
      <c r="T526" s="110">
        <v>0</v>
      </c>
      <c r="U526" s="110">
        <v>34.99</v>
      </c>
      <c r="X526">
        <v>155.79999999999995</v>
      </c>
      <c r="Y526">
        <v>59.9</v>
      </c>
      <c r="Z526">
        <v>59.9</v>
      </c>
      <c r="AA526">
        <v>0</v>
      </c>
      <c r="AB526" t="s">
        <v>363</v>
      </c>
      <c r="AF526" t="s">
        <v>2771</v>
      </c>
      <c r="AG526" t="s">
        <v>2771</v>
      </c>
      <c r="AH526" t="s">
        <v>1175</v>
      </c>
      <c r="AI526">
        <v>99999</v>
      </c>
      <c r="AJ526">
        <v>99999</v>
      </c>
      <c r="AK526">
        <v>699</v>
      </c>
      <c r="AL526" t="b">
        <v>1</v>
      </c>
      <c r="AM526" t="b">
        <v>1</v>
      </c>
      <c r="AN526" t="b">
        <v>1</v>
      </c>
      <c r="AO526">
        <v>99999</v>
      </c>
      <c r="AP526" t="s">
        <v>64</v>
      </c>
      <c r="AR526" t="b">
        <v>0</v>
      </c>
      <c r="AS526">
        <v>12</v>
      </c>
      <c r="AT526" t="s">
        <v>327</v>
      </c>
      <c r="AV526" t="s">
        <v>2797</v>
      </c>
      <c r="CRL526">
        <v>12</v>
      </c>
    </row>
    <row r="527" spans="1:48 2508:2508" x14ac:dyDescent="0.25">
      <c r="A527" t="s">
        <v>3323</v>
      </c>
      <c r="B527" t="s">
        <v>302</v>
      </c>
      <c r="C527" t="s">
        <v>62</v>
      </c>
      <c r="D527">
        <v>99999</v>
      </c>
      <c r="F527" s="109">
        <v>10000</v>
      </c>
      <c r="G527" t="b">
        <v>1</v>
      </c>
      <c r="H527" t="s">
        <v>343</v>
      </c>
      <c r="K527" t="s">
        <v>379</v>
      </c>
      <c r="L527" t="s">
        <v>303</v>
      </c>
      <c r="M527" t="s">
        <v>323</v>
      </c>
      <c r="N527" t="s">
        <v>63</v>
      </c>
      <c r="O527" s="110">
        <v>49.9</v>
      </c>
      <c r="R527" s="110">
        <v>404.9899999999999</v>
      </c>
      <c r="S527" s="110">
        <v>130</v>
      </c>
      <c r="T527" s="110">
        <v>0</v>
      </c>
      <c r="U527" s="110">
        <v>42.99</v>
      </c>
      <c r="X527">
        <v>172.09999999999994</v>
      </c>
      <c r="Y527">
        <v>59.9</v>
      </c>
      <c r="Z527">
        <v>59.9</v>
      </c>
      <c r="AA527">
        <v>0</v>
      </c>
      <c r="AB527" t="s">
        <v>363</v>
      </c>
      <c r="AF527" t="s">
        <v>2845</v>
      </c>
      <c r="AG527" t="s">
        <v>2845</v>
      </c>
      <c r="AH527" t="s">
        <v>1175</v>
      </c>
      <c r="AI527">
        <v>99999</v>
      </c>
      <c r="AJ527">
        <v>99999</v>
      </c>
      <c r="AK527">
        <v>699</v>
      </c>
      <c r="AL527" t="b">
        <v>1</v>
      </c>
      <c r="AM527" t="b">
        <v>1</v>
      </c>
      <c r="AN527" t="b">
        <v>1</v>
      </c>
      <c r="AO527">
        <v>99999</v>
      </c>
      <c r="AP527" t="s">
        <v>64</v>
      </c>
      <c r="AR527" t="b">
        <v>0</v>
      </c>
      <c r="AS527">
        <v>12</v>
      </c>
      <c r="AT527" t="s">
        <v>327</v>
      </c>
      <c r="AV527" t="s">
        <v>2871</v>
      </c>
      <c r="CRL527">
        <v>12</v>
      </c>
    </row>
    <row r="528" spans="1:48 2508:2508" x14ac:dyDescent="0.25">
      <c r="A528" t="s">
        <v>3323</v>
      </c>
      <c r="B528" t="s">
        <v>302</v>
      </c>
      <c r="C528" t="s">
        <v>62</v>
      </c>
      <c r="D528">
        <v>99999</v>
      </c>
      <c r="F528" s="109">
        <v>10000</v>
      </c>
      <c r="G528" t="b">
        <v>1</v>
      </c>
      <c r="H528" t="s">
        <v>343</v>
      </c>
      <c r="K528" t="s">
        <v>379</v>
      </c>
      <c r="L528" t="s">
        <v>303</v>
      </c>
      <c r="M528" t="s">
        <v>323</v>
      </c>
      <c r="N528" t="s">
        <v>63</v>
      </c>
      <c r="O528" s="110">
        <v>49.9</v>
      </c>
      <c r="R528" s="110">
        <v>424.9899999999999</v>
      </c>
      <c r="S528" s="110">
        <v>130</v>
      </c>
      <c r="T528" s="110">
        <v>0</v>
      </c>
      <c r="U528" s="110">
        <v>42.99</v>
      </c>
      <c r="X528">
        <v>192.09999999999994</v>
      </c>
      <c r="Y528">
        <v>59.9</v>
      </c>
      <c r="Z528">
        <v>59.9</v>
      </c>
      <c r="AA528">
        <v>0</v>
      </c>
      <c r="AB528" t="s">
        <v>363</v>
      </c>
      <c r="AF528" t="s">
        <v>2912</v>
      </c>
      <c r="AG528" t="s">
        <v>2912</v>
      </c>
      <c r="AH528" t="s">
        <v>1175</v>
      </c>
      <c r="AI528">
        <v>99999</v>
      </c>
      <c r="AJ528">
        <v>99999</v>
      </c>
      <c r="AK528">
        <v>699</v>
      </c>
      <c r="AL528" t="b">
        <v>1</v>
      </c>
      <c r="AM528" t="b">
        <v>1</v>
      </c>
      <c r="AN528" t="b">
        <v>1</v>
      </c>
      <c r="AO528">
        <v>99999</v>
      </c>
      <c r="AP528" t="s">
        <v>64</v>
      </c>
      <c r="AR528" t="b">
        <v>0</v>
      </c>
      <c r="AS528">
        <v>12</v>
      </c>
      <c r="AT528" t="s">
        <v>327</v>
      </c>
      <c r="AV528" t="s">
        <v>2938</v>
      </c>
      <c r="CRL528">
        <v>12</v>
      </c>
    </row>
    <row r="529" spans="1:48 2508:2508" x14ac:dyDescent="0.25">
      <c r="A529" t="s">
        <v>3323</v>
      </c>
      <c r="B529" t="s">
        <v>302</v>
      </c>
      <c r="C529" t="s">
        <v>62</v>
      </c>
      <c r="D529">
        <v>99999</v>
      </c>
      <c r="F529" s="109">
        <v>10000</v>
      </c>
      <c r="G529" t="b">
        <v>1</v>
      </c>
      <c r="H529" t="s">
        <v>343</v>
      </c>
      <c r="K529" t="s">
        <v>379</v>
      </c>
      <c r="L529" t="s">
        <v>303</v>
      </c>
      <c r="M529" t="s">
        <v>323</v>
      </c>
      <c r="N529" t="s">
        <v>63</v>
      </c>
      <c r="O529" s="110">
        <v>49.9</v>
      </c>
      <c r="R529" s="110">
        <v>439.88999999999993</v>
      </c>
      <c r="S529" s="110">
        <v>130</v>
      </c>
      <c r="T529" s="110">
        <v>0</v>
      </c>
      <c r="U529" s="110">
        <v>42.99</v>
      </c>
      <c r="X529">
        <v>206.99999999999994</v>
      </c>
      <c r="Y529">
        <v>59.9</v>
      </c>
      <c r="Z529">
        <v>59.9</v>
      </c>
      <c r="AA529">
        <v>0</v>
      </c>
      <c r="AB529" t="s">
        <v>363</v>
      </c>
      <c r="AF529" t="s">
        <v>2986</v>
      </c>
      <c r="AG529" t="s">
        <v>2986</v>
      </c>
      <c r="AH529" t="s">
        <v>1175</v>
      </c>
      <c r="AI529">
        <v>99999</v>
      </c>
      <c r="AJ529">
        <v>99999</v>
      </c>
      <c r="AK529">
        <v>699</v>
      </c>
      <c r="AL529" t="b">
        <v>1</v>
      </c>
      <c r="AM529" t="b">
        <v>1</v>
      </c>
      <c r="AN529" t="b">
        <v>1</v>
      </c>
      <c r="AO529">
        <v>99999</v>
      </c>
      <c r="AP529" t="s">
        <v>64</v>
      </c>
      <c r="AR529" t="b">
        <v>0</v>
      </c>
      <c r="AS529">
        <v>12</v>
      </c>
      <c r="AT529" t="s">
        <v>327</v>
      </c>
      <c r="AV529" t="s">
        <v>3012</v>
      </c>
      <c r="CRL529">
        <v>12</v>
      </c>
    </row>
    <row r="530" spans="1:48 2508:2508" x14ac:dyDescent="0.25">
      <c r="A530" t="s">
        <v>3323</v>
      </c>
      <c r="B530" t="s">
        <v>302</v>
      </c>
      <c r="C530" t="s">
        <v>62</v>
      </c>
      <c r="D530">
        <v>99999</v>
      </c>
      <c r="F530" s="109">
        <v>10000</v>
      </c>
      <c r="G530" t="b">
        <v>1</v>
      </c>
      <c r="H530" t="s">
        <v>343</v>
      </c>
      <c r="K530" t="s">
        <v>61</v>
      </c>
      <c r="L530" t="s">
        <v>303</v>
      </c>
      <c r="M530" t="s">
        <v>323</v>
      </c>
      <c r="N530" t="s">
        <v>63</v>
      </c>
      <c r="O530" s="110">
        <v>29.9</v>
      </c>
      <c r="R530" s="110">
        <v>339.89</v>
      </c>
      <c r="S530" s="110">
        <v>79.900000000000006</v>
      </c>
      <c r="T530" s="110">
        <v>0</v>
      </c>
      <c r="U530" s="110">
        <v>42.99</v>
      </c>
      <c r="X530">
        <v>172.09999999999994</v>
      </c>
      <c r="Y530">
        <v>44.9</v>
      </c>
      <c r="Z530">
        <v>44.9</v>
      </c>
      <c r="AA530">
        <v>0</v>
      </c>
      <c r="AB530" t="s">
        <v>324</v>
      </c>
      <c r="AF530" t="s">
        <v>1174</v>
      </c>
      <c r="AG530" t="s">
        <v>1174</v>
      </c>
      <c r="AH530" t="s">
        <v>1175</v>
      </c>
      <c r="AI530">
        <v>99999</v>
      </c>
      <c r="AJ530">
        <v>99999</v>
      </c>
      <c r="AK530">
        <v>699</v>
      </c>
      <c r="AL530" t="b">
        <v>1</v>
      </c>
      <c r="AM530" t="b">
        <v>1</v>
      </c>
      <c r="AN530" t="b">
        <v>1</v>
      </c>
      <c r="AO530">
        <v>99999</v>
      </c>
      <c r="AP530" t="s">
        <v>64</v>
      </c>
      <c r="AR530" t="b">
        <v>0</v>
      </c>
      <c r="AS530">
        <v>12</v>
      </c>
      <c r="AT530" t="s">
        <v>327</v>
      </c>
      <c r="AV530" t="s">
        <v>1188</v>
      </c>
      <c r="CRL530">
        <v>12</v>
      </c>
    </row>
    <row r="531" spans="1:48 2508:2508" x14ac:dyDescent="0.25">
      <c r="A531" t="s">
        <v>3323</v>
      </c>
      <c r="B531" t="s">
        <v>302</v>
      </c>
      <c r="C531" t="s">
        <v>62</v>
      </c>
      <c r="D531">
        <v>99999</v>
      </c>
      <c r="F531" s="109">
        <v>10000</v>
      </c>
      <c r="G531" t="b">
        <v>1</v>
      </c>
      <c r="H531" t="s">
        <v>343</v>
      </c>
      <c r="K531" t="s">
        <v>61</v>
      </c>
      <c r="L531" t="s">
        <v>303</v>
      </c>
      <c r="M531" t="s">
        <v>323</v>
      </c>
      <c r="N531" t="s">
        <v>63</v>
      </c>
      <c r="O531" s="110">
        <v>29.9</v>
      </c>
      <c r="R531" s="110">
        <v>359.89</v>
      </c>
      <c r="S531" s="110">
        <v>79.900000000000006</v>
      </c>
      <c r="T531" s="110">
        <v>0</v>
      </c>
      <c r="U531" s="110">
        <v>42.99</v>
      </c>
      <c r="X531">
        <v>192.09999999999994</v>
      </c>
      <c r="Y531">
        <v>44.9</v>
      </c>
      <c r="Z531">
        <v>44.9</v>
      </c>
      <c r="AA531">
        <v>0</v>
      </c>
      <c r="AB531" t="s">
        <v>324</v>
      </c>
      <c r="AF531" t="s">
        <v>1309</v>
      </c>
      <c r="AG531" t="s">
        <v>1309</v>
      </c>
      <c r="AH531" t="s">
        <v>1175</v>
      </c>
      <c r="AI531">
        <v>99999</v>
      </c>
      <c r="AJ531">
        <v>99999</v>
      </c>
      <c r="AK531">
        <v>699</v>
      </c>
      <c r="AL531" t="b">
        <v>1</v>
      </c>
      <c r="AM531" t="b">
        <v>1</v>
      </c>
      <c r="AN531" t="b">
        <v>1</v>
      </c>
      <c r="AO531">
        <v>99999</v>
      </c>
      <c r="AP531" t="s">
        <v>64</v>
      </c>
      <c r="AR531" t="b">
        <v>0</v>
      </c>
      <c r="AS531">
        <v>12</v>
      </c>
      <c r="AT531" t="s">
        <v>327</v>
      </c>
      <c r="AV531" t="s">
        <v>1322</v>
      </c>
      <c r="CRL531">
        <v>12</v>
      </c>
    </row>
    <row r="532" spans="1:48 2508:2508" x14ac:dyDescent="0.25">
      <c r="A532" t="s">
        <v>3323</v>
      </c>
      <c r="B532" t="s">
        <v>302</v>
      </c>
      <c r="C532" t="s">
        <v>62</v>
      </c>
      <c r="D532">
        <v>99999</v>
      </c>
      <c r="F532" s="109">
        <v>10000</v>
      </c>
      <c r="G532" t="b">
        <v>1</v>
      </c>
      <c r="H532" t="s">
        <v>343</v>
      </c>
      <c r="K532" t="s">
        <v>61</v>
      </c>
      <c r="L532" t="s">
        <v>303</v>
      </c>
      <c r="M532" t="s">
        <v>323</v>
      </c>
      <c r="N532" t="s">
        <v>63</v>
      </c>
      <c r="O532" s="110">
        <v>29.9</v>
      </c>
      <c r="R532" s="110">
        <v>379.88999999999993</v>
      </c>
      <c r="S532" s="110">
        <v>85</v>
      </c>
      <c r="T532" s="110">
        <v>0</v>
      </c>
      <c r="U532" s="110">
        <v>42.99</v>
      </c>
      <c r="X532">
        <v>206.99999999999994</v>
      </c>
      <c r="Y532">
        <v>44.9</v>
      </c>
      <c r="Z532">
        <v>44.9</v>
      </c>
      <c r="AA532">
        <v>0</v>
      </c>
      <c r="AB532" t="s">
        <v>324</v>
      </c>
      <c r="AF532" t="s">
        <v>1457</v>
      </c>
      <c r="AG532" t="s">
        <v>1457</v>
      </c>
      <c r="AH532" t="s">
        <v>1175</v>
      </c>
      <c r="AI532">
        <v>99999</v>
      </c>
      <c r="AJ532">
        <v>99999</v>
      </c>
      <c r="AK532">
        <v>699</v>
      </c>
      <c r="AL532" t="b">
        <v>1</v>
      </c>
      <c r="AM532" t="b">
        <v>1</v>
      </c>
      <c r="AN532" t="b">
        <v>1</v>
      </c>
      <c r="AO532">
        <v>99999</v>
      </c>
      <c r="AP532" t="s">
        <v>64</v>
      </c>
      <c r="AR532" t="b">
        <v>0</v>
      </c>
      <c r="AS532">
        <v>12</v>
      </c>
      <c r="AT532" t="s">
        <v>327</v>
      </c>
      <c r="AV532" t="s">
        <v>1470</v>
      </c>
      <c r="CRL532">
        <v>12</v>
      </c>
    </row>
    <row r="533" spans="1:48 2508:2508" x14ac:dyDescent="0.25">
      <c r="A533" t="s">
        <v>3323</v>
      </c>
      <c r="B533" t="s">
        <v>302</v>
      </c>
      <c r="C533" t="s">
        <v>62</v>
      </c>
      <c r="D533">
        <v>99999</v>
      </c>
      <c r="F533" s="109">
        <v>10000</v>
      </c>
      <c r="G533" t="b">
        <v>1</v>
      </c>
      <c r="H533" t="s">
        <v>343</v>
      </c>
      <c r="K533" t="s">
        <v>61</v>
      </c>
      <c r="L533" t="s">
        <v>303</v>
      </c>
      <c r="M533" t="s">
        <v>323</v>
      </c>
      <c r="N533" t="s">
        <v>63</v>
      </c>
      <c r="O533" s="110">
        <v>39.9</v>
      </c>
      <c r="R533" s="110">
        <v>339.89</v>
      </c>
      <c r="S533" s="110">
        <v>79.900000000000006</v>
      </c>
      <c r="T533" s="110">
        <v>0</v>
      </c>
      <c r="U533" s="110">
        <v>42.99</v>
      </c>
      <c r="X533">
        <v>172.09999999999994</v>
      </c>
      <c r="Y533">
        <v>44.9</v>
      </c>
      <c r="Z533">
        <v>44.9</v>
      </c>
      <c r="AA533">
        <v>0</v>
      </c>
      <c r="AB533" t="s">
        <v>324</v>
      </c>
      <c r="AF533" t="s">
        <v>1242</v>
      </c>
      <c r="AG533" t="s">
        <v>1242</v>
      </c>
      <c r="AH533" t="s">
        <v>1175</v>
      </c>
      <c r="AI533">
        <v>99999</v>
      </c>
      <c r="AJ533">
        <v>99999</v>
      </c>
      <c r="AK533">
        <v>699</v>
      </c>
      <c r="AL533" t="b">
        <v>1</v>
      </c>
      <c r="AM533" t="b">
        <v>1</v>
      </c>
      <c r="AN533" t="b">
        <v>1</v>
      </c>
      <c r="AO533">
        <v>99999</v>
      </c>
      <c r="AP533" t="s">
        <v>64</v>
      </c>
      <c r="AR533" t="b">
        <v>0</v>
      </c>
      <c r="AS533">
        <v>12</v>
      </c>
      <c r="AT533" t="s">
        <v>327</v>
      </c>
      <c r="AV533" t="s">
        <v>1255</v>
      </c>
      <c r="CRL533">
        <v>12</v>
      </c>
    </row>
    <row r="534" spans="1:48 2508:2508" x14ac:dyDescent="0.25">
      <c r="A534" t="s">
        <v>3323</v>
      </c>
      <c r="B534" t="s">
        <v>302</v>
      </c>
      <c r="C534" t="s">
        <v>62</v>
      </c>
      <c r="D534">
        <v>99999</v>
      </c>
      <c r="F534" s="109">
        <v>10000</v>
      </c>
      <c r="G534" t="b">
        <v>1</v>
      </c>
      <c r="H534" t="s">
        <v>343</v>
      </c>
      <c r="K534" t="s">
        <v>61</v>
      </c>
      <c r="L534" t="s">
        <v>303</v>
      </c>
      <c r="M534" t="s">
        <v>323</v>
      </c>
      <c r="N534" t="s">
        <v>63</v>
      </c>
      <c r="O534" s="110">
        <v>39.9</v>
      </c>
      <c r="R534" s="110">
        <v>359.89</v>
      </c>
      <c r="S534" s="110">
        <v>79.900000000000006</v>
      </c>
      <c r="T534" s="110">
        <v>0</v>
      </c>
      <c r="U534" s="110">
        <v>42.99</v>
      </c>
      <c r="X534">
        <v>192.09999999999994</v>
      </c>
      <c r="Y534">
        <v>44.9</v>
      </c>
      <c r="Z534">
        <v>44.9</v>
      </c>
      <c r="AA534">
        <v>0</v>
      </c>
      <c r="AB534" t="s">
        <v>324</v>
      </c>
      <c r="AF534" t="s">
        <v>1376</v>
      </c>
      <c r="AG534" t="s">
        <v>1376</v>
      </c>
      <c r="AH534" t="s">
        <v>1175</v>
      </c>
      <c r="AI534">
        <v>99999</v>
      </c>
      <c r="AJ534">
        <v>99999</v>
      </c>
      <c r="AK534">
        <v>699</v>
      </c>
      <c r="AL534" t="b">
        <v>1</v>
      </c>
      <c r="AM534" t="b">
        <v>1</v>
      </c>
      <c r="AN534" t="b">
        <v>1</v>
      </c>
      <c r="AO534">
        <v>99999</v>
      </c>
      <c r="AP534" t="s">
        <v>64</v>
      </c>
      <c r="AR534" t="b">
        <v>0</v>
      </c>
      <c r="AS534">
        <v>12</v>
      </c>
      <c r="AT534" t="s">
        <v>327</v>
      </c>
      <c r="AV534" t="s">
        <v>1389</v>
      </c>
      <c r="CRL534">
        <v>12</v>
      </c>
    </row>
    <row r="535" spans="1:48 2508:2508" x14ac:dyDescent="0.25">
      <c r="A535" t="s">
        <v>3323</v>
      </c>
      <c r="B535" t="s">
        <v>302</v>
      </c>
      <c r="C535" t="s">
        <v>62</v>
      </c>
      <c r="D535">
        <v>99999</v>
      </c>
      <c r="F535" s="109">
        <v>10000</v>
      </c>
      <c r="G535" t="b">
        <v>1</v>
      </c>
      <c r="H535" t="s">
        <v>343</v>
      </c>
      <c r="K535" t="s">
        <v>61</v>
      </c>
      <c r="L535" t="s">
        <v>303</v>
      </c>
      <c r="M535" t="s">
        <v>323</v>
      </c>
      <c r="N535" t="s">
        <v>63</v>
      </c>
      <c r="O535" s="110">
        <v>39.9</v>
      </c>
      <c r="R535" s="110">
        <v>379.88999999999993</v>
      </c>
      <c r="S535" s="110">
        <v>85</v>
      </c>
      <c r="T535" s="110">
        <v>0</v>
      </c>
      <c r="U535" s="110">
        <v>42.99</v>
      </c>
      <c r="X535">
        <v>206.99999999999994</v>
      </c>
      <c r="Y535">
        <v>44.9</v>
      </c>
      <c r="Z535">
        <v>44.9</v>
      </c>
      <c r="AA535">
        <v>0</v>
      </c>
      <c r="AB535" t="s">
        <v>324</v>
      </c>
      <c r="AF535" t="s">
        <v>1524</v>
      </c>
      <c r="AG535" t="s">
        <v>1524</v>
      </c>
      <c r="AH535" t="s">
        <v>1175</v>
      </c>
      <c r="AI535">
        <v>99999</v>
      </c>
      <c r="AJ535">
        <v>99999</v>
      </c>
      <c r="AK535">
        <v>699</v>
      </c>
      <c r="AL535" t="b">
        <v>1</v>
      </c>
      <c r="AM535" t="b">
        <v>1</v>
      </c>
      <c r="AN535" t="b">
        <v>1</v>
      </c>
      <c r="AO535">
        <v>99999</v>
      </c>
      <c r="AP535" t="s">
        <v>64</v>
      </c>
      <c r="AR535" t="b">
        <v>0</v>
      </c>
      <c r="AS535">
        <v>12</v>
      </c>
      <c r="AT535" t="s">
        <v>327</v>
      </c>
      <c r="AV535" t="s">
        <v>1537</v>
      </c>
      <c r="CRL535">
        <v>12</v>
      </c>
    </row>
    <row r="536" spans="1:48 2508:2508" x14ac:dyDescent="0.25">
      <c r="A536" t="s">
        <v>3323</v>
      </c>
      <c r="B536" t="s">
        <v>302</v>
      </c>
      <c r="C536" t="s">
        <v>62</v>
      </c>
      <c r="D536">
        <v>99999</v>
      </c>
      <c r="F536" s="109">
        <v>10000</v>
      </c>
      <c r="G536" t="b">
        <v>1</v>
      </c>
      <c r="H536" t="s">
        <v>343</v>
      </c>
      <c r="K536" t="s">
        <v>61</v>
      </c>
      <c r="L536" t="s">
        <v>303</v>
      </c>
      <c r="M536" t="s">
        <v>323</v>
      </c>
      <c r="N536" t="s">
        <v>63</v>
      </c>
      <c r="O536" s="110">
        <v>49.9</v>
      </c>
      <c r="R536" s="110">
        <v>365.68999999999994</v>
      </c>
      <c r="S536" s="110">
        <v>130</v>
      </c>
      <c r="T536" s="110">
        <v>0</v>
      </c>
      <c r="U536" s="110">
        <v>34.99</v>
      </c>
      <c r="X536">
        <v>155.79999999999995</v>
      </c>
      <c r="Y536">
        <v>44.9</v>
      </c>
      <c r="Z536">
        <v>44.9</v>
      </c>
      <c r="AA536">
        <v>0</v>
      </c>
      <c r="AB536" t="s">
        <v>324</v>
      </c>
      <c r="AF536" t="s">
        <v>2744</v>
      </c>
      <c r="AG536" t="s">
        <v>2744</v>
      </c>
      <c r="AH536" t="s">
        <v>1175</v>
      </c>
      <c r="AI536">
        <v>99999</v>
      </c>
      <c r="AJ536">
        <v>99999</v>
      </c>
      <c r="AK536">
        <v>699</v>
      </c>
      <c r="AL536" t="b">
        <v>1</v>
      </c>
      <c r="AM536" t="b">
        <v>1</v>
      </c>
      <c r="AN536" t="b">
        <v>1</v>
      </c>
      <c r="AO536">
        <v>99999</v>
      </c>
      <c r="AP536" t="s">
        <v>64</v>
      </c>
      <c r="AR536" t="b">
        <v>0</v>
      </c>
      <c r="AS536">
        <v>12</v>
      </c>
      <c r="AT536" t="s">
        <v>327</v>
      </c>
      <c r="AV536" t="s">
        <v>2757</v>
      </c>
      <c r="CRL536">
        <v>12</v>
      </c>
    </row>
    <row r="537" spans="1:48 2508:2508" x14ac:dyDescent="0.25">
      <c r="A537" t="s">
        <v>3323</v>
      </c>
      <c r="B537" t="s">
        <v>302</v>
      </c>
      <c r="C537" t="s">
        <v>62</v>
      </c>
      <c r="D537">
        <v>99999</v>
      </c>
      <c r="F537" s="109">
        <v>10000</v>
      </c>
      <c r="G537" t="b">
        <v>1</v>
      </c>
      <c r="H537" t="s">
        <v>343</v>
      </c>
      <c r="K537" t="s">
        <v>61</v>
      </c>
      <c r="L537" t="s">
        <v>303</v>
      </c>
      <c r="M537" t="s">
        <v>323</v>
      </c>
      <c r="N537" t="s">
        <v>63</v>
      </c>
      <c r="O537" s="110">
        <v>49.9</v>
      </c>
      <c r="R537" s="110">
        <v>389.9899999999999</v>
      </c>
      <c r="S537" s="110">
        <v>130</v>
      </c>
      <c r="T537" s="110">
        <v>0</v>
      </c>
      <c r="U537" s="110">
        <v>42.99</v>
      </c>
      <c r="X537">
        <v>172.09999999999994</v>
      </c>
      <c r="Y537">
        <v>44.9</v>
      </c>
      <c r="Z537">
        <v>44.9</v>
      </c>
      <c r="AA537">
        <v>0</v>
      </c>
      <c r="AB537" t="s">
        <v>324</v>
      </c>
      <c r="AF537" t="s">
        <v>2818</v>
      </c>
      <c r="AG537" t="s">
        <v>2818</v>
      </c>
      <c r="AH537" t="s">
        <v>1175</v>
      </c>
      <c r="AI537">
        <v>99999</v>
      </c>
      <c r="AJ537">
        <v>99999</v>
      </c>
      <c r="AK537">
        <v>699</v>
      </c>
      <c r="AL537" t="b">
        <v>1</v>
      </c>
      <c r="AM537" t="b">
        <v>1</v>
      </c>
      <c r="AN537" t="b">
        <v>1</v>
      </c>
      <c r="AO537">
        <v>99999</v>
      </c>
      <c r="AP537" t="s">
        <v>64</v>
      </c>
      <c r="AR537" t="b">
        <v>0</v>
      </c>
      <c r="AS537">
        <v>12</v>
      </c>
      <c r="AT537" t="s">
        <v>327</v>
      </c>
      <c r="AV537" t="s">
        <v>2831</v>
      </c>
      <c r="CRL537">
        <v>12</v>
      </c>
    </row>
    <row r="538" spans="1:48 2508:2508" x14ac:dyDescent="0.25">
      <c r="A538" t="s">
        <v>3323</v>
      </c>
      <c r="B538" t="s">
        <v>302</v>
      </c>
      <c r="C538" t="s">
        <v>62</v>
      </c>
      <c r="D538">
        <v>99999</v>
      </c>
      <c r="F538" s="109">
        <v>10000</v>
      </c>
      <c r="G538" t="b">
        <v>1</v>
      </c>
      <c r="H538" t="s">
        <v>343</v>
      </c>
      <c r="K538" t="s">
        <v>61</v>
      </c>
      <c r="L538" t="s">
        <v>303</v>
      </c>
      <c r="M538" t="s">
        <v>323</v>
      </c>
      <c r="N538" t="s">
        <v>63</v>
      </c>
      <c r="O538" s="110">
        <v>49.9</v>
      </c>
      <c r="R538" s="110">
        <v>409.9899999999999</v>
      </c>
      <c r="S538" s="110">
        <v>130</v>
      </c>
      <c r="T538" s="110">
        <v>0</v>
      </c>
      <c r="U538" s="110">
        <v>42.99</v>
      </c>
      <c r="X538">
        <v>192.09999999999994</v>
      </c>
      <c r="Y538">
        <v>44.9</v>
      </c>
      <c r="Z538">
        <v>44.9</v>
      </c>
      <c r="AA538">
        <v>0</v>
      </c>
      <c r="AB538" t="s">
        <v>324</v>
      </c>
      <c r="AF538" t="s">
        <v>2885</v>
      </c>
      <c r="AG538" t="s">
        <v>2885</v>
      </c>
      <c r="AH538" t="s">
        <v>1175</v>
      </c>
      <c r="AI538">
        <v>99999</v>
      </c>
      <c r="AJ538">
        <v>99999</v>
      </c>
      <c r="AK538">
        <v>699</v>
      </c>
      <c r="AL538" t="b">
        <v>1</v>
      </c>
      <c r="AM538" t="b">
        <v>1</v>
      </c>
      <c r="AN538" t="b">
        <v>1</v>
      </c>
      <c r="AO538">
        <v>99999</v>
      </c>
      <c r="AP538" t="s">
        <v>64</v>
      </c>
      <c r="AR538" t="b">
        <v>0</v>
      </c>
      <c r="AS538">
        <v>12</v>
      </c>
      <c r="AT538" t="s">
        <v>327</v>
      </c>
      <c r="AV538" t="s">
        <v>2898</v>
      </c>
      <c r="CRL538">
        <v>12</v>
      </c>
    </row>
    <row r="539" spans="1:48 2508:2508" x14ac:dyDescent="0.25">
      <c r="A539" t="s">
        <v>3323</v>
      </c>
      <c r="B539" t="s">
        <v>302</v>
      </c>
      <c r="C539" t="s">
        <v>62</v>
      </c>
      <c r="D539">
        <v>99999</v>
      </c>
      <c r="F539" s="109">
        <v>10000</v>
      </c>
      <c r="G539" t="b">
        <v>1</v>
      </c>
      <c r="H539" t="s">
        <v>343</v>
      </c>
      <c r="K539" t="s">
        <v>61</v>
      </c>
      <c r="L539" t="s">
        <v>303</v>
      </c>
      <c r="M539" t="s">
        <v>323</v>
      </c>
      <c r="N539" t="s">
        <v>63</v>
      </c>
      <c r="O539" s="110">
        <v>49.9</v>
      </c>
      <c r="R539" s="110">
        <v>424.88999999999993</v>
      </c>
      <c r="S539" s="110">
        <v>130</v>
      </c>
      <c r="T539" s="110">
        <v>0</v>
      </c>
      <c r="U539" s="110">
        <v>42.99</v>
      </c>
      <c r="X539">
        <v>206.99999999999994</v>
      </c>
      <c r="Y539">
        <v>44.9</v>
      </c>
      <c r="Z539">
        <v>44.9</v>
      </c>
      <c r="AA539">
        <v>0</v>
      </c>
      <c r="AB539" t="s">
        <v>324</v>
      </c>
      <c r="AF539" t="s">
        <v>2959</v>
      </c>
      <c r="AG539" t="s">
        <v>2959</v>
      </c>
      <c r="AH539" t="s">
        <v>1175</v>
      </c>
      <c r="AI539">
        <v>99999</v>
      </c>
      <c r="AJ539">
        <v>99999</v>
      </c>
      <c r="AK539">
        <v>699</v>
      </c>
      <c r="AL539" t="b">
        <v>1</v>
      </c>
      <c r="AM539" t="b">
        <v>1</v>
      </c>
      <c r="AN539" t="b">
        <v>1</v>
      </c>
      <c r="AO539">
        <v>99999</v>
      </c>
      <c r="AP539" t="s">
        <v>64</v>
      </c>
      <c r="AR539" t="b">
        <v>0</v>
      </c>
      <c r="AS539">
        <v>12</v>
      </c>
      <c r="AT539" t="s">
        <v>327</v>
      </c>
      <c r="AV539" t="s">
        <v>2972</v>
      </c>
      <c r="CRL539">
        <v>12</v>
      </c>
    </row>
    <row r="540" spans="1:48 2508:2508" x14ac:dyDescent="0.25">
      <c r="A540" t="s">
        <v>3323</v>
      </c>
      <c r="B540" t="s">
        <v>302</v>
      </c>
      <c r="C540" t="s">
        <v>62</v>
      </c>
      <c r="D540">
        <v>99999</v>
      </c>
      <c r="F540" s="109">
        <v>10000</v>
      </c>
      <c r="G540" t="b">
        <v>1</v>
      </c>
      <c r="H540" t="s">
        <v>339</v>
      </c>
      <c r="K540" t="s">
        <v>349</v>
      </c>
      <c r="L540" t="s">
        <v>303</v>
      </c>
      <c r="M540" t="s">
        <v>323</v>
      </c>
      <c r="N540" t="s">
        <v>63</v>
      </c>
      <c r="O540" s="110">
        <v>29.9</v>
      </c>
      <c r="R540" s="110">
        <v>304.89</v>
      </c>
      <c r="S540" s="110">
        <v>79.900000000000006</v>
      </c>
      <c r="T540" s="110">
        <v>0</v>
      </c>
      <c r="U540" s="110">
        <v>42.99</v>
      </c>
      <c r="X540">
        <v>137.09999999999994</v>
      </c>
      <c r="Y540">
        <v>44.9</v>
      </c>
      <c r="Z540">
        <v>44.9</v>
      </c>
      <c r="AA540">
        <v>0</v>
      </c>
      <c r="AB540" t="s">
        <v>324</v>
      </c>
      <c r="AF540" t="s">
        <v>1174</v>
      </c>
      <c r="AG540" t="s">
        <v>1174</v>
      </c>
      <c r="AH540" t="s">
        <v>1175</v>
      </c>
      <c r="AI540">
        <v>99999</v>
      </c>
      <c r="AJ540">
        <v>99999</v>
      </c>
      <c r="AK540">
        <v>699</v>
      </c>
      <c r="AL540" t="b">
        <v>1</v>
      </c>
      <c r="AM540" t="b">
        <v>1</v>
      </c>
      <c r="AN540" t="b">
        <v>1</v>
      </c>
      <c r="AO540">
        <v>99999</v>
      </c>
      <c r="AP540" t="s">
        <v>64</v>
      </c>
      <c r="AR540" t="b">
        <v>0</v>
      </c>
      <c r="AS540">
        <v>12</v>
      </c>
      <c r="AT540" t="s">
        <v>327</v>
      </c>
      <c r="AV540" t="s">
        <v>1199</v>
      </c>
      <c r="CRL540">
        <v>12</v>
      </c>
    </row>
    <row r="541" spans="1:48 2508:2508" x14ac:dyDescent="0.25">
      <c r="A541" t="s">
        <v>3323</v>
      </c>
      <c r="B541" t="s">
        <v>302</v>
      </c>
      <c r="C541" t="s">
        <v>62</v>
      </c>
      <c r="D541">
        <v>99999</v>
      </c>
      <c r="F541" s="109">
        <v>10000</v>
      </c>
      <c r="G541" t="b">
        <v>1</v>
      </c>
      <c r="H541" t="s">
        <v>339</v>
      </c>
      <c r="K541" t="s">
        <v>349</v>
      </c>
      <c r="L541" t="s">
        <v>303</v>
      </c>
      <c r="M541" t="s">
        <v>323</v>
      </c>
      <c r="N541" t="s">
        <v>63</v>
      </c>
      <c r="O541" s="110">
        <v>29.9</v>
      </c>
      <c r="R541" s="110">
        <v>324.89</v>
      </c>
      <c r="S541" s="110">
        <v>79.900000000000006</v>
      </c>
      <c r="T541" s="110">
        <v>0</v>
      </c>
      <c r="U541" s="110">
        <v>42.99</v>
      </c>
      <c r="X541">
        <v>157.09999999999994</v>
      </c>
      <c r="Y541">
        <v>44.9</v>
      </c>
      <c r="Z541">
        <v>44.9</v>
      </c>
      <c r="AA541">
        <v>0</v>
      </c>
      <c r="AB541" t="s">
        <v>324</v>
      </c>
      <c r="AF541" t="s">
        <v>1309</v>
      </c>
      <c r="AG541" t="s">
        <v>1309</v>
      </c>
      <c r="AH541" t="s">
        <v>1175</v>
      </c>
      <c r="AI541">
        <v>99999</v>
      </c>
      <c r="AJ541">
        <v>99999</v>
      </c>
      <c r="AK541">
        <v>699</v>
      </c>
      <c r="AL541" t="b">
        <v>1</v>
      </c>
      <c r="AM541" t="b">
        <v>1</v>
      </c>
      <c r="AN541" t="b">
        <v>1</v>
      </c>
      <c r="AO541">
        <v>99999</v>
      </c>
      <c r="AP541" t="s">
        <v>64</v>
      </c>
      <c r="AR541" t="b">
        <v>0</v>
      </c>
      <c r="AS541">
        <v>12</v>
      </c>
      <c r="AT541" t="s">
        <v>327</v>
      </c>
      <c r="AV541" t="s">
        <v>1333</v>
      </c>
      <c r="CRL541">
        <v>12</v>
      </c>
    </row>
    <row r="542" spans="1:48 2508:2508" x14ac:dyDescent="0.25">
      <c r="A542" t="s">
        <v>3323</v>
      </c>
      <c r="B542" t="s">
        <v>302</v>
      </c>
      <c r="C542" t="s">
        <v>62</v>
      </c>
      <c r="D542">
        <v>99999</v>
      </c>
      <c r="F542" s="109">
        <v>10000</v>
      </c>
      <c r="G542" t="b">
        <v>1</v>
      </c>
      <c r="H542" t="s">
        <v>339</v>
      </c>
      <c r="K542" t="s">
        <v>349</v>
      </c>
      <c r="L542" t="s">
        <v>303</v>
      </c>
      <c r="M542" t="s">
        <v>323</v>
      </c>
      <c r="N542" t="s">
        <v>63</v>
      </c>
      <c r="O542" s="110">
        <v>29.9</v>
      </c>
      <c r="R542" s="110">
        <v>344.88999999999993</v>
      </c>
      <c r="S542" s="110">
        <v>85</v>
      </c>
      <c r="T542" s="110">
        <v>0</v>
      </c>
      <c r="U542" s="110">
        <v>42.99</v>
      </c>
      <c r="X542">
        <v>171.99999999999994</v>
      </c>
      <c r="Y542">
        <v>44.9</v>
      </c>
      <c r="Z542">
        <v>44.9</v>
      </c>
      <c r="AA542">
        <v>0</v>
      </c>
      <c r="AB542" t="s">
        <v>324</v>
      </c>
      <c r="AF542" t="s">
        <v>1457</v>
      </c>
      <c r="AG542" t="s">
        <v>1457</v>
      </c>
      <c r="AH542" t="s">
        <v>1175</v>
      </c>
      <c r="AI542">
        <v>99999</v>
      </c>
      <c r="AJ542">
        <v>99999</v>
      </c>
      <c r="AK542">
        <v>699</v>
      </c>
      <c r="AL542" t="b">
        <v>1</v>
      </c>
      <c r="AM542" t="b">
        <v>1</v>
      </c>
      <c r="AN542" t="b">
        <v>1</v>
      </c>
      <c r="AO542">
        <v>99999</v>
      </c>
      <c r="AP542" t="s">
        <v>64</v>
      </c>
      <c r="AR542" t="b">
        <v>0</v>
      </c>
      <c r="AS542">
        <v>12</v>
      </c>
      <c r="AT542" t="s">
        <v>327</v>
      </c>
      <c r="AV542" t="s">
        <v>1481</v>
      </c>
      <c r="CRL542">
        <v>12</v>
      </c>
    </row>
    <row r="543" spans="1:48 2508:2508" x14ac:dyDescent="0.25">
      <c r="A543" t="s">
        <v>3323</v>
      </c>
      <c r="B543" t="s">
        <v>302</v>
      </c>
      <c r="C543" t="s">
        <v>62</v>
      </c>
      <c r="D543">
        <v>99999</v>
      </c>
      <c r="F543" s="109">
        <v>10000</v>
      </c>
      <c r="G543" t="b">
        <v>1</v>
      </c>
      <c r="H543" t="s">
        <v>339</v>
      </c>
      <c r="K543" t="s">
        <v>349</v>
      </c>
      <c r="L543" t="s">
        <v>303</v>
      </c>
      <c r="M543" t="s">
        <v>323</v>
      </c>
      <c r="N543" t="s">
        <v>63</v>
      </c>
      <c r="O543" s="110">
        <v>39.9</v>
      </c>
      <c r="R543" s="110">
        <v>304.89</v>
      </c>
      <c r="S543" s="110">
        <v>79.900000000000006</v>
      </c>
      <c r="T543" s="110">
        <v>0</v>
      </c>
      <c r="U543" s="110">
        <v>42.99</v>
      </c>
      <c r="X543">
        <v>137.09999999999994</v>
      </c>
      <c r="Y543">
        <v>44.9</v>
      </c>
      <c r="Z543">
        <v>44.9</v>
      </c>
      <c r="AA543">
        <v>0</v>
      </c>
      <c r="AB543" t="s">
        <v>324</v>
      </c>
      <c r="AF543" t="s">
        <v>1242</v>
      </c>
      <c r="AG543" t="s">
        <v>1242</v>
      </c>
      <c r="AH543" t="s">
        <v>1175</v>
      </c>
      <c r="AI543">
        <v>99999</v>
      </c>
      <c r="AJ543">
        <v>99999</v>
      </c>
      <c r="AK543">
        <v>699</v>
      </c>
      <c r="AL543" t="b">
        <v>1</v>
      </c>
      <c r="AM543" t="b">
        <v>1</v>
      </c>
      <c r="AN543" t="b">
        <v>1</v>
      </c>
      <c r="AO543">
        <v>99999</v>
      </c>
      <c r="AP543" t="s">
        <v>64</v>
      </c>
      <c r="AR543" t="b">
        <v>0</v>
      </c>
      <c r="AS543">
        <v>12</v>
      </c>
      <c r="AT543" t="s">
        <v>327</v>
      </c>
      <c r="AV543" t="s">
        <v>1266</v>
      </c>
      <c r="CRL543">
        <v>12</v>
      </c>
    </row>
    <row r="544" spans="1:48 2508:2508" x14ac:dyDescent="0.25">
      <c r="A544" t="s">
        <v>3323</v>
      </c>
      <c r="B544" t="s">
        <v>302</v>
      </c>
      <c r="C544" t="s">
        <v>62</v>
      </c>
      <c r="D544">
        <v>99999</v>
      </c>
      <c r="F544" s="109">
        <v>10000</v>
      </c>
      <c r="G544" t="b">
        <v>1</v>
      </c>
      <c r="H544" t="s">
        <v>339</v>
      </c>
      <c r="K544" t="s">
        <v>349</v>
      </c>
      <c r="L544" t="s">
        <v>303</v>
      </c>
      <c r="M544" t="s">
        <v>323</v>
      </c>
      <c r="N544" t="s">
        <v>63</v>
      </c>
      <c r="O544" s="110">
        <v>39.9</v>
      </c>
      <c r="R544" s="110">
        <v>324.89</v>
      </c>
      <c r="S544" s="110">
        <v>79.900000000000006</v>
      </c>
      <c r="T544" s="110">
        <v>0</v>
      </c>
      <c r="U544" s="110">
        <v>42.99</v>
      </c>
      <c r="X544">
        <v>157.09999999999994</v>
      </c>
      <c r="Y544">
        <v>44.9</v>
      </c>
      <c r="Z544">
        <v>44.9</v>
      </c>
      <c r="AA544">
        <v>0</v>
      </c>
      <c r="AB544" t="s">
        <v>324</v>
      </c>
      <c r="AF544" t="s">
        <v>1376</v>
      </c>
      <c r="AG544" t="s">
        <v>1376</v>
      </c>
      <c r="AH544" t="s">
        <v>1175</v>
      </c>
      <c r="AI544">
        <v>99999</v>
      </c>
      <c r="AJ544">
        <v>99999</v>
      </c>
      <c r="AK544">
        <v>699</v>
      </c>
      <c r="AL544" t="b">
        <v>1</v>
      </c>
      <c r="AM544" t="b">
        <v>1</v>
      </c>
      <c r="AN544" t="b">
        <v>1</v>
      </c>
      <c r="AO544">
        <v>99999</v>
      </c>
      <c r="AP544" t="s">
        <v>64</v>
      </c>
      <c r="AR544" t="b">
        <v>0</v>
      </c>
      <c r="AS544">
        <v>12</v>
      </c>
      <c r="AT544" t="s">
        <v>327</v>
      </c>
      <c r="AV544" t="s">
        <v>1400</v>
      </c>
      <c r="CRL544">
        <v>12</v>
      </c>
    </row>
    <row r="545" spans="1:48 2508:2508" x14ac:dyDescent="0.25">
      <c r="A545" t="s">
        <v>3323</v>
      </c>
      <c r="B545" t="s">
        <v>302</v>
      </c>
      <c r="C545" t="s">
        <v>62</v>
      </c>
      <c r="D545">
        <v>99999</v>
      </c>
      <c r="F545" s="109">
        <v>10000</v>
      </c>
      <c r="G545" t="b">
        <v>1</v>
      </c>
      <c r="H545" t="s">
        <v>339</v>
      </c>
      <c r="K545" t="s">
        <v>349</v>
      </c>
      <c r="L545" t="s">
        <v>303</v>
      </c>
      <c r="M545" t="s">
        <v>323</v>
      </c>
      <c r="N545" t="s">
        <v>63</v>
      </c>
      <c r="O545" s="110">
        <v>39.9</v>
      </c>
      <c r="R545" s="110">
        <v>344.88999999999993</v>
      </c>
      <c r="S545" s="110">
        <v>85</v>
      </c>
      <c r="T545" s="110">
        <v>0</v>
      </c>
      <c r="U545" s="110">
        <v>42.99</v>
      </c>
      <c r="X545">
        <v>171.99999999999994</v>
      </c>
      <c r="Y545">
        <v>44.9</v>
      </c>
      <c r="Z545">
        <v>44.9</v>
      </c>
      <c r="AA545">
        <v>0</v>
      </c>
      <c r="AB545" t="s">
        <v>324</v>
      </c>
      <c r="AF545" t="s">
        <v>1524</v>
      </c>
      <c r="AG545" t="s">
        <v>1524</v>
      </c>
      <c r="AH545" t="s">
        <v>1175</v>
      </c>
      <c r="AI545">
        <v>99999</v>
      </c>
      <c r="AJ545">
        <v>99999</v>
      </c>
      <c r="AK545">
        <v>699</v>
      </c>
      <c r="AL545" t="b">
        <v>1</v>
      </c>
      <c r="AM545" t="b">
        <v>1</v>
      </c>
      <c r="AN545" t="b">
        <v>1</v>
      </c>
      <c r="AO545">
        <v>99999</v>
      </c>
      <c r="AP545" t="s">
        <v>64</v>
      </c>
      <c r="AR545" t="b">
        <v>0</v>
      </c>
      <c r="AS545">
        <v>12</v>
      </c>
      <c r="AT545" t="s">
        <v>327</v>
      </c>
      <c r="AV545" t="s">
        <v>1548</v>
      </c>
      <c r="CRL545">
        <v>12</v>
      </c>
    </row>
    <row r="546" spans="1:48 2508:2508" x14ac:dyDescent="0.25">
      <c r="A546" t="s">
        <v>3323</v>
      </c>
      <c r="B546" t="s">
        <v>302</v>
      </c>
      <c r="C546" t="s">
        <v>62</v>
      </c>
      <c r="D546">
        <v>99999</v>
      </c>
      <c r="F546" s="109">
        <v>10000</v>
      </c>
      <c r="G546" t="b">
        <v>1</v>
      </c>
      <c r="H546" t="s">
        <v>339</v>
      </c>
      <c r="K546" t="s">
        <v>349</v>
      </c>
      <c r="L546" t="s">
        <v>303</v>
      </c>
      <c r="M546" t="s">
        <v>323</v>
      </c>
      <c r="N546" t="s">
        <v>63</v>
      </c>
      <c r="O546" s="110">
        <v>49.9</v>
      </c>
      <c r="R546" s="110">
        <v>330.68999999999994</v>
      </c>
      <c r="S546" s="110">
        <v>130</v>
      </c>
      <c r="T546" s="110">
        <v>0</v>
      </c>
      <c r="U546" s="110">
        <v>34.99</v>
      </c>
      <c r="X546">
        <v>120.79999999999995</v>
      </c>
      <c r="Y546">
        <v>44.9</v>
      </c>
      <c r="Z546">
        <v>44.9</v>
      </c>
      <c r="AA546">
        <v>0</v>
      </c>
      <c r="AB546" t="s">
        <v>324</v>
      </c>
      <c r="AF546" t="s">
        <v>2744</v>
      </c>
      <c r="AG546" t="s">
        <v>2744</v>
      </c>
      <c r="AH546" t="s">
        <v>1175</v>
      </c>
      <c r="AI546">
        <v>99999</v>
      </c>
      <c r="AJ546">
        <v>99999</v>
      </c>
      <c r="AK546">
        <v>699</v>
      </c>
      <c r="AL546" t="b">
        <v>1</v>
      </c>
      <c r="AM546" t="b">
        <v>1</v>
      </c>
      <c r="AN546" t="b">
        <v>1</v>
      </c>
      <c r="AO546">
        <v>99999</v>
      </c>
      <c r="AP546" t="s">
        <v>64</v>
      </c>
      <c r="AR546" t="b">
        <v>0</v>
      </c>
      <c r="AS546">
        <v>12</v>
      </c>
      <c r="AT546" t="s">
        <v>327</v>
      </c>
      <c r="AV546" t="s">
        <v>2768</v>
      </c>
      <c r="CRL546">
        <v>12</v>
      </c>
    </row>
    <row r="547" spans="1:48 2508:2508" x14ac:dyDescent="0.25">
      <c r="A547" t="s">
        <v>3323</v>
      </c>
      <c r="B547" t="s">
        <v>302</v>
      </c>
      <c r="C547" t="s">
        <v>62</v>
      </c>
      <c r="D547">
        <v>99999</v>
      </c>
      <c r="F547" s="109">
        <v>10000</v>
      </c>
      <c r="G547" t="b">
        <v>1</v>
      </c>
      <c r="H547" t="s">
        <v>339</v>
      </c>
      <c r="K547" t="s">
        <v>349</v>
      </c>
      <c r="L547" t="s">
        <v>303</v>
      </c>
      <c r="M547" t="s">
        <v>323</v>
      </c>
      <c r="N547" t="s">
        <v>63</v>
      </c>
      <c r="O547" s="110">
        <v>49.9</v>
      </c>
      <c r="R547" s="110">
        <v>354.9899999999999</v>
      </c>
      <c r="S547" s="110">
        <v>130</v>
      </c>
      <c r="T547" s="110">
        <v>0</v>
      </c>
      <c r="U547" s="110">
        <v>42.99</v>
      </c>
      <c r="X547">
        <v>137.09999999999994</v>
      </c>
      <c r="Y547">
        <v>44.9</v>
      </c>
      <c r="Z547">
        <v>44.9</v>
      </c>
      <c r="AA547">
        <v>0</v>
      </c>
      <c r="AB547" t="s">
        <v>324</v>
      </c>
      <c r="AF547" t="s">
        <v>2818</v>
      </c>
      <c r="AG547" t="s">
        <v>2818</v>
      </c>
      <c r="AH547" t="s">
        <v>1175</v>
      </c>
      <c r="AI547">
        <v>99999</v>
      </c>
      <c r="AJ547">
        <v>99999</v>
      </c>
      <c r="AK547">
        <v>699</v>
      </c>
      <c r="AL547" t="b">
        <v>1</v>
      </c>
      <c r="AM547" t="b">
        <v>1</v>
      </c>
      <c r="AN547" t="b">
        <v>1</v>
      </c>
      <c r="AO547">
        <v>99999</v>
      </c>
      <c r="AP547" t="s">
        <v>64</v>
      </c>
      <c r="AR547" t="b">
        <v>0</v>
      </c>
      <c r="AS547">
        <v>12</v>
      </c>
      <c r="AT547" t="s">
        <v>327</v>
      </c>
      <c r="AV547" t="s">
        <v>2842</v>
      </c>
      <c r="CRL547">
        <v>12</v>
      </c>
    </row>
    <row r="548" spans="1:48 2508:2508" x14ac:dyDescent="0.25">
      <c r="A548" t="s">
        <v>3323</v>
      </c>
      <c r="B548" t="s">
        <v>302</v>
      </c>
      <c r="C548" t="s">
        <v>62</v>
      </c>
      <c r="D548">
        <v>99999</v>
      </c>
      <c r="F548" s="109">
        <v>10000</v>
      </c>
      <c r="G548" t="b">
        <v>1</v>
      </c>
      <c r="H548" t="s">
        <v>339</v>
      </c>
      <c r="K548" t="s">
        <v>349</v>
      </c>
      <c r="L548" t="s">
        <v>303</v>
      </c>
      <c r="M548" t="s">
        <v>323</v>
      </c>
      <c r="N548" t="s">
        <v>63</v>
      </c>
      <c r="O548" s="110">
        <v>49.9</v>
      </c>
      <c r="R548" s="110">
        <v>374.9899999999999</v>
      </c>
      <c r="S548" s="110">
        <v>130</v>
      </c>
      <c r="T548" s="110">
        <v>0</v>
      </c>
      <c r="U548" s="110">
        <v>42.99</v>
      </c>
      <c r="X548">
        <v>157.09999999999994</v>
      </c>
      <c r="Y548">
        <v>44.9</v>
      </c>
      <c r="Z548">
        <v>44.9</v>
      </c>
      <c r="AA548">
        <v>0</v>
      </c>
      <c r="AB548" t="s">
        <v>324</v>
      </c>
      <c r="AF548" t="s">
        <v>2885</v>
      </c>
      <c r="AG548" t="s">
        <v>2885</v>
      </c>
      <c r="AH548" t="s">
        <v>1175</v>
      </c>
      <c r="AI548">
        <v>99999</v>
      </c>
      <c r="AJ548">
        <v>99999</v>
      </c>
      <c r="AK548">
        <v>699</v>
      </c>
      <c r="AL548" t="b">
        <v>1</v>
      </c>
      <c r="AM548" t="b">
        <v>1</v>
      </c>
      <c r="AN548" t="b">
        <v>1</v>
      </c>
      <c r="AO548">
        <v>99999</v>
      </c>
      <c r="AP548" t="s">
        <v>64</v>
      </c>
      <c r="AR548" t="b">
        <v>0</v>
      </c>
      <c r="AS548">
        <v>12</v>
      </c>
      <c r="AT548" t="s">
        <v>327</v>
      </c>
      <c r="AV548" t="s">
        <v>2909</v>
      </c>
      <c r="CRL548">
        <v>12</v>
      </c>
    </row>
    <row r="549" spans="1:48 2508:2508" x14ac:dyDescent="0.25">
      <c r="A549" t="s">
        <v>3323</v>
      </c>
      <c r="B549" t="s">
        <v>302</v>
      </c>
      <c r="C549" t="s">
        <v>62</v>
      </c>
      <c r="D549">
        <v>99999</v>
      </c>
      <c r="F549" s="109">
        <v>10000</v>
      </c>
      <c r="G549" t="b">
        <v>1</v>
      </c>
      <c r="H549" t="s">
        <v>339</v>
      </c>
      <c r="K549" t="s">
        <v>349</v>
      </c>
      <c r="L549" t="s">
        <v>303</v>
      </c>
      <c r="M549" t="s">
        <v>323</v>
      </c>
      <c r="N549" t="s">
        <v>63</v>
      </c>
      <c r="O549" s="110">
        <v>49.9</v>
      </c>
      <c r="R549" s="110">
        <v>389.88999999999993</v>
      </c>
      <c r="S549" s="110">
        <v>130</v>
      </c>
      <c r="T549" s="110">
        <v>0</v>
      </c>
      <c r="U549" s="110">
        <v>42.99</v>
      </c>
      <c r="X549">
        <v>171.99999999999994</v>
      </c>
      <c r="Y549">
        <v>44.9</v>
      </c>
      <c r="Z549">
        <v>44.9</v>
      </c>
      <c r="AA549">
        <v>0</v>
      </c>
      <c r="AB549" t="s">
        <v>324</v>
      </c>
      <c r="AF549" t="s">
        <v>2959</v>
      </c>
      <c r="AG549" t="s">
        <v>2959</v>
      </c>
      <c r="AH549" t="s">
        <v>1175</v>
      </c>
      <c r="AI549">
        <v>99999</v>
      </c>
      <c r="AJ549">
        <v>99999</v>
      </c>
      <c r="AK549">
        <v>699</v>
      </c>
      <c r="AL549" t="b">
        <v>1</v>
      </c>
      <c r="AM549" t="b">
        <v>1</v>
      </c>
      <c r="AN549" t="b">
        <v>1</v>
      </c>
      <c r="AO549">
        <v>99999</v>
      </c>
      <c r="AP549" t="s">
        <v>64</v>
      </c>
      <c r="AR549" t="b">
        <v>0</v>
      </c>
      <c r="AS549">
        <v>12</v>
      </c>
      <c r="AT549" t="s">
        <v>327</v>
      </c>
      <c r="AV549" t="s">
        <v>2983</v>
      </c>
      <c r="CRL549">
        <v>12</v>
      </c>
    </row>
    <row r="550" spans="1:48 2508:2508" x14ac:dyDescent="0.25">
      <c r="A550" t="s">
        <v>3323</v>
      </c>
      <c r="B550" t="s">
        <v>302</v>
      </c>
      <c r="C550" t="s">
        <v>62</v>
      </c>
      <c r="D550">
        <v>99999</v>
      </c>
      <c r="F550" s="109">
        <v>10000</v>
      </c>
      <c r="G550" t="b">
        <v>1</v>
      </c>
      <c r="H550" t="s">
        <v>339</v>
      </c>
      <c r="K550" t="s">
        <v>393</v>
      </c>
      <c r="L550" t="s">
        <v>303</v>
      </c>
      <c r="M550" t="s">
        <v>323</v>
      </c>
      <c r="N550" t="s">
        <v>63</v>
      </c>
      <c r="O550" s="110">
        <v>29.9</v>
      </c>
      <c r="R550" s="110">
        <v>329.89</v>
      </c>
      <c r="S550" s="110">
        <v>79.900000000000006</v>
      </c>
      <c r="T550" s="110">
        <v>0</v>
      </c>
      <c r="U550" s="110">
        <v>42.99</v>
      </c>
      <c r="X550">
        <v>137.09999999999994</v>
      </c>
      <c r="Y550">
        <v>69.900000000000006</v>
      </c>
      <c r="Z550">
        <v>69.900000000000006</v>
      </c>
      <c r="AA550">
        <v>0</v>
      </c>
      <c r="AB550" t="s">
        <v>363</v>
      </c>
      <c r="AF550" t="s">
        <v>1202</v>
      </c>
      <c r="AG550" t="s">
        <v>1202</v>
      </c>
      <c r="AH550" t="s">
        <v>1175</v>
      </c>
      <c r="AI550">
        <v>99999</v>
      </c>
      <c r="AJ550">
        <v>99999</v>
      </c>
      <c r="AK550">
        <v>699</v>
      </c>
      <c r="AL550" t="b">
        <v>1</v>
      </c>
      <c r="AM550" t="b">
        <v>1</v>
      </c>
      <c r="AN550" t="b">
        <v>1</v>
      </c>
      <c r="AO550">
        <v>99999</v>
      </c>
      <c r="AP550" t="s">
        <v>64</v>
      </c>
      <c r="AR550" t="b">
        <v>0</v>
      </c>
      <c r="AS550">
        <v>12</v>
      </c>
      <c r="AT550" t="s">
        <v>327</v>
      </c>
      <c r="AV550" t="s">
        <v>1239</v>
      </c>
      <c r="CRL550">
        <v>12</v>
      </c>
    </row>
    <row r="551" spans="1:48 2508:2508" x14ac:dyDescent="0.25">
      <c r="A551" t="s">
        <v>3323</v>
      </c>
      <c r="B551" t="s">
        <v>302</v>
      </c>
      <c r="C551" t="s">
        <v>62</v>
      </c>
      <c r="D551">
        <v>99999</v>
      </c>
      <c r="F551" s="109">
        <v>10000</v>
      </c>
      <c r="G551" t="b">
        <v>1</v>
      </c>
      <c r="H551" t="s">
        <v>339</v>
      </c>
      <c r="K551" t="s">
        <v>393</v>
      </c>
      <c r="L551" t="s">
        <v>303</v>
      </c>
      <c r="M551" t="s">
        <v>323</v>
      </c>
      <c r="N551" t="s">
        <v>63</v>
      </c>
      <c r="O551" s="110">
        <v>29.9</v>
      </c>
      <c r="R551" s="110">
        <v>349.89</v>
      </c>
      <c r="S551" s="110">
        <v>79.900000000000006</v>
      </c>
      <c r="T551" s="110">
        <v>0</v>
      </c>
      <c r="U551" s="110">
        <v>42.99</v>
      </c>
      <c r="X551">
        <v>157.09999999999994</v>
      </c>
      <c r="Y551">
        <v>69.900000000000006</v>
      </c>
      <c r="Z551">
        <v>69.900000000000006</v>
      </c>
      <c r="AA551">
        <v>0</v>
      </c>
      <c r="AB551" t="s">
        <v>363</v>
      </c>
      <c r="AF551" t="s">
        <v>1336</v>
      </c>
      <c r="AG551" t="s">
        <v>1336</v>
      </c>
      <c r="AH551" t="s">
        <v>1175</v>
      </c>
      <c r="AI551">
        <v>99999</v>
      </c>
      <c r="AJ551">
        <v>99999</v>
      </c>
      <c r="AK551">
        <v>699</v>
      </c>
      <c r="AL551" t="b">
        <v>1</v>
      </c>
      <c r="AM551" t="b">
        <v>1</v>
      </c>
      <c r="AN551" t="b">
        <v>1</v>
      </c>
      <c r="AO551">
        <v>99999</v>
      </c>
      <c r="AP551" t="s">
        <v>64</v>
      </c>
      <c r="AR551" t="b">
        <v>0</v>
      </c>
      <c r="AS551">
        <v>12</v>
      </c>
      <c r="AT551" t="s">
        <v>327</v>
      </c>
      <c r="AV551" t="s">
        <v>1373</v>
      </c>
      <c r="CRL551">
        <v>12</v>
      </c>
    </row>
    <row r="552" spans="1:48 2508:2508" x14ac:dyDescent="0.25">
      <c r="A552" t="s">
        <v>3323</v>
      </c>
      <c r="B552" t="s">
        <v>302</v>
      </c>
      <c r="C552" t="s">
        <v>62</v>
      </c>
      <c r="D552">
        <v>99999</v>
      </c>
      <c r="F552" s="109">
        <v>10000</v>
      </c>
      <c r="G552" t="b">
        <v>1</v>
      </c>
      <c r="H552" t="s">
        <v>339</v>
      </c>
      <c r="K552" t="s">
        <v>393</v>
      </c>
      <c r="L552" t="s">
        <v>303</v>
      </c>
      <c r="M552" t="s">
        <v>323</v>
      </c>
      <c r="N552" t="s">
        <v>63</v>
      </c>
      <c r="O552" s="110">
        <v>29.9</v>
      </c>
      <c r="R552" s="110">
        <v>369.89</v>
      </c>
      <c r="S552" s="110">
        <v>85</v>
      </c>
      <c r="T552" s="110">
        <v>0</v>
      </c>
      <c r="U552" s="110">
        <v>42.99</v>
      </c>
      <c r="X552">
        <v>171.99999999999994</v>
      </c>
      <c r="Y552">
        <v>69.900000000000006</v>
      </c>
      <c r="Z552">
        <v>69.900000000000006</v>
      </c>
      <c r="AA552">
        <v>0</v>
      </c>
      <c r="AB552" t="s">
        <v>363</v>
      </c>
      <c r="AF552" t="s">
        <v>1484</v>
      </c>
      <c r="AG552" t="s">
        <v>1484</v>
      </c>
      <c r="AH552" t="s">
        <v>1175</v>
      </c>
      <c r="AI552">
        <v>99999</v>
      </c>
      <c r="AJ552">
        <v>99999</v>
      </c>
      <c r="AK552">
        <v>699</v>
      </c>
      <c r="AL552" t="b">
        <v>1</v>
      </c>
      <c r="AM552" t="b">
        <v>1</v>
      </c>
      <c r="AN552" t="b">
        <v>1</v>
      </c>
      <c r="AO552">
        <v>99999</v>
      </c>
      <c r="AP552" t="s">
        <v>64</v>
      </c>
      <c r="AR552" t="b">
        <v>0</v>
      </c>
      <c r="AS552">
        <v>12</v>
      </c>
      <c r="AT552" t="s">
        <v>327</v>
      </c>
      <c r="AV552" t="s">
        <v>1521</v>
      </c>
      <c r="CRL552">
        <v>12</v>
      </c>
    </row>
    <row r="553" spans="1:48 2508:2508" x14ac:dyDescent="0.25">
      <c r="A553" t="s">
        <v>3323</v>
      </c>
      <c r="B553" t="s">
        <v>302</v>
      </c>
      <c r="C553" t="s">
        <v>62</v>
      </c>
      <c r="D553">
        <v>99999</v>
      </c>
      <c r="F553" s="109">
        <v>10000</v>
      </c>
      <c r="G553" t="b">
        <v>1</v>
      </c>
      <c r="H553" t="s">
        <v>339</v>
      </c>
      <c r="K553" t="s">
        <v>393</v>
      </c>
      <c r="L553" t="s">
        <v>303</v>
      </c>
      <c r="M553" t="s">
        <v>323</v>
      </c>
      <c r="N553" t="s">
        <v>63</v>
      </c>
      <c r="O553" s="110">
        <v>39.9</v>
      </c>
      <c r="R553" s="110">
        <v>329.89</v>
      </c>
      <c r="S553" s="110">
        <v>79.900000000000006</v>
      </c>
      <c r="T553" s="110">
        <v>0</v>
      </c>
      <c r="U553" s="110">
        <v>42.99</v>
      </c>
      <c r="X553">
        <v>137.09999999999994</v>
      </c>
      <c r="Y553">
        <v>69.900000000000006</v>
      </c>
      <c r="Z553">
        <v>69.900000000000006</v>
      </c>
      <c r="AA553">
        <v>0</v>
      </c>
      <c r="AB553" t="s">
        <v>363</v>
      </c>
      <c r="AF553" t="s">
        <v>1269</v>
      </c>
      <c r="AG553" t="s">
        <v>1269</v>
      </c>
      <c r="AH553" t="s">
        <v>1175</v>
      </c>
      <c r="AI553">
        <v>99999</v>
      </c>
      <c r="AJ553">
        <v>99999</v>
      </c>
      <c r="AK553">
        <v>699</v>
      </c>
      <c r="AL553" t="b">
        <v>1</v>
      </c>
      <c r="AM553" t="b">
        <v>1</v>
      </c>
      <c r="AN553" t="b">
        <v>1</v>
      </c>
      <c r="AO553">
        <v>99999</v>
      </c>
      <c r="AP553" t="s">
        <v>64</v>
      </c>
      <c r="AR553" t="b">
        <v>0</v>
      </c>
      <c r="AS553">
        <v>12</v>
      </c>
      <c r="AT553" t="s">
        <v>327</v>
      </c>
      <c r="AV553" t="s">
        <v>1306</v>
      </c>
      <c r="CRL553">
        <v>12</v>
      </c>
    </row>
    <row r="554" spans="1:48 2508:2508" x14ac:dyDescent="0.25">
      <c r="A554" t="s">
        <v>3323</v>
      </c>
      <c r="B554" t="s">
        <v>302</v>
      </c>
      <c r="C554" t="s">
        <v>62</v>
      </c>
      <c r="D554">
        <v>99999</v>
      </c>
      <c r="F554" s="109">
        <v>10000</v>
      </c>
      <c r="G554" t="b">
        <v>1</v>
      </c>
      <c r="H554" t="s">
        <v>339</v>
      </c>
      <c r="K554" t="s">
        <v>393</v>
      </c>
      <c r="L554" t="s">
        <v>303</v>
      </c>
      <c r="M554" t="s">
        <v>323</v>
      </c>
      <c r="N554" t="s">
        <v>63</v>
      </c>
      <c r="O554" s="110">
        <v>39.9</v>
      </c>
      <c r="R554" s="110">
        <v>349.89</v>
      </c>
      <c r="S554" s="110">
        <v>79.900000000000006</v>
      </c>
      <c r="T554" s="110">
        <v>0</v>
      </c>
      <c r="U554" s="110">
        <v>42.99</v>
      </c>
      <c r="X554">
        <v>157.09999999999994</v>
      </c>
      <c r="Y554">
        <v>69.900000000000006</v>
      </c>
      <c r="Z554">
        <v>69.900000000000006</v>
      </c>
      <c r="AA554">
        <v>0</v>
      </c>
      <c r="AB554" t="s">
        <v>363</v>
      </c>
      <c r="AF554" t="s">
        <v>1403</v>
      </c>
      <c r="AG554" t="s">
        <v>1403</v>
      </c>
      <c r="AH554" t="s">
        <v>1175</v>
      </c>
      <c r="AI554">
        <v>99999</v>
      </c>
      <c r="AJ554">
        <v>99999</v>
      </c>
      <c r="AK554">
        <v>699</v>
      </c>
      <c r="AL554" t="b">
        <v>1</v>
      </c>
      <c r="AM554" t="b">
        <v>1</v>
      </c>
      <c r="AN554" t="b">
        <v>1</v>
      </c>
      <c r="AO554">
        <v>99999</v>
      </c>
      <c r="AP554" t="s">
        <v>64</v>
      </c>
      <c r="AR554" t="b">
        <v>0</v>
      </c>
      <c r="AS554">
        <v>12</v>
      </c>
      <c r="AT554" t="s">
        <v>327</v>
      </c>
      <c r="AV554" t="s">
        <v>1440</v>
      </c>
      <c r="CRL554">
        <v>12</v>
      </c>
    </row>
    <row r="555" spans="1:48 2508:2508" x14ac:dyDescent="0.25">
      <c r="A555" t="s">
        <v>3323</v>
      </c>
      <c r="B555" t="s">
        <v>302</v>
      </c>
      <c r="C555" t="s">
        <v>62</v>
      </c>
      <c r="D555">
        <v>99999</v>
      </c>
      <c r="F555" s="109">
        <v>10000</v>
      </c>
      <c r="G555" t="b">
        <v>1</v>
      </c>
      <c r="H555" t="s">
        <v>339</v>
      </c>
      <c r="K555" t="s">
        <v>393</v>
      </c>
      <c r="L555" t="s">
        <v>303</v>
      </c>
      <c r="M555" t="s">
        <v>323</v>
      </c>
      <c r="N555" t="s">
        <v>63</v>
      </c>
      <c r="O555" s="110">
        <v>39.9</v>
      </c>
      <c r="R555" s="110">
        <v>369.89</v>
      </c>
      <c r="S555" s="110">
        <v>85</v>
      </c>
      <c r="T555" s="110">
        <v>0</v>
      </c>
      <c r="U555" s="110">
        <v>42.99</v>
      </c>
      <c r="X555">
        <v>171.99999999999994</v>
      </c>
      <c r="Y555">
        <v>69.900000000000006</v>
      </c>
      <c r="Z555">
        <v>69.900000000000006</v>
      </c>
      <c r="AA555">
        <v>0</v>
      </c>
      <c r="AB555" t="s">
        <v>363</v>
      </c>
      <c r="AF555" t="s">
        <v>1551</v>
      </c>
      <c r="AG555" t="s">
        <v>1551</v>
      </c>
      <c r="AH555" t="s">
        <v>1175</v>
      </c>
      <c r="AI555">
        <v>99999</v>
      </c>
      <c r="AJ555">
        <v>99999</v>
      </c>
      <c r="AK555">
        <v>699</v>
      </c>
      <c r="AL555" t="b">
        <v>1</v>
      </c>
      <c r="AM555" t="b">
        <v>1</v>
      </c>
      <c r="AN555" t="b">
        <v>1</v>
      </c>
      <c r="AO555">
        <v>99999</v>
      </c>
      <c r="AP555" t="s">
        <v>64</v>
      </c>
      <c r="AR555" t="b">
        <v>0</v>
      </c>
      <c r="AS555">
        <v>12</v>
      </c>
      <c r="AT555" t="s">
        <v>327</v>
      </c>
      <c r="AV555" t="s">
        <v>1588</v>
      </c>
      <c r="CRL555">
        <v>12</v>
      </c>
    </row>
    <row r="556" spans="1:48 2508:2508" x14ac:dyDescent="0.25">
      <c r="A556" t="s">
        <v>3323</v>
      </c>
      <c r="B556" t="s">
        <v>302</v>
      </c>
      <c r="C556" t="s">
        <v>62</v>
      </c>
      <c r="D556">
        <v>99999</v>
      </c>
      <c r="F556" s="109">
        <v>10000</v>
      </c>
      <c r="G556" t="b">
        <v>1</v>
      </c>
      <c r="H556" t="s">
        <v>339</v>
      </c>
      <c r="K556" t="s">
        <v>393</v>
      </c>
      <c r="L556" t="s">
        <v>303</v>
      </c>
      <c r="M556" t="s">
        <v>323</v>
      </c>
      <c r="N556" t="s">
        <v>63</v>
      </c>
      <c r="O556" s="110">
        <v>49.9</v>
      </c>
      <c r="R556" s="110">
        <v>355.68999999999994</v>
      </c>
      <c r="S556" s="110">
        <v>130</v>
      </c>
      <c r="T556" s="110">
        <v>0</v>
      </c>
      <c r="U556" s="110">
        <v>34.99</v>
      </c>
      <c r="X556">
        <v>120.79999999999995</v>
      </c>
      <c r="Y556">
        <v>69.900000000000006</v>
      </c>
      <c r="Z556">
        <v>69.900000000000006</v>
      </c>
      <c r="AA556">
        <v>0</v>
      </c>
      <c r="AB556" t="s">
        <v>363</v>
      </c>
      <c r="AF556" t="s">
        <v>2771</v>
      </c>
      <c r="AG556" t="s">
        <v>2771</v>
      </c>
      <c r="AH556" t="s">
        <v>1175</v>
      </c>
      <c r="AI556">
        <v>99999</v>
      </c>
      <c r="AJ556">
        <v>99999</v>
      </c>
      <c r="AK556">
        <v>699</v>
      </c>
      <c r="AL556" t="b">
        <v>1</v>
      </c>
      <c r="AM556" t="b">
        <v>1</v>
      </c>
      <c r="AN556" t="b">
        <v>1</v>
      </c>
      <c r="AO556">
        <v>99999</v>
      </c>
      <c r="AP556" t="s">
        <v>64</v>
      </c>
      <c r="AR556" t="b">
        <v>0</v>
      </c>
      <c r="AS556">
        <v>12</v>
      </c>
      <c r="AT556" t="s">
        <v>327</v>
      </c>
      <c r="AV556" t="s">
        <v>2808</v>
      </c>
      <c r="CRL556">
        <v>12</v>
      </c>
    </row>
    <row r="557" spans="1:48 2508:2508" x14ac:dyDescent="0.25">
      <c r="A557" t="s">
        <v>3323</v>
      </c>
      <c r="B557" t="s">
        <v>302</v>
      </c>
      <c r="C557" t="s">
        <v>62</v>
      </c>
      <c r="D557">
        <v>99999</v>
      </c>
      <c r="F557" s="109">
        <v>10000</v>
      </c>
      <c r="G557" t="b">
        <v>1</v>
      </c>
      <c r="H557" t="s">
        <v>339</v>
      </c>
      <c r="K557" t="s">
        <v>393</v>
      </c>
      <c r="L557" t="s">
        <v>303</v>
      </c>
      <c r="M557" t="s">
        <v>323</v>
      </c>
      <c r="N557" t="s">
        <v>63</v>
      </c>
      <c r="O557" s="110">
        <v>49.9</v>
      </c>
      <c r="R557" s="110">
        <v>379.98999999999995</v>
      </c>
      <c r="S557" s="110">
        <v>130</v>
      </c>
      <c r="T557" s="110">
        <v>0</v>
      </c>
      <c r="U557" s="110">
        <v>42.99</v>
      </c>
      <c r="X557">
        <v>137.09999999999994</v>
      </c>
      <c r="Y557">
        <v>69.900000000000006</v>
      </c>
      <c r="Z557">
        <v>69.900000000000006</v>
      </c>
      <c r="AA557">
        <v>0</v>
      </c>
      <c r="AB557" t="s">
        <v>363</v>
      </c>
      <c r="AF557" t="s">
        <v>2845</v>
      </c>
      <c r="AG557" t="s">
        <v>2845</v>
      </c>
      <c r="AH557" t="s">
        <v>1175</v>
      </c>
      <c r="AI557">
        <v>99999</v>
      </c>
      <c r="AJ557">
        <v>99999</v>
      </c>
      <c r="AK557">
        <v>699</v>
      </c>
      <c r="AL557" t="b">
        <v>1</v>
      </c>
      <c r="AM557" t="b">
        <v>1</v>
      </c>
      <c r="AN557" t="b">
        <v>1</v>
      </c>
      <c r="AO557">
        <v>99999</v>
      </c>
      <c r="AP557" t="s">
        <v>64</v>
      </c>
      <c r="AR557" t="b">
        <v>0</v>
      </c>
      <c r="AS557">
        <v>12</v>
      </c>
      <c r="AT557" t="s">
        <v>327</v>
      </c>
      <c r="AV557" t="s">
        <v>2882</v>
      </c>
      <c r="CRL557">
        <v>12</v>
      </c>
    </row>
    <row r="558" spans="1:48 2508:2508" x14ac:dyDescent="0.25">
      <c r="A558" t="s">
        <v>3323</v>
      </c>
      <c r="B558" t="s">
        <v>302</v>
      </c>
      <c r="C558" t="s">
        <v>62</v>
      </c>
      <c r="D558">
        <v>99999</v>
      </c>
      <c r="F558" s="109">
        <v>10000</v>
      </c>
      <c r="G558" t="b">
        <v>1</v>
      </c>
      <c r="H558" t="s">
        <v>339</v>
      </c>
      <c r="K558" t="s">
        <v>393</v>
      </c>
      <c r="L558" t="s">
        <v>303</v>
      </c>
      <c r="M558" t="s">
        <v>323</v>
      </c>
      <c r="N558" t="s">
        <v>63</v>
      </c>
      <c r="O558" s="110">
        <v>49.9</v>
      </c>
      <c r="R558" s="110">
        <v>399.98999999999995</v>
      </c>
      <c r="S558" s="110">
        <v>130</v>
      </c>
      <c r="T558" s="110">
        <v>0</v>
      </c>
      <c r="U558" s="110">
        <v>42.99</v>
      </c>
      <c r="X558">
        <v>157.09999999999994</v>
      </c>
      <c r="Y558">
        <v>69.900000000000006</v>
      </c>
      <c r="Z558">
        <v>69.900000000000006</v>
      </c>
      <c r="AA558">
        <v>0</v>
      </c>
      <c r="AB558" t="s">
        <v>363</v>
      </c>
      <c r="AF558" t="s">
        <v>2912</v>
      </c>
      <c r="AG558" t="s">
        <v>2912</v>
      </c>
      <c r="AH558" t="s">
        <v>1175</v>
      </c>
      <c r="AI558">
        <v>99999</v>
      </c>
      <c r="AJ558">
        <v>99999</v>
      </c>
      <c r="AK558">
        <v>699</v>
      </c>
      <c r="AL558" t="b">
        <v>1</v>
      </c>
      <c r="AM558" t="b">
        <v>1</v>
      </c>
      <c r="AN558" t="b">
        <v>1</v>
      </c>
      <c r="AO558">
        <v>99999</v>
      </c>
      <c r="AP558" t="s">
        <v>64</v>
      </c>
      <c r="AR558" t="b">
        <v>0</v>
      </c>
      <c r="AS558">
        <v>12</v>
      </c>
      <c r="AT558" t="s">
        <v>327</v>
      </c>
      <c r="AV558" t="s">
        <v>2949</v>
      </c>
      <c r="CRL558">
        <v>12</v>
      </c>
    </row>
    <row r="559" spans="1:48 2508:2508" x14ac:dyDescent="0.25">
      <c r="A559" t="s">
        <v>3323</v>
      </c>
      <c r="B559" t="s">
        <v>302</v>
      </c>
      <c r="C559" t="s">
        <v>62</v>
      </c>
      <c r="D559">
        <v>99999</v>
      </c>
      <c r="F559" s="109">
        <v>10000</v>
      </c>
      <c r="G559" t="b">
        <v>1</v>
      </c>
      <c r="H559" t="s">
        <v>339</v>
      </c>
      <c r="K559" t="s">
        <v>393</v>
      </c>
      <c r="L559" t="s">
        <v>303</v>
      </c>
      <c r="M559" t="s">
        <v>323</v>
      </c>
      <c r="N559" t="s">
        <v>63</v>
      </c>
      <c r="O559" s="110">
        <v>49.9</v>
      </c>
      <c r="R559" s="110">
        <v>414.89</v>
      </c>
      <c r="S559" s="110">
        <v>130</v>
      </c>
      <c r="T559" s="110">
        <v>0</v>
      </c>
      <c r="U559" s="110">
        <v>42.99</v>
      </c>
      <c r="X559">
        <v>171.99999999999994</v>
      </c>
      <c r="Y559">
        <v>69.900000000000006</v>
      </c>
      <c r="Z559">
        <v>69.900000000000006</v>
      </c>
      <c r="AA559">
        <v>0</v>
      </c>
      <c r="AB559" t="s">
        <v>363</v>
      </c>
      <c r="AF559" t="s">
        <v>2986</v>
      </c>
      <c r="AG559" t="s">
        <v>2986</v>
      </c>
      <c r="AH559" t="s">
        <v>1175</v>
      </c>
      <c r="AI559">
        <v>99999</v>
      </c>
      <c r="AJ559">
        <v>99999</v>
      </c>
      <c r="AK559">
        <v>699</v>
      </c>
      <c r="AL559" t="b">
        <v>1</v>
      </c>
      <c r="AM559" t="b">
        <v>1</v>
      </c>
      <c r="AN559" t="b">
        <v>1</v>
      </c>
      <c r="AO559">
        <v>99999</v>
      </c>
      <c r="AP559" t="s">
        <v>64</v>
      </c>
      <c r="AR559" t="b">
        <v>0</v>
      </c>
      <c r="AS559">
        <v>12</v>
      </c>
      <c r="AT559" t="s">
        <v>327</v>
      </c>
      <c r="AV559" t="s">
        <v>3023</v>
      </c>
      <c r="CRL559">
        <v>12</v>
      </c>
    </row>
    <row r="560" spans="1:48 2508:2508" x14ac:dyDescent="0.25">
      <c r="A560" t="s">
        <v>3323</v>
      </c>
      <c r="B560" t="s">
        <v>302</v>
      </c>
      <c r="C560" t="s">
        <v>62</v>
      </c>
      <c r="D560">
        <v>99999</v>
      </c>
      <c r="F560" s="109">
        <v>10000</v>
      </c>
      <c r="G560" t="b">
        <v>1</v>
      </c>
      <c r="H560" t="s">
        <v>339</v>
      </c>
      <c r="K560" t="s">
        <v>364</v>
      </c>
      <c r="L560" t="s">
        <v>303</v>
      </c>
      <c r="M560" t="s">
        <v>323</v>
      </c>
      <c r="N560" t="s">
        <v>63</v>
      </c>
      <c r="O560" s="110">
        <v>29.9</v>
      </c>
      <c r="R560" s="110">
        <v>309.89</v>
      </c>
      <c r="S560" s="110">
        <v>79.900000000000006</v>
      </c>
      <c r="T560" s="110">
        <v>0</v>
      </c>
      <c r="U560" s="110">
        <v>42.99</v>
      </c>
      <c r="X560">
        <v>137.09999999999994</v>
      </c>
      <c r="Y560">
        <v>49.9</v>
      </c>
      <c r="Z560">
        <v>49.9</v>
      </c>
      <c r="AA560">
        <v>0</v>
      </c>
      <c r="AB560" t="s">
        <v>363</v>
      </c>
      <c r="AF560" t="s">
        <v>1202</v>
      </c>
      <c r="AG560" t="s">
        <v>1202</v>
      </c>
      <c r="AH560" t="s">
        <v>1175</v>
      </c>
      <c r="AI560">
        <v>99999</v>
      </c>
      <c r="AJ560">
        <v>99999</v>
      </c>
      <c r="AK560">
        <v>699</v>
      </c>
      <c r="AL560" t="b">
        <v>1</v>
      </c>
      <c r="AM560" t="b">
        <v>1</v>
      </c>
      <c r="AN560" t="b">
        <v>1</v>
      </c>
      <c r="AO560">
        <v>99999</v>
      </c>
      <c r="AP560" t="s">
        <v>64</v>
      </c>
      <c r="AR560" t="b">
        <v>0</v>
      </c>
      <c r="AS560">
        <v>12</v>
      </c>
      <c r="AT560" t="s">
        <v>327</v>
      </c>
      <c r="AV560" t="s">
        <v>1213</v>
      </c>
      <c r="CRL560">
        <v>12</v>
      </c>
    </row>
    <row r="561" spans="1:48 2508:2508" x14ac:dyDescent="0.25">
      <c r="A561" t="s">
        <v>3323</v>
      </c>
      <c r="B561" t="s">
        <v>302</v>
      </c>
      <c r="C561" t="s">
        <v>62</v>
      </c>
      <c r="D561">
        <v>99999</v>
      </c>
      <c r="F561" s="109">
        <v>10000</v>
      </c>
      <c r="G561" t="b">
        <v>1</v>
      </c>
      <c r="H561" t="s">
        <v>339</v>
      </c>
      <c r="K561" t="s">
        <v>364</v>
      </c>
      <c r="L561" t="s">
        <v>303</v>
      </c>
      <c r="M561" t="s">
        <v>323</v>
      </c>
      <c r="N561" t="s">
        <v>63</v>
      </c>
      <c r="O561" s="110">
        <v>29.9</v>
      </c>
      <c r="R561" s="110">
        <v>329.89</v>
      </c>
      <c r="S561" s="110">
        <v>79.900000000000006</v>
      </c>
      <c r="T561" s="110">
        <v>0</v>
      </c>
      <c r="U561" s="110">
        <v>42.99</v>
      </c>
      <c r="X561">
        <v>157.09999999999994</v>
      </c>
      <c r="Y561">
        <v>49.9</v>
      </c>
      <c r="Z561">
        <v>49.9</v>
      </c>
      <c r="AA561">
        <v>0</v>
      </c>
      <c r="AB561" t="s">
        <v>363</v>
      </c>
      <c r="AF561" t="s">
        <v>1336</v>
      </c>
      <c r="AG561" t="s">
        <v>1336</v>
      </c>
      <c r="AH561" t="s">
        <v>1175</v>
      </c>
      <c r="AI561">
        <v>99999</v>
      </c>
      <c r="AJ561">
        <v>99999</v>
      </c>
      <c r="AK561">
        <v>699</v>
      </c>
      <c r="AL561" t="b">
        <v>1</v>
      </c>
      <c r="AM561" t="b">
        <v>1</v>
      </c>
      <c r="AN561" t="b">
        <v>1</v>
      </c>
      <c r="AO561">
        <v>99999</v>
      </c>
      <c r="AP561" t="s">
        <v>64</v>
      </c>
      <c r="AR561" t="b">
        <v>0</v>
      </c>
      <c r="AS561">
        <v>12</v>
      </c>
      <c r="AT561" t="s">
        <v>327</v>
      </c>
      <c r="AV561" t="s">
        <v>1347</v>
      </c>
      <c r="CRL561">
        <v>12</v>
      </c>
    </row>
    <row r="562" spans="1:48 2508:2508" x14ac:dyDescent="0.25">
      <c r="A562" t="s">
        <v>3323</v>
      </c>
      <c r="B562" t="s">
        <v>302</v>
      </c>
      <c r="C562" t="s">
        <v>62</v>
      </c>
      <c r="D562">
        <v>99999</v>
      </c>
      <c r="F562" s="109">
        <v>10000</v>
      </c>
      <c r="G562" t="b">
        <v>1</v>
      </c>
      <c r="H562" t="s">
        <v>339</v>
      </c>
      <c r="K562" t="s">
        <v>364</v>
      </c>
      <c r="L562" t="s">
        <v>303</v>
      </c>
      <c r="M562" t="s">
        <v>323</v>
      </c>
      <c r="N562" t="s">
        <v>63</v>
      </c>
      <c r="O562" s="110">
        <v>29.9</v>
      </c>
      <c r="R562" s="110">
        <v>349.88999999999993</v>
      </c>
      <c r="S562" s="110">
        <v>85</v>
      </c>
      <c r="T562" s="110">
        <v>0</v>
      </c>
      <c r="U562" s="110">
        <v>42.99</v>
      </c>
      <c r="X562">
        <v>171.99999999999994</v>
      </c>
      <c r="Y562">
        <v>49.9</v>
      </c>
      <c r="Z562">
        <v>49.9</v>
      </c>
      <c r="AA562">
        <v>0</v>
      </c>
      <c r="AB562" t="s">
        <v>363</v>
      </c>
      <c r="AF562" t="s">
        <v>1484</v>
      </c>
      <c r="AG562" t="s">
        <v>1484</v>
      </c>
      <c r="AH562" t="s">
        <v>1175</v>
      </c>
      <c r="AI562">
        <v>99999</v>
      </c>
      <c r="AJ562">
        <v>99999</v>
      </c>
      <c r="AK562">
        <v>699</v>
      </c>
      <c r="AL562" t="b">
        <v>1</v>
      </c>
      <c r="AM562" t="b">
        <v>1</v>
      </c>
      <c r="AN562" t="b">
        <v>1</v>
      </c>
      <c r="AO562">
        <v>99999</v>
      </c>
      <c r="AP562" t="s">
        <v>64</v>
      </c>
      <c r="AR562" t="b">
        <v>0</v>
      </c>
      <c r="AS562">
        <v>12</v>
      </c>
      <c r="AT562" t="s">
        <v>327</v>
      </c>
      <c r="AV562" t="s">
        <v>1495</v>
      </c>
      <c r="CRL562">
        <v>12</v>
      </c>
    </row>
    <row r="563" spans="1:48 2508:2508" x14ac:dyDescent="0.25">
      <c r="A563" t="s">
        <v>3323</v>
      </c>
      <c r="B563" t="s">
        <v>302</v>
      </c>
      <c r="C563" t="s">
        <v>62</v>
      </c>
      <c r="D563">
        <v>99999</v>
      </c>
      <c r="F563" s="109">
        <v>10000</v>
      </c>
      <c r="G563" t="b">
        <v>1</v>
      </c>
      <c r="H563" t="s">
        <v>339</v>
      </c>
      <c r="K563" t="s">
        <v>364</v>
      </c>
      <c r="L563" t="s">
        <v>303</v>
      </c>
      <c r="M563" t="s">
        <v>323</v>
      </c>
      <c r="N563" t="s">
        <v>63</v>
      </c>
      <c r="O563" s="110">
        <v>39.9</v>
      </c>
      <c r="R563" s="110">
        <v>309.89</v>
      </c>
      <c r="S563" s="110">
        <v>79.900000000000006</v>
      </c>
      <c r="T563" s="110">
        <v>0</v>
      </c>
      <c r="U563" s="110">
        <v>42.99</v>
      </c>
      <c r="X563">
        <v>137.09999999999994</v>
      </c>
      <c r="Y563">
        <v>49.9</v>
      </c>
      <c r="Z563">
        <v>49.9</v>
      </c>
      <c r="AA563">
        <v>0</v>
      </c>
      <c r="AB563" t="s">
        <v>363</v>
      </c>
      <c r="AF563" t="s">
        <v>1269</v>
      </c>
      <c r="AG563" t="s">
        <v>1269</v>
      </c>
      <c r="AH563" t="s">
        <v>1175</v>
      </c>
      <c r="AI563">
        <v>99999</v>
      </c>
      <c r="AJ563">
        <v>99999</v>
      </c>
      <c r="AK563">
        <v>699</v>
      </c>
      <c r="AL563" t="b">
        <v>1</v>
      </c>
      <c r="AM563" t="b">
        <v>1</v>
      </c>
      <c r="AN563" t="b">
        <v>1</v>
      </c>
      <c r="AO563">
        <v>99999</v>
      </c>
      <c r="AP563" t="s">
        <v>64</v>
      </c>
      <c r="AR563" t="b">
        <v>0</v>
      </c>
      <c r="AS563">
        <v>12</v>
      </c>
      <c r="AT563" t="s">
        <v>327</v>
      </c>
      <c r="AV563" t="s">
        <v>1280</v>
      </c>
      <c r="CRL563">
        <v>12</v>
      </c>
    </row>
    <row r="564" spans="1:48 2508:2508" x14ac:dyDescent="0.25">
      <c r="A564" t="s">
        <v>3323</v>
      </c>
      <c r="B564" t="s">
        <v>302</v>
      </c>
      <c r="C564" t="s">
        <v>62</v>
      </c>
      <c r="D564">
        <v>99999</v>
      </c>
      <c r="F564" s="109">
        <v>10000</v>
      </c>
      <c r="G564" t="b">
        <v>1</v>
      </c>
      <c r="H564" t="s">
        <v>339</v>
      </c>
      <c r="K564" t="s">
        <v>364</v>
      </c>
      <c r="L564" t="s">
        <v>303</v>
      </c>
      <c r="M564" t="s">
        <v>323</v>
      </c>
      <c r="N564" t="s">
        <v>63</v>
      </c>
      <c r="O564" s="110">
        <v>39.9</v>
      </c>
      <c r="R564" s="110">
        <v>329.89</v>
      </c>
      <c r="S564" s="110">
        <v>79.900000000000006</v>
      </c>
      <c r="T564" s="110">
        <v>0</v>
      </c>
      <c r="U564" s="110">
        <v>42.99</v>
      </c>
      <c r="X564">
        <v>157.09999999999994</v>
      </c>
      <c r="Y564">
        <v>49.9</v>
      </c>
      <c r="Z564">
        <v>49.9</v>
      </c>
      <c r="AA564">
        <v>0</v>
      </c>
      <c r="AB564" t="s">
        <v>363</v>
      </c>
      <c r="AF564" t="s">
        <v>1403</v>
      </c>
      <c r="AG564" t="s">
        <v>1403</v>
      </c>
      <c r="AH564" t="s">
        <v>1175</v>
      </c>
      <c r="AI564">
        <v>99999</v>
      </c>
      <c r="AJ564">
        <v>99999</v>
      </c>
      <c r="AK564">
        <v>699</v>
      </c>
      <c r="AL564" t="b">
        <v>1</v>
      </c>
      <c r="AM564" t="b">
        <v>1</v>
      </c>
      <c r="AN564" t="b">
        <v>1</v>
      </c>
      <c r="AO564">
        <v>99999</v>
      </c>
      <c r="AP564" t="s">
        <v>64</v>
      </c>
      <c r="AR564" t="b">
        <v>0</v>
      </c>
      <c r="AS564">
        <v>12</v>
      </c>
      <c r="AT564" t="s">
        <v>327</v>
      </c>
      <c r="AV564" t="s">
        <v>1414</v>
      </c>
      <c r="CRL564">
        <v>12</v>
      </c>
    </row>
    <row r="565" spans="1:48 2508:2508" x14ac:dyDescent="0.25">
      <c r="A565" t="s">
        <v>3323</v>
      </c>
      <c r="B565" t="s">
        <v>302</v>
      </c>
      <c r="C565" t="s">
        <v>62</v>
      </c>
      <c r="D565">
        <v>99999</v>
      </c>
      <c r="F565" s="109">
        <v>10000</v>
      </c>
      <c r="G565" t="b">
        <v>1</v>
      </c>
      <c r="H565" t="s">
        <v>339</v>
      </c>
      <c r="K565" t="s">
        <v>364</v>
      </c>
      <c r="L565" t="s">
        <v>303</v>
      </c>
      <c r="M565" t="s">
        <v>323</v>
      </c>
      <c r="N565" t="s">
        <v>63</v>
      </c>
      <c r="O565" s="110">
        <v>39.9</v>
      </c>
      <c r="R565" s="110">
        <v>349.88999999999993</v>
      </c>
      <c r="S565" s="110">
        <v>85</v>
      </c>
      <c r="T565" s="110">
        <v>0</v>
      </c>
      <c r="U565" s="110">
        <v>42.99</v>
      </c>
      <c r="X565">
        <v>171.99999999999994</v>
      </c>
      <c r="Y565">
        <v>49.9</v>
      </c>
      <c r="Z565">
        <v>49.9</v>
      </c>
      <c r="AA565">
        <v>0</v>
      </c>
      <c r="AB565" t="s">
        <v>363</v>
      </c>
      <c r="AF565" t="s">
        <v>1551</v>
      </c>
      <c r="AG565" t="s">
        <v>1551</v>
      </c>
      <c r="AH565" t="s">
        <v>1175</v>
      </c>
      <c r="AI565">
        <v>99999</v>
      </c>
      <c r="AJ565">
        <v>99999</v>
      </c>
      <c r="AK565">
        <v>699</v>
      </c>
      <c r="AL565" t="b">
        <v>1</v>
      </c>
      <c r="AM565" t="b">
        <v>1</v>
      </c>
      <c r="AN565" t="b">
        <v>1</v>
      </c>
      <c r="AO565">
        <v>99999</v>
      </c>
      <c r="AP565" t="s">
        <v>64</v>
      </c>
      <c r="AR565" t="b">
        <v>0</v>
      </c>
      <c r="AS565">
        <v>12</v>
      </c>
      <c r="AT565" t="s">
        <v>327</v>
      </c>
      <c r="AV565" t="s">
        <v>1562</v>
      </c>
      <c r="CRL565">
        <v>12</v>
      </c>
    </row>
    <row r="566" spans="1:48 2508:2508" x14ac:dyDescent="0.25">
      <c r="A566" t="s">
        <v>3323</v>
      </c>
      <c r="B566" t="s">
        <v>302</v>
      </c>
      <c r="C566" t="s">
        <v>62</v>
      </c>
      <c r="D566">
        <v>99999</v>
      </c>
      <c r="F566" s="109">
        <v>10000</v>
      </c>
      <c r="G566" t="b">
        <v>1</v>
      </c>
      <c r="H566" t="s">
        <v>339</v>
      </c>
      <c r="K566" t="s">
        <v>364</v>
      </c>
      <c r="L566" t="s">
        <v>303</v>
      </c>
      <c r="M566" t="s">
        <v>323</v>
      </c>
      <c r="N566" t="s">
        <v>63</v>
      </c>
      <c r="O566" s="110">
        <v>49.9</v>
      </c>
      <c r="R566" s="110">
        <v>335.68999999999994</v>
      </c>
      <c r="S566" s="110">
        <v>130</v>
      </c>
      <c r="T566" s="110">
        <v>0</v>
      </c>
      <c r="U566" s="110">
        <v>34.99</v>
      </c>
      <c r="X566">
        <v>120.79999999999995</v>
      </c>
      <c r="Y566">
        <v>49.9</v>
      </c>
      <c r="Z566">
        <v>49.9</v>
      </c>
      <c r="AA566">
        <v>0</v>
      </c>
      <c r="AB566" t="s">
        <v>363</v>
      </c>
      <c r="AF566" t="s">
        <v>2771</v>
      </c>
      <c r="AG566" t="s">
        <v>2771</v>
      </c>
      <c r="AH566" t="s">
        <v>1175</v>
      </c>
      <c r="AI566">
        <v>99999</v>
      </c>
      <c r="AJ566">
        <v>99999</v>
      </c>
      <c r="AK566">
        <v>699</v>
      </c>
      <c r="AL566" t="b">
        <v>1</v>
      </c>
      <c r="AM566" t="b">
        <v>1</v>
      </c>
      <c r="AN566" t="b">
        <v>1</v>
      </c>
      <c r="AO566">
        <v>99999</v>
      </c>
      <c r="AP566" t="s">
        <v>64</v>
      </c>
      <c r="AR566" t="b">
        <v>0</v>
      </c>
      <c r="AS566">
        <v>12</v>
      </c>
      <c r="AT566" t="s">
        <v>327</v>
      </c>
      <c r="AV566" t="s">
        <v>2782</v>
      </c>
      <c r="CRL566">
        <v>12</v>
      </c>
    </row>
    <row r="567" spans="1:48 2508:2508" x14ac:dyDescent="0.25">
      <c r="A567" t="s">
        <v>3323</v>
      </c>
      <c r="B567" t="s">
        <v>302</v>
      </c>
      <c r="C567" t="s">
        <v>62</v>
      </c>
      <c r="D567">
        <v>99999</v>
      </c>
      <c r="F567" s="109">
        <v>10000</v>
      </c>
      <c r="G567" t="b">
        <v>1</v>
      </c>
      <c r="H567" t="s">
        <v>339</v>
      </c>
      <c r="K567" t="s">
        <v>364</v>
      </c>
      <c r="L567" t="s">
        <v>303</v>
      </c>
      <c r="M567" t="s">
        <v>323</v>
      </c>
      <c r="N567" t="s">
        <v>63</v>
      </c>
      <c r="O567" s="110">
        <v>49.9</v>
      </c>
      <c r="R567" s="110">
        <v>359.9899999999999</v>
      </c>
      <c r="S567" s="110">
        <v>130</v>
      </c>
      <c r="T567" s="110">
        <v>0</v>
      </c>
      <c r="U567" s="110">
        <v>42.99</v>
      </c>
      <c r="X567">
        <v>137.09999999999994</v>
      </c>
      <c r="Y567">
        <v>49.9</v>
      </c>
      <c r="Z567">
        <v>49.9</v>
      </c>
      <c r="AA567">
        <v>0</v>
      </c>
      <c r="AB567" t="s">
        <v>363</v>
      </c>
      <c r="AF567" t="s">
        <v>2845</v>
      </c>
      <c r="AG567" t="s">
        <v>2845</v>
      </c>
      <c r="AH567" t="s">
        <v>1175</v>
      </c>
      <c r="AI567">
        <v>99999</v>
      </c>
      <c r="AJ567">
        <v>99999</v>
      </c>
      <c r="AK567">
        <v>699</v>
      </c>
      <c r="AL567" t="b">
        <v>1</v>
      </c>
      <c r="AM567" t="b">
        <v>1</v>
      </c>
      <c r="AN567" t="b">
        <v>1</v>
      </c>
      <c r="AO567">
        <v>99999</v>
      </c>
      <c r="AP567" t="s">
        <v>64</v>
      </c>
      <c r="AR567" t="b">
        <v>0</v>
      </c>
      <c r="AS567">
        <v>12</v>
      </c>
      <c r="AT567" t="s">
        <v>327</v>
      </c>
      <c r="AV567" t="s">
        <v>2856</v>
      </c>
      <c r="CRL567">
        <v>12</v>
      </c>
    </row>
    <row r="568" spans="1:48 2508:2508" x14ac:dyDescent="0.25">
      <c r="A568" t="s">
        <v>3323</v>
      </c>
      <c r="B568" t="s">
        <v>302</v>
      </c>
      <c r="C568" t="s">
        <v>62</v>
      </c>
      <c r="D568">
        <v>99999</v>
      </c>
      <c r="F568" s="109">
        <v>10000</v>
      </c>
      <c r="G568" t="b">
        <v>1</v>
      </c>
      <c r="H568" t="s">
        <v>339</v>
      </c>
      <c r="K568" t="s">
        <v>364</v>
      </c>
      <c r="L568" t="s">
        <v>303</v>
      </c>
      <c r="M568" t="s">
        <v>323</v>
      </c>
      <c r="N568" t="s">
        <v>63</v>
      </c>
      <c r="O568" s="110">
        <v>49.9</v>
      </c>
      <c r="R568" s="110">
        <v>379.9899999999999</v>
      </c>
      <c r="S568" s="110">
        <v>130</v>
      </c>
      <c r="T568" s="110">
        <v>0</v>
      </c>
      <c r="U568" s="110">
        <v>42.99</v>
      </c>
      <c r="X568">
        <v>157.09999999999994</v>
      </c>
      <c r="Y568">
        <v>49.9</v>
      </c>
      <c r="Z568">
        <v>49.9</v>
      </c>
      <c r="AA568">
        <v>0</v>
      </c>
      <c r="AB568" t="s">
        <v>363</v>
      </c>
      <c r="AF568" t="s">
        <v>2912</v>
      </c>
      <c r="AG568" t="s">
        <v>2912</v>
      </c>
      <c r="AH568" t="s">
        <v>1175</v>
      </c>
      <c r="AI568">
        <v>99999</v>
      </c>
      <c r="AJ568">
        <v>99999</v>
      </c>
      <c r="AK568">
        <v>699</v>
      </c>
      <c r="AL568" t="b">
        <v>1</v>
      </c>
      <c r="AM568" t="b">
        <v>1</v>
      </c>
      <c r="AN568" t="b">
        <v>1</v>
      </c>
      <c r="AO568">
        <v>99999</v>
      </c>
      <c r="AP568" t="s">
        <v>64</v>
      </c>
      <c r="AR568" t="b">
        <v>0</v>
      </c>
      <c r="AS568">
        <v>12</v>
      </c>
      <c r="AT568" t="s">
        <v>327</v>
      </c>
      <c r="AV568" t="s">
        <v>2923</v>
      </c>
      <c r="CRL568">
        <v>12</v>
      </c>
    </row>
    <row r="569" spans="1:48 2508:2508" x14ac:dyDescent="0.25">
      <c r="A569" t="s">
        <v>3323</v>
      </c>
      <c r="B569" t="s">
        <v>302</v>
      </c>
      <c r="C569" t="s">
        <v>62</v>
      </c>
      <c r="D569">
        <v>99999</v>
      </c>
      <c r="F569" s="109">
        <v>10000</v>
      </c>
      <c r="G569" t="b">
        <v>1</v>
      </c>
      <c r="H569" t="s">
        <v>339</v>
      </c>
      <c r="K569" t="s">
        <v>364</v>
      </c>
      <c r="L569" t="s">
        <v>303</v>
      </c>
      <c r="M569" t="s">
        <v>323</v>
      </c>
      <c r="N569" t="s">
        <v>63</v>
      </c>
      <c r="O569" s="110">
        <v>49.9</v>
      </c>
      <c r="R569" s="110">
        <v>394.88999999999993</v>
      </c>
      <c r="S569" s="110">
        <v>130</v>
      </c>
      <c r="T569" s="110">
        <v>0</v>
      </c>
      <c r="U569" s="110">
        <v>42.99</v>
      </c>
      <c r="X569">
        <v>171.99999999999994</v>
      </c>
      <c r="Y569">
        <v>49.9</v>
      </c>
      <c r="Z569">
        <v>49.9</v>
      </c>
      <c r="AA569">
        <v>0</v>
      </c>
      <c r="AB569" t="s">
        <v>363</v>
      </c>
      <c r="AF569" t="s">
        <v>2986</v>
      </c>
      <c r="AG569" t="s">
        <v>2986</v>
      </c>
      <c r="AH569" t="s">
        <v>1175</v>
      </c>
      <c r="AI569">
        <v>99999</v>
      </c>
      <c r="AJ569">
        <v>99999</v>
      </c>
      <c r="AK569">
        <v>699</v>
      </c>
      <c r="AL569" t="b">
        <v>1</v>
      </c>
      <c r="AM569" t="b">
        <v>1</v>
      </c>
      <c r="AN569" t="b">
        <v>1</v>
      </c>
      <c r="AO569">
        <v>99999</v>
      </c>
      <c r="AP569" t="s">
        <v>64</v>
      </c>
      <c r="AR569" t="b">
        <v>0</v>
      </c>
      <c r="AS569">
        <v>12</v>
      </c>
      <c r="AT569" t="s">
        <v>327</v>
      </c>
      <c r="AV569" t="s">
        <v>2997</v>
      </c>
      <c r="CRL569">
        <v>12</v>
      </c>
    </row>
    <row r="570" spans="1:48 2508:2508" x14ac:dyDescent="0.25">
      <c r="A570" t="s">
        <v>3323</v>
      </c>
      <c r="B570" t="s">
        <v>302</v>
      </c>
      <c r="C570" t="s">
        <v>62</v>
      </c>
      <c r="D570">
        <v>99999</v>
      </c>
      <c r="F570" s="109">
        <v>10000</v>
      </c>
      <c r="G570" t="b">
        <v>1</v>
      </c>
      <c r="H570" t="s">
        <v>339</v>
      </c>
      <c r="K570" t="s">
        <v>379</v>
      </c>
      <c r="L570" t="s">
        <v>303</v>
      </c>
      <c r="M570" t="s">
        <v>323</v>
      </c>
      <c r="N570" t="s">
        <v>63</v>
      </c>
      <c r="O570" s="110">
        <v>29.9</v>
      </c>
      <c r="R570" s="110">
        <v>319.89</v>
      </c>
      <c r="S570" s="110">
        <v>79.900000000000006</v>
      </c>
      <c r="T570" s="110">
        <v>0</v>
      </c>
      <c r="U570" s="110">
        <v>42.99</v>
      </c>
      <c r="X570">
        <v>137.09999999999994</v>
      </c>
      <c r="Y570">
        <v>59.9</v>
      </c>
      <c r="Z570">
        <v>59.9</v>
      </c>
      <c r="AA570">
        <v>0</v>
      </c>
      <c r="AB570" t="s">
        <v>363</v>
      </c>
      <c r="AF570" t="s">
        <v>1202</v>
      </c>
      <c r="AG570" t="s">
        <v>1202</v>
      </c>
      <c r="AH570" t="s">
        <v>1175</v>
      </c>
      <c r="AI570">
        <v>99999</v>
      </c>
      <c r="AJ570">
        <v>99999</v>
      </c>
      <c r="AK570">
        <v>699</v>
      </c>
      <c r="AL570" t="b">
        <v>1</v>
      </c>
      <c r="AM570" t="b">
        <v>1</v>
      </c>
      <c r="AN570" t="b">
        <v>1</v>
      </c>
      <c r="AO570">
        <v>99999</v>
      </c>
      <c r="AP570" t="s">
        <v>64</v>
      </c>
      <c r="AR570" t="b">
        <v>0</v>
      </c>
      <c r="AS570">
        <v>12</v>
      </c>
      <c r="AT570" t="s">
        <v>327</v>
      </c>
      <c r="AV570" t="s">
        <v>1226</v>
      </c>
      <c r="CRL570">
        <v>12</v>
      </c>
    </row>
    <row r="571" spans="1:48 2508:2508" x14ac:dyDescent="0.25">
      <c r="A571" t="s">
        <v>3323</v>
      </c>
      <c r="B571" t="s">
        <v>302</v>
      </c>
      <c r="C571" t="s">
        <v>62</v>
      </c>
      <c r="D571">
        <v>99999</v>
      </c>
      <c r="F571" s="109">
        <v>10000</v>
      </c>
      <c r="G571" t="b">
        <v>1</v>
      </c>
      <c r="H571" t="s">
        <v>339</v>
      </c>
      <c r="K571" t="s">
        <v>379</v>
      </c>
      <c r="L571" t="s">
        <v>303</v>
      </c>
      <c r="M571" t="s">
        <v>323</v>
      </c>
      <c r="N571" t="s">
        <v>63</v>
      </c>
      <c r="O571" s="110">
        <v>29.9</v>
      </c>
      <c r="R571" s="110">
        <v>339.89</v>
      </c>
      <c r="S571" s="110">
        <v>79.900000000000006</v>
      </c>
      <c r="T571" s="110">
        <v>0</v>
      </c>
      <c r="U571" s="110">
        <v>42.99</v>
      </c>
      <c r="X571">
        <v>157.09999999999994</v>
      </c>
      <c r="Y571">
        <v>59.9</v>
      </c>
      <c r="Z571">
        <v>59.9</v>
      </c>
      <c r="AA571">
        <v>0</v>
      </c>
      <c r="AB571" t="s">
        <v>363</v>
      </c>
      <c r="AF571" t="s">
        <v>1336</v>
      </c>
      <c r="AG571" t="s">
        <v>1336</v>
      </c>
      <c r="AH571" t="s">
        <v>1175</v>
      </c>
      <c r="AI571">
        <v>99999</v>
      </c>
      <c r="AJ571">
        <v>99999</v>
      </c>
      <c r="AK571">
        <v>699</v>
      </c>
      <c r="AL571" t="b">
        <v>1</v>
      </c>
      <c r="AM571" t="b">
        <v>1</v>
      </c>
      <c r="AN571" t="b">
        <v>1</v>
      </c>
      <c r="AO571">
        <v>99999</v>
      </c>
      <c r="AP571" t="s">
        <v>64</v>
      </c>
      <c r="AR571" t="b">
        <v>0</v>
      </c>
      <c r="AS571">
        <v>12</v>
      </c>
      <c r="AT571" t="s">
        <v>327</v>
      </c>
      <c r="AV571" t="s">
        <v>1360</v>
      </c>
      <c r="CRL571">
        <v>12</v>
      </c>
    </row>
    <row r="572" spans="1:48 2508:2508" x14ac:dyDescent="0.25">
      <c r="A572" t="s">
        <v>3323</v>
      </c>
      <c r="B572" t="s">
        <v>302</v>
      </c>
      <c r="C572" t="s">
        <v>62</v>
      </c>
      <c r="D572">
        <v>99999</v>
      </c>
      <c r="F572" s="109">
        <v>10000</v>
      </c>
      <c r="G572" t="b">
        <v>1</v>
      </c>
      <c r="H572" t="s">
        <v>339</v>
      </c>
      <c r="K572" t="s">
        <v>379</v>
      </c>
      <c r="L572" t="s">
        <v>303</v>
      </c>
      <c r="M572" t="s">
        <v>323</v>
      </c>
      <c r="N572" t="s">
        <v>63</v>
      </c>
      <c r="O572" s="110">
        <v>29.9</v>
      </c>
      <c r="R572" s="110">
        <v>359.88999999999993</v>
      </c>
      <c r="S572" s="110">
        <v>85</v>
      </c>
      <c r="T572" s="110">
        <v>0</v>
      </c>
      <c r="U572" s="110">
        <v>42.99</v>
      </c>
      <c r="X572">
        <v>171.99999999999994</v>
      </c>
      <c r="Y572">
        <v>59.9</v>
      </c>
      <c r="Z572">
        <v>59.9</v>
      </c>
      <c r="AA572">
        <v>0</v>
      </c>
      <c r="AB572" t="s">
        <v>363</v>
      </c>
      <c r="AF572" t="s">
        <v>1484</v>
      </c>
      <c r="AG572" t="s">
        <v>1484</v>
      </c>
      <c r="AH572" t="s">
        <v>1175</v>
      </c>
      <c r="AI572">
        <v>99999</v>
      </c>
      <c r="AJ572">
        <v>99999</v>
      </c>
      <c r="AK572">
        <v>699</v>
      </c>
      <c r="AL572" t="b">
        <v>1</v>
      </c>
      <c r="AM572" t="b">
        <v>1</v>
      </c>
      <c r="AN572" t="b">
        <v>1</v>
      </c>
      <c r="AO572">
        <v>99999</v>
      </c>
      <c r="AP572" t="s">
        <v>64</v>
      </c>
      <c r="AR572" t="b">
        <v>0</v>
      </c>
      <c r="AS572">
        <v>12</v>
      </c>
      <c r="AT572" t="s">
        <v>327</v>
      </c>
      <c r="AV572" t="s">
        <v>1508</v>
      </c>
      <c r="CRL572">
        <v>12</v>
      </c>
    </row>
    <row r="573" spans="1:48 2508:2508" x14ac:dyDescent="0.25">
      <c r="A573" t="s">
        <v>3323</v>
      </c>
      <c r="B573" t="s">
        <v>302</v>
      </c>
      <c r="C573" t="s">
        <v>62</v>
      </c>
      <c r="D573">
        <v>99999</v>
      </c>
      <c r="F573" s="109">
        <v>10000</v>
      </c>
      <c r="G573" t="b">
        <v>1</v>
      </c>
      <c r="H573" t="s">
        <v>339</v>
      </c>
      <c r="K573" t="s">
        <v>379</v>
      </c>
      <c r="L573" t="s">
        <v>303</v>
      </c>
      <c r="M573" t="s">
        <v>323</v>
      </c>
      <c r="N573" t="s">
        <v>63</v>
      </c>
      <c r="O573" s="110">
        <v>39.9</v>
      </c>
      <c r="R573" s="110">
        <v>319.89</v>
      </c>
      <c r="S573" s="110">
        <v>79.900000000000006</v>
      </c>
      <c r="T573" s="110">
        <v>0</v>
      </c>
      <c r="U573" s="110">
        <v>42.99</v>
      </c>
      <c r="X573">
        <v>137.09999999999994</v>
      </c>
      <c r="Y573">
        <v>59.9</v>
      </c>
      <c r="Z573">
        <v>59.9</v>
      </c>
      <c r="AA573">
        <v>0</v>
      </c>
      <c r="AB573" t="s">
        <v>363</v>
      </c>
      <c r="AF573" t="s">
        <v>1269</v>
      </c>
      <c r="AG573" t="s">
        <v>1269</v>
      </c>
      <c r="AH573" t="s">
        <v>1175</v>
      </c>
      <c r="AI573">
        <v>99999</v>
      </c>
      <c r="AJ573">
        <v>99999</v>
      </c>
      <c r="AK573">
        <v>699</v>
      </c>
      <c r="AL573" t="b">
        <v>1</v>
      </c>
      <c r="AM573" t="b">
        <v>1</v>
      </c>
      <c r="AN573" t="b">
        <v>1</v>
      </c>
      <c r="AO573">
        <v>99999</v>
      </c>
      <c r="AP573" t="s">
        <v>64</v>
      </c>
      <c r="AR573" t="b">
        <v>0</v>
      </c>
      <c r="AS573">
        <v>12</v>
      </c>
      <c r="AT573" t="s">
        <v>327</v>
      </c>
      <c r="AV573" t="s">
        <v>1293</v>
      </c>
      <c r="CRL573">
        <v>12</v>
      </c>
    </row>
    <row r="574" spans="1:48 2508:2508" x14ac:dyDescent="0.25">
      <c r="A574" t="s">
        <v>3323</v>
      </c>
      <c r="B574" t="s">
        <v>302</v>
      </c>
      <c r="C574" t="s">
        <v>62</v>
      </c>
      <c r="D574">
        <v>99999</v>
      </c>
      <c r="F574" s="109">
        <v>10000</v>
      </c>
      <c r="G574" t="b">
        <v>1</v>
      </c>
      <c r="H574" t="s">
        <v>339</v>
      </c>
      <c r="K574" t="s">
        <v>379</v>
      </c>
      <c r="L574" t="s">
        <v>303</v>
      </c>
      <c r="M574" t="s">
        <v>323</v>
      </c>
      <c r="N574" t="s">
        <v>63</v>
      </c>
      <c r="O574" s="110">
        <v>39.9</v>
      </c>
      <c r="R574" s="110">
        <v>339.89</v>
      </c>
      <c r="S574" s="110">
        <v>79.900000000000006</v>
      </c>
      <c r="T574" s="110">
        <v>0</v>
      </c>
      <c r="U574" s="110">
        <v>42.99</v>
      </c>
      <c r="X574">
        <v>157.09999999999994</v>
      </c>
      <c r="Y574">
        <v>59.9</v>
      </c>
      <c r="Z574">
        <v>59.9</v>
      </c>
      <c r="AA574">
        <v>0</v>
      </c>
      <c r="AB574" t="s">
        <v>363</v>
      </c>
      <c r="AF574" t="s">
        <v>1403</v>
      </c>
      <c r="AG574" t="s">
        <v>1403</v>
      </c>
      <c r="AH574" t="s">
        <v>1175</v>
      </c>
      <c r="AI574">
        <v>99999</v>
      </c>
      <c r="AJ574">
        <v>99999</v>
      </c>
      <c r="AK574">
        <v>699</v>
      </c>
      <c r="AL574" t="b">
        <v>1</v>
      </c>
      <c r="AM574" t="b">
        <v>1</v>
      </c>
      <c r="AN574" t="b">
        <v>1</v>
      </c>
      <c r="AO574">
        <v>99999</v>
      </c>
      <c r="AP574" t="s">
        <v>64</v>
      </c>
      <c r="AR574" t="b">
        <v>0</v>
      </c>
      <c r="AS574">
        <v>12</v>
      </c>
      <c r="AT574" t="s">
        <v>327</v>
      </c>
      <c r="AV574" t="s">
        <v>1427</v>
      </c>
      <c r="CRL574">
        <v>12</v>
      </c>
    </row>
    <row r="575" spans="1:48 2508:2508" x14ac:dyDescent="0.25">
      <c r="A575" t="s">
        <v>3323</v>
      </c>
      <c r="B575" t="s">
        <v>302</v>
      </c>
      <c r="C575" t="s">
        <v>62</v>
      </c>
      <c r="D575">
        <v>99999</v>
      </c>
      <c r="F575" s="109">
        <v>10000</v>
      </c>
      <c r="G575" t="b">
        <v>1</v>
      </c>
      <c r="H575" t="s">
        <v>339</v>
      </c>
      <c r="K575" t="s">
        <v>379</v>
      </c>
      <c r="L575" t="s">
        <v>303</v>
      </c>
      <c r="M575" t="s">
        <v>323</v>
      </c>
      <c r="N575" t="s">
        <v>63</v>
      </c>
      <c r="O575" s="110">
        <v>39.9</v>
      </c>
      <c r="R575" s="110">
        <v>359.88999999999993</v>
      </c>
      <c r="S575" s="110">
        <v>85</v>
      </c>
      <c r="T575" s="110">
        <v>0</v>
      </c>
      <c r="U575" s="110">
        <v>42.99</v>
      </c>
      <c r="X575">
        <v>171.99999999999994</v>
      </c>
      <c r="Y575">
        <v>59.9</v>
      </c>
      <c r="Z575">
        <v>59.9</v>
      </c>
      <c r="AA575">
        <v>0</v>
      </c>
      <c r="AB575" t="s">
        <v>363</v>
      </c>
      <c r="AF575" t="s">
        <v>1551</v>
      </c>
      <c r="AG575" t="s">
        <v>1551</v>
      </c>
      <c r="AH575" t="s">
        <v>1175</v>
      </c>
      <c r="AI575">
        <v>99999</v>
      </c>
      <c r="AJ575">
        <v>99999</v>
      </c>
      <c r="AK575">
        <v>699</v>
      </c>
      <c r="AL575" t="b">
        <v>1</v>
      </c>
      <c r="AM575" t="b">
        <v>1</v>
      </c>
      <c r="AN575" t="b">
        <v>1</v>
      </c>
      <c r="AO575">
        <v>99999</v>
      </c>
      <c r="AP575" t="s">
        <v>64</v>
      </c>
      <c r="AR575" t="b">
        <v>0</v>
      </c>
      <c r="AS575">
        <v>12</v>
      </c>
      <c r="AT575" t="s">
        <v>327</v>
      </c>
      <c r="AV575" t="s">
        <v>1575</v>
      </c>
      <c r="CRL575">
        <v>12</v>
      </c>
    </row>
    <row r="576" spans="1:48 2508:2508" x14ac:dyDescent="0.25">
      <c r="A576" t="s">
        <v>3323</v>
      </c>
      <c r="B576" t="s">
        <v>302</v>
      </c>
      <c r="C576" t="s">
        <v>62</v>
      </c>
      <c r="D576">
        <v>99999</v>
      </c>
      <c r="F576" s="109">
        <v>10000</v>
      </c>
      <c r="G576" t="b">
        <v>1</v>
      </c>
      <c r="H576" t="s">
        <v>339</v>
      </c>
      <c r="K576" t="s">
        <v>379</v>
      </c>
      <c r="L576" t="s">
        <v>303</v>
      </c>
      <c r="M576" t="s">
        <v>323</v>
      </c>
      <c r="N576" t="s">
        <v>63</v>
      </c>
      <c r="O576" s="110">
        <v>49.9</v>
      </c>
      <c r="R576" s="110">
        <v>345.68999999999994</v>
      </c>
      <c r="S576" s="110">
        <v>130</v>
      </c>
      <c r="T576" s="110">
        <v>0</v>
      </c>
      <c r="U576" s="110">
        <v>34.99</v>
      </c>
      <c r="X576">
        <v>120.79999999999995</v>
      </c>
      <c r="Y576">
        <v>59.9</v>
      </c>
      <c r="Z576">
        <v>59.9</v>
      </c>
      <c r="AA576">
        <v>0</v>
      </c>
      <c r="AB576" t="s">
        <v>363</v>
      </c>
      <c r="AF576" t="s">
        <v>2771</v>
      </c>
      <c r="AG576" t="s">
        <v>2771</v>
      </c>
      <c r="AH576" t="s">
        <v>1175</v>
      </c>
      <c r="AI576">
        <v>99999</v>
      </c>
      <c r="AJ576">
        <v>99999</v>
      </c>
      <c r="AK576">
        <v>699</v>
      </c>
      <c r="AL576" t="b">
        <v>1</v>
      </c>
      <c r="AM576" t="b">
        <v>1</v>
      </c>
      <c r="AN576" t="b">
        <v>1</v>
      </c>
      <c r="AO576">
        <v>99999</v>
      </c>
      <c r="AP576" t="s">
        <v>64</v>
      </c>
      <c r="AR576" t="b">
        <v>0</v>
      </c>
      <c r="AS576">
        <v>12</v>
      </c>
      <c r="AT576" t="s">
        <v>327</v>
      </c>
      <c r="AV576" t="s">
        <v>2795</v>
      </c>
      <c r="CRL576">
        <v>12</v>
      </c>
    </row>
    <row r="577" spans="1:48 2508:2508" x14ac:dyDescent="0.25">
      <c r="A577" t="s">
        <v>3323</v>
      </c>
      <c r="B577" t="s">
        <v>302</v>
      </c>
      <c r="C577" t="s">
        <v>62</v>
      </c>
      <c r="D577">
        <v>99999</v>
      </c>
      <c r="F577" s="109">
        <v>10000</v>
      </c>
      <c r="G577" t="b">
        <v>1</v>
      </c>
      <c r="H577" t="s">
        <v>339</v>
      </c>
      <c r="K577" t="s">
        <v>379</v>
      </c>
      <c r="L577" t="s">
        <v>303</v>
      </c>
      <c r="M577" t="s">
        <v>323</v>
      </c>
      <c r="N577" t="s">
        <v>63</v>
      </c>
      <c r="O577" s="110">
        <v>49.9</v>
      </c>
      <c r="R577" s="110">
        <v>369.9899999999999</v>
      </c>
      <c r="S577" s="110">
        <v>130</v>
      </c>
      <c r="T577" s="110">
        <v>0</v>
      </c>
      <c r="U577" s="110">
        <v>42.99</v>
      </c>
      <c r="X577">
        <v>137.09999999999994</v>
      </c>
      <c r="Y577">
        <v>59.9</v>
      </c>
      <c r="Z577">
        <v>59.9</v>
      </c>
      <c r="AA577">
        <v>0</v>
      </c>
      <c r="AB577" t="s">
        <v>363</v>
      </c>
      <c r="AF577" t="s">
        <v>2845</v>
      </c>
      <c r="AG577" t="s">
        <v>2845</v>
      </c>
      <c r="AH577" t="s">
        <v>1175</v>
      </c>
      <c r="AI577">
        <v>99999</v>
      </c>
      <c r="AJ577">
        <v>99999</v>
      </c>
      <c r="AK577">
        <v>699</v>
      </c>
      <c r="AL577" t="b">
        <v>1</v>
      </c>
      <c r="AM577" t="b">
        <v>1</v>
      </c>
      <c r="AN577" t="b">
        <v>1</v>
      </c>
      <c r="AO577">
        <v>99999</v>
      </c>
      <c r="AP577" t="s">
        <v>64</v>
      </c>
      <c r="AR577" t="b">
        <v>0</v>
      </c>
      <c r="AS577">
        <v>12</v>
      </c>
      <c r="AT577" t="s">
        <v>327</v>
      </c>
      <c r="AV577" t="s">
        <v>2869</v>
      </c>
      <c r="CRL577">
        <v>12</v>
      </c>
    </row>
    <row r="578" spans="1:48 2508:2508" x14ac:dyDescent="0.25">
      <c r="A578" t="s">
        <v>3323</v>
      </c>
      <c r="B578" t="s">
        <v>302</v>
      </c>
      <c r="C578" t="s">
        <v>62</v>
      </c>
      <c r="D578">
        <v>99999</v>
      </c>
      <c r="F578" s="109">
        <v>10000</v>
      </c>
      <c r="G578" t="b">
        <v>1</v>
      </c>
      <c r="H578" t="s">
        <v>339</v>
      </c>
      <c r="K578" t="s">
        <v>379</v>
      </c>
      <c r="L578" t="s">
        <v>303</v>
      </c>
      <c r="M578" t="s">
        <v>323</v>
      </c>
      <c r="N578" t="s">
        <v>63</v>
      </c>
      <c r="O578" s="110">
        <v>49.9</v>
      </c>
      <c r="R578" s="110">
        <v>389.9899999999999</v>
      </c>
      <c r="S578" s="110">
        <v>130</v>
      </c>
      <c r="T578" s="110">
        <v>0</v>
      </c>
      <c r="U578" s="110">
        <v>42.99</v>
      </c>
      <c r="X578">
        <v>157.09999999999994</v>
      </c>
      <c r="Y578">
        <v>59.9</v>
      </c>
      <c r="Z578">
        <v>59.9</v>
      </c>
      <c r="AA578">
        <v>0</v>
      </c>
      <c r="AB578" t="s">
        <v>363</v>
      </c>
      <c r="AF578" t="s">
        <v>2912</v>
      </c>
      <c r="AG578" t="s">
        <v>2912</v>
      </c>
      <c r="AH578" t="s">
        <v>1175</v>
      </c>
      <c r="AI578">
        <v>99999</v>
      </c>
      <c r="AJ578">
        <v>99999</v>
      </c>
      <c r="AK578">
        <v>699</v>
      </c>
      <c r="AL578" t="b">
        <v>1</v>
      </c>
      <c r="AM578" t="b">
        <v>1</v>
      </c>
      <c r="AN578" t="b">
        <v>1</v>
      </c>
      <c r="AO578">
        <v>99999</v>
      </c>
      <c r="AP578" t="s">
        <v>64</v>
      </c>
      <c r="AR578" t="b">
        <v>0</v>
      </c>
      <c r="AS578">
        <v>12</v>
      </c>
      <c r="AT578" t="s">
        <v>327</v>
      </c>
      <c r="AV578" t="s">
        <v>2936</v>
      </c>
      <c r="CRL578">
        <v>12</v>
      </c>
    </row>
    <row r="579" spans="1:48 2508:2508" x14ac:dyDescent="0.25">
      <c r="A579" t="s">
        <v>3323</v>
      </c>
      <c r="B579" t="s">
        <v>302</v>
      </c>
      <c r="C579" t="s">
        <v>62</v>
      </c>
      <c r="D579">
        <v>99999</v>
      </c>
      <c r="F579" s="109">
        <v>10000</v>
      </c>
      <c r="G579" t="b">
        <v>1</v>
      </c>
      <c r="H579" t="s">
        <v>339</v>
      </c>
      <c r="K579" t="s">
        <v>379</v>
      </c>
      <c r="L579" t="s">
        <v>303</v>
      </c>
      <c r="M579" t="s">
        <v>323</v>
      </c>
      <c r="N579" t="s">
        <v>63</v>
      </c>
      <c r="O579" s="110">
        <v>49.9</v>
      </c>
      <c r="R579" s="110">
        <v>404.88999999999993</v>
      </c>
      <c r="S579" s="110">
        <v>130</v>
      </c>
      <c r="T579" s="110">
        <v>0</v>
      </c>
      <c r="U579" s="110">
        <v>42.99</v>
      </c>
      <c r="X579">
        <v>171.99999999999994</v>
      </c>
      <c r="Y579">
        <v>59.9</v>
      </c>
      <c r="Z579">
        <v>59.9</v>
      </c>
      <c r="AA579">
        <v>0</v>
      </c>
      <c r="AB579" t="s">
        <v>363</v>
      </c>
      <c r="AF579" t="s">
        <v>2986</v>
      </c>
      <c r="AG579" t="s">
        <v>2986</v>
      </c>
      <c r="AH579" t="s">
        <v>1175</v>
      </c>
      <c r="AI579">
        <v>99999</v>
      </c>
      <c r="AJ579">
        <v>99999</v>
      </c>
      <c r="AK579">
        <v>699</v>
      </c>
      <c r="AL579" t="b">
        <v>1</v>
      </c>
      <c r="AM579" t="b">
        <v>1</v>
      </c>
      <c r="AN579" t="b">
        <v>1</v>
      </c>
      <c r="AO579">
        <v>99999</v>
      </c>
      <c r="AP579" t="s">
        <v>64</v>
      </c>
      <c r="AR579" t="b">
        <v>0</v>
      </c>
      <c r="AS579">
        <v>12</v>
      </c>
      <c r="AT579" t="s">
        <v>327</v>
      </c>
      <c r="AV579" t="s">
        <v>3010</v>
      </c>
      <c r="CRL579">
        <v>12</v>
      </c>
    </row>
    <row r="580" spans="1:48 2508:2508" x14ac:dyDescent="0.25">
      <c r="A580" t="s">
        <v>3323</v>
      </c>
      <c r="B580" t="s">
        <v>302</v>
      </c>
      <c r="C580" t="s">
        <v>62</v>
      </c>
      <c r="D580">
        <v>99999</v>
      </c>
      <c r="F580" s="109">
        <v>10000</v>
      </c>
      <c r="G580" t="b">
        <v>1</v>
      </c>
      <c r="H580" t="s">
        <v>339</v>
      </c>
      <c r="K580" t="s">
        <v>61</v>
      </c>
      <c r="L580" t="s">
        <v>303</v>
      </c>
      <c r="M580" t="s">
        <v>323</v>
      </c>
      <c r="N580" t="s">
        <v>63</v>
      </c>
      <c r="O580" s="110">
        <v>29.9</v>
      </c>
      <c r="R580" s="110">
        <v>304.89</v>
      </c>
      <c r="S580" s="110">
        <v>79.900000000000006</v>
      </c>
      <c r="T580" s="110">
        <v>0</v>
      </c>
      <c r="U580" s="110">
        <v>42.99</v>
      </c>
      <c r="X580">
        <v>137.09999999999994</v>
      </c>
      <c r="Y580">
        <v>44.9</v>
      </c>
      <c r="Z580">
        <v>44.9</v>
      </c>
      <c r="AA580">
        <v>0</v>
      </c>
      <c r="AB580" t="s">
        <v>324</v>
      </c>
      <c r="AF580" t="s">
        <v>1174</v>
      </c>
      <c r="AG580" t="s">
        <v>1174</v>
      </c>
      <c r="AH580" t="s">
        <v>1175</v>
      </c>
      <c r="AI580">
        <v>99999</v>
      </c>
      <c r="AJ580">
        <v>99999</v>
      </c>
      <c r="AK580">
        <v>699</v>
      </c>
      <c r="AL580" t="b">
        <v>1</v>
      </c>
      <c r="AM580" t="b">
        <v>1</v>
      </c>
      <c r="AN580" t="b">
        <v>1</v>
      </c>
      <c r="AO580">
        <v>99999</v>
      </c>
      <c r="AP580" t="s">
        <v>64</v>
      </c>
      <c r="AR580" t="b">
        <v>0</v>
      </c>
      <c r="AS580">
        <v>12</v>
      </c>
      <c r="AT580" t="s">
        <v>327</v>
      </c>
      <c r="AV580" t="s">
        <v>1186</v>
      </c>
      <c r="CRL580">
        <v>12</v>
      </c>
    </row>
    <row r="581" spans="1:48 2508:2508" x14ac:dyDescent="0.25">
      <c r="A581" t="s">
        <v>3323</v>
      </c>
      <c r="B581" t="s">
        <v>302</v>
      </c>
      <c r="C581" t="s">
        <v>62</v>
      </c>
      <c r="D581">
        <v>99999</v>
      </c>
      <c r="F581" s="109">
        <v>10000</v>
      </c>
      <c r="G581" t="b">
        <v>1</v>
      </c>
      <c r="H581" t="s">
        <v>339</v>
      </c>
      <c r="K581" t="s">
        <v>61</v>
      </c>
      <c r="L581" t="s">
        <v>303</v>
      </c>
      <c r="M581" t="s">
        <v>323</v>
      </c>
      <c r="N581" t="s">
        <v>63</v>
      </c>
      <c r="O581" s="110">
        <v>29.9</v>
      </c>
      <c r="R581" s="110">
        <v>324.89</v>
      </c>
      <c r="S581" s="110">
        <v>79.900000000000006</v>
      </c>
      <c r="T581" s="110">
        <v>0</v>
      </c>
      <c r="U581" s="110">
        <v>42.99</v>
      </c>
      <c r="X581">
        <v>157.09999999999994</v>
      </c>
      <c r="Y581">
        <v>44.9</v>
      </c>
      <c r="Z581">
        <v>44.9</v>
      </c>
      <c r="AA581">
        <v>0</v>
      </c>
      <c r="AB581" t="s">
        <v>324</v>
      </c>
      <c r="AF581" t="s">
        <v>1309</v>
      </c>
      <c r="AG581" t="s">
        <v>1309</v>
      </c>
      <c r="AH581" t="s">
        <v>1175</v>
      </c>
      <c r="AI581">
        <v>99999</v>
      </c>
      <c r="AJ581">
        <v>99999</v>
      </c>
      <c r="AK581">
        <v>699</v>
      </c>
      <c r="AL581" t="b">
        <v>1</v>
      </c>
      <c r="AM581" t="b">
        <v>1</v>
      </c>
      <c r="AN581" t="b">
        <v>1</v>
      </c>
      <c r="AO581">
        <v>99999</v>
      </c>
      <c r="AP581" t="s">
        <v>64</v>
      </c>
      <c r="AR581" t="b">
        <v>0</v>
      </c>
      <c r="AS581">
        <v>12</v>
      </c>
      <c r="AT581" t="s">
        <v>327</v>
      </c>
      <c r="AV581" t="s">
        <v>1320</v>
      </c>
      <c r="CRL581">
        <v>12</v>
      </c>
    </row>
    <row r="582" spans="1:48 2508:2508" x14ac:dyDescent="0.25">
      <c r="A582" t="s">
        <v>3323</v>
      </c>
      <c r="B582" t="s">
        <v>302</v>
      </c>
      <c r="C582" t="s">
        <v>62</v>
      </c>
      <c r="D582">
        <v>99999</v>
      </c>
      <c r="F582" s="109">
        <v>10000</v>
      </c>
      <c r="G582" t="b">
        <v>1</v>
      </c>
      <c r="H582" t="s">
        <v>339</v>
      </c>
      <c r="K582" t="s">
        <v>61</v>
      </c>
      <c r="L582" t="s">
        <v>303</v>
      </c>
      <c r="M582" t="s">
        <v>323</v>
      </c>
      <c r="N582" t="s">
        <v>63</v>
      </c>
      <c r="O582" s="110">
        <v>29.9</v>
      </c>
      <c r="R582" s="110">
        <v>344.88999999999993</v>
      </c>
      <c r="S582" s="110">
        <v>85</v>
      </c>
      <c r="T582" s="110">
        <v>0</v>
      </c>
      <c r="U582" s="110">
        <v>42.99</v>
      </c>
      <c r="X582">
        <v>171.99999999999994</v>
      </c>
      <c r="Y582">
        <v>44.9</v>
      </c>
      <c r="Z582">
        <v>44.9</v>
      </c>
      <c r="AA582">
        <v>0</v>
      </c>
      <c r="AB582" t="s">
        <v>324</v>
      </c>
      <c r="AF582" t="s">
        <v>1457</v>
      </c>
      <c r="AG582" t="s">
        <v>1457</v>
      </c>
      <c r="AH582" t="s">
        <v>1175</v>
      </c>
      <c r="AI582">
        <v>99999</v>
      </c>
      <c r="AJ582">
        <v>99999</v>
      </c>
      <c r="AK582">
        <v>699</v>
      </c>
      <c r="AL582" t="b">
        <v>1</v>
      </c>
      <c r="AM582" t="b">
        <v>1</v>
      </c>
      <c r="AN582" t="b">
        <v>1</v>
      </c>
      <c r="AO582">
        <v>99999</v>
      </c>
      <c r="AP582" t="s">
        <v>64</v>
      </c>
      <c r="AR582" t="b">
        <v>0</v>
      </c>
      <c r="AS582">
        <v>12</v>
      </c>
      <c r="AT582" t="s">
        <v>327</v>
      </c>
      <c r="AV582" t="s">
        <v>1468</v>
      </c>
      <c r="CRL582">
        <v>12</v>
      </c>
    </row>
    <row r="583" spans="1:48 2508:2508" x14ac:dyDescent="0.25">
      <c r="A583" t="s">
        <v>3323</v>
      </c>
      <c r="B583" t="s">
        <v>302</v>
      </c>
      <c r="C583" t="s">
        <v>62</v>
      </c>
      <c r="D583">
        <v>99999</v>
      </c>
      <c r="F583" s="109">
        <v>10000</v>
      </c>
      <c r="G583" t="b">
        <v>1</v>
      </c>
      <c r="H583" t="s">
        <v>339</v>
      </c>
      <c r="K583" t="s">
        <v>61</v>
      </c>
      <c r="L583" t="s">
        <v>303</v>
      </c>
      <c r="M583" t="s">
        <v>323</v>
      </c>
      <c r="N583" t="s">
        <v>63</v>
      </c>
      <c r="O583" s="110">
        <v>39.9</v>
      </c>
      <c r="R583" s="110">
        <v>304.89</v>
      </c>
      <c r="S583" s="110">
        <v>79.900000000000006</v>
      </c>
      <c r="T583" s="110">
        <v>0</v>
      </c>
      <c r="U583" s="110">
        <v>42.99</v>
      </c>
      <c r="X583">
        <v>137.09999999999994</v>
      </c>
      <c r="Y583">
        <v>44.9</v>
      </c>
      <c r="Z583">
        <v>44.9</v>
      </c>
      <c r="AA583">
        <v>0</v>
      </c>
      <c r="AB583" t="s">
        <v>324</v>
      </c>
      <c r="AF583" t="s">
        <v>1242</v>
      </c>
      <c r="AG583" t="s">
        <v>1242</v>
      </c>
      <c r="AH583" t="s">
        <v>1175</v>
      </c>
      <c r="AI583">
        <v>99999</v>
      </c>
      <c r="AJ583">
        <v>99999</v>
      </c>
      <c r="AK583">
        <v>699</v>
      </c>
      <c r="AL583" t="b">
        <v>1</v>
      </c>
      <c r="AM583" t="b">
        <v>1</v>
      </c>
      <c r="AN583" t="b">
        <v>1</v>
      </c>
      <c r="AO583">
        <v>99999</v>
      </c>
      <c r="AP583" t="s">
        <v>64</v>
      </c>
      <c r="AR583" t="b">
        <v>0</v>
      </c>
      <c r="AS583">
        <v>12</v>
      </c>
      <c r="AT583" t="s">
        <v>327</v>
      </c>
      <c r="AV583" t="s">
        <v>1253</v>
      </c>
      <c r="CRL583">
        <v>12</v>
      </c>
    </row>
    <row r="584" spans="1:48 2508:2508" x14ac:dyDescent="0.25">
      <c r="A584" t="s">
        <v>3323</v>
      </c>
      <c r="B584" t="s">
        <v>302</v>
      </c>
      <c r="C584" t="s">
        <v>62</v>
      </c>
      <c r="D584">
        <v>99999</v>
      </c>
      <c r="F584" s="109">
        <v>10000</v>
      </c>
      <c r="G584" t="b">
        <v>1</v>
      </c>
      <c r="H584" t="s">
        <v>339</v>
      </c>
      <c r="K584" t="s">
        <v>61</v>
      </c>
      <c r="L584" t="s">
        <v>303</v>
      </c>
      <c r="M584" t="s">
        <v>323</v>
      </c>
      <c r="N584" t="s">
        <v>63</v>
      </c>
      <c r="O584" s="110">
        <v>39.9</v>
      </c>
      <c r="R584" s="110">
        <v>324.89</v>
      </c>
      <c r="S584" s="110">
        <v>79.900000000000006</v>
      </c>
      <c r="T584" s="110">
        <v>0</v>
      </c>
      <c r="U584" s="110">
        <v>42.99</v>
      </c>
      <c r="X584">
        <v>157.09999999999994</v>
      </c>
      <c r="Y584">
        <v>44.9</v>
      </c>
      <c r="Z584">
        <v>44.9</v>
      </c>
      <c r="AA584">
        <v>0</v>
      </c>
      <c r="AB584" t="s">
        <v>324</v>
      </c>
      <c r="AF584" t="s">
        <v>1376</v>
      </c>
      <c r="AG584" t="s">
        <v>1376</v>
      </c>
      <c r="AH584" t="s">
        <v>1175</v>
      </c>
      <c r="AI584">
        <v>99999</v>
      </c>
      <c r="AJ584">
        <v>99999</v>
      </c>
      <c r="AK584">
        <v>699</v>
      </c>
      <c r="AL584" t="b">
        <v>1</v>
      </c>
      <c r="AM584" t="b">
        <v>1</v>
      </c>
      <c r="AN584" t="b">
        <v>1</v>
      </c>
      <c r="AO584">
        <v>99999</v>
      </c>
      <c r="AP584" t="s">
        <v>64</v>
      </c>
      <c r="AR584" t="b">
        <v>0</v>
      </c>
      <c r="AS584">
        <v>12</v>
      </c>
      <c r="AT584" t="s">
        <v>327</v>
      </c>
      <c r="AV584" t="s">
        <v>1387</v>
      </c>
      <c r="CRL584">
        <v>12</v>
      </c>
    </row>
    <row r="585" spans="1:48 2508:2508" x14ac:dyDescent="0.25">
      <c r="A585" t="s">
        <v>3323</v>
      </c>
      <c r="B585" t="s">
        <v>302</v>
      </c>
      <c r="C585" t="s">
        <v>62</v>
      </c>
      <c r="D585">
        <v>99999</v>
      </c>
      <c r="F585" s="109">
        <v>10000</v>
      </c>
      <c r="G585" t="b">
        <v>1</v>
      </c>
      <c r="H585" t="s">
        <v>339</v>
      </c>
      <c r="K585" t="s">
        <v>61</v>
      </c>
      <c r="L585" t="s">
        <v>303</v>
      </c>
      <c r="M585" t="s">
        <v>323</v>
      </c>
      <c r="N585" t="s">
        <v>63</v>
      </c>
      <c r="O585" s="110">
        <v>39.9</v>
      </c>
      <c r="R585" s="110">
        <v>344.88999999999993</v>
      </c>
      <c r="S585" s="110">
        <v>85</v>
      </c>
      <c r="T585" s="110">
        <v>0</v>
      </c>
      <c r="U585" s="110">
        <v>42.99</v>
      </c>
      <c r="X585">
        <v>171.99999999999994</v>
      </c>
      <c r="Y585">
        <v>44.9</v>
      </c>
      <c r="Z585">
        <v>44.9</v>
      </c>
      <c r="AA585">
        <v>0</v>
      </c>
      <c r="AB585" t="s">
        <v>324</v>
      </c>
      <c r="AF585" t="s">
        <v>1524</v>
      </c>
      <c r="AG585" t="s">
        <v>1524</v>
      </c>
      <c r="AH585" t="s">
        <v>1175</v>
      </c>
      <c r="AI585">
        <v>99999</v>
      </c>
      <c r="AJ585">
        <v>99999</v>
      </c>
      <c r="AK585">
        <v>699</v>
      </c>
      <c r="AL585" t="b">
        <v>1</v>
      </c>
      <c r="AM585" t="b">
        <v>1</v>
      </c>
      <c r="AN585" t="b">
        <v>1</v>
      </c>
      <c r="AO585">
        <v>99999</v>
      </c>
      <c r="AP585" t="s">
        <v>64</v>
      </c>
      <c r="AR585" t="b">
        <v>0</v>
      </c>
      <c r="AS585">
        <v>12</v>
      </c>
      <c r="AT585" t="s">
        <v>327</v>
      </c>
      <c r="AV585" t="s">
        <v>1535</v>
      </c>
      <c r="CRL585">
        <v>12</v>
      </c>
    </row>
    <row r="586" spans="1:48 2508:2508" x14ac:dyDescent="0.25">
      <c r="A586" t="s">
        <v>3323</v>
      </c>
      <c r="B586" t="s">
        <v>302</v>
      </c>
      <c r="C586" t="s">
        <v>62</v>
      </c>
      <c r="D586">
        <v>99999</v>
      </c>
      <c r="F586" s="109">
        <v>10000</v>
      </c>
      <c r="G586" t="b">
        <v>1</v>
      </c>
      <c r="H586" t="s">
        <v>339</v>
      </c>
      <c r="K586" t="s">
        <v>61</v>
      </c>
      <c r="L586" t="s">
        <v>303</v>
      </c>
      <c r="M586" t="s">
        <v>323</v>
      </c>
      <c r="N586" t="s">
        <v>63</v>
      </c>
      <c r="O586" s="110">
        <v>49.9</v>
      </c>
      <c r="R586" s="110">
        <v>330.68999999999994</v>
      </c>
      <c r="S586" s="110">
        <v>130</v>
      </c>
      <c r="T586" s="110">
        <v>0</v>
      </c>
      <c r="U586" s="110">
        <v>34.99</v>
      </c>
      <c r="X586">
        <v>120.79999999999995</v>
      </c>
      <c r="Y586">
        <v>44.9</v>
      </c>
      <c r="Z586">
        <v>44.9</v>
      </c>
      <c r="AA586">
        <v>0</v>
      </c>
      <c r="AB586" t="s">
        <v>324</v>
      </c>
      <c r="AF586" t="s">
        <v>2744</v>
      </c>
      <c r="AG586" t="s">
        <v>2744</v>
      </c>
      <c r="AH586" t="s">
        <v>1175</v>
      </c>
      <c r="AI586">
        <v>99999</v>
      </c>
      <c r="AJ586">
        <v>99999</v>
      </c>
      <c r="AK586">
        <v>699</v>
      </c>
      <c r="AL586" t="b">
        <v>1</v>
      </c>
      <c r="AM586" t="b">
        <v>1</v>
      </c>
      <c r="AN586" t="b">
        <v>1</v>
      </c>
      <c r="AO586">
        <v>99999</v>
      </c>
      <c r="AP586" t="s">
        <v>64</v>
      </c>
      <c r="AR586" t="b">
        <v>0</v>
      </c>
      <c r="AS586">
        <v>12</v>
      </c>
      <c r="AT586" t="s">
        <v>327</v>
      </c>
      <c r="AV586" t="s">
        <v>2755</v>
      </c>
      <c r="CRL586">
        <v>12</v>
      </c>
    </row>
    <row r="587" spans="1:48 2508:2508" x14ac:dyDescent="0.25">
      <c r="A587" t="s">
        <v>3323</v>
      </c>
      <c r="B587" t="s">
        <v>302</v>
      </c>
      <c r="C587" t="s">
        <v>62</v>
      </c>
      <c r="D587">
        <v>99999</v>
      </c>
      <c r="F587" s="109">
        <v>10000</v>
      </c>
      <c r="G587" t="b">
        <v>1</v>
      </c>
      <c r="H587" t="s">
        <v>339</v>
      </c>
      <c r="K587" t="s">
        <v>61</v>
      </c>
      <c r="L587" t="s">
        <v>303</v>
      </c>
      <c r="M587" t="s">
        <v>323</v>
      </c>
      <c r="N587" t="s">
        <v>63</v>
      </c>
      <c r="O587" s="110">
        <v>49.9</v>
      </c>
      <c r="R587" s="110">
        <v>354.9899999999999</v>
      </c>
      <c r="S587" s="110">
        <v>130</v>
      </c>
      <c r="T587" s="110">
        <v>0</v>
      </c>
      <c r="U587" s="110">
        <v>42.99</v>
      </c>
      <c r="X587">
        <v>137.09999999999994</v>
      </c>
      <c r="Y587">
        <v>44.9</v>
      </c>
      <c r="Z587">
        <v>44.9</v>
      </c>
      <c r="AA587">
        <v>0</v>
      </c>
      <c r="AB587" t="s">
        <v>324</v>
      </c>
      <c r="AF587" t="s">
        <v>2818</v>
      </c>
      <c r="AG587" t="s">
        <v>2818</v>
      </c>
      <c r="AH587" t="s">
        <v>1175</v>
      </c>
      <c r="AI587">
        <v>99999</v>
      </c>
      <c r="AJ587">
        <v>99999</v>
      </c>
      <c r="AK587">
        <v>699</v>
      </c>
      <c r="AL587" t="b">
        <v>1</v>
      </c>
      <c r="AM587" t="b">
        <v>1</v>
      </c>
      <c r="AN587" t="b">
        <v>1</v>
      </c>
      <c r="AO587">
        <v>99999</v>
      </c>
      <c r="AP587" t="s">
        <v>64</v>
      </c>
      <c r="AR587" t="b">
        <v>0</v>
      </c>
      <c r="AS587">
        <v>12</v>
      </c>
      <c r="AT587" t="s">
        <v>327</v>
      </c>
      <c r="AV587" t="s">
        <v>2829</v>
      </c>
      <c r="CRL587">
        <v>12</v>
      </c>
    </row>
    <row r="588" spans="1:48 2508:2508" x14ac:dyDescent="0.25">
      <c r="A588" t="s">
        <v>3323</v>
      </c>
      <c r="B588" t="s">
        <v>302</v>
      </c>
      <c r="C588" t="s">
        <v>62</v>
      </c>
      <c r="D588">
        <v>99999</v>
      </c>
      <c r="F588" s="109">
        <v>10000</v>
      </c>
      <c r="G588" t="b">
        <v>1</v>
      </c>
      <c r="H588" t="s">
        <v>339</v>
      </c>
      <c r="K588" t="s">
        <v>61</v>
      </c>
      <c r="L588" t="s">
        <v>303</v>
      </c>
      <c r="M588" t="s">
        <v>323</v>
      </c>
      <c r="N588" t="s">
        <v>63</v>
      </c>
      <c r="O588" s="110">
        <v>49.9</v>
      </c>
      <c r="R588" s="110">
        <v>374.9899999999999</v>
      </c>
      <c r="S588" s="110">
        <v>130</v>
      </c>
      <c r="T588" s="110">
        <v>0</v>
      </c>
      <c r="U588" s="110">
        <v>42.99</v>
      </c>
      <c r="X588">
        <v>157.09999999999994</v>
      </c>
      <c r="Y588">
        <v>44.9</v>
      </c>
      <c r="Z588">
        <v>44.9</v>
      </c>
      <c r="AA588">
        <v>0</v>
      </c>
      <c r="AB588" t="s">
        <v>324</v>
      </c>
      <c r="AF588" t="s">
        <v>2885</v>
      </c>
      <c r="AG588" t="s">
        <v>2885</v>
      </c>
      <c r="AH588" t="s">
        <v>1175</v>
      </c>
      <c r="AI588">
        <v>99999</v>
      </c>
      <c r="AJ588">
        <v>99999</v>
      </c>
      <c r="AK588">
        <v>699</v>
      </c>
      <c r="AL588" t="b">
        <v>1</v>
      </c>
      <c r="AM588" t="b">
        <v>1</v>
      </c>
      <c r="AN588" t="b">
        <v>1</v>
      </c>
      <c r="AO588">
        <v>99999</v>
      </c>
      <c r="AP588" t="s">
        <v>64</v>
      </c>
      <c r="AR588" t="b">
        <v>0</v>
      </c>
      <c r="AS588">
        <v>12</v>
      </c>
      <c r="AT588" t="s">
        <v>327</v>
      </c>
      <c r="AV588" t="s">
        <v>2896</v>
      </c>
      <c r="CRL588">
        <v>12</v>
      </c>
    </row>
    <row r="589" spans="1:48 2508:2508" x14ac:dyDescent="0.25">
      <c r="A589" t="s">
        <v>3323</v>
      </c>
      <c r="B589" t="s">
        <v>302</v>
      </c>
      <c r="C589" t="s">
        <v>62</v>
      </c>
      <c r="D589">
        <v>99999</v>
      </c>
      <c r="F589" s="109">
        <v>10000</v>
      </c>
      <c r="G589" t="b">
        <v>1</v>
      </c>
      <c r="H589" t="s">
        <v>339</v>
      </c>
      <c r="K589" t="s">
        <v>61</v>
      </c>
      <c r="L589" t="s">
        <v>303</v>
      </c>
      <c r="M589" t="s">
        <v>323</v>
      </c>
      <c r="N589" t="s">
        <v>63</v>
      </c>
      <c r="O589" s="110">
        <v>49.9</v>
      </c>
      <c r="R589" s="110">
        <v>389.88999999999993</v>
      </c>
      <c r="S589" s="110">
        <v>130</v>
      </c>
      <c r="T589" s="110">
        <v>0</v>
      </c>
      <c r="U589" s="110">
        <v>42.99</v>
      </c>
      <c r="X589">
        <v>171.99999999999994</v>
      </c>
      <c r="Y589">
        <v>44.9</v>
      </c>
      <c r="Z589">
        <v>44.9</v>
      </c>
      <c r="AA589">
        <v>0</v>
      </c>
      <c r="AB589" t="s">
        <v>324</v>
      </c>
      <c r="AF589" t="s">
        <v>2959</v>
      </c>
      <c r="AG589" t="s">
        <v>2959</v>
      </c>
      <c r="AH589" t="s">
        <v>1175</v>
      </c>
      <c r="AI589">
        <v>99999</v>
      </c>
      <c r="AJ589">
        <v>99999</v>
      </c>
      <c r="AK589">
        <v>699</v>
      </c>
      <c r="AL589" t="b">
        <v>1</v>
      </c>
      <c r="AM589" t="b">
        <v>1</v>
      </c>
      <c r="AN589" t="b">
        <v>1</v>
      </c>
      <c r="AO589">
        <v>99999</v>
      </c>
      <c r="AP589" t="s">
        <v>64</v>
      </c>
      <c r="AR589" t="b">
        <v>0</v>
      </c>
      <c r="AS589">
        <v>12</v>
      </c>
      <c r="AT589" t="s">
        <v>327</v>
      </c>
      <c r="AV589" t="s">
        <v>2970</v>
      </c>
      <c r="CRL589">
        <v>12</v>
      </c>
    </row>
    <row r="590" spans="1:48 2508:2508" x14ac:dyDescent="0.25">
      <c r="A590" t="s">
        <v>3323</v>
      </c>
      <c r="B590" t="s">
        <v>302</v>
      </c>
      <c r="C590" t="s">
        <v>62</v>
      </c>
      <c r="D590">
        <v>99999</v>
      </c>
      <c r="F590" s="109">
        <v>10000</v>
      </c>
      <c r="G590" t="b">
        <v>1</v>
      </c>
      <c r="H590" t="s">
        <v>337</v>
      </c>
      <c r="K590" t="s">
        <v>349</v>
      </c>
      <c r="L590" t="s">
        <v>303</v>
      </c>
      <c r="M590" t="s">
        <v>323</v>
      </c>
      <c r="N590" t="s">
        <v>63</v>
      </c>
      <c r="O590" s="110">
        <v>29.9</v>
      </c>
      <c r="R590" s="110">
        <v>279.89</v>
      </c>
      <c r="S590" s="110">
        <v>79.900000000000006</v>
      </c>
      <c r="T590" s="110">
        <v>0</v>
      </c>
      <c r="U590" s="110">
        <v>42.99</v>
      </c>
      <c r="X590">
        <v>112.09999999999997</v>
      </c>
      <c r="Y590">
        <v>44.9</v>
      </c>
      <c r="Z590">
        <v>44.9</v>
      </c>
      <c r="AA590">
        <v>0</v>
      </c>
      <c r="AB590" t="s">
        <v>324</v>
      </c>
      <c r="AF590" t="s">
        <v>1174</v>
      </c>
      <c r="AG590" t="s">
        <v>1174</v>
      </c>
      <c r="AH590" t="s">
        <v>1175</v>
      </c>
      <c r="AI590">
        <v>99999</v>
      </c>
      <c r="AJ590">
        <v>99999</v>
      </c>
      <c r="AK590">
        <v>699</v>
      </c>
      <c r="AL590" t="b">
        <v>1</v>
      </c>
      <c r="AM590" t="b">
        <v>1</v>
      </c>
      <c r="AN590" t="b">
        <v>1</v>
      </c>
      <c r="AO590">
        <v>99999</v>
      </c>
      <c r="AP590" t="s">
        <v>64</v>
      </c>
      <c r="AR590" t="b">
        <v>0</v>
      </c>
      <c r="AS590">
        <v>12</v>
      </c>
      <c r="AT590" t="s">
        <v>327</v>
      </c>
      <c r="AV590" t="s">
        <v>1198</v>
      </c>
      <c r="CRL590">
        <v>12</v>
      </c>
    </row>
    <row r="591" spans="1:48 2508:2508" x14ac:dyDescent="0.25">
      <c r="A591" t="s">
        <v>3323</v>
      </c>
      <c r="B591" t="s">
        <v>302</v>
      </c>
      <c r="C591" t="s">
        <v>62</v>
      </c>
      <c r="D591">
        <v>99999</v>
      </c>
      <c r="F591" s="109">
        <v>10000</v>
      </c>
      <c r="G591" t="b">
        <v>1</v>
      </c>
      <c r="H591" t="s">
        <v>337</v>
      </c>
      <c r="K591" t="s">
        <v>349</v>
      </c>
      <c r="L591" t="s">
        <v>303</v>
      </c>
      <c r="M591" t="s">
        <v>323</v>
      </c>
      <c r="N591" t="s">
        <v>63</v>
      </c>
      <c r="O591" s="110">
        <v>29.9</v>
      </c>
      <c r="R591" s="110">
        <v>299.89</v>
      </c>
      <c r="S591" s="110">
        <v>79.900000000000006</v>
      </c>
      <c r="T591" s="110">
        <v>0</v>
      </c>
      <c r="U591" s="110">
        <v>42.99</v>
      </c>
      <c r="X591">
        <v>132.09999999999997</v>
      </c>
      <c r="Y591">
        <v>44.9</v>
      </c>
      <c r="Z591">
        <v>44.9</v>
      </c>
      <c r="AA591">
        <v>0</v>
      </c>
      <c r="AB591" t="s">
        <v>324</v>
      </c>
      <c r="AF591" t="s">
        <v>1309</v>
      </c>
      <c r="AG591" t="s">
        <v>1309</v>
      </c>
      <c r="AH591" t="s">
        <v>1175</v>
      </c>
      <c r="AI591">
        <v>99999</v>
      </c>
      <c r="AJ591">
        <v>99999</v>
      </c>
      <c r="AK591">
        <v>699</v>
      </c>
      <c r="AL591" t="b">
        <v>1</v>
      </c>
      <c r="AM591" t="b">
        <v>1</v>
      </c>
      <c r="AN591" t="b">
        <v>1</v>
      </c>
      <c r="AO591">
        <v>99999</v>
      </c>
      <c r="AP591" t="s">
        <v>64</v>
      </c>
      <c r="AR591" t="b">
        <v>0</v>
      </c>
      <c r="AS591">
        <v>12</v>
      </c>
      <c r="AT591" t="s">
        <v>327</v>
      </c>
      <c r="AV591" t="s">
        <v>1332</v>
      </c>
      <c r="CRL591">
        <v>12</v>
      </c>
    </row>
    <row r="592" spans="1:48 2508:2508" x14ac:dyDescent="0.25">
      <c r="A592" t="s">
        <v>3323</v>
      </c>
      <c r="B592" t="s">
        <v>302</v>
      </c>
      <c r="C592" t="s">
        <v>62</v>
      </c>
      <c r="D592">
        <v>99999</v>
      </c>
      <c r="F592" s="109">
        <v>10000</v>
      </c>
      <c r="G592" t="b">
        <v>1</v>
      </c>
      <c r="H592" t="s">
        <v>337</v>
      </c>
      <c r="K592" t="s">
        <v>349</v>
      </c>
      <c r="L592" t="s">
        <v>303</v>
      </c>
      <c r="M592" t="s">
        <v>323</v>
      </c>
      <c r="N592" t="s">
        <v>63</v>
      </c>
      <c r="O592" s="110">
        <v>29.9</v>
      </c>
      <c r="R592" s="110">
        <v>319.89</v>
      </c>
      <c r="S592" s="110">
        <v>85</v>
      </c>
      <c r="T592" s="110">
        <v>0</v>
      </c>
      <c r="U592" s="110">
        <v>42.99</v>
      </c>
      <c r="X592">
        <v>146.99999999999997</v>
      </c>
      <c r="Y592">
        <v>44.9</v>
      </c>
      <c r="Z592">
        <v>44.9</v>
      </c>
      <c r="AA592">
        <v>0</v>
      </c>
      <c r="AB592" t="s">
        <v>324</v>
      </c>
      <c r="AF592" t="s">
        <v>1457</v>
      </c>
      <c r="AG592" t="s">
        <v>1457</v>
      </c>
      <c r="AH592" t="s">
        <v>1175</v>
      </c>
      <c r="AI592">
        <v>99999</v>
      </c>
      <c r="AJ592">
        <v>99999</v>
      </c>
      <c r="AK592">
        <v>699</v>
      </c>
      <c r="AL592" t="b">
        <v>1</v>
      </c>
      <c r="AM592" t="b">
        <v>1</v>
      </c>
      <c r="AN592" t="b">
        <v>1</v>
      </c>
      <c r="AO592">
        <v>99999</v>
      </c>
      <c r="AP592" t="s">
        <v>64</v>
      </c>
      <c r="AR592" t="b">
        <v>0</v>
      </c>
      <c r="AS592">
        <v>12</v>
      </c>
      <c r="AT592" t="s">
        <v>327</v>
      </c>
      <c r="AV592" t="s">
        <v>1480</v>
      </c>
      <c r="CRL592">
        <v>12</v>
      </c>
    </row>
    <row r="593" spans="1:48 2508:2508" x14ac:dyDescent="0.25">
      <c r="A593" t="s">
        <v>3323</v>
      </c>
      <c r="B593" t="s">
        <v>302</v>
      </c>
      <c r="C593" t="s">
        <v>62</v>
      </c>
      <c r="D593">
        <v>99999</v>
      </c>
      <c r="F593" s="109">
        <v>10000</v>
      </c>
      <c r="G593" t="b">
        <v>1</v>
      </c>
      <c r="H593" t="s">
        <v>337</v>
      </c>
      <c r="K593" t="s">
        <v>349</v>
      </c>
      <c r="L593" t="s">
        <v>303</v>
      </c>
      <c r="M593" t="s">
        <v>323</v>
      </c>
      <c r="N593" t="s">
        <v>63</v>
      </c>
      <c r="O593" s="110">
        <v>39.9</v>
      </c>
      <c r="R593" s="110">
        <v>279.89</v>
      </c>
      <c r="S593" s="110">
        <v>79.900000000000006</v>
      </c>
      <c r="T593" s="110">
        <v>0</v>
      </c>
      <c r="U593" s="110">
        <v>42.99</v>
      </c>
      <c r="X593">
        <v>112.09999999999997</v>
      </c>
      <c r="Y593">
        <v>44.9</v>
      </c>
      <c r="Z593">
        <v>44.9</v>
      </c>
      <c r="AA593">
        <v>0</v>
      </c>
      <c r="AB593" t="s">
        <v>324</v>
      </c>
      <c r="AF593" t="s">
        <v>1242</v>
      </c>
      <c r="AG593" t="s">
        <v>1242</v>
      </c>
      <c r="AH593" t="s">
        <v>1175</v>
      </c>
      <c r="AI593">
        <v>99999</v>
      </c>
      <c r="AJ593">
        <v>99999</v>
      </c>
      <c r="AK593">
        <v>699</v>
      </c>
      <c r="AL593" t="b">
        <v>1</v>
      </c>
      <c r="AM593" t="b">
        <v>1</v>
      </c>
      <c r="AN593" t="b">
        <v>1</v>
      </c>
      <c r="AO593">
        <v>99999</v>
      </c>
      <c r="AP593" t="s">
        <v>64</v>
      </c>
      <c r="AR593" t="b">
        <v>0</v>
      </c>
      <c r="AS593">
        <v>12</v>
      </c>
      <c r="AT593" t="s">
        <v>327</v>
      </c>
      <c r="AV593" t="s">
        <v>1265</v>
      </c>
      <c r="CRL593">
        <v>12</v>
      </c>
    </row>
    <row r="594" spans="1:48 2508:2508" x14ac:dyDescent="0.25">
      <c r="A594" t="s">
        <v>3323</v>
      </c>
      <c r="B594" t="s">
        <v>302</v>
      </c>
      <c r="C594" t="s">
        <v>62</v>
      </c>
      <c r="D594">
        <v>99999</v>
      </c>
      <c r="F594" s="109">
        <v>10000</v>
      </c>
      <c r="G594" t="b">
        <v>1</v>
      </c>
      <c r="H594" t="s">
        <v>337</v>
      </c>
      <c r="K594" t="s">
        <v>349</v>
      </c>
      <c r="L594" t="s">
        <v>303</v>
      </c>
      <c r="M594" t="s">
        <v>323</v>
      </c>
      <c r="N594" t="s">
        <v>63</v>
      </c>
      <c r="O594" s="110">
        <v>39.9</v>
      </c>
      <c r="R594" s="110">
        <v>299.89</v>
      </c>
      <c r="S594" s="110">
        <v>79.900000000000006</v>
      </c>
      <c r="T594" s="110">
        <v>0</v>
      </c>
      <c r="U594" s="110">
        <v>42.99</v>
      </c>
      <c r="X594">
        <v>132.09999999999997</v>
      </c>
      <c r="Y594">
        <v>44.9</v>
      </c>
      <c r="Z594">
        <v>44.9</v>
      </c>
      <c r="AA594">
        <v>0</v>
      </c>
      <c r="AB594" t="s">
        <v>324</v>
      </c>
      <c r="AF594" t="s">
        <v>1376</v>
      </c>
      <c r="AG594" t="s">
        <v>1376</v>
      </c>
      <c r="AH594" t="s">
        <v>1175</v>
      </c>
      <c r="AI594">
        <v>99999</v>
      </c>
      <c r="AJ594">
        <v>99999</v>
      </c>
      <c r="AK594">
        <v>699</v>
      </c>
      <c r="AL594" t="b">
        <v>1</v>
      </c>
      <c r="AM594" t="b">
        <v>1</v>
      </c>
      <c r="AN594" t="b">
        <v>1</v>
      </c>
      <c r="AO594">
        <v>99999</v>
      </c>
      <c r="AP594" t="s">
        <v>64</v>
      </c>
      <c r="AR594" t="b">
        <v>0</v>
      </c>
      <c r="AS594">
        <v>12</v>
      </c>
      <c r="AT594" t="s">
        <v>327</v>
      </c>
      <c r="AV594" t="s">
        <v>1399</v>
      </c>
      <c r="CRL594">
        <v>12</v>
      </c>
    </row>
    <row r="595" spans="1:48 2508:2508" x14ac:dyDescent="0.25">
      <c r="A595" t="s">
        <v>3323</v>
      </c>
      <c r="B595" t="s">
        <v>302</v>
      </c>
      <c r="C595" t="s">
        <v>62</v>
      </c>
      <c r="D595">
        <v>99999</v>
      </c>
      <c r="F595" s="109">
        <v>10000</v>
      </c>
      <c r="G595" t="b">
        <v>1</v>
      </c>
      <c r="H595" t="s">
        <v>337</v>
      </c>
      <c r="K595" t="s">
        <v>349</v>
      </c>
      <c r="L595" t="s">
        <v>303</v>
      </c>
      <c r="M595" t="s">
        <v>323</v>
      </c>
      <c r="N595" t="s">
        <v>63</v>
      </c>
      <c r="O595" s="110">
        <v>39.9</v>
      </c>
      <c r="R595" s="110">
        <v>319.89</v>
      </c>
      <c r="S595" s="110">
        <v>85</v>
      </c>
      <c r="T595" s="110">
        <v>0</v>
      </c>
      <c r="U595" s="110">
        <v>42.99</v>
      </c>
      <c r="X595">
        <v>146.99999999999997</v>
      </c>
      <c r="Y595">
        <v>44.9</v>
      </c>
      <c r="Z595">
        <v>44.9</v>
      </c>
      <c r="AA595">
        <v>0</v>
      </c>
      <c r="AB595" t="s">
        <v>324</v>
      </c>
      <c r="AF595" t="s">
        <v>1524</v>
      </c>
      <c r="AG595" t="s">
        <v>1524</v>
      </c>
      <c r="AH595" t="s">
        <v>1175</v>
      </c>
      <c r="AI595">
        <v>99999</v>
      </c>
      <c r="AJ595">
        <v>99999</v>
      </c>
      <c r="AK595">
        <v>699</v>
      </c>
      <c r="AL595" t="b">
        <v>1</v>
      </c>
      <c r="AM595" t="b">
        <v>1</v>
      </c>
      <c r="AN595" t="b">
        <v>1</v>
      </c>
      <c r="AO595">
        <v>99999</v>
      </c>
      <c r="AP595" t="s">
        <v>64</v>
      </c>
      <c r="AR595" t="b">
        <v>0</v>
      </c>
      <c r="AS595">
        <v>12</v>
      </c>
      <c r="AT595" t="s">
        <v>327</v>
      </c>
      <c r="AV595" t="s">
        <v>1547</v>
      </c>
      <c r="CRL595">
        <v>12</v>
      </c>
    </row>
    <row r="596" spans="1:48 2508:2508" x14ac:dyDescent="0.25">
      <c r="A596" t="s">
        <v>3323</v>
      </c>
      <c r="B596" t="s">
        <v>302</v>
      </c>
      <c r="C596" t="s">
        <v>62</v>
      </c>
      <c r="D596">
        <v>99999</v>
      </c>
      <c r="F596" s="109">
        <v>10000</v>
      </c>
      <c r="G596" t="b">
        <v>1</v>
      </c>
      <c r="H596" t="s">
        <v>337</v>
      </c>
      <c r="K596" t="s">
        <v>349</v>
      </c>
      <c r="L596" t="s">
        <v>303</v>
      </c>
      <c r="M596" t="s">
        <v>323</v>
      </c>
      <c r="N596" t="s">
        <v>63</v>
      </c>
      <c r="O596" s="110">
        <v>49.9</v>
      </c>
      <c r="R596" s="110">
        <v>305.68999999999994</v>
      </c>
      <c r="S596" s="110">
        <v>130</v>
      </c>
      <c r="T596" s="110">
        <v>0</v>
      </c>
      <c r="U596" s="110">
        <v>34.99</v>
      </c>
      <c r="X596">
        <v>95.799999999999983</v>
      </c>
      <c r="Y596">
        <v>44.9</v>
      </c>
      <c r="Z596">
        <v>44.9</v>
      </c>
      <c r="AA596">
        <v>0</v>
      </c>
      <c r="AB596" t="s">
        <v>324</v>
      </c>
      <c r="AF596" t="s">
        <v>2744</v>
      </c>
      <c r="AG596" t="s">
        <v>2744</v>
      </c>
      <c r="AH596" t="s">
        <v>1175</v>
      </c>
      <c r="AI596">
        <v>99999</v>
      </c>
      <c r="AJ596">
        <v>99999</v>
      </c>
      <c r="AK596">
        <v>699</v>
      </c>
      <c r="AL596" t="b">
        <v>1</v>
      </c>
      <c r="AM596" t="b">
        <v>1</v>
      </c>
      <c r="AN596" t="b">
        <v>1</v>
      </c>
      <c r="AO596">
        <v>99999</v>
      </c>
      <c r="AP596" t="s">
        <v>64</v>
      </c>
      <c r="AR596" t="b">
        <v>0</v>
      </c>
      <c r="AS596">
        <v>12</v>
      </c>
      <c r="AT596" t="s">
        <v>327</v>
      </c>
      <c r="AV596" t="s">
        <v>2767</v>
      </c>
      <c r="CRL596">
        <v>12</v>
      </c>
    </row>
    <row r="597" spans="1:48 2508:2508" x14ac:dyDescent="0.25">
      <c r="A597" t="s">
        <v>3323</v>
      </c>
      <c r="B597" t="s">
        <v>302</v>
      </c>
      <c r="C597" t="s">
        <v>62</v>
      </c>
      <c r="D597">
        <v>99999</v>
      </c>
      <c r="F597" s="109">
        <v>10000</v>
      </c>
      <c r="G597" t="b">
        <v>1</v>
      </c>
      <c r="H597" t="s">
        <v>337</v>
      </c>
      <c r="K597" t="s">
        <v>349</v>
      </c>
      <c r="L597" t="s">
        <v>303</v>
      </c>
      <c r="M597" t="s">
        <v>323</v>
      </c>
      <c r="N597" t="s">
        <v>63</v>
      </c>
      <c r="O597" s="110">
        <v>49.9</v>
      </c>
      <c r="R597" s="110">
        <v>329.98999999999995</v>
      </c>
      <c r="S597" s="110">
        <v>130</v>
      </c>
      <c r="T597" s="110">
        <v>0</v>
      </c>
      <c r="U597" s="110">
        <v>42.99</v>
      </c>
      <c r="X597">
        <v>112.09999999999997</v>
      </c>
      <c r="Y597">
        <v>44.9</v>
      </c>
      <c r="Z597">
        <v>44.9</v>
      </c>
      <c r="AA597">
        <v>0</v>
      </c>
      <c r="AB597" t="s">
        <v>324</v>
      </c>
      <c r="AF597" t="s">
        <v>2818</v>
      </c>
      <c r="AG597" t="s">
        <v>2818</v>
      </c>
      <c r="AH597" t="s">
        <v>1175</v>
      </c>
      <c r="AI597">
        <v>99999</v>
      </c>
      <c r="AJ597">
        <v>99999</v>
      </c>
      <c r="AK597">
        <v>699</v>
      </c>
      <c r="AL597" t="b">
        <v>1</v>
      </c>
      <c r="AM597" t="b">
        <v>1</v>
      </c>
      <c r="AN597" t="b">
        <v>1</v>
      </c>
      <c r="AO597">
        <v>99999</v>
      </c>
      <c r="AP597" t="s">
        <v>64</v>
      </c>
      <c r="AR597" t="b">
        <v>0</v>
      </c>
      <c r="AS597">
        <v>12</v>
      </c>
      <c r="AT597" t="s">
        <v>327</v>
      </c>
      <c r="AV597" t="s">
        <v>2841</v>
      </c>
      <c r="CRL597">
        <v>12</v>
      </c>
    </row>
    <row r="598" spans="1:48 2508:2508" x14ac:dyDescent="0.25">
      <c r="A598" t="s">
        <v>3323</v>
      </c>
      <c r="B598" t="s">
        <v>302</v>
      </c>
      <c r="C598" t="s">
        <v>62</v>
      </c>
      <c r="D598">
        <v>99999</v>
      </c>
      <c r="F598" s="109">
        <v>10000</v>
      </c>
      <c r="G598" t="b">
        <v>1</v>
      </c>
      <c r="H598" t="s">
        <v>337</v>
      </c>
      <c r="K598" t="s">
        <v>349</v>
      </c>
      <c r="L598" t="s">
        <v>303</v>
      </c>
      <c r="M598" t="s">
        <v>323</v>
      </c>
      <c r="N598" t="s">
        <v>63</v>
      </c>
      <c r="O598" s="110">
        <v>49.9</v>
      </c>
      <c r="R598" s="110">
        <v>349.98999999999995</v>
      </c>
      <c r="S598" s="110">
        <v>130</v>
      </c>
      <c r="T598" s="110">
        <v>0</v>
      </c>
      <c r="U598" s="110">
        <v>42.99</v>
      </c>
      <c r="X598">
        <v>132.09999999999997</v>
      </c>
      <c r="Y598">
        <v>44.9</v>
      </c>
      <c r="Z598">
        <v>44.9</v>
      </c>
      <c r="AA598">
        <v>0</v>
      </c>
      <c r="AB598" t="s">
        <v>324</v>
      </c>
      <c r="AF598" t="s">
        <v>2885</v>
      </c>
      <c r="AG598" t="s">
        <v>2885</v>
      </c>
      <c r="AH598" t="s">
        <v>1175</v>
      </c>
      <c r="AI598">
        <v>99999</v>
      </c>
      <c r="AJ598">
        <v>99999</v>
      </c>
      <c r="AK598">
        <v>699</v>
      </c>
      <c r="AL598" t="b">
        <v>1</v>
      </c>
      <c r="AM598" t="b">
        <v>1</v>
      </c>
      <c r="AN598" t="b">
        <v>1</v>
      </c>
      <c r="AO598">
        <v>99999</v>
      </c>
      <c r="AP598" t="s">
        <v>64</v>
      </c>
      <c r="AR598" t="b">
        <v>0</v>
      </c>
      <c r="AS598">
        <v>12</v>
      </c>
      <c r="AT598" t="s">
        <v>327</v>
      </c>
      <c r="AV598" t="s">
        <v>2908</v>
      </c>
      <c r="CRL598">
        <v>12</v>
      </c>
    </row>
    <row r="599" spans="1:48 2508:2508" x14ac:dyDescent="0.25">
      <c r="A599" t="s">
        <v>3323</v>
      </c>
      <c r="B599" t="s">
        <v>302</v>
      </c>
      <c r="C599" t="s">
        <v>62</v>
      </c>
      <c r="D599">
        <v>99999</v>
      </c>
      <c r="F599" s="109">
        <v>10000</v>
      </c>
      <c r="G599" t="b">
        <v>1</v>
      </c>
      <c r="H599" t="s">
        <v>337</v>
      </c>
      <c r="K599" t="s">
        <v>349</v>
      </c>
      <c r="L599" t="s">
        <v>303</v>
      </c>
      <c r="M599" t="s">
        <v>323</v>
      </c>
      <c r="N599" t="s">
        <v>63</v>
      </c>
      <c r="O599" s="110">
        <v>49.9</v>
      </c>
      <c r="R599" s="110">
        <v>364.89</v>
      </c>
      <c r="S599" s="110">
        <v>130</v>
      </c>
      <c r="T599" s="110">
        <v>0</v>
      </c>
      <c r="U599" s="110">
        <v>42.99</v>
      </c>
      <c r="X599">
        <v>146.99999999999997</v>
      </c>
      <c r="Y599">
        <v>44.9</v>
      </c>
      <c r="Z599">
        <v>44.9</v>
      </c>
      <c r="AA599">
        <v>0</v>
      </c>
      <c r="AB599" t="s">
        <v>324</v>
      </c>
      <c r="AF599" t="s">
        <v>2959</v>
      </c>
      <c r="AG599" t="s">
        <v>2959</v>
      </c>
      <c r="AH599" t="s">
        <v>1175</v>
      </c>
      <c r="AI599">
        <v>99999</v>
      </c>
      <c r="AJ599">
        <v>99999</v>
      </c>
      <c r="AK599">
        <v>699</v>
      </c>
      <c r="AL599" t="b">
        <v>1</v>
      </c>
      <c r="AM599" t="b">
        <v>1</v>
      </c>
      <c r="AN599" t="b">
        <v>1</v>
      </c>
      <c r="AO599">
        <v>99999</v>
      </c>
      <c r="AP599" t="s">
        <v>64</v>
      </c>
      <c r="AR599" t="b">
        <v>0</v>
      </c>
      <c r="AS599">
        <v>12</v>
      </c>
      <c r="AT599" t="s">
        <v>327</v>
      </c>
      <c r="AV599" t="s">
        <v>2982</v>
      </c>
      <c r="CRL599">
        <v>12</v>
      </c>
    </row>
    <row r="600" spans="1:48 2508:2508" x14ac:dyDescent="0.25">
      <c r="A600" t="s">
        <v>3323</v>
      </c>
      <c r="B600" t="s">
        <v>302</v>
      </c>
      <c r="C600" t="s">
        <v>62</v>
      </c>
      <c r="D600">
        <v>99999</v>
      </c>
      <c r="F600" s="109">
        <v>10000</v>
      </c>
      <c r="G600" t="b">
        <v>1</v>
      </c>
      <c r="H600" t="s">
        <v>337</v>
      </c>
      <c r="K600" t="s">
        <v>393</v>
      </c>
      <c r="L600" t="s">
        <v>303</v>
      </c>
      <c r="M600" t="s">
        <v>323</v>
      </c>
      <c r="N600" t="s">
        <v>63</v>
      </c>
      <c r="O600" s="110">
        <v>29.9</v>
      </c>
      <c r="R600" s="110">
        <v>304.89</v>
      </c>
      <c r="S600" s="110">
        <v>79.900000000000006</v>
      </c>
      <c r="T600" s="110">
        <v>0</v>
      </c>
      <c r="U600" s="110">
        <v>42.99</v>
      </c>
      <c r="X600">
        <v>112.09999999999997</v>
      </c>
      <c r="Y600">
        <v>69.900000000000006</v>
      </c>
      <c r="Z600">
        <v>69.900000000000006</v>
      </c>
      <c r="AA600">
        <v>0</v>
      </c>
      <c r="AB600" t="s">
        <v>363</v>
      </c>
      <c r="AF600" t="s">
        <v>1202</v>
      </c>
      <c r="AG600" t="s">
        <v>1202</v>
      </c>
      <c r="AH600" t="s">
        <v>1175</v>
      </c>
      <c r="AI600">
        <v>99999</v>
      </c>
      <c r="AJ600">
        <v>99999</v>
      </c>
      <c r="AK600">
        <v>699</v>
      </c>
      <c r="AL600" t="b">
        <v>1</v>
      </c>
      <c r="AM600" t="b">
        <v>1</v>
      </c>
      <c r="AN600" t="b">
        <v>1</v>
      </c>
      <c r="AO600">
        <v>99999</v>
      </c>
      <c r="AP600" t="s">
        <v>64</v>
      </c>
      <c r="AR600" t="b">
        <v>0</v>
      </c>
      <c r="AS600">
        <v>12</v>
      </c>
      <c r="AT600" t="s">
        <v>327</v>
      </c>
      <c r="AV600" t="s">
        <v>1238</v>
      </c>
      <c r="CRL600">
        <v>12</v>
      </c>
    </row>
    <row r="601" spans="1:48 2508:2508" x14ac:dyDescent="0.25">
      <c r="A601" t="s">
        <v>3323</v>
      </c>
      <c r="B601" t="s">
        <v>302</v>
      </c>
      <c r="C601" t="s">
        <v>62</v>
      </c>
      <c r="D601">
        <v>99999</v>
      </c>
      <c r="F601" s="109">
        <v>10000</v>
      </c>
      <c r="G601" t="b">
        <v>1</v>
      </c>
      <c r="H601" t="s">
        <v>337</v>
      </c>
      <c r="K601" t="s">
        <v>393</v>
      </c>
      <c r="L601" t="s">
        <v>303</v>
      </c>
      <c r="M601" t="s">
        <v>323</v>
      </c>
      <c r="N601" t="s">
        <v>63</v>
      </c>
      <c r="O601" s="110">
        <v>29.9</v>
      </c>
      <c r="R601" s="110">
        <v>324.89</v>
      </c>
      <c r="S601" s="110">
        <v>79.900000000000006</v>
      </c>
      <c r="T601" s="110">
        <v>0</v>
      </c>
      <c r="U601" s="110">
        <v>42.99</v>
      </c>
      <c r="X601">
        <v>132.09999999999997</v>
      </c>
      <c r="Y601">
        <v>69.900000000000006</v>
      </c>
      <c r="Z601">
        <v>69.900000000000006</v>
      </c>
      <c r="AA601">
        <v>0</v>
      </c>
      <c r="AB601" t="s">
        <v>363</v>
      </c>
      <c r="AF601" t="s">
        <v>1336</v>
      </c>
      <c r="AG601" t="s">
        <v>1336</v>
      </c>
      <c r="AH601" t="s">
        <v>1175</v>
      </c>
      <c r="AI601">
        <v>99999</v>
      </c>
      <c r="AJ601">
        <v>99999</v>
      </c>
      <c r="AK601">
        <v>699</v>
      </c>
      <c r="AL601" t="b">
        <v>1</v>
      </c>
      <c r="AM601" t="b">
        <v>1</v>
      </c>
      <c r="AN601" t="b">
        <v>1</v>
      </c>
      <c r="AO601">
        <v>99999</v>
      </c>
      <c r="AP601" t="s">
        <v>64</v>
      </c>
      <c r="AR601" t="b">
        <v>0</v>
      </c>
      <c r="AS601">
        <v>12</v>
      </c>
      <c r="AT601" t="s">
        <v>327</v>
      </c>
      <c r="AV601" t="s">
        <v>1372</v>
      </c>
      <c r="CRL601">
        <v>12</v>
      </c>
    </row>
    <row r="602" spans="1:48 2508:2508" x14ac:dyDescent="0.25">
      <c r="A602" t="s">
        <v>3323</v>
      </c>
      <c r="B602" t="s">
        <v>302</v>
      </c>
      <c r="C602" t="s">
        <v>62</v>
      </c>
      <c r="D602">
        <v>99999</v>
      </c>
      <c r="F602" s="109">
        <v>10000</v>
      </c>
      <c r="G602" t="b">
        <v>1</v>
      </c>
      <c r="H602" t="s">
        <v>337</v>
      </c>
      <c r="K602" t="s">
        <v>393</v>
      </c>
      <c r="L602" t="s">
        <v>303</v>
      </c>
      <c r="M602" t="s">
        <v>323</v>
      </c>
      <c r="N602" t="s">
        <v>63</v>
      </c>
      <c r="O602" s="110">
        <v>29.9</v>
      </c>
      <c r="R602" s="110">
        <v>344.89</v>
      </c>
      <c r="S602" s="110">
        <v>85</v>
      </c>
      <c r="T602" s="110">
        <v>0</v>
      </c>
      <c r="U602" s="110">
        <v>42.99</v>
      </c>
      <c r="X602">
        <v>146.99999999999997</v>
      </c>
      <c r="Y602">
        <v>69.900000000000006</v>
      </c>
      <c r="Z602">
        <v>69.900000000000006</v>
      </c>
      <c r="AA602">
        <v>0</v>
      </c>
      <c r="AB602" t="s">
        <v>363</v>
      </c>
      <c r="AF602" t="s">
        <v>1484</v>
      </c>
      <c r="AG602" t="s">
        <v>1484</v>
      </c>
      <c r="AH602" t="s">
        <v>1175</v>
      </c>
      <c r="AI602">
        <v>99999</v>
      </c>
      <c r="AJ602">
        <v>99999</v>
      </c>
      <c r="AK602">
        <v>699</v>
      </c>
      <c r="AL602" t="b">
        <v>1</v>
      </c>
      <c r="AM602" t="b">
        <v>1</v>
      </c>
      <c r="AN602" t="b">
        <v>1</v>
      </c>
      <c r="AO602">
        <v>99999</v>
      </c>
      <c r="AP602" t="s">
        <v>64</v>
      </c>
      <c r="AR602" t="b">
        <v>0</v>
      </c>
      <c r="AS602">
        <v>12</v>
      </c>
      <c r="AT602" t="s">
        <v>327</v>
      </c>
      <c r="AV602" t="s">
        <v>1520</v>
      </c>
      <c r="CRL602">
        <v>12</v>
      </c>
    </row>
    <row r="603" spans="1:48 2508:2508" x14ac:dyDescent="0.25">
      <c r="A603" t="s">
        <v>3323</v>
      </c>
      <c r="B603" t="s">
        <v>302</v>
      </c>
      <c r="C603" t="s">
        <v>62</v>
      </c>
      <c r="D603">
        <v>99999</v>
      </c>
      <c r="F603" s="109">
        <v>10000</v>
      </c>
      <c r="G603" t="b">
        <v>1</v>
      </c>
      <c r="H603" t="s">
        <v>337</v>
      </c>
      <c r="K603" t="s">
        <v>393</v>
      </c>
      <c r="L603" t="s">
        <v>303</v>
      </c>
      <c r="M603" t="s">
        <v>323</v>
      </c>
      <c r="N603" t="s">
        <v>63</v>
      </c>
      <c r="O603" s="110">
        <v>39.9</v>
      </c>
      <c r="R603" s="110">
        <v>304.89</v>
      </c>
      <c r="S603" s="110">
        <v>79.900000000000006</v>
      </c>
      <c r="T603" s="110">
        <v>0</v>
      </c>
      <c r="U603" s="110">
        <v>42.99</v>
      </c>
      <c r="X603">
        <v>112.09999999999997</v>
      </c>
      <c r="Y603">
        <v>69.900000000000006</v>
      </c>
      <c r="Z603">
        <v>69.900000000000006</v>
      </c>
      <c r="AA603">
        <v>0</v>
      </c>
      <c r="AB603" t="s">
        <v>363</v>
      </c>
      <c r="AF603" t="s">
        <v>1269</v>
      </c>
      <c r="AG603" t="s">
        <v>1269</v>
      </c>
      <c r="AH603" t="s">
        <v>1175</v>
      </c>
      <c r="AI603">
        <v>99999</v>
      </c>
      <c r="AJ603">
        <v>99999</v>
      </c>
      <c r="AK603">
        <v>699</v>
      </c>
      <c r="AL603" t="b">
        <v>1</v>
      </c>
      <c r="AM603" t="b">
        <v>1</v>
      </c>
      <c r="AN603" t="b">
        <v>1</v>
      </c>
      <c r="AO603">
        <v>99999</v>
      </c>
      <c r="AP603" t="s">
        <v>64</v>
      </c>
      <c r="AR603" t="b">
        <v>0</v>
      </c>
      <c r="AS603">
        <v>12</v>
      </c>
      <c r="AT603" t="s">
        <v>327</v>
      </c>
      <c r="AV603" t="s">
        <v>1305</v>
      </c>
      <c r="CRL603">
        <v>12</v>
      </c>
    </row>
    <row r="604" spans="1:48 2508:2508" x14ac:dyDescent="0.25">
      <c r="A604" t="s">
        <v>3323</v>
      </c>
      <c r="B604" t="s">
        <v>302</v>
      </c>
      <c r="C604" t="s">
        <v>62</v>
      </c>
      <c r="D604">
        <v>99999</v>
      </c>
      <c r="F604" s="109">
        <v>10000</v>
      </c>
      <c r="G604" t="b">
        <v>1</v>
      </c>
      <c r="H604" t="s">
        <v>337</v>
      </c>
      <c r="K604" t="s">
        <v>393</v>
      </c>
      <c r="L604" t="s">
        <v>303</v>
      </c>
      <c r="M604" t="s">
        <v>323</v>
      </c>
      <c r="N604" t="s">
        <v>63</v>
      </c>
      <c r="O604" s="110">
        <v>39.9</v>
      </c>
      <c r="R604" s="110">
        <v>324.89</v>
      </c>
      <c r="S604" s="110">
        <v>79.900000000000006</v>
      </c>
      <c r="T604" s="110">
        <v>0</v>
      </c>
      <c r="U604" s="110">
        <v>42.99</v>
      </c>
      <c r="X604">
        <v>132.09999999999997</v>
      </c>
      <c r="Y604">
        <v>69.900000000000006</v>
      </c>
      <c r="Z604">
        <v>69.900000000000006</v>
      </c>
      <c r="AA604">
        <v>0</v>
      </c>
      <c r="AB604" t="s">
        <v>363</v>
      </c>
      <c r="AF604" t="s">
        <v>1403</v>
      </c>
      <c r="AG604" t="s">
        <v>1403</v>
      </c>
      <c r="AH604" t="s">
        <v>1175</v>
      </c>
      <c r="AI604">
        <v>99999</v>
      </c>
      <c r="AJ604">
        <v>99999</v>
      </c>
      <c r="AK604">
        <v>699</v>
      </c>
      <c r="AL604" t="b">
        <v>1</v>
      </c>
      <c r="AM604" t="b">
        <v>1</v>
      </c>
      <c r="AN604" t="b">
        <v>1</v>
      </c>
      <c r="AO604">
        <v>99999</v>
      </c>
      <c r="AP604" t="s">
        <v>64</v>
      </c>
      <c r="AR604" t="b">
        <v>0</v>
      </c>
      <c r="AS604">
        <v>12</v>
      </c>
      <c r="AT604" t="s">
        <v>327</v>
      </c>
      <c r="AV604" t="s">
        <v>1439</v>
      </c>
      <c r="CRL604">
        <v>12</v>
      </c>
    </row>
    <row r="605" spans="1:48 2508:2508" x14ac:dyDescent="0.25">
      <c r="A605" t="s">
        <v>3323</v>
      </c>
      <c r="B605" t="s">
        <v>302</v>
      </c>
      <c r="C605" t="s">
        <v>62</v>
      </c>
      <c r="D605">
        <v>99999</v>
      </c>
      <c r="F605" s="109">
        <v>10000</v>
      </c>
      <c r="G605" t="b">
        <v>1</v>
      </c>
      <c r="H605" t="s">
        <v>337</v>
      </c>
      <c r="K605" t="s">
        <v>393</v>
      </c>
      <c r="L605" t="s">
        <v>303</v>
      </c>
      <c r="M605" t="s">
        <v>323</v>
      </c>
      <c r="N605" t="s">
        <v>63</v>
      </c>
      <c r="O605" s="110">
        <v>39.9</v>
      </c>
      <c r="R605" s="110">
        <v>344.89</v>
      </c>
      <c r="S605" s="110">
        <v>85</v>
      </c>
      <c r="T605" s="110">
        <v>0</v>
      </c>
      <c r="U605" s="110">
        <v>42.99</v>
      </c>
      <c r="X605">
        <v>146.99999999999997</v>
      </c>
      <c r="Y605">
        <v>69.900000000000006</v>
      </c>
      <c r="Z605">
        <v>69.900000000000006</v>
      </c>
      <c r="AA605">
        <v>0</v>
      </c>
      <c r="AB605" t="s">
        <v>363</v>
      </c>
      <c r="AF605" t="s">
        <v>1551</v>
      </c>
      <c r="AG605" t="s">
        <v>1551</v>
      </c>
      <c r="AH605" t="s">
        <v>1175</v>
      </c>
      <c r="AI605">
        <v>99999</v>
      </c>
      <c r="AJ605">
        <v>99999</v>
      </c>
      <c r="AK605">
        <v>699</v>
      </c>
      <c r="AL605" t="b">
        <v>1</v>
      </c>
      <c r="AM605" t="b">
        <v>1</v>
      </c>
      <c r="AN605" t="b">
        <v>1</v>
      </c>
      <c r="AO605">
        <v>99999</v>
      </c>
      <c r="AP605" t="s">
        <v>64</v>
      </c>
      <c r="AR605" t="b">
        <v>0</v>
      </c>
      <c r="AS605">
        <v>12</v>
      </c>
      <c r="AT605" t="s">
        <v>327</v>
      </c>
      <c r="AV605" t="s">
        <v>1587</v>
      </c>
      <c r="CRL605">
        <v>12</v>
      </c>
    </row>
    <row r="606" spans="1:48 2508:2508" x14ac:dyDescent="0.25">
      <c r="A606" t="s">
        <v>3323</v>
      </c>
      <c r="B606" t="s">
        <v>302</v>
      </c>
      <c r="C606" t="s">
        <v>62</v>
      </c>
      <c r="D606">
        <v>99999</v>
      </c>
      <c r="F606" s="109">
        <v>10000</v>
      </c>
      <c r="G606" t="b">
        <v>1</v>
      </c>
      <c r="H606" t="s">
        <v>337</v>
      </c>
      <c r="K606" t="s">
        <v>393</v>
      </c>
      <c r="L606" t="s">
        <v>303</v>
      </c>
      <c r="M606" t="s">
        <v>323</v>
      </c>
      <c r="N606" t="s">
        <v>63</v>
      </c>
      <c r="O606" s="110">
        <v>49.9</v>
      </c>
      <c r="R606" s="110">
        <v>330.69</v>
      </c>
      <c r="S606" s="110">
        <v>130</v>
      </c>
      <c r="T606" s="110">
        <v>0</v>
      </c>
      <c r="U606" s="110">
        <v>34.99</v>
      </c>
      <c r="X606">
        <v>95.799999999999983</v>
      </c>
      <c r="Y606">
        <v>69.900000000000006</v>
      </c>
      <c r="Z606">
        <v>69.900000000000006</v>
      </c>
      <c r="AA606">
        <v>0</v>
      </c>
      <c r="AB606" t="s">
        <v>363</v>
      </c>
      <c r="AF606" t="s">
        <v>2771</v>
      </c>
      <c r="AG606" t="s">
        <v>2771</v>
      </c>
      <c r="AH606" t="s">
        <v>1175</v>
      </c>
      <c r="AI606">
        <v>99999</v>
      </c>
      <c r="AJ606">
        <v>99999</v>
      </c>
      <c r="AK606">
        <v>699</v>
      </c>
      <c r="AL606" t="b">
        <v>1</v>
      </c>
      <c r="AM606" t="b">
        <v>1</v>
      </c>
      <c r="AN606" t="b">
        <v>1</v>
      </c>
      <c r="AO606">
        <v>99999</v>
      </c>
      <c r="AP606" t="s">
        <v>64</v>
      </c>
      <c r="AR606" t="b">
        <v>0</v>
      </c>
      <c r="AS606">
        <v>12</v>
      </c>
      <c r="AT606" t="s">
        <v>327</v>
      </c>
      <c r="AV606" t="s">
        <v>2807</v>
      </c>
      <c r="CRL606">
        <v>12</v>
      </c>
    </row>
    <row r="607" spans="1:48 2508:2508" x14ac:dyDescent="0.25">
      <c r="A607" t="s">
        <v>3323</v>
      </c>
      <c r="B607" t="s">
        <v>302</v>
      </c>
      <c r="C607" t="s">
        <v>62</v>
      </c>
      <c r="D607">
        <v>99999</v>
      </c>
      <c r="F607" s="109">
        <v>10000</v>
      </c>
      <c r="G607" t="b">
        <v>1</v>
      </c>
      <c r="H607" t="s">
        <v>337</v>
      </c>
      <c r="K607" t="s">
        <v>393</v>
      </c>
      <c r="L607" t="s">
        <v>303</v>
      </c>
      <c r="M607" t="s">
        <v>323</v>
      </c>
      <c r="N607" t="s">
        <v>63</v>
      </c>
      <c r="O607" s="110">
        <v>49.9</v>
      </c>
      <c r="R607" s="110">
        <v>354.99</v>
      </c>
      <c r="S607" s="110">
        <v>130</v>
      </c>
      <c r="T607" s="110">
        <v>0</v>
      </c>
      <c r="U607" s="110">
        <v>42.99</v>
      </c>
      <c r="X607">
        <v>112.09999999999997</v>
      </c>
      <c r="Y607">
        <v>69.900000000000006</v>
      </c>
      <c r="Z607">
        <v>69.900000000000006</v>
      </c>
      <c r="AA607">
        <v>0</v>
      </c>
      <c r="AB607" t="s">
        <v>363</v>
      </c>
      <c r="AF607" t="s">
        <v>2845</v>
      </c>
      <c r="AG607" t="s">
        <v>2845</v>
      </c>
      <c r="AH607" t="s">
        <v>1175</v>
      </c>
      <c r="AI607">
        <v>99999</v>
      </c>
      <c r="AJ607">
        <v>99999</v>
      </c>
      <c r="AK607">
        <v>699</v>
      </c>
      <c r="AL607" t="b">
        <v>1</v>
      </c>
      <c r="AM607" t="b">
        <v>1</v>
      </c>
      <c r="AN607" t="b">
        <v>1</v>
      </c>
      <c r="AO607">
        <v>99999</v>
      </c>
      <c r="AP607" t="s">
        <v>64</v>
      </c>
      <c r="AR607" t="b">
        <v>0</v>
      </c>
      <c r="AS607">
        <v>12</v>
      </c>
      <c r="AT607" t="s">
        <v>327</v>
      </c>
      <c r="AV607" t="s">
        <v>2881</v>
      </c>
      <c r="CRL607">
        <v>12</v>
      </c>
    </row>
    <row r="608" spans="1:48 2508:2508" x14ac:dyDescent="0.25">
      <c r="A608" t="s">
        <v>3323</v>
      </c>
      <c r="B608" t="s">
        <v>302</v>
      </c>
      <c r="C608" t="s">
        <v>62</v>
      </c>
      <c r="D608">
        <v>99999</v>
      </c>
      <c r="F608" s="109">
        <v>10000</v>
      </c>
      <c r="G608" t="b">
        <v>1</v>
      </c>
      <c r="H608" t="s">
        <v>337</v>
      </c>
      <c r="K608" t="s">
        <v>393</v>
      </c>
      <c r="L608" t="s">
        <v>303</v>
      </c>
      <c r="M608" t="s">
        <v>323</v>
      </c>
      <c r="N608" t="s">
        <v>63</v>
      </c>
      <c r="O608" s="110">
        <v>49.9</v>
      </c>
      <c r="R608" s="110">
        <v>374.99</v>
      </c>
      <c r="S608" s="110">
        <v>130</v>
      </c>
      <c r="T608" s="110">
        <v>0</v>
      </c>
      <c r="U608" s="110">
        <v>42.99</v>
      </c>
      <c r="X608">
        <v>132.09999999999997</v>
      </c>
      <c r="Y608">
        <v>69.900000000000006</v>
      </c>
      <c r="Z608">
        <v>69.900000000000006</v>
      </c>
      <c r="AA608">
        <v>0</v>
      </c>
      <c r="AB608" t="s">
        <v>363</v>
      </c>
      <c r="AF608" t="s">
        <v>2912</v>
      </c>
      <c r="AG608" t="s">
        <v>2912</v>
      </c>
      <c r="AH608" t="s">
        <v>1175</v>
      </c>
      <c r="AI608">
        <v>99999</v>
      </c>
      <c r="AJ608">
        <v>99999</v>
      </c>
      <c r="AK608">
        <v>699</v>
      </c>
      <c r="AL608" t="b">
        <v>1</v>
      </c>
      <c r="AM608" t="b">
        <v>1</v>
      </c>
      <c r="AN608" t="b">
        <v>1</v>
      </c>
      <c r="AO608">
        <v>99999</v>
      </c>
      <c r="AP608" t="s">
        <v>64</v>
      </c>
      <c r="AR608" t="b">
        <v>0</v>
      </c>
      <c r="AS608">
        <v>12</v>
      </c>
      <c r="AT608" t="s">
        <v>327</v>
      </c>
      <c r="AV608" t="s">
        <v>2948</v>
      </c>
      <c r="CRL608">
        <v>12</v>
      </c>
    </row>
    <row r="609" spans="1:48 2508:2508" x14ac:dyDescent="0.25">
      <c r="A609" t="s">
        <v>3323</v>
      </c>
      <c r="B609" t="s">
        <v>302</v>
      </c>
      <c r="C609" t="s">
        <v>62</v>
      </c>
      <c r="D609">
        <v>99999</v>
      </c>
      <c r="F609" s="109">
        <v>10000</v>
      </c>
      <c r="G609" t="b">
        <v>1</v>
      </c>
      <c r="H609" t="s">
        <v>337</v>
      </c>
      <c r="K609" t="s">
        <v>393</v>
      </c>
      <c r="L609" t="s">
        <v>303</v>
      </c>
      <c r="M609" t="s">
        <v>323</v>
      </c>
      <c r="N609" t="s">
        <v>63</v>
      </c>
      <c r="O609" s="110">
        <v>49.9</v>
      </c>
      <c r="R609" s="110">
        <v>389.89</v>
      </c>
      <c r="S609" s="110">
        <v>130</v>
      </c>
      <c r="T609" s="110">
        <v>0</v>
      </c>
      <c r="U609" s="110">
        <v>42.99</v>
      </c>
      <c r="X609">
        <v>146.99999999999997</v>
      </c>
      <c r="Y609">
        <v>69.900000000000006</v>
      </c>
      <c r="Z609">
        <v>69.900000000000006</v>
      </c>
      <c r="AA609">
        <v>0</v>
      </c>
      <c r="AB609" t="s">
        <v>363</v>
      </c>
      <c r="AF609" t="s">
        <v>2986</v>
      </c>
      <c r="AG609" t="s">
        <v>2986</v>
      </c>
      <c r="AH609" t="s">
        <v>1175</v>
      </c>
      <c r="AI609">
        <v>99999</v>
      </c>
      <c r="AJ609">
        <v>99999</v>
      </c>
      <c r="AK609">
        <v>699</v>
      </c>
      <c r="AL609" t="b">
        <v>1</v>
      </c>
      <c r="AM609" t="b">
        <v>1</v>
      </c>
      <c r="AN609" t="b">
        <v>1</v>
      </c>
      <c r="AO609">
        <v>99999</v>
      </c>
      <c r="AP609" t="s">
        <v>64</v>
      </c>
      <c r="AR609" t="b">
        <v>0</v>
      </c>
      <c r="AS609">
        <v>12</v>
      </c>
      <c r="AT609" t="s">
        <v>327</v>
      </c>
      <c r="AV609" t="s">
        <v>3022</v>
      </c>
      <c r="CRL609">
        <v>12</v>
      </c>
    </row>
    <row r="610" spans="1:48 2508:2508" x14ac:dyDescent="0.25">
      <c r="A610" t="s">
        <v>3323</v>
      </c>
      <c r="B610" t="s">
        <v>302</v>
      </c>
      <c r="C610" t="s">
        <v>62</v>
      </c>
      <c r="D610">
        <v>99999</v>
      </c>
      <c r="F610" s="109">
        <v>10000</v>
      </c>
      <c r="G610" t="b">
        <v>1</v>
      </c>
      <c r="H610" t="s">
        <v>337</v>
      </c>
      <c r="K610" t="s">
        <v>364</v>
      </c>
      <c r="L610" t="s">
        <v>303</v>
      </c>
      <c r="M610" t="s">
        <v>323</v>
      </c>
      <c r="N610" t="s">
        <v>63</v>
      </c>
      <c r="O610" s="110">
        <v>29.9</v>
      </c>
      <c r="R610" s="110">
        <v>284.89</v>
      </c>
      <c r="S610" s="110">
        <v>79.900000000000006</v>
      </c>
      <c r="T610" s="110">
        <v>0</v>
      </c>
      <c r="U610" s="110">
        <v>42.99</v>
      </c>
      <c r="X610">
        <v>112.09999999999997</v>
      </c>
      <c r="Y610">
        <v>49.9</v>
      </c>
      <c r="Z610">
        <v>49.9</v>
      </c>
      <c r="AA610">
        <v>0</v>
      </c>
      <c r="AB610" t="s">
        <v>363</v>
      </c>
      <c r="AF610" t="s">
        <v>1202</v>
      </c>
      <c r="AG610" t="s">
        <v>1202</v>
      </c>
      <c r="AH610" t="s">
        <v>1175</v>
      </c>
      <c r="AI610">
        <v>99999</v>
      </c>
      <c r="AJ610">
        <v>99999</v>
      </c>
      <c r="AK610">
        <v>699</v>
      </c>
      <c r="AL610" t="b">
        <v>1</v>
      </c>
      <c r="AM610" t="b">
        <v>1</v>
      </c>
      <c r="AN610" t="b">
        <v>1</v>
      </c>
      <c r="AO610">
        <v>99999</v>
      </c>
      <c r="AP610" t="s">
        <v>64</v>
      </c>
      <c r="AR610" t="b">
        <v>0</v>
      </c>
      <c r="AS610">
        <v>12</v>
      </c>
      <c r="AT610" t="s">
        <v>327</v>
      </c>
      <c r="AV610" t="s">
        <v>1212</v>
      </c>
      <c r="CRL610">
        <v>12</v>
      </c>
    </row>
    <row r="611" spans="1:48 2508:2508" x14ac:dyDescent="0.25">
      <c r="A611" t="s">
        <v>3323</v>
      </c>
      <c r="B611" t="s">
        <v>302</v>
      </c>
      <c r="C611" t="s">
        <v>62</v>
      </c>
      <c r="D611">
        <v>99999</v>
      </c>
      <c r="F611" s="109">
        <v>10000</v>
      </c>
      <c r="G611" t="b">
        <v>1</v>
      </c>
      <c r="H611" t="s">
        <v>337</v>
      </c>
      <c r="K611" t="s">
        <v>364</v>
      </c>
      <c r="L611" t="s">
        <v>303</v>
      </c>
      <c r="M611" t="s">
        <v>323</v>
      </c>
      <c r="N611" t="s">
        <v>63</v>
      </c>
      <c r="O611" s="110">
        <v>29.9</v>
      </c>
      <c r="R611" s="110">
        <v>304.89</v>
      </c>
      <c r="S611" s="110">
        <v>79.900000000000006</v>
      </c>
      <c r="T611" s="110">
        <v>0</v>
      </c>
      <c r="U611" s="110">
        <v>42.99</v>
      </c>
      <c r="X611">
        <v>132.09999999999997</v>
      </c>
      <c r="Y611">
        <v>49.9</v>
      </c>
      <c r="Z611">
        <v>49.9</v>
      </c>
      <c r="AA611">
        <v>0</v>
      </c>
      <c r="AB611" t="s">
        <v>363</v>
      </c>
      <c r="AF611" t="s">
        <v>1336</v>
      </c>
      <c r="AG611" t="s">
        <v>1336</v>
      </c>
      <c r="AH611" t="s">
        <v>1175</v>
      </c>
      <c r="AI611">
        <v>99999</v>
      </c>
      <c r="AJ611">
        <v>99999</v>
      </c>
      <c r="AK611">
        <v>699</v>
      </c>
      <c r="AL611" t="b">
        <v>1</v>
      </c>
      <c r="AM611" t="b">
        <v>1</v>
      </c>
      <c r="AN611" t="b">
        <v>1</v>
      </c>
      <c r="AO611">
        <v>99999</v>
      </c>
      <c r="AP611" t="s">
        <v>64</v>
      </c>
      <c r="AR611" t="b">
        <v>0</v>
      </c>
      <c r="AS611">
        <v>12</v>
      </c>
      <c r="AT611" t="s">
        <v>327</v>
      </c>
      <c r="AV611" t="s">
        <v>1346</v>
      </c>
      <c r="CRL611">
        <v>12</v>
      </c>
    </row>
    <row r="612" spans="1:48 2508:2508" x14ac:dyDescent="0.25">
      <c r="A612" t="s">
        <v>3323</v>
      </c>
      <c r="B612" t="s">
        <v>302</v>
      </c>
      <c r="C612" t="s">
        <v>62</v>
      </c>
      <c r="D612">
        <v>99999</v>
      </c>
      <c r="F612" s="109">
        <v>10000</v>
      </c>
      <c r="G612" t="b">
        <v>1</v>
      </c>
      <c r="H612" t="s">
        <v>337</v>
      </c>
      <c r="K612" t="s">
        <v>364</v>
      </c>
      <c r="L612" t="s">
        <v>303</v>
      </c>
      <c r="M612" t="s">
        <v>323</v>
      </c>
      <c r="N612" t="s">
        <v>63</v>
      </c>
      <c r="O612" s="110">
        <v>29.9</v>
      </c>
      <c r="R612" s="110">
        <v>324.89</v>
      </c>
      <c r="S612" s="110">
        <v>85</v>
      </c>
      <c r="T612" s="110">
        <v>0</v>
      </c>
      <c r="U612" s="110">
        <v>42.99</v>
      </c>
      <c r="X612">
        <v>146.99999999999997</v>
      </c>
      <c r="Y612">
        <v>49.9</v>
      </c>
      <c r="Z612">
        <v>49.9</v>
      </c>
      <c r="AA612">
        <v>0</v>
      </c>
      <c r="AB612" t="s">
        <v>363</v>
      </c>
      <c r="AF612" t="s">
        <v>1484</v>
      </c>
      <c r="AG612" t="s">
        <v>1484</v>
      </c>
      <c r="AH612" t="s">
        <v>1175</v>
      </c>
      <c r="AI612">
        <v>99999</v>
      </c>
      <c r="AJ612">
        <v>99999</v>
      </c>
      <c r="AK612">
        <v>699</v>
      </c>
      <c r="AL612" t="b">
        <v>1</v>
      </c>
      <c r="AM612" t="b">
        <v>1</v>
      </c>
      <c r="AN612" t="b">
        <v>1</v>
      </c>
      <c r="AO612">
        <v>99999</v>
      </c>
      <c r="AP612" t="s">
        <v>64</v>
      </c>
      <c r="AR612" t="b">
        <v>0</v>
      </c>
      <c r="AS612">
        <v>12</v>
      </c>
      <c r="AT612" t="s">
        <v>327</v>
      </c>
      <c r="AV612" t="s">
        <v>1494</v>
      </c>
      <c r="CRL612">
        <v>12</v>
      </c>
    </row>
    <row r="613" spans="1:48 2508:2508" x14ac:dyDescent="0.25">
      <c r="A613" t="s">
        <v>3323</v>
      </c>
      <c r="B613" t="s">
        <v>302</v>
      </c>
      <c r="C613" t="s">
        <v>62</v>
      </c>
      <c r="D613">
        <v>99999</v>
      </c>
      <c r="F613" s="109">
        <v>10000</v>
      </c>
      <c r="G613" t="b">
        <v>1</v>
      </c>
      <c r="H613" t="s">
        <v>337</v>
      </c>
      <c r="K613" t="s">
        <v>364</v>
      </c>
      <c r="L613" t="s">
        <v>303</v>
      </c>
      <c r="M613" t="s">
        <v>323</v>
      </c>
      <c r="N613" t="s">
        <v>63</v>
      </c>
      <c r="O613" s="110">
        <v>39.9</v>
      </c>
      <c r="R613" s="110">
        <v>284.89</v>
      </c>
      <c r="S613" s="110">
        <v>79.900000000000006</v>
      </c>
      <c r="T613" s="110">
        <v>0</v>
      </c>
      <c r="U613" s="110">
        <v>42.99</v>
      </c>
      <c r="X613">
        <v>112.09999999999997</v>
      </c>
      <c r="Y613">
        <v>49.9</v>
      </c>
      <c r="Z613">
        <v>49.9</v>
      </c>
      <c r="AA613">
        <v>0</v>
      </c>
      <c r="AB613" t="s">
        <v>363</v>
      </c>
      <c r="AF613" t="s">
        <v>1269</v>
      </c>
      <c r="AG613" t="s">
        <v>1269</v>
      </c>
      <c r="AH613" t="s">
        <v>1175</v>
      </c>
      <c r="AI613">
        <v>99999</v>
      </c>
      <c r="AJ613">
        <v>99999</v>
      </c>
      <c r="AK613">
        <v>699</v>
      </c>
      <c r="AL613" t="b">
        <v>1</v>
      </c>
      <c r="AM613" t="b">
        <v>1</v>
      </c>
      <c r="AN613" t="b">
        <v>1</v>
      </c>
      <c r="AO613">
        <v>99999</v>
      </c>
      <c r="AP613" t="s">
        <v>64</v>
      </c>
      <c r="AR613" t="b">
        <v>0</v>
      </c>
      <c r="AS613">
        <v>12</v>
      </c>
      <c r="AT613" t="s">
        <v>327</v>
      </c>
      <c r="AV613" t="s">
        <v>1279</v>
      </c>
      <c r="CRL613">
        <v>12</v>
      </c>
    </row>
    <row r="614" spans="1:48 2508:2508" x14ac:dyDescent="0.25">
      <c r="A614" t="s">
        <v>3323</v>
      </c>
      <c r="B614" t="s">
        <v>302</v>
      </c>
      <c r="C614" t="s">
        <v>62</v>
      </c>
      <c r="D614">
        <v>99999</v>
      </c>
      <c r="F614" s="109">
        <v>10000</v>
      </c>
      <c r="G614" t="b">
        <v>1</v>
      </c>
      <c r="H614" t="s">
        <v>337</v>
      </c>
      <c r="K614" t="s">
        <v>364</v>
      </c>
      <c r="L614" t="s">
        <v>303</v>
      </c>
      <c r="M614" t="s">
        <v>323</v>
      </c>
      <c r="N614" t="s">
        <v>63</v>
      </c>
      <c r="O614" s="110">
        <v>39.9</v>
      </c>
      <c r="R614" s="110">
        <v>304.89</v>
      </c>
      <c r="S614" s="110">
        <v>79.900000000000006</v>
      </c>
      <c r="T614" s="110">
        <v>0</v>
      </c>
      <c r="U614" s="110">
        <v>42.99</v>
      </c>
      <c r="X614">
        <v>132.09999999999997</v>
      </c>
      <c r="Y614">
        <v>49.9</v>
      </c>
      <c r="Z614">
        <v>49.9</v>
      </c>
      <c r="AA614">
        <v>0</v>
      </c>
      <c r="AB614" t="s">
        <v>363</v>
      </c>
      <c r="AF614" t="s">
        <v>1403</v>
      </c>
      <c r="AG614" t="s">
        <v>1403</v>
      </c>
      <c r="AH614" t="s">
        <v>1175</v>
      </c>
      <c r="AI614">
        <v>99999</v>
      </c>
      <c r="AJ614">
        <v>99999</v>
      </c>
      <c r="AK614">
        <v>699</v>
      </c>
      <c r="AL614" t="b">
        <v>1</v>
      </c>
      <c r="AM614" t="b">
        <v>1</v>
      </c>
      <c r="AN614" t="b">
        <v>1</v>
      </c>
      <c r="AO614">
        <v>99999</v>
      </c>
      <c r="AP614" t="s">
        <v>64</v>
      </c>
      <c r="AR614" t="b">
        <v>0</v>
      </c>
      <c r="AS614">
        <v>12</v>
      </c>
      <c r="AT614" t="s">
        <v>327</v>
      </c>
      <c r="AV614" t="s">
        <v>1413</v>
      </c>
      <c r="CRL614">
        <v>12</v>
      </c>
    </row>
    <row r="615" spans="1:48 2508:2508" x14ac:dyDescent="0.25">
      <c r="A615" t="s">
        <v>3323</v>
      </c>
      <c r="B615" t="s">
        <v>302</v>
      </c>
      <c r="C615" t="s">
        <v>62</v>
      </c>
      <c r="D615">
        <v>99999</v>
      </c>
      <c r="F615" s="109">
        <v>10000</v>
      </c>
      <c r="G615" t="b">
        <v>1</v>
      </c>
      <c r="H615" t="s">
        <v>337</v>
      </c>
      <c r="K615" t="s">
        <v>364</v>
      </c>
      <c r="L615" t="s">
        <v>303</v>
      </c>
      <c r="M615" t="s">
        <v>323</v>
      </c>
      <c r="N615" t="s">
        <v>63</v>
      </c>
      <c r="O615" s="110">
        <v>39.9</v>
      </c>
      <c r="R615" s="110">
        <v>324.89</v>
      </c>
      <c r="S615" s="110">
        <v>85</v>
      </c>
      <c r="T615" s="110">
        <v>0</v>
      </c>
      <c r="U615" s="110">
        <v>42.99</v>
      </c>
      <c r="X615">
        <v>146.99999999999997</v>
      </c>
      <c r="Y615">
        <v>49.9</v>
      </c>
      <c r="Z615">
        <v>49.9</v>
      </c>
      <c r="AA615">
        <v>0</v>
      </c>
      <c r="AB615" t="s">
        <v>363</v>
      </c>
      <c r="AF615" t="s">
        <v>1551</v>
      </c>
      <c r="AG615" t="s">
        <v>1551</v>
      </c>
      <c r="AH615" t="s">
        <v>1175</v>
      </c>
      <c r="AI615">
        <v>99999</v>
      </c>
      <c r="AJ615">
        <v>99999</v>
      </c>
      <c r="AK615">
        <v>699</v>
      </c>
      <c r="AL615" t="b">
        <v>1</v>
      </c>
      <c r="AM615" t="b">
        <v>1</v>
      </c>
      <c r="AN615" t="b">
        <v>1</v>
      </c>
      <c r="AO615">
        <v>99999</v>
      </c>
      <c r="AP615" t="s">
        <v>64</v>
      </c>
      <c r="AR615" t="b">
        <v>0</v>
      </c>
      <c r="AS615">
        <v>12</v>
      </c>
      <c r="AT615" t="s">
        <v>327</v>
      </c>
      <c r="AV615" t="s">
        <v>1561</v>
      </c>
      <c r="CRL615">
        <v>12</v>
      </c>
    </row>
    <row r="616" spans="1:48 2508:2508" x14ac:dyDescent="0.25">
      <c r="A616" t="s">
        <v>3323</v>
      </c>
      <c r="B616" t="s">
        <v>302</v>
      </c>
      <c r="C616" t="s">
        <v>62</v>
      </c>
      <c r="D616">
        <v>99999</v>
      </c>
      <c r="F616" s="109">
        <v>10000</v>
      </c>
      <c r="G616" t="b">
        <v>1</v>
      </c>
      <c r="H616" t="s">
        <v>337</v>
      </c>
      <c r="K616" t="s">
        <v>364</v>
      </c>
      <c r="L616" t="s">
        <v>303</v>
      </c>
      <c r="M616" t="s">
        <v>323</v>
      </c>
      <c r="N616" t="s">
        <v>63</v>
      </c>
      <c r="O616" s="110">
        <v>49.9</v>
      </c>
      <c r="R616" s="110">
        <v>310.68999999999994</v>
      </c>
      <c r="S616" s="110">
        <v>130</v>
      </c>
      <c r="T616" s="110">
        <v>0</v>
      </c>
      <c r="U616" s="110">
        <v>34.99</v>
      </c>
      <c r="X616">
        <v>95.799999999999983</v>
      </c>
      <c r="Y616">
        <v>49.9</v>
      </c>
      <c r="Z616">
        <v>49.9</v>
      </c>
      <c r="AA616">
        <v>0</v>
      </c>
      <c r="AB616" t="s">
        <v>363</v>
      </c>
      <c r="AF616" t="s">
        <v>2771</v>
      </c>
      <c r="AG616" t="s">
        <v>2771</v>
      </c>
      <c r="AH616" t="s">
        <v>1175</v>
      </c>
      <c r="AI616">
        <v>99999</v>
      </c>
      <c r="AJ616">
        <v>99999</v>
      </c>
      <c r="AK616">
        <v>699</v>
      </c>
      <c r="AL616" t="b">
        <v>1</v>
      </c>
      <c r="AM616" t="b">
        <v>1</v>
      </c>
      <c r="AN616" t="b">
        <v>1</v>
      </c>
      <c r="AO616">
        <v>99999</v>
      </c>
      <c r="AP616" t="s">
        <v>64</v>
      </c>
      <c r="AR616" t="b">
        <v>0</v>
      </c>
      <c r="AS616">
        <v>12</v>
      </c>
      <c r="AT616" t="s">
        <v>327</v>
      </c>
      <c r="AV616" t="s">
        <v>2781</v>
      </c>
      <c r="CRL616">
        <v>12</v>
      </c>
    </row>
    <row r="617" spans="1:48 2508:2508" x14ac:dyDescent="0.25">
      <c r="A617" t="s">
        <v>3323</v>
      </c>
      <c r="B617" t="s">
        <v>302</v>
      </c>
      <c r="C617" t="s">
        <v>62</v>
      </c>
      <c r="D617">
        <v>99999</v>
      </c>
      <c r="F617" s="109">
        <v>10000</v>
      </c>
      <c r="G617" t="b">
        <v>1</v>
      </c>
      <c r="H617" t="s">
        <v>337</v>
      </c>
      <c r="K617" t="s">
        <v>364</v>
      </c>
      <c r="L617" t="s">
        <v>303</v>
      </c>
      <c r="M617" t="s">
        <v>323</v>
      </c>
      <c r="N617" t="s">
        <v>63</v>
      </c>
      <c r="O617" s="110">
        <v>49.9</v>
      </c>
      <c r="R617" s="110">
        <v>334.98999999999995</v>
      </c>
      <c r="S617" s="110">
        <v>130</v>
      </c>
      <c r="T617" s="110">
        <v>0</v>
      </c>
      <c r="U617" s="110">
        <v>42.99</v>
      </c>
      <c r="X617">
        <v>112.09999999999997</v>
      </c>
      <c r="Y617">
        <v>49.9</v>
      </c>
      <c r="Z617">
        <v>49.9</v>
      </c>
      <c r="AA617">
        <v>0</v>
      </c>
      <c r="AB617" t="s">
        <v>363</v>
      </c>
      <c r="AF617" t="s">
        <v>2845</v>
      </c>
      <c r="AG617" t="s">
        <v>2845</v>
      </c>
      <c r="AH617" t="s">
        <v>1175</v>
      </c>
      <c r="AI617">
        <v>99999</v>
      </c>
      <c r="AJ617">
        <v>99999</v>
      </c>
      <c r="AK617">
        <v>699</v>
      </c>
      <c r="AL617" t="b">
        <v>1</v>
      </c>
      <c r="AM617" t="b">
        <v>1</v>
      </c>
      <c r="AN617" t="b">
        <v>1</v>
      </c>
      <c r="AO617">
        <v>99999</v>
      </c>
      <c r="AP617" t="s">
        <v>64</v>
      </c>
      <c r="AR617" t="b">
        <v>0</v>
      </c>
      <c r="AS617">
        <v>12</v>
      </c>
      <c r="AT617" t="s">
        <v>327</v>
      </c>
      <c r="AV617" t="s">
        <v>2855</v>
      </c>
      <c r="CRL617">
        <v>12</v>
      </c>
    </row>
    <row r="618" spans="1:48 2508:2508" x14ac:dyDescent="0.25">
      <c r="A618" t="s">
        <v>3323</v>
      </c>
      <c r="B618" t="s">
        <v>302</v>
      </c>
      <c r="C618" t="s">
        <v>62</v>
      </c>
      <c r="D618">
        <v>99999</v>
      </c>
      <c r="F618" s="109">
        <v>10000</v>
      </c>
      <c r="G618" t="b">
        <v>1</v>
      </c>
      <c r="H618" t="s">
        <v>337</v>
      </c>
      <c r="K618" t="s">
        <v>364</v>
      </c>
      <c r="L618" t="s">
        <v>303</v>
      </c>
      <c r="M618" t="s">
        <v>323</v>
      </c>
      <c r="N618" t="s">
        <v>63</v>
      </c>
      <c r="O618" s="110">
        <v>49.9</v>
      </c>
      <c r="R618" s="110">
        <v>354.98999999999995</v>
      </c>
      <c r="S618" s="110">
        <v>130</v>
      </c>
      <c r="T618" s="110">
        <v>0</v>
      </c>
      <c r="U618" s="110">
        <v>42.99</v>
      </c>
      <c r="X618">
        <v>132.09999999999997</v>
      </c>
      <c r="Y618">
        <v>49.9</v>
      </c>
      <c r="Z618">
        <v>49.9</v>
      </c>
      <c r="AA618">
        <v>0</v>
      </c>
      <c r="AB618" t="s">
        <v>363</v>
      </c>
      <c r="AF618" t="s">
        <v>2912</v>
      </c>
      <c r="AG618" t="s">
        <v>2912</v>
      </c>
      <c r="AH618" t="s">
        <v>1175</v>
      </c>
      <c r="AI618">
        <v>99999</v>
      </c>
      <c r="AJ618">
        <v>99999</v>
      </c>
      <c r="AK618">
        <v>699</v>
      </c>
      <c r="AL618" t="b">
        <v>1</v>
      </c>
      <c r="AM618" t="b">
        <v>1</v>
      </c>
      <c r="AN618" t="b">
        <v>1</v>
      </c>
      <c r="AO618">
        <v>99999</v>
      </c>
      <c r="AP618" t="s">
        <v>64</v>
      </c>
      <c r="AR618" t="b">
        <v>0</v>
      </c>
      <c r="AS618">
        <v>12</v>
      </c>
      <c r="AT618" t="s">
        <v>327</v>
      </c>
      <c r="AV618" t="s">
        <v>2922</v>
      </c>
      <c r="CRL618">
        <v>12</v>
      </c>
    </row>
    <row r="619" spans="1:48 2508:2508" x14ac:dyDescent="0.25">
      <c r="A619" t="s">
        <v>3323</v>
      </c>
      <c r="B619" t="s">
        <v>302</v>
      </c>
      <c r="C619" t="s">
        <v>62</v>
      </c>
      <c r="D619">
        <v>99999</v>
      </c>
      <c r="F619" s="109">
        <v>10000</v>
      </c>
      <c r="G619" t="b">
        <v>1</v>
      </c>
      <c r="H619" t="s">
        <v>337</v>
      </c>
      <c r="K619" t="s">
        <v>364</v>
      </c>
      <c r="L619" t="s">
        <v>303</v>
      </c>
      <c r="M619" t="s">
        <v>323</v>
      </c>
      <c r="N619" t="s">
        <v>63</v>
      </c>
      <c r="O619" s="110">
        <v>49.9</v>
      </c>
      <c r="R619" s="110">
        <v>369.89</v>
      </c>
      <c r="S619" s="110">
        <v>130</v>
      </c>
      <c r="T619" s="110">
        <v>0</v>
      </c>
      <c r="U619" s="110">
        <v>42.99</v>
      </c>
      <c r="X619">
        <v>146.99999999999997</v>
      </c>
      <c r="Y619">
        <v>49.9</v>
      </c>
      <c r="Z619">
        <v>49.9</v>
      </c>
      <c r="AA619">
        <v>0</v>
      </c>
      <c r="AB619" t="s">
        <v>363</v>
      </c>
      <c r="AF619" t="s">
        <v>2986</v>
      </c>
      <c r="AG619" t="s">
        <v>2986</v>
      </c>
      <c r="AH619" t="s">
        <v>1175</v>
      </c>
      <c r="AI619">
        <v>99999</v>
      </c>
      <c r="AJ619">
        <v>99999</v>
      </c>
      <c r="AK619">
        <v>699</v>
      </c>
      <c r="AL619" t="b">
        <v>1</v>
      </c>
      <c r="AM619" t="b">
        <v>1</v>
      </c>
      <c r="AN619" t="b">
        <v>1</v>
      </c>
      <c r="AO619">
        <v>99999</v>
      </c>
      <c r="AP619" t="s">
        <v>64</v>
      </c>
      <c r="AR619" t="b">
        <v>0</v>
      </c>
      <c r="AS619">
        <v>12</v>
      </c>
      <c r="AT619" t="s">
        <v>327</v>
      </c>
      <c r="AV619" t="s">
        <v>2996</v>
      </c>
      <c r="CRL619">
        <v>12</v>
      </c>
    </row>
    <row r="620" spans="1:48 2508:2508" x14ac:dyDescent="0.25">
      <c r="A620" t="s">
        <v>3323</v>
      </c>
      <c r="B620" t="s">
        <v>302</v>
      </c>
      <c r="C620" t="s">
        <v>62</v>
      </c>
      <c r="D620">
        <v>99999</v>
      </c>
      <c r="F620" s="109">
        <v>10000</v>
      </c>
      <c r="G620" t="b">
        <v>1</v>
      </c>
      <c r="H620" t="s">
        <v>337</v>
      </c>
      <c r="K620" t="s">
        <v>379</v>
      </c>
      <c r="L620" t="s">
        <v>303</v>
      </c>
      <c r="M620" t="s">
        <v>323</v>
      </c>
      <c r="N620" t="s">
        <v>63</v>
      </c>
      <c r="O620" s="110">
        <v>29.9</v>
      </c>
      <c r="R620" s="110">
        <v>294.89</v>
      </c>
      <c r="S620" s="110">
        <v>79.900000000000006</v>
      </c>
      <c r="T620" s="110">
        <v>0</v>
      </c>
      <c r="U620" s="110">
        <v>42.99</v>
      </c>
      <c r="X620">
        <v>112.09999999999997</v>
      </c>
      <c r="Y620">
        <v>59.9</v>
      </c>
      <c r="Z620">
        <v>59.9</v>
      </c>
      <c r="AA620">
        <v>0</v>
      </c>
      <c r="AB620" t="s">
        <v>363</v>
      </c>
      <c r="AF620" t="s">
        <v>1202</v>
      </c>
      <c r="AG620" t="s">
        <v>1202</v>
      </c>
      <c r="AH620" t="s">
        <v>1175</v>
      </c>
      <c r="AI620">
        <v>99999</v>
      </c>
      <c r="AJ620">
        <v>99999</v>
      </c>
      <c r="AK620">
        <v>699</v>
      </c>
      <c r="AL620" t="b">
        <v>1</v>
      </c>
      <c r="AM620" t="b">
        <v>1</v>
      </c>
      <c r="AN620" t="b">
        <v>1</v>
      </c>
      <c r="AO620">
        <v>99999</v>
      </c>
      <c r="AP620" t="s">
        <v>64</v>
      </c>
      <c r="AR620" t="b">
        <v>0</v>
      </c>
      <c r="AS620">
        <v>12</v>
      </c>
      <c r="AT620" t="s">
        <v>327</v>
      </c>
      <c r="AV620" t="s">
        <v>1225</v>
      </c>
      <c r="CRL620">
        <v>12</v>
      </c>
    </row>
    <row r="621" spans="1:48 2508:2508" x14ac:dyDescent="0.25">
      <c r="A621" t="s">
        <v>3323</v>
      </c>
      <c r="B621" t="s">
        <v>302</v>
      </c>
      <c r="C621" t="s">
        <v>62</v>
      </c>
      <c r="D621">
        <v>99999</v>
      </c>
      <c r="F621" s="109">
        <v>10000</v>
      </c>
      <c r="G621" t="b">
        <v>1</v>
      </c>
      <c r="H621" t="s">
        <v>337</v>
      </c>
      <c r="K621" t="s">
        <v>379</v>
      </c>
      <c r="L621" t="s">
        <v>303</v>
      </c>
      <c r="M621" t="s">
        <v>323</v>
      </c>
      <c r="N621" t="s">
        <v>63</v>
      </c>
      <c r="O621" s="110">
        <v>29.9</v>
      </c>
      <c r="R621" s="110">
        <v>314.89</v>
      </c>
      <c r="S621" s="110">
        <v>79.900000000000006</v>
      </c>
      <c r="T621" s="110">
        <v>0</v>
      </c>
      <c r="U621" s="110">
        <v>42.99</v>
      </c>
      <c r="X621">
        <v>132.09999999999997</v>
      </c>
      <c r="Y621">
        <v>59.9</v>
      </c>
      <c r="Z621">
        <v>59.9</v>
      </c>
      <c r="AA621">
        <v>0</v>
      </c>
      <c r="AB621" t="s">
        <v>363</v>
      </c>
      <c r="AF621" t="s">
        <v>1336</v>
      </c>
      <c r="AG621" t="s">
        <v>1336</v>
      </c>
      <c r="AH621" t="s">
        <v>1175</v>
      </c>
      <c r="AI621">
        <v>99999</v>
      </c>
      <c r="AJ621">
        <v>99999</v>
      </c>
      <c r="AK621">
        <v>699</v>
      </c>
      <c r="AL621" t="b">
        <v>1</v>
      </c>
      <c r="AM621" t="b">
        <v>1</v>
      </c>
      <c r="AN621" t="b">
        <v>1</v>
      </c>
      <c r="AO621">
        <v>99999</v>
      </c>
      <c r="AP621" t="s">
        <v>64</v>
      </c>
      <c r="AR621" t="b">
        <v>0</v>
      </c>
      <c r="AS621">
        <v>12</v>
      </c>
      <c r="AT621" t="s">
        <v>327</v>
      </c>
      <c r="AV621" t="s">
        <v>1359</v>
      </c>
      <c r="CRL621">
        <v>12</v>
      </c>
    </row>
    <row r="622" spans="1:48 2508:2508" x14ac:dyDescent="0.25">
      <c r="A622" t="s">
        <v>3323</v>
      </c>
      <c r="B622" t="s">
        <v>302</v>
      </c>
      <c r="C622" t="s">
        <v>62</v>
      </c>
      <c r="D622">
        <v>99999</v>
      </c>
      <c r="F622" s="109">
        <v>10000</v>
      </c>
      <c r="G622" t="b">
        <v>1</v>
      </c>
      <c r="H622" t="s">
        <v>337</v>
      </c>
      <c r="K622" t="s">
        <v>379</v>
      </c>
      <c r="L622" t="s">
        <v>303</v>
      </c>
      <c r="M622" t="s">
        <v>323</v>
      </c>
      <c r="N622" t="s">
        <v>63</v>
      </c>
      <c r="O622" s="110">
        <v>29.9</v>
      </c>
      <c r="R622" s="110">
        <v>334.89</v>
      </c>
      <c r="S622" s="110">
        <v>85</v>
      </c>
      <c r="T622" s="110">
        <v>0</v>
      </c>
      <c r="U622" s="110">
        <v>42.99</v>
      </c>
      <c r="X622">
        <v>146.99999999999997</v>
      </c>
      <c r="Y622">
        <v>59.9</v>
      </c>
      <c r="Z622">
        <v>59.9</v>
      </c>
      <c r="AA622">
        <v>0</v>
      </c>
      <c r="AB622" t="s">
        <v>363</v>
      </c>
      <c r="AF622" t="s">
        <v>1484</v>
      </c>
      <c r="AG622" t="s">
        <v>1484</v>
      </c>
      <c r="AH622" t="s">
        <v>1175</v>
      </c>
      <c r="AI622">
        <v>99999</v>
      </c>
      <c r="AJ622">
        <v>99999</v>
      </c>
      <c r="AK622">
        <v>699</v>
      </c>
      <c r="AL622" t="b">
        <v>1</v>
      </c>
      <c r="AM622" t="b">
        <v>1</v>
      </c>
      <c r="AN622" t="b">
        <v>1</v>
      </c>
      <c r="AO622">
        <v>99999</v>
      </c>
      <c r="AP622" t="s">
        <v>64</v>
      </c>
      <c r="AR622" t="b">
        <v>0</v>
      </c>
      <c r="AS622">
        <v>12</v>
      </c>
      <c r="AT622" t="s">
        <v>327</v>
      </c>
      <c r="AV622" t="s">
        <v>1507</v>
      </c>
      <c r="CRL622">
        <v>12</v>
      </c>
    </row>
    <row r="623" spans="1:48 2508:2508" x14ac:dyDescent="0.25">
      <c r="A623" t="s">
        <v>3323</v>
      </c>
      <c r="B623" t="s">
        <v>302</v>
      </c>
      <c r="C623" t="s">
        <v>62</v>
      </c>
      <c r="D623">
        <v>99999</v>
      </c>
      <c r="F623" s="109">
        <v>10000</v>
      </c>
      <c r="G623" t="b">
        <v>1</v>
      </c>
      <c r="H623" t="s">
        <v>337</v>
      </c>
      <c r="K623" t="s">
        <v>379</v>
      </c>
      <c r="L623" t="s">
        <v>303</v>
      </c>
      <c r="M623" t="s">
        <v>323</v>
      </c>
      <c r="N623" t="s">
        <v>63</v>
      </c>
      <c r="O623" s="110">
        <v>39.9</v>
      </c>
      <c r="R623" s="110">
        <v>294.89</v>
      </c>
      <c r="S623" s="110">
        <v>79.900000000000006</v>
      </c>
      <c r="T623" s="110">
        <v>0</v>
      </c>
      <c r="U623" s="110">
        <v>42.99</v>
      </c>
      <c r="X623">
        <v>112.09999999999997</v>
      </c>
      <c r="Y623">
        <v>59.9</v>
      </c>
      <c r="Z623">
        <v>59.9</v>
      </c>
      <c r="AA623">
        <v>0</v>
      </c>
      <c r="AB623" t="s">
        <v>363</v>
      </c>
      <c r="AF623" t="s">
        <v>1269</v>
      </c>
      <c r="AG623" t="s">
        <v>1269</v>
      </c>
      <c r="AH623" t="s">
        <v>1175</v>
      </c>
      <c r="AI623">
        <v>99999</v>
      </c>
      <c r="AJ623">
        <v>99999</v>
      </c>
      <c r="AK623">
        <v>699</v>
      </c>
      <c r="AL623" t="b">
        <v>1</v>
      </c>
      <c r="AM623" t="b">
        <v>1</v>
      </c>
      <c r="AN623" t="b">
        <v>1</v>
      </c>
      <c r="AO623">
        <v>99999</v>
      </c>
      <c r="AP623" t="s">
        <v>64</v>
      </c>
      <c r="AR623" t="b">
        <v>0</v>
      </c>
      <c r="AS623">
        <v>12</v>
      </c>
      <c r="AT623" t="s">
        <v>327</v>
      </c>
      <c r="AV623" t="s">
        <v>1292</v>
      </c>
      <c r="CRL623">
        <v>12</v>
      </c>
    </row>
    <row r="624" spans="1:48 2508:2508" x14ac:dyDescent="0.25">
      <c r="A624" t="s">
        <v>3323</v>
      </c>
      <c r="B624" t="s">
        <v>302</v>
      </c>
      <c r="C624" t="s">
        <v>62</v>
      </c>
      <c r="D624">
        <v>99999</v>
      </c>
      <c r="F624" s="109">
        <v>10000</v>
      </c>
      <c r="G624" t="b">
        <v>1</v>
      </c>
      <c r="H624" t="s">
        <v>337</v>
      </c>
      <c r="K624" t="s">
        <v>379</v>
      </c>
      <c r="L624" t="s">
        <v>303</v>
      </c>
      <c r="M624" t="s">
        <v>323</v>
      </c>
      <c r="N624" t="s">
        <v>63</v>
      </c>
      <c r="O624" s="110">
        <v>39.9</v>
      </c>
      <c r="R624" s="110">
        <v>314.89</v>
      </c>
      <c r="S624" s="110">
        <v>79.900000000000006</v>
      </c>
      <c r="T624" s="110">
        <v>0</v>
      </c>
      <c r="U624" s="110">
        <v>42.99</v>
      </c>
      <c r="X624">
        <v>132.09999999999997</v>
      </c>
      <c r="Y624">
        <v>59.9</v>
      </c>
      <c r="Z624">
        <v>59.9</v>
      </c>
      <c r="AA624">
        <v>0</v>
      </c>
      <c r="AB624" t="s">
        <v>363</v>
      </c>
      <c r="AF624" t="s">
        <v>1403</v>
      </c>
      <c r="AG624" t="s">
        <v>1403</v>
      </c>
      <c r="AH624" t="s">
        <v>1175</v>
      </c>
      <c r="AI624">
        <v>99999</v>
      </c>
      <c r="AJ624">
        <v>99999</v>
      </c>
      <c r="AK624">
        <v>699</v>
      </c>
      <c r="AL624" t="b">
        <v>1</v>
      </c>
      <c r="AM624" t="b">
        <v>1</v>
      </c>
      <c r="AN624" t="b">
        <v>1</v>
      </c>
      <c r="AO624">
        <v>99999</v>
      </c>
      <c r="AP624" t="s">
        <v>64</v>
      </c>
      <c r="AR624" t="b">
        <v>0</v>
      </c>
      <c r="AS624">
        <v>12</v>
      </c>
      <c r="AT624" t="s">
        <v>327</v>
      </c>
      <c r="AV624" t="s">
        <v>1426</v>
      </c>
      <c r="CRL624">
        <v>12</v>
      </c>
    </row>
    <row r="625" spans="1:48 2508:2508" x14ac:dyDescent="0.25">
      <c r="A625" t="s">
        <v>3323</v>
      </c>
      <c r="B625" t="s">
        <v>302</v>
      </c>
      <c r="C625" t="s">
        <v>62</v>
      </c>
      <c r="D625">
        <v>99999</v>
      </c>
      <c r="F625" s="109">
        <v>10000</v>
      </c>
      <c r="G625" t="b">
        <v>1</v>
      </c>
      <c r="H625" t="s">
        <v>337</v>
      </c>
      <c r="K625" t="s">
        <v>379</v>
      </c>
      <c r="L625" t="s">
        <v>303</v>
      </c>
      <c r="M625" t="s">
        <v>323</v>
      </c>
      <c r="N625" t="s">
        <v>63</v>
      </c>
      <c r="O625" s="110">
        <v>39.9</v>
      </c>
      <c r="R625" s="110">
        <v>334.89</v>
      </c>
      <c r="S625" s="110">
        <v>85</v>
      </c>
      <c r="T625" s="110">
        <v>0</v>
      </c>
      <c r="U625" s="110">
        <v>42.99</v>
      </c>
      <c r="X625">
        <v>146.99999999999997</v>
      </c>
      <c r="Y625">
        <v>59.9</v>
      </c>
      <c r="Z625">
        <v>59.9</v>
      </c>
      <c r="AA625">
        <v>0</v>
      </c>
      <c r="AB625" t="s">
        <v>363</v>
      </c>
      <c r="AF625" t="s">
        <v>1551</v>
      </c>
      <c r="AG625" t="s">
        <v>1551</v>
      </c>
      <c r="AH625" t="s">
        <v>1175</v>
      </c>
      <c r="AI625">
        <v>99999</v>
      </c>
      <c r="AJ625">
        <v>99999</v>
      </c>
      <c r="AK625">
        <v>699</v>
      </c>
      <c r="AL625" t="b">
        <v>1</v>
      </c>
      <c r="AM625" t="b">
        <v>1</v>
      </c>
      <c r="AN625" t="b">
        <v>1</v>
      </c>
      <c r="AO625">
        <v>99999</v>
      </c>
      <c r="AP625" t="s">
        <v>64</v>
      </c>
      <c r="AR625" t="b">
        <v>0</v>
      </c>
      <c r="AS625">
        <v>12</v>
      </c>
      <c r="AT625" t="s">
        <v>327</v>
      </c>
      <c r="AV625" t="s">
        <v>1574</v>
      </c>
      <c r="CRL625">
        <v>12</v>
      </c>
    </row>
    <row r="626" spans="1:48 2508:2508" x14ac:dyDescent="0.25">
      <c r="A626" t="s">
        <v>3323</v>
      </c>
      <c r="B626" t="s">
        <v>302</v>
      </c>
      <c r="C626" t="s">
        <v>62</v>
      </c>
      <c r="D626">
        <v>99999</v>
      </c>
      <c r="F626" s="109">
        <v>10000</v>
      </c>
      <c r="G626" t="b">
        <v>1</v>
      </c>
      <c r="H626" t="s">
        <v>337</v>
      </c>
      <c r="K626" t="s">
        <v>379</v>
      </c>
      <c r="L626" t="s">
        <v>303</v>
      </c>
      <c r="M626" t="s">
        <v>323</v>
      </c>
      <c r="N626" t="s">
        <v>63</v>
      </c>
      <c r="O626" s="110">
        <v>49.9</v>
      </c>
      <c r="R626" s="110">
        <v>320.68999999999994</v>
      </c>
      <c r="S626" s="110">
        <v>130</v>
      </c>
      <c r="T626" s="110">
        <v>0</v>
      </c>
      <c r="U626" s="110">
        <v>34.99</v>
      </c>
      <c r="X626">
        <v>95.799999999999983</v>
      </c>
      <c r="Y626">
        <v>59.9</v>
      </c>
      <c r="Z626">
        <v>59.9</v>
      </c>
      <c r="AA626">
        <v>0</v>
      </c>
      <c r="AB626" t="s">
        <v>363</v>
      </c>
      <c r="AF626" t="s">
        <v>2771</v>
      </c>
      <c r="AG626" t="s">
        <v>2771</v>
      </c>
      <c r="AH626" t="s">
        <v>1175</v>
      </c>
      <c r="AI626">
        <v>99999</v>
      </c>
      <c r="AJ626">
        <v>99999</v>
      </c>
      <c r="AK626">
        <v>699</v>
      </c>
      <c r="AL626" t="b">
        <v>1</v>
      </c>
      <c r="AM626" t="b">
        <v>1</v>
      </c>
      <c r="AN626" t="b">
        <v>1</v>
      </c>
      <c r="AO626">
        <v>99999</v>
      </c>
      <c r="AP626" t="s">
        <v>64</v>
      </c>
      <c r="AR626" t="b">
        <v>0</v>
      </c>
      <c r="AS626">
        <v>12</v>
      </c>
      <c r="AT626" t="s">
        <v>327</v>
      </c>
      <c r="AV626" t="s">
        <v>2794</v>
      </c>
      <c r="CRL626">
        <v>12</v>
      </c>
    </row>
    <row r="627" spans="1:48 2508:2508" x14ac:dyDescent="0.25">
      <c r="A627" t="s">
        <v>3323</v>
      </c>
      <c r="B627" t="s">
        <v>302</v>
      </c>
      <c r="C627" t="s">
        <v>62</v>
      </c>
      <c r="D627">
        <v>99999</v>
      </c>
      <c r="F627" s="109">
        <v>10000</v>
      </c>
      <c r="G627" t="b">
        <v>1</v>
      </c>
      <c r="H627" t="s">
        <v>337</v>
      </c>
      <c r="K627" t="s">
        <v>379</v>
      </c>
      <c r="L627" t="s">
        <v>303</v>
      </c>
      <c r="M627" t="s">
        <v>323</v>
      </c>
      <c r="N627" t="s">
        <v>63</v>
      </c>
      <c r="O627" s="110">
        <v>49.9</v>
      </c>
      <c r="R627" s="110">
        <v>344.98999999999995</v>
      </c>
      <c r="S627" s="110">
        <v>130</v>
      </c>
      <c r="T627" s="110">
        <v>0</v>
      </c>
      <c r="U627" s="110">
        <v>42.99</v>
      </c>
      <c r="X627">
        <v>112.09999999999997</v>
      </c>
      <c r="Y627">
        <v>59.9</v>
      </c>
      <c r="Z627">
        <v>59.9</v>
      </c>
      <c r="AA627">
        <v>0</v>
      </c>
      <c r="AB627" t="s">
        <v>363</v>
      </c>
      <c r="AF627" t="s">
        <v>2845</v>
      </c>
      <c r="AG627" t="s">
        <v>2845</v>
      </c>
      <c r="AH627" t="s">
        <v>1175</v>
      </c>
      <c r="AI627">
        <v>99999</v>
      </c>
      <c r="AJ627">
        <v>99999</v>
      </c>
      <c r="AK627">
        <v>699</v>
      </c>
      <c r="AL627" t="b">
        <v>1</v>
      </c>
      <c r="AM627" t="b">
        <v>1</v>
      </c>
      <c r="AN627" t="b">
        <v>1</v>
      </c>
      <c r="AO627">
        <v>99999</v>
      </c>
      <c r="AP627" t="s">
        <v>64</v>
      </c>
      <c r="AR627" t="b">
        <v>0</v>
      </c>
      <c r="AS627">
        <v>12</v>
      </c>
      <c r="AT627" t="s">
        <v>327</v>
      </c>
      <c r="AV627" t="s">
        <v>2868</v>
      </c>
      <c r="CRL627">
        <v>12</v>
      </c>
    </row>
    <row r="628" spans="1:48 2508:2508" x14ac:dyDescent="0.25">
      <c r="A628" t="s">
        <v>3323</v>
      </c>
      <c r="B628" t="s">
        <v>302</v>
      </c>
      <c r="C628" t="s">
        <v>62</v>
      </c>
      <c r="D628">
        <v>99999</v>
      </c>
      <c r="F628" s="109">
        <v>10000</v>
      </c>
      <c r="G628" t="b">
        <v>1</v>
      </c>
      <c r="H628" t="s">
        <v>337</v>
      </c>
      <c r="K628" t="s">
        <v>379</v>
      </c>
      <c r="L628" t="s">
        <v>303</v>
      </c>
      <c r="M628" t="s">
        <v>323</v>
      </c>
      <c r="N628" t="s">
        <v>63</v>
      </c>
      <c r="O628" s="110">
        <v>49.9</v>
      </c>
      <c r="R628" s="110">
        <v>364.98999999999995</v>
      </c>
      <c r="S628" s="110">
        <v>130</v>
      </c>
      <c r="T628" s="110">
        <v>0</v>
      </c>
      <c r="U628" s="110">
        <v>42.99</v>
      </c>
      <c r="X628">
        <v>132.09999999999997</v>
      </c>
      <c r="Y628">
        <v>59.9</v>
      </c>
      <c r="Z628">
        <v>59.9</v>
      </c>
      <c r="AA628">
        <v>0</v>
      </c>
      <c r="AB628" t="s">
        <v>363</v>
      </c>
      <c r="AF628" t="s">
        <v>2912</v>
      </c>
      <c r="AG628" t="s">
        <v>2912</v>
      </c>
      <c r="AH628" t="s">
        <v>1175</v>
      </c>
      <c r="AI628">
        <v>99999</v>
      </c>
      <c r="AJ628">
        <v>99999</v>
      </c>
      <c r="AK628">
        <v>699</v>
      </c>
      <c r="AL628" t="b">
        <v>1</v>
      </c>
      <c r="AM628" t="b">
        <v>1</v>
      </c>
      <c r="AN628" t="b">
        <v>1</v>
      </c>
      <c r="AO628">
        <v>99999</v>
      </c>
      <c r="AP628" t="s">
        <v>64</v>
      </c>
      <c r="AR628" t="b">
        <v>0</v>
      </c>
      <c r="AS628">
        <v>12</v>
      </c>
      <c r="AT628" t="s">
        <v>327</v>
      </c>
      <c r="AV628" t="s">
        <v>2935</v>
      </c>
      <c r="CRL628">
        <v>12</v>
      </c>
    </row>
    <row r="629" spans="1:48 2508:2508" x14ac:dyDescent="0.25">
      <c r="A629" t="s">
        <v>3323</v>
      </c>
      <c r="B629" t="s">
        <v>302</v>
      </c>
      <c r="C629" t="s">
        <v>62</v>
      </c>
      <c r="D629">
        <v>99999</v>
      </c>
      <c r="F629" s="109">
        <v>10000</v>
      </c>
      <c r="G629" t="b">
        <v>1</v>
      </c>
      <c r="H629" t="s">
        <v>337</v>
      </c>
      <c r="K629" t="s">
        <v>379</v>
      </c>
      <c r="L629" t="s">
        <v>303</v>
      </c>
      <c r="M629" t="s">
        <v>323</v>
      </c>
      <c r="N629" t="s">
        <v>63</v>
      </c>
      <c r="O629" s="110">
        <v>49.9</v>
      </c>
      <c r="R629" s="110">
        <v>379.89</v>
      </c>
      <c r="S629" s="110">
        <v>130</v>
      </c>
      <c r="T629" s="110">
        <v>0</v>
      </c>
      <c r="U629" s="110">
        <v>42.99</v>
      </c>
      <c r="X629">
        <v>146.99999999999997</v>
      </c>
      <c r="Y629">
        <v>59.9</v>
      </c>
      <c r="Z629">
        <v>59.9</v>
      </c>
      <c r="AA629">
        <v>0</v>
      </c>
      <c r="AB629" t="s">
        <v>363</v>
      </c>
      <c r="AF629" t="s">
        <v>2986</v>
      </c>
      <c r="AG629" t="s">
        <v>2986</v>
      </c>
      <c r="AH629" t="s">
        <v>1175</v>
      </c>
      <c r="AI629">
        <v>99999</v>
      </c>
      <c r="AJ629">
        <v>99999</v>
      </c>
      <c r="AK629">
        <v>699</v>
      </c>
      <c r="AL629" t="b">
        <v>1</v>
      </c>
      <c r="AM629" t="b">
        <v>1</v>
      </c>
      <c r="AN629" t="b">
        <v>1</v>
      </c>
      <c r="AO629">
        <v>99999</v>
      </c>
      <c r="AP629" t="s">
        <v>64</v>
      </c>
      <c r="AR629" t="b">
        <v>0</v>
      </c>
      <c r="AS629">
        <v>12</v>
      </c>
      <c r="AT629" t="s">
        <v>327</v>
      </c>
      <c r="AV629" t="s">
        <v>3009</v>
      </c>
      <c r="CRL629">
        <v>12</v>
      </c>
    </row>
    <row r="630" spans="1:48 2508:2508" x14ac:dyDescent="0.25">
      <c r="A630" t="s">
        <v>3323</v>
      </c>
      <c r="B630" t="s">
        <v>302</v>
      </c>
      <c r="C630" t="s">
        <v>62</v>
      </c>
      <c r="D630">
        <v>99999</v>
      </c>
      <c r="F630" s="109">
        <v>10000</v>
      </c>
      <c r="G630" t="b">
        <v>1</v>
      </c>
      <c r="H630" t="s">
        <v>337</v>
      </c>
      <c r="K630" t="s">
        <v>61</v>
      </c>
      <c r="L630" t="s">
        <v>303</v>
      </c>
      <c r="M630" t="s">
        <v>323</v>
      </c>
      <c r="N630" t="s">
        <v>63</v>
      </c>
      <c r="O630" s="110">
        <v>29.9</v>
      </c>
      <c r="R630" s="110">
        <v>279.89</v>
      </c>
      <c r="S630" s="110">
        <v>79.900000000000006</v>
      </c>
      <c r="T630" s="110">
        <v>0</v>
      </c>
      <c r="U630" s="110">
        <v>42.99</v>
      </c>
      <c r="X630">
        <v>112.09999999999997</v>
      </c>
      <c r="Y630">
        <v>44.9</v>
      </c>
      <c r="Z630">
        <v>44.9</v>
      </c>
      <c r="AA630">
        <v>0</v>
      </c>
      <c r="AB630" t="s">
        <v>324</v>
      </c>
      <c r="AF630" t="s">
        <v>1174</v>
      </c>
      <c r="AG630" t="s">
        <v>1174</v>
      </c>
      <c r="AH630" t="s">
        <v>1175</v>
      </c>
      <c r="AI630">
        <v>99999</v>
      </c>
      <c r="AJ630">
        <v>99999</v>
      </c>
      <c r="AK630">
        <v>699</v>
      </c>
      <c r="AL630" t="b">
        <v>1</v>
      </c>
      <c r="AM630" t="b">
        <v>1</v>
      </c>
      <c r="AN630" t="b">
        <v>1</v>
      </c>
      <c r="AO630">
        <v>99999</v>
      </c>
      <c r="AP630" t="s">
        <v>64</v>
      </c>
      <c r="AR630" t="b">
        <v>0</v>
      </c>
      <c r="AS630">
        <v>12</v>
      </c>
      <c r="AT630" t="s">
        <v>327</v>
      </c>
      <c r="AV630" t="s">
        <v>1185</v>
      </c>
      <c r="CRL630">
        <v>12</v>
      </c>
    </row>
    <row r="631" spans="1:48 2508:2508" x14ac:dyDescent="0.25">
      <c r="A631" t="s">
        <v>3323</v>
      </c>
      <c r="B631" t="s">
        <v>302</v>
      </c>
      <c r="C631" t="s">
        <v>62</v>
      </c>
      <c r="D631">
        <v>99999</v>
      </c>
      <c r="F631" s="109">
        <v>10000</v>
      </c>
      <c r="G631" t="b">
        <v>1</v>
      </c>
      <c r="H631" t="s">
        <v>337</v>
      </c>
      <c r="K631" t="s">
        <v>61</v>
      </c>
      <c r="L631" t="s">
        <v>303</v>
      </c>
      <c r="M631" t="s">
        <v>323</v>
      </c>
      <c r="N631" t="s">
        <v>63</v>
      </c>
      <c r="O631" s="110">
        <v>29.9</v>
      </c>
      <c r="R631" s="110">
        <v>299.89</v>
      </c>
      <c r="S631" s="110">
        <v>79.900000000000006</v>
      </c>
      <c r="T631" s="110">
        <v>0</v>
      </c>
      <c r="U631" s="110">
        <v>42.99</v>
      </c>
      <c r="X631">
        <v>132.09999999999997</v>
      </c>
      <c r="Y631">
        <v>44.9</v>
      </c>
      <c r="Z631">
        <v>44.9</v>
      </c>
      <c r="AA631">
        <v>0</v>
      </c>
      <c r="AB631" t="s">
        <v>324</v>
      </c>
      <c r="AF631" t="s">
        <v>1309</v>
      </c>
      <c r="AG631" t="s">
        <v>1309</v>
      </c>
      <c r="AH631" t="s">
        <v>1175</v>
      </c>
      <c r="AI631">
        <v>99999</v>
      </c>
      <c r="AJ631">
        <v>99999</v>
      </c>
      <c r="AK631">
        <v>699</v>
      </c>
      <c r="AL631" t="b">
        <v>1</v>
      </c>
      <c r="AM631" t="b">
        <v>1</v>
      </c>
      <c r="AN631" t="b">
        <v>1</v>
      </c>
      <c r="AO631">
        <v>99999</v>
      </c>
      <c r="AP631" t="s">
        <v>64</v>
      </c>
      <c r="AR631" t="b">
        <v>0</v>
      </c>
      <c r="AS631">
        <v>12</v>
      </c>
      <c r="AT631" t="s">
        <v>327</v>
      </c>
      <c r="AV631" t="s">
        <v>1319</v>
      </c>
      <c r="CRL631">
        <v>12</v>
      </c>
    </row>
    <row r="632" spans="1:48 2508:2508" x14ac:dyDescent="0.25">
      <c r="A632" t="s">
        <v>3323</v>
      </c>
      <c r="B632" t="s">
        <v>302</v>
      </c>
      <c r="C632" t="s">
        <v>62</v>
      </c>
      <c r="D632">
        <v>99999</v>
      </c>
      <c r="F632" s="109">
        <v>10000</v>
      </c>
      <c r="G632" t="b">
        <v>1</v>
      </c>
      <c r="H632" t="s">
        <v>337</v>
      </c>
      <c r="K632" t="s">
        <v>61</v>
      </c>
      <c r="L632" t="s">
        <v>303</v>
      </c>
      <c r="M632" t="s">
        <v>323</v>
      </c>
      <c r="N632" t="s">
        <v>63</v>
      </c>
      <c r="O632" s="110">
        <v>29.9</v>
      </c>
      <c r="R632" s="110">
        <v>319.89</v>
      </c>
      <c r="S632" s="110">
        <v>85</v>
      </c>
      <c r="T632" s="110">
        <v>0</v>
      </c>
      <c r="U632" s="110">
        <v>42.99</v>
      </c>
      <c r="X632">
        <v>146.99999999999997</v>
      </c>
      <c r="Y632">
        <v>44.9</v>
      </c>
      <c r="Z632">
        <v>44.9</v>
      </c>
      <c r="AA632">
        <v>0</v>
      </c>
      <c r="AB632" t="s">
        <v>324</v>
      </c>
      <c r="AF632" t="s">
        <v>1457</v>
      </c>
      <c r="AG632" t="s">
        <v>1457</v>
      </c>
      <c r="AH632" t="s">
        <v>1175</v>
      </c>
      <c r="AI632">
        <v>99999</v>
      </c>
      <c r="AJ632">
        <v>99999</v>
      </c>
      <c r="AK632">
        <v>699</v>
      </c>
      <c r="AL632" t="b">
        <v>1</v>
      </c>
      <c r="AM632" t="b">
        <v>1</v>
      </c>
      <c r="AN632" t="b">
        <v>1</v>
      </c>
      <c r="AO632">
        <v>99999</v>
      </c>
      <c r="AP632" t="s">
        <v>64</v>
      </c>
      <c r="AR632" t="b">
        <v>0</v>
      </c>
      <c r="AS632">
        <v>12</v>
      </c>
      <c r="AT632" t="s">
        <v>327</v>
      </c>
      <c r="AV632" t="s">
        <v>1467</v>
      </c>
      <c r="CRL632">
        <v>12</v>
      </c>
    </row>
    <row r="633" spans="1:48 2508:2508" x14ac:dyDescent="0.25">
      <c r="A633" t="s">
        <v>3323</v>
      </c>
      <c r="B633" t="s">
        <v>302</v>
      </c>
      <c r="C633" t="s">
        <v>62</v>
      </c>
      <c r="D633">
        <v>99999</v>
      </c>
      <c r="F633" s="109">
        <v>10000</v>
      </c>
      <c r="G633" t="b">
        <v>1</v>
      </c>
      <c r="H633" t="s">
        <v>337</v>
      </c>
      <c r="K633" t="s">
        <v>61</v>
      </c>
      <c r="L633" t="s">
        <v>303</v>
      </c>
      <c r="M633" t="s">
        <v>323</v>
      </c>
      <c r="N633" t="s">
        <v>63</v>
      </c>
      <c r="O633" s="110">
        <v>39.9</v>
      </c>
      <c r="R633" s="110">
        <v>279.89</v>
      </c>
      <c r="S633" s="110">
        <v>79.900000000000006</v>
      </c>
      <c r="T633" s="110">
        <v>0</v>
      </c>
      <c r="U633" s="110">
        <v>42.99</v>
      </c>
      <c r="X633">
        <v>112.09999999999997</v>
      </c>
      <c r="Y633">
        <v>44.9</v>
      </c>
      <c r="Z633">
        <v>44.9</v>
      </c>
      <c r="AA633">
        <v>0</v>
      </c>
      <c r="AB633" t="s">
        <v>324</v>
      </c>
      <c r="AF633" t="s">
        <v>1242</v>
      </c>
      <c r="AG633" t="s">
        <v>1242</v>
      </c>
      <c r="AH633" t="s">
        <v>1175</v>
      </c>
      <c r="AI633">
        <v>99999</v>
      </c>
      <c r="AJ633">
        <v>99999</v>
      </c>
      <c r="AK633">
        <v>699</v>
      </c>
      <c r="AL633" t="b">
        <v>1</v>
      </c>
      <c r="AM633" t="b">
        <v>1</v>
      </c>
      <c r="AN633" t="b">
        <v>1</v>
      </c>
      <c r="AO633">
        <v>99999</v>
      </c>
      <c r="AP633" t="s">
        <v>64</v>
      </c>
      <c r="AR633" t="b">
        <v>0</v>
      </c>
      <c r="AS633">
        <v>12</v>
      </c>
      <c r="AT633" t="s">
        <v>327</v>
      </c>
      <c r="AV633" t="s">
        <v>1252</v>
      </c>
      <c r="CRL633">
        <v>12</v>
      </c>
    </row>
    <row r="634" spans="1:48 2508:2508" x14ac:dyDescent="0.25">
      <c r="A634" t="s">
        <v>3323</v>
      </c>
      <c r="B634" t="s">
        <v>302</v>
      </c>
      <c r="C634" t="s">
        <v>62</v>
      </c>
      <c r="D634">
        <v>99999</v>
      </c>
      <c r="F634" s="109">
        <v>10000</v>
      </c>
      <c r="G634" t="b">
        <v>1</v>
      </c>
      <c r="H634" t="s">
        <v>337</v>
      </c>
      <c r="K634" t="s">
        <v>61</v>
      </c>
      <c r="L634" t="s">
        <v>303</v>
      </c>
      <c r="M634" t="s">
        <v>323</v>
      </c>
      <c r="N634" t="s">
        <v>63</v>
      </c>
      <c r="O634" s="110">
        <v>39.9</v>
      </c>
      <c r="R634" s="110">
        <v>299.89</v>
      </c>
      <c r="S634" s="110">
        <v>79.900000000000006</v>
      </c>
      <c r="T634" s="110">
        <v>0</v>
      </c>
      <c r="U634" s="110">
        <v>42.99</v>
      </c>
      <c r="X634">
        <v>132.09999999999997</v>
      </c>
      <c r="Y634">
        <v>44.9</v>
      </c>
      <c r="Z634">
        <v>44.9</v>
      </c>
      <c r="AA634">
        <v>0</v>
      </c>
      <c r="AB634" t="s">
        <v>324</v>
      </c>
      <c r="AF634" t="s">
        <v>1376</v>
      </c>
      <c r="AG634" t="s">
        <v>1376</v>
      </c>
      <c r="AH634" t="s">
        <v>1175</v>
      </c>
      <c r="AI634">
        <v>99999</v>
      </c>
      <c r="AJ634">
        <v>99999</v>
      </c>
      <c r="AK634">
        <v>699</v>
      </c>
      <c r="AL634" t="b">
        <v>1</v>
      </c>
      <c r="AM634" t="b">
        <v>1</v>
      </c>
      <c r="AN634" t="b">
        <v>1</v>
      </c>
      <c r="AO634">
        <v>99999</v>
      </c>
      <c r="AP634" t="s">
        <v>64</v>
      </c>
      <c r="AR634" t="b">
        <v>0</v>
      </c>
      <c r="AS634">
        <v>12</v>
      </c>
      <c r="AT634" t="s">
        <v>327</v>
      </c>
      <c r="AV634" t="s">
        <v>1386</v>
      </c>
      <c r="CRL634">
        <v>12</v>
      </c>
    </row>
    <row r="635" spans="1:48 2508:2508" x14ac:dyDescent="0.25">
      <c r="A635" t="s">
        <v>3323</v>
      </c>
      <c r="B635" t="s">
        <v>302</v>
      </c>
      <c r="C635" t="s">
        <v>62</v>
      </c>
      <c r="D635">
        <v>99999</v>
      </c>
      <c r="F635" s="109">
        <v>10000</v>
      </c>
      <c r="G635" t="b">
        <v>1</v>
      </c>
      <c r="H635" t="s">
        <v>337</v>
      </c>
      <c r="K635" t="s">
        <v>61</v>
      </c>
      <c r="L635" t="s">
        <v>303</v>
      </c>
      <c r="M635" t="s">
        <v>323</v>
      </c>
      <c r="N635" t="s">
        <v>63</v>
      </c>
      <c r="O635" s="110">
        <v>39.9</v>
      </c>
      <c r="R635" s="110">
        <v>319.89</v>
      </c>
      <c r="S635" s="110">
        <v>85</v>
      </c>
      <c r="T635" s="110">
        <v>0</v>
      </c>
      <c r="U635" s="110">
        <v>42.99</v>
      </c>
      <c r="X635">
        <v>146.99999999999997</v>
      </c>
      <c r="Y635">
        <v>44.9</v>
      </c>
      <c r="Z635">
        <v>44.9</v>
      </c>
      <c r="AA635">
        <v>0</v>
      </c>
      <c r="AB635" t="s">
        <v>324</v>
      </c>
      <c r="AF635" t="s">
        <v>1524</v>
      </c>
      <c r="AG635" t="s">
        <v>1524</v>
      </c>
      <c r="AH635" t="s">
        <v>1175</v>
      </c>
      <c r="AI635">
        <v>99999</v>
      </c>
      <c r="AJ635">
        <v>99999</v>
      </c>
      <c r="AK635">
        <v>699</v>
      </c>
      <c r="AL635" t="b">
        <v>1</v>
      </c>
      <c r="AM635" t="b">
        <v>1</v>
      </c>
      <c r="AN635" t="b">
        <v>1</v>
      </c>
      <c r="AO635">
        <v>99999</v>
      </c>
      <c r="AP635" t="s">
        <v>64</v>
      </c>
      <c r="AR635" t="b">
        <v>0</v>
      </c>
      <c r="AS635">
        <v>12</v>
      </c>
      <c r="AT635" t="s">
        <v>327</v>
      </c>
      <c r="AV635" t="s">
        <v>1534</v>
      </c>
      <c r="CRL635">
        <v>12</v>
      </c>
    </row>
    <row r="636" spans="1:48 2508:2508" x14ac:dyDescent="0.25">
      <c r="A636" t="s">
        <v>3323</v>
      </c>
      <c r="B636" t="s">
        <v>302</v>
      </c>
      <c r="C636" t="s">
        <v>62</v>
      </c>
      <c r="D636">
        <v>99999</v>
      </c>
      <c r="F636" s="109">
        <v>10000</v>
      </c>
      <c r="G636" t="b">
        <v>1</v>
      </c>
      <c r="H636" t="s">
        <v>337</v>
      </c>
      <c r="K636" t="s">
        <v>61</v>
      </c>
      <c r="L636" t="s">
        <v>303</v>
      </c>
      <c r="M636" t="s">
        <v>323</v>
      </c>
      <c r="N636" t="s">
        <v>63</v>
      </c>
      <c r="O636" s="110">
        <v>49.9</v>
      </c>
      <c r="R636" s="110">
        <v>305.68999999999994</v>
      </c>
      <c r="S636" s="110">
        <v>130</v>
      </c>
      <c r="T636" s="110">
        <v>0</v>
      </c>
      <c r="U636" s="110">
        <v>34.99</v>
      </c>
      <c r="X636">
        <v>95.799999999999983</v>
      </c>
      <c r="Y636">
        <v>44.9</v>
      </c>
      <c r="Z636">
        <v>44.9</v>
      </c>
      <c r="AA636">
        <v>0</v>
      </c>
      <c r="AB636" t="s">
        <v>324</v>
      </c>
      <c r="AF636" t="s">
        <v>2744</v>
      </c>
      <c r="AG636" t="s">
        <v>2744</v>
      </c>
      <c r="AH636" t="s">
        <v>1175</v>
      </c>
      <c r="AI636">
        <v>99999</v>
      </c>
      <c r="AJ636">
        <v>99999</v>
      </c>
      <c r="AK636">
        <v>699</v>
      </c>
      <c r="AL636" t="b">
        <v>1</v>
      </c>
      <c r="AM636" t="b">
        <v>1</v>
      </c>
      <c r="AN636" t="b">
        <v>1</v>
      </c>
      <c r="AO636">
        <v>99999</v>
      </c>
      <c r="AP636" t="s">
        <v>64</v>
      </c>
      <c r="AR636" t="b">
        <v>0</v>
      </c>
      <c r="AS636">
        <v>12</v>
      </c>
      <c r="AT636" t="s">
        <v>327</v>
      </c>
      <c r="AV636" t="s">
        <v>2754</v>
      </c>
      <c r="CRL636">
        <v>12</v>
      </c>
    </row>
    <row r="637" spans="1:48 2508:2508" x14ac:dyDescent="0.25">
      <c r="A637" t="s">
        <v>3323</v>
      </c>
      <c r="B637" t="s">
        <v>302</v>
      </c>
      <c r="C637" t="s">
        <v>62</v>
      </c>
      <c r="D637">
        <v>99999</v>
      </c>
      <c r="F637" s="109">
        <v>10000</v>
      </c>
      <c r="G637" t="b">
        <v>1</v>
      </c>
      <c r="H637" t="s">
        <v>337</v>
      </c>
      <c r="K637" t="s">
        <v>61</v>
      </c>
      <c r="L637" t="s">
        <v>303</v>
      </c>
      <c r="M637" t="s">
        <v>323</v>
      </c>
      <c r="N637" t="s">
        <v>63</v>
      </c>
      <c r="O637" s="110">
        <v>49.9</v>
      </c>
      <c r="R637" s="110">
        <v>329.98999999999995</v>
      </c>
      <c r="S637" s="110">
        <v>130</v>
      </c>
      <c r="T637" s="110">
        <v>0</v>
      </c>
      <c r="U637" s="110">
        <v>42.99</v>
      </c>
      <c r="X637">
        <v>112.09999999999997</v>
      </c>
      <c r="Y637">
        <v>44.9</v>
      </c>
      <c r="Z637">
        <v>44.9</v>
      </c>
      <c r="AA637">
        <v>0</v>
      </c>
      <c r="AB637" t="s">
        <v>324</v>
      </c>
      <c r="AF637" t="s">
        <v>2818</v>
      </c>
      <c r="AG637" t="s">
        <v>2818</v>
      </c>
      <c r="AH637" t="s">
        <v>1175</v>
      </c>
      <c r="AI637">
        <v>99999</v>
      </c>
      <c r="AJ637">
        <v>99999</v>
      </c>
      <c r="AK637">
        <v>699</v>
      </c>
      <c r="AL637" t="b">
        <v>1</v>
      </c>
      <c r="AM637" t="b">
        <v>1</v>
      </c>
      <c r="AN637" t="b">
        <v>1</v>
      </c>
      <c r="AO637">
        <v>99999</v>
      </c>
      <c r="AP637" t="s">
        <v>64</v>
      </c>
      <c r="AR637" t="b">
        <v>0</v>
      </c>
      <c r="AS637">
        <v>12</v>
      </c>
      <c r="AT637" t="s">
        <v>327</v>
      </c>
      <c r="AV637" t="s">
        <v>2828</v>
      </c>
      <c r="CRL637">
        <v>12</v>
      </c>
    </row>
    <row r="638" spans="1:48 2508:2508" x14ac:dyDescent="0.25">
      <c r="A638" t="s">
        <v>3323</v>
      </c>
      <c r="B638" t="s">
        <v>302</v>
      </c>
      <c r="C638" t="s">
        <v>62</v>
      </c>
      <c r="D638">
        <v>99999</v>
      </c>
      <c r="F638" s="109">
        <v>10000</v>
      </c>
      <c r="G638" t="b">
        <v>1</v>
      </c>
      <c r="H638" t="s">
        <v>337</v>
      </c>
      <c r="K638" t="s">
        <v>61</v>
      </c>
      <c r="L638" t="s">
        <v>303</v>
      </c>
      <c r="M638" t="s">
        <v>323</v>
      </c>
      <c r="N638" t="s">
        <v>63</v>
      </c>
      <c r="O638" s="110">
        <v>49.9</v>
      </c>
      <c r="R638" s="110">
        <v>349.98999999999995</v>
      </c>
      <c r="S638" s="110">
        <v>130</v>
      </c>
      <c r="T638" s="110">
        <v>0</v>
      </c>
      <c r="U638" s="110">
        <v>42.99</v>
      </c>
      <c r="X638">
        <v>132.09999999999997</v>
      </c>
      <c r="Y638">
        <v>44.9</v>
      </c>
      <c r="Z638">
        <v>44.9</v>
      </c>
      <c r="AA638">
        <v>0</v>
      </c>
      <c r="AB638" t="s">
        <v>324</v>
      </c>
      <c r="AF638" t="s">
        <v>2885</v>
      </c>
      <c r="AG638" t="s">
        <v>2885</v>
      </c>
      <c r="AH638" t="s">
        <v>1175</v>
      </c>
      <c r="AI638">
        <v>99999</v>
      </c>
      <c r="AJ638">
        <v>99999</v>
      </c>
      <c r="AK638">
        <v>699</v>
      </c>
      <c r="AL638" t="b">
        <v>1</v>
      </c>
      <c r="AM638" t="b">
        <v>1</v>
      </c>
      <c r="AN638" t="b">
        <v>1</v>
      </c>
      <c r="AO638">
        <v>99999</v>
      </c>
      <c r="AP638" t="s">
        <v>64</v>
      </c>
      <c r="AR638" t="b">
        <v>0</v>
      </c>
      <c r="AS638">
        <v>12</v>
      </c>
      <c r="AT638" t="s">
        <v>327</v>
      </c>
      <c r="AV638" t="s">
        <v>2895</v>
      </c>
      <c r="CRL638">
        <v>12</v>
      </c>
    </row>
    <row r="639" spans="1:48 2508:2508" x14ac:dyDescent="0.25">
      <c r="A639" t="s">
        <v>3323</v>
      </c>
      <c r="B639" t="s">
        <v>302</v>
      </c>
      <c r="C639" t="s">
        <v>62</v>
      </c>
      <c r="D639">
        <v>99999</v>
      </c>
      <c r="F639" s="109">
        <v>10000</v>
      </c>
      <c r="G639" t="b">
        <v>1</v>
      </c>
      <c r="H639" t="s">
        <v>337</v>
      </c>
      <c r="K639" t="s">
        <v>61</v>
      </c>
      <c r="L639" t="s">
        <v>303</v>
      </c>
      <c r="M639" t="s">
        <v>323</v>
      </c>
      <c r="N639" t="s">
        <v>63</v>
      </c>
      <c r="O639" s="110">
        <v>49.9</v>
      </c>
      <c r="R639" s="110">
        <v>364.89</v>
      </c>
      <c r="S639" s="110">
        <v>130</v>
      </c>
      <c r="T639" s="110">
        <v>0</v>
      </c>
      <c r="U639" s="110">
        <v>42.99</v>
      </c>
      <c r="X639">
        <v>146.99999999999997</v>
      </c>
      <c r="Y639">
        <v>44.9</v>
      </c>
      <c r="Z639">
        <v>44.9</v>
      </c>
      <c r="AA639">
        <v>0</v>
      </c>
      <c r="AB639" t="s">
        <v>324</v>
      </c>
      <c r="AF639" t="s">
        <v>2959</v>
      </c>
      <c r="AG639" t="s">
        <v>2959</v>
      </c>
      <c r="AH639" t="s">
        <v>1175</v>
      </c>
      <c r="AI639">
        <v>99999</v>
      </c>
      <c r="AJ639">
        <v>99999</v>
      </c>
      <c r="AK639">
        <v>699</v>
      </c>
      <c r="AL639" t="b">
        <v>1</v>
      </c>
      <c r="AM639" t="b">
        <v>1</v>
      </c>
      <c r="AN639" t="b">
        <v>1</v>
      </c>
      <c r="AO639">
        <v>99999</v>
      </c>
      <c r="AP639" t="s">
        <v>64</v>
      </c>
      <c r="AR639" t="b">
        <v>0</v>
      </c>
      <c r="AS639">
        <v>12</v>
      </c>
      <c r="AT639" t="s">
        <v>327</v>
      </c>
      <c r="AV639" t="s">
        <v>2969</v>
      </c>
      <c r="CRL639">
        <v>12</v>
      </c>
    </row>
    <row r="640" spans="1:48 2508:2508" x14ac:dyDescent="0.25">
      <c r="A640" t="s">
        <v>3323</v>
      </c>
      <c r="B640" t="s">
        <v>302</v>
      </c>
      <c r="C640" t="s">
        <v>62</v>
      </c>
      <c r="D640">
        <v>99999</v>
      </c>
      <c r="F640" s="109">
        <v>10000</v>
      </c>
      <c r="G640" t="b">
        <v>1</v>
      </c>
      <c r="H640" t="s">
        <v>341</v>
      </c>
      <c r="K640" t="s">
        <v>349</v>
      </c>
      <c r="L640" t="s">
        <v>303</v>
      </c>
      <c r="M640" t="s">
        <v>323</v>
      </c>
      <c r="N640" t="s">
        <v>63</v>
      </c>
      <c r="O640" s="110">
        <v>29.9</v>
      </c>
      <c r="R640" s="110">
        <v>304.89</v>
      </c>
      <c r="S640" s="110">
        <v>79.900000000000006</v>
      </c>
      <c r="T640" s="110">
        <v>0</v>
      </c>
      <c r="U640" s="110">
        <v>42.99</v>
      </c>
      <c r="X640">
        <v>137.09999999999994</v>
      </c>
      <c r="Y640">
        <v>44.9</v>
      </c>
      <c r="Z640">
        <v>44.9</v>
      </c>
      <c r="AA640">
        <v>0</v>
      </c>
      <c r="AB640" t="s">
        <v>324</v>
      </c>
      <c r="AF640" t="s">
        <v>1174</v>
      </c>
      <c r="AG640" t="s">
        <v>1174</v>
      </c>
      <c r="AH640" t="s">
        <v>1175</v>
      </c>
      <c r="AI640">
        <v>99999</v>
      </c>
      <c r="AJ640">
        <v>99999</v>
      </c>
      <c r="AK640">
        <v>699</v>
      </c>
      <c r="AL640" t="b">
        <v>1</v>
      </c>
      <c r="AM640" t="b">
        <v>1</v>
      </c>
      <c r="AN640" t="b">
        <v>1</v>
      </c>
      <c r="AO640">
        <v>99999</v>
      </c>
      <c r="AP640" t="s">
        <v>64</v>
      </c>
      <c r="AR640" t="b">
        <v>0</v>
      </c>
      <c r="AS640">
        <v>12</v>
      </c>
      <c r="AT640" t="s">
        <v>327</v>
      </c>
      <c r="AV640" t="s">
        <v>1200</v>
      </c>
      <c r="CRL640">
        <v>12</v>
      </c>
    </row>
    <row r="641" spans="1:48 2508:2508" x14ac:dyDescent="0.25">
      <c r="A641" t="s">
        <v>3323</v>
      </c>
      <c r="B641" t="s">
        <v>302</v>
      </c>
      <c r="C641" t="s">
        <v>62</v>
      </c>
      <c r="D641">
        <v>99999</v>
      </c>
      <c r="F641" s="109">
        <v>10000</v>
      </c>
      <c r="G641" t="b">
        <v>1</v>
      </c>
      <c r="H641" t="s">
        <v>341</v>
      </c>
      <c r="K641" t="s">
        <v>349</v>
      </c>
      <c r="L641" t="s">
        <v>303</v>
      </c>
      <c r="M641" t="s">
        <v>323</v>
      </c>
      <c r="N641" t="s">
        <v>63</v>
      </c>
      <c r="O641" s="110">
        <v>29.9</v>
      </c>
      <c r="R641" s="110">
        <v>324.89</v>
      </c>
      <c r="S641" s="110">
        <v>79.900000000000006</v>
      </c>
      <c r="T641" s="110">
        <v>0</v>
      </c>
      <c r="U641" s="110">
        <v>42.99</v>
      </c>
      <c r="X641">
        <v>157.09999999999994</v>
      </c>
      <c r="Y641">
        <v>44.9</v>
      </c>
      <c r="Z641">
        <v>44.9</v>
      </c>
      <c r="AA641">
        <v>0</v>
      </c>
      <c r="AB641" t="s">
        <v>324</v>
      </c>
      <c r="AF641" t="s">
        <v>1309</v>
      </c>
      <c r="AG641" t="s">
        <v>1309</v>
      </c>
      <c r="AH641" t="s">
        <v>1175</v>
      </c>
      <c r="AI641">
        <v>99999</v>
      </c>
      <c r="AJ641">
        <v>99999</v>
      </c>
      <c r="AK641">
        <v>699</v>
      </c>
      <c r="AL641" t="b">
        <v>1</v>
      </c>
      <c r="AM641" t="b">
        <v>1</v>
      </c>
      <c r="AN641" t="b">
        <v>1</v>
      </c>
      <c r="AO641">
        <v>99999</v>
      </c>
      <c r="AP641" t="s">
        <v>64</v>
      </c>
      <c r="AR641" t="b">
        <v>0</v>
      </c>
      <c r="AS641">
        <v>12</v>
      </c>
      <c r="AT641" t="s">
        <v>327</v>
      </c>
      <c r="AV641" t="s">
        <v>1334</v>
      </c>
      <c r="CRL641">
        <v>12</v>
      </c>
    </row>
    <row r="642" spans="1:48 2508:2508" x14ac:dyDescent="0.25">
      <c r="A642" t="s">
        <v>3323</v>
      </c>
      <c r="B642" t="s">
        <v>302</v>
      </c>
      <c r="C642" t="s">
        <v>62</v>
      </c>
      <c r="D642">
        <v>99999</v>
      </c>
      <c r="F642" s="109">
        <v>10000</v>
      </c>
      <c r="G642" t="b">
        <v>1</v>
      </c>
      <c r="H642" t="s">
        <v>341</v>
      </c>
      <c r="K642" t="s">
        <v>349</v>
      </c>
      <c r="L642" t="s">
        <v>303</v>
      </c>
      <c r="M642" t="s">
        <v>323</v>
      </c>
      <c r="N642" t="s">
        <v>63</v>
      </c>
      <c r="O642" s="110">
        <v>29.9</v>
      </c>
      <c r="R642" s="110">
        <v>344.88999999999993</v>
      </c>
      <c r="S642" s="110">
        <v>85</v>
      </c>
      <c r="T642" s="110">
        <v>0</v>
      </c>
      <c r="U642" s="110">
        <v>42.99</v>
      </c>
      <c r="X642">
        <v>171.99999999999994</v>
      </c>
      <c r="Y642">
        <v>44.9</v>
      </c>
      <c r="Z642">
        <v>44.9</v>
      </c>
      <c r="AA642">
        <v>0</v>
      </c>
      <c r="AB642" t="s">
        <v>324</v>
      </c>
      <c r="AF642" t="s">
        <v>1457</v>
      </c>
      <c r="AG642" t="s">
        <v>1457</v>
      </c>
      <c r="AH642" t="s">
        <v>1175</v>
      </c>
      <c r="AI642">
        <v>99999</v>
      </c>
      <c r="AJ642">
        <v>99999</v>
      </c>
      <c r="AK642">
        <v>699</v>
      </c>
      <c r="AL642" t="b">
        <v>1</v>
      </c>
      <c r="AM642" t="b">
        <v>1</v>
      </c>
      <c r="AN642" t="b">
        <v>1</v>
      </c>
      <c r="AO642">
        <v>99999</v>
      </c>
      <c r="AP642" t="s">
        <v>64</v>
      </c>
      <c r="AR642" t="b">
        <v>0</v>
      </c>
      <c r="AS642">
        <v>12</v>
      </c>
      <c r="AT642" t="s">
        <v>327</v>
      </c>
      <c r="AV642" t="s">
        <v>1482</v>
      </c>
      <c r="CRL642">
        <v>12</v>
      </c>
    </row>
    <row r="643" spans="1:48 2508:2508" x14ac:dyDescent="0.25">
      <c r="A643" t="s">
        <v>3323</v>
      </c>
      <c r="B643" t="s">
        <v>302</v>
      </c>
      <c r="C643" t="s">
        <v>62</v>
      </c>
      <c r="D643">
        <v>99999</v>
      </c>
      <c r="F643" s="109">
        <v>10000</v>
      </c>
      <c r="G643" t="b">
        <v>1</v>
      </c>
      <c r="H643" t="s">
        <v>341</v>
      </c>
      <c r="K643" t="s">
        <v>349</v>
      </c>
      <c r="L643" t="s">
        <v>303</v>
      </c>
      <c r="M643" t="s">
        <v>323</v>
      </c>
      <c r="N643" t="s">
        <v>63</v>
      </c>
      <c r="O643" s="110">
        <v>39.9</v>
      </c>
      <c r="R643" s="110">
        <v>304.89</v>
      </c>
      <c r="S643" s="110">
        <v>79.900000000000006</v>
      </c>
      <c r="T643" s="110">
        <v>0</v>
      </c>
      <c r="U643" s="110">
        <v>42.99</v>
      </c>
      <c r="X643">
        <v>137.09999999999994</v>
      </c>
      <c r="Y643">
        <v>44.9</v>
      </c>
      <c r="Z643">
        <v>44.9</v>
      </c>
      <c r="AA643">
        <v>0</v>
      </c>
      <c r="AB643" t="s">
        <v>324</v>
      </c>
      <c r="AF643" t="s">
        <v>1242</v>
      </c>
      <c r="AG643" t="s">
        <v>1242</v>
      </c>
      <c r="AH643" t="s">
        <v>1175</v>
      </c>
      <c r="AI643">
        <v>99999</v>
      </c>
      <c r="AJ643">
        <v>99999</v>
      </c>
      <c r="AK643">
        <v>699</v>
      </c>
      <c r="AL643" t="b">
        <v>1</v>
      </c>
      <c r="AM643" t="b">
        <v>1</v>
      </c>
      <c r="AN643" t="b">
        <v>1</v>
      </c>
      <c r="AO643">
        <v>99999</v>
      </c>
      <c r="AP643" t="s">
        <v>64</v>
      </c>
      <c r="AR643" t="b">
        <v>0</v>
      </c>
      <c r="AS643">
        <v>12</v>
      </c>
      <c r="AT643" t="s">
        <v>327</v>
      </c>
      <c r="AV643" t="s">
        <v>1267</v>
      </c>
      <c r="CRL643">
        <v>12</v>
      </c>
    </row>
    <row r="644" spans="1:48 2508:2508" x14ac:dyDescent="0.25">
      <c r="A644" t="s">
        <v>3323</v>
      </c>
      <c r="B644" t="s">
        <v>302</v>
      </c>
      <c r="C644" t="s">
        <v>62</v>
      </c>
      <c r="D644">
        <v>99999</v>
      </c>
      <c r="F644" s="109">
        <v>10000</v>
      </c>
      <c r="G644" t="b">
        <v>1</v>
      </c>
      <c r="H644" t="s">
        <v>341</v>
      </c>
      <c r="K644" t="s">
        <v>349</v>
      </c>
      <c r="L644" t="s">
        <v>303</v>
      </c>
      <c r="M644" t="s">
        <v>323</v>
      </c>
      <c r="N644" t="s">
        <v>63</v>
      </c>
      <c r="O644" s="110">
        <v>39.9</v>
      </c>
      <c r="R644" s="110">
        <v>324.89</v>
      </c>
      <c r="S644" s="110">
        <v>79.900000000000006</v>
      </c>
      <c r="T644" s="110">
        <v>0</v>
      </c>
      <c r="U644" s="110">
        <v>42.99</v>
      </c>
      <c r="X644">
        <v>157.09999999999994</v>
      </c>
      <c r="Y644">
        <v>44.9</v>
      </c>
      <c r="Z644">
        <v>44.9</v>
      </c>
      <c r="AA644">
        <v>0</v>
      </c>
      <c r="AB644" t="s">
        <v>324</v>
      </c>
      <c r="AF644" t="s">
        <v>1376</v>
      </c>
      <c r="AG644" t="s">
        <v>1376</v>
      </c>
      <c r="AH644" t="s">
        <v>1175</v>
      </c>
      <c r="AI644">
        <v>99999</v>
      </c>
      <c r="AJ644">
        <v>99999</v>
      </c>
      <c r="AK644">
        <v>699</v>
      </c>
      <c r="AL644" t="b">
        <v>1</v>
      </c>
      <c r="AM644" t="b">
        <v>1</v>
      </c>
      <c r="AN644" t="b">
        <v>1</v>
      </c>
      <c r="AO644">
        <v>99999</v>
      </c>
      <c r="AP644" t="s">
        <v>64</v>
      </c>
      <c r="AR644" t="b">
        <v>0</v>
      </c>
      <c r="AS644">
        <v>12</v>
      </c>
      <c r="AT644" t="s">
        <v>327</v>
      </c>
      <c r="AV644" t="s">
        <v>1401</v>
      </c>
      <c r="CRL644">
        <v>12</v>
      </c>
    </row>
    <row r="645" spans="1:48 2508:2508" x14ac:dyDescent="0.25">
      <c r="A645" t="s">
        <v>3323</v>
      </c>
      <c r="B645" t="s">
        <v>302</v>
      </c>
      <c r="C645" t="s">
        <v>62</v>
      </c>
      <c r="D645">
        <v>99999</v>
      </c>
      <c r="F645" s="109">
        <v>10000</v>
      </c>
      <c r="G645" t="b">
        <v>1</v>
      </c>
      <c r="H645" t="s">
        <v>341</v>
      </c>
      <c r="K645" t="s">
        <v>349</v>
      </c>
      <c r="L645" t="s">
        <v>303</v>
      </c>
      <c r="M645" t="s">
        <v>323</v>
      </c>
      <c r="N645" t="s">
        <v>63</v>
      </c>
      <c r="O645" s="110">
        <v>39.9</v>
      </c>
      <c r="R645" s="110">
        <v>344.88999999999993</v>
      </c>
      <c r="S645" s="110">
        <v>85</v>
      </c>
      <c r="T645" s="110">
        <v>0</v>
      </c>
      <c r="U645" s="110">
        <v>42.99</v>
      </c>
      <c r="X645">
        <v>171.99999999999994</v>
      </c>
      <c r="Y645">
        <v>44.9</v>
      </c>
      <c r="Z645">
        <v>44.9</v>
      </c>
      <c r="AA645">
        <v>0</v>
      </c>
      <c r="AB645" t="s">
        <v>324</v>
      </c>
      <c r="AF645" t="s">
        <v>1524</v>
      </c>
      <c r="AG645" t="s">
        <v>1524</v>
      </c>
      <c r="AH645" t="s">
        <v>1175</v>
      </c>
      <c r="AI645">
        <v>99999</v>
      </c>
      <c r="AJ645">
        <v>99999</v>
      </c>
      <c r="AK645">
        <v>699</v>
      </c>
      <c r="AL645" t="b">
        <v>1</v>
      </c>
      <c r="AM645" t="b">
        <v>1</v>
      </c>
      <c r="AN645" t="b">
        <v>1</v>
      </c>
      <c r="AO645">
        <v>99999</v>
      </c>
      <c r="AP645" t="s">
        <v>64</v>
      </c>
      <c r="AR645" t="b">
        <v>0</v>
      </c>
      <c r="AS645">
        <v>12</v>
      </c>
      <c r="AT645" t="s">
        <v>327</v>
      </c>
      <c r="AV645" t="s">
        <v>1549</v>
      </c>
      <c r="CRL645">
        <v>12</v>
      </c>
    </row>
    <row r="646" spans="1:48 2508:2508" x14ac:dyDescent="0.25">
      <c r="A646" t="s">
        <v>3323</v>
      </c>
      <c r="B646" t="s">
        <v>302</v>
      </c>
      <c r="C646" t="s">
        <v>62</v>
      </c>
      <c r="D646">
        <v>99999</v>
      </c>
      <c r="F646" s="109">
        <v>10000</v>
      </c>
      <c r="G646" t="b">
        <v>1</v>
      </c>
      <c r="H646" t="s">
        <v>341</v>
      </c>
      <c r="K646" t="s">
        <v>349</v>
      </c>
      <c r="L646" t="s">
        <v>303</v>
      </c>
      <c r="M646" t="s">
        <v>323</v>
      </c>
      <c r="N646" t="s">
        <v>63</v>
      </c>
      <c r="O646" s="110">
        <v>49.9</v>
      </c>
      <c r="R646" s="110">
        <v>330.68999999999994</v>
      </c>
      <c r="S646" s="110">
        <v>130</v>
      </c>
      <c r="T646" s="110">
        <v>0</v>
      </c>
      <c r="U646" s="110">
        <v>34.99</v>
      </c>
      <c r="X646">
        <v>120.79999999999995</v>
      </c>
      <c r="Y646">
        <v>44.9</v>
      </c>
      <c r="Z646">
        <v>44.9</v>
      </c>
      <c r="AA646">
        <v>0</v>
      </c>
      <c r="AB646" t="s">
        <v>324</v>
      </c>
      <c r="AF646" t="s">
        <v>2744</v>
      </c>
      <c r="AG646" t="s">
        <v>2744</v>
      </c>
      <c r="AH646" t="s">
        <v>1175</v>
      </c>
      <c r="AI646">
        <v>99999</v>
      </c>
      <c r="AJ646">
        <v>99999</v>
      </c>
      <c r="AK646">
        <v>699</v>
      </c>
      <c r="AL646" t="b">
        <v>1</v>
      </c>
      <c r="AM646" t="b">
        <v>1</v>
      </c>
      <c r="AN646" t="b">
        <v>1</v>
      </c>
      <c r="AO646">
        <v>99999</v>
      </c>
      <c r="AP646" t="s">
        <v>64</v>
      </c>
      <c r="AR646" t="b">
        <v>0</v>
      </c>
      <c r="AS646">
        <v>12</v>
      </c>
      <c r="AT646" t="s">
        <v>327</v>
      </c>
      <c r="AV646" t="s">
        <v>2769</v>
      </c>
      <c r="CRL646">
        <v>12</v>
      </c>
    </row>
    <row r="647" spans="1:48 2508:2508" x14ac:dyDescent="0.25">
      <c r="A647" t="s">
        <v>3323</v>
      </c>
      <c r="B647" t="s">
        <v>302</v>
      </c>
      <c r="C647" t="s">
        <v>62</v>
      </c>
      <c r="D647">
        <v>99999</v>
      </c>
      <c r="F647" s="109">
        <v>10000</v>
      </c>
      <c r="G647" t="b">
        <v>1</v>
      </c>
      <c r="H647" t="s">
        <v>341</v>
      </c>
      <c r="K647" t="s">
        <v>349</v>
      </c>
      <c r="L647" t="s">
        <v>303</v>
      </c>
      <c r="M647" t="s">
        <v>323</v>
      </c>
      <c r="N647" t="s">
        <v>63</v>
      </c>
      <c r="O647" s="110">
        <v>49.9</v>
      </c>
      <c r="R647" s="110">
        <v>354.9899999999999</v>
      </c>
      <c r="S647" s="110">
        <v>130</v>
      </c>
      <c r="T647" s="110">
        <v>0</v>
      </c>
      <c r="U647" s="110">
        <v>42.99</v>
      </c>
      <c r="X647">
        <v>137.09999999999994</v>
      </c>
      <c r="Y647">
        <v>44.9</v>
      </c>
      <c r="Z647">
        <v>44.9</v>
      </c>
      <c r="AA647">
        <v>0</v>
      </c>
      <c r="AB647" t="s">
        <v>324</v>
      </c>
      <c r="AF647" t="s">
        <v>2818</v>
      </c>
      <c r="AG647" t="s">
        <v>2818</v>
      </c>
      <c r="AH647" t="s">
        <v>1175</v>
      </c>
      <c r="AI647">
        <v>99999</v>
      </c>
      <c r="AJ647">
        <v>99999</v>
      </c>
      <c r="AK647">
        <v>699</v>
      </c>
      <c r="AL647" t="b">
        <v>1</v>
      </c>
      <c r="AM647" t="b">
        <v>1</v>
      </c>
      <c r="AN647" t="b">
        <v>1</v>
      </c>
      <c r="AO647">
        <v>99999</v>
      </c>
      <c r="AP647" t="s">
        <v>64</v>
      </c>
      <c r="AR647" t="b">
        <v>0</v>
      </c>
      <c r="AS647">
        <v>12</v>
      </c>
      <c r="AT647" t="s">
        <v>327</v>
      </c>
      <c r="AV647" t="s">
        <v>2843</v>
      </c>
      <c r="CRL647">
        <v>12</v>
      </c>
    </row>
    <row r="648" spans="1:48 2508:2508" x14ac:dyDescent="0.25">
      <c r="A648" t="s">
        <v>3323</v>
      </c>
      <c r="B648" t="s">
        <v>302</v>
      </c>
      <c r="C648" t="s">
        <v>62</v>
      </c>
      <c r="D648">
        <v>99999</v>
      </c>
      <c r="F648" s="109">
        <v>10000</v>
      </c>
      <c r="G648" t="b">
        <v>1</v>
      </c>
      <c r="H648" t="s">
        <v>341</v>
      </c>
      <c r="K648" t="s">
        <v>349</v>
      </c>
      <c r="L648" t="s">
        <v>303</v>
      </c>
      <c r="M648" t="s">
        <v>323</v>
      </c>
      <c r="N648" t="s">
        <v>63</v>
      </c>
      <c r="O648" s="110">
        <v>49.9</v>
      </c>
      <c r="R648" s="110">
        <v>374.9899999999999</v>
      </c>
      <c r="S648" s="110">
        <v>130</v>
      </c>
      <c r="T648" s="110">
        <v>0</v>
      </c>
      <c r="U648" s="110">
        <v>42.99</v>
      </c>
      <c r="X648">
        <v>157.09999999999994</v>
      </c>
      <c r="Y648">
        <v>44.9</v>
      </c>
      <c r="Z648">
        <v>44.9</v>
      </c>
      <c r="AA648">
        <v>0</v>
      </c>
      <c r="AB648" t="s">
        <v>324</v>
      </c>
      <c r="AF648" t="s">
        <v>2885</v>
      </c>
      <c r="AG648" t="s">
        <v>2885</v>
      </c>
      <c r="AH648" t="s">
        <v>1175</v>
      </c>
      <c r="AI648">
        <v>99999</v>
      </c>
      <c r="AJ648">
        <v>99999</v>
      </c>
      <c r="AK648">
        <v>699</v>
      </c>
      <c r="AL648" t="b">
        <v>1</v>
      </c>
      <c r="AM648" t="b">
        <v>1</v>
      </c>
      <c r="AN648" t="b">
        <v>1</v>
      </c>
      <c r="AO648">
        <v>99999</v>
      </c>
      <c r="AP648" t="s">
        <v>64</v>
      </c>
      <c r="AR648" t="b">
        <v>0</v>
      </c>
      <c r="AS648">
        <v>12</v>
      </c>
      <c r="AT648" t="s">
        <v>327</v>
      </c>
      <c r="AV648" t="s">
        <v>2910</v>
      </c>
      <c r="CRL648">
        <v>12</v>
      </c>
    </row>
    <row r="649" spans="1:48 2508:2508" x14ac:dyDescent="0.25">
      <c r="A649" t="s">
        <v>3323</v>
      </c>
      <c r="B649" t="s">
        <v>302</v>
      </c>
      <c r="C649" t="s">
        <v>62</v>
      </c>
      <c r="D649">
        <v>99999</v>
      </c>
      <c r="F649" s="109">
        <v>10000</v>
      </c>
      <c r="G649" t="b">
        <v>1</v>
      </c>
      <c r="H649" t="s">
        <v>341</v>
      </c>
      <c r="K649" t="s">
        <v>349</v>
      </c>
      <c r="L649" t="s">
        <v>303</v>
      </c>
      <c r="M649" t="s">
        <v>323</v>
      </c>
      <c r="N649" t="s">
        <v>63</v>
      </c>
      <c r="O649" s="110">
        <v>49.9</v>
      </c>
      <c r="R649" s="110">
        <v>389.88999999999993</v>
      </c>
      <c r="S649" s="110">
        <v>130</v>
      </c>
      <c r="T649" s="110">
        <v>0</v>
      </c>
      <c r="U649" s="110">
        <v>42.99</v>
      </c>
      <c r="X649">
        <v>171.99999999999994</v>
      </c>
      <c r="Y649">
        <v>44.9</v>
      </c>
      <c r="Z649">
        <v>44.9</v>
      </c>
      <c r="AA649">
        <v>0</v>
      </c>
      <c r="AB649" t="s">
        <v>324</v>
      </c>
      <c r="AF649" t="s">
        <v>2959</v>
      </c>
      <c r="AG649" t="s">
        <v>2959</v>
      </c>
      <c r="AH649" t="s">
        <v>1175</v>
      </c>
      <c r="AI649">
        <v>99999</v>
      </c>
      <c r="AJ649">
        <v>99999</v>
      </c>
      <c r="AK649">
        <v>699</v>
      </c>
      <c r="AL649" t="b">
        <v>1</v>
      </c>
      <c r="AM649" t="b">
        <v>1</v>
      </c>
      <c r="AN649" t="b">
        <v>1</v>
      </c>
      <c r="AO649">
        <v>99999</v>
      </c>
      <c r="AP649" t="s">
        <v>64</v>
      </c>
      <c r="AR649" t="b">
        <v>0</v>
      </c>
      <c r="AS649">
        <v>12</v>
      </c>
      <c r="AT649" t="s">
        <v>327</v>
      </c>
      <c r="AV649" t="s">
        <v>2984</v>
      </c>
      <c r="CRL649">
        <v>12</v>
      </c>
    </row>
    <row r="650" spans="1:48 2508:2508" x14ac:dyDescent="0.25">
      <c r="A650" t="s">
        <v>3323</v>
      </c>
      <c r="B650" t="s">
        <v>302</v>
      </c>
      <c r="C650" t="s">
        <v>62</v>
      </c>
      <c r="D650">
        <v>99999</v>
      </c>
      <c r="F650" s="109">
        <v>10000</v>
      </c>
      <c r="G650" t="b">
        <v>1</v>
      </c>
      <c r="H650" t="s">
        <v>341</v>
      </c>
      <c r="K650" t="s">
        <v>393</v>
      </c>
      <c r="L650" t="s">
        <v>303</v>
      </c>
      <c r="M650" t="s">
        <v>323</v>
      </c>
      <c r="N650" t="s">
        <v>63</v>
      </c>
      <c r="O650" s="110">
        <v>29.9</v>
      </c>
      <c r="R650" s="110">
        <v>329.89</v>
      </c>
      <c r="S650" s="110">
        <v>79.900000000000006</v>
      </c>
      <c r="T650" s="110">
        <v>0</v>
      </c>
      <c r="U650" s="110">
        <v>42.99</v>
      </c>
      <c r="X650">
        <v>137.09999999999994</v>
      </c>
      <c r="Y650">
        <v>69.900000000000006</v>
      </c>
      <c r="Z650">
        <v>69.900000000000006</v>
      </c>
      <c r="AA650">
        <v>0</v>
      </c>
      <c r="AB650" t="s">
        <v>363</v>
      </c>
      <c r="AF650" t="s">
        <v>1202</v>
      </c>
      <c r="AG650" t="s">
        <v>1202</v>
      </c>
      <c r="AH650" t="s">
        <v>1175</v>
      </c>
      <c r="AI650">
        <v>99999</v>
      </c>
      <c r="AJ650">
        <v>99999</v>
      </c>
      <c r="AK650">
        <v>699</v>
      </c>
      <c r="AL650" t="b">
        <v>1</v>
      </c>
      <c r="AM650" t="b">
        <v>1</v>
      </c>
      <c r="AN650" t="b">
        <v>1</v>
      </c>
      <c r="AO650">
        <v>99999</v>
      </c>
      <c r="AP650" t="s">
        <v>64</v>
      </c>
      <c r="AR650" t="b">
        <v>0</v>
      </c>
      <c r="AS650">
        <v>12</v>
      </c>
      <c r="AT650" t="s">
        <v>327</v>
      </c>
      <c r="AV650" t="s">
        <v>1240</v>
      </c>
      <c r="CRL650">
        <v>12</v>
      </c>
    </row>
    <row r="651" spans="1:48 2508:2508" x14ac:dyDescent="0.25">
      <c r="A651" t="s">
        <v>3323</v>
      </c>
      <c r="B651" t="s">
        <v>302</v>
      </c>
      <c r="C651" t="s">
        <v>62</v>
      </c>
      <c r="D651">
        <v>99999</v>
      </c>
      <c r="F651" s="109">
        <v>10000</v>
      </c>
      <c r="G651" t="b">
        <v>1</v>
      </c>
      <c r="H651" t="s">
        <v>341</v>
      </c>
      <c r="K651" t="s">
        <v>393</v>
      </c>
      <c r="L651" t="s">
        <v>303</v>
      </c>
      <c r="M651" t="s">
        <v>323</v>
      </c>
      <c r="N651" t="s">
        <v>63</v>
      </c>
      <c r="O651" s="110">
        <v>29.9</v>
      </c>
      <c r="R651" s="110">
        <v>349.89</v>
      </c>
      <c r="S651" s="110">
        <v>79.900000000000006</v>
      </c>
      <c r="T651" s="110">
        <v>0</v>
      </c>
      <c r="U651" s="110">
        <v>42.99</v>
      </c>
      <c r="X651">
        <v>157.09999999999994</v>
      </c>
      <c r="Y651">
        <v>69.900000000000006</v>
      </c>
      <c r="Z651">
        <v>69.900000000000006</v>
      </c>
      <c r="AA651">
        <v>0</v>
      </c>
      <c r="AB651" t="s">
        <v>363</v>
      </c>
      <c r="AF651" t="s">
        <v>1336</v>
      </c>
      <c r="AG651" t="s">
        <v>1336</v>
      </c>
      <c r="AH651" t="s">
        <v>1175</v>
      </c>
      <c r="AI651">
        <v>99999</v>
      </c>
      <c r="AJ651">
        <v>99999</v>
      </c>
      <c r="AK651">
        <v>699</v>
      </c>
      <c r="AL651" t="b">
        <v>1</v>
      </c>
      <c r="AM651" t="b">
        <v>1</v>
      </c>
      <c r="AN651" t="b">
        <v>1</v>
      </c>
      <c r="AO651">
        <v>99999</v>
      </c>
      <c r="AP651" t="s">
        <v>64</v>
      </c>
      <c r="AR651" t="b">
        <v>0</v>
      </c>
      <c r="AS651">
        <v>12</v>
      </c>
      <c r="AT651" t="s">
        <v>327</v>
      </c>
      <c r="AV651" t="s">
        <v>1374</v>
      </c>
      <c r="CRL651">
        <v>12</v>
      </c>
    </row>
    <row r="652" spans="1:48 2508:2508" x14ac:dyDescent="0.25">
      <c r="A652" t="s">
        <v>3323</v>
      </c>
      <c r="B652" t="s">
        <v>302</v>
      </c>
      <c r="C652" t="s">
        <v>62</v>
      </c>
      <c r="D652">
        <v>99999</v>
      </c>
      <c r="F652" s="109">
        <v>10000</v>
      </c>
      <c r="G652" t="b">
        <v>1</v>
      </c>
      <c r="H652" t="s">
        <v>341</v>
      </c>
      <c r="K652" t="s">
        <v>393</v>
      </c>
      <c r="L652" t="s">
        <v>303</v>
      </c>
      <c r="M652" t="s">
        <v>323</v>
      </c>
      <c r="N652" t="s">
        <v>63</v>
      </c>
      <c r="O652" s="110">
        <v>29.9</v>
      </c>
      <c r="R652" s="110">
        <v>369.89</v>
      </c>
      <c r="S652" s="110">
        <v>85</v>
      </c>
      <c r="T652" s="110">
        <v>0</v>
      </c>
      <c r="U652" s="110">
        <v>42.99</v>
      </c>
      <c r="X652">
        <v>171.99999999999994</v>
      </c>
      <c r="Y652">
        <v>69.900000000000006</v>
      </c>
      <c r="Z652">
        <v>69.900000000000006</v>
      </c>
      <c r="AA652">
        <v>0</v>
      </c>
      <c r="AB652" t="s">
        <v>363</v>
      </c>
      <c r="AF652" t="s">
        <v>1484</v>
      </c>
      <c r="AG652" t="s">
        <v>1484</v>
      </c>
      <c r="AH652" t="s">
        <v>1175</v>
      </c>
      <c r="AI652">
        <v>99999</v>
      </c>
      <c r="AJ652">
        <v>99999</v>
      </c>
      <c r="AK652">
        <v>699</v>
      </c>
      <c r="AL652" t="b">
        <v>1</v>
      </c>
      <c r="AM652" t="b">
        <v>1</v>
      </c>
      <c r="AN652" t="b">
        <v>1</v>
      </c>
      <c r="AO652">
        <v>99999</v>
      </c>
      <c r="AP652" t="s">
        <v>64</v>
      </c>
      <c r="AR652" t="b">
        <v>0</v>
      </c>
      <c r="AS652">
        <v>12</v>
      </c>
      <c r="AT652" t="s">
        <v>327</v>
      </c>
      <c r="AV652" t="s">
        <v>1522</v>
      </c>
      <c r="CRL652">
        <v>12</v>
      </c>
    </row>
    <row r="653" spans="1:48 2508:2508" x14ac:dyDescent="0.25">
      <c r="A653" t="s">
        <v>3323</v>
      </c>
      <c r="B653" t="s">
        <v>302</v>
      </c>
      <c r="C653" t="s">
        <v>62</v>
      </c>
      <c r="D653">
        <v>99999</v>
      </c>
      <c r="F653" s="109">
        <v>10000</v>
      </c>
      <c r="G653" t="b">
        <v>1</v>
      </c>
      <c r="H653" t="s">
        <v>341</v>
      </c>
      <c r="K653" t="s">
        <v>393</v>
      </c>
      <c r="L653" t="s">
        <v>303</v>
      </c>
      <c r="M653" t="s">
        <v>323</v>
      </c>
      <c r="N653" t="s">
        <v>63</v>
      </c>
      <c r="O653" s="110">
        <v>39.9</v>
      </c>
      <c r="R653" s="110">
        <v>329.89</v>
      </c>
      <c r="S653" s="110">
        <v>79.900000000000006</v>
      </c>
      <c r="T653" s="110">
        <v>0</v>
      </c>
      <c r="U653" s="110">
        <v>42.99</v>
      </c>
      <c r="X653">
        <v>137.09999999999994</v>
      </c>
      <c r="Y653">
        <v>69.900000000000006</v>
      </c>
      <c r="Z653">
        <v>69.900000000000006</v>
      </c>
      <c r="AA653">
        <v>0</v>
      </c>
      <c r="AB653" t="s">
        <v>363</v>
      </c>
      <c r="AF653" t="s">
        <v>1269</v>
      </c>
      <c r="AG653" t="s">
        <v>1269</v>
      </c>
      <c r="AH653" t="s">
        <v>1175</v>
      </c>
      <c r="AI653">
        <v>99999</v>
      </c>
      <c r="AJ653">
        <v>99999</v>
      </c>
      <c r="AK653">
        <v>699</v>
      </c>
      <c r="AL653" t="b">
        <v>1</v>
      </c>
      <c r="AM653" t="b">
        <v>1</v>
      </c>
      <c r="AN653" t="b">
        <v>1</v>
      </c>
      <c r="AO653">
        <v>99999</v>
      </c>
      <c r="AP653" t="s">
        <v>64</v>
      </c>
      <c r="AR653" t="b">
        <v>0</v>
      </c>
      <c r="AS653">
        <v>12</v>
      </c>
      <c r="AT653" t="s">
        <v>327</v>
      </c>
      <c r="AV653" t="s">
        <v>1307</v>
      </c>
      <c r="CRL653">
        <v>12</v>
      </c>
    </row>
    <row r="654" spans="1:48 2508:2508" x14ac:dyDescent="0.25">
      <c r="A654" t="s">
        <v>3323</v>
      </c>
      <c r="B654" t="s">
        <v>302</v>
      </c>
      <c r="C654" t="s">
        <v>62</v>
      </c>
      <c r="D654">
        <v>99999</v>
      </c>
      <c r="F654" s="109">
        <v>10000</v>
      </c>
      <c r="G654" t="b">
        <v>1</v>
      </c>
      <c r="H654" t="s">
        <v>341</v>
      </c>
      <c r="K654" t="s">
        <v>393</v>
      </c>
      <c r="L654" t="s">
        <v>303</v>
      </c>
      <c r="M654" t="s">
        <v>323</v>
      </c>
      <c r="N654" t="s">
        <v>63</v>
      </c>
      <c r="O654" s="110">
        <v>39.9</v>
      </c>
      <c r="R654" s="110">
        <v>349.89</v>
      </c>
      <c r="S654" s="110">
        <v>79.900000000000006</v>
      </c>
      <c r="T654" s="110">
        <v>0</v>
      </c>
      <c r="U654" s="110">
        <v>42.99</v>
      </c>
      <c r="X654">
        <v>157.09999999999994</v>
      </c>
      <c r="Y654">
        <v>69.900000000000006</v>
      </c>
      <c r="Z654">
        <v>69.900000000000006</v>
      </c>
      <c r="AA654">
        <v>0</v>
      </c>
      <c r="AB654" t="s">
        <v>363</v>
      </c>
      <c r="AF654" t="s">
        <v>1403</v>
      </c>
      <c r="AG654" t="s">
        <v>1403</v>
      </c>
      <c r="AH654" t="s">
        <v>1175</v>
      </c>
      <c r="AI654">
        <v>99999</v>
      </c>
      <c r="AJ654">
        <v>99999</v>
      </c>
      <c r="AK654">
        <v>699</v>
      </c>
      <c r="AL654" t="b">
        <v>1</v>
      </c>
      <c r="AM654" t="b">
        <v>1</v>
      </c>
      <c r="AN654" t="b">
        <v>1</v>
      </c>
      <c r="AO654">
        <v>99999</v>
      </c>
      <c r="AP654" t="s">
        <v>64</v>
      </c>
      <c r="AR654" t="b">
        <v>0</v>
      </c>
      <c r="AS654">
        <v>12</v>
      </c>
      <c r="AT654" t="s">
        <v>327</v>
      </c>
      <c r="AV654" t="s">
        <v>1441</v>
      </c>
      <c r="CRL654">
        <v>12</v>
      </c>
    </row>
    <row r="655" spans="1:48 2508:2508" x14ac:dyDescent="0.25">
      <c r="A655" t="s">
        <v>3323</v>
      </c>
      <c r="B655" t="s">
        <v>302</v>
      </c>
      <c r="C655" t="s">
        <v>62</v>
      </c>
      <c r="D655">
        <v>99999</v>
      </c>
      <c r="F655" s="109">
        <v>10000</v>
      </c>
      <c r="G655" t="b">
        <v>1</v>
      </c>
      <c r="H655" t="s">
        <v>341</v>
      </c>
      <c r="K655" t="s">
        <v>393</v>
      </c>
      <c r="L655" t="s">
        <v>303</v>
      </c>
      <c r="M655" t="s">
        <v>323</v>
      </c>
      <c r="N655" t="s">
        <v>63</v>
      </c>
      <c r="O655" s="110">
        <v>39.9</v>
      </c>
      <c r="R655" s="110">
        <v>369.89</v>
      </c>
      <c r="S655" s="110">
        <v>85</v>
      </c>
      <c r="T655" s="110">
        <v>0</v>
      </c>
      <c r="U655" s="110">
        <v>42.99</v>
      </c>
      <c r="X655">
        <v>171.99999999999994</v>
      </c>
      <c r="Y655">
        <v>69.900000000000006</v>
      </c>
      <c r="Z655">
        <v>69.900000000000006</v>
      </c>
      <c r="AA655">
        <v>0</v>
      </c>
      <c r="AB655" t="s">
        <v>363</v>
      </c>
      <c r="AF655" t="s">
        <v>1551</v>
      </c>
      <c r="AG655" t="s">
        <v>1551</v>
      </c>
      <c r="AH655" t="s">
        <v>1175</v>
      </c>
      <c r="AI655">
        <v>99999</v>
      </c>
      <c r="AJ655">
        <v>99999</v>
      </c>
      <c r="AK655">
        <v>699</v>
      </c>
      <c r="AL655" t="b">
        <v>1</v>
      </c>
      <c r="AM655" t="b">
        <v>1</v>
      </c>
      <c r="AN655" t="b">
        <v>1</v>
      </c>
      <c r="AO655">
        <v>99999</v>
      </c>
      <c r="AP655" t="s">
        <v>64</v>
      </c>
      <c r="AR655" t="b">
        <v>0</v>
      </c>
      <c r="AS655">
        <v>12</v>
      </c>
      <c r="AT655" t="s">
        <v>327</v>
      </c>
      <c r="AV655" t="s">
        <v>1589</v>
      </c>
      <c r="CRL655">
        <v>12</v>
      </c>
    </row>
    <row r="656" spans="1:48 2508:2508" x14ac:dyDescent="0.25">
      <c r="A656" t="s">
        <v>3323</v>
      </c>
      <c r="B656" t="s">
        <v>302</v>
      </c>
      <c r="C656" t="s">
        <v>62</v>
      </c>
      <c r="D656">
        <v>99999</v>
      </c>
      <c r="F656" s="109">
        <v>10000</v>
      </c>
      <c r="G656" t="b">
        <v>1</v>
      </c>
      <c r="H656" t="s">
        <v>341</v>
      </c>
      <c r="K656" t="s">
        <v>393</v>
      </c>
      <c r="L656" t="s">
        <v>303</v>
      </c>
      <c r="M656" t="s">
        <v>323</v>
      </c>
      <c r="N656" t="s">
        <v>63</v>
      </c>
      <c r="O656" s="110">
        <v>49.9</v>
      </c>
      <c r="R656" s="110">
        <v>355.68999999999994</v>
      </c>
      <c r="S656" s="110">
        <v>130</v>
      </c>
      <c r="T656" s="110">
        <v>0</v>
      </c>
      <c r="U656" s="110">
        <v>34.99</v>
      </c>
      <c r="X656">
        <v>120.79999999999995</v>
      </c>
      <c r="Y656">
        <v>69.900000000000006</v>
      </c>
      <c r="Z656">
        <v>69.900000000000006</v>
      </c>
      <c r="AA656">
        <v>0</v>
      </c>
      <c r="AB656" t="s">
        <v>363</v>
      </c>
      <c r="AF656" t="s">
        <v>2771</v>
      </c>
      <c r="AG656" t="s">
        <v>2771</v>
      </c>
      <c r="AH656" t="s">
        <v>1175</v>
      </c>
      <c r="AI656">
        <v>99999</v>
      </c>
      <c r="AJ656">
        <v>99999</v>
      </c>
      <c r="AK656">
        <v>699</v>
      </c>
      <c r="AL656" t="b">
        <v>1</v>
      </c>
      <c r="AM656" t="b">
        <v>1</v>
      </c>
      <c r="AN656" t="b">
        <v>1</v>
      </c>
      <c r="AO656">
        <v>99999</v>
      </c>
      <c r="AP656" t="s">
        <v>64</v>
      </c>
      <c r="AR656" t="b">
        <v>0</v>
      </c>
      <c r="AS656">
        <v>12</v>
      </c>
      <c r="AT656" t="s">
        <v>327</v>
      </c>
      <c r="AV656" t="s">
        <v>2809</v>
      </c>
      <c r="CRL656">
        <v>12</v>
      </c>
    </row>
    <row r="657" spans="1:48 2508:2508" x14ac:dyDescent="0.25">
      <c r="A657" t="s">
        <v>3323</v>
      </c>
      <c r="B657" t="s">
        <v>302</v>
      </c>
      <c r="C657" t="s">
        <v>62</v>
      </c>
      <c r="D657">
        <v>99999</v>
      </c>
      <c r="F657" s="109">
        <v>10000</v>
      </c>
      <c r="G657" t="b">
        <v>1</v>
      </c>
      <c r="H657" t="s">
        <v>341</v>
      </c>
      <c r="K657" t="s">
        <v>393</v>
      </c>
      <c r="L657" t="s">
        <v>303</v>
      </c>
      <c r="M657" t="s">
        <v>323</v>
      </c>
      <c r="N657" t="s">
        <v>63</v>
      </c>
      <c r="O657" s="110">
        <v>49.9</v>
      </c>
      <c r="R657" s="110">
        <v>379.98999999999995</v>
      </c>
      <c r="S657" s="110">
        <v>130</v>
      </c>
      <c r="T657" s="110">
        <v>0</v>
      </c>
      <c r="U657" s="110">
        <v>42.99</v>
      </c>
      <c r="X657">
        <v>137.09999999999994</v>
      </c>
      <c r="Y657">
        <v>69.900000000000006</v>
      </c>
      <c r="Z657">
        <v>69.900000000000006</v>
      </c>
      <c r="AA657">
        <v>0</v>
      </c>
      <c r="AB657" t="s">
        <v>363</v>
      </c>
      <c r="AF657" t="s">
        <v>2845</v>
      </c>
      <c r="AG657" t="s">
        <v>2845</v>
      </c>
      <c r="AH657" t="s">
        <v>1175</v>
      </c>
      <c r="AI657">
        <v>99999</v>
      </c>
      <c r="AJ657">
        <v>99999</v>
      </c>
      <c r="AK657">
        <v>699</v>
      </c>
      <c r="AL657" t="b">
        <v>1</v>
      </c>
      <c r="AM657" t="b">
        <v>1</v>
      </c>
      <c r="AN657" t="b">
        <v>1</v>
      </c>
      <c r="AO657">
        <v>99999</v>
      </c>
      <c r="AP657" t="s">
        <v>64</v>
      </c>
      <c r="AR657" t="b">
        <v>0</v>
      </c>
      <c r="AS657">
        <v>12</v>
      </c>
      <c r="AT657" t="s">
        <v>327</v>
      </c>
      <c r="AV657" t="s">
        <v>2883</v>
      </c>
      <c r="CRL657">
        <v>12</v>
      </c>
    </row>
    <row r="658" spans="1:48 2508:2508" x14ac:dyDescent="0.25">
      <c r="A658" t="s">
        <v>3323</v>
      </c>
      <c r="B658" t="s">
        <v>302</v>
      </c>
      <c r="C658" t="s">
        <v>62</v>
      </c>
      <c r="D658">
        <v>99999</v>
      </c>
      <c r="F658" s="109">
        <v>10000</v>
      </c>
      <c r="G658" t="b">
        <v>1</v>
      </c>
      <c r="H658" t="s">
        <v>341</v>
      </c>
      <c r="K658" t="s">
        <v>393</v>
      </c>
      <c r="L658" t="s">
        <v>303</v>
      </c>
      <c r="M658" t="s">
        <v>323</v>
      </c>
      <c r="N658" t="s">
        <v>63</v>
      </c>
      <c r="O658" s="110">
        <v>49.9</v>
      </c>
      <c r="R658" s="110">
        <v>399.98999999999995</v>
      </c>
      <c r="S658" s="110">
        <v>130</v>
      </c>
      <c r="T658" s="110">
        <v>0</v>
      </c>
      <c r="U658" s="110">
        <v>42.99</v>
      </c>
      <c r="X658">
        <v>157.09999999999994</v>
      </c>
      <c r="Y658">
        <v>69.900000000000006</v>
      </c>
      <c r="Z658">
        <v>69.900000000000006</v>
      </c>
      <c r="AA658">
        <v>0</v>
      </c>
      <c r="AB658" t="s">
        <v>363</v>
      </c>
      <c r="AF658" t="s">
        <v>2912</v>
      </c>
      <c r="AG658" t="s">
        <v>2912</v>
      </c>
      <c r="AH658" t="s">
        <v>1175</v>
      </c>
      <c r="AI658">
        <v>99999</v>
      </c>
      <c r="AJ658">
        <v>99999</v>
      </c>
      <c r="AK658">
        <v>699</v>
      </c>
      <c r="AL658" t="b">
        <v>1</v>
      </c>
      <c r="AM658" t="b">
        <v>1</v>
      </c>
      <c r="AN658" t="b">
        <v>1</v>
      </c>
      <c r="AO658">
        <v>99999</v>
      </c>
      <c r="AP658" t="s">
        <v>64</v>
      </c>
      <c r="AR658" t="b">
        <v>0</v>
      </c>
      <c r="AS658">
        <v>12</v>
      </c>
      <c r="AT658" t="s">
        <v>327</v>
      </c>
      <c r="AV658" t="s">
        <v>2950</v>
      </c>
      <c r="CRL658">
        <v>12</v>
      </c>
    </row>
    <row r="659" spans="1:48 2508:2508" x14ac:dyDescent="0.25">
      <c r="A659" t="s">
        <v>3323</v>
      </c>
      <c r="B659" t="s">
        <v>302</v>
      </c>
      <c r="C659" t="s">
        <v>62</v>
      </c>
      <c r="D659">
        <v>99999</v>
      </c>
      <c r="F659" s="109">
        <v>10000</v>
      </c>
      <c r="G659" t="b">
        <v>1</v>
      </c>
      <c r="H659" t="s">
        <v>341</v>
      </c>
      <c r="K659" t="s">
        <v>393</v>
      </c>
      <c r="L659" t="s">
        <v>303</v>
      </c>
      <c r="M659" t="s">
        <v>323</v>
      </c>
      <c r="N659" t="s">
        <v>63</v>
      </c>
      <c r="O659" s="110">
        <v>49.9</v>
      </c>
      <c r="R659" s="110">
        <v>414.89</v>
      </c>
      <c r="S659" s="110">
        <v>130</v>
      </c>
      <c r="T659" s="110">
        <v>0</v>
      </c>
      <c r="U659" s="110">
        <v>42.99</v>
      </c>
      <c r="X659">
        <v>171.99999999999994</v>
      </c>
      <c r="Y659">
        <v>69.900000000000006</v>
      </c>
      <c r="Z659">
        <v>69.900000000000006</v>
      </c>
      <c r="AA659">
        <v>0</v>
      </c>
      <c r="AB659" t="s">
        <v>363</v>
      </c>
      <c r="AF659" t="s">
        <v>2986</v>
      </c>
      <c r="AG659" t="s">
        <v>2986</v>
      </c>
      <c r="AH659" t="s">
        <v>1175</v>
      </c>
      <c r="AI659">
        <v>99999</v>
      </c>
      <c r="AJ659">
        <v>99999</v>
      </c>
      <c r="AK659">
        <v>699</v>
      </c>
      <c r="AL659" t="b">
        <v>1</v>
      </c>
      <c r="AM659" t="b">
        <v>1</v>
      </c>
      <c r="AN659" t="b">
        <v>1</v>
      </c>
      <c r="AO659">
        <v>99999</v>
      </c>
      <c r="AP659" t="s">
        <v>64</v>
      </c>
      <c r="AR659" t="b">
        <v>0</v>
      </c>
      <c r="AS659">
        <v>12</v>
      </c>
      <c r="AT659" t="s">
        <v>327</v>
      </c>
      <c r="AV659" t="s">
        <v>3024</v>
      </c>
      <c r="CRL659">
        <v>12</v>
      </c>
    </row>
    <row r="660" spans="1:48 2508:2508" x14ac:dyDescent="0.25">
      <c r="A660" t="s">
        <v>3323</v>
      </c>
      <c r="B660" t="s">
        <v>302</v>
      </c>
      <c r="C660" t="s">
        <v>62</v>
      </c>
      <c r="D660">
        <v>99999</v>
      </c>
      <c r="F660" s="109">
        <v>10000</v>
      </c>
      <c r="G660" t="b">
        <v>1</v>
      </c>
      <c r="H660" t="s">
        <v>341</v>
      </c>
      <c r="K660" t="s">
        <v>364</v>
      </c>
      <c r="L660" t="s">
        <v>303</v>
      </c>
      <c r="M660" t="s">
        <v>323</v>
      </c>
      <c r="N660" t="s">
        <v>63</v>
      </c>
      <c r="O660" s="110">
        <v>29.9</v>
      </c>
      <c r="R660" s="110">
        <v>309.89</v>
      </c>
      <c r="S660" s="110">
        <v>79.900000000000006</v>
      </c>
      <c r="T660" s="110">
        <v>0</v>
      </c>
      <c r="U660" s="110">
        <v>42.99</v>
      </c>
      <c r="X660">
        <v>137.09999999999994</v>
      </c>
      <c r="Y660">
        <v>49.9</v>
      </c>
      <c r="Z660">
        <v>49.9</v>
      </c>
      <c r="AA660">
        <v>0</v>
      </c>
      <c r="AB660" t="s">
        <v>363</v>
      </c>
      <c r="AF660" t="s">
        <v>1202</v>
      </c>
      <c r="AG660" t="s">
        <v>1202</v>
      </c>
      <c r="AH660" t="s">
        <v>1175</v>
      </c>
      <c r="AI660">
        <v>99999</v>
      </c>
      <c r="AJ660">
        <v>99999</v>
      </c>
      <c r="AK660">
        <v>699</v>
      </c>
      <c r="AL660" t="b">
        <v>1</v>
      </c>
      <c r="AM660" t="b">
        <v>1</v>
      </c>
      <c r="AN660" t="b">
        <v>1</v>
      </c>
      <c r="AO660">
        <v>99999</v>
      </c>
      <c r="AP660" t="s">
        <v>64</v>
      </c>
      <c r="AR660" t="b">
        <v>0</v>
      </c>
      <c r="AS660">
        <v>12</v>
      </c>
      <c r="AT660" t="s">
        <v>327</v>
      </c>
      <c r="AV660" t="s">
        <v>1214</v>
      </c>
      <c r="CRL660">
        <v>12</v>
      </c>
    </row>
    <row r="661" spans="1:48 2508:2508" x14ac:dyDescent="0.25">
      <c r="A661" t="s">
        <v>3323</v>
      </c>
      <c r="B661" t="s">
        <v>302</v>
      </c>
      <c r="C661" t="s">
        <v>62</v>
      </c>
      <c r="D661">
        <v>99999</v>
      </c>
      <c r="F661" s="109">
        <v>10000</v>
      </c>
      <c r="G661" t="b">
        <v>1</v>
      </c>
      <c r="H661" t="s">
        <v>341</v>
      </c>
      <c r="K661" t="s">
        <v>364</v>
      </c>
      <c r="L661" t="s">
        <v>303</v>
      </c>
      <c r="M661" t="s">
        <v>323</v>
      </c>
      <c r="N661" t="s">
        <v>63</v>
      </c>
      <c r="O661" s="110">
        <v>29.9</v>
      </c>
      <c r="R661" s="110">
        <v>329.89</v>
      </c>
      <c r="S661" s="110">
        <v>79.900000000000006</v>
      </c>
      <c r="T661" s="110">
        <v>0</v>
      </c>
      <c r="U661" s="110">
        <v>42.99</v>
      </c>
      <c r="X661">
        <v>157.09999999999994</v>
      </c>
      <c r="Y661">
        <v>49.9</v>
      </c>
      <c r="Z661">
        <v>49.9</v>
      </c>
      <c r="AA661">
        <v>0</v>
      </c>
      <c r="AB661" t="s">
        <v>363</v>
      </c>
      <c r="AF661" t="s">
        <v>1336</v>
      </c>
      <c r="AG661" t="s">
        <v>1336</v>
      </c>
      <c r="AH661" t="s">
        <v>1175</v>
      </c>
      <c r="AI661">
        <v>99999</v>
      </c>
      <c r="AJ661">
        <v>99999</v>
      </c>
      <c r="AK661">
        <v>699</v>
      </c>
      <c r="AL661" t="b">
        <v>1</v>
      </c>
      <c r="AM661" t="b">
        <v>1</v>
      </c>
      <c r="AN661" t="b">
        <v>1</v>
      </c>
      <c r="AO661">
        <v>99999</v>
      </c>
      <c r="AP661" t="s">
        <v>64</v>
      </c>
      <c r="AR661" t="b">
        <v>0</v>
      </c>
      <c r="AS661">
        <v>12</v>
      </c>
      <c r="AT661" t="s">
        <v>327</v>
      </c>
      <c r="AV661" t="s">
        <v>1348</v>
      </c>
      <c r="CRL661">
        <v>12</v>
      </c>
    </row>
    <row r="662" spans="1:48 2508:2508" x14ac:dyDescent="0.25">
      <c r="A662" t="s">
        <v>3323</v>
      </c>
      <c r="B662" t="s">
        <v>302</v>
      </c>
      <c r="C662" t="s">
        <v>62</v>
      </c>
      <c r="D662">
        <v>99999</v>
      </c>
      <c r="F662" s="109">
        <v>10000</v>
      </c>
      <c r="G662" t="b">
        <v>1</v>
      </c>
      <c r="H662" t="s">
        <v>341</v>
      </c>
      <c r="K662" t="s">
        <v>364</v>
      </c>
      <c r="L662" t="s">
        <v>303</v>
      </c>
      <c r="M662" t="s">
        <v>323</v>
      </c>
      <c r="N662" t="s">
        <v>63</v>
      </c>
      <c r="O662" s="110">
        <v>29.9</v>
      </c>
      <c r="R662" s="110">
        <v>349.88999999999993</v>
      </c>
      <c r="S662" s="110">
        <v>85</v>
      </c>
      <c r="T662" s="110">
        <v>0</v>
      </c>
      <c r="U662" s="110">
        <v>42.99</v>
      </c>
      <c r="X662">
        <v>171.99999999999994</v>
      </c>
      <c r="Y662">
        <v>49.9</v>
      </c>
      <c r="Z662">
        <v>49.9</v>
      </c>
      <c r="AA662">
        <v>0</v>
      </c>
      <c r="AB662" t="s">
        <v>363</v>
      </c>
      <c r="AF662" t="s">
        <v>1484</v>
      </c>
      <c r="AG662" t="s">
        <v>1484</v>
      </c>
      <c r="AH662" t="s">
        <v>1175</v>
      </c>
      <c r="AI662">
        <v>99999</v>
      </c>
      <c r="AJ662">
        <v>99999</v>
      </c>
      <c r="AK662">
        <v>699</v>
      </c>
      <c r="AL662" t="b">
        <v>1</v>
      </c>
      <c r="AM662" t="b">
        <v>1</v>
      </c>
      <c r="AN662" t="b">
        <v>1</v>
      </c>
      <c r="AO662">
        <v>99999</v>
      </c>
      <c r="AP662" t="s">
        <v>64</v>
      </c>
      <c r="AR662" t="b">
        <v>0</v>
      </c>
      <c r="AS662">
        <v>12</v>
      </c>
      <c r="AT662" t="s">
        <v>327</v>
      </c>
      <c r="AV662" t="s">
        <v>1496</v>
      </c>
      <c r="CRL662">
        <v>12</v>
      </c>
    </row>
    <row r="663" spans="1:48 2508:2508" x14ac:dyDescent="0.25">
      <c r="A663" t="s">
        <v>3323</v>
      </c>
      <c r="B663" t="s">
        <v>302</v>
      </c>
      <c r="C663" t="s">
        <v>62</v>
      </c>
      <c r="D663">
        <v>99999</v>
      </c>
      <c r="F663" s="109">
        <v>10000</v>
      </c>
      <c r="G663" t="b">
        <v>1</v>
      </c>
      <c r="H663" t="s">
        <v>341</v>
      </c>
      <c r="K663" t="s">
        <v>364</v>
      </c>
      <c r="L663" t="s">
        <v>303</v>
      </c>
      <c r="M663" t="s">
        <v>323</v>
      </c>
      <c r="N663" t="s">
        <v>63</v>
      </c>
      <c r="O663" s="110">
        <v>39.9</v>
      </c>
      <c r="R663" s="110">
        <v>309.89</v>
      </c>
      <c r="S663" s="110">
        <v>79.900000000000006</v>
      </c>
      <c r="T663" s="110">
        <v>0</v>
      </c>
      <c r="U663" s="110">
        <v>42.99</v>
      </c>
      <c r="X663">
        <v>137.09999999999994</v>
      </c>
      <c r="Y663">
        <v>49.9</v>
      </c>
      <c r="Z663">
        <v>49.9</v>
      </c>
      <c r="AA663">
        <v>0</v>
      </c>
      <c r="AB663" t="s">
        <v>363</v>
      </c>
      <c r="AF663" t="s">
        <v>1269</v>
      </c>
      <c r="AG663" t="s">
        <v>1269</v>
      </c>
      <c r="AH663" t="s">
        <v>1175</v>
      </c>
      <c r="AI663">
        <v>99999</v>
      </c>
      <c r="AJ663">
        <v>99999</v>
      </c>
      <c r="AK663">
        <v>699</v>
      </c>
      <c r="AL663" t="b">
        <v>1</v>
      </c>
      <c r="AM663" t="b">
        <v>1</v>
      </c>
      <c r="AN663" t="b">
        <v>1</v>
      </c>
      <c r="AO663">
        <v>99999</v>
      </c>
      <c r="AP663" t="s">
        <v>64</v>
      </c>
      <c r="AR663" t="b">
        <v>0</v>
      </c>
      <c r="AS663">
        <v>12</v>
      </c>
      <c r="AT663" t="s">
        <v>327</v>
      </c>
      <c r="AV663" t="s">
        <v>1281</v>
      </c>
      <c r="CRL663">
        <v>12</v>
      </c>
    </row>
    <row r="664" spans="1:48 2508:2508" x14ac:dyDescent="0.25">
      <c r="A664" t="s">
        <v>3323</v>
      </c>
      <c r="B664" t="s">
        <v>302</v>
      </c>
      <c r="C664" t="s">
        <v>62</v>
      </c>
      <c r="D664">
        <v>99999</v>
      </c>
      <c r="F664" s="109">
        <v>10000</v>
      </c>
      <c r="G664" t="b">
        <v>1</v>
      </c>
      <c r="H664" t="s">
        <v>341</v>
      </c>
      <c r="K664" t="s">
        <v>364</v>
      </c>
      <c r="L664" t="s">
        <v>303</v>
      </c>
      <c r="M664" t="s">
        <v>323</v>
      </c>
      <c r="N664" t="s">
        <v>63</v>
      </c>
      <c r="O664" s="110">
        <v>39.9</v>
      </c>
      <c r="R664" s="110">
        <v>329.89</v>
      </c>
      <c r="S664" s="110">
        <v>79.900000000000006</v>
      </c>
      <c r="T664" s="110">
        <v>0</v>
      </c>
      <c r="U664" s="110">
        <v>42.99</v>
      </c>
      <c r="X664">
        <v>157.09999999999994</v>
      </c>
      <c r="Y664">
        <v>49.9</v>
      </c>
      <c r="Z664">
        <v>49.9</v>
      </c>
      <c r="AA664">
        <v>0</v>
      </c>
      <c r="AB664" t="s">
        <v>363</v>
      </c>
      <c r="AF664" t="s">
        <v>1403</v>
      </c>
      <c r="AG664" t="s">
        <v>1403</v>
      </c>
      <c r="AH664" t="s">
        <v>1175</v>
      </c>
      <c r="AI664">
        <v>99999</v>
      </c>
      <c r="AJ664">
        <v>99999</v>
      </c>
      <c r="AK664">
        <v>699</v>
      </c>
      <c r="AL664" t="b">
        <v>1</v>
      </c>
      <c r="AM664" t="b">
        <v>1</v>
      </c>
      <c r="AN664" t="b">
        <v>1</v>
      </c>
      <c r="AO664">
        <v>99999</v>
      </c>
      <c r="AP664" t="s">
        <v>64</v>
      </c>
      <c r="AR664" t="b">
        <v>0</v>
      </c>
      <c r="AS664">
        <v>12</v>
      </c>
      <c r="AT664" t="s">
        <v>327</v>
      </c>
      <c r="AV664" t="s">
        <v>1415</v>
      </c>
      <c r="CRL664">
        <v>12</v>
      </c>
    </row>
    <row r="665" spans="1:48 2508:2508" x14ac:dyDescent="0.25">
      <c r="A665" t="s">
        <v>3323</v>
      </c>
      <c r="B665" t="s">
        <v>302</v>
      </c>
      <c r="C665" t="s">
        <v>62</v>
      </c>
      <c r="D665">
        <v>99999</v>
      </c>
      <c r="F665" s="109">
        <v>10000</v>
      </c>
      <c r="G665" t="b">
        <v>1</v>
      </c>
      <c r="H665" t="s">
        <v>341</v>
      </c>
      <c r="K665" t="s">
        <v>364</v>
      </c>
      <c r="L665" t="s">
        <v>303</v>
      </c>
      <c r="M665" t="s">
        <v>323</v>
      </c>
      <c r="N665" t="s">
        <v>63</v>
      </c>
      <c r="O665" s="110">
        <v>39.9</v>
      </c>
      <c r="R665" s="110">
        <v>349.88999999999993</v>
      </c>
      <c r="S665" s="110">
        <v>85</v>
      </c>
      <c r="T665" s="110">
        <v>0</v>
      </c>
      <c r="U665" s="110">
        <v>42.99</v>
      </c>
      <c r="X665">
        <v>171.99999999999994</v>
      </c>
      <c r="Y665">
        <v>49.9</v>
      </c>
      <c r="Z665">
        <v>49.9</v>
      </c>
      <c r="AA665">
        <v>0</v>
      </c>
      <c r="AB665" t="s">
        <v>363</v>
      </c>
      <c r="AF665" t="s">
        <v>1551</v>
      </c>
      <c r="AG665" t="s">
        <v>1551</v>
      </c>
      <c r="AH665" t="s">
        <v>1175</v>
      </c>
      <c r="AI665">
        <v>99999</v>
      </c>
      <c r="AJ665">
        <v>99999</v>
      </c>
      <c r="AK665">
        <v>699</v>
      </c>
      <c r="AL665" t="b">
        <v>1</v>
      </c>
      <c r="AM665" t="b">
        <v>1</v>
      </c>
      <c r="AN665" t="b">
        <v>1</v>
      </c>
      <c r="AO665">
        <v>99999</v>
      </c>
      <c r="AP665" t="s">
        <v>64</v>
      </c>
      <c r="AR665" t="b">
        <v>0</v>
      </c>
      <c r="AS665">
        <v>12</v>
      </c>
      <c r="AT665" t="s">
        <v>327</v>
      </c>
      <c r="AV665" t="s">
        <v>1563</v>
      </c>
      <c r="CRL665">
        <v>12</v>
      </c>
    </row>
    <row r="666" spans="1:48 2508:2508" x14ac:dyDescent="0.25">
      <c r="A666" t="s">
        <v>3323</v>
      </c>
      <c r="B666" t="s">
        <v>302</v>
      </c>
      <c r="C666" t="s">
        <v>62</v>
      </c>
      <c r="D666">
        <v>99999</v>
      </c>
      <c r="F666" s="109">
        <v>10000</v>
      </c>
      <c r="G666" t="b">
        <v>1</v>
      </c>
      <c r="H666" t="s">
        <v>341</v>
      </c>
      <c r="K666" t="s">
        <v>364</v>
      </c>
      <c r="L666" t="s">
        <v>303</v>
      </c>
      <c r="M666" t="s">
        <v>323</v>
      </c>
      <c r="N666" t="s">
        <v>63</v>
      </c>
      <c r="O666" s="110">
        <v>49.9</v>
      </c>
      <c r="R666" s="110">
        <v>335.68999999999994</v>
      </c>
      <c r="S666" s="110">
        <v>130</v>
      </c>
      <c r="T666" s="110">
        <v>0</v>
      </c>
      <c r="U666" s="110">
        <v>34.99</v>
      </c>
      <c r="X666">
        <v>120.79999999999995</v>
      </c>
      <c r="Y666">
        <v>49.9</v>
      </c>
      <c r="Z666">
        <v>49.9</v>
      </c>
      <c r="AA666">
        <v>0</v>
      </c>
      <c r="AB666" t="s">
        <v>363</v>
      </c>
      <c r="AF666" t="s">
        <v>2771</v>
      </c>
      <c r="AG666" t="s">
        <v>2771</v>
      </c>
      <c r="AH666" t="s">
        <v>1175</v>
      </c>
      <c r="AI666">
        <v>99999</v>
      </c>
      <c r="AJ666">
        <v>99999</v>
      </c>
      <c r="AK666">
        <v>699</v>
      </c>
      <c r="AL666" t="b">
        <v>1</v>
      </c>
      <c r="AM666" t="b">
        <v>1</v>
      </c>
      <c r="AN666" t="b">
        <v>1</v>
      </c>
      <c r="AO666">
        <v>99999</v>
      </c>
      <c r="AP666" t="s">
        <v>64</v>
      </c>
      <c r="AR666" t="b">
        <v>0</v>
      </c>
      <c r="AS666">
        <v>12</v>
      </c>
      <c r="AT666" t="s">
        <v>327</v>
      </c>
      <c r="AV666" t="s">
        <v>2783</v>
      </c>
      <c r="CRL666">
        <v>12</v>
      </c>
    </row>
    <row r="667" spans="1:48 2508:2508" x14ac:dyDescent="0.25">
      <c r="A667" t="s">
        <v>3323</v>
      </c>
      <c r="B667" t="s">
        <v>302</v>
      </c>
      <c r="C667" t="s">
        <v>62</v>
      </c>
      <c r="D667">
        <v>99999</v>
      </c>
      <c r="F667" s="109">
        <v>10000</v>
      </c>
      <c r="G667" t="b">
        <v>1</v>
      </c>
      <c r="H667" t="s">
        <v>341</v>
      </c>
      <c r="K667" t="s">
        <v>364</v>
      </c>
      <c r="L667" t="s">
        <v>303</v>
      </c>
      <c r="M667" t="s">
        <v>323</v>
      </c>
      <c r="N667" t="s">
        <v>63</v>
      </c>
      <c r="O667" s="110">
        <v>49.9</v>
      </c>
      <c r="R667" s="110">
        <v>359.9899999999999</v>
      </c>
      <c r="S667" s="110">
        <v>130</v>
      </c>
      <c r="T667" s="110">
        <v>0</v>
      </c>
      <c r="U667" s="110">
        <v>42.99</v>
      </c>
      <c r="X667">
        <v>137.09999999999994</v>
      </c>
      <c r="Y667">
        <v>49.9</v>
      </c>
      <c r="Z667">
        <v>49.9</v>
      </c>
      <c r="AA667">
        <v>0</v>
      </c>
      <c r="AB667" t="s">
        <v>363</v>
      </c>
      <c r="AF667" t="s">
        <v>2845</v>
      </c>
      <c r="AG667" t="s">
        <v>2845</v>
      </c>
      <c r="AH667" t="s">
        <v>1175</v>
      </c>
      <c r="AI667">
        <v>99999</v>
      </c>
      <c r="AJ667">
        <v>99999</v>
      </c>
      <c r="AK667">
        <v>699</v>
      </c>
      <c r="AL667" t="b">
        <v>1</v>
      </c>
      <c r="AM667" t="b">
        <v>1</v>
      </c>
      <c r="AN667" t="b">
        <v>1</v>
      </c>
      <c r="AO667">
        <v>99999</v>
      </c>
      <c r="AP667" t="s">
        <v>64</v>
      </c>
      <c r="AR667" t="b">
        <v>0</v>
      </c>
      <c r="AS667">
        <v>12</v>
      </c>
      <c r="AT667" t="s">
        <v>327</v>
      </c>
      <c r="AV667" t="s">
        <v>2857</v>
      </c>
      <c r="CRL667">
        <v>12</v>
      </c>
    </row>
    <row r="668" spans="1:48 2508:2508" x14ac:dyDescent="0.25">
      <c r="A668" t="s">
        <v>3323</v>
      </c>
      <c r="B668" t="s">
        <v>302</v>
      </c>
      <c r="C668" t="s">
        <v>62</v>
      </c>
      <c r="D668">
        <v>99999</v>
      </c>
      <c r="F668" s="109">
        <v>10000</v>
      </c>
      <c r="G668" t="b">
        <v>1</v>
      </c>
      <c r="H668" t="s">
        <v>341</v>
      </c>
      <c r="K668" t="s">
        <v>364</v>
      </c>
      <c r="L668" t="s">
        <v>303</v>
      </c>
      <c r="M668" t="s">
        <v>323</v>
      </c>
      <c r="N668" t="s">
        <v>63</v>
      </c>
      <c r="O668" s="110">
        <v>49.9</v>
      </c>
      <c r="R668" s="110">
        <v>379.9899999999999</v>
      </c>
      <c r="S668" s="110">
        <v>130</v>
      </c>
      <c r="T668" s="110">
        <v>0</v>
      </c>
      <c r="U668" s="110">
        <v>42.99</v>
      </c>
      <c r="X668">
        <v>157.09999999999994</v>
      </c>
      <c r="Y668">
        <v>49.9</v>
      </c>
      <c r="Z668">
        <v>49.9</v>
      </c>
      <c r="AA668">
        <v>0</v>
      </c>
      <c r="AB668" t="s">
        <v>363</v>
      </c>
      <c r="AF668" t="s">
        <v>2912</v>
      </c>
      <c r="AG668" t="s">
        <v>2912</v>
      </c>
      <c r="AH668" t="s">
        <v>1175</v>
      </c>
      <c r="AI668">
        <v>99999</v>
      </c>
      <c r="AJ668">
        <v>99999</v>
      </c>
      <c r="AK668">
        <v>699</v>
      </c>
      <c r="AL668" t="b">
        <v>1</v>
      </c>
      <c r="AM668" t="b">
        <v>1</v>
      </c>
      <c r="AN668" t="b">
        <v>1</v>
      </c>
      <c r="AO668">
        <v>99999</v>
      </c>
      <c r="AP668" t="s">
        <v>64</v>
      </c>
      <c r="AR668" t="b">
        <v>0</v>
      </c>
      <c r="AS668">
        <v>12</v>
      </c>
      <c r="AT668" t="s">
        <v>327</v>
      </c>
      <c r="AV668" t="s">
        <v>2924</v>
      </c>
      <c r="CRL668">
        <v>12</v>
      </c>
    </row>
    <row r="669" spans="1:48 2508:2508" x14ac:dyDescent="0.25">
      <c r="A669" t="s">
        <v>3323</v>
      </c>
      <c r="B669" t="s">
        <v>302</v>
      </c>
      <c r="C669" t="s">
        <v>62</v>
      </c>
      <c r="D669">
        <v>99999</v>
      </c>
      <c r="F669" s="109">
        <v>10000</v>
      </c>
      <c r="G669" t="b">
        <v>1</v>
      </c>
      <c r="H669" t="s">
        <v>341</v>
      </c>
      <c r="K669" t="s">
        <v>364</v>
      </c>
      <c r="L669" t="s">
        <v>303</v>
      </c>
      <c r="M669" t="s">
        <v>323</v>
      </c>
      <c r="N669" t="s">
        <v>63</v>
      </c>
      <c r="O669" s="110">
        <v>49.9</v>
      </c>
      <c r="R669" s="110">
        <v>394.88999999999993</v>
      </c>
      <c r="S669" s="110">
        <v>130</v>
      </c>
      <c r="T669" s="110">
        <v>0</v>
      </c>
      <c r="U669" s="110">
        <v>42.99</v>
      </c>
      <c r="X669">
        <v>171.99999999999994</v>
      </c>
      <c r="Y669">
        <v>49.9</v>
      </c>
      <c r="Z669">
        <v>49.9</v>
      </c>
      <c r="AA669">
        <v>0</v>
      </c>
      <c r="AB669" t="s">
        <v>363</v>
      </c>
      <c r="AF669" t="s">
        <v>2986</v>
      </c>
      <c r="AG669" t="s">
        <v>2986</v>
      </c>
      <c r="AH669" t="s">
        <v>1175</v>
      </c>
      <c r="AI669">
        <v>99999</v>
      </c>
      <c r="AJ669">
        <v>99999</v>
      </c>
      <c r="AK669">
        <v>699</v>
      </c>
      <c r="AL669" t="b">
        <v>1</v>
      </c>
      <c r="AM669" t="b">
        <v>1</v>
      </c>
      <c r="AN669" t="b">
        <v>1</v>
      </c>
      <c r="AO669">
        <v>99999</v>
      </c>
      <c r="AP669" t="s">
        <v>64</v>
      </c>
      <c r="AR669" t="b">
        <v>0</v>
      </c>
      <c r="AS669">
        <v>12</v>
      </c>
      <c r="AT669" t="s">
        <v>327</v>
      </c>
      <c r="AV669" t="s">
        <v>2998</v>
      </c>
      <c r="CRL669">
        <v>12</v>
      </c>
    </row>
    <row r="670" spans="1:48 2508:2508" x14ac:dyDescent="0.25">
      <c r="A670" t="s">
        <v>3323</v>
      </c>
      <c r="B670" t="s">
        <v>302</v>
      </c>
      <c r="C670" t="s">
        <v>62</v>
      </c>
      <c r="D670">
        <v>99999</v>
      </c>
      <c r="F670" s="109">
        <v>10000</v>
      </c>
      <c r="G670" t="b">
        <v>1</v>
      </c>
      <c r="H670" t="s">
        <v>341</v>
      </c>
      <c r="K670" t="s">
        <v>379</v>
      </c>
      <c r="L670" t="s">
        <v>303</v>
      </c>
      <c r="M670" t="s">
        <v>323</v>
      </c>
      <c r="N670" t="s">
        <v>63</v>
      </c>
      <c r="O670" s="110">
        <v>29.9</v>
      </c>
      <c r="R670" s="110">
        <v>319.89</v>
      </c>
      <c r="S670" s="110">
        <v>79.900000000000006</v>
      </c>
      <c r="T670" s="110">
        <v>0</v>
      </c>
      <c r="U670" s="110">
        <v>42.99</v>
      </c>
      <c r="X670">
        <v>137.09999999999994</v>
      </c>
      <c r="Y670">
        <v>59.9</v>
      </c>
      <c r="Z670">
        <v>59.9</v>
      </c>
      <c r="AA670">
        <v>0</v>
      </c>
      <c r="AB670" t="s">
        <v>363</v>
      </c>
      <c r="AF670" t="s">
        <v>1202</v>
      </c>
      <c r="AG670" t="s">
        <v>1202</v>
      </c>
      <c r="AH670" t="s">
        <v>1175</v>
      </c>
      <c r="AI670">
        <v>99999</v>
      </c>
      <c r="AJ670">
        <v>99999</v>
      </c>
      <c r="AK670">
        <v>699</v>
      </c>
      <c r="AL670" t="b">
        <v>1</v>
      </c>
      <c r="AM670" t="b">
        <v>1</v>
      </c>
      <c r="AN670" t="b">
        <v>1</v>
      </c>
      <c r="AO670">
        <v>99999</v>
      </c>
      <c r="AP670" t="s">
        <v>64</v>
      </c>
      <c r="AR670" t="b">
        <v>0</v>
      </c>
      <c r="AS670">
        <v>12</v>
      </c>
      <c r="AT670" t="s">
        <v>327</v>
      </c>
      <c r="AV670" t="s">
        <v>1227</v>
      </c>
      <c r="CRL670">
        <v>12</v>
      </c>
    </row>
    <row r="671" spans="1:48 2508:2508" x14ac:dyDescent="0.25">
      <c r="A671" t="s">
        <v>3323</v>
      </c>
      <c r="B671" t="s">
        <v>302</v>
      </c>
      <c r="C671" t="s">
        <v>62</v>
      </c>
      <c r="D671">
        <v>99999</v>
      </c>
      <c r="F671" s="109">
        <v>10000</v>
      </c>
      <c r="G671" t="b">
        <v>1</v>
      </c>
      <c r="H671" t="s">
        <v>341</v>
      </c>
      <c r="K671" t="s">
        <v>379</v>
      </c>
      <c r="L671" t="s">
        <v>303</v>
      </c>
      <c r="M671" t="s">
        <v>323</v>
      </c>
      <c r="N671" t="s">
        <v>63</v>
      </c>
      <c r="O671" s="110">
        <v>29.9</v>
      </c>
      <c r="R671" s="110">
        <v>339.89</v>
      </c>
      <c r="S671" s="110">
        <v>79.900000000000006</v>
      </c>
      <c r="T671" s="110">
        <v>0</v>
      </c>
      <c r="U671" s="110">
        <v>42.99</v>
      </c>
      <c r="X671">
        <v>157.09999999999994</v>
      </c>
      <c r="Y671">
        <v>59.9</v>
      </c>
      <c r="Z671">
        <v>59.9</v>
      </c>
      <c r="AA671">
        <v>0</v>
      </c>
      <c r="AB671" t="s">
        <v>363</v>
      </c>
      <c r="AF671" t="s">
        <v>1336</v>
      </c>
      <c r="AG671" t="s">
        <v>1336</v>
      </c>
      <c r="AH671" t="s">
        <v>1175</v>
      </c>
      <c r="AI671">
        <v>99999</v>
      </c>
      <c r="AJ671">
        <v>99999</v>
      </c>
      <c r="AK671">
        <v>699</v>
      </c>
      <c r="AL671" t="b">
        <v>1</v>
      </c>
      <c r="AM671" t="b">
        <v>1</v>
      </c>
      <c r="AN671" t="b">
        <v>1</v>
      </c>
      <c r="AO671">
        <v>99999</v>
      </c>
      <c r="AP671" t="s">
        <v>64</v>
      </c>
      <c r="AR671" t="b">
        <v>0</v>
      </c>
      <c r="AS671">
        <v>12</v>
      </c>
      <c r="AT671" t="s">
        <v>327</v>
      </c>
      <c r="AV671" t="s">
        <v>1361</v>
      </c>
      <c r="CRL671">
        <v>12</v>
      </c>
    </row>
    <row r="672" spans="1:48 2508:2508" x14ac:dyDescent="0.25">
      <c r="A672" t="s">
        <v>3323</v>
      </c>
      <c r="B672" t="s">
        <v>302</v>
      </c>
      <c r="C672" t="s">
        <v>62</v>
      </c>
      <c r="D672">
        <v>99999</v>
      </c>
      <c r="F672" s="109">
        <v>10000</v>
      </c>
      <c r="G672" t="b">
        <v>1</v>
      </c>
      <c r="H672" t="s">
        <v>341</v>
      </c>
      <c r="K672" t="s">
        <v>379</v>
      </c>
      <c r="L672" t="s">
        <v>303</v>
      </c>
      <c r="M672" t="s">
        <v>323</v>
      </c>
      <c r="N672" t="s">
        <v>63</v>
      </c>
      <c r="O672" s="110">
        <v>29.9</v>
      </c>
      <c r="R672" s="110">
        <v>359.88999999999993</v>
      </c>
      <c r="S672" s="110">
        <v>85</v>
      </c>
      <c r="T672" s="110">
        <v>0</v>
      </c>
      <c r="U672" s="110">
        <v>42.99</v>
      </c>
      <c r="X672">
        <v>171.99999999999994</v>
      </c>
      <c r="Y672">
        <v>59.9</v>
      </c>
      <c r="Z672">
        <v>59.9</v>
      </c>
      <c r="AA672">
        <v>0</v>
      </c>
      <c r="AB672" t="s">
        <v>363</v>
      </c>
      <c r="AF672" t="s">
        <v>1484</v>
      </c>
      <c r="AG672" t="s">
        <v>1484</v>
      </c>
      <c r="AH672" t="s">
        <v>1175</v>
      </c>
      <c r="AI672">
        <v>99999</v>
      </c>
      <c r="AJ672">
        <v>99999</v>
      </c>
      <c r="AK672">
        <v>699</v>
      </c>
      <c r="AL672" t="b">
        <v>1</v>
      </c>
      <c r="AM672" t="b">
        <v>1</v>
      </c>
      <c r="AN672" t="b">
        <v>1</v>
      </c>
      <c r="AO672">
        <v>99999</v>
      </c>
      <c r="AP672" t="s">
        <v>64</v>
      </c>
      <c r="AR672" t="b">
        <v>0</v>
      </c>
      <c r="AS672">
        <v>12</v>
      </c>
      <c r="AT672" t="s">
        <v>327</v>
      </c>
      <c r="AV672" t="s">
        <v>1509</v>
      </c>
      <c r="CRL672">
        <v>12</v>
      </c>
    </row>
    <row r="673" spans="1:48 2508:2508" x14ac:dyDescent="0.25">
      <c r="A673" t="s">
        <v>3323</v>
      </c>
      <c r="B673" t="s">
        <v>302</v>
      </c>
      <c r="C673" t="s">
        <v>62</v>
      </c>
      <c r="D673">
        <v>99999</v>
      </c>
      <c r="F673" s="109">
        <v>10000</v>
      </c>
      <c r="G673" t="b">
        <v>1</v>
      </c>
      <c r="H673" t="s">
        <v>341</v>
      </c>
      <c r="K673" t="s">
        <v>379</v>
      </c>
      <c r="L673" t="s">
        <v>303</v>
      </c>
      <c r="M673" t="s">
        <v>323</v>
      </c>
      <c r="N673" t="s">
        <v>63</v>
      </c>
      <c r="O673" s="110">
        <v>39.9</v>
      </c>
      <c r="R673" s="110">
        <v>319.89</v>
      </c>
      <c r="S673" s="110">
        <v>79.900000000000006</v>
      </c>
      <c r="T673" s="110">
        <v>0</v>
      </c>
      <c r="U673" s="110">
        <v>42.99</v>
      </c>
      <c r="X673">
        <v>137.09999999999994</v>
      </c>
      <c r="Y673">
        <v>59.9</v>
      </c>
      <c r="Z673">
        <v>59.9</v>
      </c>
      <c r="AA673">
        <v>0</v>
      </c>
      <c r="AB673" t="s">
        <v>363</v>
      </c>
      <c r="AF673" t="s">
        <v>1269</v>
      </c>
      <c r="AG673" t="s">
        <v>1269</v>
      </c>
      <c r="AH673" t="s">
        <v>1175</v>
      </c>
      <c r="AI673">
        <v>99999</v>
      </c>
      <c r="AJ673">
        <v>99999</v>
      </c>
      <c r="AK673">
        <v>699</v>
      </c>
      <c r="AL673" t="b">
        <v>1</v>
      </c>
      <c r="AM673" t="b">
        <v>1</v>
      </c>
      <c r="AN673" t="b">
        <v>1</v>
      </c>
      <c r="AO673">
        <v>99999</v>
      </c>
      <c r="AP673" t="s">
        <v>64</v>
      </c>
      <c r="AR673" t="b">
        <v>0</v>
      </c>
      <c r="AS673">
        <v>12</v>
      </c>
      <c r="AT673" t="s">
        <v>327</v>
      </c>
      <c r="AV673" t="s">
        <v>1294</v>
      </c>
      <c r="CRL673">
        <v>12</v>
      </c>
    </row>
    <row r="674" spans="1:48 2508:2508" x14ac:dyDescent="0.25">
      <c r="A674" t="s">
        <v>3323</v>
      </c>
      <c r="B674" t="s">
        <v>302</v>
      </c>
      <c r="C674" t="s">
        <v>62</v>
      </c>
      <c r="D674">
        <v>99999</v>
      </c>
      <c r="F674" s="109">
        <v>10000</v>
      </c>
      <c r="G674" t="b">
        <v>1</v>
      </c>
      <c r="H674" t="s">
        <v>341</v>
      </c>
      <c r="K674" t="s">
        <v>379</v>
      </c>
      <c r="L674" t="s">
        <v>303</v>
      </c>
      <c r="M674" t="s">
        <v>323</v>
      </c>
      <c r="N674" t="s">
        <v>63</v>
      </c>
      <c r="O674" s="110">
        <v>39.9</v>
      </c>
      <c r="R674" s="110">
        <v>339.89</v>
      </c>
      <c r="S674" s="110">
        <v>79.900000000000006</v>
      </c>
      <c r="T674" s="110">
        <v>0</v>
      </c>
      <c r="U674" s="110">
        <v>42.99</v>
      </c>
      <c r="X674">
        <v>157.09999999999994</v>
      </c>
      <c r="Y674">
        <v>59.9</v>
      </c>
      <c r="Z674">
        <v>59.9</v>
      </c>
      <c r="AA674">
        <v>0</v>
      </c>
      <c r="AB674" t="s">
        <v>363</v>
      </c>
      <c r="AF674" t="s">
        <v>1403</v>
      </c>
      <c r="AG674" t="s">
        <v>1403</v>
      </c>
      <c r="AH674" t="s">
        <v>1175</v>
      </c>
      <c r="AI674">
        <v>99999</v>
      </c>
      <c r="AJ674">
        <v>99999</v>
      </c>
      <c r="AK674">
        <v>699</v>
      </c>
      <c r="AL674" t="b">
        <v>1</v>
      </c>
      <c r="AM674" t="b">
        <v>1</v>
      </c>
      <c r="AN674" t="b">
        <v>1</v>
      </c>
      <c r="AO674">
        <v>99999</v>
      </c>
      <c r="AP674" t="s">
        <v>64</v>
      </c>
      <c r="AR674" t="b">
        <v>0</v>
      </c>
      <c r="AS674">
        <v>12</v>
      </c>
      <c r="AT674" t="s">
        <v>327</v>
      </c>
      <c r="AV674" t="s">
        <v>1428</v>
      </c>
      <c r="CRL674">
        <v>12</v>
      </c>
    </row>
    <row r="675" spans="1:48 2508:2508" x14ac:dyDescent="0.25">
      <c r="A675" t="s">
        <v>3323</v>
      </c>
      <c r="B675" t="s">
        <v>302</v>
      </c>
      <c r="C675" t="s">
        <v>62</v>
      </c>
      <c r="D675">
        <v>99999</v>
      </c>
      <c r="F675" s="109">
        <v>10000</v>
      </c>
      <c r="G675" t="b">
        <v>1</v>
      </c>
      <c r="H675" t="s">
        <v>341</v>
      </c>
      <c r="K675" t="s">
        <v>379</v>
      </c>
      <c r="L675" t="s">
        <v>303</v>
      </c>
      <c r="M675" t="s">
        <v>323</v>
      </c>
      <c r="N675" t="s">
        <v>63</v>
      </c>
      <c r="O675" s="110">
        <v>39.9</v>
      </c>
      <c r="R675" s="110">
        <v>359.88999999999993</v>
      </c>
      <c r="S675" s="110">
        <v>85</v>
      </c>
      <c r="T675" s="110">
        <v>0</v>
      </c>
      <c r="U675" s="110">
        <v>42.99</v>
      </c>
      <c r="X675">
        <v>171.99999999999994</v>
      </c>
      <c r="Y675">
        <v>59.9</v>
      </c>
      <c r="Z675">
        <v>59.9</v>
      </c>
      <c r="AA675">
        <v>0</v>
      </c>
      <c r="AB675" t="s">
        <v>363</v>
      </c>
      <c r="AF675" t="s">
        <v>1551</v>
      </c>
      <c r="AG675" t="s">
        <v>1551</v>
      </c>
      <c r="AH675" t="s">
        <v>1175</v>
      </c>
      <c r="AI675">
        <v>99999</v>
      </c>
      <c r="AJ675">
        <v>99999</v>
      </c>
      <c r="AK675">
        <v>699</v>
      </c>
      <c r="AL675" t="b">
        <v>1</v>
      </c>
      <c r="AM675" t="b">
        <v>1</v>
      </c>
      <c r="AN675" t="b">
        <v>1</v>
      </c>
      <c r="AO675">
        <v>99999</v>
      </c>
      <c r="AP675" t="s">
        <v>64</v>
      </c>
      <c r="AR675" t="b">
        <v>0</v>
      </c>
      <c r="AS675">
        <v>12</v>
      </c>
      <c r="AT675" t="s">
        <v>327</v>
      </c>
      <c r="AV675" t="s">
        <v>1576</v>
      </c>
      <c r="CRL675">
        <v>12</v>
      </c>
    </row>
    <row r="676" spans="1:48 2508:2508" x14ac:dyDescent="0.25">
      <c r="A676" t="s">
        <v>3323</v>
      </c>
      <c r="B676" t="s">
        <v>302</v>
      </c>
      <c r="C676" t="s">
        <v>62</v>
      </c>
      <c r="D676">
        <v>99999</v>
      </c>
      <c r="F676" s="109">
        <v>10000</v>
      </c>
      <c r="G676" t="b">
        <v>1</v>
      </c>
      <c r="H676" t="s">
        <v>341</v>
      </c>
      <c r="K676" t="s">
        <v>379</v>
      </c>
      <c r="L676" t="s">
        <v>303</v>
      </c>
      <c r="M676" t="s">
        <v>323</v>
      </c>
      <c r="N676" t="s">
        <v>63</v>
      </c>
      <c r="O676" s="110">
        <v>49.9</v>
      </c>
      <c r="R676" s="110">
        <v>345.68999999999994</v>
      </c>
      <c r="S676" s="110">
        <v>130</v>
      </c>
      <c r="T676" s="110">
        <v>0</v>
      </c>
      <c r="U676" s="110">
        <v>34.99</v>
      </c>
      <c r="X676">
        <v>120.79999999999995</v>
      </c>
      <c r="Y676">
        <v>59.9</v>
      </c>
      <c r="Z676">
        <v>59.9</v>
      </c>
      <c r="AA676">
        <v>0</v>
      </c>
      <c r="AB676" t="s">
        <v>363</v>
      </c>
      <c r="AF676" t="s">
        <v>2771</v>
      </c>
      <c r="AG676" t="s">
        <v>2771</v>
      </c>
      <c r="AH676" t="s">
        <v>1175</v>
      </c>
      <c r="AI676">
        <v>99999</v>
      </c>
      <c r="AJ676">
        <v>99999</v>
      </c>
      <c r="AK676">
        <v>699</v>
      </c>
      <c r="AL676" t="b">
        <v>1</v>
      </c>
      <c r="AM676" t="b">
        <v>1</v>
      </c>
      <c r="AN676" t="b">
        <v>1</v>
      </c>
      <c r="AO676">
        <v>99999</v>
      </c>
      <c r="AP676" t="s">
        <v>64</v>
      </c>
      <c r="AR676" t="b">
        <v>0</v>
      </c>
      <c r="AS676">
        <v>12</v>
      </c>
      <c r="AT676" t="s">
        <v>327</v>
      </c>
      <c r="AV676" t="s">
        <v>2796</v>
      </c>
      <c r="CRL676">
        <v>12</v>
      </c>
    </row>
    <row r="677" spans="1:48 2508:2508" x14ac:dyDescent="0.25">
      <c r="A677" t="s">
        <v>3323</v>
      </c>
      <c r="B677" t="s">
        <v>302</v>
      </c>
      <c r="C677" t="s">
        <v>62</v>
      </c>
      <c r="D677">
        <v>99999</v>
      </c>
      <c r="F677" s="109">
        <v>10000</v>
      </c>
      <c r="G677" t="b">
        <v>1</v>
      </c>
      <c r="H677" t="s">
        <v>341</v>
      </c>
      <c r="K677" t="s">
        <v>379</v>
      </c>
      <c r="L677" t="s">
        <v>303</v>
      </c>
      <c r="M677" t="s">
        <v>323</v>
      </c>
      <c r="N677" t="s">
        <v>63</v>
      </c>
      <c r="O677" s="110">
        <v>49.9</v>
      </c>
      <c r="R677" s="110">
        <v>369.9899999999999</v>
      </c>
      <c r="S677" s="110">
        <v>130</v>
      </c>
      <c r="T677" s="110">
        <v>0</v>
      </c>
      <c r="U677" s="110">
        <v>42.99</v>
      </c>
      <c r="X677">
        <v>137.09999999999994</v>
      </c>
      <c r="Y677">
        <v>59.9</v>
      </c>
      <c r="Z677">
        <v>59.9</v>
      </c>
      <c r="AA677">
        <v>0</v>
      </c>
      <c r="AB677" t="s">
        <v>363</v>
      </c>
      <c r="AF677" t="s">
        <v>2845</v>
      </c>
      <c r="AG677" t="s">
        <v>2845</v>
      </c>
      <c r="AH677" t="s">
        <v>1175</v>
      </c>
      <c r="AI677">
        <v>99999</v>
      </c>
      <c r="AJ677">
        <v>99999</v>
      </c>
      <c r="AK677">
        <v>699</v>
      </c>
      <c r="AL677" t="b">
        <v>1</v>
      </c>
      <c r="AM677" t="b">
        <v>1</v>
      </c>
      <c r="AN677" t="b">
        <v>1</v>
      </c>
      <c r="AO677">
        <v>99999</v>
      </c>
      <c r="AP677" t="s">
        <v>64</v>
      </c>
      <c r="AR677" t="b">
        <v>0</v>
      </c>
      <c r="AS677">
        <v>12</v>
      </c>
      <c r="AT677" t="s">
        <v>327</v>
      </c>
      <c r="AV677" t="s">
        <v>2870</v>
      </c>
      <c r="CRL677">
        <v>12</v>
      </c>
    </row>
    <row r="678" spans="1:48 2508:2508" x14ac:dyDescent="0.25">
      <c r="A678" t="s">
        <v>3323</v>
      </c>
      <c r="B678" t="s">
        <v>302</v>
      </c>
      <c r="C678" t="s">
        <v>62</v>
      </c>
      <c r="D678">
        <v>99999</v>
      </c>
      <c r="F678" s="109">
        <v>10000</v>
      </c>
      <c r="G678" t="b">
        <v>1</v>
      </c>
      <c r="H678" t="s">
        <v>341</v>
      </c>
      <c r="K678" t="s">
        <v>379</v>
      </c>
      <c r="L678" t="s">
        <v>303</v>
      </c>
      <c r="M678" t="s">
        <v>323</v>
      </c>
      <c r="N678" t="s">
        <v>63</v>
      </c>
      <c r="O678" s="110">
        <v>49.9</v>
      </c>
      <c r="R678" s="110">
        <v>389.9899999999999</v>
      </c>
      <c r="S678" s="110">
        <v>130</v>
      </c>
      <c r="T678" s="110">
        <v>0</v>
      </c>
      <c r="U678" s="110">
        <v>42.99</v>
      </c>
      <c r="X678">
        <v>157.09999999999994</v>
      </c>
      <c r="Y678">
        <v>59.9</v>
      </c>
      <c r="Z678">
        <v>59.9</v>
      </c>
      <c r="AA678">
        <v>0</v>
      </c>
      <c r="AB678" t="s">
        <v>363</v>
      </c>
      <c r="AF678" t="s">
        <v>2912</v>
      </c>
      <c r="AG678" t="s">
        <v>2912</v>
      </c>
      <c r="AH678" t="s">
        <v>1175</v>
      </c>
      <c r="AI678">
        <v>99999</v>
      </c>
      <c r="AJ678">
        <v>99999</v>
      </c>
      <c r="AK678">
        <v>699</v>
      </c>
      <c r="AL678" t="b">
        <v>1</v>
      </c>
      <c r="AM678" t="b">
        <v>1</v>
      </c>
      <c r="AN678" t="b">
        <v>1</v>
      </c>
      <c r="AO678">
        <v>99999</v>
      </c>
      <c r="AP678" t="s">
        <v>64</v>
      </c>
      <c r="AR678" t="b">
        <v>0</v>
      </c>
      <c r="AS678">
        <v>12</v>
      </c>
      <c r="AT678" t="s">
        <v>327</v>
      </c>
      <c r="AV678" t="s">
        <v>2937</v>
      </c>
      <c r="CRL678">
        <v>12</v>
      </c>
    </row>
    <row r="679" spans="1:48 2508:2508" x14ac:dyDescent="0.25">
      <c r="A679" t="s">
        <v>3323</v>
      </c>
      <c r="B679" t="s">
        <v>302</v>
      </c>
      <c r="C679" t="s">
        <v>62</v>
      </c>
      <c r="D679">
        <v>99999</v>
      </c>
      <c r="F679" s="109">
        <v>10000</v>
      </c>
      <c r="G679" t="b">
        <v>1</v>
      </c>
      <c r="H679" t="s">
        <v>341</v>
      </c>
      <c r="K679" t="s">
        <v>379</v>
      </c>
      <c r="L679" t="s">
        <v>303</v>
      </c>
      <c r="M679" t="s">
        <v>323</v>
      </c>
      <c r="N679" t="s">
        <v>63</v>
      </c>
      <c r="O679" s="110">
        <v>49.9</v>
      </c>
      <c r="R679" s="110">
        <v>404.88999999999993</v>
      </c>
      <c r="S679" s="110">
        <v>130</v>
      </c>
      <c r="T679" s="110">
        <v>0</v>
      </c>
      <c r="U679" s="110">
        <v>42.99</v>
      </c>
      <c r="X679">
        <v>171.99999999999994</v>
      </c>
      <c r="Y679">
        <v>59.9</v>
      </c>
      <c r="Z679">
        <v>59.9</v>
      </c>
      <c r="AA679">
        <v>0</v>
      </c>
      <c r="AB679" t="s">
        <v>363</v>
      </c>
      <c r="AF679" t="s">
        <v>2986</v>
      </c>
      <c r="AG679" t="s">
        <v>2986</v>
      </c>
      <c r="AH679" t="s">
        <v>1175</v>
      </c>
      <c r="AI679">
        <v>99999</v>
      </c>
      <c r="AJ679">
        <v>99999</v>
      </c>
      <c r="AK679">
        <v>699</v>
      </c>
      <c r="AL679" t="b">
        <v>1</v>
      </c>
      <c r="AM679" t="b">
        <v>1</v>
      </c>
      <c r="AN679" t="b">
        <v>1</v>
      </c>
      <c r="AO679">
        <v>99999</v>
      </c>
      <c r="AP679" t="s">
        <v>64</v>
      </c>
      <c r="AR679" t="b">
        <v>0</v>
      </c>
      <c r="AS679">
        <v>12</v>
      </c>
      <c r="AT679" t="s">
        <v>327</v>
      </c>
      <c r="AV679" t="s">
        <v>3011</v>
      </c>
      <c r="CRL679">
        <v>12</v>
      </c>
    </row>
    <row r="680" spans="1:48 2508:2508" x14ac:dyDescent="0.25">
      <c r="A680" t="s">
        <v>3323</v>
      </c>
      <c r="B680" t="s">
        <v>302</v>
      </c>
      <c r="C680" t="s">
        <v>62</v>
      </c>
      <c r="D680">
        <v>99999</v>
      </c>
      <c r="F680" s="109">
        <v>10000</v>
      </c>
      <c r="G680" t="b">
        <v>1</v>
      </c>
      <c r="H680" t="s">
        <v>341</v>
      </c>
      <c r="K680" t="s">
        <v>61</v>
      </c>
      <c r="L680" t="s">
        <v>303</v>
      </c>
      <c r="M680" t="s">
        <v>323</v>
      </c>
      <c r="N680" t="s">
        <v>63</v>
      </c>
      <c r="O680" s="110">
        <v>29.9</v>
      </c>
      <c r="R680" s="110">
        <v>304.89</v>
      </c>
      <c r="S680" s="110">
        <v>79.900000000000006</v>
      </c>
      <c r="T680" s="110">
        <v>0</v>
      </c>
      <c r="U680" s="110">
        <v>42.99</v>
      </c>
      <c r="X680">
        <v>137.09999999999994</v>
      </c>
      <c r="Y680">
        <v>44.9</v>
      </c>
      <c r="Z680">
        <v>44.9</v>
      </c>
      <c r="AA680">
        <v>0</v>
      </c>
      <c r="AB680" t="s">
        <v>324</v>
      </c>
      <c r="AF680" t="s">
        <v>1174</v>
      </c>
      <c r="AG680" t="s">
        <v>1174</v>
      </c>
      <c r="AH680" t="s">
        <v>1175</v>
      </c>
      <c r="AI680">
        <v>99999</v>
      </c>
      <c r="AJ680">
        <v>99999</v>
      </c>
      <c r="AK680">
        <v>699</v>
      </c>
      <c r="AL680" t="b">
        <v>1</v>
      </c>
      <c r="AM680" t="b">
        <v>1</v>
      </c>
      <c r="AN680" t="b">
        <v>1</v>
      </c>
      <c r="AO680">
        <v>99999</v>
      </c>
      <c r="AP680" t="s">
        <v>64</v>
      </c>
      <c r="AR680" t="b">
        <v>0</v>
      </c>
      <c r="AS680">
        <v>12</v>
      </c>
      <c r="AT680" t="s">
        <v>327</v>
      </c>
      <c r="AV680" t="s">
        <v>1187</v>
      </c>
      <c r="CRL680">
        <v>12</v>
      </c>
    </row>
    <row r="681" spans="1:48 2508:2508" x14ac:dyDescent="0.25">
      <c r="A681" t="s">
        <v>3323</v>
      </c>
      <c r="B681" t="s">
        <v>302</v>
      </c>
      <c r="C681" t="s">
        <v>62</v>
      </c>
      <c r="D681">
        <v>99999</v>
      </c>
      <c r="F681" s="109">
        <v>10000</v>
      </c>
      <c r="G681" t="b">
        <v>1</v>
      </c>
      <c r="H681" t="s">
        <v>341</v>
      </c>
      <c r="K681" t="s">
        <v>61</v>
      </c>
      <c r="L681" t="s">
        <v>303</v>
      </c>
      <c r="M681" t="s">
        <v>323</v>
      </c>
      <c r="N681" t="s">
        <v>63</v>
      </c>
      <c r="O681" s="110">
        <v>29.9</v>
      </c>
      <c r="R681" s="110">
        <v>324.89</v>
      </c>
      <c r="S681" s="110">
        <v>79.900000000000006</v>
      </c>
      <c r="T681" s="110">
        <v>0</v>
      </c>
      <c r="U681" s="110">
        <v>42.99</v>
      </c>
      <c r="X681">
        <v>157.09999999999994</v>
      </c>
      <c r="Y681">
        <v>44.9</v>
      </c>
      <c r="Z681">
        <v>44.9</v>
      </c>
      <c r="AA681">
        <v>0</v>
      </c>
      <c r="AB681" t="s">
        <v>324</v>
      </c>
      <c r="AF681" t="s">
        <v>1309</v>
      </c>
      <c r="AG681" t="s">
        <v>1309</v>
      </c>
      <c r="AH681" t="s">
        <v>1175</v>
      </c>
      <c r="AI681">
        <v>99999</v>
      </c>
      <c r="AJ681">
        <v>99999</v>
      </c>
      <c r="AK681">
        <v>699</v>
      </c>
      <c r="AL681" t="b">
        <v>1</v>
      </c>
      <c r="AM681" t="b">
        <v>1</v>
      </c>
      <c r="AN681" t="b">
        <v>1</v>
      </c>
      <c r="AO681">
        <v>99999</v>
      </c>
      <c r="AP681" t="s">
        <v>64</v>
      </c>
      <c r="AR681" t="b">
        <v>0</v>
      </c>
      <c r="AS681">
        <v>12</v>
      </c>
      <c r="AT681" t="s">
        <v>327</v>
      </c>
      <c r="AV681" t="s">
        <v>1321</v>
      </c>
      <c r="CRL681">
        <v>12</v>
      </c>
    </row>
    <row r="682" spans="1:48 2508:2508" x14ac:dyDescent="0.25">
      <c r="A682" t="s">
        <v>3323</v>
      </c>
      <c r="B682" t="s">
        <v>302</v>
      </c>
      <c r="C682" t="s">
        <v>62</v>
      </c>
      <c r="D682">
        <v>99999</v>
      </c>
      <c r="F682" s="109">
        <v>10000</v>
      </c>
      <c r="G682" t="b">
        <v>1</v>
      </c>
      <c r="H682" t="s">
        <v>341</v>
      </c>
      <c r="K682" t="s">
        <v>61</v>
      </c>
      <c r="L682" t="s">
        <v>303</v>
      </c>
      <c r="M682" t="s">
        <v>323</v>
      </c>
      <c r="N682" t="s">
        <v>63</v>
      </c>
      <c r="O682" s="110">
        <v>29.9</v>
      </c>
      <c r="R682" s="110">
        <v>344.88999999999993</v>
      </c>
      <c r="S682" s="110">
        <v>85</v>
      </c>
      <c r="T682" s="110">
        <v>0</v>
      </c>
      <c r="U682" s="110">
        <v>42.99</v>
      </c>
      <c r="X682">
        <v>171.99999999999994</v>
      </c>
      <c r="Y682">
        <v>44.9</v>
      </c>
      <c r="Z682">
        <v>44.9</v>
      </c>
      <c r="AA682">
        <v>0</v>
      </c>
      <c r="AB682" t="s">
        <v>324</v>
      </c>
      <c r="AF682" t="s">
        <v>1457</v>
      </c>
      <c r="AG682" t="s">
        <v>1457</v>
      </c>
      <c r="AH682" t="s">
        <v>1175</v>
      </c>
      <c r="AI682">
        <v>99999</v>
      </c>
      <c r="AJ682">
        <v>99999</v>
      </c>
      <c r="AK682">
        <v>699</v>
      </c>
      <c r="AL682" t="b">
        <v>1</v>
      </c>
      <c r="AM682" t="b">
        <v>1</v>
      </c>
      <c r="AN682" t="b">
        <v>1</v>
      </c>
      <c r="AO682">
        <v>99999</v>
      </c>
      <c r="AP682" t="s">
        <v>64</v>
      </c>
      <c r="AR682" t="b">
        <v>0</v>
      </c>
      <c r="AS682">
        <v>12</v>
      </c>
      <c r="AT682" t="s">
        <v>327</v>
      </c>
      <c r="AV682" t="s">
        <v>1469</v>
      </c>
      <c r="CRL682">
        <v>12</v>
      </c>
    </row>
    <row r="683" spans="1:48 2508:2508" x14ac:dyDescent="0.25">
      <c r="A683" t="s">
        <v>3323</v>
      </c>
      <c r="B683" t="s">
        <v>302</v>
      </c>
      <c r="C683" t="s">
        <v>62</v>
      </c>
      <c r="D683">
        <v>99999</v>
      </c>
      <c r="F683" s="109">
        <v>10000</v>
      </c>
      <c r="G683" t="b">
        <v>1</v>
      </c>
      <c r="H683" t="s">
        <v>341</v>
      </c>
      <c r="K683" t="s">
        <v>61</v>
      </c>
      <c r="L683" t="s">
        <v>303</v>
      </c>
      <c r="M683" t="s">
        <v>323</v>
      </c>
      <c r="N683" t="s">
        <v>63</v>
      </c>
      <c r="O683" s="110">
        <v>39.9</v>
      </c>
      <c r="R683" s="110">
        <v>304.89</v>
      </c>
      <c r="S683" s="110">
        <v>79.900000000000006</v>
      </c>
      <c r="T683" s="110">
        <v>0</v>
      </c>
      <c r="U683" s="110">
        <v>42.99</v>
      </c>
      <c r="X683">
        <v>137.09999999999994</v>
      </c>
      <c r="Y683">
        <v>44.9</v>
      </c>
      <c r="Z683">
        <v>44.9</v>
      </c>
      <c r="AA683">
        <v>0</v>
      </c>
      <c r="AB683" t="s">
        <v>324</v>
      </c>
      <c r="AF683" t="s">
        <v>1242</v>
      </c>
      <c r="AG683" t="s">
        <v>1242</v>
      </c>
      <c r="AH683" t="s">
        <v>1175</v>
      </c>
      <c r="AI683">
        <v>99999</v>
      </c>
      <c r="AJ683">
        <v>99999</v>
      </c>
      <c r="AK683">
        <v>699</v>
      </c>
      <c r="AL683" t="b">
        <v>1</v>
      </c>
      <c r="AM683" t="b">
        <v>1</v>
      </c>
      <c r="AN683" t="b">
        <v>1</v>
      </c>
      <c r="AO683">
        <v>99999</v>
      </c>
      <c r="AP683" t="s">
        <v>64</v>
      </c>
      <c r="AR683" t="b">
        <v>0</v>
      </c>
      <c r="AS683">
        <v>12</v>
      </c>
      <c r="AT683" t="s">
        <v>327</v>
      </c>
      <c r="AV683" t="s">
        <v>1254</v>
      </c>
      <c r="CRL683">
        <v>12</v>
      </c>
    </row>
    <row r="684" spans="1:48 2508:2508" x14ac:dyDescent="0.25">
      <c r="A684" t="s">
        <v>3323</v>
      </c>
      <c r="B684" t="s">
        <v>302</v>
      </c>
      <c r="C684" t="s">
        <v>62</v>
      </c>
      <c r="D684">
        <v>99999</v>
      </c>
      <c r="F684" s="109">
        <v>10000</v>
      </c>
      <c r="G684" t="b">
        <v>1</v>
      </c>
      <c r="H684" t="s">
        <v>341</v>
      </c>
      <c r="K684" t="s">
        <v>61</v>
      </c>
      <c r="L684" t="s">
        <v>303</v>
      </c>
      <c r="M684" t="s">
        <v>323</v>
      </c>
      <c r="N684" t="s">
        <v>63</v>
      </c>
      <c r="O684" s="110">
        <v>39.9</v>
      </c>
      <c r="R684" s="110">
        <v>324.89</v>
      </c>
      <c r="S684" s="110">
        <v>79.900000000000006</v>
      </c>
      <c r="T684" s="110">
        <v>0</v>
      </c>
      <c r="U684" s="110">
        <v>42.99</v>
      </c>
      <c r="X684">
        <v>157.09999999999994</v>
      </c>
      <c r="Y684">
        <v>44.9</v>
      </c>
      <c r="Z684">
        <v>44.9</v>
      </c>
      <c r="AA684">
        <v>0</v>
      </c>
      <c r="AB684" t="s">
        <v>324</v>
      </c>
      <c r="AF684" t="s">
        <v>1376</v>
      </c>
      <c r="AG684" t="s">
        <v>1376</v>
      </c>
      <c r="AH684" t="s">
        <v>1175</v>
      </c>
      <c r="AI684">
        <v>99999</v>
      </c>
      <c r="AJ684">
        <v>99999</v>
      </c>
      <c r="AK684">
        <v>699</v>
      </c>
      <c r="AL684" t="b">
        <v>1</v>
      </c>
      <c r="AM684" t="b">
        <v>1</v>
      </c>
      <c r="AN684" t="b">
        <v>1</v>
      </c>
      <c r="AO684">
        <v>99999</v>
      </c>
      <c r="AP684" t="s">
        <v>64</v>
      </c>
      <c r="AR684" t="b">
        <v>0</v>
      </c>
      <c r="AS684">
        <v>12</v>
      </c>
      <c r="AT684" t="s">
        <v>327</v>
      </c>
      <c r="AV684" t="s">
        <v>1388</v>
      </c>
      <c r="CRL684">
        <v>12</v>
      </c>
    </row>
    <row r="685" spans="1:48 2508:2508" x14ac:dyDescent="0.25">
      <c r="A685" t="s">
        <v>3323</v>
      </c>
      <c r="B685" t="s">
        <v>302</v>
      </c>
      <c r="C685" t="s">
        <v>62</v>
      </c>
      <c r="D685">
        <v>99999</v>
      </c>
      <c r="F685" s="109">
        <v>10000</v>
      </c>
      <c r="G685" t="b">
        <v>1</v>
      </c>
      <c r="H685" t="s">
        <v>341</v>
      </c>
      <c r="K685" t="s">
        <v>61</v>
      </c>
      <c r="L685" t="s">
        <v>303</v>
      </c>
      <c r="M685" t="s">
        <v>323</v>
      </c>
      <c r="N685" t="s">
        <v>63</v>
      </c>
      <c r="O685" s="110">
        <v>39.9</v>
      </c>
      <c r="R685" s="110">
        <v>344.88999999999993</v>
      </c>
      <c r="S685" s="110">
        <v>85</v>
      </c>
      <c r="T685" s="110">
        <v>0</v>
      </c>
      <c r="U685" s="110">
        <v>42.99</v>
      </c>
      <c r="X685">
        <v>171.99999999999994</v>
      </c>
      <c r="Y685">
        <v>44.9</v>
      </c>
      <c r="Z685">
        <v>44.9</v>
      </c>
      <c r="AA685">
        <v>0</v>
      </c>
      <c r="AB685" t="s">
        <v>324</v>
      </c>
      <c r="AF685" t="s">
        <v>1524</v>
      </c>
      <c r="AG685" t="s">
        <v>1524</v>
      </c>
      <c r="AH685" t="s">
        <v>1175</v>
      </c>
      <c r="AI685">
        <v>99999</v>
      </c>
      <c r="AJ685">
        <v>99999</v>
      </c>
      <c r="AK685">
        <v>699</v>
      </c>
      <c r="AL685" t="b">
        <v>1</v>
      </c>
      <c r="AM685" t="b">
        <v>1</v>
      </c>
      <c r="AN685" t="b">
        <v>1</v>
      </c>
      <c r="AO685">
        <v>99999</v>
      </c>
      <c r="AP685" t="s">
        <v>64</v>
      </c>
      <c r="AR685" t="b">
        <v>0</v>
      </c>
      <c r="AS685">
        <v>12</v>
      </c>
      <c r="AT685" t="s">
        <v>327</v>
      </c>
      <c r="AV685" t="s">
        <v>1536</v>
      </c>
      <c r="CRL685">
        <v>12</v>
      </c>
    </row>
    <row r="686" spans="1:48 2508:2508" x14ac:dyDescent="0.25">
      <c r="A686" t="s">
        <v>3323</v>
      </c>
      <c r="B686" t="s">
        <v>302</v>
      </c>
      <c r="C686" t="s">
        <v>62</v>
      </c>
      <c r="D686">
        <v>99999</v>
      </c>
      <c r="F686" s="109">
        <v>10000</v>
      </c>
      <c r="G686" t="b">
        <v>1</v>
      </c>
      <c r="H686" t="s">
        <v>341</v>
      </c>
      <c r="K686" t="s">
        <v>61</v>
      </c>
      <c r="L686" t="s">
        <v>303</v>
      </c>
      <c r="M686" t="s">
        <v>323</v>
      </c>
      <c r="N686" t="s">
        <v>63</v>
      </c>
      <c r="O686" s="110">
        <v>49.9</v>
      </c>
      <c r="R686" s="110">
        <v>330.68999999999994</v>
      </c>
      <c r="S686" s="110">
        <v>130</v>
      </c>
      <c r="T686" s="110">
        <v>0</v>
      </c>
      <c r="U686" s="110">
        <v>34.99</v>
      </c>
      <c r="X686">
        <v>120.79999999999995</v>
      </c>
      <c r="Y686">
        <v>44.9</v>
      </c>
      <c r="Z686">
        <v>44.9</v>
      </c>
      <c r="AA686">
        <v>0</v>
      </c>
      <c r="AB686" t="s">
        <v>324</v>
      </c>
      <c r="AF686" t="s">
        <v>2744</v>
      </c>
      <c r="AG686" t="s">
        <v>2744</v>
      </c>
      <c r="AH686" t="s">
        <v>1175</v>
      </c>
      <c r="AI686">
        <v>99999</v>
      </c>
      <c r="AJ686">
        <v>99999</v>
      </c>
      <c r="AK686">
        <v>699</v>
      </c>
      <c r="AL686" t="b">
        <v>1</v>
      </c>
      <c r="AM686" t="b">
        <v>1</v>
      </c>
      <c r="AN686" t="b">
        <v>1</v>
      </c>
      <c r="AO686">
        <v>99999</v>
      </c>
      <c r="AP686" t="s">
        <v>64</v>
      </c>
      <c r="AR686" t="b">
        <v>0</v>
      </c>
      <c r="AS686">
        <v>12</v>
      </c>
      <c r="AT686" t="s">
        <v>327</v>
      </c>
      <c r="AV686" t="s">
        <v>2756</v>
      </c>
      <c r="CRL686">
        <v>12</v>
      </c>
    </row>
    <row r="687" spans="1:48 2508:2508" x14ac:dyDescent="0.25">
      <c r="A687" t="s">
        <v>3323</v>
      </c>
      <c r="B687" t="s">
        <v>302</v>
      </c>
      <c r="C687" t="s">
        <v>62</v>
      </c>
      <c r="D687">
        <v>99999</v>
      </c>
      <c r="F687" s="109">
        <v>10000</v>
      </c>
      <c r="G687" t="b">
        <v>1</v>
      </c>
      <c r="H687" t="s">
        <v>341</v>
      </c>
      <c r="K687" t="s">
        <v>61</v>
      </c>
      <c r="L687" t="s">
        <v>303</v>
      </c>
      <c r="M687" t="s">
        <v>323</v>
      </c>
      <c r="N687" t="s">
        <v>63</v>
      </c>
      <c r="O687" s="110">
        <v>49.9</v>
      </c>
      <c r="R687" s="110">
        <v>354.9899999999999</v>
      </c>
      <c r="S687" s="110">
        <v>130</v>
      </c>
      <c r="T687" s="110">
        <v>0</v>
      </c>
      <c r="U687" s="110">
        <v>42.99</v>
      </c>
      <c r="X687">
        <v>137.09999999999994</v>
      </c>
      <c r="Y687">
        <v>44.9</v>
      </c>
      <c r="Z687">
        <v>44.9</v>
      </c>
      <c r="AA687">
        <v>0</v>
      </c>
      <c r="AB687" t="s">
        <v>324</v>
      </c>
      <c r="AF687" t="s">
        <v>2818</v>
      </c>
      <c r="AG687" t="s">
        <v>2818</v>
      </c>
      <c r="AH687" t="s">
        <v>1175</v>
      </c>
      <c r="AI687">
        <v>99999</v>
      </c>
      <c r="AJ687">
        <v>99999</v>
      </c>
      <c r="AK687">
        <v>699</v>
      </c>
      <c r="AL687" t="b">
        <v>1</v>
      </c>
      <c r="AM687" t="b">
        <v>1</v>
      </c>
      <c r="AN687" t="b">
        <v>1</v>
      </c>
      <c r="AO687">
        <v>99999</v>
      </c>
      <c r="AP687" t="s">
        <v>64</v>
      </c>
      <c r="AR687" t="b">
        <v>0</v>
      </c>
      <c r="AS687">
        <v>12</v>
      </c>
      <c r="AT687" t="s">
        <v>327</v>
      </c>
      <c r="AV687" t="s">
        <v>2830</v>
      </c>
      <c r="CRL687">
        <v>12</v>
      </c>
    </row>
    <row r="688" spans="1:48 2508:2508" x14ac:dyDescent="0.25">
      <c r="A688" t="s">
        <v>3323</v>
      </c>
      <c r="B688" t="s">
        <v>302</v>
      </c>
      <c r="C688" t="s">
        <v>62</v>
      </c>
      <c r="D688">
        <v>99999</v>
      </c>
      <c r="F688" s="109">
        <v>10000</v>
      </c>
      <c r="G688" t="b">
        <v>1</v>
      </c>
      <c r="H688" t="s">
        <v>341</v>
      </c>
      <c r="K688" t="s">
        <v>61</v>
      </c>
      <c r="L688" t="s">
        <v>303</v>
      </c>
      <c r="M688" t="s">
        <v>323</v>
      </c>
      <c r="N688" t="s">
        <v>63</v>
      </c>
      <c r="O688" s="110">
        <v>49.9</v>
      </c>
      <c r="R688" s="110">
        <v>374.9899999999999</v>
      </c>
      <c r="S688" s="110">
        <v>130</v>
      </c>
      <c r="T688" s="110">
        <v>0</v>
      </c>
      <c r="U688" s="110">
        <v>42.99</v>
      </c>
      <c r="X688">
        <v>157.09999999999994</v>
      </c>
      <c r="Y688">
        <v>44.9</v>
      </c>
      <c r="Z688">
        <v>44.9</v>
      </c>
      <c r="AA688">
        <v>0</v>
      </c>
      <c r="AB688" t="s">
        <v>324</v>
      </c>
      <c r="AF688" t="s">
        <v>2885</v>
      </c>
      <c r="AG688" t="s">
        <v>2885</v>
      </c>
      <c r="AH688" t="s">
        <v>1175</v>
      </c>
      <c r="AI688">
        <v>99999</v>
      </c>
      <c r="AJ688">
        <v>99999</v>
      </c>
      <c r="AK688">
        <v>699</v>
      </c>
      <c r="AL688" t="b">
        <v>1</v>
      </c>
      <c r="AM688" t="b">
        <v>1</v>
      </c>
      <c r="AN688" t="b">
        <v>1</v>
      </c>
      <c r="AO688">
        <v>99999</v>
      </c>
      <c r="AP688" t="s">
        <v>64</v>
      </c>
      <c r="AR688" t="b">
        <v>0</v>
      </c>
      <c r="AS688">
        <v>12</v>
      </c>
      <c r="AT688" t="s">
        <v>327</v>
      </c>
      <c r="AV688" t="s">
        <v>2897</v>
      </c>
      <c r="CRL688">
        <v>12</v>
      </c>
    </row>
    <row r="689" spans="1:48 2508:2508" x14ac:dyDescent="0.25">
      <c r="A689" t="s">
        <v>3323</v>
      </c>
      <c r="B689" t="s">
        <v>302</v>
      </c>
      <c r="C689" t="s">
        <v>62</v>
      </c>
      <c r="D689">
        <v>99999</v>
      </c>
      <c r="F689" s="109">
        <v>10000</v>
      </c>
      <c r="G689" t="b">
        <v>1</v>
      </c>
      <c r="H689" t="s">
        <v>341</v>
      </c>
      <c r="K689" t="s">
        <v>61</v>
      </c>
      <c r="L689" t="s">
        <v>303</v>
      </c>
      <c r="M689" t="s">
        <v>323</v>
      </c>
      <c r="N689" t="s">
        <v>63</v>
      </c>
      <c r="O689" s="110">
        <v>49.9</v>
      </c>
      <c r="R689" s="110">
        <v>389.88999999999993</v>
      </c>
      <c r="S689" s="110">
        <v>130</v>
      </c>
      <c r="T689" s="110">
        <v>0</v>
      </c>
      <c r="U689" s="110">
        <v>42.99</v>
      </c>
      <c r="X689">
        <v>171.99999999999994</v>
      </c>
      <c r="Y689">
        <v>44.9</v>
      </c>
      <c r="Z689">
        <v>44.9</v>
      </c>
      <c r="AA689">
        <v>0</v>
      </c>
      <c r="AB689" t="s">
        <v>324</v>
      </c>
      <c r="AF689" t="s">
        <v>2959</v>
      </c>
      <c r="AG689" t="s">
        <v>2959</v>
      </c>
      <c r="AH689" t="s">
        <v>1175</v>
      </c>
      <c r="AI689">
        <v>99999</v>
      </c>
      <c r="AJ689">
        <v>99999</v>
      </c>
      <c r="AK689">
        <v>699</v>
      </c>
      <c r="AL689" t="b">
        <v>1</v>
      </c>
      <c r="AM689" t="b">
        <v>1</v>
      </c>
      <c r="AN689" t="b">
        <v>1</v>
      </c>
      <c r="AO689">
        <v>99999</v>
      </c>
      <c r="AP689" t="s">
        <v>64</v>
      </c>
      <c r="AR689" t="b">
        <v>0</v>
      </c>
      <c r="AS689">
        <v>12</v>
      </c>
      <c r="AT689" t="s">
        <v>327</v>
      </c>
      <c r="AV689" t="s">
        <v>2971</v>
      </c>
      <c r="CRL689">
        <v>12</v>
      </c>
    </row>
    <row r="690" spans="1:48 2508:2508" x14ac:dyDescent="0.25">
      <c r="A690" t="s">
        <v>3323</v>
      </c>
      <c r="B690" t="s">
        <v>302</v>
      </c>
      <c r="C690" t="s">
        <v>62</v>
      </c>
      <c r="D690">
        <v>99999</v>
      </c>
      <c r="F690" s="109">
        <v>14000</v>
      </c>
      <c r="G690" t="b">
        <v>0</v>
      </c>
      <c r="H690" t="s">
        <v>742</v>
      </c>
      <c r="K690" t="s">
        <v>349</v>
      </c>
      <c r="L690" t="s">
        <v>303</v>
      </c>
      <c r="M690" t="s">
        <v>323</v>
      </c>
      <c r="N690" t="s">
        <v>63</v>
      </c>
      <c r="O690" s="110">
        <v>29.9</v>
      </c>
      <c r="R690" s="110">
        <v>217.29</v>
      </c>
      <c r="S690" s="110">
        <v>107.5</v>
      </c>
      <c r="T690" s="110">
        <v>0</v>
      </c>
      <c r="U690" s="110">
        <v>34.99</v>
      </c>
      <c r="X690">
        <v>29.9</v>
      </c>
      <c r="Y690">
        <v>44.9</v>
      </c>
      <c r="Z690">
        <v>44.9</v>
      </c>
      <c r="AA690">
        <v>0</v>
      </c>
      <c r="AB690" t="s">
        <v>324</v>
      </c>
      <c r="AF690" t="s">
        <v>1740</v>
      </c>
      <c r="AG690" t="s">
        <v>1740</v>
      </c>
      <c r="AH690" t="s">
        <v>1606</v>
      </c>
      <c r="AI690">
        <v>99999</v>
      </c>
      <c r="AJ690">
        <v>99999</v>
      </c>
      <c r="AK690">
        <v>699</v>
      </c>
      <c r="AL690" t="b">
        <v>1</v>
      </c>
      <c r="AM690" t="b">
        <v>1</v>
      </c>
      <c r="AN690" t="b">
        <v>0</v>
      </c>
      <c r="AO690">
        <v>99999</v>
      </c>
      <c r="AP690" t="s">
        <v>64</v>
      </c>
      <c r="AR690" t="b">
        <v>0</v>
      </c>
      <c r="AS690">
        <v>12</v>
      </c>
      <c r="AT690" t="s">
        <v>327</v>
      </c>
      <c r="AV690" t="s">
        <v>1742</v>
      </c>
      <c r="CRL690">
        <v>12</v>
      </c>
    </row>
    <row r="691" spans="1:48 2508:2508" x14ac:dyDescent="0.25">
      <c r="A691" t="s">
        <v>3323</v>
      </c>
      <c r="B691" t="s">
        <v>302</v>
      </c>
      <c r="C691" t="s">
        <v>62</v>
      </c>
      <c r="D691">
        <v>99999</v>
      </c>
      <c r="F691" s="109">
        <v>14000</v>
      </c>
      <c r="G691" t="b">
        <v>0</v>
      </c>
      <c r="H691" t="s">
        <v>742</v>
      </c>
      <c r="K691" t="s">
        <v>349</v>
      </c>
      <c r="L691" t="s">
        <v>303</v>
      </c>
      <c r="M691" t="s">
        <v>323</v>
      </c>
      <c r="N691" t="s">
        <v>63</v>
      </c>
      <c r="O691" s="110">
        <v>29.9</v>
      </c>
      <c r="R691" s="110">
        <v>224.88999999999996</v>
      </c>
      <c r="S691" s="110">
        <v>107.5</v>
      </c>
      <c r="T691" s="110">
        <v>0</v>
      </c>
      <c r="U691" s="110">
        <v>42.99</v>
      </c>
      <c r="X691">
        <v>29.499999999999972</v>
      </c>
      <c r="Y691">
        <v>44.9</v>
      </c>
      <c r="Z691">
        <v>44.9</v>
      </c>
      <c r="AA691">
        <v>0</v>
      </c>
      <c r="AB691" t="s">
        <v>324</v>
      </c>
      <c r="AF691" t="s">
        <v>1888</v>
      </c>
      <c r="AG691" t="s">
        <v>1888</v>
      </c>
      <c r="AH691" t="s">
        <v>1606</v>
      </c>
      <c r="AI691">
        <v>99999</v>
      </c>
      <c r="AJ691">
        <v>99999</v>
      </c>
      <c r="AK691">
        <v>699</v>
      </c>
      <c r="AL691" t="b">
        <v>1</v>
      </c>
      <c r="AM691" t="b">
        <v>1</v>
      </c>
      <c r="AN691" t="b">
        <v>0</v>
      </c>
      <c r="AO691">
        <v>99999</v>
      </c>
      <c r="AP691" t="s">
        <v>64</v>
      </c>
      <c r="AR691" t="b">
        <v>0</v>
      </c>
      <c r="AS691">
        <v>12</v>
      </c>
      <c r="AT691" t="s">
        <v>327</v>
      </c>
      <c r="AV691" t="s">
        <v>1890</v>
      </c>
      <c r="CRL691">
        <v>12</v>
      </c>
    </row>
    <row r="692" spans="1:48 2508:2508" x14ac:dyDescent="0.25">
      <c r="A692" t="s">
        <v>3323</v>
      </c>
      <c r="B692" t="s">
        <v>302</v>
      </c>
      <c r="C692" t="s">
        <v>62</v>
      </c>
      <c r="D692">
        <v>99999</v>
      </c>
      <c r="F692" s="109">
        <v>14000</v>
      </c>
      <c r="G692" t="b">
        <v>0</v>
      </c>
      <c r="H692" t="s">
        <v>742</v>
      </c>
      <c r="K692" t="s">
        <v>349</v>
      </c>
      <c r="L692" t="s">
        <v>303</v>
      </c>
      <c r="M692" t="s">
        <v>323</v>
      </c>
      <c r="N692" t="s">
        <v>63</v>
      </c>
      <c r="O692" s="110">
        <v>39.9</v>
      </c>
      <c r="R692" s="110">
        <v>217.29</v>
      </c>
      <c r="S692" s="110">
        <v>107.5</v>
      </c>
      <c r="T692" s="110">
        <v>0</v>
      </c>
      <c r="U692" s="110">
        <v>34.99</v>
      </c>
      <c r="X692">
        <v>29.9</v>
      </c>
      <c r="Y692">
        <v>44.9</v>
      </c>
      <c r="Z692">
        <v>44.9</v>
      </c>
      <c r="AA692">
        <v>0</v>
      </c>
      <c r="AB692" t="s">
        <v>324</v>
      </c>
      <c r="AF692" t="s">
        <v>1747</v>
      </c>
      <c r="AG692" t="s">
        <v>1747</v>
      </c>
      <c r="AH692" t="s">
        <v>1606</v>
      </c>
      <c r="AI692">
        <v>99999</v>
      </c>
      <c r="AJ692">
        <v>99999</v>
      </c>
      <c r="AK692">
        <v>699</v>
      </c>
      <c r="AL692" t="b">
        <v>1</v>
      </c>
      <c r="AM692" t="b">
        <v>1</v>
      </c>
      <c r="AN692" t="b">
        <v>0</v>
      </c>
      <c r="AO692">
        <v>99999</v>
      </c>
      <c r="AP692" t="s">
        <v>64</v>
      </c>
      <c r="AR692" t="b">
        <v>0</v>
      </c>
      <c r="AS692">
        <v>12</v>
      </c>
      <c r="AT692" t="s">
        <v>327</v>
      </c>
      <c r="AV692" t="s">
        <v>1749</v>
      </c>
      <c r="CRL692">
        <v>12</v>
      </c>
    </row>
    <row r="693" spans="1:48 2508:2508" x14ac:dyDescent="0.25">
      <c r="A693" t="s">
        <v>3323</v>
      </c>
      <c r="B693" t="s">
        <v>302</v>
      </c>
      <c r="C693" t="s">
        <v>62</v>
      </c>
      <c r="D693">
        <v>99999</v>
      </c>
      <c r="F693" s="109">
        <v>14000</v>
      </c>
      <c r="G693" t="b">
        <v>0</v>
      </c>
      <c r="H693" t="s">
        <v>742</v>
      </c>
      <c r="K693" t="s">
        <v>349</v>
      </c>
      <c r="L693" t="s">
        <v>303</v>
      </c>
      <c r="M693" t="s">
        <v>323</v>
      </c>
      <c r="N693" t="s">
        <v>63</v>
      </c>
      <c r="O693" s="110">
        <v>39.9</v>
      </c>
      <c r="R693" s="110">
        <v>224.88999999999996</v>
      </c>
      <c r="S693" s="110">
        <v>107.5</v>
      </c>
      <c r="T693" s="110">
        <v>0</v>
      </c>
      <c r="U693" s="110">
        <v>42.99</v>
      </c>
      <c r="X693">
        <v>29.499999999999972</v>
      </c>
      <c r="Y693">
        <v>44.9</v>
      </c>
      <c r="Z693">
        <v>44.9</v>
      </c>
      <c r="AA693">
        <v>0</v>
      </c>
      <c r="AB693" t="s">
        <v>324</v>
      </c>
      <c r="AF693" t="s">
        <v>1895</v>
      </c>
      <c r="AG693" t="s">
        <v>1895</v>
      </c>
      <c r="AH693" t="s">
        <v>1606</v>
      </c>
      <c r="AI693">
        <v>99999</v>
      </c>
      <c r="AJ693">
        <v>99999</v>
      </c>
      <c r="AK693">
        <v>699</v>
      </c>
      <c r="AL693" t="b">
        <v>1</v>
      </c>
      <c r="AM693" t="b">
        <v>1</v>
      </c>
      <c r="AN693" t="b">
        <v>0</v>
      </c>
      <c r="AO693">
        <v>99999</v>
      </c>
      <c r="AP693" t="s">
        <v>64</v>
      </c>
      <c r="AR693" t="b">
        <v>0</v>
      </c>
      <c r="AS693">
        <v>12</v>
      </c>
      <c r="AT693" t="s">
        <v>327</v>
      </c>
      <c r="AV693" t="s">
        <v>1897</v>
      </c>
      <c r="CRL693">
        <v>12</v>
      </c>
    </row>
    <row r="694" spans="1:48 2508:2508" x14ac:dyDescent="0.25">
      <c r="A694" t="s">
        <v>3323</v>
      </c>
      <c r="B694" t="s">
        <v>302</v>
      </c>
      <c r="C694" t="s">
        <v>62</v>
      </c>
      <c r="D694">
        <v>99999</v>
      </c>
      <c r="F694" s="109">
        <v>14000</v>
      </c>
      <c r="G694" t="b">
        <v>0</v>
      </c>
      <c r="H694" t="s">
        <v>742</v>
      </c>
      <c r="K694" t="s">
        <v>349</v>
      </c>
      <c r="L694" t="s">
        <v>303</v>
      </c>
      <c r="M694" t="s">
        <v>323</v>
      </c>
      <c r="N694" t="s">
        <v>63</v>
      </c>
      <c r="O694" s="110">
        <v>49.9</v>
      </c>
      <c r="R694" s="110">
        <v>239.79</v>
      </c>
      <c r="S694" s="110">
        <v>130</v>
      </c>
      <c r="T694" s="110">
        <v>0</v>
      </c>
      <c r="U694" s="110">
        <v>34.99</v>
      </c>
      <c r="X694">
        <v>29.9</v>
      </c>
      <c r="Y694">
        <v>44.9</v>
      </c>
      <c r="Z694">
        <v>44.9</v>
      </c>
      <c r="AA694">
        <v>0</v>
      </c>
      <c r="AB694" t="s">
        <v>324</v>
      </c>
      <c r="AF694" t="s">
        <v>3100</v>
      </c>
      <c r="AG694" t="s">
        <v>3100</v>
      </c>
      <c r="AH694" t="s">
        <v>1606</v>
      </c>
      <c r="AI694">
        <v>99999</v>
      </c>
      <c r="AJ694">
        <v>99999</v>
      </c>
      <c r="AK694">
        <v>699</v>
      </c>
      <c r="AL694" t="b">
        <v>1</v>
      </c>
      <c r="AM694" t="b">
        <v>1</v>
      </c>
      <c r="AN694" t="b">
        <v>0</v>
      </c>
      <c r="AO694">
        <v>99999</v>
      </c>
      <c r="AP694" t="s">
        <v>64</v>
      </c>
      <c r="AR694" t="b">
        <v>0</v>
      </c>
      <c r="AS694">
        <v>12</v>
      </c>
      <c r="AT694" t="s">
        <v>327</v>
      </c>
      <c r="AV694" t="s">
        <v>3102</v>
      </c>
      <c r="CRL694">
        <v>12</v>
      </c>
    </row>
    <row r="695" spans="1:48 2508:2508" x14ac:dyDescent="0.25">
      <c r="A695" t="s">
        <v>3323</v>
      </c>
      <c r="B695" t="s">
        <v>302</v>
      </c>
      <c r="C695" t="s">
        <v>62</v>
      </c>
      <c r="D695">
        <v>99999</v>
      </c>
      <c r="F695" s="109">
        <v>14000</v>
      </c>
      <c r="G695" t="b">
        <v>0</v>
      </c>
      <c r="H695" t="s">
        <v>742</v>
      </c>
      <c r="K695" t="s">
        <v>349</v>
      </c>
      <c r="L695" t="s">
        <v>303</v>
      </c>
      <c r="M695" t="s">
        <v>323</v>
      </c>
      <c r="N695" t="s">
        <v>63</v>
      </c>
      <c r="O695" s="110">
        <v>49.9</v>
      </c>
      <c r="R695" s="110">
        <v>247.38999999999996</v>
      </c>
      <c r="S695" s="110">
        <v>130</v>
      </c>
      <c r="T695" s="110">
        <v>0</v>
      </c>
      <c r="U695" s="110">
        <v>42.99</v>
      </c>
      <c r="X695">
        <v>29.499999999999972</v>
      </c>
      <c r="Y695">
        <v>44.9</v>
      </c>
      <c r="Z695">
        <v>44.9</v>
      </c>
      <c r="AA695">
        <v>0</v>
      </c>
      <c r="AB695" t="s">
        <v>324</v>
      </c>
      <c r="AF695" t="s">
        <v>3174</v>
      </c>
      <c r="AG695" t="s">
        <v>3174</v>
      </c>
      <c r="AH695" t="s">
        <v>1606</v>
      </c>
      <c r="AI695">
        <v>99999</v>
      </c>
      <c r="AJ695">
        <v>99999</v>
      </c>
      <c r="AK695">
        <v>699</v>
      </c>
      <c r="AL695" t="b">
        <v>1</v>
      </c>
      <c r="AM695" t="b">
        <v>1</v>
      </c>
      <c r="AN695" t="b">
        <v>0</v>
      </c>
      <c r="AO695">
        <v>99999</v>
      </c>
      <c r="AP695" t="s">
        <v>64</v>
      </c>
      <c r="AR695" t="b">
        <v>0</v>
      </c>
      <c r="AS695">
        <v>12</v>
      </c>
      <c r="AT695" t="s">
        <v>327</v>
      </c>
      <c r="AV695" t="s">
        <v>3176</v>
      </c>
      <c r="CRL695">
        <v>12</v>
      </c>
    </row>
    <row r="696" spans="1:48 2508:2508" x14ac:dyDescent="0.25">
      <c r="A696" t="s">
        <v>3323</v>
      </c>
      <c r="B696" t="s">
        <v>302</v>
      </c>
      <c r="C696" t="s">
        <v>62</v>
      </c>
      <c r="D696">
        <v>99999</v>
      </c>
      <c r="F696" s="109">
        <v>14000</v>
      </c>
      <c r="G696" t="b">
        <v>0</v>
      </c>
      <c r="H696" t="s">
        <v>742</v>
      </c>
      <c r="K696" t="s">
        <v>393</v>
      </c>
      <c r="L696" t="s">
        <v>303</v>
      </c>
      <c r="M696" t="s">
        <v>323</v>
      </c>
      <c r="N696" t="s">
        <v>63</v>
      </c>
      <c r="O696" s="110">
        <v>29.9</v>
      </c>
      <c r="R696" s="110">
        <v>242.29000000000002</v>
      </c>
      <c r="S696" s="110">
        <v>107.5</v>
      </c>
      <c r="T696" s="110">
        <v>0</v>
      </c>
      <c r="U696" s="110">
        <v>34.99</v>
      </c>
      <c r="X696">
        <v>29.9</v>
      </c>
      <c r="Y696">
        <v>69.900000000000006</v>
      </c>
      <c r="Z696">
        <v>69.900000000000006</v>
      </c>
      <c r="AA696">
        <v>0</v>
      </c>
      <c r="AB696" t="s">
        <v>363</v>
      </c>
      <c r="AF696" t="s">
        <v>1743</v>
      </c>
      <c r="AG696" t="s">
        <v>1743</v>
      </c>
      <c r="AH696" t="s">
        <v>1606</v>
      </c>
      <c r="AI696">
        <v>99999</v>
      </c>
      <c r="AJ696">
        <v>99999</v>
      </c>
      <c r="AK696">
        <v>699</v>
      </c>
      <c r="AL696" t="b">
        <v>1</v>
      </c>
      <c r="AM696" t="b">
        <v>1</v>
      </c>
      <c r="AN696" t="b">
        <v>0</v>
      </c>
      <c r="AO696">
        <v>99999</v>
      </c>
      <c r="AP696" t="s">
        <v>64</v>
      </c>
      <c r="AR696" t="b">
        <v>0</v>
      </c>
      <c r="AS696">
        <v>12</v>
      </c>
      <c r="AT696" t="s">
        <v>327</v>
      </c>
      <c r="AV696" t="s">
        <v>1746</v>
      </c>
      <c r="CRL696">
        <v>12</v>
      </c>
    </row>
    <row r="697" spans="1:48 2508:2508" x14ac:dyDescent="0.25">
      <c r="A697" t="s">
        <v>3323</v>
      </c>
      <c r="B697" t="s">
        <v>302</v>
      </c>
      <c r="C697" t="s">
        <v>62</v>
      </c>
      <c r="D697">
        <v>99999</v>
      </c>
      <c r="F697" s="109">
        <v>14000</v>
      </c>
      <c r="G697" t="b">
        <v>0</v>
      </c>
      <c r="H697" t="s">
        <v>742</v>
      </c>
      <c r="K697" t="s">
        <v>393</v>
      </c>
      <c r="L697" t="s">
        <v>303</v>
      </c>
      <c r="M697" t="s">
        <v>323</v>
      </c>
      <c r="N697" t="s">
        <v>63</v>
      </c>
      <c r="O697" s="110">
        <v>29.9</v>
      </c>
      <c r="R697" s="110">
        <v>249.89</v>
      </c>
      <c r="S697" s="110">
        <v>107.5</v>
      </c>
      <c r="T697" s="110">
        <v>0</v>
      </c>
      <c r="U697" s="110">
        <v>42.99</v>
      </c>
      <c r="X697">
        <v>29.499999999999972</v>
      </c>
      <c r="Y697">
        <v>69.900000000000006</v>
      </c>
      <c r="Z697">
        <v>69.900000000000006</v>
      </c>
      <c r="AA697">
        <v>0</v>
      </c>
      <c r="AB697" t="s">
        <v>363</v>
      </c>
      <c r="AF697" t="s">
        <v>1891</v>
      </c>
      <c r="AG697" t="s">
        <v>1891</v>
      </c>
      <c r="AH697" t="s">
        <v>1606</v>
      </c>
      <c r="AI697">
        <v>99999</v>
      </c>
      <c r="AJ697">
        <v>99999</v>
      </c>
      <c r="AK697">
        <v>699</v>
      </c>
      <c r="AL697" t="b">
        <v>1</v>
      </c>
      <c r="AM697" t="b">
        <v>1</v>
      </c>
      <c r="AN697" t="b">
        <v>0</v>
      </c>
      <c r="AO697">
        <v>99999</v>
      </c>
      <c r="AP697" t="s">
        <v>64</v>
      </c>
      <c r="AR697" t="b">
        <v>0</v>
      </c>
      <c r="AS697">
        <v>12</v>
      </c>
      <c r="AT697" t="s">
        <v>327</v>
      </c>
      <c r="AV697" t="s">
        <v>1894</v>
      </c>
      <c r="CRL697">
        <v>12</v>
      </c>
    </row>
    <row r="698" spans="1:48 2508:2508" x14ac:dyDescent="0.25">
      <c r="A698" t="s">
        <v>3323</v>
      </c>
      <c r="B698" t="s">
        <v>302</v>
      </c>
      <c r="C698" t="s">
        <v>62</v>
      </c>
      <c r="D698">
        <v>99999</v>
      </c>
      <c r="F698" s="109">
        <v>14000</v>
      </c>
      <c r="G698" t="b">
        <v>0</v>
      </c>
      <c r="H698" t="s">
        <v>742</v>
      </c>
      <c r="K698" t="s">
        <v>393</v>
      </c>
      <c r="L698" t="s">
        <v>303</v>
      </c>
      <c r="M698" t="s">
        <v>323</v>
      </c>
      <c r="N698" t="s">
        <v>63</v>
      </c>
      <c r="O698" s="110">
        <v>39.9</v>
      </c>
      <c r="R698" s="110">
        <v>242.29000000000002</v>
      </c>
      <c r="S698" s="110">
        <v>107.5</v>
      </c>
      <c r="T698" s="110">
        <v>0</v>
      </c>
      <c r="U698" s="110">
        <v>34.99</v>
      </c>
      <c r="X698">
        <v>29.9</v>
      </c>
      <c r="Y698">
        <v>69.900000000000006</v>
      </c>
      <c r="Z698">
        <v>69.900000000000006</v>
      </c>
      <c r="AA698">
        <v>0</v>
      </c>
      <c r="AB698" t="s">
        <v>363</v>
      </c>
      <c r="AF698" t="s">
        <v>1750</v>
      </c>
      <c r="AG698" t="s">
        <v>1750</v>
      </c>
      <c r="AH698" t="s">
        <v>1606</v>
      </c>
      <c r="AI698">
        <v>99999</v>
      </c>
      <c r="AJ698">
        <v>99999</v>
      </c>
      <c r="AK698">
        <v>699</v>
      </c>
      <c r="AL698" t="b">
        <v>1</v>
      </c>
      <c r="AM698" t="b">
        <v>1</v>
      </c>
      <c r="AN698" t="b">
        <v>0</v>
      </c>
      <c r="AO698">
        <v>99999</v>
      </c>
      <c r="AP698" t="s">
        <v>64</v>
      </c>
      <c r="AR698" t="b">
        <v>0</v>
      </c>
      <c r="AS698">
        <v>12</v>
      </c>
      <c r="AT698" t="s">
        <v>327</v>
      </c>
      <c r="AV698" t="s">
        <v>1753</v>
      </c>
      <c r="CRL698">
        <v>12</v>
      </c>
    </row>
    <row r="699" spans="1:48 2508:2508" x14ac:dyDescent="0.25">
      <c r="A699" t="s">
        <v>3323</v>
      </c>
      <c r="B699" t="s">
        <v>302</v>
      </c>
      <c r="C699" t="s">
        <v>62</v>
      </c>
      <c r="D699">
        <v>99999</v>
      </c>
      <c r="F699" s="109">
        <v>14000</v>
      </c>
      <c r="G699" t="b">
        <v>0</v>
      </c>
      <c r="H699" t="s">
        <v>742</v>
      </c>
      <c r="K699" t="s">
        <v>393</v>
      </c>
      <c r="L699" t="s">
        <v>303</v>
      </c>
      <c r="M699" t="s">
        <v>323</v>
      </c>
      <c r="N699" t="s">
        <v>63</v>
      </c>
      <c r="O699" s="110">
        <v>39.9</v>
      </c>
      <c r="R699" s="110">
        <v>249.89</v>
      </c>
      <c r="S699" s="110">
        <v>107.5</v>
      </c>
      <c r="T699" s="110">
        <v>0</v>
      </c>
      <c r="U699" s="110">
        <v>42.99</v>
      </c>
      <c r="X699">
        <v>29.499999999999972</v>
      </c>
      <c r="Y699">
        <v>69.900000000000006</v>
      </c>
      <c r="Z699">
        <v>69.900000000000006</v>
      </c>
      <c r="AA699">
        <v>0</v>
      </c>
      <c r="AB699" t="s">
        <v>363</v>
      </c>
      <c r="AF699" t="s">
        <v>1898</v>
      </c>
      <c r="AG699" t="s">
        <v>1898</v>
      </c>
      <c r="AH699" t="s">
        <v>1606</v>
      </c>
      <c r="AI699">
        <v>99999</v>
      </c>
      <c r="AJ699">
        <v>99999</v>
      </c>
      <c r="AK699">
        <v>699</v>
      </c>
      <c r="AL699" t="b">
        <v>1</v>
      </c>
      <c r="AM699" t="b">
        <v>1</v>
      </c>
      <c r="AN699" t="b">
        <v>0</v>
      </c>
      <c r="AO699">
        <v>99999</v>
      </c>
      <c r="AP699" t="s">
        <v>64</v>
      </c>
      <c r="AR699" t="b">
        <v>0</v>
      </c>
      <c r="AS699">
        <v>12</v>
      </c>
      <c r="AT699" t="s">
        <v>327</v>
      </c>
      <c r="AV699" t="s">
        <v>1901</v>
      </c>
      <c r="CRL699">
        <v>12</v>
      </c>
    </row>
    <row r="700" spans="1:48 2508:2508" x14ac:dyDescent="0.25">
      <c r="A700" t="s">
        <v>3323</v>
      </c>
      <c r="B700" t="s">
        <v>302</v>
      </c>
      <c r="C700" t="s">
        <v>62</v>
      </c>
      <c r="D700">
        <v>99999</v>
      </c>
      <c r="F700" s="109">
        <v>14000</v>
      </c>
      <c r="G700" t="b">
        <v>0</v>
      </c>
      <c r="H700" t="s">
        <v>742</v>
      </c>
      <c r="K700" t="s">
        <v>393</v>
      </c>
      <c r="L700" t="s">
        <v>303</v>
      </c>
      <c r="M700" t="s">
        <v>323</v>
      </c>
      <c r="N700" t="s">
        <v>63</v>
      </c>
      <c r="O700" s="110">
        <v>49.9</v>
      </c>
      <c r="R700" s="110">
        <v>264.79000000000002</v>
      </c>
      <c r="S700" s="110">
        <v>130</v>
      </c>
      <c r="T700" s="110">
        <v>0</v>
      </c>
      <c r="U700" s="110">
        <v>34.99</v>
      </c>
      <c r="X700">
        <v>29.9</v>
      </c>
      <c r="Y700">
        <v>69.900000000000006</v>
      </c>
      <c r="Z700">
        <v>69.900000000000006</v>
      </c>
      <c r="AA700">
        <v>0</v>
      </c>
      <c r="AB700" t="s">
        <v>363</v>
      </c>
      <c r="AF700" t="s">
        <v>3103</v>
      </c>
      <c r="AG700" t="s">
        <v>3103</v>
      </c>
      <c r="AH700" t="s">
        <v>1606</v>
      </c>
      <c r="AI700">
        <v>99999</v>
      </c>
      <c r="AJ700">
        <v>99999</v>
      </c>
      <c r="AK700">
        <v>699</v>
      </c>
      <c r="AL700" t="b">
        <v>1</v>
      </c>
      <c r="AM700" t="b">
        <v>1</v>
      </c>
      <c r="AN700" t="b">
        <v>0</v>
      </c>
      <c r="AO700">
        <v>99999</v>
      </c>
      <c r="AP700" t="s">
        <v>64</v>
      </c>
      <c r="AR700" t="b">
        <v>0</v>
      </c>
      <c r="AS700">
        <v>12</v>
      </c>
      <c r="AT700" t="s">
        <v>327</v>
      </c>
      <c r="AV700" t="s">
        <v>3106</v>
      </c>
      <c r="CRL700">
        <v>12</v>
      </c>
    </row>
    <row r="701" spans="1:48 2508:2508" x14ac:dyDescent="0.25">
      <c r="A701" t="s">
        <v>3323</v>
      </c>
      <c r="B701" t="s">
        <v>302</v>
      </c>
      <c r="C701" t="s">
        <v>62</v>
      </c>
      <c r="D701">
        <v>99999</v>
      </c>
      <c r="F701" s="109">
        <v>14000</v>
      </c>
      <c r="G701" t="b">
        <v>0</v>
      </c>
      <c r="H701" t="s">
        <v>742</v>
      </c>
      <c r="K701" t="s">
        <v>393</v>
      </c>
      <c r="L701" t="s">
        <v>303</v>
      </c>
      <c r="M701" t="s">
        <v>323</v>
      </c>
      <c r="N701" t="s">
        <v>63</v>
      </c>
      <c r="O701" s="110">
        <v>49.9</v>
      </c>
      <c r="R701" s="110">
        <v>272.39</v>
      </c>
      <c r="S701" s="110">
        <v>130</v>
      </c>
      <c r="T701" s="110">
        <v>0</v>
      </c>
      <c r="U701" s="110">
        <v>42.99</v>
      </c>
      <c r="X701">
        <v>29.499999999999972</v>
      </c>
      <c r="Y701">
        <v>69.900000000000006</v>
      </c>
      <c r="Z701">
        <v>69.900000000000006</v>
      </c>
      <c r="AA701">
        <v>0</v>
      </c>
      <c r="AB701" t="s">
        <v>363</v>
      </c>
      <c r="AF701" t="s">
        <v>3177</v>
      </c>
      <c r="AG701" t="s">
        <v>3177</v>
      </c>
      <c r="AH701" t="s">
        <v>1606</v>
      </c>
      <c r="AI701">
        <v>99999</v>
      </c>
      <c r="AJ701">
        <v>99999</v>
      </c>
      <c r="AK701">
        <v>699</v>
      </c>
      <c r="AL701" t="b">
        <v>1</v>
      </c>
      <c r="AM701" t="b">
        <v>1</v>
      </c>
      <c r="AN701" t="b">
        <v>0</v>
      </c>
      <c r="AO701">
        <v>99999</v>
      </c>
      <c r="AP701" t="s">
        <v>64</v>
      </c>
      <c r="AR701" t="b">
        <v>0</v>
      </c>
      <c r="AS701">
        <v>12</v>
      </c>
      <c r="AT701" t="s">
        <v>327</v>
      </c>
      <c r="AV701" t="s">
        <v>3180</v>
      </c>
      <c r="CRL701">
        <v>12</v>
      </c>
    </row>
    <row r="702" spans="1:48 2508:2508" x14ac:dyDescent="0.25">
      <c r="A702" t="s">
        <v>3323</v>
      </c>
      <c r="B702" t="s">
        <v>302</v>
      </c>
      <c r="C702" t="s">
        <v>62</v>
      </c>
      <c r="D702">
        <v>99999</v>
      </c>
      <c r="F702" s="109">
        <v>14000</v>
      </c>
      <c r="G702" t="b">
        <v>0</v>
      </c>
      <c r="H702" t="s">
        <v>742</v>
      </c>
      <c r="K702" t="s">
        <v>364</v>
      </c>
      <c r="L702" t="s">
        <v>303</v>
      </c>
      <c r="M702" t="s">
        <v>323</v>
      </c>
      <c r="N702" t="s">
        <v>63</v>
      </c>
      <c r="O702" s="110">
        <v>29.9</v>
      </c>
      <c r="R702" s="110">
        <v>222.29</v>
      </c>
      <c r="S702" s="110">
        <v>107.5</v>
      </c>
      <c r="T702" s="110">
        <v>0</v>
      </c>
      <c r="U702" s="110">
        <v>34.99</v>
      </c>
      <c r="X702">
        <v>29.9</v>
      </c>
      <c r="Y702">
        <v>49.9</v>
      </c>
      <c r="Z702">
        <v>49.9</v>
      </c>
      <c r="AA702">
        <v>0</v>
      </c>
      <c r="AB702" t="s">
        <v>363</v>
      </c>
      <c r="AF702" t="s">
        <v>1743</v>
      </c>
      <c r="AG702" t="s">
        <v>1743</v>
      </c>
      <c r="AH702" t="s">
        <v>1606</v>
      </c>
      <c r="AI702">
        <v>99999</v>
      </c>
      <c r="AJ702">
        <v>99999</v>
      </c>
      <c r="AK702">
        <v>699</v>
      </c>
      <c r="AL702" t="b">
        <v>1</v>
      </c>
      <c r="AM702" t="b">
        <v>1</v>
      </c>
      <c r="AN702" t="b">
        <v>0</v>
      </c>
      <c r="AO702">
        <v>99999</v>
      </c>
      <c r="AP702" t="s">
        <v>64</v>
      </c>
      <c r="AR702" t="b">
        <v>0</v>
      </c>
      <c r="AS702">
        <v>12</v>
      </c>
      <c r="AT702" t="s">
        <v>327</v>
      </c>
      <c r="AV702" t="s">
        <v>1744</v>
      </c>
      <c r="CRL702">
        <v>12</v>
      </c>
    </row>
    <row r="703" spans="1:48 2508:2508" x14ac:dyDescent="0.25">
      <c r="A703" t="s">
        <v>3323</v>
      </c>
      <c r="B703" t="s">
        <v>302</v>
      </c>
      <c r="C703" t="s">
        <v>62</v>
      </c>
      <c r="D703">
        <v>99999</v>
      </c>
      <c r="F703" s="109">
        <v>14000</v>
      </c>
      <c r="G703" t="b">
        <v>0</v>
      </c>
      <c r="H703" t="s">
        <v>742</v>
      </c>
      <c r="K703" t="s">
        <v>364</v>
      </c>
      <c r="L703" t="s">
        <v>303</v>
      </c>
      <c r="M703" t="s">
        <v>323</v>
      </c>
      <c r="N703" t="s">
        <v>63</v>
      </c>
      <c r="O703" s="110">
        <v>29.9</v>
      </c>
      <c r="R703" s="110">
        <v>229.88999999999996</v>
      </c>
      <c r="S703" s="110">
        <v>107.5</v>
      </c>
      <c r="T703" s="110">
        <v>0</v>
      </c>
      <c r="U703" s="110">
        <v>42.99</v>
      </c>
      <c r="X703">
        <v>29.499999999999972</v>
      </c>
      <c r="Y703">
        <v>49.9</v>
      </c>
      <c r="Z703">
        <v>49.9</v>
      </c>
      <c r="AA703">
        <v>0</v>
      </c>
      <c r="AB703" t="s">
        <v>363</v>
      </c>
      <c r="AF703" t="s">
        <v>1891</v>
      </c>
      <c r="AG703" t="s">
        <v>1891</v>
      </c>
      <c r="AH703" t="s">
        <v>1606</v>
      </c>
      <c r="AI703">
        <v>99999</v>
      </c>
      <c r="AJ703">
        <v>99999</v>
      </c>
      <c r="AK703">
        <v>699</v>
      </c>
      <c r="AL703" t="b">
        <v>1</v>
      </c>
      <c r="AM703" t="b">
        <v>1</v>
      </c>
      <c r="AN703" t="b">
        <v>0</v>
      </c>
      <c r="AO703">
        <v>99999</v>
      </c>
      <c r="AP703" t="s">
        <v>64</v>
      </c>
      <c r="AR703" t="b">
        <v>0</v>
      </c>
      <c r="AS703">
        <v>12</v>
      </c>
      <c r="AT703" t="s">
        <v>327</v>
      </c>
      <c r="AV703" t="s">
        <v>1892</v>
      </c>
      <c r="CRL703">
        <v>12</v>
      </c>
    </row>
    <row r="704" spans="1:48 2508:2508" x14ac:dyDescent="0.25">
      <c r="A704" t="s">
        <v>3323</v>
      </c>
      <c r="B704" t="s">
        <v>302</v>
      </c>
      <c r="C704" t="s">
        <v>62</v>
      </c>
      <c r="D704">
        <v>99999</v>
      </c>
      <c r="F704" s="109">
        <v>14000</v>
      </c>
      <c r="G704" t="b">
        <v>0</v>
      </c>
      <c r="H704" t="s">
        <v>742</v>
      </c>
      <c r="K704" t="s">
        <v>364</v>
      </c>
      <c r="L704" t="s">
        <v>303</v>
      </c>
      <c r="M704" t="s">
        <v>323</v>
      </c>
      <c r="N704" t="s">
        <v>63</v>
      </c>
      <c r="O704" s="110">
        <v>39.9</v>
      </c>
      <c r="R704" s="110">
        <v>222.29</v>
      </c>
      <c r="S704" s="110">
        <v>107.5</v>
      </c>
      <c r="T704" s="110">
        <v>0</v>
      </c>
      <c r="U704" s="110">
        <v>34.99</v>
      </c>
      <c r="X704">
        <v>29.9</v>
      </c>
      <c r="Y704">
        <v>49.9</v>
      </c>
      <c r="Z704">
        <v>49.9</v>
      </c>
      <c r="AA704">
        <v>0</v>
      </c>
      <c r="AB704" t="s">
        <v>363</v>
      </c>
      <c r="AF704" t="s">
        <v>1750</v>
      </c>
      <c r="AG704" t="s">
        <v>1750</v>
      </c>
      <c r="AH704" t="s">
        <v>1606</v>
      </c>
      <c r="AI704">
        <v>99999</v>
      </c>
      <c r="AJ704">
        <v>99999</v>
      </c>
      <c r="AK704">
        <v>699</v>
      </c>
      <c r="AL704" t="b">
        <v>1</v>
      </c>
      <c r="AM704" t="b">
        <v>1</v>
      </c>
      <c r="AN704" t="b">
        <v>0</v>
      </c>
      <c r="AO704">
        <v>99999</v>
      </c>
      <c r="AP704" t="s">
        <v>64</v>
      </c>
      <c r="AR704" t="b">
        <v>0</v>
      </c>
      <c r="AS704">
        <v>12</v>
      </c>
      <c r="AT704" t="s">
        <v>327</v>
      </c>
      <c r="AV704" t="s">
        <v>1751</v>
      </c>
      <c r="CRL704">
        <v>12</v>
      </c>
    </row>
    <row r="705" spans="1:48 2508:2508" x14ac:dyDescent="0.25">
      <c r="A705" t="s">
        <v>3323</v>
      </c>
      <c r="B705" t="s">
        <v>302</v>
      </c>
      <c r="C705" t="s">
        <v>62</v>
      </c>
      <c r="D705">
        <v>99999</v>
      </c>
      <c r="F705" s="109">
        <v>14000</v>
      </c>
      <c r="G705" t="b">
        <v>0</v>
      </c>
      <c r="H705" t="s">
        <v>742</v>
      </c>
      <c r="K705" t="s">
        <v>364</v>
      </c>
      <c r="L705" t="s">
        <v>303</v>
      </c>
      <c r="M705" t="s">
        <v>323</v>
      </c>
      <c r="N705" t="s">
        <v>63</v>
      </c>
      <c r="O705" s="110">
        <v>39.9</v>
      </c>
      <c r="R705" s="110">
        <v>229.88999999999996</v>
      </c>
      <c r="S705" s="110">
        <v>107.5</v>
      </c>
      <c r="T705" s="110">
        <v>0</v>
      </c>
      <c r="U705" s="110">
        <v>42.99</v>
      </c>
      <c r="X705">
        <v>29.499999999999972</v>
      </c>
      <c r="Y705">
        <v>49.9</v>
      </c>
      <c r="Z705">
        <v>49.9</v>
      </c>
      <c r="AA705">
        <v>0</v>
      </c>
      <c r="AB705" t="s">
        <v>363</v>
      </c>
      <c r="AF705" t="s">
        <v>1898</v>
      </c>
      <c r="AG705" t="s">
        <v>1898</v>
      </c>
      <c r="AH705" t="s">
        <v>1606</v>
      </c>
      <c r="AI705">
        <v>99999</v>
      </c>
      <c r="AJ705">
        <v>99999</v>
      </c>
      <c r="AK705">
        <v>699</v>
      </c>
      <c r="AL705" t="b">
        <v>1</v>
      </c>
      <c r="AM705" t="b">
        <v>1</v>
      </c>
      <c r="AN705" t="b">
        <v>0</v>
      </c>
      <c r="AO705">
        <v>99999</v>
      </c>
      <c r="AP705" t="s">
        <v>64</v>
      </c>
      <c r="AR705" t="b">
        <v>0</v>
      </c>
      <c r="AS705">
        <v>12</v>
      </c>
      <c r="AT705" t="s">
        <v>327</v>
      </c>
      <c r="AV705" t="s">
        <v>1899</v>
      </c>
      <c r="CRL705">
        <v>12</v>
      </c>
    </row>
    <row r="706" spans="1:48 2508:2508" x14ac:dyDescent="0.25">
      <c r="A706" t="s">
        <v>3323</v>
      </c>
      <c r="B706" t="s">
        <v>302</v>
      </c>
      <c r="C706" t="s">
        <v>62</v>
      </c>
      <c r="D706">
        <v>99999</v>
      </c>
      <c r="F706" s="109">
        <v>14000</v>
      </c>
      <c r="G706" t="b">
        <v>0</v>
      </c>
      <c r="H706" t="s">
        <v>742</v>
      </c>
      <c r="K706" t="s">
        <v>364</v>
      </c>
      <c r="L706" t="s">
        <v>303</v>
      </c>
      <c r="M706" t="s">
        <v>323</v>
      </c>
      <c r="N706" t="s">
        <v>63</v>
      </c>
      <c r="O706" s="110">
        <v>49.9</v>
      </c>
      <c r="R706" s="110">
        <v>244.79</v>
      </c>
      <c r="S706" s="110">
        <v>130</v>
      </c>
      <c r="T706" s="110">
        <v>0</v>
      </c>
      <c r="U706" s="110">
        <v>34.99</v>
      </c>
      <c r="X706">
        <v>29.9</v>
      </c>
      <c r="Y706">
        <v>49.9</v>
      </c>
      <c r="Z706">
        <v>49.9</v>
      </c>
      <c r="AA706">
        <v>0</v>
      </c>
      <c r="AB706" t="s">
        <v>363</v>
      </c>
      <c r="AF706" t="s">
        <v>3103</v>
      </c>
      <c r="AG706" t="s">
        <v>3103</v>
      </c>
      <c r="AH706" t="s">
        <v>1606</v>
      </c>
      <c r="AI706">
        <v>99999</v>
      </c>
      <c r="AJ706">
        <v>99999</v>
      </c>
      <c r="AK706">
        <v>699</v>
      </c>
      <c r="AL706" t="b">
        <v>1</v>
      </c>
      <c r="AM706" t="b">
        <v>1</v>
      </c>
      <c r="AN706" t="b">
        <v>0</v>
      </c>
      <c r="AO706">
        <v>99999</v>
      </c>
      <c r="AP706" t="s">
        <v>64</v>
      </c>
      <c r="AR706" t="b">
        <v>0</v>
      </c>
      <c r="AS706">
        <v>12</v>
      </c>
      <c r="AT706" t="s">
        <v>327</v>
      </c>
      <c r="AV706" t="s">
        <v>3104</v>
      </c>
      <c r="CRL706">
        <v>12</v>
      </c>
    </row>
    <row r="707" spans="1:48 2508:2508" x14ac:dyDescent="0.25">
      <c r="A707" t="s">
        <v>3323</v>
      </c>
      <c r="B707" t="s">
        <v>302</v>
      </c>
      <c r="C707" t="s">
        <v>62</v>
      </c>
      <c r="D707">
        <v>99999</v>
      </c>
      <c r="F707" s="109">
        <v>14000</v>
      </c>
      <c r="G707" t="b">
        <v>0</v>
      </c>
      <c r="H707" t="s">
        <v>742</v>
      </c>
      <c r="K707" t="s">
        <v>364</v>
      </c>
      <c r="L707" t="s">
        <v>303</v>
      </c>
      <c r="M707" t="s">
        <v>323</v>
      </c>
      <c r="N707" t="s">
        <v>63</v>
      </c>
      <c r="O707" s="110">
        <v>49.9</v>
      </c>
      <c r="R707" s="110">
        <v>252.38999999999996</v>
      </c>
      <c r="S707" s="110">
        <v>130</v>
      </c>
      <c r="T707" s="110">
        <v>0</v>
      </c>
      <c r="U707" s="110">
        <v>42.99</v>
      </c>
      <c r="X707">
        <v>29.499999999999972</v>
      </c>
      <c r="Y707">
        <v>49.9</v>
      </c>
      <c r="Z707">
        <v>49.9</v>
      </c>
      <c r="AA707">
        <v>0</v>
      </c>
      <c r="AB707" t="s">
        <v>363</v>
      </c>
      <c r="AF707" t="s">
        <v>3177</v>
      </c>
      <c r="AG707" t="s">
        <v>3177</v>
      </c>
      <c r="AH707" t="s">
        <v>1606</v>
      </c>
      <c r="AI707">
        <v>99999</v>
      </c>
      <c r="AJ707">
        <v>99999</v>
      </c>
      <c r="AK707">
        <v>699</v>
      </c>
      <c r="AL707" t="b">
        <v>1</v>
      </c>
      <c r="AM707" t="b">
        <v>1</v>
      </c>
      <c r="AN707" t="b">
        <v>0</v>
      </c>
      <c r="AO707">
        <v>99999</v>
      </c>
      <c r="AP707" t="s">
        <v>64</v>
      </c>
      <c r="AR707" t="b">
        <v>0</v>
      </c>
      <c r="AS707">
        <v>12</v>
      </c>
      <c r="AT707" t="s">
        <v>327</v>
      </c>
      <c r="AV707" t="s">
        <v>3178</v>
      </c>
      <c r="CRL707">
        <v>12</v>
      </c>
    </row>
    <row r="708" spans="1:48 2508:2508" x14ac:dyDescent="0.25">
      <c r="A708" t="s">
        <v>3323</v>
      </c>
      <c r="B708" t="s">
        <v>302</v>
      </c>
      <c r="C708" t="s">
        <v>62</v>
      </c>
      <c r="D708">
        <v>99999</v>
      </c>
      <c r="F708" s="109">
        <v>14000</v>
      </c>
      <c r="G708" t="b">
        <v>0</v>
      </c>
      <c r="H708" t="s">
        <v>742</v>
      </c>
      <c r="K708" t="s">
        <v>379</v>
      </c>
      <c r="L708" t="s">
        <v>303</v>
      </c>
      <c r="M708" t="s">
        <v>323</v>
      </c>
      <c r="N708" t="s">
        <v>63</v>
      </c>
      <c r="O708" s="110">
        <v>29.9</v>
      </c>
      <c r="R708" s="110">
        <v>232.29</v>
      </c>
      <c r="S708" s="110">
        <v>107.5</v>
      </c>
      <c r="T708" s="110">
        <v>0</v>
      </c>
      <c r="U708" s="110">
        <v>34.99</v>
      </c>
      <c r="X708">
        <v>29.9</v>
      </c>
      <c r="Y708">
        <v>59.9</v>
      </c>
      <c r="Z708">
        <v>59.9</v>
      </c>
      <c r="AA708">
        <v>0</v>
      </c>
      <c r="AB708" t="s">
        <v>363</v>
      </c>
      <c r="AF708" t="s">
        <v>1743</v>
      </c>
      <c r="AG708" t="s">
        <v>1743</v>
      </c>
      <c r="AH708" t="s">
        <v>1606</v>
      </c>
      <c r="AI708">
        <v>99999</v>
      </c>
      <c r="AJ708">
        <v>99999</v>
      </c>
      <c r="AK708">
        <v>699</v>
      </c>
      <c r="AL708" t="b">
        <v>1</v>
      </c>
      <c r="AM708" t="b">
        <v>1</v>
      </c>
      <c r="AN708" t="b">
        <v>0</v>
      </c>
      <c r="AO708">
        <v>99999</v>
      </c>
      <c r="AP708" t="s">
        <v>64</v>
      </c>
      <c r="AR708" t="b">
        <v>0</v>
      </c>
      <c r="AS708">
        <v>12</v>
      </c>
      <c r="AT708" t="s">
        <v>327</v>
      </c>
      <c r="AV708" t="s">
        <v>1745</v>
      </c>
      <c r="CRL708">
        <v>12</v>
      </c>
    </row>
    <row r="709" spans="1:48 2508:2508" x14ac:dyDescent="0.25">
      <c r="A709" t="s">
        <v>3323</v>
      </c>
      <c r="B709" t="s">
        <v>302</v>
      </c>
      <c r="C709" t="s">
        <v>62</v>
      </c>
      <c r="D709">
        <v>99999</v>
      </c>
      <c r="F709" s="109">
        <v>14000</v>
      </c>
      <c r="G709" t="b">
        <v>0</v>
      </c>
      <c r="H709" t="s">
        <v>742</v>
      </c>
      <c r="K709" t="s">
        <v>379</v>
      </c>
      <c r="L709" t="s">
        <v>303</v>
      </c>
      <c r="M709" t="s">
        <v>323</v>
      </c>
      <c r="N709" t="s">
        <v>63</v>
      </c>
      <c r="O709" s="110">
        <v>29.9</v>
      </c>
      <c r="R709" s="110">
        <v>239.88999999999996</v>
      </c>
      <c r="S709" s="110">
        <v>107.5</v>
      </c>
      <c r="T709" s="110">
        <v>0</v>
      </c>
      <c r="U709" s="110">
        <v>42.99</v>
      </c>
      <c r="X709">
        <v>29.499999999999972</v>
      </c>
      <c r="Y709">
        <v>59.9</v>
      </c>
      <c r="Z709">
        <v>59.9</v>
      </c>
      <c r="AA709">
        <v>0</v>
      </c>
      <c r="AB709" t="s">
        <v>363</v>
      </c>
      <c r="AF709" t="s">
        <v>1891</v>
      </c>
      <c r="AG709" t="s">
        <v>1891</v>
      </c>
      <c r="AH709" t="s">
        <v>1606</v>
      </c>
      <c r="AI709">
        <v>99999</v>
      </c>
      <c r="AJ709">
        <v>99999</v>
      </c>
      <c r="AK709">
        <v>699</v>
      </c>
      <c r="AL709" t="b">
        <v>1</v>
      </c>
      <c r="AM709" t="b">
        <v>1</v>
      </c>
      <c r="AN709" t="b">
        <v>0</v>
      </c>
      <c r="AO709">
        <v>99999</v>
      </c>
      <c r="AP709" t="s">
        <v>64</v>
      </c>
      <c r="AR709" t="b">
        <v>0</v>
      </c>
      <c r="AS709">
        <v>12</v>
      </c>
      <c r="AT709" t="s">
        <v>327</v>
      </c>
      <c r="AV709" t="s">
        <v>1893</v>
      </c>
      <c r="CRL709">
        <v>12</v>
      </c>
    </row>
    <row r="710" spans="1:48 2508:2508" x14ac:dyDescent="0.25">
      <c r="A710" t="s">
        <v>3323</v>
      </c>
      <c r="B710" t="s">
        <v>302</v>
      </c>
      <c r="C710" t="s">
        <v>62</v>
      </c>
      <c r="D710">
        <v>99999</v>
      </c>
      <c r="F710" s="109">
        <v>14000</v>
      </c>
      <c r="G710" t="b">
        <v>0</v>
      </c>
      <c r="H710" t="s">
        <v>742</v>
      </c>
      <c r="K710" t="s">
        <v>379</v>
      </c>
      <c r="L710" t="s">
        <v>303</v>
      </c>
      <c r="M710" t="s">
        <v>323</v>
      </c>
      <c r="N710" t="s">
        <v>63</v>
      </c>
      <c r="O710" s="110">
        <v>39.9</v>
      </c>
      <c r="R710" s="110">
        <v>232.29</v>
      </c>
      <c r="S710" s="110">
        <v>107.5</v>
      </c>
      <c r="T710" s="110">
        <v>0</v>
      </c>
      <c r="U710" s="110">
        <v>34.99</v>
      </c>
      <c r="X710">
        <v>29.9</v>
      </c>
      <c r="Y710">
        <v>59.9</v>
      </c>
      <c r="Z710">
        <v>59.9</v>
      </c>
      <c r="AA710">
        <v>0</v>
      </c>
      <c r="AB710" t="s">
        <v>363</v>
      </c>
      <c r="AF710" t="s">
        <v>1750</v>
      </c>
      <c r="AG710" t="s">
        <v>1750</v>
      </c>
      <c r="AH710" t="s">
        <v>1606</v>
      </c>
      <c r="AI710">
        <v>99999</v>
      </c>
      <c r="AJ710">
        <v>99999</v>
      </c>
      <c r="AK710">
        <v>699</v>
      </c>
      <c r="AL710" t="b">
        <v>1</v>
      </c>
      <c r="AM710" t="b">
        <v>1</v>
      </c>
      <c r="AN710" t="b">
        <v>0</v>
      </c>
      <c r="AO710">
        <v>99999</v>
      </c>
      <c r="AP710" t="s">
        <v>64</v>
      </c>
      <c r="AR710" t="b">
        <v>0</v>
      </c>
      <c r="AS710">
        <v>12</v>
      </c>
      <c r="AT710" t="s">
        <v>327</v>
      </c>
      <c r="AV710" t="s">
        <v>1752</v>
      </c>
      <c r="CRL710">
        <v>12</v>
      </c>
    </row>
    <row r="711" spans="1:48 2508:2508" x14ac:dyDescent="0.25">
      <c r="A711" t="s">
        <v>3323</v>
      </c>
      <c r="B711" t="s">
        <v>302</v>
      </c>
      <c r="C711" t="s">
        <v>62</v>
      </c>
      <c r="D711">
        <v>99999</v>
      </c>
      <c r="F711" s="109">
        <v>14000</v>
      </c>
      <c r="G711" t="b">
        <v>0</v>
      </c>
      <c r="H711" t="s">
        <v>742</v>
      </c>
      <c r="K711" t="s">
        <v>379</v>
      </c>
      <c r="L711" t="s">
        <v>303</v>
      </c>
      <c r="M711" t="s">
        <v>323</v>
      </c>
      <c r="N711" t="s">
        <v>63</v>
      </c>
      <c r="O711" s="110">
        <v>39.9</v>
      </c>
      <c r="R711" s="110">
        <v>239.88999999999996</v>
      </c>
      <c r="S711" s="110">
        <v>107.5</v>
      </c>
      <c r="T711" s="110">
        <v>0</v>
      </c>
      <c r="U711" s="110">
        <v>42.99</v>
      </c>
      <c r="X711">
        <v>29.499999999999972</v>
      </c>
      <c r="Y711">
        <v>59.9</v>
      </c>
      <c r="Z711">
        <v>59.9</v>
      </c>
      <c r="AA711">
        <v>0</v>
      </c>
      <c r="AB711" t="s">
        <v>363</v>
      </c>
      <c r="AF711" t="s">
        <v>1898</v>
      </c>
      <c r="AG711" t="s">
        <v>1898</v>
      </c>
      <c r="AH711" t="s">
        <v>1606</v>
      </c>
      <c r="AI711">
        <v>99999</v>
      </c>
      <c r="AJ711">
        <v>99999</v>
      </c>
      <c r="AK711">
        <v>699</v>
      </c>
      <c r="AL711" t="b">
        <v>1</v>
      </c>
      <c r="AM711" t="b">
        <v>1</v>
      </c>
      <c r="AN711" t="b">
        <v>0</v>
      </c>
      <c r="AO711">
        <v>99999</v>
      </c>
      <c r="AP711" t="s">
        <v>64</v>
      </c>
      <c r="AR711" t="b">
        <v>0</v>
      </c>
      <c r="AS711">
        <v>12</v>
      </c>
      <c r="AT711" t="s">
        <v>327</v>
      </c>
      <c r="AV711" t="s">
        <v>1900</v>
      </c>
      <c r="CRL711">
        <v>12</v>
      </c>
    </row>
    <row r="712" spans="1:48 2508:2508" x14ac:dyDescent="0.25">
      <c r="A712" t="s">
        <v>3323</v>
      </c>
      <c r="B712" t="s">
        <v>302</v>
      </c>
      <c r="C712" t="s">
        <v>62</v>
      </c>
      <c r="D712">
        <v>99999</v>
      </c>
      <c r="F712" s="109">
        <v>14000</v>
      </c>
      <c r="G712" t="b">
        <v>0</v>
      </c>
      <c r="H712" t="s">
        <v>742</v>
      </c>
      <c r="K712" t="s">
        <v>379</v>
      </c>
      <c r="L712" t="s">
        <v>303</v>
      </c>
      <c r="M712" t="s">
        <v>323</v>
      </c>
      <c r="N712" t="s">
        <v>63</v>
      </c>
      <c r="O712" s="110">
        <v>49.9</v>
      </c>
      <c r="R712" s="110">
        <v>254.79</v>
      </c>
      <c r="S712" s="110">
        <v>130</v>
      </c>
      <c r="T712" s="110">
        <v>0</v>
      </c>
      <c r="U712" s="110">
        <v>34.99</v>
      </c>
      <c r="X712">
        <v>29.9</v>
      </c>
      <c r="Y712">
        <v>59.9</v>
      </c>
      <c r="Z712">
        <v>59.9</v>
      </c>
      <c r="AA712">
        <v>0</v>
      </c>
      <c r="AB712" t="s">
        <v>363</v>
      </c>
      <c r="AF712" t="s">
        <v>3103</v>
      </c>
      <c r="AG712" t="s">
        <v>3103</v>
      </c>
      <c r="AH712" t="s">
        <v>1606</v>
      </c>
      <c r="AI712">
        <v>99999</v>
      </c>
      <c r="AJ712">
        <v>99999</v>
      </c>
      <c r="AK712">
        <v>699</v>
      </c>
      <c r="AL712" t="b">
        <v>1</v>
      </c>
      <c r="AM712" t="b">
        <v>1</v>
      </c>
      <c r="AN712" t="b">
        <v>0</v>
      </c>
      <c r="AO712">
        <v>99999</v>
      </c>
      <c r="AP712" t="s">
        <v>64</v>
      </c>
      <c r="AR712" t="b">
        <v>0</v>
      </c>
      <c r="AS712">
        <v>12</v>
      </c>
      <c r="AT712" t="s">
        <v>327</v>
      </c>
      <c r="AV712" t="s">
        <v>3105</v>
      </c>
      <c r="CRL712">
        <v>12</v>
      </c>
    </row>
    <row r="713" spans="1:48 2508:2508" x14ac:dyDescent="0.25">
      <c r="A713" t="s">
        <v>3323</v>
      </c>
      <c r="B713" t="s">
        <v>302</v>
      </c>
      <c r="C713" t="s">
        <v>62</v>
      </c>
      <c r="D713">
        <v>99999</v>
      </c>
      <c r="F713" s="109">
        <v>14000</v>
      </c>
      <c r="G713" t="b">
        <v>0</v>
      </c>
      <c r="H713" t="s">
        <v>742</v>
      </c>
      <c r="K713" t="s">
        <v>379</v>
      </c>
      <c r="L713" t="s">
        <v>303</v>
      </c>
      <c r="M713" t="s">
        <v>323</v>
      </c>
      <c r="N713" t="s">
        <v>63</v>
      </c>
      <c r="O713" s="110">
        <v>49.9</v>
      </c>
      <c r="R713" s="110">
        <v>262.39</v>
      </c>
      <c r="S713" s="110">
        <v>130</v>
      </c>
      <c r="T713" s="110">
        <v>0</v>
      </c>
      <c r="U713" s="110">
        <v>42.99</v>
      </c>
      <c r="X713">
        <v>29.499999999999972</v>
      </c>
      <c r="Y713">
        <v>59.9</v>
      </c>
      <c r="Z713">
        <v>59.9</v>
      </c>
      <c r="AA713">
        <v>0</v>
      </c>
      <c r="AB713" t="s">
        <v>363</v>
      </c>
      <c r="AF713" t="s">
        <v>3177</v>
      </c>
      <c r="AG713" t="s">
        <v>3177</v>
      </c>
      <c r="AH713" t="s">
        <v>1606</v>
      </c>
      <c r="AI713">
        <v>99999</v>
      </c>
      <c r="AJ713">
        <v>99999</v>
      </c>
      <c r="AK713">
        <v>699</v>
      </c>
      <c r="AL713" t="b">
        <v>1</v>
      </c>
      <c r="AM713" t="b">
        <v>1</v>
      </c>
      <c r="AN713" t="b">
        <v>0</v>
      </c>
      <c r="AO713">
        <v>99999</v>
      </c>
      <c r="AP713" t="s">
        <v>64</v>
      </c>
      <c r="AR713" t="b">
        <v>0</v>
      </c>
      <c r="AS713">
        <v>12</v>
      </c>
      <c r="AT713" t="s">
        <v>327</v>
      </c>
      <c r="AV713" t="s">
        <v>3179</v>
      </c>
      <c r="CRL713">
        <v>12</v>
      </c>
    </row>
    <row r="714" spans="1:48 2508:2508" x14ac:dyDescent="0.25">
      <c r="A714" t="s">
        <v>3323</v>
      </c>
      <c r="B714" t="s">
        <v>302</v>
      </c>
      <c r="C714" t="s">
        <v>62</v>
      </c>
      <c r="D714">
        <v>99999</v>
      </c>
      <c r="F714" s="109">
        <v>14000</v>
      </c>
      <c r="G714" t="b">
        <v>0</v>
      </c>
      <c r="H714" t="s">
        <v>742</v>
      </c>
      <c r="K714" t="s">
        <v>61</v>
      </c>
      <c r="L714" t="s">
        <v>303</v>
      </c>
      <c r="M714" t="s">
        <v>323</v>
      </c>
      <c r="N714" t="s">
        <v>63</v>
      </c>
      <c r="O714" s="110">
        <v>29.9</v>
      </c>
      <c r="R714" s="110">
        <v>217.29</v>
      </c>
      <c r="S714" s="110">
        <v>107.5</v>
      </c>
      <c r="T714" s="110">
        <v>0</v>
      </c>
      <c r="U714" s="110">
        <v>34.99</v>
      </c>
      <c r="X714">
        <v>29.9</v>
      </c>
      <c r="Y714">
        <v>44.9</v>
      </c>
      <c r="Z714">
        <v>44.9</v>
      </c>
      <c r="AA714">
        <v>0</v>
      </c>
      <c r="AB714" t="s">
        <v>324</v>
      </c>
      <c r="AF714" t="s">
        <v>1740</v>
      </c>
      <c r="AG714" t="s">
        <v>1740</v>
      </c>
      <c r="AH714" t="s">
        <v>1606</v>
      </c>
      <c r="AI714">
        <v>99999</v>
      </c>
      <c r="AJ714">
        <v>99999</v>
      </c>
      <c r="AK714">
        <v>699</v>
      </c>
      <c r="AL714" t="b">
        <v>1</v>
      </c>
      <c r="AM714" t="b">
        <v>1</v>
      </c>
      <c r="AN714" t="b">
        <v>0</v>
      </c>
      <c r="AO714">
        <v>99999</v>
      </c>
      <c r="AP714" t="s">
        <v>64</v>
      </c>
      <c r="AR714" t="b">
        <v>0</v>
      </c>
      <c r="AS714">
        <v>12</v>
      </c>
      <c r="AT714" t="s">
        <v>327</v>
      </c>
      <c r="AV714" t="s">
        <v>1741</v>
      </c>
      <c r="CRL714">
        <v>12</v>
      </c>
    </row>
    <row r="715" spans="1:48 2508:2508" x14ac:dyDescent="0.25">
      <c r="A715" t="s">
        <v>3323</v>
      </c>
      <c r="B715" t="s">
        <v>302</v>
      </c>
      <c r="C715" t="s">
        <v>62</v>
      </c>
      <c r="D715">
        <v>99999</v>
      </c>
      <c r="F715" s="109">
        <v>14000</v>
      </c>
      <c r="G715" t="b">
        <v>0</v>
      </c>
      <c r="H715" t="s">
        <v>742</v>
      </c>
      <c r="K715" t="s">
        <v>61</v>
      </c>
      <c r="L715" t="s">
        <v>303</v>
      </c>
      <c r="M715" t="s">
        <v>323</v>
      </c>
      <c r="N715" t="s">
        <v>63</v>
      </c>
      <c r="O715" s="110">
        <v>29.9</v>
      </c>
      <c r="R715" s="110">
        <v>224.88999999999996</v>
      </c>
      <c r="S715" s="110">
        <v>107.5</v>
      </c>
      <c r="T715" s="110">
        <v>0</v>
      </c>
      <c r="U715" s="110">
        <v>42.99</v>
      </c>
      <c r="X715">
        <v>29.499999999999972</v>
      </c>
      <c r="Y715">
        <v>44.9</v>
      </c>
      <c r="Z715">
        <v>44.9</v>
      </c>
      <c r="AA715">
        <v>0</v>
      </c>
      <c r="AB715" t="s">
        <v>324</v>
      </c>
      <c r="AF715" t="s">
        <v>1888</v>
      </c>
      <c r="AG715" t="s">
        <v>1888</v>
      </c>
      <c r="AH715" t="s">
        <v>1606</v>
      </c>
      <c r="AI715">
        <v>99999</v>
      </c>
      <c r="AJ715">
        <v>99999</v>
      </c>
      <c r="AK715">
        <v>699</v>
      </c>
      <c r="AL715" t="b">
        <v>1</v>
      </c>
      <c r="AM715" t="b">
        <v>1</v>
      </c>
      <c r="AN715" t="b">
        <v>0</v>
      </c>
      <c r="AO715">
        <v>99999</v>
      </c>
      <c r="AP715" t="s">
        <v>64</v>
      </c>
      <c r="AR715" t="b">
        <v>0</v>
      </c>
      <c r="AS715">
        <v>12</v>
      </c>
      <c r="AT715" t="s">
        <v>327</v>
      </c>
      <c r="AV715" t="s">
        <v>1889</v>
      </c>
      <c r="CRL715">
        <v>12</v>
      </c>
    </row>
    <row r="716" spans="1:48 2508:2508" x14ac:dyDescent="0.25">
      <c r="A716" t="s">
        <v>3323</v>
      </c>
      <c r="B716" t="s">
        <v>302</v>
      </c>
      <c r="C716" t="s">
        <v>62</v>
      </c>
      <c r="D716">
        <v>99999</v>
      </c>
      <c r="F716" s="109">
        <v>14000</v>
      </c>
      <c r="G716" t="b">
        <v>0</v>
      </c>
      <c r="H716" t="s">
        <v>742</v>
      </c>
      <c r="K716" t="s">
        <v>61</v>
      </c>
      <c r="L716" t="s">
        <v>303</v>
      </c>
      <c r="M716" t="s">
        <v>323</v>
      </c>
      <c r="N716" t="s">
        <v>63</v>
      </c>
      <c r="O716" s="110">
        <v>39.9</v>
      </c>
      <c r="R716" s="110">
        <v>217.29</v>
      </c>
      <c r="S716" s="110">
        <v>107.5</v>
      </c>
      <c r="T716" s="110">
        <v>0</v>
      </c>
      <c r="U716" s="110">
        <v>34.99</v>
      </c>
      <c r="X716">
        <v>29.9</v>
      </c>
      <c r="Y716">
        <v>44.9</v>
      </c>
      <c r="Z716">
        <v>44.9</v>
      </c>
      <c r="AA716">
        <v>0</v>
      </c>
      <c r="AB716" t="s">
        <v>324</v>
      </c>
      <c r="AF716" t="s">
        <v>1747</v>
      </c>
      <c r="AG716" t="s">
        <v>1747</v>
      </c>
      <c r="AH716" t="s">
        <v>1606</v>
      </c>
      <c r="AI716">
        <v>99999</v>
      </c>
      <c r="AJ716">
        <v>99999</v>
      </c>
      <c r="AK716">
        <v>699</v>
      </c>
      <c r="AL716" t="b">
        <v>1</v>
      </c>
      <c r="AM716" t="b">
        <v>1</v>
      </c>
      <c r="AN716" t="b">
        <v>0</v>
      </c>
      <c r="AO716">
        <v>99999</v>
      </c>
      <c r="AP716" t="s">
        <v>64</v>
      </c>
      <c r="AR716" t="b">
        <v>0</v>
      </c>
      <c r="AS716">
        <v>12</v>
      </c>
      <c r="AT716" t="s">
        <v>327</v>
      </c>
      <c r="AV716" t="s">
        <v>1748</v>
      </c>
      <c r="CRL716">
        <v>12</v>
      </c>
    </row>
    <row r="717" spans="1:48 2508:2508" x14ac:dyDescent="0.25">
      <c r="A717" t="s">
        <v>3323</v>
      </c>
      <c r="B717" t="s">
        <v>302</v>
      </c>
      <c r="C717" t="s">
        <v>62</v>
      </c>
      <c r="D717">
        <v>99999</v>
      </c>
      <c r="F717" s="109">
        <v>14000</v>
      </c>
      <c r="G717" t="b">
        <v>0</v>
      </c>
      <c r="H717" t="s">
        <v>742</v>
      </c>
      <c r="K717" t="s">
        <v>61</v>
      </c>
      <c r="L717" t="s">
        <v>303</v>
      </c>
      <c r="M717" t="s">
        <v>323</v>
      </c>
      <c r="N717" t="s">
        <v>63</v>
      </c>
      <c r="O717" s="110">
        <v>39.9</v>
      </c>
      <c r="R717" s="110">
        <v>224.88999999999996</v>
      </c>
      <c r="S717" s="110">
        <v>107.5</v>
      </c>
      <c r="T717" s="110">
        <v>0</v>
      </c>
      <c r="U717" s="110">
        <v>42.99</v>
      </c>
      <c r="X717">
        <v>29.499999999999972</v>
      </c>
      <c r="Y717">
        <v>44.9</v>
      </c>
      <c r="Z717">
        <v>44.9</v>
      </c>
      <c r="AA717">
        <v>0</v>
      </c>
      <c r="AB717" t="s">
        <v>324</v>
      </c>
      <c r="AF717" t="s">
        <v>1895</v>
      </c>
      <c r="AG717" t="s">
        <v>1895</v>
      </c>
      <c r="AH717" t="s">
        <v>1606</v>
      </c>
      <c r="AI717">
        <v>99999</v>
      </c>
      <c r="AJ717">
        <v>99999</v>
      </c>
      <c r="AK717">
        <v>699</v>
      </c>
      <c r="AL717" t="b">
        <v>1</v>
      </c>
      <c r="AM717" t="b">
        <v>1</v>
      </c>
      <c r="AN717" t="b">
        <v>0</v>
      </c>
      <c r="AO717">
        <v>99999</v>
      </c>
      <c r="AP717" t="s">
        <v>64</v>
      </c>
      <c r="AR717" t="b">
        <v>0</v>
      </c>
      <c r="AS717">
        <v>12</v>
      </c>
      <c r="AT717" t="s">
        <v>327</v>
      </c>
      <c r="AV717" t="s">
        <v>1896</v>
      </c>
      <c r="CRL717">
        <v>12</v>
      </c>
    </row>
    <row r="718" spans="1:48 2508:2508" x14ac:dyDescent="0.25">
      <c r="A718" t="s">
        <v>3323</v>
      </c>
      <c r="B718" t="s">
        <v>302</v>
      </c>
      <c r="C718" t="s">
        <v>62</v>
      </c>
      <c r="D718">
        <v>99999</v>
      </c>
      <c r="F718" s="109">
        <v>14000</v>
      </c>
      <c r="G718" t="b">
        <v>0</v>
      </c>
      <c r="H718" t="s">
        <v>742</v>
      </c>
      <c r="K718" t="s">
        <v>61</v>
      </c>
      <c r="L718" t="s">
        <v>303</v>
      </c>
      <c r="M718" t="s">
        <v>323</v>
      </c>
      <c r="N718" t="s">
        <v>63</v>
      </c>
      <c r="O718" s="110">
        <v>49.9</v>
      </c>
      <c r="R718" s="110">
        <v>239.79</v>
      </c>
      <c r="S718" s="110">
        <v>130</v>
      </c>
      <c r="T718" s="110">
        <v>0</v>
      </c>
      <c r="U718" s="110">
        <v>34.99</v>
      </c>
      <c r="X718">
        <v>29.9</v>
      </c>
      <c r="Y718">
        <v>44.9</v>
      </c>
      <c r="Z718">
        <v>44.9</v>
      </c>
      <c r="AA718">
        <v>0</v>
      </c>
      <c r="AB718" t="s">
        <v>324</v>
      </c>
      <c r="AF718" t="s">
        <v>3100</v>
      </c>
      <c r="AG718" t="s">
        <v>3100</v>
      </c>
      <c r="AH718" t="s">
        <v>1606</v>
      </c>
      <c r="AI718">
        <v>99999</v>
      </c>
      <c r="AJ718">
        <v>99999</v>
      </c>
      <c r="AK718">
        <v>699</v>
      </c>
      <c r="AL718" t="b">
        <v>1</v>
      </c>
      <c r="AM718" t="b">
        <v>1</v>
      </c>
      <c r="AN718" t="b">
        <v>0</v>
      </c>
      <c r="AO718">
        <v>99999</v>
      </c>
      <c r="AP718" t="s">
        <v>64</v>
      </c>
      <c r="AR718" t="b">
        <v>0</v>
      </c>
      <c r="AS718">
        <v>12</v>
      </c>
      <c r="AT718" t="s">
        <v>327</v>
      </c>
      <c r="AV718" t="s">
        <v>3101</v>
      </c>
      <c r="CRL718">
        <v>12</v>
      </c>
    </row>
    <row r="719" spans="1:48 2508:2508" x14ac:dyDescent="0.25">
      <c r="A719" t="s">
        <v>3323</v>
      </c>
      <c r="B719" t="s">
        <v>302</v>
      </c>
      <c r="C719" t="s">
        <v>62</v>
      </c>
      <c r="D719">
        <v>99999</v>
      </c>
      <c r="F719" s="109">
        <v>14000</v>
      </c>
      <c r="G719" t="b">
        <v>0</v>
      </c>
      <c r="H719" t="s">
        <v>742</v>
      </c>
      <c r="K719" t="s">
        <v>61</v>
      </c>
      <c r="L719" t="s">
        <v>303</v>
      </c>
      <c r="M719" t="s">
        <v>323</v>
      </c>
      <c r="N719" t="s">
        <v>63</v>
      </c>
      <c r="O719" s="110">
        <v>49.9</v>
      </c>
      <c r="R719" s="110">
        <v>247.38999999999996</v>
      </c>
      <c r="S719" s="110">
        <v>130</v>
      </c>
      <c r="T719" s="110">
        <v>0</v>
      </c>
      <c r="U719" s="110">
        <v>42.99</v>
      </c>
      <c r="X719">
        <v>29.499999999999972</v>
      </c>
      <c r="Y719">
        <v>44.9</v>
      </c>
      <c r="Z719">
        <v>44.9</v>
      </c>
      <c r="AA719">
        <v>0</v>
      </c>
      <c r="AB719" t="s">
        <v>324</v>
      </c>
      <c r="AF719" t="s">
        <v>3174</v>
      </c>
      <c r="AG719" t="s">
        <v>3174</v>
      </c>
      <c r="AH719" t="s">
        <v>1606</v>
      </c>
      <c r="AI719">
        <v>99999</v>
      </c>
      <c r="AJ719">
        <v>99999</v>
      </c>
      <c r="AK719">
        <v>699</v>
      </c>
      <c r="AL719" t="b">
        <v>1</v>
      </c>
      <c r="AM719" t="b">
        <v>1</v>
      </c>
      <c r="AN719" t="b">
        <v>0</v>
      </c>
      <c r="AO719">
        <v>99999</v>
      </c>
      <c r="AP719" t="s">
        <v>64</v>
      </c>
      <c r="AR719" t="b">
        <v>0</v>
      </c>
      <c r="AS719">
        <v>12</v>
      </c>
      <c r="AT719" t="s">
        <v>327</v>
      </c>
      <c r="AV719" t="s">
        <v>3175</v>
      </c>
      <c r="CRL719">
        <v>12</v>
      </c>
    </row>
    <row r="720" spans="1:48 2508:2508" x14ac:dyDescent="0.25">
      <c r="A720" t="s">
        <v>3323</v>
      </c>
      <c r="B720" t="s">
        <v>302</v>
      </c>
      <c r="C720" t="s">
        <v>62</v>
      </c>
      <c r="D720">
        <v>99999</v>
      </c>
      <c r="F720" s="109">
        <v>14000</v>
      </c>
      <c r="G720" t="b">
        <v>0</v>
      </c>
      <c r="H720" t="s">
        <v>335</v>
      </c>
      <c r="K720" t="s">
        <v>349</v>
      </c>
      <c r="L720" t="s">
        <v>303</v>
      </c>
      <c r="M720" t="s">
        <v>323</v>
      </c>
      <c r="N720" t="s">
        <v>63</v>
      </c>
      <c r="O720" s="110">
        <v>29.9</v>
      </c>
      <c r="R720" s="110">
        <v>345.59</v>
      </c>
      <c r="S720" s="110">
        <v>107.5</v>
      </c>
      <c r="T720" s="110">
        <v>0</v>
      </c>
      <c r="U720" s="110">
        <v>34.99</v>
      </c>
      <c r="X720">
        <v>158.19999999999999</v>
      </c>
      <c r="Y720">
        <v>44.9</v>
      </c>
      <c r="Z720">
        <v>44.9</v>
      </c>
      <c r="AA720">
        <v>0</v>
      </c>
      <c r="AB720" t="s">
        <v>324</v>
      </c>
      <c r="AF720" t="s">
        <v>1605</v>
      </c>
      <c r="AG720" t="s">
        <v>1605</v>
      </c>
      <c r="AH720" t="s">
        <v>1606</v>
      </c>
      <c r="AI720">
        <v>99999</v>
      </c>
      <c r="AJ720">
        <v>99999</v>
      </c>
      <c r="AK720">
        <v>699</v>
      </c>
      <c r="AL720" t="b">
        <v>1</v>
      </c>
      <c r="AM720" t="b">
        <v>1</v>
      </c>
      <c r="AN720" t="b">
        <v>0</v>
      </c>
      <c r="AO720">
        <v>99999</v>
      </c>
      <c r="AP720" t="s">
        <v>64</v>
      </c>
      <c r="AR720" t="b">
        <v>0</v>
      </c>
      <c r="AS720">
        <v>12</v>
      </c>
      <c r="AT720" t="s">
        <v>327</v>
      </c>
      <c r="AV720" t="s">
        <v>1624</v>
      </c>
      <c r="CRL720">
        <v>12</v>
      </c>
    </row>
    <row r="721" spans="1:48 2508:2508" x14ac:dyDescent="0.25">
      <c r="A721" t="s">
        <v>3323</v>
      </c>
      <c r="B721" t="s">
        <v>302</v>
      </c>
      <c r="C721" t="s">
        <v>62</v>
      </c>
      <c r="D721">
        <v>99999</v>
      </c>
      <c r="F721" s="109">
        <v>14000</v>
      </c>
      <c r="G721" t="b">
        <v>0</v>
      </c>
      <c r="H721" t="s">
        <v>335</v>
      </c>
      <c r="K721" t="s">
        <v>349</v>
      </c>
      <c r="L721" t="s">
        <v>303</v>
      </c>
      <c r="M721" t="s">
        <v>323</v>
      </c>
      <c r="N721" t="s">
        <v>63</v>
      </c>
      <c r="O721" s="110">
        <v>29.9</v>
      </c>
      <c r="R721" s="110">
        <v>374.88999999999993</v>
      </c>
      <c r="S721" s="110">
        <v>107.5</v>
      </c>
      <c r="T721" s="110">
        <v>0</v>
      </c>
      <c r="U721" s="110">
        <v>42.99</v>
      </c>
      <c r="X721">
        <v>179.49999999999994</v>
      </c>
      <c r="Y721">
        <v>44.9</v>
      </c>
      <c r="Z721">
        <v>44.9</v>
      </c>
      <c r="AA721">
        <v>0</v>
      </c>
      <c r="AB721" t="s">
        <v>324</v>
      </c>
      <c r="AF721" t="s">
        <v>1754</v>
      </c>
      <c r="AG721" t="s">
        <v>1754</v>
      </c>
      <c r="AH721" t="s">
        <v>1606</v>
      </c>
      <c r="AI721">
        <v>99999</v>
      </c>
      <c r="AJ721">
        <v>99999</v>
      </c>
      <c r="AK721">
        <v>699</v>
      </c>
      <c r="AL721" t="b">
        <v>1</v>
      </c>
      <c r="AM721" t="b">
        <v>1</v>
      </c>
      <c r="AN721" t="b">
        <v>0</v>
      </c>
      <c r="AO721">
        <v>99999</v>
      </c>
      <c r="AP721" t="s">
        <v>64</v>
      </c>
      <c r="AR721" t="b">
        <v>0</v>
      </c>
      <c r="AS721">
        <v>12</v>
      </c>
      <c r="AT721" t="s">
        <v>327</v>
      </c>
      <c r="AV721" t="s">
        <v>1772</v>
      </c>
      <c r="CRL721">
        <v>12</v>
      </c>
    </row>
    <row r="722" spans="1:48 2508:2508" x14ac:dyDescent="0.25">
      <c r="A722" t="s">
        <v>3323</v>
      </c>
      <c r="B722" t="s">
        <v>302</v>
      </c>
      <c r="C722" t="s">
        <v>62</v>
      </c>
      <c r="D722">
        <v>99999</v>
      </c>
      <c r="F722" s="109">
        <v>14000</v>
      </c>
      <c r="G722" t="b">
        <v>0</v>
      </c>
      <c r="H722" t="s">
        <v>335</v>
      </c>
      <c r="K722" t="s">
        <v>349</v>
      </c>
      <c r="L722" t="s">
        <v>303</v>
      </c>
      <c r="M722" t="s">
        <v>323</v>
      </c>
      <c r="N722" t="s">
        <v>63</v>
      </c>
      <c r="O722" s="110">
        <v>39.9</v>
      </c>
      <c r="R722" s="110">
        <v>345.59</v>
      </c>
      <c r="S722" s="110">
        <v>107.5</v>
      </c>
      <c r="T722" s="110">
        <v>0</v>
      </c>
      <c r="U722" s="110">
        <v>34.99</v>
      </c>
      <c r="X722">
        <v>158.19999999999999</v>
      </c>
      <c r="Y722">
        <v>44.9</v>
      </c>
      <c r="Z722">
        <v>44.9</v>
      </c>
      <c r="AA722">
        <v>0</v>
      </c>
      <c r="AB722" t="s">
        <v>324</v>
      </c>
      <c r="AF722" t="s">
        <v>1673</v>
      </c>
      <c r="AG722" t="s">
        <v>1673</v>
      </c>
      <c r="AH722" t="s">
        <v>1606</v>
      </c>
      <c r="AI722">
        <v>99999</v>
      </c>
      <c r="AJ722">
        <v>99999</v>
      </c>
      <c r="AK722">
        <v>699</v>
      </c>
      <c r="AL722" t="b">
        <v>1</v>
      </c>
      <c r="AM722" t="b">
        <v>1</v>
      </c>
      <c r="AN722" t="b">
        <v>0</v>
      </c>
      <c r="AO722">
        <v>99999</v>
      </c>
      <c r="AP722" t="s">
        <v>64</v>
      </c>
      <c r="AR722" t="b">
        <v>0</v>
      </c>
      <c r="AS722">
        <v>12</v>
      </c>
      <c r="AT722" t="s">
        <v>327</v>
      </c>
      <c r="AV722" t="s">
        <v>1691</v>
      </c>
      <c r="CRL722">
        <v>12</v>
      </c>
    </row>
    <row r="723" spans="1:48 2508:2508" x14ac:dyDescent="0.25">
      <c r="A723" t="s">
        <v>3323</v>
      </c>
      <c r="B723" t="s">
        <v>302</v>
      </c>
      <c r="C723" t="s">
        <v>62</v>
      </c>
      <c r="D723">
        <v>99999</v>
      </c>
      <c r="F723" s="109">
        <v>14000</v>
      </c>
      <c r="G723" t="b">
        <v>0</v>
      </c>
      <c r="H723" t="s">
        <v>335</v>
      </c>
      <c r="K723" t="s">
        <v>349</v>
      </c>
      <c r="L723" t="s">
        <v>303</v>
      </c>
      <c r="M723" t="s">
        <v>323</v>
      </c>
      <c r="N723" t="s">
        <v>63</v>
      </c>
      <c r="O723" s="110">
        <v>39.9</v>
      </c>
      <c r="R723" s="110">
        <v>374.88999999999993</v>
      </c>
      <c r="S723" s="110">
        <v>107.5</v>
      </c>
      <c r="T723" s="110">
        <v>0</v>
      </c>
      <c r="U723" s="110">
        <v>42.99</v>
      </c>
      <c r="X723">
        <v>179.49999999999994</v>
      </c>
      <c r="Y723">
        <v>44.9</v>
      </c>
      <c r="Z723">
        <v>44.9</v>
      </c>
      <c r="AA723">
        <v>0</v>
      </c>
      <c r="AB723" t="s">
        <v>324</v>
      </c>
      <c r="AF723" t="s">
        <v>1821</v>
      </c>
      <c r="AG723" t="s">
        <v>1821</v>
      </c>
      <c r="AH723" t="s">
        <v>1606</v>
      </c>
      <c r="AI723">
        <v>99999</v>
      </c>
      <c r="AJ723">
        <v>99999</v>
      </c>
      <c r="AK723">
        <v>699</v>
      </c>
      <c r="AL723" t="b">
        <v>1</v>
      </c>
      <c r="AM723" t="b">
        <v>1</v>
      </c>
      <c r="AN723" t="b">
        <v>0</v>
      </c>
      <c r="AO723">
        <v>99999</v>
      </c>
      <c r="AP723" t="s">
        <v>64</v>
      </c>
      <c r="AR723" t="b">
        <v>0</v>
      </c>
      <c r="AS723">
        <v>12</v>
      </c>
      <c r="AT723" t="s">
        <v>327</v>
      </c>
      <c r="AV723" t="s">
        <v>1839</v>
      </c>
      <c r="CRL723">
        <v>12</v>
      </c>
    </row>
    <row r="724" spans="1:48 2508:2508" x14ac:dyDescent="0.25">
      <c r="A724" t="s">
        <v>3323</v>
      </c>
      <c r="B724" t="s">
        <v>302</v>
      </c>
      <c r="C724" t="s">
        <v>62</v>
      </c>
      <c r="D724">
        <v>99999</v>
      </c>
      <c r="F724" s="109">
        <v>14000</v>
      </c>
      <c r="G724" t="b">
        <v>0</v>
      </c>
      <c r="H724" t="s">
        <v>335</v>
      </c>
      <c r="K724" t="s">
        <v>349</v>
      </c>
      <c r="L724" t="s">
        <v>303</v>
      </c>
      <c r="M724" t="s">
        <v>323</v>
      </c>
      <c r="N724" t="s">
        <v>63</v>
      </c>
      <c r="O724" s="110">
        <v>49.9</v>
      </c>
      <c r="R724" s="110">
        <v>368.09</v>
      </c>
      <c r="S724" s="110">
        <v>130</v>
      </c>
      <c r="T724" s="110">
        <v>0</v>
      </c>
      <c r="U724" s="110">
        <v>34.99</v>
      </c>
      <c r="X724">
        <v>158.19999999999999</v>
      </c>
      <c r="Y724">
        <v>44.9</v>
      </c>
      <c r="Z724">
        <v>44.9</v>
      </c>
      <c r="AA724">
        <v>0</v>
      </c>
      <c r="AB724" t="s">
        <v>324</v>
      </c>
      <c r="AF724" t="s">
        <v>3033</v>
      </c>
      <c r="AG724" t="s">
        <v>3033</v>
      </c>
      <c r="AH724" t="s">
        <v>1606</v>
      </c>
      <c r="AI724">
        <v>99999</v>
      </c>
      <c r="AJ724">
        <v>99999</v>
      </c>
      <c r="AK724">
        <v>699</v>
      </c>
      <c r="AL724" t="b">
        <v>1</v>
      </c>
      <c r="AM724" t="b">
        <v>1</v>
      </c>
      <c r="AN724" t="b">
        <v>0</v>
      </c>
      <c r="AO724">
        <v>99999</v>
      </c>
      <c r="AP724" t="s">
        <v>64</v>
      </c>
      <c r="AR724" t="b">
        <v>0</v>
      </c>
      <c r="AS724">
        <v>12</v>
      </c>
      <c r="AT724" t="s">
        <v>327</v>
      </c>
      <c r="AV724" t="s">
        <v>3051</v>
      </c>
      <c r="CRL724">
        <v>12</v>
      </c>
    </row>
    <row r="725" spans="1:48 2508:2508" x14ac:dyDescent="0.25">
      <c r="A725" t="s">
        <v>3323</v>
      </c>
      <c r="B725" t="s">
        <v>302</v>
      </c>
      <c r="C725" t="s">
        <v>62</v>
      </c>
      <c r="D725">
        <v>99999</v>
      </c>
      <c r="F725" s="109">
        <v>14000</v>
      </c>
      <c r="G725" t="b">
        <v>0</v>
      </c>
      <c r="H725" t="s">
        <v>335</v>
      </c>
      <c r="K725" t="s">
        <v>349</v>
      </c>
      <c r="L725" t="s">
        <v>303</v>
      </c>
      <c r="M725" t="s">
        <v>323</v>
      </c>
      <c r="N725" t="s">
        <v>63</v>
      </c>
      <c r="O725" s="110">
        <v>49.9</v>
      </c>
      <c r="R725" s="110">
        <v>397.38999999999993</v>
      </c>
      <c r="S725" s="110">
        <v>130</v>
      </c>
      <c r="T725" s="110">
        <v>0</v>
      </c>
      <c r="U725" s="110">
        <v>42.99</v>
      </c>
      <c r="X725">
        <v>179.49999999999994</v>
      </c>
      <c r="Y725">
        <v>44.9</v>
      </c>
      <c r="Z725">
        <v>44.9</v>
      </c>
      <c r="AA725">
        <v>0</v>
      </c>
      <c r="AB725" t="s">
        <v>324</v>
      </c>
      <c r="AF725" t="s">
        <v>3107</v>
      </c>
      <c r="AG725" t="s">
        <v>3107</v>
      </c>
      <c r="AH725" t="s">
        <v>1606</v>
      </c>
      <c r="AI725">
        <v>99999</v>
      </c>
      <c r="AJ725">
        <v>99999</v>
      </c>
      <c r="AK725">
        <v>699</v>
      </c>
      <c r="AL725" t="b">
        <v>1</v>
      </c>
      <c r="AM725" t="b">
        <v>1</v>
      </c>
      <c r="AN725" t="b">
        <v>0</v>
      </c>
      <c r="AO725">
        <v>99999</v>
      </c>
      <c r="AP725" t="s">
        <v>64</v>
      </c>
      <c r="AR725" t="b">
        <v>0</v>
      </c>
      <c r="AS725">
        <v>12</v>
      </c>
      <c r="AT725" t="s">
        <v>327</v>
      </c>
      <c r="AV725" t="s">
        <v>3125</v>
      </c>
      <c r="CRL725">
        <v>12</v>
      </c>
    </row>
    <row r="726" spans="1:48 2508:2508" x14ac:dyDescent="0.25">
      <c r="A726" t="s">
        <v>3323</v>
      </c>
      <c r="B726" t="s">
        <v>302</v>
      </c>
      <c r="C726" t="s">
        <v>62</v>
      </c>
      <c r="D726">
        <v>99999</v>
      </c>
      <c r="F726" s="109">
        <v>14000</v>
      </c>
      <c r="G726" t="b">
        <v>0</v>
      </c>
      <c r="H726" t="s">
        <v>335</v>
      </c>
      <c r="K726" t="s">
        <v>393</v>
      </c>
      <c r="L726" t="s">
        <v>303</v>
      </c>
      <c r="M726" t="s">
        <v>323</v>
      </c>
      <c r="N726" t="s">
        <v>63</v>
      </c>
      <c r="O726" s="110">
        <v>29.9</v>
      </c>
      <c r="R726" s="110">
        <v>370.59000000000003</v>
      </c>
      <c r="S726" s="110">
        <v>107.5</v>
      </c>
      <c r="T726" s="110">
        <v>0</v>
      </c>
      <c r="U726" s="110">
        <v>34.99</v>
      </c>
      <c r="X726">
        <v>158.19999999999999</v>
      </c>
      <c r="Y726">
        <v>69.900000000000006</v>
      </c>
      <c r="Z726">
        <v>69.900000000000006</v>
      </c>
      <c r="AA726">
        <v>0</v>
      </c>
      <c r="AB726" t="s">
        <v>363</v>
      </c>
      <c r="AF726" t="s">
        <v>1633</v>
      </c>
      <c r="AG726" t="s">
        <v>1633</v>
      </c>
      <c r="AH726" t="s">
        <v>1606</v>
      </c>
      <c r="AI726">
        <v>99999</v>
      </c>
      <c r="AJ726">
        <v>99999</v>
      </c>
      <c r="AK726">
        <v>699</v>
      </c>
      <c r="AL726" t="b">
        <v>1</v>
      </c>
      <c r="AM726" t="b">
        <v>1</v>
      </c>
      <c r="AN726" t="b">
        <v>0</v>
      </c>
      <c r="AO726">
        <v>99999</v>
      </c>
      <c r="AP726" t="s">
        <v>64</v>
      </c>
      <c r="AR726" t="b">
        <v>0</v>
      </c>
      <c r="AS726">
        <v>12</v>
      </c>
      <c r="AT726" t="s">
        <v>327</v>
      </c>
      <c r="AV726" t="s">
        <v>1664</v>
      </c>
      <c r="CRL726">
        <v>12</v>
      </c>
    </row>
    <row r="727" spans="1:48 2508:2508" x14ac:dyDescent="0.25">
      <c r="A727" t="s">
        <v>3323</v>
      </c>
      <c r="B727" t="s">
        <v>302</v>
      </c>
      <c r="C727" t="s">
        <v>62</v>
      </c>
      <c r="D727">
        <v>99999</v>
      </c>
      <c r="F727" s="109">
        <v>14000</v>
      </c>
      <c r="G727" t="b">
        <v>0</v>
      </c>
      <c r="H727" t="s">
        <v>335</v>
      </c>
      <c r="K727" t="s">
        <v>393</v>
      </c>
      <c r="L727" t="s">
        <v>303</v>
      </c>
      <c r="M727" t="s">
        <v>323</v>
      </c>
      <c r="N727" t="s">
        <v>63</v>
      </c>
      <c r="O727" s="110">
        <v>29.9</v>
      </c>
      <c r="R727" s="110">
        <v>399.89</v>
      </c>
      <c r="S727" s="110">
        <v>107.5</v>
      </c>
      <c r="T727" s="110">
        <v>0</v>
      </c>
      <c r="U727" s="110">
        <v>42.99</v>
      </c>
      <c r="X727">
        <v>179.49999999999994</v>
      </c>
      <c r="Y727">
        <v>69.900000000000006</v>
      </c>
      <c r="Z727">
        <v>69.900000000000006</v>
      </c>
      <c r="AA727">
        <v>0</v>
      </c>
      <c r="AB727" t="s">
        <v>363</v>
      </c>
      <c r="AF727" t="s">
        <v>1781</v>
      </c>
      <c r="AG727" t="s">
        <v>1781</v>
      </c>
      <c r="AH727" t="s">
        <v>1606</v>
      </c>
      <c r="AI727">
        <v>99999</v>
      </c>
      <c r="AJ727">
        <v>99999</v>
      </c>
      <c r="AK727">
        <v>699</v>
      </c>
      <c r="AL727" t="b">
        <v>1</v>
      </c>
      <c r="AM727" t="b">
        <v>1</v>
      </c>
      <c r="AN727" t="b">
        <v>0</v>
      </c>
      <c r="AO727">
        <v>99999</v>
      </c>
      <c r="AP727" t="s">
        <v>64</v>
      </c>
      <c r="AR727" t="b">
        <v>0</v>
      </c>
      <c r="AS727">
        <v>12</v>
      </c>
      <c r="AT727" t="s">
        <v>327</v>
      </c>
      <c r="AV727" t="s">
        <v>1812</v>
      </c>
      <c r="CRL727">
        <v>12</v>
      </c>
    </row>
    <row r="728" spans="1:48 2508:2508" x14ac:dyDescent="0.25">
      <c r="A728" t="s">
        <v>3323</v>
      </c>
      <c r="B728" t="s">
        <v>302</v>
      </c>
      <c r="C728" t="s">
        <v>62</v>
      </c>
      <c r="D728">
        <v>99999</v>
      </c>
      <c r="F728" s="109">
        <v>14000</v>
      </c>
      <c r="G728" t="b">
        <v>0</v>
      </c>
      <c r="H728" t="s">
        <v>335</v>
      </c>
      <c r="K728" t="s">
        <v>393</v>
      </c>
      <c r="L728" t="s">
        <v>303</v>
      </c>
      <c r="M728" t="s">
        <v>323</v>
      </c>
      <c r="N728" t="s">
        <v>63</v>
      </c>
      <c r="O728" s="110">
        <v>39.9</v>
      </c>
      <c r="R728" s="110">
        <v>370.59000000000003</v>
      </c>
      <c r="S728" s="110">
        <v>107.5</v>
      </c>
      <c r="T728" s="110">
        <v>0</v>
      </c>
      <c r="U728" s="110">
        <v>34.99</v>
      </c>
      <c r="X728">
        <v>158.19999999999999</v>
      </c>
      <c r="Y728">
        <v>69.900000000000006</v>
      </c>
      <c r="Z728">
        <v>69.900000000000006</v>
      </c>
      <c r="AA728">
        <v>0</v>
      </c>
      <c r="AB728" t="s">
        <v>363</v>
      </c>
      <c r="AF728" t="s">
        <v>1700</v>
      </c>
      <c r="AG728" t="s">
        <v>1700</v>
      </c>
      <c r="AH728" t="s">
        <v>1606</v>
      </c>
      <c r="AI728">
        <v>99999</v>
      </c>
      <c r="AJ728">
        <v>99999</v>
      </c>
      <c r="AK728">
        <v>699</v>
      </c>
      <c r="AL728" t="b">
        <v>1</v>
      </c>
      <c r="AM728" t="b">
        <v>1</v>
      </c>
      <c r="AN728" t="b">
        <v>0</v>
      </c>
      <c r="AO728">
        <v>99999</v>
      </c>
      <c r="AP728" t="s">
        <v>64</v>
      </c>
      <c r="AR728" t="b">
        <v>0</v>
      </c>
      <c r="AS728">
        <v>12</v>
      </c>
      <c r="AT728" t="s">
        <v>327</v>
      </c>
      <c r="AV728" t="s">
        <v>1731</v>
      </c>
      <c r="CRL728">
        <v>12</v>
      </c>
    </row>
    <row r="729" spans="1:48 2508:2508" x14ac:dyDescent="0.25">
      <c r="A729" t="s">
        <v>3323</v>
      </c>
      <c r="B729" t="s">
        <v>302</v>
      </c>
      <c r="C729" t="s">
        <v>62</v>
      </c>
      <c r="D729">
        <v>99999</v>
      </c>
      <c r="F729" s="109">
        <v>14000</v>
      </c>
      <c r="G729" t="b">
        <v>0</v>
      </c>
      <c r="H729" t="s">
        <v>335</v>
      </c>
      <c r="K729" t="s">
        <v>393</v>
      </c>
      <c r="L729" t="s">
        <v>303</v>
      </c>
      <c r="M729" t="s">
        <v>323</v>
      </c>
      <c r="N729" t="s">
        <v>63</v>
      </c>
      <c r="O729" s="110">
        <v>39.9</v>
      </c>
      <c r="R729" s="110">
        <v>399.89</v>
      </c>
      <c r="S729" s="110">
        <v>107.5</v>
      </c>
      <c r="T729" s="110">
        <v>0</v>
      </c>
      <c r="U729" s="110">
        <v>42.99</v>
      </c>
      <c r="X729">
        <v>179.49999999999994</v>
      </c>
      <c r="Y729">
        <v>69.900000000000006</v>
      </c>
      <c r="Z729">
        <v>69.900000000000006</v>
      </c>
      <c r="AA729">
        <v>0</v>
      </c>
      <c r="AB729" t="s">
        <v>363</v>
      </c>
      <c r="AF729" t="s">
        <v>1848</v>
      </c>
      <c r="AG729" t="s">
        <v>1848</v>
      </c>
      <c r="AH729" t="s">
        <v>1606</v>
      </c>
      <c r="AI729">
        <v>99999</v>
      </c>
      <c r="AJ729">
        <v>99999</v>
      </c>
      <c r="AK729">
        <v>699</v>
      </c>
      <c r="AL729" t="b">
        <v>1</v>
      </c>
      <c r="AM729" t="b">
        <v>1</v>
      </c>
      <c r="AN729" t="b">
        <v>0</v>
      </c>
      <c r="AO729">
        <v>99999</v>
      </c>
      <c r="AP729" t="s">
        <v>64</v>
      </c>
      <c r="AR729" t="b">
        <v>0</v>
      </c>
      <c r="AS729">
        <v>12</v>
      </c>
      <c r="AT729" t="s">
        <v>327</v>
      </c>
      <c r="AV729" t="s">
        <v>1879</v>
      </c>
      <c r="CRL729">
        <v>12</v>
      </c>
    </row>
    <row r="730" spans="1:48 2508:2508" x14ac:dyDescent="0.25">
      <c r="A730" t="s">
        <v>3323</v>
      </c>
      <c r="B730" t="s">
        <v>302</v>
      </c>
      <c r="C730" t="s">
        <v>62</v>
      </c>
      <c r="D730">
        <v>99999</v>
      </c>
      <c r="F730" s="109">
        <v>14000</v>
      </c>
      <c r="G730" t="b">
        <v>0</v>
      </c>
      <c r="H730" t="s">
        <v>335</v>
      </c>
      <c r="K730" t="s">
        <v>393</v>
      </c>
      <c r="L730" t="s">
        <v>303</v>
      </c>
      <c r="M730" t="s">
        <v>323</v>
      </c>
      <c r="N730" t="s">
        <v>63</v>
      </c>
      <c r="O730" s="110">
        <v>49.9</v>
      </c>
      <c r="R730" s="110">
        <v>393.09000000000003</v>
      </c>
      <c r="S730" s="110">
        <v>130</v>
      </c>
      <c r="T730" s="110">
        <v>0</v>
      </c>
      <c r="U730" s="110">
        <v>34.99</v>
      </c>
      <c r="X730">
        <v>158.19999999999999</v>
      </c>
      <c r="Y730">
        <v>69.900000000000006</v>
      </c>
      <c r="Z730">
        <v>69.900000000000006</v>
      </c>
      <c r="AA730">
        <v>0</v>
      </c>
      <c r="AB730" t="s">
        <v>363</v>
      </c>
      <c r="AF730" t="s">
        <v>3060</v>
      </c>
      <c r="AG730" t="s">
        <v>3060</v>
      </c>
      <c r="AH730" t="s">
        <v>1606</v>
      </c>
      <c r="AI730">
        <v>99999</v>
      </c>
      <c r="AJ730">
        <v>99999</v>
      </c>
      <c r="AK730">
        <v>699</v>
      </c>
      <c r="AL730" t="b">
        <v>1</v>
      </c>
      <c r="AM730" t="b">
        <v>1</v>
      </c>
      <c r="AN730" t="b">
        <v>0</v>
      </c>
      <c r="AO730">
        <v>99999</v>
      </c>
      <c r="AP730" t="s">
        <v>64</v>
      </c>
      <c r="AR730" t="b">
        <v>0</v>
      </c>
      <c r="AS730">
        <v>12</v>
      </c>
      <c r="AT730" t="s">
        <v>327</v>
      </c>
      <c r="AV730" t="s">
        <v>3091</v>
      </c>
      <c r="CRL730">
        <v>12</v>
      </c>
    </row>
    <row r="731" spans="1:48 2508:2508" x14ac:dyDescent="0.25">
      <c r="A731" t="s">
        <v>3323</v>
      </c>
      <c r="B731" t="s">
        <v>302</v>
      </c>
      <c r="C731" t="s">
        <v>62</v>
      </c>
      <c r="D731">
        <v>99999</v>
      </c>
      <c r="F731" s="109">
        <v>14000</v>
      </c>
      <c r="G731" t="b">
        <v>0</v>
      </c>
      <c r="H731" t="s">
        <v>335</v>
      </c>
      <c r="K731" t="s">
        <v>393</v>
      </c>
      <c r="L731" t="s">
        <v>303</v>
      </c>
      <c r="M731" t="s">
        <v>323</v>
      </c>
      <c r="N731" t="s">
        <v>63</v>
      </c>
      <c r="O731" s="110">
        <v>49.9</v>
      </c>
      <c r="R731" s="110">
        <v>422.39</v>
      </c>
      <c r="S731" s="110">
        <v>130</v>
      </c>
      <c r="T731" s="110">
        <v>0</v>
      </c>
      <c r="U731" s="110">
        <v>42.99</v>
      </c>
      <c r="X731">
        <v>179.49999999999994</v>
      </c>
      <c r="Y731">
        <v>69.900000000000006</v>
      </c>
      <c r="Z731">
        <v>69.900000000000006</v>
      </c>
      <c r="AA731">
        <v>0</v>
      </c>
      <c r="AB731" t="s">
        <v>363</v>
      </c>
      <c r="AF731" t="s">
        <v>3134</v>
      </c>
      <c r="AG731" t="s">
        <v>3134</v>
      </c>
      <c r="AH731" t="s">
        <v>1606</v>
      </c>
      <c r="AI731">
        <v>99999</v>
      </c>
      <c r="AJ731">
        <v>99999</v>
      </c>
      <c r="AK731">
        <v>699</v>
      </c>
      <c r="AL731" t="b">
        <v>1</v>
      </c>
      <c r="AM731" t="b">
        <v>1</v>
      </c>
      <c r="AN731" t="b">
        <v>0</v>
      </c>
      <c r="AO731">
        <v>99999</v>
      </c>
      <c r="AP731" t="s">
        <v>64</v>
      </c>
      <c r="AR731" t="b">
        <v>0</v>
      </c>
      <c r="AS731">
        <v>12</v>
      </c>
      <c r="AT731" t="s">
        <v>327</v>
      </c>
      <c r="AV731" t="s">
        <v>3165</v>
      </c>
      <c r="CRL731">
        <v>12</v>
      </c>
    </row>
    <row r="732" spans="1:48 2508:2508" x14ac:dyDescent="0.25">
      <c r="A732" t="s">
        <v>3323</v>
      </c>
      <c r="B732" t="s">
        <v>302</v>
      </c>
      <c r="C732" t="s">
        <v>62</v>
      </c>
      <c r="D732">
        <v>99999</v>
      </c>
      <c r="F732" s="109">
        <v>14000</v>
      </c>
      <c r="G732" t="b">
        <v>0</v>
      </c>
      <c r="H732" t="s">
        <v>335</v>
      </c>
      <c r="K732" t="s">
        <v>364</v>
      </c>
      <c r="L732" t="s">
        <v>303</v>
      </c>
      <c r="M732" t="s">
        <v>323</v>
      </c>
      <c r="N732" t="s">
        <v>63</v>
      </c>
      <c r="O732" s="110">
        <v>29.9</v>
      </c>
      <c r="R732" s="110">
        <v>350.59</v>
      </c>
      <c r="S732" s="110">
        <v>107.5</v>
      </c>
      <c r="T732" s="110">
        <v>0</v>
      </c>
      <c r="U732" s="110">
        <v>34.99</v>
      </c>
      <c r="X732">
        <v>158.19999999999999</v>
      </c>
      <c r="Y732">
        <v>49.9</v>
      </c>
      <c r="Z732">
        <v>49.9</v>
      </c>
      <c r="AA732">
        <v>0</v>
      </c>
      <c r="AB732" t="s">
        <v>363</v>
      </c>
      <c r="AF732" t="s">
        <v>1633</v>
      </c>
      <c r="AG732" t="s">
        <v>1633</v>
      </c>
      <c r="AH732" t="s">
        <v>1606</v>
      </c>
      <c r="AI732">
        <v>99999</v>
      </c>
      <c r="AJ732">
        <v>99999</v>
      </c>
      <c r="AK732">
        <v>699</v>
      </c>
      <c r="AL732" t="b">
        <v>1</v>
      </c>
      <c r="AM732" t="b">
        <v>1</v>
      </c>
      <c r="AN732" t="b">
        <v>0</v>
      </c>
      <c r="AO732">
        <v>99999</v>
      </c>
      <c r="AP732" t="s">
        <v>64</v>
      </c>
      <c r="AR732" t="b">
        <v>0</v>
      </c>
      <c r="AS732">
        <v>12</v>
      </c>
      <c r="AT732" t="s">
        <v>327</v>
      </c>
      <c r="AV732" t="s">
        <v>1638</v>
      </c>
      <c r="CRL732">
        <v>12</v>
      </c>
    </row>
    <row r="733" spans="1:48 2508:2508" x14ac:dyDescent="0.25">
      <c r="A733" t="s">
        <v>3323</v>
      </c>
      <c r="B733" t="s">
        <v>302</v>
      </c>
      <c r="C733" t="s">
        <v>62</v>
      </c>
      <c r="D733">
        <v>99999</v>
      </c>
      <c r="F733" s="109">
        <v>14000</v>
      </c>
      <c r="G733" t="b">
        <v>0</v>
      </c>
      <c r="H733" t="s">
        <v>335</v>
      </c>
      <c r="K733" t="s">
        <v>364</v>
      </c>
      <c r="L733" t="s">
        <v>303</v>
      </c>
      <c r="M733" t="s">
        <v>323</v>
      </c>
      <c r="N733" t="s">
        <v>63</v>
      </c>
      <c r="O733" s="110">
        <v>29.9</v>
      </c>
      <c r="R733" s="110">
        <v>379.88999999999993</v>
      </c>
      <c r="S733" s="110">
        <v>107.5</v>
      </c>
      <c r="T733" s="110">
        <v>0</v>
      </c>
      <c r="U733" s="110">
        <v>42.99</v>
      </c>
      <c r="X733">
        <v>179.49999999999994</v>
      </c>
      <c r="Y733">
        <v>49.9</v>
      </c>
      <c r="Z733">
        <v>49.9</v>
      </c>
      <c r="AA733">
        <v>0</v>
      </c>
      <c r="AB733" t="s">
        <v>363</v>
      </c>
      <c r="AF733" t="s">
        <v>1781</v>
      </c>
      <c r="AG733" t="s">
        <v>1781</v>
      </c>
      <c r="AH733" t="s">
        <v>1606</v>
      </c>
      <c r="AI733">
        <v>99999</v>
      </c>
      <c r="AJ733">
        <v>99999</v>
      </c>
      <c r="AK733">
        <v>699</v>
      </c>
      <c r="AL733" t="b">
        <v>1</v>
      </c>
      <c r="AM733" t="b">
        <v>1</v>
      </c>
      <c r="AN733" t="b">
        <v>0</v>
      </c>
      <c r="AO733">
        <v>99999</v>
      </c>
      <c r="AP733" t="s">
        <v>64</v>
      </c>
      <c r="AR733" t="b">
        <v>0</v>
      </c>
      <c r="AS733">
        <v>12</v>
      </c>
      <c r="AT733" t="s">
        <v>327</v>
      </c>
      <c r="AV733" t="s">
        <v>1786</v>
      </c>
      <c r="CRL733">
        <v>12</v>
      </c>
    </row>
    <row r="734" spans="1:48 2508:2508" x14ac:dyDescent="0.25">
      <c r="A734" t="s">
        <v>3323</v>
      </c>
      <c r="B734" t="s">
        <v>302</v>
      </c>
      <c r="C734" t="s">
        <v>62</v>
      </c>
      <c r="D734">
        <v>99999</v>
      </c>
      <c r="F734" s="109">
        <v>14000</v>
      </c>
      <c r="G734" t="b">
        <v>0</v>
      </c>
      <c r="H734" t="s">
        <v>335</v>
      </c>
      <c r="K734" t="s">
        <v>364</v>
      </c>
      <c r="L734" t="s">
        <v>303</v>
      </c>
      <c r="M734" t="s">
        <v>323</v>
      </c>
      <c r="N734" t="s">
        <v>63</v>
      </c>
      <c r="O734" s="110">
        <v>39.9</v>
      </c>
      <c r="R734" s="110">
        <v>350.59</v>
      </c>
      <c r="S734" s="110">
        <v>107.5</v>
      </c>
      <c r="T734" s="110">
        <v>0</v>
      </c>
      <c r="U734" s="110">
        <v>34.99</v>
      </c>
      <c r="X734">
        <v>158.19999999999999</v>
      </c>
      <c r="Y734">
        <v>49.9</v>
      </c>
      <c r="Z734">
        <v>49.9</v>
      </c>
      <c r="AA734">
        <v>0</v>
      </c>
      <c r="AB734" t="s">
        <v>363</v>
      </c>
      <c r="AF734" t="s">
        <v>1700</v>
      </c>
      <c r="AG734" t="s">
        <v>1700</v>
      </c>
      <c r="AH734" t="s">
        <v>1606</v>
      </c>
      <c r="AI734">
        <v>99999</v>
      </c>
      <c r="AJ734">
        <v>99999</v>
      </c>
      <c r="AK734">
        <v>699</v>
      </c>
      <c r="AL734" t="b">
        <v>1</v>
      </c>
      <c r="AM734" t="b">
        <v>1</v>
      </c>
      <c r="AN734" t="b">
        <v>0</v>
      </c>
      <c r="AO734">
        <v>99999</v>
      </c>
      <c r="AP734" t="s">
        <v>64</v>
      </c>
      <c r="AR734" t="b">
        <v>0</v>
      </c>
      <c r="AS734">
        <v>12</v>
      </c>
      <c r="AT734" t="s">
        <v>327</v>
      </c>
      <c r="AV734" t="s">
        <v>1705</v>
      </c>
      <c r="CRL734">
        <v>12</v>
      </c>
    </row>
    <row r="735" spans="1:48 2508:2508" x14ac:dyDescent="0.25">
      <c r="A735" t="s">
        <v>3323</v>
      </c>
      <c r="B735" t="s">
        <v>302</v>
      </c>
      <c r="C735" t="s">
        <v>62</v>
      </c>
      <c r="D735">
        <v>99999</v>
      </c>
      <c r="F735" s="109">
        <v>14000</v>
      </c>
      <c r="G735" t="b">
        <v>0</v>
      </c>
      <c r="H735" t="s">
        <v>335</v>
      </c>
      <c r="K735" t="s">
        <v>364</v>
      </c>
      <c r="L735" t="s">
        <v>303</v>
      </c>
      <c r="M735" t="s">
        <v>323</v>
      </c>
      <c r="N735" t="s">
        <v>63</v>
      </c>
      <c r="O735" s="110">
        <v>39.9</v>
      </c>
      <c r="R735" s="110">
        <v>379.88999999999993</v>
      </c>
      <c r="S735" s="110">
        <v>107.5</v>
      </c>
      <c r="T735" s="110">
        <v>0</v>
      </c>
      <c r="U735" s="110">
        <v>42.99</v>
      </c>
      <c r="X735">
        <v>179.49999999999994</v>
      </c>
      <c r="Y735">
        <v>49.9</v>
      </c>
      <c r="Z735">
        <v>49.9</v>
      </c>
      <c r="AA735">
        <v>0</v>
      </c>
      <c r="AB735" t="s">
        <v>363</v>
      </c>
      <c r="AF735" t="s">
        <v>1848</v>
      </c>
      <c r="AG735" t="s">
        <v>1848</v>
      </c>
      <c r="AH735" t="s">
        <v>1606</v>
      </c>
      <c r="AI735">
        <v>99999</v>
      </c>
      <c r="AJ735">
        <v>99999</v>
      </c>
      <c r="AK735">
        <v>699</v>
      </c>
      <c r="AL735" t="b">
        <v>1</v>
      </c>
      <c r="AM735" t="b">
        <v>1</v>
      </c>
      <c r="AN735" t="b">
        <v>0</v>
      </c>
      <c r="AO735">
        <v>99999</v>
      </c>
      <c r="AP735" t="s">
        <v>64</v>
      </c>
      <c r="AR735" t="b">
        <v>0</v>
      </c>
      <c r="AS735">
        <v>12</v>
      </c>
      <c r="AT735" t="s">
        <v>327</v>
      </c>
      <c r="AV735" t="s">
        <v>1853</v>
      </c>
      <c r="CRL735">
        <v>12</v>
      </c>
    </row>
    <row r="736" spans="1:48 2508:2508" x14ac:dyDescent="0.25">
      <c r="A736" t="s">
        <v>3323</v>
      </c>
      <c r="B736" t="s">
        <v>302</v>
      </c>
      <c r="C736" t="s">
        <v>62</v>
      </c>
      <c r="D736">
        <v>99999</v>
      </c>
      <c r="F736" s="109">
        <v>14000</v>
      </c>
      <c r="G736" t="b">
        <v>0</v>
      </c>
      <c r="H736" t="s">
        <v>335</v>
      </c>
      <c r="K736" t="s">
        <v>364</v>
      </c>
      <c r="L736" t="s">
        <v>303</v>
      </c>
      <c r="M736" t="s">
        <v>323</v>
      </c>
      <c r="N736" t="s">
        <v>63</v>
      </c>
      <c r="O736" s="110">
        <v>49.9</v>
      </c>
      <c r="R736" s="110">
        <v>373.09</v>
      </c>
      <c r="S736" s="110">
        <v>130</v>
      </c>
      <c r="T736" s="110">
        <v>0</v>
      </c>
      <c r="U736" s="110">
        <v>34.99</v>
      </c>
      <c r="X736">
        <v>158.19999999999999</v>
      </c>
      <c r="Y736">
        <v>49.9</v>
      </c>
      <c r="Z736">
        <v>49.9</v>
      </c>
      <c r="AA736">
        <v>0</v>
      </c>
      <c r="AB736" t="s">
        <v>363</v>
      </c>
      <c r="AF736" t="s">
        <v>3060</v>
      </c>
      <c r="AG736" t="s">
        <v>3060</v>
      </c>
      <c r="AH736" t="s">
        <v>1606</v>
      </c>
      <c r="AI736">
        <v>99999</v>
      </c>
      <c r="AJ736">
        <v>99999</v>
      </c>
      <c r="AK736">
        <v>699</v>
      </c>
      <c r="AL736" t="b">
        <v>1</v>
      </c>
      <c r="AM736" t="b">
        <v>1</v>
      </c>
      <c r="AN736" t="b">
        <v>0</v>
      </c>
      <c r="AO736">
        <v>99999</v>
      </c>
      <c r="AP736" t="s">
        <v>64</v>
      </c>
      <c r="AR736" t="b">
        <v>0</v>
      </c>
      <c r="AS736">
        <v>12</v>
      </c>
      <c r="AT736" t="s">
        <v>327</v>
      </c>
      <c r="AV736" t="s">
        <v>3065</v>
      </c>
      <c r="CRL736">
        <v>12</v>
      </c>
    </row>
    <row r="737" spans="1:48 2508:2508" x14ac:dyDescent="0.25">
      <c r="A737" t="s">
        <v>3323</v>
      </c>
      <c r="B737" t="s">
        <v>302</v>
      </c>
      <c r="C737" t="s">
        <v>62</v>
      </c>
      <c r="D737">
        <v>99999</v>
      </c>
      <c r="F737" s="109">
        <v>14000</v>
      </c>
      <c r="G737" t="b">
        <v>0</v>
      </c>
      <c r="H737" t="s">
        <v>335</v>
      </c>
      <c r="K737" t="s">
        <v>364</v>
      </c>
      <c r="L737" t="s">
        <v>303</v>
      </c>
      <c r="M737" t="s">
        <v>323</v>
      </c>
      <c r="N737" t="s">
        <v>63</v>
      </c>
      <c r="O737" s="110">
        <v>49.9</v>
      </c>
      <c r="R737" s="110">
        <v>402.38999999999993</v>
      </c>
      <c r="S737" s="110">
        <v>130</v>
      </c>
      <c r="T737" s="110">
        <v>0</v>
      </c>
      <c r="U737" s="110">
        <v>42.99</v>
      </c>
      <c r="X737">
        <v>179.49999999999994</v>
      </c>
      <c r="Y737">
        <v>49.9</v>
      </c>
      <c r="Z737">
        <v>49.9</v>
      </c>
      <c r="AA737">
        <v>0</v>
      </c>
      <c r="AB737" t="s">
        <v>363</v>
      </c>
      <c r="AF737" t="s">
        <v>3134</v>
      </c>
      <c r="AG737" t="s">
        <v>3134</v>
      </c>
      <c r="AH737" t="s">
        <v>1606</v>
      </c>
      <c r="AI737">
        <v>99999</v>
      </c>
      <c r="AJ737">
        <v>99999</v>
      </c>
      <c r="AK737">
        <v>699</v>
      </c>
      <c r="AL737" t="b">
        <v>1</v>
      </c>
      <c r="AM737" t="b">
        <v>1</v>
      </c>
      <c r="AN737" t="b">
        <v>0</v>
      </c>
      <c r="AO737">
        <v>99999</v>
      </c>
      <c r="AP737" t="s">
        <v>64</v>
      </c>
      <c r="AR737" t="b">
        <v>0</v>
      </c>
      <c r="AS737">
        <v>12</v>
      </c>
      <c r="AT737" t="s">
        <v>327</v>
      </c>
      <c r="AV737" t="s">
        <v>3139</v>
      </c>
      <c r="CRL737">
        <v>12</v>
      </c>
    </row>
    <row r="738" spans="1:48 2508:2508" x14ac:dyDescent="0.25">
      <c r="A738" t="s">
        <v>3323</v>
      </c>
      <c r="B738" t="s">
        <v>302</v>
      </c>
      <c r="C738" t="s">
        <v>62</v>
      </c>
      <c r="D738">
        <v>99999</v>
      </c>
      <c r="F738" s="109">
        <v>14000</v>
      </c>
      <c r="G738" t="b">
        <v>0</v>
      </c>
      <c r="H738" t="s">
        <v>335</v>
      </c>
      <c r="K738" t="s">
        <v>379</v>
      </c>
      <c r="L738" t="s">
        <v>303</v>
      </c>
      <c r="M738" t="s">
        <v>323</v>
      </c>
      <c r="N738" t="s">
        <v>63</v>
      </c>
      <c r="O738" s="110">
        <v>29.9</v>
      </c>
      <c r="R738" s="110">
        <v>360.59</v>
      </c>
      <c r="S738" s="110">
        <v>107.5</v>
      </c>
      <c r="T738" s="110">
        <v>0</v>
      </c>
      <c r="U738" s="110">
        <v>34.99</v>
      </c>
      <c r="X738">
        <v>158.19999999999999</v>
      </c>
      <c r="Y738">
        <v>59.9</v>
      </c>
      <c r="Z738">
        <v>59.9</v>
      </c>
      <c r="AA738">
        <v>0</v>
      </c>
      <c r="AB738" t="s">
        <v>363</v>
      </c>
      <c r="AF738" t="s">
        <v>1633</v>
      </c>
      <c r="AG738" t="s">
        <v>1633</v>
      </c>
      <c r="AH738" t="s">
        <v>1606</v>
      </c>
      <c r="AI738">
        <v>99999</v>
      </c>
      <c r="AJ738">
        <v>99999</v>
      </c>
      <c r="AK738">
        <v>699</v>
      </c>
      <c r="AL738" t="b">
        <v>1</v>
      </c>
      <c r="AM738" t="b">
        <v>1</v>
      </c>
      <c r="AN738" t="b">
        <v>0</v>
      </c>
      <c r="AO738">
        <v>99999</v>
      </c>
      <c r="AP738" t="s">
        <v>64</v>
      </c>
      <c r="AR738" t="b">
        <v>0</v>
      </c>
      <c r="AS738">
        <v>12</v>
      </c>
      <c r="AT738" t="s">
        <v>327</v>
      </c>
      <c r="AV738" t="s">
        <v>1651</v>
      </c>
      <c r="CRL738">
        <v>12</v>
      </c>
    </row>
    <row r="739" spans="1:48 2508:2508" x14ac:dyDescent="0.25">
      <c r="A739" t="s">
        <v>3323</v>
      </c>
      <c r="B739" t="s">
        <v>302</v>
      </c>
      <c r="C739" t="s">
        <v>62</v>
      </c>
      <c r="D739">
        <v>99999</v>
      </c>
      <c r="F739" s="109">
        <v>14000</v>
      </c>
      <c r="G739" t="b">
        <v>0</v>
      </c>
      <c r="H739" t="s">
        <v>335</v>
      </c>
      <c r="K739" t="s">
        <v>379</v>
      </c>
      <c r="L739" t="s">
        <v>303</v>
      </c>
      <c r="M739" t="s">
        <v>323</v>
      </c>
      <c r="N739" t="s">
        <v>63</v>
      </c>
      <c r="O739" s="110">
        <v>29.9</v>
      </c>
      <c r="R739" s="110">
        <v>389.88999999999993</v>
      </c>
      <c r="S739" s="110">
        <v>107.5</v>
      </c>
      <c r="T739" s="110">
        <v>0</v>
      </c>
      <c r="U739" s="110">
        <v>42.99</v>
      </c>
      <c r="X739">
        <v>179.49999999999994</v>
      </c>
      <c r="Y739">
        <v>59.9</v>
      </c>
      <c r="Z739">
        <v>59.9</v>
      </c>
      <c r="AA739">
        <v>0</v>
      </c>
      <c r="AB739" t="s">
        <v>363</v>
      </c>
      <c r="AF739" t="s">
        <v>1781</v>
      </c>
      <c r="AG739" t="s">
        <v>1781</v>
      </c>
      <c r="AH739" t="s">
        <v>1606</v>
      </c>
      <c r="AI739">
        <v>99999</v>
      </c>
      <c r="AJ739">
        <v>99999</v>
      </c>
      <c r="AK739">
        <v>699</v>
      </c>
      <c r="AL739" t="b">
        <v>1</v>
      </c>
      <c r="AM739" t="b">
        <v>1</v>
      </c>
      <c r="AN739" t="b">
        <v>0</v>
      </c>
      <c r="AO739">
        <v>99999</v>
      </c>
      <c r="AP739" t="s">
        <v>64</v>
      </c>
      <c r="AR739" t="b">
        <v>0</v>
      </c>
      <c r="AS739">
        <v>12</v>
      </c>
      <c r="AT739" t="s">
        <v>327</v>
      </c>
      <c r="AV739" t="s">
        <v>1799</v>
      </c>
      <c r="CRL739">
        <v>12</v>
      </c>
    </row>
    <row r="740" spans="1:48 2508:2508" x14ac:dyDescent="0.25">
      <c r="A740" t="s">
        <v>3323</v>
      </c>
      <c r="B740" t="s">
        <v>302</v>
      </c>
      <c r="C740" t="s">
        <v>62</v>
      </c>
      <c r="D740">
        <v>99999</v>
      </c>
      <c r="F740" s="109">
        <v>14000</v>
      </c>
      <c r="G740" t="b">
        <v>0</v>
      </c>
      <c r="H740" t="s">
        <v>335</v>
      </c>
      <c r="K740" t="s">
        <v>379</v>
      </c>
      <c r="L740" t="s">
        <v>303</v>
      </c>
      <c r="M740" t="s">
        <v>323</v>
      </c>
      <c r="N740" t="s">
        <v>63</v>
      </c>
      <c r="O740" s="110">
        <v>39.9</v>
      </c>
      <c r="R740" s="110">
        <v>360.59</v>
      </c>
      <c r="S740" s="110">
        <v>107.5</v>
      </c>
      <c r="T740" s="110">
        <v>0</v>
      </c>
      <c r="U740" s="110">
        <v>34.99</v>
      </c>
      <c r="X740">
        <v>158.19999999999999</v>
      </c>
      <c r="Y740">
        <v>59.9</v>
      </c>
      <c r="Z740">
        <v>59.9</v>
      </c>
      <c r="AA740">
        <v>0</v>
      </c>
      <c r="AB740" t="s">
        <v>363</v>
      </c>
      <c r="AF740" t="s">
        <v>1700</v>
      </c>
      <c r="AG740" t="s">
        <v>1700</v>
      </c>
      <c r="AH740" t="s">
        <v>1606</v>
      </c>
      <c r="AI740">
        <v>99999</v>
      </c>
      <c r="AJ740">
        <v>99999</v>
      </c>
      <c r="AK740">
        <v>699</v>
      </c>
      <c r="AL740" t="b">
        <v>1</v>
      </c>
      <c r="AM740" t="b">
        <v>1</v>
      </c>
      <c r="AN740" t="b">
        <v>0</v>
      </c>
      <c r="AO740">
        <v>99999</v>
      </c>
      <c r="AP740" t="s">
        <v>64</v>
      </c>
      <c r="AR740" t="b">
        <v>0</v>
      </c>
      <c r="AS740">
        <v>12</v>
      </c>
      <c r="AT740" t="s">
        <v>327</v>
      </c>
      <c r="AV740" t="s">
        <v>1718</v>
      </c>
      <c r="CRL740">
        <v>12</v>
      </c>
    </row>
    <row r="741" spans="1:48 2508:2508" x14ac:dyDescent="0.25">
      <c r="A741" t="s">
        <v>3323</v>
      </c>
      <c r="B741" t="s">
        <v>302</v>
      </c>
      <c r="C741" t="s">
        <v>62</v>
      </c>
      <c r="D741">
        <v>99999</v>
      </c>
      <c r="F741" s="109">
        <v>14000</v>
      </c>
      <c r="G741" t="b">
        <v>0</v>
      </c>
      <c r="H741" t="s">
        <v>335</v>
      </c>
      <c r="K741" t="s">
        <v>379</v>
      </c>
      <c r="L741" t="s">
        <v>303</v>
      </c>
      <c r="M741" t="s">
        <v>323</v>
      </c>
      <c r="N741" t="s">
        <v>63</v>
      </c>
      <c r="O741" s="110">
        <v>39.9</v>
      </c>
      <c r="R741" s="110">
        <v>389.88999999999993</v>
      </c>
      <c r="S741" s="110">
        <v>107.5</v>
      </c>
      <c r="T741" s="110">
        <v>0</v>
      </c>
      <c r="U741" s="110">
        <v>42.99</v>
      </c>
      <c r="X741">
        <v>179.49999999999994</v>
      </c>
      <c r="Y741">
        <v>59.9</v>
      </c>
      <c r="Z741">
        <v>59.9</v>
      </c>
      <c r="AA741">
        <v>0</v>
      </c>
      <c r="AB741" t="s">
        <v>363</v>
      </c>
      <c r="AF741" t="s">
        <v>1848</v>
      </c>
      <c r="AG741" t="s">
        <v>1848</v>
      </c>
      <c r="AH741" t="s">
        <v>1606</v>
      </c>
      <c r="AI741">
        <v>99999</v>
      </c>
      <c r="AJ741">
        <v>99999</v>
      </c>
      <c r="AK741">
        <v>699</v>
      </c>
      <c r="AL741" t="b">
        <v>1</v>
      </c>
      <c r="AM741" t="b">
        <v>1</v>
      </c>
      <c r="AN741" t="b">
        <v>0</v>
      </c>
      <c r="AO741">
        <v>99999</v>
      </c>
      <c r="AP741" t="s">
        <v>64</v>
      </c>
      <c r="AR741" t="b">
        <v>0</v>
      </c>
      <c r="AS741">
        <v>12</v>
      </c>
      <c r="AT741" t="s">
        <v>327</v>
      </c>
      <c r="AV741" t="s">
        <v>1866</v>
      </c>
      <c r="CRL741">
        <v>12</v>
      </c>
    </row>
    <row r="742" spans="1:48 2508:2508" x14ac:dyDescent="0.25">
      <c r="A742" t="s">
        <v>3323</v>
      </c>
      <c r="B742" t="s">
        <v>302</v>
      </c>
      <c r="C742" t="s">
        <v>62</v>
      </c>
      <c r="D742">
        <v>99999</v>
      </c>
      <c r="F742" s="109">
        <v>14000</v>
      </c>
      <c r="G742" t="b">
        <v>0</v>
      </c>
      <c r="H742" t="s">
        <v>335</v>
      </c>
      <c r="K742" t="s">
        <v>379</v>
      </c>
      <c r="L742" t="s">
        <v>303</v>
      </c>
      <c r="M742" t="s">
        <v>323</v>
      </c>
      <c r="N742" t="s">
        <v>63</v>
      </c>
      <c r="O742" s="110">
        <v>49.9</v>
      </c>
      <c r="R742" s="110">
        <v>383.09</v>
      </c>
      <c r="S742" s="110">
        <v>130</v>
      </c>
      <c r="T742" s="110">
        <v>0</v>
      </c>
      <c r="U742" s="110">
        <v>34.99</v>
      </c>
      <c r="X742">
        <v>158.19999999999999</v>
      </c>
      <c r="Y742">
        <v>59.9</v>
      </c>
      <c r="Z742">
        <v>59.9</v>
      </c>
      <c r="AA742">
        <v>0</v>
      </c>
      <c r="AB742" t="s">
        <v>363</v>
      </c>
      <c r="AF742" t="s">
        <v>3060</v>
      </c>
      <c r="AG742" t="s">
        <v>3060</v>
      </c>
      <c r="AH742" t="s">
        <v>1606</v>
      </c>
      <c r="AI742">
        <v>99999</v>
      </c>
      <c r="AJ742">
        <v>99999</v>
      </c>
      <c r="AK742">
        <v>699</v>
      </c>
      <c r="AL742" t="b">
        <v>1</v>
      </c>
      <c r="AM742" t="b">
        <v>1</v>
      </c>
      <c r="AN742" t="b">
        <v>0</v>
      </c>
      <c r="AO742">
        <v>99999</v>
      </c>
      <c r="AP742" t="s">
        <v>64</v>
      </c>
      <c r="AR742" t="b">
        <v>0</v>
      </c>
      <c r="AS742">
        <v>12</v>
      </c>
      <c r="AT742" t="s">
        <v>327</v>
      </c>
      <c r="AV742" t="s">
        <v>3078</v>
      </c>
      <c r="CRL742">
        <v>12</v>
      </c>
    </row>
    <row r="743" spans="1:48 2508:2508" x14ac:dyDescent="0.25">
      <c r="A743" t="s">
        <v>3323</v>
      </c>
      <c r="B743" t="s">
        <v>302</v>
      </c>
      <c r="C743" t="s">
        <v>62</v>
      </c>
      <c r="D743">
        <v>99999</v>
      </c>
      <c r="F743" s="109">
        <v>14000</v>
      </c>
      <c r="G743" t="b">
        <v>0</v>
      </c>
      <c r="H743" t="s">
        <v>335</v>
      </c>
      <c r="K743" t="s">
        <v>379</v>
      </c>
      <c r="L743" t="s">
        <v>303</v>
      </c>
      <c r="M743" t="s">
        <v>323</v>
      </c>
      <c r="N743" t="s">
        <v>63</v>
      </c>
      <c r="O743" s="110">
        <v>49.9</v>
      </c>
      <c r="R743" s="110">
        <v>412.38999999999993</v>
      </c>
      <c r="S743" s="110">
        <v>130</v>
      </c>
      <c r="T743" s="110">
        <v>0</v>
      </c>
      <c r="U743" s="110">
        <v>42.99</v>
      </c>
      <c r="X743">
        <v>179.49999999999994</v>
      </c>
      <c r="Y743">
        <v>59.9</v>
      </c>
      <c r="Z743">
        <v>59.9</v>
      </c>
      <c r="AA743">
        <v>0</v>
      </c>
      <c r="AB743" t="s">
        <v>363</v>
      </c>
      <c r="AF743" t="s">
        <v>3134</v>
      </c>
      <c r="AG743" t="s">
        <v>3134</v>
      </c>
      <c r="AH743" t="s">
        <v>1606</v>
      </c>
      <c r="AI743">
        <v>99999</v>
      </c>
      <c r="AJ743">
        <v>99999</v>
      </c>
      <c r="AK743">
        <v>699</v>
      </c>
      <c r="AL743" t="b">
        <v>1</v>
      </c>
      <c r="AM743" t="b">
        <v>1</v>
      </c>
      <c r="AN743" t="b">
        <v>0</v>
      </c>
      <c r="AO743">
        <v>99999</v>
      </c>
      <c r="AP743" t="s">
        <v>64</v>
      </c>
      <c r="AR743" t="b">
        <v>0</v>
      </c>
      <c r="AS743">
        <v>12</v>
      </c>
      <c r="AT743" t="s">
        <v>327</v>
      </c>
      <c r="AV743" t="s">
        <v>3152</v>
      </c>
      <c r="CRL743">
        <v>12</v>
      </c>
    </row>
    <row r="744" spans="1:48 2508:2508" x14ac:dyDescent="0.25">
      <c r="A744" t="s">
        <v>3323</v>
      </c>
      <c r="B744" t="s">
        <v>302</v>
      </c>
      <c r="C744" t="s">
        <v>62</v>
      </c>
      <c r="D744">
        <v>99999</v>
      </c>
      <c r="F744" s="109">
        <v>14000</v>
      </c>
      <c r="G744" t="b">
        <v>0</v>
      </c>
      <c r="H744" t="s">
        <v>335</v>
      </c>
      <c r="K744" t="s">
        <v>61</v>
      </c>
      <c r="L744" t="s">
        <v>303</v>
      </c>
      <c r="M744" t="s">
        <v>323</v>
      </c>
      <c r="N744" t="s">
        <v>63</v>
      </c>
      <c r="O744" s="110">
        <v>29.9</v>
      </c>
      <c r="R744" s="110">
        <v>345.59</v>
      </c>
      <c r="S744" s="110">
        <v>107.5</v>
      </c>
      <c r="T744" s="110">
        <v>0</v>
      </c>
      <c r="U744" s="110">
        <v>34.99</v>
      </c>
      <c r="X744">
        <v>158.19999999999999</v>
      </c>
      <c r="Y744">
        <v>44.9</v>
      </c>
      <c r="Z744">
        <v>44.9</v>
      </c>
      <c r="AA744">
        <v>0</v>
      </c>
      <c r="AB744" t="s">
        <v>324</v>
      </c>
      <c r="AF744" t="s">
        <v>1605</v>
      </c>
      <c r="AG744" t="s">
        <v>1605</v>
      </c>
      <c r="AH744" t="s">
        <v>1606</v>
      </c>
      <c r="AI744">
        <v>99999</v>
      </c>
      <c r="AJ744">
        <v>99999</v>
      </c>
      <c r="AK744">
        <v>699</v>
      </c>
      <c r="AL744" t="b">
        <v>1</v>
      </c>
      <c r="AM744" t="b">
        <v>1</v>
      </c>
      <c r="AN744" t="b">
        <v>0</v>
      </c>
      <c r="AO744">
        <v>99999</v>
      </c>
      <c r="AP744" t="s">
        <v>64</v>
      </c>
      <c r="AR744" t="b">
        <v>0</v>
      </c>
      <c r="AS744">
        <v>12</v>
      </c>
      <c r="AT744" t="s">
        <v>327</v>
      </c>
      <c r="AV744" t="s">
        <v>1611</v>
      </c>
      <c r="CRL744">
        <v>12</v>
      </c>
    </row>
    <row r="745" spans="1:48 2508:2508" x14ac:dyDescent="0.25">
      <c r="A745" t="s">
        <v>3323</v>
      </c>
      <c r="B745" t="s">
        <v>302</v>
      </c>
      <c r="C745" t="s">
        <v>62</v>
      </c>
      <c r="D745">
        <v>99999</v>
      </c>
      <c r="F745" s="109">
        <v>14000</v>
      </c>
      <c r="G745" t="b">
        <v>0</v>
      </c>
      <c r="H745" t="s">
        <v>335</v>
      </c>
      <c r="K745" t="s">
        <v>61</v>
      </c>
      <c r="L745" t="s">
        <v>303</v>
      </c>
      <c r="M745" t="s">
        <v>323</v>
      </c>
      <c r="N745" t="s">
        <v>63</v>
      </c>
      <c r="O745" s="110">
        <v>29.9</v>
      </c>
      <c r="R745" s="110">
        <v>374.88999999999993</v>
      </c>
      <c r="S745" s="110">
        <v>107.5</v>
      </c>
      <c r="T745" s="110">
        <v>0</v>
      </c>
      <c r="U745" s="110">
        <v>42.99</v>
      </c>
      <c r="X745">
        <v>179.49999999999994</v>
      </c>
      <c r="Y745">
        <v>44.9</v>
      </c>
      <c r="Z745">
        <v>44.9</v>
      </c>
      <c r="AA745">
        <v>0</v>
      </c>
      <c r="AB745" t="s">
        <v>324</v>
      </c>
      <c r="AF745" t="s">
        <v>1754</v>
      </c>
      <c r="AG745" t="s">
        <v>1754</v>
      </c>
      <c r="AH745" t="s">
        <v>1606</v>
      </c>
      <c r="AI745">
        <v>99999</v>
      </c>
      <c r="AJ745">
        <v>99999</v>
      </c>
      <c r="AK745">
        <v>699</v>
      </c>
      <c r="AL745" t="b">
        <v>1</v>
      </c>
      <c r="AM745" t="b">
        <v>1</v>
      </c>
      <c r="AN745" t="b">
        <v>0</v>
      </c>
      <c r="AO745">
        <v>99999</v>
      </c>
      <c r="AP745" t="s">
        <v>64</v>
      </c>
      <c r="AR745" t="b">
        <v>0</v>
      </c>
      <c r="AS745">
        <v>12</v>
      </c>
      <c r="AT745" t="s">
        <v>327</v>
      </c>
      <c r="AV745" t="s">
        <v>1759</v>
      </c>
      <c r="CRL745">
        <v>12</v>
      </c>
    </row>
    <row r="746" spans="1:48 2508:2508" x14ac:dyDescent="0.25">
      <c r="A746" t="s">
        <v>3323</v>
      </c>
      <c r="B746" t="s">
        <v>302</v>
      </c>
      <c r="C746" t="s">
        <v>62</v>
      </c>
      <c r="D746">
        <v>99999</v>
      </c>
      <c r="F746" s="109">
        <v>14000</v>
      </c>
      <c r="G746" t="b">
        <v>0</v>
      </c>
      <c r="H746" t="s">
        <v>335</v>
      </c>
      <c r="K746" t="s">
        <v>61</v>
      </c>
      <c r="L746" t="s">
        <v>303</v>
      </c>
      <c r="M746" t="s">
        <v>323</v>
      </c>
      <c r="N746" t="s">
        <v>63</v>
      </c>
      <c r="O746" s="110">
        <v>39.9</v>
      </c>
      <c r="R746" s="110">
        <v>345.59</v>
      </c>
      <c r="S746" s="110">
        <v>107.5</v>
      </c>
      <c r="T746" s="110">
        <v>0</v>
      </c>
      <c r="U746" s="110">
        <v>34.99</v>
      </c>
      <c r="X746">
        <v>158.19999999999999</v>
      </c>
      <c r="Y746">
        <v>44.9</v>
      </c>
      <c r="Z746">
        <v>44.9</v>
      </c>
      <c r="AA746">
        <v>0</v>
      </c>
      <c r="AB746" t="s">
        <v>324</v>
      </c>
      <c r="AF746" t="s">
        <v>1673</v>
      </c>
      <c r="AG746" t="s">
        <v>1673</v>
      </c>
      <c r="AH746" t="s">
        <v>1606</v>
      </c>
      <c r="AI746">
        <v>99999</v>
      </c>
      <c r="AJ746">
        <v>99999</v>
      </c>
      <c r="AK746">
        <v>699</v>
      </c>
      <c r="AL746" t="b">
        <v>1</v>
      </c>
      <c r="AM746" t="b">
        <v>1</v>
      </c>
      <c r="AN746" t="b">
        <v>0</v>
      </c>
      <c r="AO746">
        <v>99999</v>
      </c>
      <c r="AP746" t="s">
        <v>64</v>
      </c>
      <c r="AR746" t="b">
        <v>0</v>
      </c>
      <c r="AS746">
        <v>12</v>
      </c>
      <c r="AT746" t="s">
        <v>327</v>
      </c>
      <c r="AV746" t="s">
        <v>1678</v>
      </c>
      <c r="CRL746">
        <v>12</v>
      </c>
    </row>
    <row r="747" spans="1:48 2508:2508" x14ac:dyDescent="0.25">
      <c r="A747" t="s">
        <v>3323</v>
      </c>
      <c r="B747" t="s">
        <v>302</v>
      </c>
      <c r="C747" t="s">
        <v>62</v>
      </c>
      <c r="D747">
        <v>99999</v>
      </c>
      <c r="F747" s="109">
        <v>14000</v>
      </c>
      <c r="G747" t="b">
        <v>0</v>
      </c>
      <c r="H747" t="s">
        <v>335</v>
      </c>
      <c r="K747" t="s">
        <v>61</v>
      </c>
      <c r="L747" t="s">
        <v>303</v>
      </c>
      <c r="M747" t="s">
        <v>323</v>
      </c>
      <c r="N747" t="s">
        <v>63</v>
      </c>
      <c r="O747" s="110">
        <v>39.9</v>
      </c>
      <c r="R747" s="110">
        <v>374.88999999999993</v>
      </c>
      <c r="S747" s="110">
        <v>107.5</v>
      </c>
      <c r="T747" s="110">
        <v>0</v>
      </c>
      <c r="U747" s="110">
        <v>42.99</v>
      </c>
      <c r="X747">
        <v>179.49999999999994</v>
      </c>
      <c r="Y747">
        <v>44.9</v>
      </c>
      <c r="Z747">
        <v>44.9</v>
      </c>
      <c r="AA747">
        <v>0</v>
      </c>
      <c r="AB747" t="s">
        <v>324</v>
      </c>
      <c r="AF747" t="s">
        <v>1821</v>
      </c>
      <c r="AG747" t="s">
        <v>1821</v>
      </c>
      <c r="AH747" t="s">
        <v>1606</v>
      </c>
      <c r="AI747">
        <v>99999</v>
      </c>
      <c r="AJ747">
        <v>99999</v>
      </c>
      <c r="AK747">
        <v>699</v>
      </c>
      <c r="AL747" t="b">
        <v>1</v>
      </c>
      <c r="AM747" t="b">
        <v>1</v>
      </c>
      <c r="AN747" t="b">
        <v>0</v>
      </c>
      <c r="AO747">
        <v>99999</v>
      </c>
      <c r="AP747" t="s">
        <v>64</v>
      </c>
      <c r="AR747" t="b">
        <v>0</v>
      </c>
      <c r="AS747">
        <v>12</v>
      </c>
      <c r="AT747" t="s">
        <v>327</v>
      </c>
      <c r="AV747" t="s">
        <v>1826</v>
      </c>
      <c r="CRL747">
        <v>12</v>
      </c>
    </row>
    <row r="748" spans="1:48 2508:2508" x14ac:dyDescent="0.25">
      <c r="A748" t="s">
        <v>3323</v>
      </c>
      <c r="B748" t="s">
        <v>302</v>
      </c>
      <c r="C748" t="s">
        <v>62</v>
      </c>
      <c r="D748">
        <v>99999</v>
      </c>
      <c r="F748" s="109">
        <v>14000</v>
      </c>
      <c r="G748" t="b">
        <v>0</v>
      </c>
      <c r="H748" t="s">
        <v>335</v>
      </c>
      <c r="K748" t="s">
        <v>61</v>
      </c>
      <c r="L748" t="s">
        <v>303</v>
      </c>
      <c r="M748" t="s">
        <v>323</v>
      </c>
      <c r="N748" t="s">
        <v>63</v>
      </c>
      <c r="O748" s="110">
        <v>49.9</v>
      </c>
      <c r="R748" s="110">
        <v>368.09</v>
      </c>
      <c r="S748" s="110">
        <v>130</v>
      </c>
      <c r="T748" s="110">
        <v>0</v>
      </c>
      <c r="U748" s="110">
        <v>34.99</v>
      </c>
      <c r="X748">
        <v>158.19999999999999</v>
      </c>
      <c r="Y748">
        <v>44.9</v>
      </c>
      <c r="Z748">
        <v>44.9</v>
      </c>
      <c r="AA748">
        <v>0</v>
      </c>
      <c r="AB748" t="s">
        <v>324</v>
      </c>
      <c r="AF748" t="s">
        <v>3033</v>
      </c>
      <c r="AG748" t="s">
        <v>3033</v>
      </c>
      <c r="AH748" t="s">
        <v>1606</v>
      </c>
      <c r="AI748">
        <v>99999</v>
      </c>
      <c r="AJ748">
        <v>99999</v>
      </c>
      <c r="AK748">
        <v>699</v>
      </c>
      <c r="AL748" t="b">
        <v>1</v>
      </c>
      <c r="AM748" t="b">
        <v>1</v>
      </c>
      <c r="AN748" t="b">
        <v>0</v>
      </c>
      <c r="AO748">
        <v>99999</v>
      </c>
      <c r="AP748" t="s">
        <v>64</v>
      </c>
      <c r="AR748" t="b">
        <v>0</v>
      </c>
      <c r="AS748">
        <v>12</v>
      </c>
      <c r="AT748" t="s">
        <v>327</v>
      </c>
      <c r="AV748" t="s">
        <v>3038</v>
      </c>
      <c r="CRL748">
        <v>12</v>
      </c>
    </row>
    <row r="749" spans="1:48 2508:2508" x14ac:dyDescent="0.25">
      <c r="A749" t="s">
        <v>3323</v>
      </c>
      <c r="B749" t="s">
        <v>302</v>
      </c>
      <c r="C749" t="s">
        <v>62</v>
      </c>
      <c r="D749">
        <v>99999</v>
      </c>
      <c r="F749" s="109">
        <v>14000</v>
      </c>
      <c r="G749" t="b">
        <v>0</v>
      </c>
      <c r="H749" t="s">
        <v>335</v>
      </c>
      <c r="K749" t="s">
        <v>61</v>
      </c>
      <c r="L749" t="s">
        <v>303</v>
      </c>
      <c r="M749" t="s">
        <v>323</v>
      </c>
      <c r="N749" t="s">
        <v>63</v>
      </c>
      <c r="O749" s="110">
        <v>49.9</v>
      </c>
      <c r="R749" s="110">
        <v>397.38999999999993</v>
      </c>
      <c r="S749" s="110">
        <v>130</v>
      </c>
      <c r="T749" s="110">
        <v>0</v>
      </c>
      <c r="U749" s="110">
        <v>42.99</v>
      </c>
      <c r="X749">
        <v>179.49999999999994</v>
      </c>
      <c r="Y749">
        <v>44.9</v>
      </c>
      <c r="Z749">
        <v>44.9</v>
      </c>
      <c r="AA749">
        <v>0</v>
      </c>
      <c r="AB749" t="s">
        <v>324</v>
      </c>
      <c r="AF749" t="s">
        <v>3107</v>
      </c>
      <c r="AG749" t="s">
        <v>3107</v>
      </c>
      <c r="AH749" t="s">
        <v>1606</v>
      </c>
      <c r="AI749">
        <v>99999</v>
      </c>
      <c r="AJ749">
        <v>99999</v>
      </c>
      <c r="AK749">
        <v>699</v>
      </c>
      <c r="AL749" t="b">
        <v>1</v>
      </c>
      <c r="AM749" t="b">
        <v>1</v>
      </c>
      <c r="AN749" t="b">
        <v>0</v>
      </c>
      <c r="AO749">
        <v>99999</v>
      </c>
      <c r="AP749" t="s">
        <v>64</v>
      </c>
      <c r="AR749" t="b">
        <v>0</v>
      </c>
      <c r="AS749">
        <v>12</v>
      </c>
      <c r="AT749" t="s">
        <v>327</v>
      </c>
      <c r="AV749" t="s">
        <v>3112</v>
      </c>
      <c r="CRL749">
        <v>12</v>
      </c>
    </row>
    <row r="750" spans="1:48 2508:2508" x14ac:dyDescent="0.25">
      <c r="A750" t="s">
        <v>3323</v>
      </c>
      <c r="B750" t="s">
        <v>302</v>
      </c>
      <c r="C750" t="s">
        <v>62</v>
      </c>
      <c r="D750">
        <v>99999</v>
      </c>
      <c r="F750" s="109">
        <v>14000</v>
      </c>
      <c r="G750" t="b">
        <v>0</v>
      </c>
      <c r="H750" t="s">
        <v>331</v>
      </c>
      <c r="K750" t="s">
        <v>349</v>
      </c>
      <c r="L750" t="s">
        <v>303</v>
      </c>
      <c r="M750" t="s">
        <v>323</v>
      </c>
      <c r="N750" t="s">
        <v>63</v>
      </c>
      <c r="O750" s="110">
        <v>29.9</v>
      </c>
      <c r="R750" s="110">
        <v>300.59000000000003</v>
      </c>
      <c r="S750" s="110">
        <v>107.5</v>
      </c>
      <c r="T750" s="110">
        <v>0</v>
      </c>
      <c r="U750" s="110">
        <v>34.99</v>
      </c>
      <c r="X750">
        <v>113.20000000000002</v>
      </c>
      <c r="Y750">
        <v>44.9</v>
      </c>
      <c r="Z750">
        <v>44.9</v>
      </c>
      <c r="AA750">
        <v>0</v>
      </c>
      <c r="AB750" t="s">
        <v>324</v>
      </c>
      <c r="AF750" t="s">
        <v>1605</v>
      </c>
      <c r="AG750" t="s">
        <v>1605</v>
      </c>
      <c r="AH750" t="s">
        <v>1606</v>
      </c>
      <c r="AI750">
        <v>99999</v>
      </c>
      <c r="AJ750">
        <v>99999</v>
      </c>
      <c r="AK750">
        <v>699</v>
      </c>
      <c r="AL750" t="b">
        <v>1</v>
      </c>
      <c r="AM750" t="b">
        <v>1</v>
      </c>
      <c r="AN750" t="b">
        <v>0</v>
      </c>
      <c r="AO750">
        <v>99999</v>
      </c>
      <c r="AP750" t="s">
        <v>64</v>
      </c>
      <c r="AR750" t="b">
        <v>0</v>
      </c>
      <c r="AS750">
        <v>12</v>
      </c>
      <c r="AT750" t="s">
        <v>327</v>
      </c>
      <c r="AV750" t="s">
        <v>1622</v>
      </c>
      <c r="CRL750">
        <v>12</v>
      </c>
    </row>
    <row r="751" spans="1:48 2508:2508" x14ac:dyDescent="0.25">
      <c r="A751" t="s">
        <v>3323</v>
      </c>
      <c r="B751" t="s">
        <v>302</v>
      </c>
      <c r="C751" t="s">
        <v>62</v>
      </c>
      <c r="D751">
        <v>99999</v>
      </c>
      <c r="F751" s="109">
        <v>14000</v>
      </c>
      <c r="G751" t="b">
        <v>0</v>
      </c>
      <c r="H751" t="s">
        <v>331</v>
      </c>
      <c r="K751" t="s">
        <v>349</v>
      </c>
      <c r="L751" t="s">
        <v>303</v>
      </c>
      <c r="M751" t="s">
        <v>323</v>
      </c>
      <c r="N751" t="s">
        <v>63</v>
      </c>
      <c r="O751" s="110">
        <v>29.9</v>
      </c>
      <c r="R751" s="110">
        <v>329.89</v>
      </c>
      <c r="S751" s="110">
        <v>107.5</v>
      </c>
      <c r="T751" s="110">
        <v>0</v>
      </c>
      <c r="U751" s="110">
        <v>42.99</v>
      </c>
      <c r="X751">
        <v>134.49999999999997</v>
      </c>
      <c r="Y751">
        <v>44.9</v>
      </c>
      <c r="Z751">
        <v>44.9</v>
      </c>
      <c r="AA751">
        <v>0</v>
      </c>
      <c r="AB751" t="s">
        <v>324</v>
      </c>
      <c r="AF751" t="s">
        <v>1754</v>
      </c>
      <c r="AG751" t="s">
        <v>1754</v>
      </c>
      <c r="AH751" t="s">
        <v>1606</v>
      </c>
      <c r="AI751">
        <v>99999</v>
      </c>
      <c r="AJ751">
        <v>99999</v>
      </c>
      <c r="AK751">
        <v>699</v>
      </c>
      <c r="AL751" t="b">
        <v>1</v>
      </c>
      <c r="AM751" t="b">
        <v>1</v>
      </c>
      <c r="AN751" t="b">
        <v>0</v>
      </c>
      <c r="AO751">
        <v>99999</v>
      </c>
      <c r="AP751" t="s">
        <v>64</v>
      </c>
      <c r="AR751" t="b">
        <v>0</v>
      </c>
      <c r="AS751">
        <v>12</v>
      </c>
      <c r="AT751" t="s">
        <v>327</v>
      </c>
      <c r="AV751" t="s">
        <v>1770</v>
      </c>
      <c r="CRL751">
        <v>12</v>
      </c>
    </row>
    <row r="752" spans="1:48 2508:2508" x14ac:dyDescent="0.25">
      <c r="A752" t="s">
        <v>3323</v>
      </c>
      <c r="B752" t="s">
        <v>302</v>
      </c>
      <c r="C752" t="s">
        <v>62</v>
      </c>
      <c r="D752">
        <v>99999</v>
      </c>
      <c r="F752" s="109">
        <v>14000</v>
      </c>
      <c r="G752" t="b">
        <v>0</v>
      </c>
      <c r="H752" t="s">
        <v>331</v>
      </c>
      <c r="K752" t="s">
        <v>349</v>
      </c>
      <c r="L752" t="s">
        <v>303</v>
      </c>
      <c r="M752" t="s">
        <v>323</v>
      </c>
      <c r="N752" t="s">
        <v>63</v>
      </c>
      <c r="O752" s="110">
        <v>39.9</v>
      </c>
      <c r="R752" s="110">
        <v>300.59000000000003</v>
      </c>
      <c r="S752" s="110">
        <v>107.5</v>
      </c>
      <c r="T752" s="110">
        <v>0</v>
      </c>
      <c r="U752" s="110">
        <v>34.99</v>
      </c>
      <c r="X752">
        <v>113.20000000000002</v>
      </c>
      <c r="Y752">
        <v>44.9</v>
      </c>
      <c r="Z752">
        <v>44.9</v>
      </c>
      <c r="AA752">
        <v>0</v>
      </c>
      <c r="AB752" t="s">
        <v>324</v>
      </c>
      <c r="AF752" t="s">
        <v>1673</v>
      </c>
      <c r="AG752" t="s">
        <v>1673</v>
      </c>
      <c r="AH752" t="s">
        <v>1606</v>
      </c>
      <c r="AI752">
        <v>99999</v>
      </c>
      <c r="AJ752">
        <v>99999</v>
      </c>
      <c r="AK752">
        <v>699</v>
      </c>
      <c r="AL752" t="b">
        <v>1</v>
      </c>
      <c r="AM752" t="b">
        <v>1</v>
      </c>
      <c r="AN752" t="b">
        <v>0</v>
      </c>
      <c r="AO752">
        <v>99999</v>
      </c>
      <c r="AP752" t="s">
        <v>64</v>
      </c>
      <c r="AR752" t="b">
        <v>0</v>
      </c>
      <c r="AS752">
        <v>12</v>
      </c>
      <c r="AT752" t="s">
        <v>327</v>
      </c>
      <c r="AV752" t="s">
        <v>1689</v>
      </c>
      <c r="CRL752">
        <v>12</v>
      </c>
    </row>
    <row r="753" spans="1:48 2508:2508" x14ac:dyDescent="0.25">
      <c r="A753" t="s">
        <v>3323</v>
      </c>
      <c r="B753" t="s">
        <v>302</v>
      </c>
      <c r="C753" t="s">
        <v>62</v>
      </c>
      <c r="D753">
        <v>99999</v>
      </c>
      <c r="F753" s="109">
        <v>14000</v>
      </c>
      <c r="G753" t="b">
        <v>0</v>
      </c>
      <c r="H753" t="s">
        <v>331</v>
      </c>
      <c r="K753" t="s">
        <v>349</v>
      </c>
      <c r="L753" t="s">
        <v>303</v>
      </c>
      <c r="M753" t="s">
        <v>323</v>
      </c>
      <c r="N753" t="s">
        <v>63</v>
      </c>
      <c r="O753" s="110">
        <v>39.9</v>
      </c>
      <c r="R753" s="110">
        <v>329.89</v>
      </c>
      <c r="S753" s="110">
        <v>107.5</v>
      </c>
      <c r="T753" s="110">
        <v>0</v>
      </c>
      <c r="U753" s="110">
        <v>42.99</v>
      </c>
      <c r="X753">
        <v>134.49999999999997</v>
      </c>
      <c r="Y753">
        <v>44.9</v>
      </c>
      <c r="Z753">
        <v>44.9</v>
      </c>
      <c r="AA753">
        <v>0</v>
      </c>
      <c r="AB753" t="s">
        <v>324</v>
      </c>
      <c r="AF753" t="s">
        <v>1821</v>
      </c>
      <c r="AG753" t="s">
        <v>1821</v>
      </c>
      <c r="AH753" t="s">
        <v>1606</v>
      </c>
      <c r="AI753">
        <v>99999</v>
      </c>
      <c r="AJ753">
        <v>99999</v>
      </c>
      <c r="AK753">
        <v>699</v>
      </c>
      <c r="AL753" t="b">
        <v>1</v>
      </c>
      <c r="AM753" t="b">
        <v>1</v>
      </c>
      <c r="AN753" t="b">
        <v>0</v>
      </c>
      <c r="AO753">
        <v>99999</v>
      </c>
      <c r="AP753" t="s">
        <v>64</v>
      </c>
      <c r="AR753" t="b">
        <v>0</v>
      </c>
      <c r="AS753">
        <v>12</v>
      </c>
      <c r="AT753" t="s">
        <v>327</v>
      </c>
      <c r="AV753" t="s">
        <v>1837</v>
      </c>
      <c r="CRL753">
        <v>12</v>
      </c>
    </row>
    <row r="754" spans="1:48 2508:2508" x14ac:dyDescent="0.25">
      <c r="A754" t="s">
        <v>3323</v>
      </c>
      <c r="B754" t="s">
        <v>302</v>
      </c>
      <c r="C754" t="s">
        <v>62</v>
      </c>
      <c r="D754">
        <v>99999</v>
      </c>
      <c r="F754" s="109">
        <v>14000</v>
      </c>
      <c r="G754" t="b">
        <v>0</v>
      </c>
      <c r="H754" t="s">
        <v>331</v>
      </c>
      <c r="K754" t="s">
        <v>349</v>
      </c>
      <c r="L754" t="s">
        <v>303</v>
      </c>
      <c r="M754" t="s">
        <v>323</v>
      </c>
      <c r="N754" t="s">
        <v>63</v>
      </c>
      <c r="O754" s="110">
        <v>49.9</v>
      </c>
      <c r="R754" s="110">
        <v>323.09000000000003</v>
      </c>
      <c r="S754" s="110">
        <v>130</v>
      </c>
      <c r="T754" s="110">
        <v>0</v>
      </c>
      <c r="U754" s="110">
        <v>34.99</v>
      </c>
      <c r="X754">
        <v>113.20000000000002</v>
      </c>
      <c r="Y754">
        <v>44.9</v>
      </c>
      <c r="Z754">
        <v>44.9</v>
      </c>
      <c r="AA754">
        <v>0</v>
      </c>
      <c r="AB754" t="s">
        <v>324</v>
      </c>
      <c r="AF754" t="s">
        <v>3033</v>
      </c>
      <c r="AG754" t="s">
        <v>3033</v>
      </c>
      <c r="AH754" t="s">
        <v>1606</v>
      </c>
      <c r="AI754">
        <v>99999</v>
      </c>
      <c r="AJ754">
        <v>99999</v>
      </c>
      <c r="AK754">
        <v>699</v>
      </c>
      <c r="AL754" t="b">
        <v>1</v>
      </c>
      <c r="AM754" t="b">
        <v>1</v>
      </c>
      <c r="AN754" t="b">
        <v>0</v>
      </c>
      <c r="AO754">
        <v>99999</v>
      </c>
      <c r="AP754" t="s">
        <v>64</v>
      </c>
      <c r="AR754" t="b">
        <v>0</v>
      </c>
      <c r="AS754">
        <v>12</v>
      </c>
      <c r="AT754" t="s">
        <v>327</v>
      </c>
      <c r="AV754" t="s">
        <v>3049</v>
      </c>
      <c r="CRL754">
        <v>12</v>
      </c>
    </row>
    <row r="755" spans="1:48 2508:2508" x14ac:dyDescent="0.25">
      <c r="A755" t="s">
        <v>3323</v>
      </c>
      <c r="B755" t="s">
        <v>302</v>
      </c>
      <c r="C755" t="s">
        <v>62</v>
      </c>
      <c r="D755">
        <v>99999</v>
      </c>
      <c r="F755" s="109">
        <v>14000</v>
      </c>
      <c r="G755" t="b">
        <v>0</v>
      </c>
      <c r="H755" t="s">
        <v>331</v>
      </c>
      <c r="K755" t="s">
        <v>349</v>
      </c>
      <c r="L755" t="s">
        <v>303</v>
      </c>
      <c r="M755" t="s">
        <v>323</v>
      </c>
      <c r="N755" t="s">
        <v>63</v>
      </c>
      <c r="O755" s="110">
        <v>49.9</v>
      </c>
      <c r="R755" s="110">
        <v>352.39</v>
      </c>
      <c r="S755" s="110">
        <v>130</v>
      </c>
      <c r="T755" s="110">
        <v>0</v>
      </c>
      <c r="U755" s="110">
        <v>42.99</v>
      </c>
      <c r="X755">
        <v>134.49999999999997</v>
      </c>
      <c r="Y755">
        <v>44.9</v>
      </c>
      <c r="Z755">
        <v>44.9</v>
      </c>
      <c r="AA755">
        <v>0</v>
      </c>
      <c r="AB755" t="s">
        <v>324</v>
      </c>
      <c r="AF755" t="s">
        <v>3107</v>
      </c>
      <c r="AG755" t="s">
        <v>3107</v>
      </c>
      <c r="AH755" t="s">
        <v>1606</v>
      </c>
      <c r="AI755">
        <v>99999</v>
      </c>
      <c r="AJ755">
        <v>99999</v>
      </c>
      <c r="AK755">
        <v>699</v>
      </c>
      <c r="AL755" t="b">
        <v>1</v>
      </c>
      <c r="AM755" t="b">
        <v>1</v>
      </c>
      <c r="AN755" t="b">
        <v>0</v>
      </c>
      <c r="AO755">
        <v>99999</v>
      </c>
      <c r="AP755" t="s">
        <v>64</v>
      </c>
      <c r="AR755" t="b">
        <v>0</v>
      </c>
      <c r="AS755">
        <v>12</v>
      </c>
      <c r="AT755" t="s">
        <v>327</v>
      </c>
      <c r="AV755" t="s">
        <v>3123</v>
      </c>
      <c r="CRL755">
        <v>12</v>
      </c>
    </row>
    <row r="756" spans="1:48 2508:2508" x14ac:dyDescent="0.25">
      <c r="A756" t="s">
        <v>3323</v>
      </c>
      <c r="B756" t="s">
        <v>302</v>
      </c>
      <c r="C756" t="s">
        <v>62</v>
      </c>
      <c r="D756">
        <v>99999</v>
      </c>
      <c r="F756" s="109">
        <v>14000</v>
      </c>
      <c r="G756" t="b">
        <v>0</v>
      </c>
      <c r="H756" t="s">
        <v>331</v>
      </c>
      <c r="K756" t="s">
        <v>393</v>
      </c>
      <c r="L756" t="s">
        <v>303</v>
      </c>
      <c r="M756" t="s">
        <v>323</v>
      </c>
      <c r="N756" t="s">
        <v>63</v>
      </c>
      <c r="O756" s="110">
        <v>29.9</v>
      </c>
      <c r="R756" s="110">
        <v>325.59000000000003</v>
      </c>
      <c r="S756" s="110">
        <v>107.5</v>
      </c>
      <c r="T756" s="110">
        <v>0</v>
      </c>
      <c r="U756" s="110">
        <v>34.99</v>
      </c>
      <c r="X756">
        <v>113.20000000000002</v>
      </c>
      <c r="Y756">
        <v>69.900000000000006</v>
      </c>
      <c r="Z756">
        <v>69.900000000000006</v>
      </c>
      <c r="AA756">
        <v>0</v>
      </c>
      <c r="AB756" t="s">
        <v>363</v>
      </c>
      <c r="AF756" t="s">
        <v>1633</v>
      </c>
      <c r="AG756" t="s">
        <v>1633</v>
      </c>
      <c r="AH756" t="s">
        <v>1606</v>
      </c>
      <c r="AI756">
        <v>99999</v>
      </c>
      <c r="AJ756">
        <v>99999</v>
      </c>
      <c r="AK756">
        <v>699</v>
      </c>
      <c r="AL756" t="b">
        <v>1</v>
      </c>
      <c r="AM756" t="b">
        <v>1</v>
      </c>
      <c r="AN756" t="b">
        <v>0</v>
      </c>
      <c r="AO756">
        <v>99999</v>
      </c>
      <c r="AP756" t="s">
        <v>64</v>
      </c>
      <c r="AR756" t="b">
        <v>0</v>
      </c>
      <c r="AS756">
        <v>12</v>
      </c>
      <c r="AT756" t="s">
        <v>327</v>
      </c>
      <c r="AV756" t="s">
        <v>1662</v>
      </c>
      <c r="CRL756">
        <v>12</v>
      </c>
    </row>
    <row r="757" spans="1:48 2508:2508" x14ac:dyDescent="0.25">
      <c r="A757" t="s">
        <v>3323</v>
      </c>
      <c r="B757" t="s">
        <v>302</v>
      </c>
      <c r="C757" t="s">
        <v>62</v>
      </c>
      <c r="D757">
        <v>99999</v>
      </c>
      <c r="F757" s="109">
        <v>14000</v>
      </c>
      <c r="G757" t="b">
        <v>0</v>
      </c>
      <c r="H757" t="s">
        <v>331</v>
      </c>
      <c r="K757" t="s">
        <v>393</v>
      </c>
      <c r="L757" t="s">
        <v>303</v>
      </c>
      <c r="M757" t="s">
        <v>323</v>
      </c>
      <c r="N757" t="s">
        <v>63</v>
      </c>
      <c r="O757" s="110">
        <v>29.9</v>
      </c>
      <c r="R757" s="110">
        <v>354.89</v>
      </c>
      <c r="S757" s="110">
        <v>107.5</v>
      </c>
      <c r="T757" s="110">
        <v>0</v>
      </c>
      <c r="U757" s="110">
        <v>42.99</v>
      </c>
      <c r="X757">
        <v>134.49999999999997</v>
      </c>
      <c r="Y757">
        <v>69.900000000000006</v>
      </c>
      <c r="Z757">
        <v>69.900000000000006</v>
      </c>
      <c r="AA757">
        <v>0</v>
      </c>
      <c r="AB757" t="s">
        <v>363</v>
      </c>
      <c r="AF757" t="s">
        <v>1781</v>
      </c>
      <c r="AG757" t="s">
        <v>1781</v>
      </c>
      <c r="AH757" t="s">
        <v>1606</v>
      </c>
      <c r="AI757">
        <v>99999</v>
      </c>
      <c r="AJ757">
        <v>99999</v>
      </c>
      <c r="AK757">
        <v>699</v>
      </c>
      <c r="AL757" t="b">
        <v>1</v>
      </c>
      <c r="AM757" t="b">
        <v>1</v>
      </c>
      <c r="AN757" t="b">
        <v>0</v>
      </c>
      <c r="AO757">
        <v>99999</v>
      </c>
      <c r="AP757" t="s">
        <v>64</v>
      </c>
      <c r="AR757" t="b">
        <v>0</v>
      </c>
      <c r="AS757">
        <v>12</v>
      </c>
      <c r="AT757" t="s">
        <v>327</v>
      </c>
      <c r="AV757" t="s">
        <v>1810</v>
      </c>
      <c r="CRL757">
        <v>12</v>
      </c>
    </row>
    <row r="758" spans="1:48 2508:2508" x14ac:dyDescent="0.25">
      <c r="A758" t="s">
        <v>3323</v>
      </c>
      <c r="B758" t="s">
        <v>302</v>
      </c>
      <c r="C758" t="s">
        <v>62</v>
      </c>
      <c r="D758">
        <v>99999</v>
      </c>
      <c r="F758" s="109">
        <v>14000</v>
      </c>
      <c r="G758" t="b">
        <v>0</v>
      </c>
      <c r="H758" t="s">
        <v>331</v>
      </c>
      <c r="K758" t="s">
        <v>393</v>
      </c>
      <c r="L758" t="s">
        <v>303</v>
      </c>
      <c r="M758" t="s">
        <v>323</v>
      </c>
      <c r="N758" t="s">
        <v>63</v>
      </c>
      <c r="O758" s="110">
        <v>39.9</v>
      </c>
      <c r="R758" s="110">
        <v>325.59000000000003</v>
      </c>
      <c r="S758" s="110">
        <v>107.5</v>
      </c>
      <c r="T758" s="110">
        <v>0</v>
      </c>
      <c r="U758" s="110">
        <v>34.99</v>
      </c>
      <c r="X758">
        <v>113.20000000000002</v>
      </c>
      <c r="Y758">
        <v>69.900000000000006</v>
      </c>
      <c r="Z758">
        <v>69.900000000000006</v>
      </c>
      <c r="AA758">
        <v>0</v>
      </c>
      <c r="AB758" t="s">
        <v>363</v>
      </c>
      <c r="AF758" t="s">
        <v>1700</v>
      </c>
      <c r="AG758" t="s">
        <v>1700</v>
      </c>
      <c r="AH758" t="s">
        <v>1606</v>
      </c>
      <c r="AI758">
        <v>99999</v>
      </c>
      <c r="AJ758">
        <v>99999</v>
      </c>
      <c r="AK758">
        <v>699</v>
      </c>
      <c r="AL758" t="b">
        <v>1</v>
      </c>
      <c r="AM758" t="b">
        <v>1</v>
      </c>
      <c r="AN758" t="b">
        <v>0</v>
      </c>
      <c r="AO758">
        <v>99999</v>
      </c>
      <c r="AP758" t="s">
        <v>64</v>
      </c>
      <c r="AR758" t="b">
        <v>0</v>
      </c>
      <c r="AS758">
        <v>12</v>
      </c>
      <c r="AT758" t="s">
        <v>327</v>
      </c>
      <c r="AV758" t="s">
        <v>1729</v>
      </c>
      <c r="CRL758">
        <v>12</v>
      </c>
    </row>
    <row r="759" spans="1:48 2508:2508" x14ac:dyDescent="0.25">
      <c r="A759" t="s">
        <v>3323</v>
      </c>
      <c r="B759" t="s">
        <v>302</v>
      </c>
      <c r="C759" t="s">
        <v>62</v>
      </c>
      <c r="D759">
        <v>99999</v>
      </c>
      <c r="F759" s="109">
        <v>14000</v>
      </c>
      <c r="G759" t="b">
        <v>0</v>
      </c>
      <c r="H759" t="s">
        <v>331</v>
      </c>
      <c r="K759" t="s">
        <v>393</v>
      </c>
      <c r="L759" t="s">
        <v>303</v>
      </c>
      <c r="M759" t="s">
        <v>323</v>
      </c>
      <c r="N759" t="s">
        <v>63</v>
      </c>
      <c r="O759" s="110">
        <v>39.9</v>
      </c>
      <c r="R759" s="110">
        <v>354.89</v>
      </c>
      <c r="S759" s="110">
        <v>107.5</v>
      </c>
      <c r="T759" s="110">
        <v>0</v>
      </c>
      <c r="U759" s="110">
        <v>42.99</v>
      </c>
      <c r="X759">
        <v>134.49999999999997</v>
      </c>
      <c r="Y759">
        <v>69.900000000000006</v>
      </c>
      <c r="Z759">
        <v>69.900000000000006</v>
      </c>
      <c r="AA759">
        <v>0</v>
      </c>
      <c r="AB759" t="s">
        <v>363</v>
      </c>
      <c r="AF759" t="s">
        <v>1848</v>
      </c>
      <c r="AG759" t="s">
        <v>1848</v>
      </c>
      <c r="AH759" t="s">
        <v>1606</v>
      </c>
      <c r="AI759">
        <v>99999</v>
      </c>
      <c r="AJ759">
        <v>99999</v>
      </c>
      <c r="AK759">
        <v>699</v>
      </c>
      <c r="AL759" t="b">
        <v>1</v>
      </c>
      <c r="AM759" t="b">
        <v>1</v>
      </c>
      <c r="AN759" t="b">
        <v>0</v>
      </c>
      <c r="AO759">
        <v>99999</v>
      </c>
      <c r="AP759" t="s">
        <v>64</v>
      </c>
      <c r="AR759" t="b">
        <v>0</v>
      </c>
      <c r="AS759">
        <v>12</v>
      </c>
      <c r="AT759" t="s">
        <v>327</v>
      </c>
      <c r="AV759" t="s">
        <v>1877</v>
      </c>
      <c r="CRL759">
        <v>12</v>
      </c>
    </row>
    <row r="760" spans="1:48 2508:2508" x14ac:dyDescent="0.25">
      <c r="A760" t="s">
        <v>3323</v>
      </c>
      <c r="B760" t="s">
        <v>302</v>
      </c>
      <c r="C760" t="s">
        <v>62</v>
      </c>
      <c r="D760">
        <v>99999</v>
      </c>
      <c r="F760" s="109">
        <v>14000</v>
      </c>
      <c r="G760" t="b">
        <v>0</v>
      </c>
      <c r="H760" t="s">
        <v>331</v>
      </c>
      <c r="K760" t="s">
        <v>393</v>
      </c>
      <c r="L760" t="s">
        <v>303</v>
      </c>
      <c r="M760" t="s">
        <v>323</v>
      </c>
      <c r="N760" t="s">
        <v>63</v>
      </c>
      <c r="O760" s="110">
        <v>49.9</v>
      </c>
      <c r="R760" s="110">
        <v>348.09000000000003</v>
      </c>
      <c r="S760" s="110">
        <v>130</v>
      </c>
      <c r="T760" s="110">
        <v>0</v>
      </c>
      <c r="U760" s="110">
        <v>34.99</v>
      </c>
      <c r="X760">
        <v>113.20000000000002</v>
      </c>
      <c r="Y760">
        <v>69.900000000000006</v>
      </c>
      <c r="Z760">
        <v>69.900000000000006</v>
      </c>
      <c r="AA760">
        <v>0</v>
      </c>
      <c r="AB760" t="s">
        <v>363</v>
      </c>
      <c r="AF760" t="s">
        <v>3060</v>
      </c>
      <c r="AG760" t="s">
        <v>3060</v>
      </c>
      <c r="AH760" t="s">
        <v>1606</v>
      </c>
      <c r="AI760">
        <v>99999</v>
      </c>
      <c r="AJ760">
        <v>99999</v>
      </c>
      <c r="AK760">
        <v>699</v>
      </c>
      <c r="AL760" t="b">
        <v>1</v>
      </c>
      <c r="AM760" t="b">
        <v>1</v>
      </c>
      <c r="AN760" t="b">
        <v>0</v>
      </c>
      <c r="AO760">
        <v>99999</v>
      </c>
      <c r="AP760" t="s">
        <v>64</v>
      </c>
      <c r="AR760" t="b">
        <v>0</v>
      </c>
      <c r="AS760">
        <v>12</v>
      </c>
      <c r="AT760" t="s">
        <v>327</v>
      </c>
      <c r="AV760" t="s">
        <v>3089</v>
      </c>
      <c r="CRL760">
        <v>12</v>
      </c>
    </row>
    <row r="761" spans="1:48 2508:2508" x14ac:dyDescent="0.25">
      <c r="A761" t="s">
        <v>3323</v>
      </c>
      <c r="B761" t="s">
        <v>302</v>
      </c>
      <c r="C761" t="s">
        <v>62</v>
      </c>
      <c r="D761">
        <v>99999</v>
      </c>
      <c r="F761" s="109">
        <v>14000</v>
      </c>
      <c r="G761" t="b">
        <v>0</v>
      </c>
      <c r="H761" t="s">
        <v>331</v>
      </c>
      <c r="K761" t="s">
        <v>393</v>
      </c>
      <c r="L761" t="s">
        <v>303</v>
      </c>
      <c r="M761" t="s">
        <v>323</v>
      </c>
      <c r="N761" t="s">
        <v>63</v>
      </c>
      <c r="O761" s="110">
        <v>49.9</v>
      </c>
      <c r="R761" s="110">
        <v>377.39</v>
      </c>
      <c r="S761" s="110">
        <v>130</v>
      </c>
      <c r="T761" s="110">
        <v>0</v>
      </c>
      <c r="U761" s="110">
        <v>42.99</v>
      </c>
      <c r="X761">
        <v>134.49999999999997</v>
      </c>
      <c r="Y761">
        <v>69.900000000000006</v>
      </c>
      <c r="Z761">
        <v>69.900000000000006</v>
      </c>
      <c r="AA761">
        <v>0</v>
      </c>
      <c r="AB761" t="s">
        <v>363</v>
      </c>
      <c r="AF761" t="s">
        <v>3134</v>
      </c>
      <c r="AG761" t="s">
        <v>3134</v>
      </c>
      <c r="AH761" t="s">
        <v>1606</v>
      </c>
      <c r="AI761">
        <v>99999</v>
      </c>
      <c r="AJ761">
        <v>99999</v>
      </c>
      <c r="AK761">
        <v>699</v>
      </c>
      <c r="AL761" t="b">
        <v>1</v>
      </c>
      <c r="AM761" t="b">
        <v>1</v>
      </c>
      <c r="AN761" t="b">
        <v>0</v>
      </c>
      <c r="AO761">
        <v>99999</v>
      </c>
      <c r="AP761" t="s">
        <v>64</v>
      </c>
      <c r="AR761" t="b">
        <v>0</v>
      </c>
      <c r="AS761">
        <v>12</v>
      </c>
      <c r="AT761" t="s">
        <v>327</v>
      </c>
      <c r="AV761" t="s">
        <v>3163</v>
      </c>
      <c r="CRL761">
        <v>12</v>
      </c>
    </row>
    <row r="762" spans="1:48 2508:2508" x14ac:dyDescent="0.25">
      <c r="A762" t="s">
        <v>3323</v>
      </c>
      <c r="B762" t="s">
        <v>302</v>
      </c>
      <c r="C762" t="s">
        <v>62</v>
      </c>
      <c r="D762">
        <v>99999</v>
      </c>
      <c r="F762" s="109">
        <v>14000</v>
      </c>
      <c r="G762" t="b">
        <v>0</v>
      </c>
      <c r="H762" t="s">
        <v>331</v>
      </c>
      <c r="K762" t="s">
        <v>364</v>
      </c>
      <c r="L762" t="s">
        <v>303</v>
      </c>
      <c r="M762" t="s">
        <v>323</v>
      </c>
      <c r="N762" t="s">
        <v>63</v>
      </c>
      <c r="O762" s="110">
        <v>29.9</v>
      </c>
      <c r="R762" s="110">
        <v>305.59000000000003</v>
      </c>
      <c r="S762" s="110">
        <v>107.5</v>
      </c>
      <c r="T762" s="110">
        <v>0</v>
      </c>
      <c r="U762" s="110">
        <v>34.99</v>
      </c>
      <c r="X762">
        <v>113.20000000000002</v>
      </c>
      <c r="Y762">
        <v>49.9</v>
      </c>
      <c r="Z762">
        <v>49.9</v>
      </c>
      <c r="AA762">
        <v>0</v>
      </c>
      <c r="AB762" t="s">
        <v>363</v>
      </c>
      <c r="AF762" t="s">
        <v>1633</v>
      </c>
      <c r="AG762" t="s">
        <v>1633</v>
      </c>
      <c r="AH762" t="s">
        <v>1606</v>
      </c>
      <c r="AI762">
        <v>99999</v>
      </c>
      <c r="AJ762">
        <v>99999</v>
      </c>
      <c r="AK762">
        <v>699</v>
      </c>
      <c r="AL762" t="b">
        <v>1</v>
      </c>
      <c r="AM762" t="b">
        <v>1</v>
      </c>
      <c r="AN762" t="b">
        <v>0</v>
      </c>
      <c r="AO762">
        <v>99999</v>
      </c>
      <c r="AP762" t="s">
        <v>64</v>
      </c>
      <c r="AR762" t="b">
        <v>0</v>
      </c>
      <c r="AS762">
        <v>12</v>
      </c>
      <c r="AT762" t="s">
        <v>327</v>
      </c>
      <c r="AV762" t="s">
        <v>1636</v>
      </c>
      <c r="CRL762">
        <v>12</v>
      </c>
    </row>
    <row r="763" spans="1:48 2508:2508" x14ac:dyDescent="0.25">
      <c r="A763" t="s">
        <v>3323</v>
      </c>
      <c r="B763" t="s">
        <v>302</v>
      </c>
      <c r="C763" t="s">
        <v>62</v>
      </c>
      <c r="D763">
        <v>99999</v>
      </c>
      <c r="F763" s="109">
        <v>14000</v>
      </c>
      <c r="G763" t="b">
        <v>0</v>
      </c>
      <c r="H763" t="s">
        <v>331</v>
      </c>
      <c r="K763" t="s">
        <v>364</v>
      </c>
      <c r="L763" t="s">
        <v>303</v>
      </c>
      <c r="M763" t="s">
        <v>323</v>
      </c>
      <c r="N763" t="s">
        <v>63</v>
      </c>
      <c r="O763" s="110">
        <v>29.9</v>
      </c>
      <c r="R763" s="110">
        <v>334.89</v>
      </c>
      <c r="S763" s="110">
        <v>107.5</v>
      </c>
      <c r="T763" s="110">
        <v>0</v>
      </c>
      <c r="U763" s="110">
        <v>42.99</v>
      </c>
      <c r="X763">
        <v>134.49999999999997</v>
      </c>
      <c r="Y763">
        <v>49.9</v>
      </c>
      <c r="Z763">
        <v>49.9</v>
      </c>
      <c r="AA763">
        <v>0</v>
      </c>
      <c r="AB763" t="s">
        <v>363</v>
      </c>
      <c r="AF763" t="s">
        <v>1781</v>
      </c>
      <c r="AG763" t="s">
        <v>1781</v>
      </c>
      <c r="AH763" t="s">
        <v>1606</v>
      </c>
      <c r="AI763">
        <v>99999</v>
      </c>
      <c r="AJ763">
        <v>99999</v>
      </c>
      <c r="AK763">
        <v>699</v>
      </c>
      <c r="AL763" t="b">
        <v>1</v>
      </c>
      <c r="AM763" t="b">
        <v>1</v>
      </c>
      <c r="AN763" t="b">
        <v>0</v>
      </c>
      <c r="AO763">
        <v>99999</v>
      </c>
      <c r="AP763" t="s">
        <v>64</v>
      </c>
      <c r="AR763" t="b">
        <v>0</v>
      </c>
      <c r="AS763">
        <v>12</v>
      </c>
      <c r="AT763" t="s">
        <v>327</v>
      </c>
      <c r="AV763" t="s">
        <v>1784</v>
      </c>
      <c r="CRL763">
        <v>12</v>
      </c>
    </row>
    <row r="764" spans="1:48 2508:2508" x14ac:dyDescent="0.25">
      <c r="A764" t="s">
        <v>3323</v>
      </c>
      <c r="B764" t="s">
        <v>302</v>
      </c>
      <c r="C764" t="s">
        <v>62</v>
      </c>
      <c r="D764">
        <v>99999</v>
      </c>
      <c r="F764" s="109">
        <v>14000</v>
      </c>
      <c r="G764" t="b">
        <v>0</v>
      </c>
      <c r="H764" t="s">
        <v>331</v>
      </c>
      <c r="K764" t="s">
        <v>364</v>
      </c>
      <c r="L764" t="s">
        <v>303</v>
      </c>
      <c r="M764" t="s">
        <v>323</v>
      </c>
      <c r="N764" t="s">
        <v>63</v>
      </c>
      <c r="O764" s="110">
        <v>39.9</v>
      </c>
      <c r="R764" s="110">
        <v>305.59000000000003</v>
      </c>
      <c r="S764" s="110">
        <v>107.5</v>
      </c>
      <c r="T764" s="110">
        <v>0</v>
      </c>
      <c r="U764" s="110">
        <v>34.99</v>
      </c>
      <c r="X764">
        <v>113.20000000000002</v>
      </c>
      <c r="Y764">
        <v>49.9</v>
      </c>
      <c r="Z764">
        <v>49.9</v>
      </c>
      <c r="AA764">
        <v>0</v>
      </c>
      <c r="AB764" t="s">
        <v>363</v>
      </c>
      <c r="AF764" t="s">
        <v>1700</v>
      </c>
      <c r="AG764" t="s">
        <v>1700</v>
      </c>
      <c r="AH764" t="s">
        <v>1606</v>
      </c>
      <c r="AI764">
        <v>99999</v>
      </c>
      <c r="AJ764">
        <v>99999</v>
      </c>
      <c r="AK764">
        <v>699</v>
      </c>
      <c r="AL764" t="b">
        <v>1</v>
      </c>
      <c r="AM764" t="b">
        <v>1</v>
      </c>
      <c r="AN764" t="b">
        <v>0</v>
      </c>
      <c r="AO764">
        <v>99999</v>
      </c>
      <c r="AP764" t="s">
        <v>64</v>
      </c>
      <c r="AR764" t="b">
        <v>0</v>
      </c>
      <c r="AS764">
        <v>12</v>
      </c>
      <c r="AT764" t="s">
        <v>327</v>
      </c>
      <c r="AV764" t="s">
        <v>1703</v>
      </c>
      <c r="CRL764">
        <v>12</v>
      </c>
    </row>
    <row r="765" spans="1:48 2508:2508" x14ac:dyDescent="0.25">
      <c r="A765" t="s">
        <v>3323</v>
      </c>
      <c r="B765" t="s">
        <v>302</v>
      </c>
      <c r="C765" t="s">
        <v>62</v>
      </c>
      <c r="D765">
        <v>99999</v>
      </c>
      <c r="F765" s="109">
        <v>14000</v>
      </c>
      <c r="G765" t="b">
        <v>0</v>
      </c>
      <c r="H765" t="s">
        <v>331</v>
      </c>
      <c r="K765" t="s">
        <v>364</v>
      </c>
      <c r="L765" t="s">
        <v>303</v>
      </c>
      <c r="M765" t="s">
        <v>323</v>
      </c>
      <c r="N765" t="s">
        <v>63</v>
      </c>
      <c r="O765" s="110">
        <v>39.9</v>
      </c>
      <c r="R765" s="110">
        <v>334.89</v>
      </c>
      <c r="S765" s="110">
        <v>107.5</v>
      </c>
      <c r="T765" s="110">
        <v>0</v>
      </c>
      <c r="U765" s="110">
        <v>42.99</v>
      </c>
      <c r="X765">
        <v>134.49999999999997</v>
      </c>
      <c r="Y765">
        <v>49.9</v>
      </c>
      <c r="Z765">
        <v>49.9</v>
      </c>
      <c r="AA765">
        <v>0</v>
      </c>
      <c r="AB765" t="s">
        <v>363</v>
      </c>
      <c r="AF765" t="s">
        <v>1848</v>
      </c>
      <c r="AG765" t="s">
        <v>1848</v>
      </c>
      <c r="AH765" t="s">
        <v>1606</v>
      </c>
      <c r="AI765">
        <v>99999</v>
      </c>
      <c r="AJ765">
        <v>99999</v>
      </c>
      <c r="AK765">
        <v>699</v>
      </c>
      <c r="AL765" t="b">
        <v>1</v>
      </c>
      <c r="AM765" t="b">
        <v>1</v>
      </c>
      <c r="AN765" t="b">
        <v>0</v>
      </c>
      <c r="AO765">
        <v>99999</v>
      </c>
      <c r="AP765" t="s">
        <v>64</v>
      </c>
      <c r="AR765" t="b">
        <v>0</v>
      </c>
      <c r="AS765">
        <v>12</v>
      </c>
      <c r="AT765" t="s">
        <v>327</v>
      </c>
      <c r="AV765" t="s">
        <v>1851</v>
      </c>
      <c r="CRL765">
        <v>12</v>
      </c>
    </row>
    <row r="766" spans="1:48 2508:2508" x14ac:dyDescent="0.25">
      <c r="A766" t="s">
        <v>3323</v>
      </c>
      <c r="B766" t="s">
        <v>302</v>
      </c>
      <c r="C766" t="s">
        <v>62</v>
      </c>
      <c r="D766">
        <v>99999</v>
      </c>
      <c r="F766" s="109">
        <v>14000</v>
      </c>
      <c r="G766" t="b">
        <v>0</v>
      </c>
      <c r="H766" t="s">
        <v>331</v>
      </c>
      <c r="K766" t="s">
        <v>364</v>
      </c>
      <c r="L766" t="s">
        <v>303</v>
      </c>
      <c r="M766" t="s">
        <v>323</v>
      </c>
      <c r="N766" t="s">
        <v>63</v>
      </c>
      <c r="O766" s="110">
        <v>49.9</v>
      </c>
      <c r="R766" s="110">
        <v>328.09000000000003</v>
      </c>
      <c r="S766" s="110">
        <v>130</v>
      </c>
      <c r="T766" s="110">
        <v>0</v>
      </c>
      <c r="U766" s="110">
        <v>34.99</v>
      </c>
      <c r="X766">
        <v>113.20000000000002</v>
      </c>
      <c r="Y766">
        <v>49.9</v>
      </c>
      <c r="Z766">
        <v>49.9</v>
      </c>
      <c r="AA766">
        <v>0</v>
      </c>
      <c r="AB766" t="s">
        <v>363</v>
      </c>
      <c r="AF766" t="s">
        <v>3060</v>
      </c>
      <c r="AG766" t="s">
        <v>3060</v>
      </c>
      <c r="AH766" t="s">
        <v>1606</v>
      </c>
      <c r="AI766">
        <v>99999</v>
      </c>
      <c r="AJ766">
        <v>99999</v>
      </c>
      <c r="AK766">
        <v>699</v>
      </c>
      <c r="AL766" t="b">
        <v>1</v>
      </c>
      <c r="AM766" t="b">
        <v>1</v>
      </c>
      <c r="AN766" t="b">
        <v>0</v>
      </c>
      <c r="AO766">
        <v>99999</v>
      </c>
      <c r="AP766" t="s">
        <v>64</v>
      </c>
      <c r="AR766" t="b">
        <v>0</v>
      </c>
      <c r="AS766">
        <v>12</v>
      </c>
      <c r="AT766" t="s">
        <v>327</v>
      </c>
      <c r="AV766" t="s">
        <v>3063</v>
      </c>
      <c r="CRL766">
        <v>12</v>
      </c>
    </row>
    <row r="767" spans="1:48 2508:2508" x14ac:dyDescent="0.25">
      <c r="A767" t="s">
        <v>3323</v>
      </c>
      <c r="B767" t="s">
        <v>302</v>
      </c>
      <c r="C767" t="s">
        <v>62</v>
      </c>
      <c r="D767">
        <v>99999</v>
      </c>
      <c r="F767" s="109">
        <v>14000</v>
      </c>
      <c r="G767" t="b">
        <v>0</v>
      </c>
      <c r="H767" t="s">
        <v>331</v>
      </c>
      <c r="K767" t="s">
        <v>364</v>
      </c>
      <c r="L767" t="s">
        <v>303</v>
      </c>
      <c r="M767" t="s">
        <v>323</v>
      </c>
      <c r="N767" t="s">
        <v>63</v>
      </c>
      <c r="O767" s="110">
        <v>49.9</v>
      </c>
      <c r="R767" s="110">
        <v>357.39</v>
      </c>
      <c r="S767" s="110">
        <v>130</v>
      </c>
      <c r="T767" s="110">
        <v>0</v>
      </c>
      <c r="U767" s="110">
        <v>42.99</v>
      </c>
      <c r="X767">
        <v>134.49999999999997</v>
      </c>
      <c r="Y767">
        <v>49.9</v>
      </c>
      <c r="Z767">
        <v>49.9</v>
      </c>
      <c r="AA767">
        <v>0</v>
      </c>
      <c r="AB767" t="s">
        <v>363</v>
      </c>
      <c r="AF767" t="s">
        <v>3134</v>
      </c>
      <c r="AG767" t="s">
        <v>3134</v>
      </c>
      <c r="AH767" t="s">
        <v>1606</v>
      </c>
      <c r="AI767">
        <v>99999</v>
      </c>
      <c r="AJ767">
        <v>99999</v>
      </c>
      <c r="AK767">
        <v>699</v>
      </c>
      <c r="AL767" t="b">
        <v>1</v>
      </c>
      <c r="AM767" t="b">
        <v>1</v>
      </c>
      <c r="AN767" t="b">
        <v>0</v>
      </c>
      <c r="AO767">
        <v>99999</v>
      </c>
      <c r="AP767" t="s">
        <v>64</v>
      </c>
      <c r="AR767" t="b">
        <v>0</v>
      </c>
      <c r="AS767">
        <v>12</v>
      </c>
      <c r="AT767" t="s">
        <v>327</v>
      </c>
      <c r="AV767" t="s">
        <v>3137</v>
      </c>
      <c r="CRL767">
        <v>12</v>
      </c>
    </row>
    <row r="768" spans="1:48 2508:2508" x14ac:dyDescent="0.25">
      <c r="A768" t="s">
        <v>3323</v>
      </c>
      <c r="B768" t="s">
        <v>302</v>
      </c>
      <c r="C768" t="s">
        <v>62</v>
      </c>
      <c r="D768">
        <v>99999</v>
      </c>
      <c r="F768" s="109">
        <v>14000</v>
      </c>
      <c r="G768" t="b">
        <v>0</v>
      </c>
      <c r="H768" t="s">
        <v>331</v>
      </c>
      <c r="K768" t="s">
        <v>379</v>
      </c>
      <c r="L768" t="s">
        <v>303</v>
      </c>
      <c r="M768" t="s">
        <v>323</v>
      </c>
      <c r="N768" t="s">
        <v>63</v>
      </c>
      <c r="O768" s="110">
        <v>29.9</v>
      </c>
      <c r="R768" s="110">
        <v>315.59000000000003</v>
      </c>
      <c r="S768" s="110">
        <v>107.5</v>
      </c>
      <c r="T768" s="110">
        <v>0</v>
      </c>
      <c r="U768" s="110">
        <v>34.99</v>
      </c>
      <c r="X768">
        <v>113.20000000000002</v>
      </c>
      <c r="Y768">
        <v>59.9</v>
      </c>
      <c r="Z768">
        <v>59.9</v>
      </c>
      <c r="AA768">
        <v>0</v>
      </c>
      <c r="AB768" t="s">
        <v>363</v>
      </c>
      <c r="AF768" t="s">
        <v>1633</v>
      </c>
      <c r="AG768" t="s">
        <v>1633</v>
      </c>
      <c r="AH768" t="s">
        <v>1606</v>
      </c>
      <c r="AI768">
        <v>99999</v>
      </c>
      <c r="AJ768">
        <v>99999</v>
      </c>
      <c r="AK768">
        <v>699</v>
      </c>
      <c r="AL768" t="b">
        <v>1</v>
      </c>
      <c r="AM768" t="b">
        <v>1</v>
      </c>
      <c r="AN768" t="b">
        <v>0</v>
      </c>
      <c r="AO768">
        <v>99999</v>
      </c>
      <c r="AP768" t="s">
        <v>64</v>
      </c>
      <c r="AR768" t="b">
        <v>0</v>
      </c>
      <c r="AS768">
        <v>12</v>
      </c>
      <c r="AT768" t="s">
        <v>327</v>
      </c>
      <c r="AV768" t="s">
        <v>1649</v>
      </c>
      <c r="CRL768">
        <v>12</v>
      </c>
    </row>
    <row r="769" spans="1:48 2508:2508" x14ac:dyDescent="0.25">
      <c r="A769" t="s">
        <v>3323</v>
      </c>
      <c r="B769" t="s">
        <v>302</v>
      </c>
      <c r="C769" t="s">
        <v>62</v>
      </c>
      <c r="D769">
        <v>99999</v>
      </c>
      <c r="F769" s="109">
        <v>14000</v>
      </c>
      <c r="G769" t="b">
        <v>0</v>
      </c>
      <c r="H769" t="s">
        <v>331</v>
      </c>
      <c r="K769" t="s">
        <v>379</v>
      </c>
      <c r="L769" t="s">
        <v>303</v>
      </c>
      <c r="M769" t="s">
        <v>323</v>
      </c>
      <c r="N769" t="s">
        <v>63</v>
      </c>
      <c r="O769" s="110">
        <v>29.9</v>
      </c>
      <c r="R769" s="110">
        <v>344.89</v>
      </c>
      <c r="S769" s="110">
        <v>107.5</v>
      </c>
      <c r="T769" s="110">
        <v>0</v>
      </c>
      <c r="U769" s="110">
        <v>42.99</v>
      </c>
      <c r="X769">
        <v>134.49999999999997</v>
      </c>
      <c r="Y769">
        <v>59.9</v>
      </c>
      <c r="Z769">
        <v>59.9</v>
      </c>
      <c r="AA769">
        <v>0</v>
      </c>
      <c r="AB769" t="s">
        <v>363</v>
      </c>
      <c r="AF769" t="s">
        <v>1781</v>
      </c>
      <c r="AG769" t="s">
        <v>1781</v>
      </c>
      <c r="AH769" t="s">
        <v>1606</v>
      </c>
      <c r="AI769">
        <v>99999</v>
      </c>
      <c r="AJ769">
        <v>99999</v>
      </c>
      <c r="AK769">
        <v>699</v>
      </c>
      <c r="AL769" t="b">
        <v>1</v>
      </c>
      <c r="AM769" t="b">
        <v>1</v>
      </c>
      <c r="AN769" t="b">
        <v>0</v>
      </c>
      <c r="AO769">
        <v>99999</v>
      </c>
      <c r="AP769" t="s">
        <v>64</v>
      </c>
      <c r="AR769" t="b">
        <v>0</v>
      </c>
      <c r="AS769">
        <v>12</v>
      </c>
      <c r="AT769" t="s">
        <v>327</v>
      </c>
      <c r="AV769" t="s">
        <v>1797</v>
      </c>
      <c r="CRL769">
        <v>12</v>
      </c>
    </row>
    <row r="770" spans="1:48 2508:2508" x14ac:dyDescent="0.25">
      <c r="A770" t="s">
        <v>3323</v>
      </c>
      <c r="B770" t="s">
        <v>302</v>
      </c>
      <c r="C770" t="s">
        <v>62</v>
      </c>
      <c r="D770">
        <v>99999</v>
      </c>
      <c r="F770" s="109">
        <v>14000</v>
      </c>
      <c r="G770" t="b">
        <v>0</v>
      </c>
      <c r="H770" t="s">
        <v>331</v>
      </c>
      <c r="K770" t="s">
        <v>379</v>
      </c>
      <c r="L770" t="s">
        <v>303</v>
      </c>
      <c r="M770" t="s">
        <v>323</v>
      </c>
      <c r="N770" t="s">
        <v>63</v>
      </c>
      <c r="O770" s="110">
        <v>39.9</v>
      </c>
      <c r="R770" s="110">
        <v>315.59000000000003</v>
      </c>
      <c r="S770" s="110">
        <v>107.5</v>
      </c>
      <c r="T770" s="110">
        <v>0</v>
      </c>
      <c r="U770" s="110">
        <v>34.99</v>
      </c>
      <c r="X770">
        <v>113.20000000000002</v>
      </c>
      <c r="Y770">
        <v>59.9</v>
      </c>
      <c r="Z770">
        <v>59.9</v>
      </c>
      <c r="AA770">
        <v>0</v>
      </c>
      <c r="AB770" t="s">
        <v>363</v>
      </c>
      <c r="AF770" t="s">
        <v>1700</v>
      </c>
      <c r="AG770" t="s">
        <v>1700</v>
      </c>
      <c r="AH770" t="s">
        <v>1606</v>
      </c>
      <c r="AI770">
        <v>99999</v>
      </c>
      <c r="AJ770">
        <v>99999</v>
      </c>
      <c r="AK770">
        <v>699</v>
      </c>
      <c r="AL770" t="b">
        <v>1</v>
      </c>
      <c r="AM770" t="b">
        <v>1</v>
      </c>
      <c r="AN770" t="b">
        <v>0</v>
      </c>
      <c r="AO770">
        <v>99999</v>
      </c>
      <c r="AP770" t="s">
        <v>64</v>
      </c>
      <c r="AR770" t="b">
        <v>0</v>
      </c>
      <c r="AS770">
        <v>12</v>
      </c>
      <c r="AT770" t="s">
        <v>327</v>
      </c>
      <c r="AV770" t="s">
        <v>1716</v>
      </c>
      <c r="CRL770">
        <v>12</v>
      </c>
    </row>
    <row r="771" spans="1:48 2508:2508" x14ac:dyDescent="0.25">
      <c r="A771" t="s">
        <v>3323</v>
      </c>
      <c r="B771" t="s">
        <v>302</v>
      </c>
      <c r="C771" t="s">
        <v>62</v>
      </c>
      <c r="D771">
        <v>99999</v>
      </c>
      <c r="F771" s="109">
        <v>14000</v>
      </c>
      <c r="G771" t="b">
        <v>0</v>
      </c>
      <c r="H771" t="s">
        <v>331</v>
      </c>
      <c r="K771" t="s">
        <v>379</v>
      </c>
      <c r="L771" t="s">
        <v>303</v>
      </c>
      <c r="M771" t="s">
        <v>323</v>
      </c>
      <c r="N771" t="s">
        <v>63</v>
      </c>
      <c r="O771" s="110">
        <v>39.9</v>
      </c>
      <c r="R771" s="110">
        <v>344.89</v>
      </c>
      <c r="S771" s="110">
        <v>107.5</v>
      </c>
      <c r="T771" s="110">
        <v>0</v>
      </c>
      <c r="U771" s="110">
        <v>42.99</v>
      </c>
      <c r="X771">
        <v>134.49999999999997</v>
      </c>
      <c r="Y771">
        <v>59.9</v>
      </c>
      <c r="Z771">
        <v>59.9</v>
      </c>
      <c r="AA771">
        <v>0</v>
      </c>
      <c r="AB771" t="s">
        <v>363</v>
      </c>
      <c r="AF771" t="s">
        <v>1848</v>
      </c>
      <c r="AG771" t="s">
        <v>1848</v>
      </c>
      <c r="AH771" t="s">
        <v>1606</v>
      </c>
      <c r="AI771">
        <v>99999</v>
      </c>
      <c r="AJ771">
        <v>99999</v>
      </c>
      <c r="AK771">
        <v>699</v>
      </c>
      <c r="AL771" t="b">
        <v>1</v>
      </c>
      <c r="AM771" t="b">
        <v>1</v>
      </c>
      <c r="AN771" t="b">
        <v>0</v>
      </c>
      <c r="AO771">
        <v>99999</v>
      </c>
      <c r="AP771" t="s">
        <v>64</v>
      </c>
      <c r="AR771" t="b">
        <v>0</v>
      </c>
      <c r="AS771">
        <v>12</v>
      </c>
      <c r="AT771" t="s">
        <v>327</v>
      </c>
      <c r="AV771" t="s">
        <v>1864</v>
      </c>
      <c r="CRL771">
        <v>12</v>
      </c>
    </row>
    <row r="772" spans="1:48 2508:2508" x14ac:dyDescent="0.25">
      <c r="A772" t="s">
        <v>3323</v>
      </c>
      <c r="B772" t="s">
        <v>302</v>
      </c>
      <c r="C772" t="s">
        <v>62</v>
      </c>
      <c r="D772">
        <v>99999</v>
      </c>
      <c r="F772" s="109">
        <v>14000</v>
      </c>
      <c r="G772" t="b">
        <v>0</v>
      </c>
      <c r="H772" t="s">
        <v>331</v>
      </c>
      <c r="K772" t="s">
        <v>379</v>
      </c>
      <c r="L772" t="s">
        <v>303</v>
      </c>
      <c r="M772" t="s">
        <v>323</v>
      </c>
      <c r="N772" t="s">
        <v>63</v>
      </c>
      <c r="O772" s="110">
        <v>49.9</v>
      </c>
      <c r="R772" s="110">
        <v>338.09000000000003</v>
      </c>
      <c r="S772" s="110">
        <v>130</v>
      </c>
      <c r="T772" s="110">
        <v>0</v>
      </c>
      <c r="U772" s="110">
        <v>34.99</v>
      </c>
      <c r="X772">
        <v>113.20000000000002</v>
      </c>
      <c r="Y772">
        <v>59.9</v>
      </c>
      <c r="Z772">
        <v>59.9</v>
      </c>
      <c r="AA772">
        <v>0</v>
      </c>
      <c r="AB772" t="s">
        <v>363</v>
      </c>
      <c r="AF772" t="s">
        <v>3060</v>
      </c>
      <c r="AG772" t="s">
        <v>3060</v>
      </c>
      <c r="AH772" t="s">
        <v>1606</v>
      </c>
      <c r="AI772">
        <v>99999</v>
      </c>
      <c r="AJ772">
        <v>99999</v>
      </c>
      <c r="AK772">
        <v>699</v>
      </c>
      <c r="AL772" t="b">
        <v>1</v>
      </c>
      <c r="AM772" t="b">
        <v>1</v>
      </c>
      <c r="AN772" t="b">
        <v>0</v>
      </c>
      <c r="AO772">
        <v>99999</v>
      </c>
      <c r="AP772" t="s">
        <v>64</v>
      </c>
      <c r="AR772" t="b">
        <v>0</v>
      </c>
      <c r="AS772">
        <v>12</v>
      </c>
      <c r="AT772" t="s">
        <v>327</v>
      </c>
      <c r="AV772" t="s">
        <v>3076</v>
      </c>
      <c r="CRL772">
        <v>12</v>
      </c>
    </row>
    <row r="773" spans="1:48 2508:2508" x14ac:dyDescent="0.25">
      <c r="A773" t="s">
        <v>3323</v>
      </c>
      <c r="B773" t="s">
        <v>302</v>
      </c>
      <c r="C773" t="s">
        <v>62</v>
      </c>
      <c r="D773">
        <v>99999</v>
      </c>
      <c r="F773" s="109">
        <v>14000</v>
      </c>
      <c r="G773" t="b">
        <v>0</v>
      </c>
      <c r="H773" t="s">
        <v>331</v>
      </c>
      <c r="K773" t="s">
        <v>379</v>
      </c>
      <c r="L773" t="s">
        <v>303</v>
      </c>
      <c r="M773" t="s">
        <v>323</v>
      </c>
      <c r="N773" t="s">
        <v>63</v>
      </c>
      <c r="O773" s="110">
        <v>49.9</v>
      </c>
      <c r="R773" s="110">
        <v>367.39</v>
      </c>
      <c r="S773" s="110">
        <v>130</v>
      </c>
      <c r="T773" s="110">
        <v>0</v>
      </c>
      <c r="U773" s="110">
        <v>42.99</v>
      </c>
      <c r="X773">
        <v>134.49999999999997</v>
      </c>
      <c r="Y773">
        <v>59.9</v>
      </c>
      <c r="Z773">
        <v>59.9</v>
      </c>
      <c r="AA773">
        <v>0</v>
      </c>
      <c r="AB773" t="s">
        <v>363</v>
      </c>
      <c r="AF773" t="s">
        <v>3134</v>
      </c>
      <c r="AG773" t="s">
        <v>3134</v>
      </c>
      <c r="AH773" t="s">
        <v>1606</v>
      </c>
      <c r="AI773">
        <v>99999</v>
      </c>
      <c r="AJ773">
        <v>99999</v>
      </c>
      <c r="AK773">
        <v>699</v>
      </c>
      <c r="AL773" t="b">
        <v>1</v>
      </c>
      <c r="AM773" t="b">
        <v>1</v>
      </c>
      <c r="AN773" t="b">
        <v>0</v>
      </c>
      <c r="AO773">
        <v>99999</v>
      </c>
      <c r="AP773" t="s">
        <v>64</v>
      </c>
      <c r="AR773" t="b">
        <v>0</v>
      </c>
      <c r="AS773">
        <v>12</v>
      </c>
      <c r="AT773" t="s">
        <v>327</v>
      </c>
      <c r="AV773" t="s">
        <v>3150</v>
      </c>
      <c r="CRL773">
        <v>12</v>
      </c>
    </row>
    <row r="774" spans="1:48 2508:2508" x14ac:dyDescent="0.25">
      <c r="A774" t="s">
        <v>3323</v>
      </c>
      <c r="B774" t="s">
        <v>302</v>
      </c>
      <c r="C774" t="s">
        <v>62</v>
      </c>
      <c r="D774">
        <v>99999</v>
      </c>
      <c r="F774" s="109">
        <v>14000</v>
      </c>
      <c r="G774" t="b">
        <v>0</v>
      </c>
      <c r="H774" t="s">
        <v>331</v>
      </c>
      <c r="K774" t="s">
        <v>61</v>
      </c>
      <c r="L774" t="s">
        <v>303</v>
      </c>
      <c r="M774" t="s">
        <v>323</v>
      </c>
      <c r="N774" t="s">
        <v>63</v>
      </c>
      <c r="O774" s="110">
        <v>29.9</v>
      </c>
      <c r="R774" s="110">
        <v>300.59000000000003</v>
      </c>
      <c r="S774" s="110">
        <v>107.5</v>
      </c>
      <c r="T774" s="110">
        <v>0</v>
      </c>
      <c r="U774" s="110">
        <v>34.99</v>
      </c>
      <c r="X774">
        <v>113.20000000000002</v>
      </c>
      <c r="Y774">
        <v>44.9</v>
      </c>
      <c r="Z774">
        <v>44.9</v>
      </c>
      <c r="AA774">
        <v>0</v>
      </c>
      <c r="AB774" t="s">
        <v>324</v>
      </c>
      <c r="AF774" t="s">
        <v>1605</v>
      </c>
      <c r="AG774" t="s">
        <v>1605</v>
      </c>
      <c r="AH774" t="s">
        <v>1606</v>
      </c>
      <c r="AI774">
        <v>99999</v>
      </c>
      <c r="AJ774">
        <v>99999</v>
      </c>
      <c r="AK774">
        <v>699</v>
      </c>
      <c r="AL774" t="b">
        <v>1</v>
      </c>
      <c r="AM774" t="b">
        <v>1</v>
      </c>
      <c r="AN774" t="b">
        <v>0</v>
      </c>
      <c r="AO774">
        <v>99999</v>
      </c>
      <c r="AP774" t="s">
        <v>64</v>
      </c>
      <c r="AR774" t="b">
        <v>0</v>
      </c>
      <c r="AS774">
        <v>12</v>
      </c>
      <c r="AT774" t="s">
        <v>327</v>
      </c>
      <c r="AV774" t="s">
        <v>1609</v>
      </c>
      <c r="CRL774">
        <v>12</v>
      </c>
    </row>
    <row r="775" spans="1:48 2508:2508" x14ac:dyDescent="0.25">
      <c r="A775" t="s">
        <v>3323</v>
      </c>
      <c r="B775" t="s">
        <v>302</v>
      </c>
      <c r="C775" t="s">
        <v>62</v>
      </c>
      <c r="D775">
        <v>99999</v>
      </c>
      <c r="F775" s="109">
        <v>14000</v>
      </c>
      <c r="G775" t="b">
        <v>0</v>
      </c>
      <c r="H775" t="s">
        <v>331</v>
      </c>
      <c r="K775" t="s">
        <v>61</v>
      </c>
      <c r="L775" t="s">
        <v>303</v>
      </c>
      <c r="M775" t="s">
        <v>323</v>
      </c>
      <c r="N775" t="s">
        <v>63</v>
      </c>
      <c r="O775" s="110">
        <v>29.9</v>
      </c>
      <c r="R775" s="110">
        <v>329.89</v>
      </c>
      <c r="S775" s="110">
        <v>107.5</v>
      </c>
      <c r="T775" s="110">
        <v>0</v>
      </c>
      <c r="U775" s="110">
        <v>42.99</v>
      </c>
      <c r="X775">
        <v>134.49999999999997</v>
      </c>
      <c r="Y775">
        <v>44.9</v>
      </c>
      <c r="Z775">
        <v>44.9</v>
      </c>
      <c r="AA775">
        <v>0</v>
      </c>
      <c r="AB775" t="s">
        <v>324</v>
      </c>
      <c r="AF775" t="s">
        <v>1754</v>
      </c>
      <c r="AG775" t="s">
        <v>1754</v>
      </c>
      <c r="AH775" t="s">
        <v>1606</v>
      </c>
      <c r="AI775">
        <v>99999</v>
      </c>
      <c r="AJ775">
        <v>99999</v>
      </c>
      <c r="AK775">
        <v>699</v>
      </c>
      <c r="AL775" t="b">
        <v>1</v>
      </c>
      <c r="AM775" t="b">
        <v>1</v>
      </c>
      <c r="AN775" t="b">
        <v>0</v>
      </c>
      <c r="AO775">
        <v>99999</v>
      </c>
      <c r="AP775" t="s">
        <v>64</v>
      </c>
      <c r="AR775" t="b">
        <v>0</v>
      </c>
      <c r="AS775">
        <v>12</v>
      </c>
      <c r="AT775" t="s">
        <v>327</v>
      </c>
      <c r="AV775" t="s">
        <v>1757</v>
      </c>
      <c r="CRL775">
        <v>12</v>
      </c>
    </row>
    <row r="776" spans="1:48 2508:2508" x14ac:dyDescent="0.25">
      <c r="A776" t="s">
        <v>3323</v>
      </c>
      <c r="B776" t="s">
        <v>302</v>
      </c>
      <c r="C776" t="s">
        <v>62</v>
      </c>
      <c r="D776">
        <v>99999</v>
      </c>
      <c r="F776" s="109">
        <v>14000</v>
      </c>
      <c r="G776" t="b">
        <v>0</v>
      </c>
      <c r="H776" t="s">
        <v>331</v>
      </c>
      <c r="K776" t="s">
        <v>61</v>
      </c>
      <c r="L776" t="s">
        <v>303</v>
      </c>
      <c r="M776" t="s">
        <v>323</v>
      </c>
      <c r="N776" t="s">
        <v>63</v>
      </c>
      <c r="O776" s="110">
        <v>39.9</v>
      </c>
      <c r="R776" s="110">
        <v>300.59000000000003</v>
      </c>
      <c r="S776" s="110">
        <v>107.5</v>
      </c>
      <c r="T776" s="110">
        <v>0</v>
      </c>
      <c r="U776" s="110">
        <v>34.99</v>
      </c>
      <c r="X776">
        <v>113.20000000000002</v>
      </c>
      <c r="Y776">
        <v>44.9</v>
      </c>
      <c r="Z776">
        <v>44.9</v>
      </c>
      <c r="AA776">
        <v>0</v>
      </c>
      <c r="AB776" t="s">
        <v>324</v>
      </c>
      <c r="AF776" t="s">
        <v>1673</v>
      </c>
      <c r="AG776" t="s">
        <v>1673</v>
      </c>
      <c r="AH776" t="s">
        <v>1606</v>
      </c>
      <c r="AI776">
        <v>99999</v>
      </c>
      <c r="AJ776">
        <v>99999</v>
      </c>
      <c r="AK776">
        <v>699</v>
      </c>
      <c r="AL776" t="b">
        <v>1</v>
      </c>
      <c r="AM776" t="b">
        <v>1</v>
      </c>
      <c r="AN776" t="b">
        <v>0</v>
      </c>
      <c r="AO776">
        <v>99999</v>
      </c>
      <c r="AP776" t="s">
        <v>64</v>
      </c>
      <c r="AR776" t="b">
        <v>0</v>
      </c>
      <c r="AS776">
        <v>12</v>
      </c>
      <c r="AT776" t="s">
        <v>327</v>
      </c>
      <c r="AV776" t="s">
        <v>1676</v>
      </c>
      <c r="CRL776">
        <v>12</v>
      </c>
    </row>
    <row r="777" spans="1:48 2508:2508" x14ac:dyDescent="0.25">
      <c r="A777" t="s">
        <v>3323</v>
      </c>
      <c r="B777" t="s">
        <v>302</v>
      </c>
      <c r="C777" t="s">
        <v>62</v>
      </c>
      <c r="D777">
        <v>99999</v>
      </c>
      <c r="F777" s="109">
        <v>14000</v>
      </c>
      <c r="G777" t="b">
        <v>0</v>
      </c>
      <c r="H777" t="s">
        <v>331</v>
      </c>
      <c r="K777" t="s">
        <v>61</v>
      </c>
      <c r="L777" t="s">
        <v>303</v>
      </c>
      <c r="M777" t="s">
        <v>323</v>
      </c>
      <c r="N777" t="s">
        <v>63</v>
      </c>
      <c r="O777" s="110">
        <v>39.9</v>
      </c>
      <c r="R777" s="110">
        <v>329.89</v>
      </c>
      <c r="S777" s="110">
        <v>107.5</v>
      </c>
      <c r="T777" s="110">
        <v>0</v>
      </c>
      <c r="U777" s="110">
        <v>42.99</v>
      </c>
      <c r="X777">
        <v>134.49999999999997</v>
      </c>
      <c r="Y777">
        <v>44.9</v>
      </c>
      <c r="Z777">
        <v>44.9</v>
      </c>
      <c r="AA777">
        <v>0</v>
      </c>
      <c r="AB777" t="s">
        <v>324</v>
      </c>
      <c r="AF777" t="s">
        <v>1821</v>
      </c>
      <c r="AG777" t="s">
        <v>1821</v>
      </c>
      <c r="AH777" t="s">
        <v>1606</v>
      </c>
      <c r="AI777">
        <v>99999</v>
      </c>
      <c r="AJ777">
        <v>99999</v>
      </c>
      <c r="AK777">
        <v>699</v>
      </c>
      <c r="AL777" t="b">
        <v>1</v>
      </c>
      <c r="AM777" t="b">
        <v>1</v>
      </c>
      <c r="AN777" t="b">
        <v>0</v>
      </c>
      <c r="AO777">
        <v>99999</v>
      </c>
      <c r="AP777" t="s">
        <v>64</v>
      </c>
      <c r="AR777" t="b">
        <v>0</v>
      </c>
      <c r="AS777">
        <v>12</v>
      </c>
      <c r="AT777" t="s">
        <v>327</v>
      </c>
      <c r="AV777" t="s">
        <v>1824</v>
      </c>
      <c r="CRL777">
        <v>12</v>
      </c>
    </row>
    <row r="778" spans="1:48 2508:2508" x14ac:dyDescent="0.25">
      <c r="A778" t="s">
        <v>3323</v>
      </c>
      <c r="B778" t="s">
        <v>302</v>
      </c>
      <c r="C778" t="s">
        <v>62</v>
      </c>
      <c r="D778">
        <v>99999</v>
      </c>
      <c r="F778" s="109">
        <v>14000</v>
      </c>
      <c r="G778" t="b">
        <v>0</v>
      </c>
      <c r="H778" t="s">
        <v>331</v>
      </c>
      <c r="K778" t="s">
        <v>61</v>
      </c>
      <c r="L778" t="s">
        <v>303</v>
      </c>
      <c r="M778" t="s">
        <v>323</v>
      </c>
      <c r="N778" t="s">
        <v>63</v>
      </c>
      <c r="O778" s="110">
        <v>49.9</v>
      </c>
      <c r="R778" s="110">
        <v>323.09000000000003</v>
      </c>
      <c r="S778" s="110">
        <v>130</v>
      </c>
      <c r="T778" s="110">
        <v>0</v>
      </c>
      <c r="U778" s="110">
        <v>34.99</v>
      </c>
      <c r="X778">
        <v>113.20000000000002</v>
      </c>
      <c r="Y778">
        <v>44.9</v>
      </c>
      <c r="Z778">
        <v>44.9</v>
      </c>
      <c r="AA778">
        <v>0</v>
      </c>
      <c r="AB778" t="s">
        <v>324</v>
      </c>
      <c r="AF778" t="s">
        <v>3033</v>
      </c>
      <c r="AG778" t="s">
        <v>3033</v>
      </c>
      <c r="AH778" t="s">
        <v>1606</v>
      </c>
      <c r="AI778">
        <v>99999</v>
      </c>
      <c r="AJ778">
        <v>99999</v>
      </c>
      <c r="AK778">
        <v>699</v>
      </c>
      <c r="AL778" t="b">
        <v>1</v>
      </c>
      <c r="AM778" t="b">
        <v>1</v>
      </c>
      <c r="AN778" t="b">
        <v>0</v>
      </c>
      <c r="AO778">
        <v>99999</v>
      </c>
      <c r="AP778" t="s">
        <v>64</v>
      </c>
      <c r="AR778" t="b">
        <v>0</v>
      </c>
      <c r="AS778">
        <v>12</v>
      </c>
      <c r="AT778" t="s">
        <v>327</v>
      </c>
      <c r="AV778" t="s">
        <v>3036</v>
      </c>
      <c r="CRL778">
        <v>12</v>
      </c>
    </row>
    <row r="779" spans="1:48 2508:2508" x14ac:dyDescent="0.25">
      <c r="A779" t="s">
        <v>3323</v>
      </c>
      <c r="B779" t="s">
        <v>302</v>
      </c>
      <c r="C779" t="s">
        <v>62</v>
      </c>
      <c r="D779">
        <v>99999</v>
      </c>
      <c r="F779" s="109">
        <v>14000</v>
      </c>
      <c r="G779" t="b">
        <v>0</v>
      </c>
      <c r="H779" t="s">
        <v>331</v>
      </c>
      <c r="K779" t="s">
        <v>61</v>
      </c>
      <c r="L779" t="s">
        <v>303</v>
      </c>
      <c r="M779" t="s">
        <v>323</v>
      </c>
      <c r="N779" t="s">
        <v>63</v>
      </c>
      <c r="O779" s="110">
        <v>49.9</v>
      </c>
      <c r="R779" s="110">
        <v>352.39</v>
      </c>
      <c r="S779" s="110">
        <v>130</v>
      </c>
      <c r="T779" s="110">
        <v>0</v>
      </c>
      <c r="U779" s="110">
        <v>42.99</v>
      </c>
      <c r="X779">
        <v>134.49999999999997</v>
      </c>
      <c r="Y779">
        <v>44.9</v>
      </c>
      <c r="Z779">
        <v>44.9</v>
      </c>
      <c r="AA779">
        <v>0</v>
      </c>
      <c r="AB779" t="s">
        <v>324</v>
      </c>
      <c r="AF779" t="s">
        <v>3107</v>
      </c>
      <c r="AG779" t="s">
        <v>3107</v>
      </c>
      <c r="AH779" t="s">
        <v>1606</v>
      </c>
      <c r="AI779">
        <v>99999</v>
      </c>
      <c r="AJ779">
        <v>99999</v>
      </c>
      <c r="AK779">
        <v>699</v>
      </c>
      <c r="AL779" t="b">
        <v>1</v>
      </c>
      <c r="AM779" t="b">
        <v>1</v>
      </c>
      <c r="AN779" t="b">
        <v>0</v>
      </c>
      <c r="AO779">
        <v>99999</v>
      </c>
      <c r="AP779" t="s">
        <v>64</v>
      </c>
      <c r="AR779" t="b">
        <v>0</v>
      </c>
      <c r="AS779">
        <v>12</v>
      </c>
      <c r="AT779" t="s">
        <v>327</v>
      </c>
      <c r="AV779" t="s">
        <v>3110</v>
      </c>
      <c r="CRL779">
        <v>12</v>
      </c>
    </row>
    <row r="780" spans="1:48 2508:2508" x14ac:dyDescent="0.25">
      <c r="A780" t="s">
        <v>3323</v>
      </c>
      <c r="B780" t="s">
        <v>302</v>
      </c>
      <c r="C780" t="s">
        <v>62</v>
      </c>
      <c r="D780">
        <v>99999</v>
      </c>
      <c r="F780" s="109">
        <v>14000</v>
      </c>
      <c r="G780" t="b">
        <v>0</v>
      </c>
      <c r="H780" t="s">
        <v>329</v>
      </c>
      <c r="K780" t="s">
        <v>349</v>
      </c>
      <c r="L780" t="s">
        <v>303</v>
      </c>
      <c r="M780" t="s">
        <v>323</v>
      </c>
      <c r="N780" t="s">
        <v>63</v>
      </c>
      <c r="O780" s="110">
        <v>29.9</v>
      </c>
      <c r="R780" s="110">
        <v>265.59000000000003</v>
      </c>
      <c r="S780" s="110">
        <v>107.5</v>
      </c>
      <c r="T780" s="110">
        <v>0</v>
      </c>
      <c r="U780" s="110">
        <v>34.99</v>
      </c>
      <c r="X780">
        <v>78.200000000000017</v>
      </c>
      <c r="Y780">
        <v>44.9</v>
      </c>
      <c r="Z780">
        <v>44.9</v>
      </c>
      <c r="AA780">
        <v>0</v>
      </c>
      <c r="AB780" t="s">
        <v>324</v>
      </c>
      <c r="AF780" t="s">
        <v>1605</v>
      </c>
      <c r="AG780" t="s">
        <v>1605</v>
      </c>
      <c r="AH780" t="s">
        <v>1606</v>
      </c>
      <c r="AI780">
        <v>99999</v>
      </c>
      <c r="AJ780">
        <v>99999</v>
      </c>
      <c r="AK780">
        <v>699</v>
      </c>
      <c r="AL780" t="b">
        <v>1</v>
      </c>
      <c r="AM780" t="b">
        <v>1</v>
      </c>
      <c r="AN780" t="b">
        <v>0</v>
      </c>
      <c r="AO780">
        <v>99999</v>
      </c>
      <c r="AP780" t="s">
        <v>64</v>
      </c>
      <c r="AR780" t="b">
        <v>0</v>
      </c>
      <c r="AS780">
        <v>12</v>
      </c>
      <c r="AT780" t="s">
        <v>327</v>
      </c>
      <c r="AV780" t="s">
        <v>1621</v>
      </c>
      <c r="CRL780">
        <v>12</v>
      </c>
    </row>
    <row r="781" spans="1:48 2508:2508" x14ac:dyDescent="0.25">
      <c r="A781" t="s">
        <v>3323</v>
      </c>
      <c r="B781" t="s">
        <v>302</v>
      </c>
      <c r="C781" t="s">
        <v>62</v>
      </c>
      <c r="D781">
        <v>99999</v>
      </c>
      <c r="F781" s="109">
        <v>14000</v>
      </c>
      <c r="G781" t="b">
        <v>0</v>
      </c>
      <c r="H781" t="s">
        <v>329</v>
      </c>
      <c r="K781" t="s">
        <v>349</v>
      </c>
      <c r="L781" t="s">
        <v>303</v>
      </c>
      <c r="M781" t="s">
        <v>323</v>
      </c>
      <c r="N781" t="s">
        <v>63</v>
      </c>
      <c r="O781" s="110">
        <v>29.9</v>
      </c>
      <c r="R781" s="110">
        <v>294.89</v>
      </c>
      <c r="S781" s="110">
        <v>107.5</v>
      </c>
      <c r="T781" s="110">
        <v>0</v>
      </c>
      <c r="U781" s="110">
        <v>42.99</v>
      </c>
      <c r="X781">
        <v>99.499999999999972</v>
      </c>
      <c r="Y781">
        <v>44.9</v>
      </c>
      <c r="Z781">
        <v>44.9</v>
      </c>
      <c r="AA781">
        <v>0</v>
      </c>
      <c r="AB781" t="s">
        <v>324</v>
      </c>
      <c r="AF781" t="s">
        <v>1754</v>
      </c>
      <c r="AG781" t="s">
        <v>1754</v>
      </c>
      <c r="AH781" t="s">
        <v>1606</v>
      </c>
      <c r="AI781">
        <v>99999</v>
      </c>
      <c r="AJ781">
        <v>99999</v>
      </c>
      <c r="AK781">
        <v>699</v>
      </c>
      <c r="AL781" t="b">
        <v>1</v>
      </c>
      <c r="AM781" t="b">
        <v>1</v>
      </c>
      <c r="AN781" t="b">
        <v>0</v>
      </c>
      <c r="AO781">
        <v>99999</v>
      </c>
      <c r="AP781" t="s">
        <v>64</v>
      </c>
      <c r="AR781" t="b">
        <v>0</v>
      </c>
      <c r="AS781">
        <v>12</v>
      </c>
      <c r="AT781" t="s">
        <v>327</v>
      </c>
      <c r="AV781" t="s">
        <v>1769</v>
      </c>
      <c r="CRL781">
        <v>12</v>
      </c>
    </row>
    <row r="782" spans="1:48 2508:2508" x14ac:dyDescent="0.25">
      <c r="A782" t="s">
        <v>3323</v>
      </c>
      <c r="B782" t="s">
        <v>302</v>
      </c>
      <c r="C782" t="s">
        <v>62</v>
      </c>
      <c r="D782">
        <v>99999</v>
      </c>
      <c r="F782" s="109">
        <v>14000</v>
      </c>
      <c r="G782" t="b">
        <v>0</v>
      </c>
      <c r="H782" t="s">
        <v>329</v>
      </c>
      <c r="K782" t="s">
        <v>349</v>
      </c>
      <c r="L782" t="s">
        <v>303</v>
      </c>
      <c r="M782" t="s">
        <v>323</v>
      </c>
      <c r="N782" t="s">
        <v>63</v>
      </c>
      <c r="O782" s="110">
        <v>39.9</v>
      </c>
      <c r="R782" s="110">
        <v>265.59000000000003</v>
      </c>
      <c r="S782" s="110">
        <v>107.5</v>
      </c>
      <c r="T782" s="110">
        <v>0</v>
      </c>
      <c r="U782" s="110">
        <v>34.99</v>
      </c>
      <c r="X782">
        <v>78.200000000000017</v>
      </c>
      <c r="Y782">
        <v>44.9</v>
      </c>
      <c r="Z782">
        <v>44.9</v>
      </c>
      <c r="AA782">
        <v>0</v>
      </c>
      <c r="AB782" t="s">
        <v>324</v>
      </c>
      <c r="AF782" t="s">
        <v>1673</v>
      </c>
      <c r="AG782" t="s">
        <v>1673</v>
      </c>
      <c r="AH782" t="s">
        <v>1606</v>
      </c>
      <c r="AI782">
        <v>99999</v>
      </c>
      <c r="AJ782">
        <v>99999</v>
      </c>
      <c r="AK782">
        <v>699</v>
      </c>
      <c r="AL782" t="b">
        <v>1</v>
      </c>
      <c r="AM782" t="b">
        <v>1</v>
      </c>
      <c r="AN782" t="b">
        <v>0</v>
      </c>
      <c r="AO782">
        <v>99999</v>
      </c>
      <c r="AP782" t="s">
        <v>64</v>
      </c>
      <c r="AR782" t="b">
        <v>0</v>
      </c>
      <c r="AS782">
        <v>12</v>
      </c>
      <c r="AT782" t="s">
        <v>327</v>
      </c>
      <c r="AV782" t="s">
        <v>1688</v>
      </c>
      <c r="CRL782">
        <v>12</v>
      </c>
    </row>
    <row r="783" spans="1:48 2508:2508" x14ac:dyDescent="0.25">
      <c r="A783" t="s">
        <v>3323</v>
      </c>
      <c r="B783" t="s">
        <v>302</v>
      </c>
      <c r="C783" t="s">
        <v>62</v>
      </c>
      <c r="D783">
        <v>99999</v>
      </c>
      <c r="F783" s="109">
        <v>14000</v>
      </c>
      <c r="G783" t="b">
        <v>0</v>
      </c>
      <c r="H783" t="s">
        <v>329</v>
      </c>
      <c r="K783" t="s">
        <v>349</v>
      </c>
      <c r="L783" t="s">
        <v>303</v>
      </c>
      <c r="M783" t="s">
        <v>323</v>
      </c>
      <c r="N783" t="s">
        <v>63</v>
      </c>
      <c r="O783" s="110">
        <v>39.9</v>
      </c>
      <c r="R783" s="110">
        <v>294.89</v>
      </c>
      <c r="S783" s="110">
        <v>107.5</v>
      </c>
      <c r="T783" s="110">
        <v>0</v>
      </c>
      <c r="U783" s="110">
        <v>42.99</v>
      </c>
      <c r="X783">
        <v>99.499999999999972</v>
      </c>
      <c r="Y783">
        <v>44.9</v>
      </c>
      <c r="Z783">
        <v>44.9</v>
      </c>
      <c r="AA783">
        <v>0</v>
      </c>
      <c r="AB783" t="s">
        <v>324</v>
      </c>
      <c r="AF783" t="s">
        <v>1821</v>
      </c>
      <c r="AG783" t="s">
        <v>1821</v>
      </c>
      <c r="AH783" t="s">
        <v>1606</v>
      </c>
      <c r="AI783">
        <v>99999</v>
      </c>
      <c r="AJ783">
        <v>99999</v>
      </c>
      <c r="AK783">
        <v>699</v>
      </c>
      <c r="AL783" t="b">
        <v>1</v>
      </c>
      <c r="AM783" t="b">
        <v>1</v>
      </c>
      <c r="AN783" t="b">
        <v>0</v>
      </c>
      <c r="AO783">
        <v>99999</v>
      </c>
      <c r="AP783" t="s">
        <v>64</v>
      </c>
      <c r="AR783" t="b">
        <v>0</v>
      </c>
      <c r="AS783">
        <v>12</v>
      </c>
      <c r="AT783" t="s">
        <v>327</v>
      </c>
      <c r="AV783" t="s">
        <v>1836</v>
      </c>
      <c r="CRL783">
        <v>12</v>
      </c>
    </row>
    <row r="784" spans="1:48 2508:2508" x14ac:dyDescent="0.25">
      <c r="A784" t="s">
        <v>3323</v>
      </c>
      <c r="B784" t="s">
        <v>302</v>
      </c>
      <c r="C784" t="s">
        <v>62</v>
      </c>
      <c r="D784">
        <v>99999</v>
      </c>
      <c r="F784" s="109">
        <v>14000</v>
      </c>
      <c r="G784" t="b">
        <v>0</v>
      </c>
      <c r="H784" t="s">
        <v>329</v>
      </c>
      <c r="K784" t="s">
        <v>349</v>
      </c>
      <c r="L784" t="s">
        <v>303</v>
      </c>
      <c r="M784" t="s">
        <v>323</v>
      </c>
      <c r="N784" t="s">
        <v>63</v>
      </c>
      <c r="O784" s="110">
        <v>49.9</v>
      </c>
      <c r="R784" s="110">
        <v>288.09000000000003</v>
      </c>
      <c r="S784" s="110">
        <v>130</v>
      </c>
      <c r="T784" s="110">
        <v>0</v>
      </c>
      <c r="U784" s="110">
        <v>34.99</v>
      </c>
      <c r="X784">
        <v>78.200000000000017</v>
      </c>
      <c r="Y784">
        <v>44.9</v>
      </c>
      <c r="Z784">
        <v>44.9</v>
      </c>
      <c r="AA784">
        <v>0</v>
      </c>
      <c r="AB784" t="s">
        <v>324</v>
      </c>
      <c r="AF784" t="s">
        <v>3033</v>
      </c>
      <c r="AG784" t="s">
        <v>3033</v>
      </c>
      <c r="AH784" t="s">
        <v>1606</v>
      </c>
      <c r="AI784">
        <v>99999</v>
      </c>
      <c r="AJ784">
        <v>99999</v>
      </c>
      <c r="AK784">
        <v>699</v>
      </c>
      <c r="AL784" t="b">
        <v>1</v>
      </c>
      <c r="AM784" t="b">
        <v>1</v>
      </c>
      <c r="AN784" t="b">
        <v>0</v>
      </c>
      <c r="AO784">
        <v>99999</v>
      </c>
      <c r="AP784" t="s">
        <v>64</v>
      </c>
      <c r="AR784" t="b">
        <v>0</v>
      </c>
      <c r="AS784">
        <v>12</v>
      </c>
      <c r="AT784" t="s">
        <v>327</v>
      </c>
      <c r="AV784" t="s">
        <v>3048</v>
      </c>
      <c r="CRL784">
        <v>12</v>
      </c>
    </row>
    <row r="785" spans="1:48 2508:2508" x14ac:dyDescent="0.25">
      <c r="A785" t="s">
        <v>3323</v>
      </c>
      <c r="B785" t="s">
        <v>302</v>
      </c>
      <c r="C785" t="s">
        <v>62</v>
      </c>
      <c r="D785">
        <v>99999</v>
      </c>
      <c r="F785" s="109">
        <v>14000</v>
      </c>
      <c r="G785" t="b">
        <v>0</v>
      </c>
      <c r="H785" t="s">
        <v>329</v>
      </c>
      <c r="K785" t="s">
        <v>349</v>
      </c>
      <c r="L785" t="s">
        <v>303</v>
      </c>
      <c r="M785" t="s">
        <v>323</v>
      </c>
      <c r="N785" t="s">
        <v>63</v>
      </c>
      <c r="O785" s="110">
        <v>49.9</v>
      </c>
      <c r="R785" s="110">
        <v>317.39</v>
      </c>
      <c r="S785" s="110">
        <v>130</v>
      </c>
      <c r="T785" s="110">
        <v>0</v>
      </c>
      <c r="U785" s="110">
        <v>42.99</v>
      </c>
      <c r="X785">
        <v>99.499999999999972</v>
      </c>
      <c r="Y785">
        <v>44.9</v>
      </c>
      <c r="Z785">
        <v>44.9</v>
      </c>
      <c r="AA785">
        <v>0</v>
      </c>
      <c r="AB785" t="s">
        <v>324</v>
      </c>
      <c r="AF785" t="s">
        <v>3107</v>
      </c>
      <c r="AG785" t="s">
        <v>3107</v>
      </c>
      <c r="AH785" t="s">
        <v>1606</v>
      </c>
      <c r="AI785">
        <v>99999</v>
      </c>
      <c r="AJ785">
        <v>99999</v>
      </c>
      <c r="AK785">
        <v>699</v>
      </c>
      <c r="AL785" t="b">
        <v>1</v>
      </c>
      <c r="AM785" t="b">
        <v>1</v>
      </c>
      <c r="AN785" t="b">
        <v>0</v>
      </c>
      <c r="AO785">
        <v>99999</v>
      </c>
      <c r="AP785" t="s">
        <v>64</v>
      </c>
      <c r="AR785" t="b">
        <v>0</v>
      </c>
      <c r="AS785">
        <v>12</v>
      </c>
      <c r="AT785" t="s">
        <v>327</v>
      </c>
      <c r="AV785" t="s">
        <v>3122</v>
      </c>
      <c r="CRL785">
        <v>12</v>
      </c>
    </row>
    <row r="786" spans="1:48 2508:2508" x14ac:dyDescent="0.25">
      <c r="A786" t="s">
        <v>3323</v>
      </c>
      <c r="B786" t="s">
        <v>302</v>
      </c>
      <c r="C786" t="s">
        <v>62</v>
      </c>
      <c r="D786">
        <v>99999</v>
      </c>
      <c r="F786" s="109">
        <v>14000</v>
      </c>
      <c r="G786" t="b">
        <v>0</v>
      </c>
      <c r="H786" t="s">
        <v>329</v>
      </c>
      <c r="K786" t="s">
        <v>393</v>
      </c>
      <c r="L786" t="s">
        <v>303</v>
      </c>
      <c r="M786" t="s">
        <v>323</v>
      </c>
      <c r="N786" t="s">
        <v>63</v>
      </c>
      <c r="O786" s="110">
        <v>29.9</v>
      </c>
      <c r="R786" s="110">
        <v>290.59000000000003</v>
      </c>
      <c r="S786" s="110">
        <v>107.5</v>
      </c>
      <c r="T786" s="110">
        <v>0</v>
      </c>
      <c r="U786" s="110">
        <v>34.99</v>
      </c>
      <c r="X786">
        <v>78.200000000000017</v>
      </c>
      <c r="Y786">
        <v>69.900000000000006</v>
      </c>
      <c r="Z786">
        <v>69.900000000000006</v>
      </c>
      <c r="AA786">
        <v>0</v>
      </c>
      <c r="AB786" t="s">
        <v>363</v>
      </c>
      <c r="AF786" t="s">
        <v>1633</v>
      </c>
      <c r="AG786" t="s">
        <v>1633</v>
      </c>
      <c r="AH786" t="s">
        <v>1606</v>
      </c>
      <c r="AI786">
        <v>99999</v>
      </c>
      <c r="AJ786">
        <v>99999</v>
      </c>
      <c r="AK786">
        <v>699</v>
      </c>
      <c r="AL786" t="b">
        <v>1</v>
      </c>
      <c r="AM786" t="b">
        <v>1</v>
      </c>
      <c r="AN786" t="b">
        <v>0</v>
      </c>
      <c r="AO786">
        <v>99999</v>
      </c>
      <c r="AP786" t="s">
        <v>64</v>
      </c>
      <c r="AR786" t="b">
        <v>0</v>
      </c>
      <c r="AS786">
        <v>12</v>
      </c>
      <c r="AT786" t="s">
        <v>327</v>
      </c>
      <c r="AV786" t="s">
        <v>1661</v>
      </c>
      <c r="CRL786">
        <v>12</v>
      </c>
    </row>
    <row r="787" spans="1:48 2508:2508" x14ac:dyDescent="0.25">
      <c r="A787" t="s">
        <v>3323</v>
      </c>
      <c r="B787" t="s">
        <v>302</v>
      </c>
      <c r="C787" t="s">
        <v>62</v>
      </c>
      <c r="D787">
        <v>99999</v>
      </c>
      <c r="F787" s="109">
        <v>14000</v>
      </c>
      <c r="G787" t="b">
        <v>0</v>
      </c>
      <c r="H787" t="s">
        <v>329</v>
      </c>
      <c r="K787" t="s">
        <v>393</v>
      </c>
      <c r="L787" t="s">
        <v>303</v>
      </c>
      <c r="M787" t="s">
        <v>323</v>
      </c>
      <c r="N787" t="s">
        <v>63</v>
      </c>
      <c r="O787" s="110">
        <v>29.9</v>
      </c>
      <c r="R787" s="110">
        <v>319.89</v>
      </c>
      <c r="S787" s="110">
        <v>107.5</v>
      </c>
      <c r="T787" s="110">
        <v>0</v>
      </c>
      <c r="U787" s="110">
        <v>42.99</v>
      </c>
      <c r="X787">
        <v>99.499999999999972</v>
      </c>
      <c r="Y787">
        <v>69.900000000000006</v>
      </c>
      <c r="Z787">
        <v>69.900000000000006</v>
      </c>
      <c r="AA787">
        <v>0</v>
      </c>
      <c r="AB787" t="s">
        <v>363</v>
      </c>
      <c r="AF787" t="s">
        <v>1781</v>
      </c>
      <c r="AG787" t="s">
        <v>1781</v>
      </c>
      <c r="AH787" t="s">
        <v>1606</v>
      </c>
      <c r="AI787">
        <v>99999</v>
      </c>
      <c r="AJ787">
        <v>99999</v>
      </c>
      <c r="AK787">
        <v>699</v>
      </c>
      <c r="AL787" t="b">
        <v>1</v>
      </c>
      <c r="AM787" t="b">
        <v>1</v>
      </c>
      <c r="AN787" t="b">
        <v>0</v>
      </c>
      <c r="AO787">
        <v>99999</v>
      </c>
      <c r="AP787" t="s">
        <v>64</v>
      </c>
      <c r="AR787" t="b">
        <v>0</v>
      </c>
      <c r="AS787">
        <v>12</v>
      </c>
      <c r="AT787" t="s">
        <v>327</v>
      </c>
      <c r="AV787" t="s">
        <v>1809</v>
      </c>
      <c r="CRL787">
        <v>12</v>
      </c>
    </row>
    <row r="788" spans="1:48 2508:2508" x14ac:dyDescent="0.25">
      <c r="A788" t="s">
        <v>3323</v>
      </c>
      <c r="B788" t="s">
        <v>302</v>
      </c>
      <c r="C788" t="s">
        <v>62</v>
      </c>
      <c r="D788">
        <v>99999</v>
      </c>
      <c r="F788" s="109">
        <v>14000</v>
      </c>
      <c r="G788" t="b">
        <v>0</v>
      </c>
      <c r="H788" t="s">
        <v>329</v>
      </c>
      <c r="K788" t="s">
        <v>393</v>
      </c>
      <c r="L788" t="s">
        <v>303</v>
      </c>
      <c r="M788" t="s">
        <v>323</v>
      </c>
      <c r="N788" t="s">
        <v>63</v>
      </c>
      <c r="O788" s="110">
        <v>39.9</v>
      </c>
      <c r="R788" s="110">
        <v>290.59000000000003</v>
      </c>
      <c r="S788" s="110">
        <v>107.5</v>
      </c>
      <c r="T788" s="110">
        <v>0</v>
      </c>
      <c r="U788" s="110">
        <v>34.99</v>
      </c>
      <c r="X788">
        <v>78.200000000000017</v>
      </c>
      <c r="Y788">
        <v>69.900000000000006</v>
      </c>
      <c r="Z788">
        <v>69.900000000000006</v>
      </c>
      <c r="AA788">
        <v>0</v>
      </c>
      <c r="AB788" t="s">
        <v>363</v>
      </c>
      <c r="AF788" t="s">
        <v>1700</v>
      </c>
      <c r="AG788" t="s">
        <v>1700</v>
      </c>
      <c r="AH788" t="s">
        <v>1606</v>
      </c>
      <c r="AI788">
        <v>99999</v>
      </c>
      <c r="AJ788">
        <v>99999</v>
      </c>
      <c r="AK788">
        <v>699</v>
      </c>
      <c r="AL788" t="b">
        <v>1</v>
      </c>
      <c r="AM788" t="b">
        <v>1</v>
      </c>
      <c r="AN788" t="b">
        <v>0</v>
      </c>
      <c r="AO788">
        <v>99999</v>
      </c>
      <c r="AP788" t="s">
        <v>64</v>
      </c>
      <c r="AR788" t="b">
        <v>0</v>
      </c>
      <c r="AS788">
        <v>12</v>
      </c>
      <c r="AT788" t="s">
        <v>327</v>
      </c>
      <c r="AV788" t="s">
        <v>1728</v>
      </c>
      <c r="CRL788">
        <v>12</v>
      </c>
    </row>
    <row r="789" spans="1:48 2508:2508" x14ac:dyDescent="0.25">
      <c r="A789" t="s">
        <v>3323</v>
      </c>
      <c r="B789" t="s">
        <v>302</v>
      </c>
      <c r="C789" t="s">
        <v>62</v>
      </c>
      <c r="D789">
        <v>99999</v>
      </c>
      <c r="F789" s="109">
        <v>14000</v>
      </c>
      <c r="G789" t="b">
        <v>0</v>
      </c>
      <c r="H789" t="s">
        <v>329</v>
      </c>
      <c r="K789" t="s">
        <v>393</v>
      </c>
      <c r="L789" t="s">
        <v>303</v>
      </c>
      <c r="M789" t="s">
        <v>323</v>
      </c>
      <c r="N789" t="s">
        <v>63</v>
      </c>
      <c r="O789" s="110">
        <v>39.9</v>
      </c>
      <c r="R789" s="110">
        <v>319.89</v>
      </c>
      <c r="S789" s="110">
        <v>107.5</v>
      </c>
      <c r="T789" s="110">
        <v>0</v>
      </c>
      <c r="U789" s="110">
        <v>42.99</v>
      </c>
      <c r="X789">
        <v>99.499999999999972</v>
      </c>
      <c r="Y789">
        <v>69.900000000000006</v>
      </c>
      <c r="Z789">
        <v>69.900000000000006</v>
      </c>
      <c r="AA789">
        <v>0</v>
      </c>
      <c r="AB789" t="s">
        <v>363</v>
      </c>
      <c r="AF789" t="s">
        <v>1848</v>
      </c>
      <c r="AG789" t="s">
        <v>1848</v>
      </c>
      <c r="AH789" t="s">
        <v>1606</v>
      </c>
      <c r="AI789">
        <v>99999</v>
      </c>
      <c r="AJ789">
        <v>99999</v>
      </c>
      <c r="AK789">
        <v>699</v>
      </c>
      <c r="AL789" t="b">
        <v>1</v>
      </c>
      <c r="AM789" t="b">
        <v>1</v>
      </c>
      <c r="AN789" t="b">
        <v>0</v>
      </c>
      <c r="AO789">
        <v>99999</v>
      </c>
      <c r="AP789" t="s">
        <v>64</v>
      </c>
      <c r="AR789" t="b">
        <v>0</v>
      </c>
      <c r="AS789">
        <v>12</v>
      </c>
      <c r="AT789" t="s">
        <v>327</v>
      </c>
      <c r="AV789" t="s">
        <v>1876</v>
      </c>
      <c r="CRL789">
        <v>12</v>
      </c>
    </row>
    <row r="790" spans="1:48 2508:2508" x14ac:dyDescent="0.25">
      <c r="A790" t="s">
        <v>3323</v>
      </c>
      <c r="B790" t="s">
        <v>302</v>
      </c>
      <c r="C790" t="s">
        <v>62</v>
      </c>
      <c r="D790">
        <v>99999</v>
      </c>
      <c r="F790" s="109">
        <v>14000</v>
      </c>
      <c r="G790" t="b">
        <v>0</v>
      </c>
      <c r="H790" t="s">
        <v>329</v>
      </c>
      <c r="K790" t="s">
        <v>393</v>
      </c>
      <c r="L790" t="s">
        <v>303</v>
      </c>
      <c r="M790" t="s">
        <v>323</v>
      </c>
      <c r="N790" t="s">
        <v>63</v>
      </c>
      <c r="O790" s="110">
        <v>49.9</v>
      </c>
      <c r="R790" s="110">
        <v>313.09000000000003</v>
      </c>
      <c r="S790" s="110">
        <v>130</v>
      </c>
      <c r="T790" s="110">
        <v>0</v>
      </c>
      <c r="U790" s="110">
        <v>34.99</v>
      </c>
      <c r="X790">
        <v>78.200000000000017</v>
      </c>
      <c r="Y790">
        <v>69.900000000000006</v>
      </c>
      <c r="Z790">
        <v>69.900000000000006</v>
      </c>
      <c r="AA790">
        <v>0</v>
      </c>
      <c r="AB790" t="s">
        <v>363</v>
      </c>
      <c r="AF790" t="s">
        <v>3060</v>
      </c>
      <c r="AG790" t="s">
        <v>3060</v>
      </c>
      <c r="AH790" t="s">
        <v>1606</v>
      </c>
      <c r="AI790">
        <v>99999</v>
      </c>
      <c r="AJ790">
        <v>99999</v>
      </c>
      <c r="AK790">
        <v>699</v>
      </c>
      <c r="AL790" t="b">
        <v>1</v>
      </c>
      <c r="AM790" t="b">
        <v>1</v>
      </c>
      <c r="AN790" t="b">
        <v>0</v>
      </c>
      <c r="AO790">
        <v>99999</v>
      </c>
      <c r="AP790" t="s">
        <v>64</v>
      </c>
      <c r="AR790" t="b">
        <v>0</v>
      </c>
      <c r="AS790">
        <v>12</v>
      </c>
      <c r="AT790" t="s">
        <v>327</v>
      </c>
      <c r="AV790" t="s">
        <v>3088</v>
      </c>
      <c r="CRL790">
        <v>12</v>
      </c>
    </row>
    <row r="791" spans="1:48 2508:2508" x14ac:dyDescent="0.25">
      <c r="A791" t="s">
        <v>3323</v>
      </c>
      <c r="B791" t="s">
        <v>302</v>
      </c>
      <c r="C791" t="s">
        <v>62</v>
      </c>
      <c r="D791">
        <v>99999</v>
      </c>
      <c r="F791" s="109">
        <v>14000</v>
      </c>
      <c r="G791" t="b">
        <v>0</v>
      </c>
      <c r="H791" t="s">
        <v>329</v>
      </c>
      <c r="K791" t="s">
        <v>393</v>
      </c>
      <c r="L791" t="s">
        <v>303</v>
      </c>
      <c r="M791" t="s">
        <v>323</v>
      </c>
      <c r="N791" t="s">
        <v>63</v>
      </c>
      <c r="O791" s="110">
        <v>49.9</v>
      </c>
      <c r="R791" s="110">
        <v>342.39</v>
      </c>
      <c r="S791" s="110">
        <v>130</v>
      </c>
      <c r="T791" s="110">
        <v>0</v>
      </c>
      <c r="U791" s="110">
        <v>42.99</v>
      </c>
      <c r="X791">
        <v>99.499999999999972</v>
      </c>
      <c r="Y791">
        <v>69.900000000000006</v>
      </c>
      <c r="Z791">
        <v>69.900000000000006</v>
      </c>
      <c r="AA791">
        <v>0</v>
      </c>
      <c r="AB791" t="s">
        <v>363</v>
      </c>
      <c r="AF791" t="s">
        <v>3134</v>
      </c>
      <c r="AG791" t="s">
        <v>3134</v>
      </c>
      <c r="AH791" t="s">
        <v>1606</v>
      </c>
      <c r="AI791">
        <v>99999</v>
      </c>
      <c r="AJ791">
        <v>99999</v>
      </c>
      <c r="AK791">
        <v>699</v>
      </c>
      <c r="AL791" t="b">
        <v>1</v>
      </c>
      <c r="AM791" t="b">
        <v>1</v>
      </c>
      <c r="AN791" t="b">
        <v>0</v>
      </c>
      <c r="AO791">
        <v>99999</v>
      </c>
      <c r="AP791" t="s">
        <v>64</v>
      </c>
      <c r="AR791" t="b">
        <v>0</v>
      </c>
      <c r="AS791">
        <v>12</v>
      </c>
      <c r="AT791" t="s">
        <v>327</v>
      </c>
      <c r="AV791" t="s">
        <v>3162</v>
      </c>
      <c r="CRL791">
        <v>12</v>
      </c>
    </row>
    <row r="792" spans="1:48 2508:2508" x14ac:dyDescent="0.25">
      <c r="A792" t="s">
        <v>3323</v>
      </c>
      <c r="B792" t="s">
        <v>302</v>
      </c>
      <c r="C792" t="s">
        <v>62</v>
      </c>
      <c r="D792">
        <v>99999</v>
      </c>
      <c r="F792" s="109">
        <v>14000</v>
      </c>
      <c r="G792" t="b">
        <v>0</v>
      </c>
      <c r="H792" t="s">
        <v>329</v>
      </c>
      <c r="K792" t="s">
        <v>364</v>
      </c>
      <c r="L792" t="s">
        <v>303</v>
      </c>
      <c r="M792" t="s">
        <v>323</v>
      </c>
      <c r="N792" t="s">
        <v>63</v>
      </c>
      <c r="O792" s="110">
        <v>29.9</v>
      </c>
      <c r="R792" s="110">
        <v>270.59000000000003</v>
      </c>
      <c r="S792" s="110">
        <v>107.5</v>
      </c>
      <c r="T792" s="110">
        <v>0</v>
      </c>
      <c r="U792" s="110">
        <v>34.99</v>
      </c>
      <c r="X792">
        <v>78.200000000000017</v>
      </c>
      <c r="Y792">
        <v>49.9</v>
      </c>
      <c r="Z792">
        <v>49.9</v>
      </c>
      <c r="AA792">
        <v>0</v>
      </c>
      <c r="AB792" t="s">
        <v>363</v>
      </c>
      <c r="AF792" t="s">
        <v>1633</v>
      </c>
      <c r="AG792" t="s">
        <v>1633</v>
      </c>
      <c r="AH792" t="s">
        <v>1606</v>
      </c>
      <c r="AI792">
        <v>99999</v>
      </c>
      <c r="AJ792">
        <v>99999</v>
      </c>
      <c r="AK792">
        <v>699</v>
      </c>
      <c r="AL792" t="b">
        <v>1</v>
      </c>
      <c r="AM792" t="b">
        <v>1</v>
      </c>
      <c r="AN792" t="b">
        <v>0</v>
      </c>
      <c r="AO792">
        <v>99999</v>
      </c>
      <c r="AP792" t="s">
        <v>64</v>
      </c>
      <c r="AR792" t="b">
        <v>0</v>
      </c>
      <c r="AS792">
        <v>12</v>
      </c>
      <c r="AT792" t="s">
        <v>327</v>
      </c>
      <c r="AV792" t="s">
        <v>1635</v>
      </c>
      <c r="CRL792">
        <v>12</v>
      </c>
    </row>
    <row r="793" spans="1:48 2508:2508" x14ac:dyDescent="0.25">
      <c r="A793" t="s">
        <v>3323</v>
      </c>
      <c r="B793" t="s">
        <v>302</v>
      </c>
      <c r="C793" t="s">
        <v>62</v>
      </c>
      <c r="D793">
        <v>99999</v>
      </c>
      <c r="F793" s="109">
        <v>14000</v>
      </c>
      <c r="G793" t="b">
        <v>0</v>
      </c>
      <c r="H793" t="s">
        <v>329</v>
      </c>
      <c r="K793" t="s">
        <v>364</v>
      </c>
      <c r="L793" t="s">
        <v>303</v>
      </c>
      <c r="M793" t="s">
        <v>323</v>
      </c>
      <c r="N793" t="s">
        <v>63</v>
      </c>
      <c r="O793" s="110">
        <v>29.9</v>
      </c>
      <c r="R793" s="110">
        <v>299.89</v>
      </c>
      <c r="S793" s="110">
        <v>107.5</v>
      </c>
      <c r="T793" s="110">
        <v>0</v>
      </c>
      <c r="U793" s="110">
        <v>42.99</v>
      </c>
      <c r="X793">
        <v>99.499999999999972</v>
      </c>
      <c r="Y793">
        <v>49.9</v>
      </c>
      <c r="Z793">
        <v>49.9</v>
      </c>
      <c r="AA793">
        <v>0</v>
      </c>
      <c r="AB793" t="s">
        <v>363</v>
      </c>
      <c r="AF793" t="s">
        <v>1781</v>
      </c>
      <c r="AG793" t="s">
        <v>1781</v>
      </c>
      <c r="AH793" t="s">
        <v>1606</v>
      </c>
      <c r="AI793">
        <v>99999</v>
      </c>
      <c r="AJ793">
        <v>99999</v>
      </c>
      <c r="AK793">
        <v>699</v>
      </c>
      <c r="AL793" t="b">
        <v>1</v>
      </c>
      <c r="AM793" t="b">
        <v>1</v>
      </c>
      <c r="AN793" t="b">
        <v>0</v>
      </c>
      <c r="AO793">
        <v>99999</v>
      </c>
      <c r="AP793" t="s">
        <v>64</v>
      </c>
      <c r="AR793" t="b">
        <v>0</v>
      </c>
      <c r="AS793">
        <v>12</v>
      </c>
      <c r="AT793" t="s">
        <v>327</v>
      </c>
      <c r="AV793" t="s">
        <v>1783</v>
      </c>
      <c r="CRL793">
        <v>12</v>
      </c>
    </row>
    <row r="794" spans="1:48 2508:2508" x14ac:dyDescent="0.25">
      <c r="A794" t="s">
        <v>3323</v>
      </c>
      <c r="B794" t="s">
        <v>302</v>
      </c>
      <c r="C794" t="s">
        <v>62</v>
      </c>
      <c r="D794">
        <v>99999</v>
      </c>
      <c r="F794" s="109">
        <v>14000</v>
      </c>
      <c r="G794" t="b">
        <v>0</v>
      </c>
      <c r="H794" t="s">
        <v>329</v>
      </c>
      <c r="K794" t="s">
        <v>364</v>
      </c>
      <c r="L794" t="s">
        <v>303</v>
      </c>
      <c r="M794" t="s">
        <v>323</v>
      </c>
      <c r="N794" t="s">
        <v>63</v>
      </c>
      <c r="O794" s="110">
        <v>39.9</v>
      </c>
      <c r="R794" s="110">
        <v>270.59000000000003</v>
      </c>
      <c r="S794" s="110">
        <v>107.5</v>
      </c>
      <c r="T794" s="110">
        <v>0</v>
      </c>
      <c r="U794" s="110">
        <v>34.99</v>
      </c>
      <c r="X794">
        <v>78.200000000000017</v>
      </c>
      <c r="Y794">
        <v>49.9</v>
      </c>
      <c r="Z794">
        <v>49.9</v>
      </c>
      <c r="AA794">
        <v>0</v>
      </c>
      <c r="AB794" t="s">
        <v>363</v>
      </c>
      <c r="AF794" t="s">
        <v>1700</v>
      </c>
      <c r="AG794" t="s">
        <v>1700</v>
      </c>
      <c r="AH794" t="s">
        <v>1606</v>
      </c>
      <c r="AI794">
        <v>99999</v>
      </c>
      <c r="AJ794">
        <v>99999</v>
      </c>
      <c r="AK794">
        <v>699</v>
      </c>
      <c r="AL794" t="b">
        <v>1</v>
      </c>
      <c r="AM794" t="b">
        <v>1</v>
      </c>
      <c r="AN794" t="b">
        <v>0</v>
      </c>
      <c r="AO794">
        <v>99999</v>
      </c>
      <c r="AP794" t="s">
        <v>64</v>
      </c>
      <c r="AR794" t="b">
        <v>0</v>
      </c>
      <c r="AS794">
        <v>12</v>
      </c>
      <c r="AT794" t="s">
        <v>327</v>
      </c>
      <c r="AV794" t="s">
        <v>1702</v>
      </c>
      <c r="CRL794">
        <v>12</v>
      </c>
    </row>
    <row r="795" spans="1:48 2508:2508" x14ac:dyDescent="0.25">
      <c r="A795" t="s">
        <v>3323</v>
      </c>
      <c r="B795" t="s">
        <v>302</v>
      </c>
      <c r="C795" t="s">
        <v>62</v>
      </c>
      <c r="D795">
        <v>99999</v>
      </c>
      <c r="F795" s="109">
        <v>14000</v>
      </c>
      <c r="G795" t="b">
        <v>0</v>
      </c>
      <c r="H795" t="s">
        <v>329</v>
      </c>
      <c r="K795" t="s">
        <v>364</v>
      </c>
      <c r="L795" t="s">
        <v>303</v>
      </c>
      <c r="M795" t="s">
        <v>323</v>
      </c>
      <c r="N795" t="s">
        <v>63</v>
      </c>
      <c r="O795" s="110">
        <v>39.9</v>
      </c>
      <c r="R795" s="110">
        <v>299.89</v>
      </c>
      <c r="S795" s="110">
        <v>107.5</v>
      </c>
      <c r="T795" s="110">
        <v>0</v>
      </c>
      <c r="U795" s="110">
        <v>42.99</v>
      </c>
      <c r="X795">
        <v>99.499999999999972</v>
      </c>
      <c r="Y795">
        <v>49.9</v>
      </c>
      <c r="Z795">
        <v>49.9</v>
      </c>
      <c r="AA795">
        <v>0</v>
      </c>
      <c r="AB795" t="s">
        <v>363</v>
      </c>
      <c r="AF795" t="s">
        <v>1848</v>
      </c>
      <c r="AG795" t="s">
        <v>1848</v>
      </c>
      <c r="AH795" t="s">
        <v>1606</v>
      </c>
      <c r="AI795">
        <v>99999</v>
      </c>
      <c r="AJ795">
        <v>99999</v>
      </c>
      <c r="AK795">
        <v>699</v>
      </c>
      <c r="AL795" t="b">
        <v>1</v>
      </c>
      <c r="AM795" t="b">
        <v>1</v>
      </c>
      <c r="AN795" t="b">
        <v>0</v>
      </c>
      <c r="AO795">
        <v>99999</v>
      </c>
      <c r="AP795" t="s">
        <v>64</v>
      </c>
      <c r="AR795" t="b">
        <v>0</v>
      </c>
      <c r="AS795">
        <v>12</v>
      </c>
      <c r="AT795" t="s">
        <v>327</v>
      </c>
      <c r="AV795" t="s">
        <v>1850</v>
      </c>
      <c r="CRL795">
        <v>12</v>
      </c>
    </row>
    <row r="796" spans="1:48 2508:2508" x14ac:dyDescent="0.25">
      <c r="A796" t="s">
        <v>3323</v>
      </c>
      <c r="B796" t="s">
        <v>302</v>
      </c>
      <c r="C796" t="s">
        <v>62</v>
      </c>
      <c r="D796">
        <v>99999</v>
      </c>
      <c r="F796" s="109">
        <v>14000</v>
      </c>
      <c r="G796" t="b">
        <v>0</v>
      </c>
      <c r="H796" t="s">
        <v>329</v>
      </c>
      <c r="K796" t="s">
        <v>364</v>
      </c>
      <c r="L796" t="s">
        <v>303</v>
      </c>
      <c r="M796" t="s">
        <v>323</v>
      </c>
      <c r="N796" t="s">
        <v>63</v>
      </c>
      <c r="O796" s="110">
        <v>49.9</v>
      </c>
      <c r="R796" s="110">
        <v>293.09000000000003</v>
      </c>
      <c r="S796" s="110">
        <v>130</v>
      </c>
      <c r="T796" s="110">
        <v>0</v>
      </c>
      <c r="U796" s="110">
        <v>34.99</v>
      </c>
      <c r="X796">
        <v>78.200000000000017</v>
      </c>
      <c r="Y796">
        <v>49.9</v>
      </c>
      <c r="Z796">
        <v>49.9</v>
      </c>
      <c r="AA796">
        <v>0</v>
      </c>
      <c r="AB796" t="s">
        <v>363</v>
      </c>
      <c r="AF796" t="s">
        <v>3060</v>
      </c>
      <c r="AG796" t="s">
        <v>3060</v>
      </c>
      <c r="AH796" t="s">
        <v>1606</v>
      </c>
      <c r="AI796">
        <v>99999</v>
      </c>
      <c r="AJ796">
        <v>99999</v>
      </c>
      <c r="AK796">
        <v>699</v>
      </c>
      <c r="AL796" t="b">
        <v>1</v>
      </c>
      <c r="AM796" t="b">
        <v>1</v>
      </c>
      <c r="AN796" t="b">
        <v>0</v>
      </c>
      <c r="AO796">
        <v>99999</v>
      </c>
      <c r="AP796" t="s">
        <v>64</v>
      </c>
      <c r="AR796" t="b">
        <v>0</v>
      </c>
      <c r="AS796">
        <v>12</v>
      </c>
      <c r="AT796" t="s">
        <v>327</v>
      </c>
      <c r="AV796" t="s">
        <v>3062</v>
      </c>
      <c r="CRL796">
        <v>12</v>
      </c>
    </row>
    <row r="797" spans="1:48 2508:2508" x14ac:dyDescent="0.25">
      <c r="A797" t="s">
        <v>3323</v>
      </c>
      <c r="B797" t="s">
        <v>302</v>
      </c>
      <c r="C797" t="s">
        <v>62</v>
      </c>
      <c r="D797">
        <v>99999</v>
      </c>
      <c r="F797" s="109">
        <v>14000</v>
      </c>
      <c r="G797" t="b">
        <v>0</v>
      </c>
      <c r="H797" t="s">
        <v>329</v>
      </c>
      <c r="K797" t="s">
        <v>364</v>
      </c>
      <c r="L797" t="s">
        <v>303</v>
      </c>
      <c r="M797" t="s">
        <v>323</v>
      </c>
      <c r="N797" t="s">
        <v>63</v>
      </c>
      <c r="O797" s="110">
        <v>49.9</v>
      </c>
      <c r="R797" s="110">
        <v>322.39</v>
      </c>
      <c r="S797" s="110">
        <v>130</v>
      </c>
      <c r="T797" s="110">
        <v>0</v>
      </c>
      <c r="U797" s="110">
        <v>42.99</v>
      </c>
      <c r="X797">
        <v>99.499999999999972</v>
      </c>
      <c r="Y797">
        <v>49.9</v>
      </c>
      <c r="Z797">
        <v>49.9</v>
      </c>
      <c r="AA797">
        <v>0</v>
      </c>
      <c r="AB797" t="s">
        <v>363</v>
      </c>
      <c r="AF797" t="s">
        <v>3134</v>
      </c>
      <c r="AG797" t="s">
        <v>3134</v>
      </c>
      <c r="AH797" t="s">
        <v>1606</v>
      </c>
      <c r="AI797">
        <v>99999</v>
      </c>
      <c r="AJ797">
        <v>99999</v>
      </c>
      <c r="AK797">
        <v>699</v>
      </c>
      <c r="AL797" t="b">
        <v>1</v>
      </c>
      <c r="AM797" t="b">
        <v>1</v>
      </c>
      <c r="AN797" t="b">
        <v>0</v>
      </c>
      <c r="AO797">
        <v>99999</v>
      </c>
      <c r="AP797" t="s">
        <v>64</v>
      </c>
      <c r="AR797" t="b">
        <v>0</v>
      </c>
      <c r="AS797">
        <v>12</v>
      </c>
      <c r="AT797" t="s">
        <v>327</v>
      </c>
      <c r="AV797" t="s">
        <v>3136</v>
      </c>
      <c r="CRL797">
        <v>12</v>
      </c>
    </row>
    <row r="798" spans="1:48 2508:2508" x14ac:dyDescent="0.25">
      <c r="A798" t="s">
        <v>3323</v>
      </c>
      <c r="B798" t="s">
        <v>302</v>
      </c>
      <c r="C798" t="s">
        <v>62</v>
      </c>
      <c r="D798">
        <v>99999</v>
      </c>
      <c r="F798" s="109">
        <v>14000</v>
      </c>
      <c r="G798" t="b">
        <v>0</v>
      </c>
      <c r="H798" t="s">
        <v>329</v>
      </c>
      <c r="K798" t="s">
        <v>379</v>
      </c>
      <c r="L798" t="s">
        <v>303</v>
      </c>
      <c r="M798" t="s">
        <v>323</v>
      </c>
      <c r="N798" t="s">
        <v>63</v>
      </c>
      <c r="O798" s="110">
        <v>29.9</v>
      </c>
      <c r="R798" s="110">
        <v>280.59000000000003</v>
      </c>
      <c r="S798" s="110">
        <v>107.5</v>
      </c>
      <c r="T798" s="110">
        <v>0</v>
      </c>
      <c r="U798" s="110">
        <v>34.99</v>
      </c>
      <c r="X798">
        <v>78.200000000000017</v>
      </c>
      <c r="Y798">
        <v>59.9</v>
      </c>
      <c r="Z798">
        <v>59.9</v>
      </c>
      <c r="AA798">
        <v>0</v>
      </c>
      <c r="AB798" t="s">
        <v>363</v>
      </c>
      <c r="AF798" t="s">
        <v>1633</v>
      </c>
      <c r="AG798" t="s">
        <v>1633</v>
      </c>
      <c r="AH798" t="s">
        <v>1606</v>
      </c>
      <c r="AI798">
        <v>99999</v>
      </c>
      <c r="AJ798">
        <v>99999</v>
      </c>
      <c r="AK798">
        <v>699</v>
      </c>
      <c r="AL798" t="b">
        <v>1</v>
      </c>
      <c r="AM798" t="b">
        <v>1</v>
      </c>
      <c r="AN798" t="b">
        <v>0</v>
      </c>
      <c r="AO798">
        <v>99999</v>
      </c>
      <c r="AP798" t="s">
        <v>64</v>
      </c>
      <c r="AR798" t="b">
        <v>0</v>
      </c>
      <c r="AS798">
        <v>12</v>
      </c>
      <c r="AT798" t="s">
        <v>327</v>
      </c>
      <c r="AV798" t="s">
        <v>1648</v>
      </c>
      <c r="CRL798">
        <v>12</v>
      </c>
    </row>
    <row r="799" spans="1:48 2508:2508" x14ac:dyDescent="0.25">
      <c r="A799" t="s">
        <v>3323</v>
      </c>
      <c r="B799" t="s">
        <v>302</v>
      </c>
      <c r="C799" t="s">
        <v>62</v>
      </c>
      <c r="D799">
        <v>99999</v>
      </c>
      <c r="F799" s="109">
        <v>14000</v>
      </c>
      <c r="G799" t="b">
        <v>0</v>
      </c>
      <c r="H799" t="s">
        <v>329</v>
      </c>
      <c r="K799" t="s">
        <v>379</v>
      </c>
      <c r="L799" t="s">
        <v>303</v>
      </c>
      <c r="M799" t="s">
        <v>323</v>
      </c>
      <c r="N799" t="s">
        <v>63</v>
      </c>
      <c r="O799" s="110">
        <v>29.9</v>
      </c>
      <c r="R799" s="110">
        <v>309.89</v>
      </c>
      <c r="S799" s="110">
        <v>107.5</v>
      </c>
      <c r="T799" s="110">
        <v>0</v>
      </c>
      <c r="U799" s="110">
        <v>42.99</v>
      </c>
      <c r="X799">
        <v>99.499999999999972</v>
      </c>
      <c r="Y799">
        <v>59.9</v>
      </c>
      <c r="Z799">
        <v>59.9</v>
      </c>
      <c r="AA799">
        <v>0</v>
      </c>
      <c r="AB799" t="s">
        <v>363</v>
      </c>
      <c r="AF799" t="s">
        <v>1781</v>
      </c>
      <c r="AG799" t="s">
        <v>1781</v>
      </c>
      <c r="AH799" t="s">
        <v>1606</v>
      </c>
      <c r="AI799">
        <v>99999</v>
      </c>
      <c r="AJ799">
        <v>99999</v>
      </c>
      <c r="AK799">
        <v>699</v>
      </c>
      <c r="AL799" t="b">
        <v>1</v>
      </c>
      <c r="AM799" t="b">
        <v>1</v>
      </c>
      <c r="AN799" t="b">
        <v>0</v>
      </c>
      <c r="AO799">
        <v>99999</v>
      </c>
      <c r="AP799" t="s">
        <v>64</v>
      </c>
      <c r="AR799" t="b">
        <v>0</v>
      </c>
      <c r="AS799">
        <v>12</v>
      </c>
      <c r="AT799" t="s">
        <v>327</v>
      </c>
      <c r="AV799" t="s">
        <v>1796</v>
      </c>
      <c r="CRL799">
        <v>12</v>
      </c>
    </row>
    <row r="800" spans="1:48 2508:2508" x14ac:dyDescent="0.25">
      <c r="A800" t="s">
        <v>3323</v>
      </c>
      <c r="B800" t="s">
        <v>302</v>
      </c>
      <c r="C800" t="s">
        <v>62</v>
      </c>
      <c r="D800">
        <v>99999</v>
      </c>
      <c r="F800" s="109">
        <v>14000</v>
      </c>
      <c r="G800" t="b">
        <v>0</v>
      </c>
      <c r="H800" t="s">
        <v>329</v>
      </c>
      <c r="K800" t="s">
        <v>379</v>
      </c>
      <c r="L800" t="s">
        <v>303</v>
      </c>
      <c r="M800" t="s">
        <v>323</v>
      </c>
      <c r="N800" t="s">
        <v>63</v>
      </c>
      <c r="O800" s="110">
        <v>39.9</v>
      </c>
      <c r="R800" s="110">
        <v>280.59000000000003</v>
      </c>
      <c r="S800" s="110">
        <v>107.5</v>
      </c>
      <c r="T800" s="110">
        <v>0</v>
      </c>
      <c r="U800" s="110">
        <v>34.99</v>
      </c>
      <c r="X800">
        <v>78.200000000000017</v>
      </c>
      <c r="Y800">
        <v>59.9</v>
      </c>
      <c r="Z800">
        <v>59.9</v>
      </c>
      <c r="AA800">
        <v>0</v>
      </c>
      <c r="AB800" t="s">
        <v>363</v>
      </c>
      <c r="AF800" t="s">
        <v>1700</v>
      </c>
      <c r="AG800" t="s">
        <v>1700</v>
      </c>
      <c r="AH800" t="s">
        <v>1606</v>
      </c>
      <c r="AI800">
        <v>99999</v>
      </c>
      <c r="AJ800">
        <v>99999</v>
      </c>
      <c r="AK800">
        <v>699</v>
      </c>
      <c r="AL800" t="b">
        <v>1</v>
      </c>
      <c r="AM800" t="b">
        <v>1</v>
      </c>
      <c r="AN800" t="b">
        <v>0</v>
      </c>
      <c r="AO800">
        <v>99999</v>
      </c>
      <c r="AP800" t="s">
        <v>64</v>
      </c>
      <c r="AR800" t="b">
        <v>0</v>
      </c>
      <c r="AS800">
        <v>12</v>
      </c>
      <c r="AT800" t="s">
        <v>327</v>
      </c>
      <c r="AV800" t="s">
        <v>1715</v>
      </c>
      <c r="CRL800">
        <v>12</v>
      </c>
    </row>
    <row r="801" spans="1:48 2508:2508" x14ac:dyDescent="0.25">
      <c r="A801" t="s">
        <v>3323</v>
      </c>
      <c r="B801" t="s">
        <v>302</v>
      </c>
      <c r="C801" t="s">
        <v>62</v>
      </c>
      <c r="D801">
        <v>99999</v>
      </c>
      <c r="F801" s="109">
        <v>14000</v>
      </c>
      <c r="G801" t="b">
        <v>0</v>
      </c>
      <c r="H801" t="s">
        <v>329</v>
      </c>
      <c r="K801" t="s">
        <v>379</v>
      </c>
      <c r="L801" t="s">
        <v>303</v>
      </c>
      <c r="M801" t="s">
        <v>323</v>
      </c>
      <c r="N801" t="s">
        <v>63</v>
      </c>
      <c r="O801" s="110">
        <v>39.9</v>
      </c>
      <c r="R801" s="110">
        <v>309.89</v>
      </c>
      <c r="S801" s="110">
        <v>107.5</v>
      </c>
      <c r="T801" s="110">
        <v>0</v>
      </c>
      <c r="U801" s="110">
        <v>42.99</v>
      </c>
      <c r="X801">
        <v>99.499999999999972</v>
      </c>
      <c r="Y801">
        <v>59.9</v>
      </c>
      <c r="Z801">
        <v>59.9</v>
      </c>
      <c r="AA801">
        <v>0</v>
      </c>
      <c r="AB801" t="s">
        <v>363</v>
      </c>
      <c r="AF801" t="s">
        <v>1848</v>
      </c>
      <c r="AG801" t="s">
        <v>1848</v>
      </c>
      <c r="AH801" t="s">
        <v>1606</v>
      </c>
      <c r="AI801">
        <v>99999</v>
      </c>
      <c r="AJ801">
        <v>99999</v>
      </c>
      <c r="AK801">
        <v>699</v>
      </c>
      <c r="AL801" t="b">
        <v>1</v>
      </c>
      <c r="AM801" t="b">
        <v>1</v>
      </c>
      <c r="AN801" t="b">
        <v>0</v>
      </c>
      <c r="AO801">
        <v>99999</v>
      </c>
      <c r="AP801" t="s">
        <v>64</v>
      </c>
      <c r="AR801" t="b">
        <v>0</v>
      </c>
      <c r="AS801">
        <v>12</v>
      </c>
      <c r="AT801" t="s">
        <v>327</v>
      </c>
      <c r="AV801" t="s">
        <v>1863</v>
      </c>
      <c r="CRL801">
        <v>12</v>
      </c>
    </row>
    <row r="802" spans="1:48 2508:2508" x14ac:dyDescent="0.25">
      <c r="A802" t="s">
        <v>3323</v>
      </c>
      <c r="B802" t="s">
        <v>302</v>
      </c>
      <c r="C802" t="s">
        <v>62</v>
      </c>
      <c r="D802">
        <v>99999</v>
      </c>
      <c r="F802" s="109">
        <v>14000</v>
      </c>
      <c r="G802" t="b">
        <v>0</v>
      </c>
      <c r="H802" t="s">
        <v>329</v>
      </c>
      <c r="K802" t="s">
        <v>379</v>
      </c>
      <c r="L802" t="s">
        <v>303</v>
      </c>
      <c r="M802" t="s">
        <v>323</v>
      </c>
      <c r="N802" t="s">
        <v>63</v>
      </c>
      <c r="O802" s="110">
        <v>49.9</v>
      </c>
      <c r="R802" s="110">
        <v>303.09000000000003</v>
      </c>
      <c r="S802" s="110">
        <v>130</v>
      </c>
      <c r="T802" s="110">
        <v>0</v>
      </c>
      <c r="U802" s="110">
        <v>34.99</v>
      </c>
      <c r="X802">
        <v>78.200000000000017</v>
      </c>
      <c r="Y802">
        <v>59.9</v>
      </c>
      <c r="Z802">
        <v>59.9</v>
      </c>
      <c r="AA802">
        <v>0</v>
      </c>
      <c r="AB802" t="s">
        <v>363</v>
      </c>
      <c r="AF802" t="s">
        <v>3060</v>
      </c>
      <c r="AG802" t="s">
        <v>3060</v>
      </c>
      <c r="AH802" t="s">
        <v>1606</v>
      </c>
      <c r="AI802">
        <v>99999</v>
      </c>
      <c r="AJ802">
        <v>99999</v>
      </c>
      <c r="AK802">
        <v>699</v>
      </c>
      <c r="AL802" t="b">
        <v>1</v>
      </c>
      <c r="AM802" t="b">
        <v>1</v>
      </c>
      <c r="AN802" t="b">
        <v>0</v>
      </c>
      <c r="AO802">
        <v>99999</v>
      </c>
      <c r="AP802" t="s">
        <v>64</v>
      </c>
      <c r="AR802" t="b">
        <v>0</v>
      </c>
      <c r="AS802">
        <v>12</v>
      </c>
      <c r="AT802" t="s">
        <v>327</v>
      </c>
      <c r="AV802" t="s">
        <v>3075</v>
      </c>
      <c r="CRL802">
        <v>12</v>
      </c>
    </row>
    <row r="803" spans="1:48 2508:2508" x14ac:dyDescent="0.25">
      <c r="A803" t="s">
        <v>3323</v>
      </c>
      <c r="B803" t="s">
        <v>302</v>
      </c>
      <c r="C803" t="s">
        <v>62</v>
      </c>
      <c r="D803">
        <v>99999</v>
      </c>
      <c r="F803" s="109">
        <v>14000</v>
      </c>
      <c r="G803" t="b">
        <v>0</v>
      </c>
      <c r="H803" t="s">
        <v>329</v>
      </c>
      <c r="K803" t="s">
        <v>379</v>
      </c>
      <c r="L803" t="s">
        <v>303</v>
      </c>
      <c r="M803" t="s">
        <v>323</v>
      </c>
      <c r="N803" t="s">
        <v>63</v>
      </c>
      <c r="O803" s="110">
        <v>49.9</v>
      </c>
      <c r="R803" s="110">
        <v>332.39</v>
      </c>
      <c r="S803" s="110">
        <v>130</v>
      </c>
      <c r="T803" s="110">
        <v>0</v>
      </c>
      <c r="U803" s="110">
        <v>42.99</v>
      </c>
      <c r="X803">
        <v>99.499999999999972</v>
      </c>
      <c r="Y803">
        <v>59.9</v>
      </c>
      <c r="Z803">
        <v>59.9</v>
      </c>
      <c r="AA803">
        <v>0</v>
      </c>
      <c r="AB803" t="s">
        <v>363</v>
      </c>
      <c r="AF803" t="s">
        <v>3134</v>
      </c>
      <c r="AG803" t="s">
        <v>3134</v>
      </c>
      <c r="AH803" t="s">
        <v>1606</v>
      </c>
      <c r="AI803">
        <v>99999</v>
      </c>
      <c r="AJ803">
        <v>99999</v>
      </c>
      <c r="AK803">
        <v>699</v>
      </c>
      <c r="AL803" t="b">
        <v>1</v>
      </c>
      <c r="AM803" t="b">
        <v>1</v>
      </c>
      <c r="AN803" t="b">
        <v>0</v>
      </c>
      <c r="AO803">
        <v>99999</v>
      </c>
      <c r="AP803" t="s">
        <v>64</v>
      </c>
      <c r="AR803" t="b">
        <v>0</v>
      </c>
      <c r="AS803">
        <v>12</v>
      </c>
      <c r="AT803" t="s">
        <v>327</v>
      </c>
      <c r="AV803" t="s">
        <v>3149</v>
      </c>
      <c r="CRL803">
        <v>12</v>
      </c>
    </row>
    <row r="804" spans="1:48 2508:2508" x14ac:dyDescent="0.25">
      <c r="A804" t="s">
        <v>3323</v>
      </c>
      <c r="B804" t="s">
        <v>302</v>
      </c>
      <c r="C804" t="s">
        <v>62</v>
      </c>
      <c r="D804">
        <v>99999</v>
      </c>
      <c r="F804" s="109">
        <v>14000</v>
      </c>
      <c r="G804" t="b">
        <v>0</v>
      </c>
      <c r="H804" t="s">
        <v>329</v>
      </c>
      <c r="K804" t="s">
        <v>61</v>
      </c>
      <c r="L804" t="s">
        <v>303</v>
      </c>
      <c r="M804" t="s">
        <v>323</v>
      </c>
      <c r="N804" t="s">
        <v>63</v>
      </c>
      <c r="O804" s="110">
        <v>29.9</v>
      </c>
      <c r="R804" s="110">
        <v>265.59000000000003</v>
      </c>
      <c r="S804" s="110">
        <v>107.5</v>
      </c>
      <c r="T804" s="110">
        <v>0</v>
      </c>
      <c r="U804" s="110">
        <v>34.99</v>
      </c>
      <c r="X804">
        <v>78.200000000000017</v>
      </c>
      <c r="Y804">
        <v>44.9</v>
      </c>
      <c r="Z804">
        <v>44.9</v>
      </c>
      <c r="AA804">
        <v>0</v>
      </c>
      <c r="AB804" t="s">
        <v>324</v>
      </c>
      <c r="AF804" t="s">
        <v>1605</v>
      </c>
      <c r="AG804" t="s">
        <v>1605</v>
      </c>
      <c r="AH804" t="s">
        <v>1606</v>
      </c>
      <c r="AI804">
        <v>99999</v>
      </c>
      <c r="AJ804">
        <v>99999</v>
      </c>
      <c r="AK804">
        <v>699</v>
      </c>
      <c r="AL804" t="b">
        <v>1</v>
      </c>
      <c r="AM804" t="b">
        <v>1</v>
      </c>
      <c r="AN804" t="b">
        <v>0</v>
      </c>
      <c r="AO804">
        <v>99999</v>
      </c>
      <c r="AP804" t="s">
        <v>64</v>
      </c>
      <c r="AR804" t="b">
        <v>0</v>
      </c>
      <c r="AS804">
        <v>12</v>
      </c>
      <c r="AT804" t="s">
        <v>327</v>
      </c>
      <c r="AV804" t="s">
        <v>1608</v>
      </c>
      <c r="CRL804">
        <v>12</v>
      </c>
    </row>
    <row r="805" spans="1:48 2508:2508" x14ac:dyDescent="0.25">
      <c r="A805" t="s">
        <v>3323</v>
      </c>
      <c r="B805" t="s">
        <v>302</v>
      </c>
      <c r="C805" t="s">
        <v>62</v>
      </c>
      <c r="D805">
        <v>99999</v>
      </c>
      <c r="F805" s="109">
        <v>14000</v>
      </c>
      <c r="G805" t="b">
        <v>0</v>
      </c>
      <c r="H805" t="s">
        <v>329</v>
      </c>
      <c r="K805" t="s">
        <v>61</v>
      </c>
      <c r="L805" t="s">
        <v>303</v>
      </c>
      <c r="M805" t="s">
        <v>323</v>
      </c>
      <c r="N805" t="s">
        <v>63</v>
      </c>
      <c r="O805" s="110">
        <v>29.9</v>
      </c>
      <c r="R805" s="110">
        <v>294.89</v>
      </c>
      <c r="S805" s="110">
        <v>107.5</v>
      </c>
      <c r="T805" s="110">
        <v>0</v>
      </c>
      <c r="U805" s="110">
        <v>42.99</v>
      </c>
      <c r="X805">
        <v>99.499999999999972</v>
      </c>
      <c r="Y805">
        <v>44.9</v>
      </c>
      <c r="Z805">
        <v>44.9</v>
      </c>
      <c r="AA805">
        <v>0</v>
      </c>
      <c r="AB805" t="s">
        <v>324</v>
      </c>
      <c r="AF805" t="s">
        <v>1754</v>
      </c>
      <c r="AG805" t="s">
        <v>1754</v>
      </c>
      <c r="AH805" t="s">
        <v>1606</v>
      </c>
      <c r="AI805">
        <v>99999</v>
      </c>
      <c r="AJ805">
        <v>99999</v>
      </c>
      <c r="AK805">
        <v>699</v>
      </c>
      <c r="AL805" t="b">
        <v>1</v>
      </c>
      <c r="AM805" t="b">
        <v>1</v>
      </c>
      <c r="AN805" t="b">
        <v>0</v>
      </c>
      <c r="AO805">
        <v>99999</v>
      </c>
      <c r="AP805" t="s">
        <v>64</v>
      </c>
      <c r="AR805" t="b">
        <v>0</v>
      </c>
      <c r="AS805">
        <v>12</v>
      </c>
      <c r="AT805" t="s">
        <v>327</v>
      </c>
      <c r="AV805" t="s">
        <v>1756</v>
      </c>
      <c r="CRL805">
        <v>12</v>
      </c>
    </row>
    <row r="806" spans="1:48 2508:2508" x14ac:dyDescent="0.25">
      <c r="A806" t="s">
        <v>3323</v>
      </c>
      <c r="B806" t="s">
        <v>302</v>
      </c>
      <c r="C806" t="s">
        <v>62</v>
      </c>
      <c r="D806">
        <v>99999</v>
      </c>
      <c r="F806" s="109">
        <v>14000</v>
      </c>
      <c r="G806" t="b">
        <v>0</v>
      </c>
      <c r="H806" t="s">
        <v>329</v>
      </c>
      <c r="K806" t="s">
        <v>61</v>
      </c>
      <c r="L806" t="s">
        <v>303</v>
      </c>
      <c r="M806" t="s">
        <v>323</v>
      </c>
      <c r="N806" t="s">
        <v>63</v>
      </c>
      <c r="O806" s="110">
        <v>39.9</v>
      </c>
      <c r="R806" s="110">
        <v>265.59000000000003</v>
      </c>
      <c r="S806" s="110">
        <v>107.5</v>
      </c>
      <c r="T806" s="110">
        <v>0</v>
      </c>
      <c r="U806" s="110">
        <v>34.99</v>
      </c>
      <c r="X806">
        <v>78.200000000000017</v>
      </c>
      <c r="Y806">
        <v>44.9</v>
      </c>
      <c r="Z806">
        <v>44.9</v>
      </c>
      <c r="AA806">
        <v>0</v>
      </c>
      <c r="AB806" t="s">
        <v>324</v>
      </c>
      <c r="AF806" t="s">
        <v>1673</v>
      </c>
      <c r="AG806" t="s">
        <v>1673</v>
      </c>
      <c r="AH806" t="s">
        <v>1606</v>
      </c>
      <c r="AI806">
        <v>99999</v>
      </c>
      <c r="AJ806">
        <v>99999</v>
      </c>
      <c r="AK806">
        <v>699</v>
      </c>
      <c r="AL806" t="b">
        <v>1</v>
      </c>
      <c r="AM806" t="b">
        <v>1</v>
      </c>
      <c r="AN806" t="b">
        <v>0</v>
      </c>
      <c r="AO806">
        <v>99999</v>
      </c>
      <c r="AP806" t="s">
        <v>64</v>
      </c>
      <c r="AR806" t="b">
        <v>0</v>
      </c>
      <c r="AS806">
        <v>12</v>
      </c>
      <c r="AT806" t="s">
        <v>327</v>
      </c>
      <c r="AV806" t="s">
        <v>1675</v>
      </c>
      <c r="CRL806">
        <v>12</v>
      </c>
    </row>
    <row r="807" spans="1:48 2508:2508" x14ac:dyDescent="0.25">
      <c r="A807" t="s">
        <v>3323</v>
      </c>
      <c r="B807" t="s">
        <v>302</v>
      </c>
      <c r="C807" t="s">
        <v>62</v>
      </c>
      <c r="D807">
        <v>99999</v>
      </c>
      <c r="F807" s="109">
        <v>14000</v>
      </c>
      <c r="G807" t="b">
        <v>0</v>
      </c>
      <c r="H807" t="s">
        <v>329</v>
      </c>
      <c r="K807" t="s">
        <v>61</v>
      </c>
      <c r="L807" t="s">
        <v>303</v>
      </c>
      <c r="M807" t="s">
        <v>323</v>
      </c>
      <c r="N807" t="s">
        <v>63</v>
      </c>
      <c r="O807" s="110">
        <v>39.9</v>
      </c>
      <c r="R807" s="110">
        <v>294.89</v>
      </c>
      <c r="S807" s="110">
        <v>107.5</v>
      </c>
      <c r="T807" s="110">
        <v>0</v>
      </c>
      <c r="U807" s="110">
        <v>42.99</v>
      </c>
      <c r="X807">
        <v>99.499999999999972</v>
      </c>
      <c r="Y807">
        <v>44.9</v>
      </c>
      <c r="Z807">
        <v>44.9</v>
      </c>
      <c r="AA807">
        <v>0</v>
      </c>
      <c r="AB807" t="s">
        <v>324</v>
      </c>
      <c r="AF807" t="s">
        <v>1821</v>
      </c>
      <c r="AG807" t="s">
        <v>1821</v>
      </c>
      <c r="AH807" t="s">
        <v>1606</v>
      </c>
      <c r="AI807">
        <v>99999</v>
      </c>
      <c r="AJ807">
        <v>99999</v>
      </c>
      <c r="AK807">
        <v>699</v>
      </c>
      <c r="AL807" t="b">
        <v>1</v>
      </c>
      <c r="AM807" t="b">
        <v>1</v>
      </c>
      <c r="AN807" t="b">
        <v>0</v>
      </c>
      <c r="AO807">
        <v>99999</v>
      </c>
      <c r="AP807" t="s">
        <v>64</v>
      </c>
      <c r="AR807" t="b">
        <v>0</v>
      </c>
      <c r="AS807">
        <v>12</v>
      </c>
      <c r="AT807" t="s">
        <v>327</v>
      </c>
      <c r="AV807" t="s">
        <v>1823</v>
      </c>
      <c r="CRL807">
        <v>12</v>
      </c>
    </row>
    <row r="808" spans="1:48 2508:2508" x14ac:dyDescent="0.25">
      <c r="A808" t="s">
        <v>3323</v>
      </c>
      <c r="B808" t="s">
        <v>302</v>
      </c>
      <c r="C808" t="s">
        <v>62</v>
      </c>
      <c r="D808">
        <v>99999</v>
      </c>
      <c r="F808" s="109">
        <v>14000</v>
      </c>
      <c r="G808" t="b">
        <v>0</v>
      </c>
      <c r="H808" t="s">
        <v>329</v>
      </c>
      <c r="K808" t="s">
        <v>61</v>
      </c>
      <c r="L808" t="s">
        <v>303</v>
      </c>
      <c r="M808" t="s">
        <v>323</v>
      </c>
      <c r="N808" t="s">
        <v>63</v>
      </c>
      <c r="O808" s="110">
        <v>49.9</v>
      </c>
      <c r="R808" s="110">
        <v>288.09000000000003</v>
      </c>
      <c r="S808" s="110">
        <v>130</v>
      </c>
      <c r="T808" s="110">
        <v>0</v>
      </c>
      <c r="U808" s="110">
        <v>34.99</v>
      </c>
      <c r="X808">
        <v>78.200000000000017</v>
      </c>
      <c r="Y808">
        <v>44.9</v>
      </c>
      <c r="Z808">
        <v>44.9</v>
      </c>
      <c r="AA808">
        <v>0</v>
      </c>
      <c r="AB808" t="s">
        <v>324</v>
      </c>
      <c r="AF808" t="s">
        <v>3033</v>
      </c>
      <c r="AG808" t="s">
        <v>3033</v>
      </c>
      <c r="AH808" t="s">
        <v>1606</v>
      </c>
      <c r="AI808">
        <v>99999</v>
      </c>
      <c r="AJ808">
        <v>99999</v>
      </c>
      <c r="AK808">
        <v>699</v>
      </c>
      <c r="AL808" t="b">
        <v>1</v>
      </c>
      <c r="AM808" t="b">
        <v>1</v>
      </c>
      <c r="AN808" t="b">
        <v>0</v>
      </c>
      <c r="AO808">
        <v>99999</v>
      </c>
      <c r="AP808" t="s">
        <v>64</v>
      </c>
      <c r="AR808" t="b">
        <v>0</v>
      </c>
      <c r="AS808">
        <v>12</v>
      </c>
      <c r="AT808" t="s">
        <v>327</v>
      </c>
      <c r="AV808" t="s">
        <v>3035</v>
      </c>
      <c r="CRL808">
        <v>12</v>
      </c>
    </row>
    <row r="809" spans="1:48 2508:2508" x14ac:dyDescent="0.25">
      <c r="A809" t="s">
        <v>3323</v>
      </c>
      <c r="B809" t="s">
        <v>302</v>
      </c>
      <c r="C809" t="s">
        <v>62</v>
      </c>
      <c r="D809">
        <v>99999</v>
      </c>
      <c r="F809" s="109">
        <v>14000</v>
      </c>
      <c r="G809" t="b">
        <v>0</v>
      </c>
      <c r="H809" t="s">
        <v>329</v>
      </c>
      <c r="K809" t="s">
        <v>61</v>
      </c>
      <c r="L809" t="s">
        <v>303</v>
      </c>
      <c r="M809" t="s">
        <v>323</v>
      </c>
      <c r="N809" t="s">
        <v>63</v>
      </c>
      <c r="O809" s="110">
        <v>49.9</v>
      </c>
      <c r="R809" s="110">
        <v>317.39</v>
      </c>
      <c r="S809" s="110">
        <v>130</v>
      </c>
      <c r="T809" s="110">
        <v>0</v>
      </c>
      <c r="U809" s="110">
        <v>42.99</v>
      </c>
      <c r="X809">
        <v>99.499999999999972</v>
      </c>
      <c r="Y809">
        <v>44.9</v>
      </c>
      <c r="Z809">
        <v>44.9</v>
      </c>
      <c r="AA809">
        <v>0</v>
      </c>
      <c r="AB809" t="s">
        <v>324</v>
      </c>
      <c r="AF809" t="s">
        <v>3107</v>
      </c>
      <c r="AG809" t="s">
        <v>3107</v>
      </c>
      <c r="AH809" t="s">
        <v>1606</v>
      </c>
      <c r="AI809">
        <v>99999</v>
      </c>
      <c r="AJ809">
        <v>99999</v>
      </c>
      <c r="AK809">
        <v>699</v>
      </c>
      <c r="AL809" t="b">
        <v>1</v>
      </c>
      <c r="AM809" t="b">
        <v>1</v>
      </c>
      <c r="AN809" t="b">
        <v>0</v>
      </c>
      <c r="AO809">
        <v>99999</v>
      </c>
      <c r="AP809" t="s">
        <v>64</v>
      </c>
      <c r="AR809" t="b">
        <v>0</v>
      </c>
      <c r="AS809">
        <v>12</v>
      </c>
      <c r="AT809" t="s">
        <v>327</v>
      </c>
      <c r="AV809" t="s">
        <v>3109</v>
      </c>
      <c r="CRL809">
        <v>12</v>
      </c>
    </row>
    <row r="810" spans="1:48 2508:2508" x14ac:dyDescent="0.25">
      <c r="A810" t="s">
        <v>3323</v>
      </c>
      <c r="B810" t="s">
        <v>302</v>
      </c>
      <c r="C810" t="s">
        <v>62</v>
      </c>
      <c r="D810">
        <v>99999</v>
      </c>
      <c r="F810" s="109">
        <v>14000</v>
      </c>
      <c r="G810" t="b">
        <v>0</v>
      </c>
      <c r="H810" t="s">
        <v>333</v>
      </c>
      <c r="K810" t="s">
        <v>349</v>
      </c>
      <c r="L810" t="s">
        <v>303</v>
      </c>
      <c r="M810" t="s">
        <v>323</v>
      </c>
      <c r="N810" t="s">
        <v>63</v>
      </c>
      <c r="O810" s="110">
        <v>29.9</v>
      </c>
      <c r="R810" s="110">
        <v>310.59000000000003</v>
      </c>
      <c r="S810" s="110">
        <v>107.5</v>
      </c>
      <c r="T810" s="110">
        <v>0</v>
      </c>
      <c r="U810" s="110">
        <v>34.99</v>
      </c>
      <c r="X810">
        <v>123.20000000000002</v>
      </c>
      <c r="Y810">
        <v>44.9</v>
      </c>
      <c r="Z810">
        <v>44.9</v>
      </c>
      <c r="AA810">
        <v>0</v>
      </c>
      <c r="AB810" t="s">
        <v>324</v>
      </c>
      <c r="AF810" t="s">
        <v>1605</v>
      </c>
      <c r="AG810" t="s">
        <v>1605</v>
      </c>
      <c r="AH810" t="s">
        <v>1606</v>
      </c>
      <c r="AI810">
        <v>99999</v>
      </c>
      <c r="AJ810">
        <v>99999</v>
      </c>
      <c r="AK810">
        <v>699</v>
      </c>
      <c r="AL810" t="b">
        <v>1</v>
      </c>
      <c r="AM810" t="b">
        <v>1</v>
      </c>
      <c r="AN810" t="b">
        <v>0</v>
      </c>
      <c r="AO810">
        <v>99999</v>
      </c>
      <c r="AP810" t="s">
        <v>64</v>
      </c>
      <c r="AR810" t="b">
        <v>0</v>
      </c>
      <c r="AS810">
        <v>12</v>
      </c>
      <c r="AT810" t="s">
        <v>327</v>
      </c>
      <c r="AV810" t="s">
        <v>1623</v>
      </c>
      <c r="CRL810">
        <v>12</v>
      </c>
    </row>
    <row r="811" spans="1:48 2508:2508" x14ac:dyDescent="0.25">
      <c r="A811" t="s">
        <v>3323</v>
      </c>
      <c r="B811" t="s">
        <v>302</v>
      </c>
      <c r="C811" t="s">
        <v>62</v>
      </c>
      <c r="D811">
        <v>99999</v>
      </c>
      <c r="F811" s="109">
        <v>14000</v>
      </c>
      <c r="G811" t="b">
        <v>0</v>
      </c>
      <c r="H811" t="s">
        <v>333</v>
      </c>
      <c r="K811" t="s">
        <v>349</v>
      </c>
      <c r="L811" t="s">
        <v>303</v>
      </c>
      <c r="M811" t="s">
        <v>323</v>
      </c>
      <c r="N811" t="s">
        <v>63</v>
      </c>
      <c r="O811" s="110">
        <v>29.9</v>
      </c>
      <c r="R811" s="110">
        <v>339.89</v>
      </c>
      <c r="S811" s="110">
        <v>107.5</v>
      </c>
      <c r="T811" s="110">
        <v>0</v>
      </c>
      <c r="U811" s="110">
        <v>42.99</v>
      </c>
      <c r="X811">
        <v>144.49999999999997</v>
      </c>
      <c r="Y811">
        <v>44.9</v>
      </c>
      <c r="Z811">
        <v>44.9</v>
      </c>
      <c r="AA811">
        <v>0</v>
      </c>
      <c r="AB811" t="s">
        <v>324</v>
      </c>
      <c r="AF811" t="s">
        <v>1754</v>
      </c>
      <c r="AG811" t="s">
        <v>1754</v>
      </c>
      <c r="AH811" t="s">
        <v>1606</v>
      </c>
      <c r="AI811">
        <v>99999</v>
      </c>
      <c r="AJ811">
        <v>99999</v>
      </c>
      <c r="AK811">
        <v>699</v>
      </c>
      <c r="AL811" t="b">
        <v>1</v>
      </c>
      <c r="AM811" t="b">
        <v>1</v>
      </c>
      <c r="AN811" t="b">
        <v>0</v>
      </c>
      <c r="AO811">
        <v>99999</v>
      </c>
      <c r="AP811" t="s">
        <v>64</v>
      </c>
      <c r="AR811" t="b">
        <v>0</v>
      </c>
      <c r="AS811">
        <v>12</v>
      </c>
      <c r="AT811" t="s">
        <v>327</v>
      </c>
      <c r="AV811" t="s">
        <v>1771</v>
      </c>
      <c r="CRL811">
        <v>12</v>
      </c>
    </row>
    <row r="812" spans="1:48 2508:2508" x14ac:dyDescent="0.25">
      <c r="A812" t="s">
        <v>3323</v>
      </c>
      <c r="B812" t="s">
        <v>302</v>
      </c>
      <c r="C812" t="s">
        <v>62</v>
      </c>
      <c r="D812">
        <v>99999</v>
      </c>
      <c r="F812" s="109">
        <v>14000</v>
      </c>
      <c r="G812" t="b">
        <v>0</v>
      </c>
      <c r="H812" t="s">
        <v>333</v>
      </c>
      <c r="K812" t="s">
        <v>349</v>
      </c>
      <c r="L812" t="s">
        <v>303</v>
      </c>
      <c r="M812" t="s">
        <v>323</v>
      </c>
      <c r="N812" t="s">
        <v>63</v>
      </c>
      <c r="O812" s="110">
        <v>39.9</v>
      </c>
      <c r="R812" s="110">
        <v>310.59000000000003</v>
      </c>
      <c r="S812" s="110">
        <v>107.5</v>
      </c>
      <c r="T812" s="110">
        <v>0</v>
      </c>
      <c r="U812" s="110">
        <v>34.99</v>
      </c>
      <c r="X812">
        <v>123.20000000000002</v>
      </c>
      <c r="Y812">
        <v>44.9</v>
      </c>
      <c r="Z812">
        <v>44.9</v>
      </c>
      <c r="AA812">
        <v>0</v>
      </c>
      <c r="AB812" t="s">
        <v>324</v>
      </c>
      <c r="AF812" t="s">
        <v>1673</v>
      </c>
      <c r="AG812" t="s">
        <v>1673</v>
      </c>
      <c r="AH812" t="s">
        <v>1606</v>
      </c>
      <c r="AI812">
        <v>99999</v>
      </c>
      <c r="AJ812">
        <v>99999</v>
      </c>
      <c r="AK812">
        <v>699</v>
      </c>
      <c r="AL812" t="b">
        <v>1</v>
      </c>
      <c r="AM812" t="b">
        <v>1</v>
      </c>
      <c r="AN812" t="b">
        <v>0</v>
      </c>
      <c r="AO812">
        <v>99999</v>
      </c>
      <c r="AP812" t="s">
        <v>64</v>
      </c>
      <c r="AR812" t="b">
        <v>0</v>
      </c>
      <c r="AS812">
        <v>12</v>
      </c>
      <c r="AT812" t="s">
        <v>327</v>
      </c>
      <c r="AV812" t="s">
        <v>1690</v>
      </c>
      <c r="CRL812">
        <v>12</v>
      </c>
    </row>
    <row r="813" spans="1:48 2508:2508" x14ac:dyDescent="0.25">
      <c r="A813" t="s">
        <v>3323</v>
      </c>
      <c r="B813" t="s">
        <v>302</v>
      </c>
      <c r="C813" t="s">
        <v>62</v>
      </c>
      <c r="D813">
        <v>99999</v>
      </c>
      <c r="F813" s="109">
        <v>14000</v>
      </c>
      <c r="G813" t="b">
        <v>0</v>
      </c>
      <c r="H813" t="s">
        <v>333</v>
      </c>
      <c r="K813" t="s">
        <v>349</v>
      </c>
      <c r="L813" t="s">
        <v>303</v>
      </c>
      <c r="M813" t="s">
        <v>323</v>
      </c>
      <c r="N813" t="s">
        <v>63</v>
      </c>
      <c r="O813" s="110">
        <v>39.9</v>
      </c>
      <c r="R813" s="110">
        <v>339.89</v>
      </c>
      <c r="S813" s="110">
        <v>107.5</v>
      </c>
      <c r="T813" s="110">
        <v>0</v>
      </c>
      <c r="U813" s="110">
        <v>42.99</v>
      </c>
      <c r="X813">
        <v>144.49999999999997</v>
      </c>
      <c r="Y813">
        <v>44.9</v>
      </c>
      <c r="Z813">
        <v>44.9</v>
      </c>
      <c r="AA813">
        <v>0</v>
      </c>
      <c r="AB813" t="s">
        <v>324</v>
      </c>
      <c r="AF813" t="s">
        <v>1821</v>
      </c>
      <c r="AG813" t="s">
        <v>1821</v>
      </c>
      <c r="AH813" t="s">
        <v>1606</v>
      </c>
      <c r="AI813">
        <v>99999</v>
      </c>
      <c r="AJ813">
        <v>99999</v>
      </c>
      <c r="AK813">
        <v>699</v>
      </c>
      <c r="AL813" t="b">
        <v>1</v>
      </c>
      <c r="AM813" t="b">
        <v>1</v>
      </c>
      <c r="AN813" t="b">
        <v>0</v>
      </c>
      <c r="AO813">
        <v>99999</v>
      </c>
      <c r="AP813" t="s">
        <v>64</v>
      </c>
      <c r="AR813" t="b">
        <v>0</v>
      </c>
      <c r="AS813">
        <v>12</v>
      </c>
      <c r="AT813" t="s">
        <v>327</v>
      </c>
      <c r="AV813" t="s">
        <v>1838</v>
      </c>
      <c r="CRL813">
        <v>12</v>
      </c>
    </row>
    <row r="814" spans="1:48 2508:2508" x14ac:dyDescent="0.25">
      <c r="A814" t="s">
        <v>3323</v>
      </c>
      <c r="B814" t="s">
        <v>302</v>
      </c>
      <c r="C814" t="s">
        <v>62</v>
      </c>
      <c r="D814">
        <v>99999</v>
      </c>
      <c r="F814" s="109">
        <v>14000</v>
      </c>
      <c r="G814" t="b">
        <v>0</v>
      </c>
      <c r="H814" t="s">
        <v>333</v>
      </c>
      <c r="K814" t="s">
        <v>349</v>
      </c>
      <c r="L814" t="s">
        <v>303</v>
      </c>
      <c r="M814" t="s">
        <v>323</v>
      </c>
      <c r="N814" t="s">
        <v>63</v>
      </c>
      <c r="O814" s="110">
        <v>49.9</v>
      </c>
      <c r="R814" s="110">
        <v>333.09000000000003</v>
      </c>
      <c r="S814" s="110">
        <v>130</v>
      </c>
      <c r="T814" s="110">
        <v>0</v>
      </c>
      <c r="U814" s="110">
        <v>34.99</v>
      </c>
      <c r="X814">
        <v>123.20000000000002</v>
      </c>
      <c r="Y814">
        <v>44.9</v>
      </c>
      <c r="Z814">
        <v>44.9</v>
      </c>
      <c r="AA814">
        <v>0</v>
      </c>
      <c r="AB814" t="s">
        <v>324</v>
      </c>
      <c r="AF814" t="s">
        <v>3033</v>
      </c>
      <c r="AG814" t="s">
        <v>3033</v>
      </c>
      <c r="AH814" t="s">
        <v>1606</v>
      </c>
      <c r="AI814">
        <v>99999</v>
      </c>
      <c r="AJ814">
        <v>99999</v>
      </c>
      <c r="AK814">
        <v>699</v>
      </c>
      <c r="AL814" t="b">
        <v>1</v>
      </c>
      <c r="AM814" t="b">
        <v>1</v>
      </c>
      <c r="AN814" t="b">
        <v>0</v>
      </c>
      <c r="AO814">
        <v>99999</v>
      </c>
      <c r="AP814" t="s">
        <v>64</v>
      </c>
      <c r="AR814" t="b">
        <v>0</v>
      </c>
      <c r="AS814">
        <v>12</v>
      </c>
      <c r="AT814" t="s">
        <v>327</v>
      </c>
      <c r="AV814" t="s">
        <v>3050</v>
      </c>
      <c r="CRL814">
        <v>12</v>
      </c>
    </row>
    <row r="815" spans="1:48 2508:2508" x14ac:dyDescent="0.25">
      <c r="A815" t="s">
        <v>3323</v>
      </c>
      <c r="B815" t="s">
        <v>302</v>
      </c>
      <c r="C815" t="s">
        <v>62</v>
      </c>
      <c r="D815">
        <v>99999</v>
      </c>
      <c r="F815" s="109">
        <v>14000</v>
      </c>
      <c r="G815" t="b">
        <v>0</v>
      </c>
      <c r="H815" t="s">
        <v>333</v>
      </c>
      <c r="K815" t="s">
        <v>349</v>
      </c>
      <c r="L815" t="s">
        <v>303</v>
      </c>
      <c r="M815" t="s">
        <v>323</v>
      </c>
      <c r="N815" t="s">
        <v>63</v>
      </c>
      <c r="O815" s="110">
        <v>49.9</v>
      </c>
      <c r="R815" s="110">
        <v>362.39</v>
      </c>
      <c r="S815" s="110">
        <v>130</v>
      </c>
      <c r="T815" s="110">
        <v>0</v>
      </c>
      <c r="U815" s="110">
        <v>42.99</v>
      </c>
      <c r="X815">
        <v>144.49999999999997</v>
      </c>
      <c r="Y815">
        <v>44.9</v>
      </c>
      <c r="Z815">
        <v>44.9</v>
      </c>
      <c r="AA815">
        <v>0</v>
      </c>
      <c r="AB815" t="s">
        <v>324</v>
      </c>
      <c r="AF815" t="s">
        <v>3107</v>
      </c>
      <c r="AG815" t="s">
        <v>3107</v>
      </c>
      <c r="AH815" t="s">
        <v>1606</v>
      </c>
      <c r="AI815">
        <v>99999</v>
      </c>
      <c r="AJ815">
        <v>99999</v>
      </c>
      <c r="AK815">
        <v>699</v>
      </c>
      <c r="AL815" t="b">
        <v>1</v>
      </c>
      <c r="AM815" t="b">
        <v>1</v>
      </c>
      <c r="AN815" t="b">
        <v>0</v>
      </c>
      <c r="AO815">
        <v>99999</v>
      </c>
      <c r="AP815" t="s">
        <v>64</v>
      </c>
      <c r="AR815" t="b">
        <v>0</v>
      </c>
      <c r="AS815">
        <v>12</v>
      </c>
      <c r="AT815" t="s">
        <v>327</v>
      </c>
      <c r="AV815" t="s">
        <v>3124</v>
      </c>
      <c r="CRL815">
        <v>12</v>
      </c>
    </row>
    <row r="816" spans="1:48 2508:2508" x14ac:dyDescent="0.25">
      <c r="A816" t="s">
        <v>3323</v>
      </c>
      <c r="B816" t="s">
        <v>302</v>
      </c>
      <c r="C816" t="s">
        <v>62</v>
      </c>
      <c r="D816">
        <v>99999</v>
      </c>
      <c r="F816" s="109">
        <v>14000</v>
      </c>
      <c r="G816" t="b">
        <v>0</v>
      </c>
      <c r="H816" t="s">
        <v>333</v>
      </c>
      <c r="K816" t="s">
        <v>393</v>
      </c>
      <c r="L816" t="s">
        <v>303</v>
      </c>
      <c r="M816" t="s">
        <v>323</v>
      </c>
      <c r="N816" t="s">
        <v>63</v>
      </c>
      <c r="O816" s="110">
        <v>29.9</v>
      </c>
      <c r="R816" s="110">
        <v>335.59000000000003</v>
      </c>
      <c r="S816" s="110">
        <v>107.5</v>
      </c>
      <c r="T816" s="110">
        <v>0</v>
      </c>
      <c r="U816" s="110">
        <v>34.99</v>
      </c>
      <c r="X816">
        <v>123.20000000000002</v>
      </c>
      <c r="Y816">
        <v>69.900000000000006</v>
      </c>
      <c r="Z816">
        <v>69.900000000000006</v>
      </c>
      <c r="AA816">
        <v>0</v>
      </c>
      <c r="AB816" t="s">
        <v>363</v>
      </c>
      <c r="AF816" t="s">
        <v>1633</v>
      </c>
      <c r="AG816" t="s">
        <v>1633</v>
      </c>
      <c r="AH816" t="s">
        <v>1606</v>
      </c>
      <c r="AI816">
        <v>99999</v>
      </c>
      <c r="AJ816">
        <v>99999</v>
      </c>
      <c r="AK816">
        <v>699</v>
      </c>
      <c r="AL816" t="b">
        <v>1</v>
      </c>
      <c r="AM816" t="b">
        <v>1</v>
      </c>
      <c r="AN816" t="b">
        <v>0</v>
      </c>
      <c r="AO816">
        <v>99999</v>
      </c>
      <c r="AP816" t="s">
        <v>64</v>
      </c>
      <c r="AR816" t="b">
        <v>0</v>
      </c>
      <c r="AS816">
        <v>12</v>
      </c>
      <c r="AT816" t="s">
        <v>327</v>
      </c>
      <c r="AV816" t="s">
        <v>1663</v>
      </c>
      <c r="CRL816">
        <v>12</v>
      </c>
    </row>
    <row r="817" spans="1:48 2508:2508" x14ac:dyDescent="0.25">
      <c r="A817" t="s">
        <v>3323</v>
      </c>
      <c r="B817" t="s">
        <v>302</v>
      </c>
      <c r="C817" t="s">
        <v>62</v>
      </c>
      <c r="D817">
        <v>99999</v>
      </c>
      <c r="F817" s="109">
        <v>14000</v>
      </c>
      <c r="G817" t="b">
        <v>0</v>
      </c>
      <c r="H817" t="s">
        <v>333</v>
      </c>
      <c r="K817" t="s">
        <v>393</v>
      </c>
      <c r="L817" t="s">
        <v>303</v>
      </c>
      <c r="M817" t="s">
        <v>323</v>
      </c>
      <c r="N817" t="s">
        <v>63</v>
      </c>
      <c r="O817" s="110">
        <v>29.9</v>
      </c>
      <c r="R817" s="110">
        <v>364.89</v>
      </c>
      <c r="S817" s="110">
        <v>107.5</v>
      </c>
      <c r="T817" s="110">
        <v>0</v>
      </c>
      <c r="U817" s="110">
        <v>42.99</v>
      </c>
      <c r="X817">
        <v>144.49999999999997</v>
      </c>
      <c r="Y817">
        <v>69.900000000000006</v>
      </c>
      <c r="Z817">
        <v>69.900000000000006</v>
      </c>
      <c r="AA817">
        <v>0</v>
      </c>
      <c r="AB817" t="s">
        <v>363</v>
      </c>
      <c r="AF817" t="s">
        <v>1781</v>
      </c>
      <c r="AG817" t="s">
        <v>1781</v>
      </c>
      <c r="AH817" t="s">
        <v>1606</v>
      </c>
      <c r="AI817">
        <v>99999</v>
      </c>
      <c r="AJ817">
        <v>99999</v>
      </c>
      <c r="AK817">
        <v>699</v>
      </c>
      <c r="AL817" t="b">
        <v>1</v>
      </c>
      <c r="AM817" t="b">
        <v>1</v>
      </c>
      <c r="AN817" t="b">
        <v>0</v>
      </c>
      <c r="AO817">
        <v>99999</v>
      </c>
      <c r="AP817" t="s">
        <v>64</v>
      </c>
      <c r="AR817" t="b">
        <v>0</v>
      </c>
      <c r="AS817">
        <v>12</v>
      </c>
      <c r="AT817" t="s">
        <v>327</v>
      </c>
      <c r="AV817" t="s">
        <v>1811</v>
      </c>
      <c r="CRL817">
        <v>12</v>
      </c>
    </row>
    <row r="818" spans="1:48 2508:2508" x14ac:dyDescent="0.25">
      <c r="A818" t="s">
        <v>3323</v>
      </c>
      <c r="B818" t="s">
        <v>302</v>
      </c>
      <c r="C818" t="s">
        <v>62</v>
      </c>
      <c r="D818">
        <v>99999</v>
      </c>
      <c r="F818" s="109">
        <v>14000</v>
      </c>
      <c r="G818" t="b">
        <v>0</v>
      </c>
      <c r="H818" t="s">
        <v>333</v>
      </c>
      <c r="K818" t="s">
        <v>393</v>
      </c>
      <c r="L818" t="s">
        <v>303</v>
      </c>
      <c r="M818" t="s">
        <v>323</v>
      </c>
      <c r="N818" t="s">
        <v>63</v>
      </c>
      <c r="O818" s="110">
        <v>39.9</v>
      </c>
      <c r="R818" s="110">
        <v>335.59000000000003</v>
      </c>
      <c r="S818" s="110">
        <v>107.5</v>
      </c>
      <c r="T818" s="110">
        <v>0</v>
      </c>
      <c r="U818" s="110">
        <v>34.99</v>
      </c>
      <c r="X818">
        <v>123.20000000000002</v>
      </c>
      <c r="Y818">
        <v>69.900000000000006</v>
      </c>
      <c r="Z818">
        <v>69.900000000000006</v>
      </c>
      <c r="AA818">
        <v>0</v>
      </c>
      <c r="AB818" t="s">
        <v>363</v>
      </c>
      <c r="AF818" t="s">
        <v>1700</v>
      </c>
      <c r="AG818" t="s">
        <v>1700</v>
      </c>
      <c r="AH818" t="s">
        <v>1606</v>
      </c>
      <c r="AI818">
        <v>99999</v>
      </c>
      <c r="AJ818">
        <v>99999</v>
      </c>
      <c r="AK818">
        <v>699</v>
      </c>
      <c r="AL818" t="b">
        <v>1</v>
      </c>
      <c r="AM818" t="b">
        <v>1</v>
      </c>
      <c r="AN818" t="b">
        <v>0</v>
      </c>
      <c r="AO818">
        <v>99999</v>
      </c>
      <c r="AP818" t="s">
        <v>64</v>
      </c>
      <c r="AR818" t="b">
        <v>0</v>
      </c>
      <c r="AS818">
        <v>12</v>
      </c>
      <c r="AT818" t="s">
        <v>327</v>
      </c>
      <c r="AV818" t="s">
        <v>1730</v>
      </c>
      <c r="CRL818">
        <v>12</v>
      </c>
    </row>
    <row r="819" spans="1:48 2508:2508" x14ac:dyDescent="0.25">
      <c r="A819" t="s">
        <v>3323</v>
      </c>
      <c r="B819" t="s">
        <v>302</v>
      </c>
      <c r="C819" t="s">
        <v>62</v>
      </c>
      <c r="D819">
        <v>99999</v>
      </c>
      <c r="F819" s="109">
        <v>14000</v>
      </c>
      <c r="G819" t="b">
        <v>0</v>
      </c>
      <c r="H819" t="s">
        <v>333</v>
      </c>
      <c r="K819" t="s">
        <v>393</v>
      </c>
      <c r="L819" t="s">
        <v>303</v>
      </c>
      <c r="M819" t="s">
        <v>323</v>
      </c>
      <c r="N819" t="s">
        <v>63</v>
      </c>
      <c r="O819" s="110">
        <v>39.9</v>
      </c>
      <c r="R819" s="110">
        <v>364.89</v>
      </c>
      <c r="S819" s="110">
        <v>107.5</v>
      </c>
      <c r="T819" s="110">
        <v>0</v>
      </c>
      <c r="U819" s="110">
        <v>42.99</v>
      </c>
      <c r="X819">
        <v>144.49999999999997</v>
      </c>
      <c r="Y819">
        <v>69.900000000000006</v>
      </c>
      <c r="Z819">
        <v>69.900000000000006</v>
      </c>
      <c r="AA819">
        <v>0</v>
      </c>
      <c r="AB819" t="s">
        <v>363</v>
      </c>
      <c r="AF819" t="s">
        <v>1848</v>
      </c>
      <c r="AG819" t="s">
        <v>1848</v>
      </c>
      <c r="AH819" t="s">
        <v>1606</v>
      </c>
      <c r="AI819">
        <v>99999</v>
      </c>
      <c r="AJ819">
        <v>99999</v>
      </c>
      <c r="AK819">
        <v>699</v>
      </c>
      <c r="AL819" t="b">
        <v>1</v>
      </c>
      <c r="AM819" t="b">
        <v>1</v>
      </c>
      <c r="AN819" t="b">
        <v>0</v>
      </c>
      <c r="AO819">
        <v>99999</v>
      </c>
      <c r="AP819" t="s">
        <v>64</v>
      </c>
      <c r="AR819" t="b">
        <v>0</v>
      </c>
      <c r="AS819">
        <v>12</v>
      </c>
      <c r="AT819" t="s">
        <v>327</v>
      </c>
      <c r="AV819" t="s">
        <v>1878</v>
      </c>
      <c r="CRL819">
        <v>12</v>
      </c>
    </row>
    <row r="820" spans="1:48 2508:2508" x14ac:dyDescent="0.25">
      <c r="A820" t="s">
        <v>3323</v>
      </c>
      <c r="B820" t="s">
        <v>302</v>
      </c>
      <c r="C820" t="s">
        <v>62</v>
      </c>
      <c r="D820">
        <v>99999</v>
      </c>
      <c r="F820" s="109">
        <v>14000</v>
      </c>
      <c r="G820" t="b">
        <v>0</v>
      </c>
      <c r="H820" t="s">
        <v>333</v>
      </c>
      <c r="K820" t="s">
        <v>393</v>
      </c>
      <c r="L820" t="s">
        <v>303</v>
      </c>
      <c r="M820" t="s">
        <v>323</v>
      </c>
      <c r="N820" t="s">
        <v>63</v>
      </c>
      <c r="O820" s="110">
        <v>49.9</v>
      </c>
      <c r="R820" s="110">
        <v>358.09000000000003</v>
      </c>
      <c r="S820" s="110">
        <v>130</v>
      </c>
      <c r="T820" s="110">
        <v>0</v>
      </c>
      <c r="U820" s="110">
        <v>34.99</v>
      </c>
      <c r="X820">
        <v>123.20000000000002</v>
      </c>
      <c r="Y820">
        <v>69.900000000000006</v>
      </c>
      <c r="Z820">
        <v>69.900000000000006</v>
      </c>
      <c r="AA820">
        <v>0</v>
      </c>
      <c r="AB820" t="s">
        <v>363</v>
      </c>
      <c r="AF820" t="s">
        <v>3060</v>
      </c>
      <c r="AG820" t="s">
        <v>3060</v>
      </c>
      <c r="AH820" t="s">
        <v>1606</v>
      </c>
      <c r="AI820">
        <v>99999</v>
      </c>
      <c r="AJ820">
        <v>99999</v>
      </c>
      <c r="AK820">
        <v>699</v>
      </c>
      <c r="AL820" t="b">
        <v>1</v>
      </c>
      <c r="AM820" t="b">
        <v>1</v>
      </c>
      <c r="AN820" t="b">
        <v>0</v>
      </c>
      <c r="AO820">
        <v>99999</v>
      </c>
      <c r="AP820" t="s">
        <v>64</v>
      </c>
      <c r="AR820" t="b">
        <v>0</v>
      </c>
      <c r="AS820">
        <v>12</v>
      </c>
      <c r="AT820" t="s">
        <v>327</v>
      </c>
      <c r="AV820" t="s">
        <v>3090</v>
      </c>
      <c r="CRL820">
        <v>12</v>
      </c>
    </row>
    <row r="821" spans="1:48 2508:2508" x14ac:dyDescent="0.25">
      <c r="A821" t="s">
        <v>3323</v>
      </c>
      <c r="B821" t="s">
        <v>302</v>
      </c>
      <c r="C821" t="s">
        <v>62</v>
      </c>
      <c r="D821">
        <v>99999</v>
      </c>
      <c r="F821" s="109">
        <v>14000</v>
      </c>
      <c r="G821" t="b">
        <v>0</v>
      </c>
      <c r="H821" t="s">
        <v>333</v>
      </c>
      <c r="K821" t="s">
        <v>393</v>
      </c>
      <c r="L821" t="s">
        <v>303</v>
      </c>
      <c r="M821" t="s">
        <v>323</v>
      </c>
      <c r="N821" t="s">
        <v>63</v>
      </c>
      <c r="O821" s="110">
        <v>49.9</v>
      </c>
      <c r="R821" s="110">
        <v>387.39</v>
      </c>
      <c r="S821" s="110">
        <v>130</v>
      </c>
      <c r="T821" s="110">
        <v>0</v>
      </c>
      <c r="U821" s="110">
        <v>42.99</v>
      </c>
      <c r="X821">
        <v>144.49999999999997</v>
      </c>
      <c r="Y821">
        <v>69.900000000000006</v>
      </c>
      <c r="Z821">
        <v>69.900000000000006</v>
      </c>
      <c r="AA821">
        <v>0</v>
      </c>
      <c r="AB821" t="s">
        <v>363</v>
      </c>
      <c r="AF821" t="s">
        <v>3134</v>
      </c>
      <c r="AG821" t="s">
        <v>3134</v>
      </c>
      <c r="AH821" t="s">
        <v>1606</v>
      </c>
      <c r="AI821">
        <v>99999</v>
      </c>
      <c r="AJ821">
        <v>99999</v>
      </c>
      <c r="AK821">
        <v>699</v>
      </c>
      <c r="AL821" t="b">
        <v>1</v>
      </c>
      <c r="AM821" t="b">
        <v>1</v>
      </c>
      <c r="AN821" t="b">
        <v>0</v>
      </c>
      <c r="AO821">
        <v>99999</v>
      </c>
      <c r="AP821" t="s">
        <v>64</v>
      </c>
      <c r="AR821" t="b">
        <v>0</v>
      </c>
      <c r="AS821">
        <v>12</v>
      </c>
      <c r="AT821" t="s">
        <v>327</v>
      </c>
      <c r="AV821" t="s">
        <v>3164</v>
      </c>
      <c r="CRL821">
        <v>12</v>
      </c>
    </row>
    <row r="822" spans="1:48 2508:2508" x14ac:dyDescent="0.25">
      <c r="A822" t="s">
        <v>3323</v>
      </c>
      <c r="B822" t="s">
        <v>302</v>
      </c>
      <c r="C822" t="s">
        <v>62</v>
      </c>
      <c r="D822">
        <v>99999</v>
      </c>
      <c r="F822" s="109">
        <v>14000</v>
      </c>
      <c r="G822" t="b">
        <v>0</v>
      </c>
      <c r="H822" t="s">
        <v>333</v>
      </c>
      <c r="K822" t="s">
        <v>364</v>
      </c>
      <c r="L822" t="s">
        <v>303</v>
      </c>
      <c r="M822" t="s">
        <v>323</v>
      </c>
      <c r="N822" t="s">
        <v>63</v>
      </c>
      <c r="O822" s="110">
        <v>29.9</v>
      </c>
      <c r="R822" s="110">
        <v>315.59000000000003</v>
      </c>
      <c r="S822" s="110">
        <v>107.5</v>
      </c>
      <c r="T822" s="110">
        <v>0</v>
      </c>
      <c r="U822" s="110">
        <v>34.99</v>
      </c>
      <c r="X822">
        <v>123.20000000000002</v>
      </c>
      <c r="Y822">
        <v>49.9</v>
      </c>
      <c r="Z822">
        <v>49.9</v>
      </c>
      <c r="AA822">
        <v>0</v>
      </c>
      <c r="AB822" t="s">
        <v>363</v>
      </c>
      <c r="AF822" t="s">
        <v>1633</v>
      </c>
      <c r="AG822" t="s">
        <v>1633</v>
      </c>
      <c r="AH822" t="s">
        <v>1606</v>
      </c>
      <c r="AI822">
        <v>99999</v>
      </c>
      <c r="AJ822">
        <v>99999</v>
      </c>
      <c r="AK822">
        <v>699</v>
      </c>
      <c r="AL822" t="b">
        <v>1</v>
      </c>
      <c r="AM822" t="b">
        <v>1</v>
      </c>
      <c r="AN822" t="b">
        <v>0</v>
      </c>
      <c r="AO822">
        <v>99999</v>
      </c>
      <c r="AP822" t="s">
        <v>64</v>
      </c>
      <c r="AR822" t="b">
        <v>0</v>
      </c>
      <c r="AS822">
        <v>12</v>
      </c>
      <c r="AT822" t="s">
        <v>327</v>
      </c>
      <c r="AV822" t="s">
        <v>1637</v>
      </c>
      <c r="CRL822">
        <v>12</v>
      </c>
    </row>
    <row r="823" spans="1:48 2508:2508" x14ac:dyDescent="0.25">
      <c r="A823" t="s">
        <v>3323</v>
      </c>
      <c r="B823" t="s">
        <v>302</v>
      </c>
      <c r="C823" t="s">
        <v>62</v>
      </c>
      <c r="D823">
        <v>99999</v>
      </c>
      <c r="F823" s="109">
        <v>14000</v>
      </c>
      <c r="G823" t="b">
        <v>0</v>
      </c>
      <c r="H823" t="s">
        <v>333</v>
      </c>
      <c r="K823" t="s">
        <v>364</v>
      </c>
      <c r="L823" t="s">
        <v>303</v>
      </c>
      <c r="M823" t="s">
        <v>323</v>
      </c>
      <c r="N823" t="s">
        <v>63</v>
      </c>
      <c r="O823" s="110">
        <v>29.9</v>
      </c>
      <c r="R823" s="110">
        <v>344.89</v>
      </c>
      <c r="S823" s="110">
        <v>107.5</v>
      </c>
      <c r="T823" s="110">
        <v>0</v>
      </c>
      <c r="U823" s="110">
        <v>42.99</v>
      </c>
      <c r="X823">
        <v>144.49999999999997</v>
      </c>
      <c r="Y823">
        <v>49.9</v>
      </c>
      <c r="Z823">
        <v>49.9</v>
      </c>
      <c r="AA823">
        <v>0</v>
      </c>
      <c r="AB823" t="s">
        <v>363</v>
      </c>
      <c r="AF823" t="s">
        <v>1781</v>
      </c>
      <c r="AG823" t="s">
        <v>1781</v>
      </c>
      <c r="AH823" t="s">
        <v>1606</v>
      </c>
      <c r="AI823">
        <v>99999</v>
      </c>
      <c r="AJ823">
        <v>99999</v>
      </c>
      <c r="AK823">
        <v>699</v>
      </c>
      <c r="AL823" t="b">
        <v>1</v>
      </c>
      <c r="AM823" t="b">
        <v>1</v>
      </c>
      <c r="AN823" t="b">
        <v>0</v>
      </c>
      <c r="AO823">
        <v>99999</v>
      </c>
      <c r="AP823" t="s">
        <v>64</v>
      </c>
      <c r="AR823" t="b">
        <v>0</v>
      </c>
      <c r="AS823">
        <v>12</v>
      </c>
      <c r="AT823" t="s">
        <v>327</v>
      </c>
      <c r="AV823" t="s">
        <v>1785</v>
      </c>
      <c r="CRL823">
        <v>12</v>
      </c>
    </row>
    <row r="824" spans="1:48 2508:2508" x14ac:dyDescent="0.25">
      <c r="A824" t="s">
        <v>3323</v>
      </c>
      <c r="B824" t="s">
        <v>302</v>
      </c>
      <c r="C824" t="s">
        <v>62</v>
      </c>
      <c r="D824">
        <v>99999</v>
      </c>
      <c r="F824" s="109">
        <v>14000</v>
      </c>
      <c r="G824" t="b">
        <v>0</v>
      </c>
      <c r="H824" t="s">
        <v>333</v>
      </c>
      <c r="K824" t="s">
        <v>364</v>
      </c>
      <c r="L824" t="s">
        <v>303</v>
      </c>
      <c r="M824" t="s">
        <v>323</v>
      </c>
      <c r="N824" t="s">
        <v>63</v>
      </c>
      <c r="O824" s="110">
        <v>39.9</v>
      </c>
      <c r="R824" s="110">
        <v>315.59000000000003</v>
      </c>
      <c r="S824" s="110">
        <v>107.5</v>
      </c>
      <c r="T824" s="110">
        <v>0</v>
      </c>
      <c r="U824" s="110">
        <v>34.99</v>
      </c>
      <c r="X824">
        <v>123.20000000000002</v>
      </c>
      <c r="Y824">
        <v>49.9</v>
      </c>
      <c r="Z824">
        <v>49.9</v>
      </c>
      <c r="AA824">
        <v>0</v>
      </c>
      <c r="AB824" t="s">
        <v>363</v>
      </c>
      <c r="AF824" t="s">
        <v>1700</v>
      </c>
      <c r="AG824" t="s">
        <v>1700</v>
      </c>
      <c r="AH824" t="s">
        <v>1606</v>
      </c>
      <c r="AI824">
        <v>99999</v>
      </c>
      <c r="AJ824">
        <v>99999</v>
      </c>
      <c r="AK824">
        <v>699</v>
      </c>
      <c r="AL824" t="b">
        <v>1</v>
      </c>
      <c r="AM824" t="b">
        <v>1</v>
      </c>
      <c r="AN824" t="b">
        <v>0</v>
      </c>
      <c r="AO824">
        <v>99999</v>
      </c>
      <c r="AP824" t="s">
        <v>64</v>
      </c>
      <c r="AR824" t="b">
        <v>0</v>
      </c>
      <c r="AS824">
        <v>12</v>
      </c>
      <c r="AT824" t="s">
        <v>327</v>
      </c>
      <c r="AV824" t="s">
        <v>1704</v>
      </c>
      <c r="CRL824">
        <v>12</v>
      </c>
    </row>
    <row r="825" spans="1:48 2508:2508" x14ac:dyDescent="0.25">
      <c r="A825" t="s">
        <v>3323</v>
      </c>
      <c r="B825" t="s">
        <v>302</v>
      </c>
      <c r="C825" t="s">
        <v>62</v>
      </c>
      <c r="D825">
        <v>99999</v>
      </c>
      <c r="F825" s="109">
        <v>14000</v>
      </c>
      <c r="G825" t="b">
        <v>0</v>
      </c>
      <c r="H825" t="s">
        <v>333</v>
      </c>
      <c r="K825" t="s">
        <v>364</v>
      </c>
      <c r="L825" t="s">
        <v>303</v>
      </c>
      <c r="M825" t="s">
        <v>323</v>
      </c>
      <c r="N825" t="s">
        <v>63</v>
      </c>
      <c r="O825" s="110">
        <v>39.9</v>
      </c>
      <c r="R825" s="110">
        <v>344.89</v>
      </c>
      <c r="S825" s="110">
        <v>107.5</v>
      </c>
      <c r="T825" s="110">
        <v>0</v>
      </c>
      <c r="U825" s="110">
        <v>42.99</v>
      </c>
      <c r="X825">
        <v>144.49999999999997</v>
      </c>
      <c r="Y825">
        <v>49.9</v>
      </c>
      <c r="Z825">
        <v>49.9</v>
      </c>
      <c r="AA825">
        <v>0</v>
      </c>
      <c r="AB825" t="s">
        <v>363</v>
      </c>
      <c r="AF825" t="s">
        <v>1848</v>
      </c>
      <c r="AG825" t="s">
        <v>1848</v>
      </c>
      <c r="AH825" t="s">
        <v>1606</v>
      </c>
      <c r="AI825">
        <v>99999</v>
      </c>
      <c r="AJ825">
        <v>99999</v>
      </c>
      <c r="AK825">
        <v>699</v>
      </c>
      <c r="AL825" t="b">
        <v>1</v>
      </c>
      <c r="AM825" t="b">
        <v>1</v>
      </c>
      <c r="AN825" t="b">
        <v>0</v>
      </c>
      <c r="AO825">
        <v>99999</v>
      </c>
      <c r="AP825" t="s">
        <v>64</v>
      </c>
      <c r="AR825" t="b">
        <v>0</v>
      </c>
      <c r="AS825">
        <v>12</v>
      </c>
      <c r="AT825" t="s">
        <v>327</v>
      </c>
      <c r="AV825" t="s">
        <v>1852</v>
      </c>
      <c r="CRL825">
        <v>12</v>
      </c>
    </row>
    <row r="826" spans="1:48 2508:2508" x14ac:dyDescent="0.25">
      <c r="A826" t="s">
        <v>3323</v>
      </c>
      <c r="B826" t="s">
        <v>302</v>
      </c>
      <c r="C826" t="s">
        <v>62</v>
      </c>
      <c r="D826">
        <v>99999</v>
      </c>
      <c r="F826" s="109">
        <v>14000</v>
      </c>
      <c r="G826" t="b">
        <v>0</v>
      </c>
      <c r="H826" t="s">
        <v>333</v>
      </c>
      <c r="K826" t="s">
        <v>364</v>
      </c>
      <c r="L826" t="s">
        <v>303</v>
      </c>
      <c r="M826" t="s">
        <v>323</v>
      </c>
      <c r="N826" t="s">
        <v>63</v>
      </c>
      <c r="O826" s="110">
        <v>49.9</v>
      </c>
      <c r="R826" s="110">
        <v>338.09000000000003</v>
      </c>
      <c r="S826" s="110">
        <v>130</v>
      </c>
      <c r="T826" s="110">
        <v>0</v>
      </c>
      <c r="U826" s="110">
        <v>34.99</v>
      </c>
      <c r="X826">
        <v>123.20000000000002</v>
      </c>
      <c r="Y826">
        <v>49.9</v>
      </c>
      <c r="Z826">
        <v>49.9</v>
      </c>
      <c r="AA826">
        <v>0</v>
      </c>
      <c r="AB826" t="s">
        <v>363</v>
      </c>
      <c r="AF826" t="s">
        <v>3060</v>
      </c>
      <c r="AG826" t="s">
        <v>3060</v>
      </c>
      <c r="AH826" t="s">
        <v>1606</v>
      </c>
      <c r="AI826">
        <v>99999</v>
      </c>
      <c r="AJ826">
        <v>99999</v>
      </c>
      <c r="AK826">
        <v>699</v>
      </c>
      <c r="AL826" t="b">
        <v>1</v>
      </c>
      <c r="AM826" t="b">
        <v>1</v>
      </c>
      <c r="AN826" t="b">
        <v>0</v>
      </c>
      <c r="AO826">
        <v>99999</v>
      </c>
      <c r="AP826" t="s">
        <v>64</v>
      </c>
      <c r="AR826" t="b">
        <v>0</v>
      </c>
      <c r="AS826">
        <v>12</v>
      </c>
      <c r="AT826" t="s">
        <v>327</v>
      </c>
      <c r="AV826" t="s">
        <v>3064</v>
      </c>
      <c r="CRL826">
        <v>12</v>
      </c>
    </row>
    <row r="827" spans="1:48 2508:2508" x14ac:dyDescent="0.25">
      <c r="A827" t="s">
        <v>3323</v>
      </c>
      <c r="B827" t="s">
        <v>302</v>
      </c>
      <c r="C827" t="s">
        <v>62</v>
      </c>
      <c r="D827">
        <v>99999</v>
      </c>
      <c r="F827" s="109">
        <v>14000</v>
      </c>
      <c r="G827" t="b">
        <v>0</v>
      </c>
      <c r="H827" t="s">
        <v>333</v>
      </c>
      <c r="K827" t="s">
        <v>364</v>
      </c>
      <c r="L827" t="s">
        <v>303</v>
      </c>
      <c r="M827" t="s">
        <v>323</v>
      </c>
      <c r="N827" t="s">
        <v>63</v>
      </c>
      <c r="O827" s="110">
        <v>49.9</v>
      </c>
      <c r="R827" s="110">
        <v>367.39</v>
      </c>
      <c r="S827" s="110">
        <v>130</v>
      </c>
      <c r="T827" s="110">
        <v>0</v>
      </c>
      <c r="U827" s="110">
        <v>42.99</v>
      </c>
      <c r="X827">
        <v>144.49999999999997</v>
      </c>
      <c r="Y827">
        <v>49.9</v>
      </c>
      <c r="Z827">
        <v>49.9</v>
      </c>
      <c r="AA827">
        <v>0</v>
      </c>
      <c r="AB827" t="s">
        <v>363</v>
      </c>
      <c r="AF827" t="s">
        <v>3134</v>
      </c>
      <c r="AG827" t="s">
        <v>3134</v>
      </c>
      <c r="AH827" t="s">
        <v>1606</v>
      </c>
      <c r="AI827">
        <v>99999</v>
      </c>
      <c r="AJ827">
        <v>99999</v>
      </c>
      <c r="AK827">
        <v>699</v>
      </c>
      <c r="AL827" t="b">
        <v>1</v>
      </c>
      <c r="AM827" t="b">
        <v>1</v>
      </c>
      <c r="AN827" t="b">
        <v>0</v>
      </c>
      <c r="AO827">
        <v>99999</v>
      </c>
      <c r="AP827" t="s">
        <v>64</v>
      </c>
      <c r="AR827" t="b">
        <v>0</v>
      </c>
      <c r="AS827">
        <v>12</v>
      </c>
      <c r="AT827" t="s">
        <v>327</v>
      </c>
      <c r="AV827" t="s">
        <v>3138</v>
      </c>
      <c r="CRL827">
        <v>12</v>
      </c>
    </row>
    <row r="828" spans="1:48 2508:2508" x14ac:dyDescent="0.25">
      <c r="A828" t="s">
        <v>3323</v>
      </c>
      <c r="B828" t="s">
        <v>302</v>
      </c>
      <c r="C828" t="s">
        <v>62</v>
      </c>
      <c r="D828">
        <v>99999</v>
      </c>
      <c r="F828" s="109">
        <v>14000</v>
      </c>
      <c r="G828" t="b">
        <v>0</v>
      </c>
      <c r="H828" t="s">
        <v>333</v>
      </c>
      <c r="K828" t="s">
        <v>379</v>
      </c>
      <c r="L828" t="s">
        <v>303</v>
      </c>
      <c r="M828" t="s">
        <v>323</v>
      </c>
      <c r="N828" t="s">
        <v>63</v>
      </c>
      <c r="O828" s="110">
        <v>29.9</v>
      </c>
      <c r="R828" s="110">
        <v>325.59000000000003</v>
      </c>
      <c r="S828" s="110">
        <v>107.5</v>
      </c>
      <c r="T828" s="110">
        <v>0</v>
      </c>
      <c r="U828" s="110">
        <v>34.99</v>
      </c>
      <c r="X828">
        <v>123.20000000000002</v>
      </c>
      <c r="Y828">
        <v>59.9</v>
      </c>
      <c r="Z828">
        <v>59.9</v>
      </c>
      <c r="AA828">
        <v>0</v>
      </c>
      <c r="AB828" t="s">
        <v>363</v>
      </c>
      <c r="AF828" t="s">
        <v>1633</v>
      </c>
      <c r="AG828" t="s">
        <v>1633</v>
      </c>
      <c r="AH828" t="s">
        <v>1606</v>
      </c>
      <c r="AI828">
        <v>99999</v>
      </c>
      <c r="AJ828">
        <v>99999</v>
      </c>
      <c r="AK828">
        <v>699</v>
      </c>
      <c r="AL828" t="b">
        <v>1</v>
      </c>
      <c r="AM828" t="b">
        <v>1</v>
      </c>
      <c r="AN828" t="b">
        <v>0</v>
      </c>
      <c r="AO828">
        <v>99999</v>
      </c>
      <c r="AP828" t="s">
        <v>64</v>
      </c>
      <c r="AR828" t="b">
        <v>0</v>
      </c>
      <c r="AS828">
        <v>12</v>
      </c>
      <c r="AT828" t="s">
        <v>327</v>
      </c>
      <c r="AV828" t="s">
        <v>1650</v>
      </c>
      <c r="CRL828">
        <v>12</v>
      </c>
    </row>
    <row r="829" spans="1:48 2508:2508" x14ac:dyDescent="0.25">
      <c r="A829" t="s">
        <v>3323</v>
      </c>
      <c r="B829" t="s">
        <v>302</v>
      </c>
      <c r="C829" t="s">
        <v>62</v>
      </c>
      <c r="D829">
        <v>99999</v>
      </c>
      <c r="F829" s="109">
        <v>14000</v>
      </c>
      <c r="G829" t="b">
        <v>0</v>
      </c>
      <c r="H829" t="s">
        <v>333</v>
      </c>
      <c r="K829" t="s">
        <v>379</v>
      </c>
      <c r="L829" t="s">
        <v>303</v>
      </c>
      <c r="M829" t="s">
        <v>323</v>
      </c>
      <c r="N829" t="s">
        <v>63</v>
      </c>
      <c r="O829" s="110">
        <v>29.9</v>
      </c>
      <c r="R829" s="110">
        <v>354.89</v>
      </c>
      <c r="S829" s="110">
        <v>107.5</v>
      </c>
      <c r="T829" s="110">
        <v>0</v>
      </c>
      <c r="U829" s="110">
        <v>42.99</v>
      </c>
      <c r="X829">
        <v>144.49999999999997</v>
      </c>
      <c r="Y829">
        <v>59.9</v>
      </c>
      <c r="Z829">
        <v>59.9</v>
      </c>
      <c r="AA829">
        <v>0</v>
      </c>
      <c r="AB829" t="s">
        <v>363</v>
      </c>
      <c r="AF829" t="s">
        <v>1781</v>
      </c>
      <c r="AG829" t="s">
        <v>1781</v>
      </c>
      <c r="AH829" t="s">
        <v>1606</v>
      </c>
      <c r="AI829">
        <v>99999</v>
      </c>
      <c r="AJ829">
        <v>99999</v>
      </c>
      <c r="AK829">
        <v>699</v>
      </c>
      <c r="AL829" t="b">
        <v>1</v>
      </c>
      <c r="AM829" t="b">
        <v>1</v>
      </c>
      <c r="AN829" t="b">
        <v>0</v>
      </c>
      <c r="AO829">
        <v>99999</v>
      </c>
      <c r="AP829" t="s">
        <v>64</v>
      </c>
      <c r="AR829" t="b">
        <v>0</v>
      </c>
      <c r="AS829">
        <v>12</v>
      </c>
      <c r="AT829" t="s">
        <v>327</v>
      </c>
      <c r="AV829" t="s">
        <v>1798</v>
      </c>
      <c r="CRL829">
        <v>12</v>
      </c>
    </row>
    <row r="830" spans="1:48 2508:2508" x14ac:dyDescent="0.25">
      <c r="A830" t="s">
        <v>3323</v>
      </c>
      <c r="B830" t="s">
        <v>302</v>
      </c>
      <c r="C830" t="s">
        <v>62</v>
      </c>
      <c r="D830">
        <v>99999</v>
      </c>
      <c r="F830" s="109">
        <v>14000</v>
      </c>
      <c r="G830" t="b">
        <v>0</v>
      </c>
      <c r="H830" t="s">
        <v>333</v>
      </c>
      <c r="K830" t="s">
        <v>379</v>
      </c>
      <c r="L830" t="s">
        <v>303</v>
      </c>
      <c r="M830" t="s">
        <v>323</v>
      </c>
      <c r="N830" t="s">
        <v>63</v>
      </c>
      <c r="O830" s="110">
        <v>39.9</v>
      </c>
      <c r="R830" s="110">
        <v>325.59000000000003</v>
      </c>
      <c r="S830" s="110">
        <v>107.5</v>
      </c>
      <c r="T830" s="110">
        <v>0</v>
      </c>
      <c r="U830" s="110">
        <v>34.99</v>
      </c>
      <c r="X830">
        <v>123.20000000000002</v>
      </c>
      <c r="Y830">
        <v>59.9</v>
      </c>
      <c r="Z830">
        <v>59.9</v>
      </c>
      <c r="AA830">
        <v>0</v>
      </c>
      <c r="AB830" t="s">
        <v>363</v>
      </c>
      <c r="AF830" t="s">
        <v>1700</v>
      </c>
      <c r="AG830" t="s">
        <v>1700</v>
      </c>
      <c r="AH830" t="s">
        <v>1606</v>
      </c>
      <c r="AI830">
        <v>99999</v>
      </c>
      <c r="AJ830">
        <v>99999</v>
      </c>
      <c r="AK830">
        <v>699</v>
      </c>
      <c r="AL830" t="b">
        <v>1</v>
      </c>
      <c r="AM830" t="b">
        <v>1</v>
      </c>
      <c r="AN830" t="b">
        <v>0</v>
      </c>
      <c r="AO830">
        <v>99999</v>
      </c>
      <c r="AP830" t="s">
        <v>64</v>
      </c>
      <c r="AR830" t="b">
        <v>0</v>
      </c>
      <c r="AS830">
        <v>12</v>
      </c>
      <c r="AT830" t="s">
        <v>327</v>
      </c>
      <c r="AV830" t="s">
        <v>1717</v>
      </c>
      <c r="CRL830">
        <v>12</v>
      </c>
    </row>
    <row r="831" spans="1:48 2508:2508" x14ac:dyDescent="0.25">
      <c r="A831" t="s">
        <v>3323</v>
      </c>
      <c r="B831" t="s">
        <v>302</v>
      </c>
      <c r="C831" t="s">
        <v>62</v>
      </c>
      <c r="D831">
        <v>99999</v>
      </c>
      <c r="F831" s="109">
        <v>14000</v>
      </c>
      <c r="G831" t="b">
        <v>0</v>
      </c>
      <c r="H831" t="s">
        <v>333</v>
      </c>
      <c r="K831" t="s">
        <v>379</v>
      </c>
      <c r="L831" t="s">
        <v>303</v>
      </c>
      <c r="M831" t="s">
        <v>323</v>
      </c>
      <c r="N831" t="s">
        <v>63</v>
      </c>
      <c r="O831" s="110">
        <v>39.9</v>
      </c>
      <c r="R831" s="110">
        <v>354.89</v>
      </c>
      <c r="S831" s="110">
        <v>107.5</v>
      </c>
      <c r="T831" s="110">
        <v>0</v>
      </c>
      <c r="U831" s="110">
        <v>42.99</v>
      </c>
      <c r="X831">
        <v>144.49999999999997</v>
      </c>
      <c r="Y831">
        <v>59.9</v>
      </c>
      <c r="Z831">
        <v>59.9</v>
      </c>
      <c r="AA831">
        <v>0</v>
      </c>
      <c r="AB831" t="s">
        <v>363</v>
      </c>
      <c r="AF831" t="s">
        <v>1848</v>
      </c>
      <c r="AG831" t="s">
        <v>1848</v>
      </c>
      <c r="AH831" t="s">
        <v>1606</v>
      </c>
      <c r="AI831">
        <v>99999</v>
      </c>
      <c r="AJ831">
        <v>99999</v>
      </c>
      <c r="AK831">
        <v>699</v>
      </c>
      <c r="AL831" t="b">
        <v>1</v>
      </c>
      <c r="AM831" t="b">
        <v>1</v>
      </c>
      <c r="AN831" t="b">
        <v>0</v>
      </c>
      <c r="AO831">
        <v>99999</v>
      </c>
      <c r="AP831" t="s">
        <v>64</v>
      </c>
      <c r="AR831" t="b">
        <v>0</v>
      </c>
      <c r="AS831">
        <v>12</v>
      </c>
      <c r="AT831" t="s">
        <v>327</v>
      </c>
      <c r="AV831" t="s">
        <v>1865</v>
      </c>
      <c r="CRL831">
        <v>12</v>
      </c>
    </row>
    <row r="832" spans="1:48 2508:2508" x14ac:dyDescent="0.25">
      <c r="A832" t="s">
        <v>3323</v>
      </c>
      <c r="B832" t="s">
        <v>302</v>
      </c>
      <c r="C832" t="s">
        <v>62</v>
      </c>
      <c r="D832">
        <v>99999</v>
      </c>
      <c r="F832" s="109">
        <v>14000</v>
      </c>
      <c r="G832" t="b">
        <v>0</v>
      </c>
      <c r="H832" t="s">
        <v>333</v>
      </c>
      <c r="K832" t="s">
        <v>379</v>
      </c>
      <c r="L832" t="s">
        <v>303</v>
      </c>
      <c r="M832" t="s">
        <v>323</v>
      </c>
      <c r="N832" t="s">
        <v>63</v>
      </c>
      <c r="O832" s="110">
        <v>49.9</v>
      </c>
      <c r="R832" s="110">
        <v>348.09000000000003</v>
      </c>
      <c r="S832" s="110">
        <v>130</v>
      </c>
      <c r="T832" s="110">
        <v>0</v>
      </c>
      <c r="U832" s="110">
        <v>34.99</v>
      </c>
      <c r="X832">
        <v>123.20000000000002</v>
      </c>
      <c r="Y832">
        <v>59.9</v>
      </c>
      <c r="Z832">
        <v>59.9</v>
      </c>
      <c r="AA832">
        <v>0</v>
      </c>
      <c r="AB832" t="s">
        <v>363</v>
      </c>
      <c r="AF832" t="s">
        <v>3060</v>
      </c>
      <c r="AG832" t="s">
        <v>3060</v>
      </c>
      <c r="AH832" t="s">
        <v>1606</v>
      </c>
      <c r="AI832">
        <v>99999</v>
      </c>
      <c r="AJ832">
        <v>99999</v>
      </c>
      <c r="AK832">
        <v>699</v>
      </c>
      <c r="AL832" t="b">
        <v>1</v>
      </c>
      <c r="AM832" t="b">
        <v>1</v>
      </c>
      <c r="AN832" t="b">
        <v>0</v>
      </c>
      <c r="AO832">
        <v>99999</v>
      </c>
      <c r="AP832" t="s">
        <v>64</v>
      </c>
      <c r="AR832" t="b">
        <v>0</v>
      </c>
      <c r="AS832">
        <v>12</v>
      </c>
      <c r="AT832" t="s">
        <v>327</v>
      </c>
      <c r="AV832" t="s">
        <v>3077</v>
      </c>
      <c r="CRL832">
        <v>12</v>
      </c>
    </row>
    <row r="833" spans="1:48 2508:2508" x14ac:dyDescent="0.25">
      <c r="A833" t="s">
        <v>3323</v>
      </c>
      <c r="B833" t="s">
        <v>302</v>
      </c>
      <c r="C833" t="s">
        <v>62</v>
      </c>
      <c r="D833">
        <v>99999</v>
      </c>
      <c r="F833" s="109">
        <v>14000</v>
      </c>
      <c r="G833" t="b">
        <v>0</v>
      </c>
      <c r="H833" t="s">
        <v>333</v>
      </c>
      <c r="K833" t="s">
        <v>379</v>
      </c>
      <c r="L833" t="s">
        <v>303</v>
      </c>
      <c r="M833" t="s">
        <v>323</v>
      </c>
      <c r="N833" t="s">
        <v>63</v>
      </c>
      <c r="O833" s="110">
        <v>49.9</v>
      </c>
      <c r="R833" s="110">
        <v>377.39</v>
      </c>
      <c r="S833" s="110">
        <v>130</v>
      </c>
      <c r="T833" s="110">
        <v>0</v>
      </c>
      <c r="U833" s="110">
        <v>42.99</v>
      </c>
      <c r="X833">
        <v>144.49999999999997</v>
      </c>
      <c r="Y833">
        <v>59.9</v>
      </c>
      <c r="Z833">
        <v>59.9</v>
      </c>
      <c r="AA833">
        <v>0</v>
      </c>
      <c r="AB833" t="s">
        <v>363</v>
      </c>
      <c r="AF833" t="s">
        <v>3134</v>
      </c>
      <c r="AG833" t="s">
        <v>3134</v>
      </c>
      <c r="AH833" t="s">
        <v>1606</v>
      </c>
      <c r="AI833">
        <v>99999</v>
      </c>
      <c r="AJ833">
        <v>99999</v>
      </c>
      <c r="AK833">
        <v>699</v>
      </c>
      <c r="AL833" t="b">
        <v>1</v>
      </c>
      <c r="AM833" t="b">
        <v>1</v>
      </c>
      <c r="AN833" t="b">
        <v>0</v>
      </c>
      <c r="AO833">
        <v>99999</v>
      </c>
      <c r="AP833" t="s">
        <v>64</v>
      </c>
      <c r="AR833" t="b">
        <v>0</v>
      </c>
      <c r="AS833">
        <v>12</v>
      </c>
      <c r="AT833" t="s">
        <v>327</v>
      </c>
      <c r="AV833" t="s">
        <v>3151</v>
      </c>
      <c r="CRL833">
        <v>12</v>
      </c>
    </row>
    <row r="834" spans="1:48 2508:2508" x14ac:dyDescent="0.25">
      <c r="A834" t="s">
        <v>3323</v>
      </c>
      <c r="B834" t="s">
        <v>302</v>
      </c>
      <c r="C834" t="s">
        <v>62</v>
      </c>
      <c r="D834">
        <v>99999</v>
      </c>
      <c r="F834" s="109">
        <v>14000</v>
      </c>
      <c r="G834" t="b">
        <v>0</v>
      </c>
      <c r="H834" t="s">
        <v>333</v>
      </c>
      <c r="K834" t="s">
        <v>61</v>
      </c>
      <c r="L834" t="s">
        <v>303</v>
      </c>
      <c r="M834" t="s">
        <v>323</v>
      </c>
      <c r="N834" t="s">
        <v>63</v>
      </c>
      <c r="O834" s="110">
        <v>29.9</v>
      </c>
      <c r="R834" s="110">
        <v>310.59000000000003</v>
      </c>
      <c r="S834" s="110">
        <v>107.5</v>
      </c>
      <c r="T834" s="110">
        <v>0</v>
      </c>
      <c r="U834" s="110">
        <v>34.99</v>
      </c>
      <c r="X834">
        <v>123.20000000000002</v>
      </c>
      <c r="Y834">
        <v>44.9</v>
      </c>
      <c r="Z834">
        <v>44.9</v>
      </c>
      <c r="AA834">
        <v>0</v>
      </c>
      <c r="AB834" t="s">
        <v>324</v>
      </c>
      <c r="AF834" t="s">
        <v>1605</v>
      </c>
      <c r="AG834" t="s">
        <v>1605</v>
      </c>
      <c r="AH834" t="s">
        <v>1606</v>
      </c>
      <c r="AI834">
        <v>99999</v>
      </c>
      <c r="AJ834">
        <v>99999</v>
      </c>
      <c r="AK834">
        <v>699</v>
      </c>
      <c r="AL834" t="b">
        <v>1</v>
      </c>
      <c r="AM834" t="b">
        <v>1</v>
      </c>
      <c r="AN834" t="b">
        <v>0</v>
      </c>
      <c r="AO834">
        <v>99999</v>
      </c>
      <c r="AP834" t="s">
        <v>64</v>
      </c>
      <c r="AR834" t="b">
        <v>0</v>
      </c>
      <c r="AS834">
        <v>12</v>
      </c>
      <c r="AT834" t="s">
        <v>327</v>
      </c>
      <c r="AV834" t="s">
        <v>1610</v>
      </c>
      <c r="CRL834">
        <v>12</v>
      </c>
    </row>
    <row r="835" spans="1:48 2508:2508" x14ac:dyDescent="0.25">
      <c r="A835" t="s">
        <v>3323</v>
      </c>
      <c r="B835" t="s">
        <v>302</v>
      </c>
      <c r="C835" t="s">
        <v>62</v>
      </c>
      <c r="D835">
        <v>99999</v>
      </c>
      <c r="F835" s="109">
        <v>14000</v>
      </c>
      <c r="G835" t="b">
        <v>0</v>
      </c>
      <c r="H835" t="s">
        <v>333</v>
      </c>
      <c r="K835" t="s">
        <v>61</v>
      </c>
      <c r="L835" t="s">
        <v>303</v>
      </c>
      <c r="M835" t="s">
        <v>323</v>
      </c>
      <c r="N835" t="s">
        <v>63</v>
      </c>
      <c r="O835" s="110">
        <v>29.9</v>
      </c>
      <c r="R835" s="110">
        <v>339.89</v>
      </c>
      <c r="S835" s="110">
        <v>107.5</v>
      </c>
      <c r="T835" s="110">
        <v>0</v>
      </c>
      <c r="U835" s="110">
        <v>42.99</v>
      </c>
      <c r="X835">
        <v>144.49999999999997</v>
      </c>
      <c r="Y835">
        <v>44.9</v>
      </c>
      <c r="Z835">
        <v>44.9</v>
      </c>
      <c r="AA835">
        <v>0</v>
      </c>
      <c r="AB835" t="s">
        <v>324</v>
      </c>
      <c r="AF835" t="s">
        <v>1754</v>
      </c>
      <c r="AG835" t="s">
        <v>1754</v>
      </c>
      <c r="AH835" t="s">
        <v>1606</v>
      </c>
      <c r="AI835">
        <v>99999</v>
      </c>
      <c r="AJ835">
        <v>99999</v>
      </c>
      <c r="AK835">
        <v>699</v>
      </c>
      <c r="AL835" t="b">
        <v>1</v>
      </c>
      <c r="AM835" t="b">
        <v>1</v>
      </c>
      <c r="AN835" t="b">
        <v>0</v>
      </c>
      <c r="AO835">
        <v>99999</v>
      </c>
      <c r="AP835" t="s">
        <v>64</v>
      </c>
      <c r="AR835" t="b">
        <v>0</v>
      </c>
      <c r="AS835">
        <v>12</v>
      </c>
      <c r="AT835" t="s">
        <v>327</v>
      </c>
      <c r="AV835" t="s">
        <v>1758</v>
      </c>
      <c r="CRL835">
        <v>12</v>
      </c>
    </row>
    <row r="836" spans="1:48 2508:2508" x14ac:dyDescent="0.25">
      <c r="A836" t="s">
        <v>3323</v>
      </c>
      <c r="B836" t="s">
        <v>302</v>
      </c>
      <c r="C836" t="s">
        <v>62</v>
      </c>
      <c r="D836">
        <v>99999</v>
      </c>
      <c r="F836" s="109">
        <v>14000</v>
      </c>
      <c r="G836" t="b">
        <v>0</v>
      </c>
      <c r="H836" t="s">
        <v>333</v>
      </c>
      <c r="K836" t="s">
        <v>61</v>
      </c>
      <c r="L836" t="s">
        <v>303</v>
      </c>
      <c r="M836" t="s">
        <v>323</v>
      </c>
      <c r="N836" t="s">
        <v>63</v>
      </c>
      <c r="O836" s="110">
        <v>39.9</v>
      </c>
      <c r="R836" s="110">
        <v>310.59000000000003</v>
      </c>
      <c r="S836" s="110">
        <v>107.5</v>
      </c>
      <c r="T836" s="110">
        <v>0</v>
      </c>
      <c r="U836" s="110">
        <v>34.99</v>
      </c>
      <c r="X836">
        <v>123.20000000000002</v>
      </c>
      <c r="Y836">
        <v>44.9</v>
      </c>
      <c r="Z836">
        <v>44.9</v>
      </c>
      <c r="AA836">
        <v>0</v>
      </c>
      <c r="AB836" t="s">
        <v>324</v>
      </c>
      <c r="AF836" t="s">
        <v>1673</v>
      </c>
      <c r="AG836" t="s">
        <v>1673</v>
      </c>
      <c r="AH836" t="s">
        <v>1606</v>
      </c>
      <c r="AI836">
        <v>99999</v>
      </c>
      <c r="AJ836">
        <v>99999</v>
      </c>
      <c r="AK836">
        <v>699</v>
      </c>
      <c r="AL836" t="b">
        <v>1</v>
      </c>
      <c r="AM836" t="b">
        <v>1</v>
      </c>
      <c r="AN836" t="b">
        <v>0</v>
      </c>
      <c r="AO836">
        <v>99999</v>
      </c>
      <c r="AP836" t="s">
        <v>64</v>
      </c>
      <c r="AR836" t="b">
        <v>0</v>
      </c>
      <c r="AS836">
        <v>12</v>
      </c>
      <c r="AT836" t="s">
        <v>327</v>
      </c>
      <c r="AV836" t="s">
        <v>1677</v>
      </c>
      <c r="CRL836">
        <v>12</v>
      </c>
    </row>
    <row r="837" spans="1:48 2508:2508" x14ac:dyDescent="0.25">
      <c r="A837" t="s">
        <v>3323</v>
      </c>
      <c r="B837" t="s">
        <v>302</v>
      </c>
      <c r="C837" t="s">
        <v>62</v>
      </c>
      <c r="D837">
        <v>99999</v>
      </c>
      <c r="F837" s="109">
        <v>14000</v>
      </c>
      <c r="G837" t="b">
        <v>0</v>
      </c>
      <c r="H837" t="s">
        <v>333</v>
      </c>
      <c r="K837" t="s">
        <v>61</v>
      </c>
      <c r="L837" t="s">
        <v>303</v>
      </c>
      <c r="M837" t="s">
        <v>323</v>
      </c>
      <c r="N837" t="s">
        <v>63</v>
      </c>
      <c r="O837" s="110">
        <v>39.9</v>
      </c>
      <c r="R837" s="110">
        <v>339.89</v>
      </c>
      <c r="S837" s="110">
        <v>107.5</v>
      </c>
      <c r="T837" s="110">
        <v>0</v>
      </c>
      <c r="U837" s="110">
        <v>42.99</v>
      </c>
      <c r="X837">
        <v>144.49999999999997</v>
      </c>
      <c r="Y837">
        <v>44.9</v>
      </c>
      <c r="Z837">
        <v>44.9</v>
      </c>
      <c r="AA837">
        <v>0</v>
      </c>
      <c r="AB837" t="s">
        <v>324</v>
      </c>
      <c r="AF837" t="s">
        <v>1821</v>
      </c>
      <c r="AG837" t="s">
        <v>1821</v>
      </c>
      <c r="AH837" t="s">
        <v>1606</v>
      </c>
      <c r="AI837">
        <v>99999</v>
      </c>
      <c r="AJ837">
        <v>99999</v>
      </c>
      <c r="AK837">
        <v>699</v>
      </c>
      <c r="AL837" t="b">
        <v>1</v>
      </c>
      <c r="AM837" t="b">
        <v>1</v>
      </c>
      <c r="AN837" t="b">
        <v>0</v>
      </c>
      <c r="AO837">
        <v>99999</v>
      </c>
      <c r="AP837" t="s">
        <v>64</v>
      </c>
      <c r="AR837" t="b">
        <v>0</v>
      </c>
      <c r="AS837">
        <v>12</v>
      </c>
      <c r="AT837" t="s">
        <v>327</v>
      </c>
      <c r="AV837" t="s">
        <v>1825</v>
      </c>
      <c r="CRL837">
        <v>12</v>
      </c>
    </row>
    <row r="838" spans="1:48 2508:2508" x14ac:dyDescent="0.25">
      <c r="A838" t="s">
        <v>3323</v>
      </c>
      <c r="B838" t="s">
        <v>302</v>
      </c>
      <c r="C838" t="s">
        <v>62</v>
      </c>
      <c r="D838">
        <v>99999</v>
      </c>
      <c r="F838" s="109">
        <v>14000</v>
      </c>
      <c r="G838" t="b">
        <v>0</v>
      </c>
      <c r="H838" t="s">
        <v>333</v>
      </c>
      <c r="K838" t="s">
        <v>61</v>
      </c>
      <c r="L838" t="s">
        <v>303</v>
      </c>
      <c r="M838" t="s">
        <v>323</v>
      </c>
      <c r="N838" t="s">
        <v>63</v>
      </c>
      <c r="O838" s="110">
        <v>49.9</v>
      </c>
      <c r="R838" s="110">
        <v>333.09000000000003</v>
      </c>
      <c r="S838" s="110">
        <v>130</v>
      </c>
      <c r="T838" s="110">
        <v>0</v>
      </c>
      <c r="U838" s="110">
        <v>34.99</v>
      </c>
      <c r="X838">
        <v>123.20000000000002</v>
      </c>
      <c r="Y838">
        <v>44.9</v>
      </c>
      <c r="Z838">
        <v>44.9</v>
      </c>
      <c r="AA838">
        <v>0</v>
      </c>
      <c r="AB838" t="s">
        <v>324</v>
      </c>
      <c r="AF838" t="s">
        <v>3033</v>
      </c>
      <c r="AG838" t="s">
        <v>3033</v>
      </c>
      <c r="AH838" t="s">
        <v>1606</v>
      </c>
      <c r="AI838">
        <v>99999</v>
      </c>
      <c r="AJ838">
        <v>99999</v>
      </c>
      <c r="AK838">
        <v>699</v>
      </c>
      <c r="AL838" t="b">
        <v>1</v>
      </c>
      <c r="AM838" t="b">
        <v>1</v>
      </c>
      <c r="AN838" t="b">
        <v>0</v>
      </c>
      <c r="AO838">
        <v>99999</v>
      </c>
      <c r="AP838" t="s">
        <v>64</v>
      </c>
      <c r="AR838" t="b">
        <v>0</v>
      </c>
      <c r="AS838">
        <v>12</v>
      </c>
      <c r="AT838" t="s">
        <v>327</v>
      </c>
      <c r="AV838" t="s">
        <v>3037</v>
      </c>
      <c r="CRL838">
        <v>12</v>
      </c>
    </row>
    <row r="839" spans="1:48 2508:2508" x14ac:dyDescent="0.25">
      <c r="A839" t="s">
        <v>3323</v>
      </c>
      <c r="B839" t="s">
        <v>302</v>
      </c>
      <c r="C839" t="s">
        <v>62</v>
      </c>
      <c r="D839">
        <v>99999</v>
      </c>
      <c r="F839" s="109">
        <v>14000</v>
      </c>
      <c r="G839" t="b">
        <v>0</v>
      </c>
      <c r="H839" t="s">
        <v>333</v>
      </c>
      <c r="K839" t="s">
        <v>61</v>
      </c>
      <c r="L839" t="s">
        <v>303</v>
      </c>
      <c r="M839" t="s">
        <v>323</v>
      </c>
      <c r="N839" t="s">
        <v>63</v>
      </c>
      <c r="O839" s="110">
        <v>49.9</v>
      </c>
      <c r="R839" s="110">
        <v>362.39</v>
      </c>
      <c r="S839" s="110">
        <v>130</v>
      </c>
      <c r="T839" s="110">
        <v>0</v>
      </c>
      <c r="U839" s="110">
        <v>42.99</v>
      </c>
      <c r="X839">
        <v>144.49999999999997</v>
      </c>
      <c r="Y839">
        <v>44.9</v>
      </c>
      <c r="Z839">
        <v>44.9</v>
      </c>
      <c r="AA839">
        <v>0</v>
      </c>
      <c r="AB839" t="s">
        <v>324</v>
      </c>
      <c r="AF839" t="s">
        <v>3107</v>
      </c>
      <c r="AG839" t="s">
        <v>3107</v>
      </c>
      <c r="AH839" t="s">
        <v>1606</v>
      </c>
      <c r="AI839">
        <v>99999</v>
      </c>
      <c r="AJ839">
        <v>99999</v>
      </c>
      <c r="AK839">
        <v>699</v>
      </c>
      <c r="AL839" t="b">
        <v>1</v>
      </c>
      <c r="AM839" t="b">
        <v>1</v>
      </c>
      <c r="AN839" t="b">
        <v>0</v>
      </c>
      <c r="AO839">
        <v>99999</v>
      </c>
      <c r="AP839" t="s">
        <v>64</v>
      </c>
      <c r="AR839" t="b">
        <v>0</v>
      </c>
      <c r="AS839">
        <v>12</v>
      </c>
      <c r="AT839" t="s">
        <v>327</v>
      </c>
      <c r="AV839" t="s">
        <v>3111</v>
      </c>
      <c r="CRL839">
        <v>12</v>
      </c>
    </row>
    <row r="840" spans="1:48 2508:2508" x14ac:dyDescent="0.25">
      <c r="A840" t="s">
        <v>3323</v>
      </c>
      <c r="B840" t="s">
        <v>302</v>
      </c>
      <c r="C840" t="s">
        <v>62</v>
      </c>
      <c r="D840">
        <v>99999</v>
      </c>
      <c r="F840" s="109">
        <v>14000</v>
      </c>
      <c r="G840" t="b">
        <v>0</v>
      </c>
      <c r="H840" t="s">
        <v>315</v>
      </c>
      <c r="K840" t="s">
        <v>349</v>
      </c>
      <c r="L840" t="s">
        <v>303</v>
      </c>
      <c r="M840" t="s">
        <v>323</v>
      </c>
      <c r="N840" t="s">
        <v>63</v>
      </c>
      <c r="O840" s="110">
        <v>29.9</v>
      </c>
      <c r="R840" s="110">
        <v>255.59</v>
      </c>
      <c r="S840" s="110">
        <v>107.5</v>
      </c>
      <c r="T840" s="110">
        <v>0</v>
      </c>
      <c r="U840" s="110">
        <v>34.99</v>
      </c>
      <c r="X840">
        <v>68.200000000000017</v>
      </c>
      <c r="Y840">
        <v>44.9</v>
      </c>
      <c r="Z840">
        <v>44.9</v>
      </c>
      <c r="AA840">
        <v>0</v>
      </c>
      <c r="AB840" t="s">
        <v>324</v>
      </c>
      <c r="AF840" t="s">
        <v>1605</v>
      </c>
      <c r="AG840" t="s">
        <v>1605</v>
      </c>
      <c r="AH840" t="s">
        <v>1606</v>
      </c>
      <c r="AI840">
        <v>99999</v>
      </c>
      <c r="AJ840">
        <v>99999</v>
      </c>
      <c r="AK840">
        <v>699</v>
      </c>
      <c r="AL840" t="b">
        <v>1</v>
      </c>
      <c r="AM840" t="b">
        <v>1</v>
      </c>
      <c r="AN840" t="b">
        <v>0</v>
      </c>
      <c r="AO840">
        <v>99999</v>
      </c>
      <c r="AP840" t="s">
        <v>64</v>
      </c>
      <c r="AR840" t="b">
        <v>0</v>
      </c>
      <c r="AS840">
        <v>12</v>
      </c>
      <c r="AT840" t="s">
        <v>327</v>
      </c>
      <c r="AV840" t="s">
        <v>1620</v>
      </c>
      <c r="CRL840">
        <v>12</v>
      </c>
    </row>
    <row r="841" spans="1:48 2508:2508" x14ac:dyDescent="0.25">
      <c r="A841" t="s">
        <v>3323</v>
      </c>
      <c r="B841" t="s">
        <v>302</v>
      </c>
      <c r="C841" t="s">
        <v>62</v>
      </c>
      <c r="D841">
        <v>99999</v>
      </c>
      <c r="F841" s="109">
        <v>14000</v>
      </c>
      <c r="G841" t="b">
        <v>0</v>
      </c>
      <c r="H841" t="s">
        <v>315</v>
      </c>
      <c r="K841" t="s">
        <v>349</v>
      </c>
      <c r="L841" t="s">
        <v>303</v>
      </c>
      <c r="M841" t="s">
        <v>323</v>
      </c>
      <c r="N841" t="s">
        <v>63</v>
      </c>
      <c r="O841" s="110">
        <v>29.9</v>
      </c>
      <c r="R841" s="110">
        <v>284.89</v>
      </c>
      <c r="S841" s="110">
        <v>107.5</v>
      </c>
      <c r="T841" s="110">
        <v>0</v>
      </c>
      <c r="U841" s="110">
        <v>42.99</v>
      </c>
      <c r="X841">
        <v>89.499999999999972</v>
      </c>
      <c r="Y841">
        <v>44.9</v>
      </c>
      <c r="Z841">
        <v>44.9</v>
      </c>
      <c r="AA841">
        <v>0</v>
      </c>
      <c r="AB841" t="s">
        <v>324</v>
      </c>
      <c r="AF841" t="s">
        <v>1754</v>
      </c>
      <c r="AG841" t="s">
        <v>1754</v>
      </c>
      <c r="AH841" t="s">
        <v>1606</v>
      </c>
      <c r="AI841">
        <v>99999</v>
      </c>
      <c r="AJ841">
        <v>99999</v>
      </c>
      <c r="AK841">
        <v>699</v>
      </c>
      <c r="AL841" t="b">
        <v>1</v>
      </c>
      <c r="AM841" t="b">
        <v>1</v>
      </c>
      <c r="AN841" t="b">
        <v>0</v>
      </c>
      <c r="AO841">
        <v>99999</v>
      </c>
      <c r="AP841" t="s">
        <v>64</v>
      </c>
      <c r="AR841" t="b">
        <v>0</v>
      </c>
      <c r="AS841">
        <v>12</v>
      </c>
      <c r="AT841" t="s">
        <v>327</v>
      </c>
      <c r="AV841" t="s">
        <v>1768</v>
      </c>
      <c r="CRL841">
        <v>12</v>
      </c>
    </row>
    <row r="842" spans="1:48 2508:2508" x14ac:dyDescent="0.25">
      <c r="A842" t="s">
        <v>3323</v>
      </c>
      <c r="B842" t="s">
        <v>302</v>
      </c>
      <c r="C842" t="s">
        <v>62</v>
      </c>
      <c r="D842">
        <v>99999</v>
      </c>
      <c r="F842" s="109">
        <v>14000</v>
      </c>
      <c r="G842" t="b">
        <v>0</v>
      </c>
      <c r="H842" t="s">
        <v>315</v>
      </c>
      <c r="K842" t="s">
        <v>349</v>
      </c>
      <c r="L842" t="s">
        <v>303</v>
      </c>
      <c r="M842" t="s">
        <v>323</v>
      </c>
      <c r="N842" t="s">
        <v>63</v>
      </c>
      <c r="O842" s="110">
        <v>39.9</v>
      </c>
      <c r="R842" s="110">
        <v>255.59</v>
      </c>
      <c r="S842" s="110">
        <v>107.5</v>
      </c>
      <c r="T842" s="110">
        <v>0</v>
      </c>
      <c r="U842" s="110">
        <v>34.99</v>
      </c>
      <c r="X842">
        <v>68.200000000000017</v>
      </c>
      <c r="Y842">
        <v>44.9</v>
      </c>
      <c r="Z842">
        <v>44.9</v>
      </c>
      <c r="AA842">
        <v>0</v>
      </c>
      <c r="AB842" t="s">
        <v>324</v>
      </c>
      <c r="AF842" t="s">
        <v>1673</v>
      </c>
      <c r="AG842" t="s">
        <v>1673</v>
      </c>
      <c r="AH842" t="s">
        <v>1606</v>
      </c>
      <c r="AI842">
        <v>99999</v>
      </c>
      <c r="AJ842">
        <v>99999</v>
      </c>
      <c r="AK842">
        <v>699</v>
      </c>
      <c r="AL842" t="b">
        <v>1</v>
      </c>
      <c r="AM842" t="b">
        <v>1</v>
      </c>
      <c r="AN842" t="b">
        <v>0</v>
      </c>
      <c r="AO842">
        <v>99999</v>
      </c>
      <c r="AP842" t="s">
        <v>64</v>
      </c>
      <c r="AR842" t="b">
        <v>0</v>
      </c>
      <c r="AS842">
        <v>12</v>
      </c>
      <c r="AT842" t="s">
        <v>327</v>
      </c>
      <c r="AV842" t="s">
        <v>1687</v>
      </c>
      <c r="CRL842">
        <v>12</v>
      </c>
    </row>
    <row r="843" spans="1:48 2508:2508" x14ac:dyDescent="0.25">
      <c r="A843" t="s">
        <v>3323</v>
      </c>
      <c r="B843" t="s">
        <v>302</v>
      </c>
      <c r="C843" t="s">
        <v>62</v>
      </c>
      <c r="D843">
        <v>99999</v>
      </c>
      <c r="F843" s="109">
        <v>14000</v>
      </c>
      <c r="G843" t="b">
        <v>0</v>
      </c>
      <c r="H843" t="s">
        <v>315</v>
      </c>
      <c r="K843" t="s">
        <v>349</v>
      </c>
      <c r="L843" t="s">
        <v>303</v>
      </c>
      <c r="M843" t="s">
        <v>323</v>
      </c>
      <c r="N843" t="s">
        <v>63</v>
      </c>
      <c r="O843" s="110">
        <v>39.9</v>
      </c>
      <c r="R843" s="110">
        <v>284.89</v>
      </c>
      <c r="S843" s="110">
        <v>107.5</v>
      </c>
      <c r="T843" s="110">
        <v>0</v>
      </c>
      <c r="U843" s="110">
        <v>42.99</v>
      </c>
      <c r="X843">
        <v>89.499999999999972</v>
      </c>
      <c r="Y843">
        <v>44.9</v>
      </c>
      <c r="Z843">
        <v>44.9</v>
      </c>
      <c r="AA843">
        <v>0</v>
      </c>
      <c r="AB843" t="s">
        <v>324</v>
      </c>
      <c r="AF843" t="s">
        <v>1821</v>
      </c>
      <c r="AG843" t="s">
        <v>1821</v>
      </c>
      <c r="AH843" t="s">
        <v>1606</v>
      </c>
      <c r="AI843">
        <v>99999</v>
      </c>
      <c r="AJ843">
        <v>99999</v>
      </c>
      <c r="AK843">
        <v>699</v>
      </c>
      <c r="AL843" t="b">
        <v>1</v>
      </c>
      <c r="AM843" t="b">
        <v>1</v>
      </c>
      <c r="AN843" t="b">
        <v>0</v>
      </c>
      <c r="AO843">
        <v>99999</v>
      </c>
      <c r="AP843" t="s">
        <v>64</v>
      </c>
      <c r="AR843" t="b">
        <v>0</v>
      </c>
      <c r="AS843">
        <v>12</v>
      </c>
      <c r="AT843" t="s">
        <v>327</v>
      </c>
      <c r="AV843" t="s">
        <v>1835</v>
      </c>
      <c r="CRL843">
        <v>12</v>
      </c>
    </row>
    <row r="844" spans="1:48 2508:2508" x14ac:dyDescent="0.25">
      <c r="A844" t="s">
        <v>3323</v>
      </c>
      <c r="B844" t="s">
        <v>302</v>
      </c>
      <c r="C844" t="s">
        <v>62</v>
      </c>
      <c r="D844">
        <v>99999</v>
      </c>
      <c r="F844" s="109">
        <v>14000</v>
      </c>
      <c r="G844" t="b">
        <v>0</v>
      </c>
      <c r="H844" t="s">
        <v>315</v>
      </c>
      <c r="K844" t="s">
        <v>349</v>
      </c>
      <c r="L844" t="s">
        <v>303</v>
      </c>
      <c r="M844" t="s">
        <v>323</v>
      </c>
      <c r="N844" t="s">
        <v>63</v>
      </c>
      <c r="O844" s="110">
        <v>49.9</v>
      </c>
      <c r="R844" s="110">
        <v>278.09000000000003</v>
      </c>
      <c r="S844" s="110">
        <v>130</v>
      </c>
      <c r="T844" s="110">
        <v>0</v>
      </c>
      <c r="U844" s="110">
        <v>34.99</v>
      </c>
      <c r="X844">
        <v>68.200000000000017</v>
      </c>
      <c r="Y844">
        <v>44.9</v>
      </c>
      <c r="Z844">
        <v>44.9</v>
      </c>
      <c r="AA844">
        <v>0</v>
      </c>
      <c r="AB844" t="s">
        <v>324</v>
      </c>
      <c r="AF844" t="s">
        <v>3033</v>
      </c>
      <c r="AG844" t="s">
        <v>3033</v>
      </c>
      <c r="AH844" t="s">
        <v>1606</v>
      </c>
      <c r="AI844">
        <v>99999</v>
      </c>
      <c r="AJ844">
        <v>99999</v>
      </c>
      <c r="AK844">
        <v>699</v>
      </c>
      <c r="AL844" t="b">
        <v>1</v>
      </c>
      <c r="AM844" t="b">
        <v>1</v>
      </c>
      <c r="AN844" t="b">
        <v>0</v>
      </c>
      <c r="AO844">
        <v>99999</v>
      </c>
      <c r="AP844" t="s">
        <v>64</v>
      </c>
      <c r="AR844" t="b">
        <v>0</v>
      </c>
      <c r="AS844">
        <v>12</v>
      </c>
      <c r="AT844" t="s">
        <v>327</v>
      </c>
      <c r="AV844" t="s">
        <v>3047</v>
      </c>
      <c r="CRL844">
        <v>12</v>
      </c>
    </row>
    <row r="845" spans="1:48 2508:2508" x14ac:dyDescent="0.25">
      <c r="A845" t="s">
        <v>3323</v>
      </c>
      <c r="B845" t="s">
        <v>302</v>
      </c>
      <c r="C845" t="s">
        <v>62</v>
      </c>
      <c r="D845">
        <v>99999</v>
      </c>
      <c r="F845" s="109">
        <v>14000</v>
      </c>
      <c r="G845" t="b">
        <v>0</v>
      </c>
      <c r="H845" t="s">
        <v>315</v>
      </c>
      <c r="K845" t="s">
        <v>349</v>
      </c>
      <c r="L845" t="s">
        <v>303</v>
      </c>
      <c r="M845" t="s">
        <v>323</v>
      </c>
      <c r="N845" t="s">
        <v>63</v>
      </c>
      <c r="O845" s="110">
        <v>49.9</v>
      </c>
      <c r="R845" s="110">
        <v>307.39</v>
      </c>
      <c r="S845" s="110">
        <v>130</v>
      </c>
      <c r="T845" s="110">
        <v>0</v>
      </c>
      <c r="U845" s="110">
        <v>42.99</v>
      </c>
      <c r="X845">
        <v>89.499999999999972</v>
      </c>
      <c r="Y845">
        <v>44.9</v>
      </c>
      <c r="Z845">
        <v>44.9</v>
      </c>
      <c r="AA845">
        <v>0</v>
      </c>
      <c r="AB845" t="s">
        <v>324</v>
      </c>
      <c r="AF845" t="s">
        <v>3107</v>
      </c>
      <c r="AG845" t="s">
        <v>3107</v>
      </c>
      <c r="AH845" t="s">
        <v>1606</v>
      </c>
      <c r="AI845">
        <v>99999</v>
      </c>
      <c r="AJ845">
        <v>99999</v>
      </c>
      <c r="AK845">
        <v>699</v>
      </c>
      <c r="AL845" t="b">
        <v>1</v>
      </c>
      <c r="AM845" t="b">
        <v>1</v>
      </c>
      <c r="AN845" t="b">
        <v>0</v>
      </c>
      <c r="AO845">
        <v>99999</v>
      </c>
      <c r="AP845" t="s">
        <v>64</v>
      </c>
      <c r="AR845" t="b">
        <v>0</v>
      </c>
      <c r="AS845">
        <v>12</v>
      </c>
      <c r="AT845" t="s">
        <v>327</v>
      </c>
      <c r="AV845" t="s">
        <v>3121</v>
      </c>
      <c r="CRL845">
        <v>12</v>
      </c>
    </row>
    <row r="846" spans="1:48 2508:2508" x14ac:dyDescent="0.25">
      <c r="A846" t="s">
        <v>3323</v>
      </c>
      <c r="B846" t="s">
        <v>302</v>
      </c>
      <c r="C846" t="s">
        <v>62</v>
      </c>
      <c r="D846">
        <v>99999</v>
      </c>
      <c r="F846" s="109">
        <v>14000</v>
      </c>
      <c r="G846" t="b">
        <v>0</v>
      </c>
      <c r="H846" t="s">
        <v>315</v>
      </c>
      <c r="K846" t="s">
        <v>393</v>
      </c>
      <c r="L846" t="s">
        <v>303</v>
      </c>
      <c r="M846" t="s">
        <v>323</v>
      </c>
      <c r="N846" t="s">
        <v>63</v>
      </c>
      <c r="O846" s="110">
        <v>29.9</v>
      </c>
      <c r="R846" s="110">
        <v>280.59000000000003</v>
      </c>
      <c r="S846" s="110">
        <v>107.5</v>
      </c>
      <c r="T846" s="110">
        <v>0</v>
      </c>
      <c r="U846" s="110">
        <v>34.99</v>
      </c>
      <c r="X846">
        <v>68.200000000000017</v>
      </c>
      <c r="Y846">
        <v>69.900000000000006</v>
      </c>
      <c r="Z846">
        <v>69.900000000000006</v>
      </c>
      <c r="AA846">
        <v>0</v>
      </c>
      <c r="AB846" t="s">
        <v>363</v>
      </c>
      <c r="AF846" t="s">
        <v>1633</v>
      </c>
      <c r="AG846" t="s">
        <v>1633</v>
      </c>
      <c r="AH846" t="s">
        <v>1606</v>
      </c>
      <c r="AI846">
        <v>99999</v>
      </c>
      <c r="AJ846">
        <v>99999</v>
      </c>
      <c r="AK846">
        <v>699</v>
      </c>
      <c r="AL846" t="b">
        <v>1</v>
      </c>
      <c r="AM846" t="b">
        <v>1</v>
      </c>
      <c r="AN846" t="b">
        <v>0</v>
      </c>
      <c r="AO846">
        <v>99999</v>
      </c>
      <c r="AP846" t="s">
        <v>64</v>
      </c>
      <c r="AR846" t="b">
        <v>0</v>
      </c>
      <c r="AS846">
        <v>12</v>
      </c>
      <c r="AT846" t="s">
        <v>327</v>
      </c>
      <c r="AV846" t="s">
        <v>1660</v>
      </c>
      <c r="CRL846">
        <v>12</v>
      </c>
    </row>
    <row r="847" spans="1:48 2508:2508" x14ac:dyDescent="0.25">
      <c r="A847" t="s">
        <v>3323</v>
      </c>
      <c r="B847" t="s">
        <v>302</v>
      </c>
      <c r="C847" t="s">
        <v>62</v>
      </c>
      <c r="D847">
        <v>99999</v>
      </c>
      <c r="F847" s="109">
        <v>14000</v>
      </c>
      <c r="G847" t="b">
        <v>0</v>
      </c>
      <c r="H847" t="s">
        <v>315</v>
      </c>
      <c r="K847" t="s">
        <v>393</v>
      </c>
      <c r="L847" t="s">
        <v>303</v>
      </c>
      <c r="M847" t="s">
        <v>323</v>
      </c>
      <c r="N847" t="s">
        <v>63</v>
      </c>
      <c r="O847" s="110">
        <v>29.9</v>
      </c>
      <c r="R847" s="110">
        <v>309.89</v>
      </c>
      <c r="S847" s="110">
        <v>107.5</v>
      </c>
      <c r="T847" s="110">
        <v>0</v>
      </c>
      <c r="U847" s="110">
        <v>42.99</v>
      </c>
      <c r="X847">
        <v>89.499999999999972</v>
      </c>
      <c r="Y847">
        <v>69.900000000000006</v>
      </c>
      <c r="Z847">
        <v>69.900000000000006</v>
      </c>
      <c r="AA847">
        <v>0</v>
      </c>
      <c r="AB847" t="s">
        <v>363</v>
      </c>
      <c r="AF847" t="s">
        <v>1781</v>
      </c>
      <c r="AG847" t="s">
        <v>1781</v>
      </c>
      <c r="AH847" t="s">
        <v>1606</v>
      </c>
      <c r="AI847">
        <v>99999</v>
      </c>
      <c r="AJ847">
        <v>99999</v>
      </c>
      <c r="AK847">
        <v>699</v>
      </c>
      <c r="AL847" t="b">
        <v>1</v>
      </c>
      <c r="AM847" t="b">
        <v>1</v>
      </c>
      <c r="AN847" t="b">
        <v>0</v>
      </c>
      <c r="AO847">
        <v>99999</v>
      </c>
      <c r="AP847" t="s">
        <v>64</v>
      </c>
      <c r="AR847" t="b">
        <v>0</v>
      </c>
      <c r="AS847">
        <v>12</v>
      </c>
      <c r="AT847" t="s">
        <v>327</v>
      </c>
      <c r="AV847" t="s">
        <v>1808</v>
      </c>
      <c r="CRL847">
        <v>12</v>
      </c>
    </row>
    <row r="848" spans="1:48 2508:2508" x14ac:dyDescent="0.25">
      <c r="A848" t="s">
        <v>3323</v>
      </c>
      <c r="B848" t="s">
        <v>302</v>
      </c>
      <c r="C848" t="s">
        <v>62</v>
      </c>
      <c r="D848">
        <v>99999</v>
      </c>
      <c r="F848" s="109">
        <v>14000</v>
      </c>
      <c r="G848" t="b">
        <v>0</v>
      </c>
      <c r="H848" t="s">
        <v>315</v>
      </c>
      <c r="K848" t="s">
        <v>393</v>
      </c>
      <c r="L848" t="s">
        <v>303</v>
      </c>
      <c r="M848" t="s">
        <v>323</v>
      </c>
      <c r="N848" t="s">
        <v>63</v>
      </c>
      <c r="O848" s="110">
        <v>39.9</v>
      </c>
      <c r="R848" s="110">
        <v>280.59000000000003</v>
      </c>
      <c r="S848" s="110">
        <v>107.5</v>
      </c>
      <c r="T848" s="110">
        <v>0</v>
      </c>
      <c r="U848" s="110">
        <v>34.99</v>
      </c>
      <c r="X848">
        <v>68.200000000000017</v>
      </c>
      <c r="Y848">
        <v>69.900000000000006</v>
      </c>
      <c r="Z848">
        <v>69.900000000000006</v>
      </c>
      <c r="AA848">
        <v>0</v>
      </c>
      <c r="AB848" t="s">
        <v>363</v>
      </c>
      <c r="AF848" t="s">
        <v>1700</v>
      </c>
      <c r="AG848" t="s">
        <v>1700</v>
      </c>
      <c r="AH848" t="s">
        <v>1606</v>
      </c>
      <c r="AI848">
        <v>99999</v>
      </c>
      <c r="AJ848">
        <v>99999</v>
      </c>
      <c r="AK848">
        <v>699</v>
      </c>
      <c r="AL848" t="b">
        <v>1</v>
      </c>
      <c r="AM848" t="b">
        <v>1</v>
      </c>
      <c r="AN848" t="b">
        <v>0</v>
      </c>
      <c r="AO848">
        <v>99999</v>
      </c>
      <c r="AP848" t="s">
        <v>64</v>
      </c>
      <c r="AR848" t="b">
        <v>0</v>
      </c>
      <c r="AS848">
        <v>12</v>
      </c>
      <c r="AT848" t="s">
        <v>327</v>
      </c>
      <c r="AV848" t="s">
        <v>1727</v>
      </c>
      <c r="CRL848">
        <v>12</v>
      </c>
    </row>
    <row r="849" spans="1:48 2508:2508" x14ac:dyDescent="0.25">
      <c r="A849" t="s">
        <v>3323</v>
      </c>
      <c r="B849" t="s">
        <v>302</v>
      </c>
      <c r="C849" t="s">
        <v>62</v>
      </c>
      <c r="D849">
        <v>99999</v>
      </c>
      <c r="F849" s="109">
        <v>14000</v>
      </c>
      <c r="G849" t="b">
        <v>0</v>
      </c>
      <c r="H849" t="s">
        <v>315</v>
      </c>
      <c r="K849" t="s">
        <v>393</v>
      </c>
      <c r="L849" t="s">
        <v>303</v>
      </c>
      <c r="M849" t="s">
        <v>323</v>
      </c>
      <c r="N849" t="s">
        <v>63</v>
      </c>
      <c r="O849" s="110">
        <v>39.9</v>
      </c>
      <c r="R849" s="110">
        <v>309.89</v>
      </c>
      <c r="S849" s="110">
        <v>107.5</v>
      </c>
      <c r="T849" s="110">
        <v>0</v>
      </c>
      <c r="U849" s="110">
        <v>42.99</v>
      </c>
      <c r="X849">
        <v>89.499999999999972</v>
      </c>
      <c r="Y849">
        <v>69.900000000000006</v>
      </c>
      <c r="Z849">
        <v>69.900000000000006</v>
      </c>
      <c r="AA849">
        <v>0</v>
      </c>
      <c r="AB849" t="s">
        <v>363</v>
      </c>
      <c r="AF849" t="s">
        <v>1848</v>
      </c>
      <c r="AG849" t="s">
        <v>1848</v>
      </c>
      <c r="AH849" t="s">
        <v>1606</v>
      </c>
      <c r="AI849">
        <v>99999</v>
      </c>
      <c r="AJ849">
        <v>99999</v>
      </c>
      <c r="AK849">
        <v>699</v>
      </c>
      <c r="AL849" t="b">
        <v>1</v>
      </c>
      <c r="AM849" t="b">
        <v>1</v>
      </c>
      <c r="AN849" t="b">
        <v>0</v>
      </c>
      <c r="AO849">
        <v>99999</v>
      </c>
      <c r="AP849" t="s">
        <v>64</v>
      </c>
      <c r="AR849" t="b">
        <v>0</v>
      </c>
      <c r="AS849">
        <v>12</v>
      </c>
      <c r="AT849" t="s">
        <v>327</v>
      </c>
      <c r="AV849" t="s">
        <v>1875</v>
      </c>
      <c r="CRL849">
        <v>12</v>
      </c>
    </row>
    <row r="850" spans="1:48 2508:2508" x14ac:dyDescent="0.25">
      <c r="A850" t="s">
        <v>3323</v>
      </c>
      <c r="B850" t="s">
        <v>302</v>
      </c>
      <c r="C850" t="s">
        <v>62</v>
      </c>
      <c r="D850">
        <v>99999</v>
      </c>
      <c r="F850" s="109">
        <v>14000</v>
      </c>
      <c r="G850" t="b">
        <v>0</v>
      </c>
      <c r="H850" t="s">
        <v>315</v>
      </c>
      <c r="K850" t="s">
        <v>393</v>
      </c>
      <c r="L850" t="s">
        <v>303</v>
      </c>
      <c r="M850" t="s">
        <v>323</v>
      </c>
      <c r="N850" t="s">
        <v>63</v>
      </c>
      <c r="O850" s="110">
        <v>49.9</v>
      </c>
      <c r="R850" s="110">
        <v>303.09000000000003</v>
      </c>
      <c r="S850" s="110">
        <v>130</v>
      </c>
      <c r="T850" s="110">
        <v>0</v>
      </c>
      <c r="U850" s="110">
        <v>34.99</v>
      </c>
      <c r="X850">
        <v>68.200000000000017</v>
      </c>
      <c r="Y850">
        <v>69.900000000000006</v>
      </c>
      <c r="Z850">
        <v>69.900000000000006</v>
      </c>
      <c r="AA850">
        <v>0</v>
      </c>
      <c r="AB850" t="s">
        <v>363</v>
      </c>
      <c r="AF850" t="s">
        <v>3060</v>
      </c>
      <c r="AG850" t="s">
        <v>3060</v>
      </c>
      <c r="AH850" t="s">
        <v>1606</v>
      </c>
      <c r="AI850">
        <v>99999</v>
      </c>
      <c r="AJ850">
        <v>99999</v>
      </c>
      <c r="AK850">
        <v>699</v>
      </c>
      <c r="AL850" t="b">
        <v>1</v>
      </c>
      <c r="AM850" t="b">
        <v>1</v>
      </c>
      <c r="AN850" t="b">
        <v>0</v>
      </c>
      <c r="AO850">
        <v>99999</v>
      </c>
      <c r="AP850" t="s">
        <v>64</v>
      </c>
      <c r="AR850" t="b">
        <v>0</v>
      </c>
      <c r="AS850">
        <v>12</v>
      </c>
      <c r="AT850" t="s">
        <v>327</v>
      </c>
      <c r="AV850" t="s">
        <v>3087</v>
      </c>
      <c r="CRL850">
        <v>12</v>
      </c>
    </row>
    <row r="851" spans="1:48 2508:2508" x14ac:dyDescent="0.25">
      <c r="A851" t="s">
        <v>3323</v>
      </c>
      <c r="B851" t="s">
        <v>302</v>
      </c>
      <c r="C851" t="s">
        <v>62</v>
      </c>
      <c r="D851">
        <v>99999</v>
      </c>
      <c r="F851" s="109">
        <v>14000</v>
      </c>
      <c r="G851" t="b">
        <v>0</v>
      </c>
      <c r="H851" t="s">
        <v>315</v>
      </c>
      <c r="K851" t="s">
        <v>393</v>
      </c>
      <c r="L851" t="s">
        <v>303</v>
      </c>
      <c r="M851" t="s">
        <v>323</v>
      </c>
      <c r="N851" t="s">
        <v>63</v>
      </c>
      <c r="O851" s="110">
        <v>49.9</v>
      </c>
      <c r="R851" s="110">
        <v>332.39</v>
      </c>
      <c r="S851" s="110">
        <v>130</v>
      </c>
      <c r="T851" s="110">
        <v>0</v>
      </c>
      <c r="U851" s="110">
        <v>42.99</v>
      </c>
      <c r="X851">
        <v>89.499999999999972</v>
      </c>
      <c r="Y851">
        <v>69.900000000000006</v>
      </c>
      <c r="Z851">
        <v>69.900000000000006</v>
      </c>
      <c r="AA851">
        <v>0</v>
      </c>
      <c r="AB851" t="s">
        <v>363</v>
      </c>
      <c r="AF851" t="s">
        <v>3134</v>
      </c>
      <c r="AG851" t="s">
        <v>3134</v>
      </c>
      <c r="AH851" t="s">
        <v>1606</v>
      </c>
      <c r="AI851">
        <v>99999</v>
      </c>
      <c r="AJ851">
        <v>99999</v>
      </c>
      <c r="AK851">
        <v>699</v>
      </c>
      <c r="AL851" t="b">
        <v>1</v>
      </c>
      <c r="AM851" t="b">
        <v>1</v>
      </c>
      <c r="AN851" t="b">
        <v>0</v>
      </c>
      <c r="AO851">
        <v>99999</v>
      </c>
      <c r="AP851" t="s">
        <v>64</v>
      </c>
      <c r="AR851" t="b">
        <v>0</v>
      </c>
      <c r="AS851">
        <v>12</v>
      </c>
      <c r="AT851" t="s">
        <v>327</v>
      </c>
      <c r="AV851" t="s">
        <v>3161</v>
      </c>
      <c r="CRL851">
        <v>12</v>
      </c>
    </row>
    <row r="852" spans="1:48 2508:2508" x14ac:dyDescent="0.25">
      <c r="A852" t="s">
        <v>3323</v>
      </c>
      <c r="B852" t="s">
        <v>302</v>
      </c>
      <c r="C852" t="s">
        <v>62</v>
      </c>
      <c r="D852">
        <v>99999</v>
      </c>
      <c r="F852" s="109">
        <v>14000</v>
      </c>
      <c r="G852" t="b">
        <v>0</v>
      </c>
      <c r="H852" t="s">
        <v>315</v>
      </c>
      <c r="K852" t="s">
        <v>364</v>
      </c>
      <c r="L852" t="s">
        <v>303</v>
      </c>
      <c r="M852" t="s">
        <v>323</v>
      </c>
      <c r="N852" t="s">
        <v>63</v>
      </c>
      <c r="O852" s="110">
        <v>29.9</v>
      </c>
      <c r="R852" s="110">
        <v>260.59000000000003</v>
      </c>
      <c r="S852" s="110">
        <v>107.5</v>
      </c>
      <c r="T852" s="110">
        <v>0</v>
      </c>
      <c r="U852" s="110">
        <v>34.99</v>
      </c>
      <c r="X852">
        <v>68.200000000000017</v>
      </c>
      <c r="Y852">
        <v>49.9</v>
      </c>
      <c r="Z852">
        <v>49.9</v>
      </c>
      <c r="AA852">
        <v>0</v>
      </c>
      <c r="AB852" t="s">
        <v>363</v>
      </c>
      <c r="AF852" t="s">
        <v>1633</v>
      </c>
      <c r="AG852" t="s">
        <v>1633</v>
      </c>
      <c r="AH852" t="s">
        <v>1606</v>
      </c>
      <c r="AI852">
        <v>99999</v>
      </c>
      <c r="AJ852">
        <v>99999</v>
      </c>
      <c r="AK852">
        <v>699</v>
      </c>
      <c r="AL852" t="b">
        <v>1</v>
      </c>
      <c r="AM852" t="b">
        <v>1</v>
      </c>
      <c r="AN852" t="b">
        <v>0</v>
      </c>
      <c r="AO852">
        <v>99999</v>
      </c>
      <c r="AP852" t="s">
        <v>64</v>
      </c>
      <c r="AR852" t="b">
        <v>0</v>
      </c>
      <c r="AS852">
        <v>12</v>
      </c>
      <c r="AT852" t="s">
        <v>327</v>
      </c>
      <c r="AV852" t="s">
        <v>1634</v>
      </c>
      <c r="CRL852">
        <v>12</v>
      </c>
    </row>
    <row r="853" spans="1:48 2508:2508" x14ac:dyDescent="0.25">
      <c r="A853" t="s">
        <v>3323</v>
      </c>
      <c r="B853" t="s">
        <v>302</v>
      </c>
      <c r="C853" t="s">
        <v>62</v>
      </c>
      <c r="D853">
        <v>99999</v>
      </c>
      <c r="F853" s="109">
        <v>14000</v>
      </c>
      <c r="G853" t="b">
        <v>0</v>
      </c>
      <c r="H853" t="s">
        <v>315</v>
      </c>
      <c r="K853" t="s">
        <v>364</v>
      </c>
      <c r="L853" t="s">
        <v>303</v>
      </c>
      <c r="M853" t="s">
        <v>323</v>
      </c>
      <c r="N853" t="s">
        <v>63</v>
      </c>
      <c r="O853" s="110">
        <v>29.9</v>
      </c>
      <c r="R853" s="110">
        <v>289.89</v>
      </c>
      <c r="S853" s="110">
        <v>107.5</v>
      </c>
      <c r="T853" s="110">
        <v>0</v>
      </c>
      <c r="U853" s="110">
        <v>42.99</v>
      </c>
      <c r="X853">
        <v>89.499999999999972</v>
      </c>
      <c r="Y853">
        <v>49.9</v>
      </c>
      <c r="Z853">
        <v>49.9</v>
      </c>
      <c r="AA853">
        <v>0</v>
      </c>
      <c r="AB853" t="s">
        <v>363</v>
      </c>
      <c r="AF853" t="s">
        <v>1781</v>
      </c>
      <c r="AG853" t="s">
        <v>1781</v>
      </c>
      <c r="AH853" t="s">
        <v>1606</v>
      </c>
      <c r="AI853">
        <v>99999</v>
      </c>
      <c r="AJ853">
        <v>99999</v>
      </c>
      <c r="AK853">
        <v>699</v>
      </c>
      <c r="AL853" t="b">
        <v>1</v>
      </c>
      <c r="AM853" t="b">
        <v>1</v>
      </c>
      <c r="AN853" t="b">
        <v>0</v>
      </c>
      <c r="AO853">
        <v>99999</v>
      </c>
      <c r="AP853" t="s">
        <v>64</v>
      </c>
      <c r="AR853" t="b">
        <v>0</v>
      </c>
      <c r="AS853">
        <v>12</v>
      </c>
      <c r="AT853" t="s">
        <v>327</v>
      </c>
      <c r="AV853" t="s">
        <v>1782</v>
      </c>
      <c r="CRL853">
        <v>12</v>
      </c>
    </row>
    <row r="854" spans="1:48 2508:2508" x14ac:dyDescent="0.25">
      <c r="A854" t="s">
        <v>3323</v>
      </c>
      <c r="B854" t="s">
        <v>302</v>
      </c>
      <c r="C854" t="s">
        <v>62</v>
      </c>
      <c r="D854">
        <v>99999</v>
      </c>
      <c r="F854" s="109">
        <v>14000</v>
      </c>
      <c r="G854" t="b">
        <v>0</v>
      </c>
      <c r="H854" t="s">
        <v>315</v>
      </c>
      <c r="K854" t="s">
        <v>364</v>
      </c>
      <c r="L854" t="s">
        <v>303</v>
      </c>
      <c r="M854" t="s">
        <v>323</v>
      </c>
      <c r="N854" t="s">
        <v>63</v>
      </c>
      <c r="O854" s="110">
        <v>39.9</v>
      </c>
      <c r="R854" s="110">
        <v>260.59000000000003</v>
      </c>
      <c r="S854" s="110">
        <v>107.5</v>
      </c>
      <c r="T854" s="110">
        <v>0</v>
      </c>
      <c r="U854" s="110">
        <v>34.99</v>
      </c>
      <c r="X854">
        <v>68.200000000000017</v>
      </c>
      <c r="Y854">
        <v>49.9</v>
      </c>
      <c r="Z854">
        <v>49.9</v>
      </c>
      <c r="AA854">
        <v>0</v>
      </c>
      <c r="AB854" t="s">
        <v>363</v>
      </c>
      <c r="AF854" t="s">
        <v>1700</v>
      </c>
      <c r="AG854" t="s">
        <v>1700</v>
      </c>
      <c r="AH854" t="s">
        <v>1606</v>
      </c>
      <c r="AI854">
        <v>99999</v>
      </c>
      <c r="AJ854">
        <v>99999</v>
      </c>
      <c r="AK854">
        <v>699</v>
      </c>
      <c r="AL854" t="b">
        <v>1</v>
      </c>
      <c r="AM854" t="b">
        <v>1</v>
      </c>
      <c r="AN854" t="b">
        <v>0</v>
      </c>
      <c r="AO854">
        <v>99999</v>
      </c>
      <c r="AP854" t="s">
        <v>64</v>
      </c>
      <c r="AR854" t="b">
        <v>0</v>
      </c>
      <c r="AS854">
        <v>12</v>
      </c>
      <c r="AT854" t="s">
        <v>327</v>
      </c>
      <c r="AV854" t="s">
        <v>1701</v>
      </c>
      <c r="CRL854">
        <v>12</v>
      </c>
    </row>
    <row r="855" spans="1:48 2508:2508" x14ac:dyDescent="0.25">
      <c r="A855" t="s">
        <v>3323</v>
      </c>
      <c r="B855" t="s">
        <v>302</v>
      </c>
      <c r="C855" t="s">
        <v>62</v>
      </c>
      <c r="D855">
        <v>99999</v>
      </c>
      <c r="F855" s="109">
        <v>14000</v>
      </c>
      <c r="G855" t="b">
        <v>0</v>
      </c>
      <c r="H855" t="s">
        <v>315</v>
      </c>
      <c r="K855" t="s">
        <v>364</v>
      </c>
      <c r="L855" t="s">
        <v>303</v>
      </c>
      <c r="M855" t="s">
        <v>323</v>
      </c>
      <c r="N855" t="s">
        <v>63</v>
      </c>
      <c r="O855" s="110">
        <v>39.9</v>
      </c>
      <c r="R855" s="110">
        <v>289.89</v>
      </c>
      <c r="S855" s="110">
        <v>107.5</v>
      </c>
      <c r="T855" s="110">
        <v>0</v>
      </c>
      <c r="U855" s="110">
        <v>42.99</v>
      </c>
      <c r="X855">
        <v>89.499999999999972</v>
      </c>
      <c r="Y855">
        <v>49.9</v>
      </c>
      <c r="Z855">
        <v>49.9</v>
      </c>
      <c r="AA855">
        <v>0</v>
      </c>
      <c r="AB855" t="s">
        <v>363</v>
      </c>
      <c r="AF855" t="s">
        <v>1848</v>
      </c>
      <c r="AG855" t="s">
        <v>1848</v>
      </c>
      <c r="AH855" t="s">
        <v>1606</v>
      </c>
      <c r="AI855">
        <v>99999</v>
      </c>
      <c r="AJ855">
        <v>99999</v>
      </c>
      <c r="AK855">
        <v>699</v>
      </c>
      <c r="AL855" t="b">
        <v>1</v>
      </c>
      <c r="AM855" t="b">
        <v>1</v>
      </c>
      <c r="AN855" t="b">
        <v>0</v>
      </c>
      <c r="AO855">
        <v>99999</v>
      </c>
      <c r="AP855" t="s">
        <v>64</v>
      </c>
      <c r="AR855" t="b">
        <v>0</v>
      </c>
      <c r="AS855">
        <v>12</v>
      </c>
      <c r="AT855" t="s">
        <v>327</v>
      </c>
      <c r="AV855" t="s">
        <v>1849</v>
      </c>
      <c r="CRL855">
        <v>12</v>
      </c>
    </row>
    <row r="856" spans="1:48 2508:2508" x14ac:dyDescent="0.25">
      <c r="A856" t="s">
        <v>3323</v>
      </c>
      <c r="B856" t="s">
        <v>302</v>
      </c>
      <c r="C856" t="s">
        <v>62</v>
      </c>
      <c r="D856">
        <v>99999</v>
      </c>
      <c r="F856" s="109">
        <v>14000</v>
      </c>
      <c r="G856" t="b">
        <v>0</v>
      </c>
      <c r="H856" t="s">
        <v>315</v>
      </c>
      <c r="K856" t="s">
        <v>364</v>
      </c>
      <c r="L856" t="s">
        <v>303</v>
      </c>
      <c r="M856" t="s">
        <v>323</v>
      </c>
      <c r="N856" t="s">
        <v>63</v>
      </c>
      <c r="O856" s="110">
        <v>49.9</v>
      </c>
      <c r="R856" s="110">
        <v>283.09000000000003</v>
      </c>
      <c r="S856" s="110">
        <v>130</v>
      </c>
      <c r="T856" s="110">
        <v>0</v>
      </c>
      <c r="U856" s="110">
        <v>34.99</v>
      </c>
      <c r="X856">
        <v>68.200000000000017</v>
      </c>
      <c r="Y856">
        <v>49.9</v>
      </c>
      <c r="Z856">
        <v>49.9</v>
      </c>
      <c r="AA856">
        <v>0</v>
      </c>
      <c r="AB856" t="s">
        <v>363</v>
      </c>
      <c r="AF856" t="s">
        <v>3060</v>
      </c>
      <c r="AG856" t="s">
        <v>3060</v>
      </c>
      <c r="AH856" t="s">
        <v>1606</v>
      </c>
      <c r="AI856">
        <v>99999</v>
      </c>
      <c r="AJ856">
        <v>99999</v>
      </c>
      <c r="AK856">
        <v>699</v>
      </c>
      <c r="AL856" t="b">
        <v>1</v>
      </c>
      <c r="AM856" t="b">
        <v>1</v>
      </c>
      <c r="AN856" t="b">
        <v>0</v>
      </c>
      <c r="AO856">
        <v>99999</v>
      </c>
      <c r="AP856" t="s">
        <v>64</v>
      </c>
      <c r="AR856" t="b">
        <v>0</v>
      </c>
      <c r="AS856">
        <v>12</v>
      </c>
      <c r="AT856" t="s">
        <v>327</v>
      </c>
      <c r="AV856" t="s">
        <v>3061</v>
      </c>
      <c r="CRL856">
        <v>12</v>
      </c>
    </row>
    <row r="857" spans="1:48 2508:2508" x14ac:dyDescent="0.25">
      <c r="A857" t="s">
        <v>3323</v>
      </c>
      <c r="B857" t="s">
        <v>302</v>
      </c>
      <c r="C857" t="s">
        <v>62</v>
      </c>
      <c r="D857">
        <v>99999</v>
      </c>
      <c r="F857" s="109">
        <v>14000</v>
      </c>
      <c r="G857" t="b">
        <v>0</v>
      </c>
      <c r="H857" t="s">
        <v>315</v>
      </c>
      <c r="K857" t="s">
        <v>364</v>
      </c>
      <c r="L857" t="s">
        <v>303</v>
      </c>
      <c r="M857" t="s">
        <v>323</v>
      </c>
      <c r="N857" t="s">
        <v>63</v>
      </c>
      <c r="O857" s="110">
        <v>49.9</v>
      </c>
      <c r="R857" s="110">
        <v>312.39</v>
      </c>
      <c r="S857" s="110">
        <v>130</v>
      </c>
      <c r="T857" s="110">
        <v>0</v>
      </c>
      <c r="U857" s="110">
        <v>42.99</v>
      </c>
      <c r="X857">
        <v>89.499999999999972</v>
      </c>
      <c r="Y857">
        <v>49.9</v>
      </c>
      <c r="Z857">
        <v>49.9</v>
      </c>
      <c r="AA857">
        <v>0</v>
      </c>
      <c r="AB857" t="s">
        <v>363</v>
      </c>
      <c r="AF857" t="s">
        <v>3134</v>
      </c>
      <c r="AG857" t="s">
        <v>3134</v>
      </c>
      <c r="AH857" t="s">
        <v>1606</v>
      </c>
      <c r="AI857">
        <v>99999</v>
      </c>
      <c r="AJ857">
        <v>99999</v>
      </c>
      <c r="AK857">
        <v>699</v>
      </c>
      <c r="AL857" t="b">
        <v>1</v>
      </c>
      <c r="AM857" t="b">
        <v>1</v>
      </c>
      <c r="AN857" t="b">
        <v>0</v>
      </c>
      <c r="AO857">
        <v>99999</v>
      </c>
      <c r="AP857" t="s">
        <v>64</v>
      </c>
      <c r="AR857" t="b">
        <v>0</v>
      </c>
      <c r="AS857">
        <v>12</v>
      </c>
      <c r="AT857" t="s">
        <v>327</v>
      </c>
      <c r="AV857" t="s">
        <v>3135</v>
      </c>
      <c r="CRL857">
        <v>12</v>
      </c>
    </row>
    <row r="858" spans="1:48 2508:2508" x14ac:dyDescent="0.25">
      <c r="A858" t="s">
        <v>3323</v>
      </c>
      <c r="B858" t="s">
        <v>302</v>
      </c>
      <c r="C858" t="s">
        <v>62</v>
      </c>
      <c r="D858">
        <v>99999</v>
      </c>
      <c r="F858" s="109">
        <v>14000</v>
      </c>
      <c r="G858" t="b">
        <v>0</v>
      </c>
      <c r="H858" t="s">
        <v>315</v>
      </c>
      <c r="K858" t="s">
        <v>379</v>
      </c>
      <c r="L858" t="s">
        <v>303</v>
      </c>
      <c r="M858" t="s">
        <v>323</v>
      </c>
      <c r="N858" t="s">
        <v>63</v>
      </c>
      <c r="O858" s="110">
        <v>29.9</v>
      </c>
      <c r="R858" s="110">
        <v>270.59000000000003</v>
      </c>
      <c r="S858" s="110">
        <v>107.5</v>
      </c>
      <c r="T858" s="110">
        <v>0</v>
      </c>
      <c r="U858" s="110">
        <v>34.99</v>
      </c>
      <c r="X858">
        <v>68.200000000000017</v>
      </c>
      <c r="Y858">
        <v>59.9</v>
      </c>
      <c r="Z858">
        <v>59.9</v>
      </c>
      <c r="AA858">
        <v>0</v>
      </c>
      <c r="AB858" t="s">
        <v>363</v>
      </c>
      <c r="AF858" t="s">
        <v>1633</v>
      </c>
      <c r="AG858" t="s">
        <v>1633</v>
      </c>
      <c r="AH858" t="s">
        <v>1606</v>
      </c>
      <c r="AI858">
        <v>99999</v>
      </c>
      <c r="AJ858">
        <v>99999</v>
      </c>
      <c r="AK858">
        <v>699</v>
      </c>
      <c r="AL858" t="b">
        <v>1</v>
      </c>
      <c r="AM858" t="b">
        <v>1</v>
      </c>
      <c r="AN858" t="b">
        <v>0</v>
      </c>
      <c r="AO858">
        <v>99999</v>
      </c>
      <c r="AP858" t="s">
        <v>64</v>
      </c>
      <c r="AR858" t="b">
        <v>0</v>
      </c>
      <c r="AS858">
        <v>12</v>
      </c>
      <c r="AT858" t="s">
        <v>327</v>
      </c>
      <c r="AV858" t="s">
        <v>1647</v>
      </c>
      <c r="CRL858">
        <v>12</v>
      </c>
    </row>
    <row r="859" spans="1:48 2508:2508" x14ac:dyDescent="0.25">
      <c r="A859" t="s">
        <v>3323</v>
      </c>
      <c r="B859" t="s">
        <v>302</v>
      </c>
      <c r="C859" t="s">
        <v>62</v>
      </c>
      <c r="D859">
        <v>99999</v>
      </c>
      <c r="F859" s="109">
        <v>14000</v>
      </c>
      <c r="G859" t="b">
        <v>0</v>
      </c>
      <c r="H859" t="s">
        <v>315</v>
      </c>
      <c r="K859" t="s">
        <v>379</v>
      </c>
      <c r="L859" t="s">
        <v>303</v>
      </c>
      <c r="M859" t="s">
        <v>323</v>
      </c>
      <c r="N859" t="s">
        <v>63</v>
      </c>
      <c r="O859" s="110">
        <v>29.9</v>
      </c>
      <c r="R859" s="110">
        <v>299.89</v>
      </c>
      <c r="S859" s="110">
        <v>107.5</v>
      </c>
      <c r="T859" s="110">
        <v>0</v>
      </c>
      <c r="U859" s="110">
        <v>42.99</v>
      </c>
      <c r="X859">
        <v>89.499999999999972</v>
      </c>
      <c r="Y859">
        <v>59.9</v>
      </c>
      <c r="Z859">
        <v>59.9</v>
      </c>
      <c r="AA859">
        <v>0</v>
      </c>
      <c r="AB859" t="s">
        <v>363</v>
      </c>
      <c r="AF859" t="s">
        <v>1781</v>
      </c>
      <c r="AG859" t="s">
        <v>1781</v>
      </c>
      <c r="AH859" t="s">
        <v>1606</v>
      </c>
      <c r="AI859">
        <v>99999</v>
      </c>
      <c r="AJ859">
        <v>99999</v>
      </c>
      <c r="AK859">
        <v>699</v>
      </c>
      <c r="AL859" t="b">
        <v>1</v>
      </c>
      <c r="AM859" t="b">
        <v>1</v>
      </c>
      <c r="AN859" t="b">
        <v>0</v>
      </c>
      <c r="AO859">
        <v>99999</v>
      </c>
      <c r="AP859" t="s">
        <v>64</v>
      </c>
      <c r="AR859" t="b">
        <v>0</v>
      </c>
      <c r="AS859">
        <v>12</v>
      </c>
      <c r="AT859" t="s">
        <v>327</v>
      </c>
      <c r="AV859" t="s">
        <v>1795</v>
      </c>
      <c r="CRL859">
        <v>12</v>
      </c>
    </row>
    <row r="860" spans="1:48 2508:2508" x14ac:dyDescent="0.25">
      <c r="A860" t="s">
        <v>3323</v>
      </c>
      <c r="B860" t="s">
        <v>302</v>
      </c>
      <c r="C860" t="s">
        <v>62</v>
      </c>
      <c r="D860">
        <v>99999</v>
      </c>
      <c r="F860" s="109">
        <v>14000</v>
      </c>
      <c r="G860" t="b">
        <v>0</v>
      </c>
      <c r="H860" t="s">
        <v>315</v>
      </c>
      <c r="K860" t="s">
        <v>379</v>
      </c>
      <c r="L860" t="s">
        <v>303</v>
      </c>
      <c r="M860" t="s">
        <v>323</v>
      </c>
      <c r="N860" t="s">
        <v>63</v>
      </c>
      <c r="O860" s="110">
        <v>39.9</v>
      </c>
      <c r="R860" s="110">
        <v>270.59000000000003</v>
      </c>
      <c r="S860" s="110">
        <v>107.5</v>
      </c>
      <c r="T860" s="110">
        <v>0</v>
      </c>
      <c r="U860" s="110">
        <v>34.99</v>
      </c>
      <c r="X860">
        <v>68.200000000000017</v>
      </c>
      <c r="Y860">
        <v>59.9</v>
      </c>
      <c r="Z860">
        <v>59.9</v>
      </c>
      <c r="AA860">
        <v>0</v>
      </c>
      <c r="AB860" t="s">
        <v>363</v>
      </c>
      <c r="AF860" t="s">
        <v>1700</v>
      </c>
      <c r="AG860" t="s">
        <v>1700</v>
      </c>
      <c r="AH860" t="s">
        <v>1606</v>
      </c>
      <c r="AI860">
        <v>99999</v>
      </c>
      <c r="AJ860">
        <v>99999</v>
      </c>
      <c r="AK860">
        <v>699</v>
      </c>
      <c r="AL860" t="b">
        <v>1</v>
      </c>
      <c r="AM860" t="b">
        <v>1</v>
      </c>
      <c r="AN860" t="b">
        <v>0</v>
      </c>
      <c r="AO860">
        <v>99999</v>
      </c>
      <c r="AP860" t="s">
        <v>64</v>
      </c>
      <c r="AR860" t="b">
        <v>0</v>
      </c>
      <c r="AS860">
        <v>12</v>
      </c>
      <c r="AT860" t="s">
        <v>327</v>
      </c>
      <c r="AV860" t="s">
        <v>1714</v>
      </c>
      <c r="CRL860">
        <v>12</v>
      </c>
    </row>
    <row r="861" spans="1:48 2508:2508" x14ac:dyDescent="0.25">
      <c r="A861" t="s">
        <v>3323</v>
      </c>
      <c r="B861" t="s">
        <v>302</v>
      </c>
      <c r="C861" t="s">
        <v>62</v>
      </c>
      <c r="D861">
        <v>99999</v>
      </c>
      <c r="F861" s="109">
        <v>14000</v>
      </c>
      <c r="G861" t="b">
        <v>0</v>
      </c>
      <c r="H861" t="s">
        <v>315</v>
      </c>
      <c r="K861" t="s">
        <v>379</v>
      </c>
      <c r="L861" t="s">
        <v>303</v>
      </c>
      <c r="M861" t="s">
        <v>323</v>
      </c>
      <c r="N861" t="s">
        <v>63</v>
      </c>
      <c r="O861" s="110">
        <v>39.9</v>
      </c>
      <c r="R861" s="110">
        <v>299.89</v>
      </c>
      <c r="S861" s="110">
        <v>107.5</v>
      </c>
      <c r="T861" s="110">
        <v>0</v>
      </c>
      <c r="U861" s="110">
        <v>42.99</v>
      </c>
      <c r="X861">
        <v>89.499999999999972</v>
      </c>
      <c r="Y861">
        <v>59.9</v>
      </c>
      <c r="Z861">
        <v>59.9</v>
      </c>
      <c r="AA861">
        <v>0</v>
      </c>
      <c r="AB861" t="s">
        <v>363</v>
      </c>
      <c r="AF861" t="s">
        <v>1848</v>
      </c>
      <c r="AG861" t="s">
        <v>1848</v>
      </c>
      <c r="AH861" t="s">
        <v>1606</v>
      </c>
      <c r="AI861">
        <v>99999</v>
      </c>
      <c r="AJ861">
        <v>99999</v>
      </c>
      <c r="AK861">
        <v>699</v>
      </c>
      <c r="AL861" t="b">
        <v>1</v>
      </c>
      <c r="AM861" t="b">
        <v>1</v>
      </c>
      <c r="AN861" t="b">
        <v>0</v>
      </c>
      <c r="AO861">
        <v>99999</v>
      </c>
      <c r="AP861" t="s">
        <v>64</v>
      </c>
      <c r="AR861" t="b">
        <v>0</v>
      </c>
      <c r="AS861">
        <v>12</v>
      </c>
      <c r="AT861" t="s">
        <v>327</v>
      </c>
      <c r="AV861" t="s">
        <v>1862</v>
      </c>
      <c r="CRL861">
        <v>12</v>
      </c>
    </row>
    <row r="862" spans="1:48 2508:2508" x14ac:dyDescent="0.25">
      <c r="A862" t="s">
        <v>3323</v>
      </c>
      <c r="B862" t="s">
        <v>302</v>
      </c>
      <c r="C862" t="s">
        <v>62</v>
      </c>
      <c r="D862">
        <v>99999</v>
      </c>
      <c r="F862" s="109">
        <v>14000</v>
      </c>
      <c r="G862" t="b">
        <v>0</v>
      </c>
      <c r="H862" t="s">
        <v>315</v>
      </c>
      <c r="K862" t="s">
        <v>379</v>
      </c>
      <c r="L862" t="s">
        <v>303</v>
      </c>
      <c r="M862" t="s">
        <v>323</v>
      </c>
      <c r="N862" t="s">
        <v>63</v>
      </c>
      <c r="O862" s="110">
        <v>49.9</v>
      </c>
      <c r="R862" s="110">
        <v>293.09000000000003</v>
      </c>
      <c r="S862" s="110">
        <v>130</v>
      </c>
      <c r="T862" s="110">
        <v>0</v>
      </c>
      <c r="U862" s="110">
        <v>34.99</v>
      </c>
      <c r="X862">
        <v>68.200000000000017</v>
      </c>
      <c r="Y862">
        <v>59.9</v>
      </c>
      <c r="Z862">
        <v>59.9</v>
      </c>
      <c r="AA862">
        <v>0</v>
      </c>
      <c r="AB862" t="s">
        <v>363</v>
      </c>
      <c r="AF862" t="s">
        <v>3060</v>
      </c>
      <c r="AG862" t="s">
        <v>3060</v>
      </c>
      <c r="AH862" t="s">
        <v>1606</v>
      </c>
      <c r="AI862">
        <v>99999</v>
      </c>
      <c r="AJ862">
        <v>99999</v>
      </c>
      <c r="AK862">
        <v>699</v>
      </c>
      <c r="AL862" t="b">
        <v>1</v>
      </c>
      <c r="AM862" t="b">
        <v>1</v>
      </c>
      <c r="AN862" t="b">
        <v>0</v>
      </c>
      <c r="AO862">
        <v>99999</v>
      </c>
      <c r="AP862" t="s">
        <v>64</v>
      </c>
      <c r="AR862" t="b">
        <v>0</v>
      </c>
      <c r="AS862">
        <v>12</v>
      </c>
      <c r="AT862" t="s">
        <v>327</v>
      </c>
      <c r="AV862" t="s">
        <v>3074</v>
      </c>
      <c r="CRL862">
        <v>12</v>
      </c>
    </row>
    <row r="863" spans="1:48 2508:2508" x14ac:dyDescent="0.25">
      <c r="A863" t="s">
        <v>3323</v>
      </c>
      <c r="B863" t="s">
        <v>302</v>
      </c>
      <c r="C863" t="s">
        <v>62</v>
      </c>
      <c r="D863">
        <v>99999</v>
      </c>
      <c r="F863" s="109">
        <v>14000</v>
      </c>
      <c r="G863" t="b">
        <v>0</v>
      </c>
      <c r="H863" t="s">
        <v>315</v>
      </c>
      <c r="K863" t="s">
        <v>379</v>
      </c>
      <c r="L863" t="s">
        <v>303</v>
      </c>
      <c r="M863" t="s">
        <v>323</v>
      </c>
      <c r="N863" t="s">
        <v>63</v>
      </c>
      <c r="O863" s="110">
        <v>49.9</v>
      </c>
      <c r="R863" s="110">
        <v>322.39</v>
      </c>
      <c r="S863" s="110">
        <v>130</v>
      </c>
      <c r="T863" s="110">
        <v>0</v>
      </c>
      <c r="U863" s="110">
        <v>42.99</v>
      </c>
      <c r="X863">
        <v>89.499999999999972</v>
      </c>
      <c r="Y863">
        <v>59.9</v>
      </c>
      <c r="Z863">
        <v>59.9</v>
      </c>
      <c r="AA863">
        <v>0</v>
      </c>
      <c r="AB863" t="s">
        <v>363</v>
      </c>
      <c r="AF863" t="s">
        <v>3134</v>
      </c>
      <c r="AG863" t="s">
        <v>3134</v>
      </c>
      <c r="AH863" t="s">
        <v>1606</v>
      </c>
      <c r="AI863">
        <v>99999</v>
      </c>
      <c r="AJ863">
        <v>99999</v>
      </c>
      <c r="AK863">
        <v>699</v>
      </c>
      <c r="AL863" t="b">
        <v>1</v>
      </c>
      <c r="AM863" t="b">
        <v>1</v>
      </c>
      <c r="AN863" t="b">
        <v>0</v>
      </c>
      <c r="AO863">
        <v>99999</v>
      </c>
      <c r="AP863" t="s">
        <v>64</v>
      </c>
      <c r="AR863" t="b">
        <v>0</v>
      </c>
      <c r="AS863">
        <v>12</v>
      </c>
      <c r="AT863" t="s">
        <v>327</v>
      </c>
      <c r="AV863" t="s">
        <v>3148</v>
      </c>
      <c r="CRL863">
        <v>12</v>
      </c>
    </row>
    <row r="864" spans="1:48 2508:2508" x14ac:dyDescent="0.25">
      <c r="A864" t="s">
        <v>3323</v>
      </c>
      <c r="B864" t="s">
        <v>302</v>
      </c>
      <c r="C864" t="s">
        <v>62</v>
      </c>
      <c r="D864">
        <v>99999</v>
      </c>
      <c r="F864" s="109">
        <v>14000</v>
      </c>
      <c r="G864" t="b">
        <v>0</v>
      </c>
      <c r="H864" t="s">
        <v>315</v>
      </c>
      <c r="K864" t="s">
        <v>61</v>
      </c>
      <c r="L864" t="s">
        <v>303</v>
      </c>
      <c r="M864" t="s">
        <v>323</v>
      </c>
      <c r="N864" t="s">
        <v>63</v>
      </c>
      <c r="O864" s="110">
        <v>29.9</v>
      </c>
      <c r="R864" s="110">
        <v>255.59</v>
      </c>
      <c r="S864" s="110">
        <v>107.5</v>
      </c>
      <c r="T864" s="110">
        <v>0</v>
      </c>
      <c r="U864" s="110">
        <v>34.99</v>
      </c>
      <c r="X864">
        <v>68.200000000000017</v>
      </c>
      <c r="Y864">
        <v>44.9</v>
      </c>
      <c r="Z864">
        <v>44.9</v>
      </c>
      <c r="AA864">
        <v>0</v>
      </c>
      <c r="AB864" t="s">
        <v>324</v>
      </c>
      <c r="AF864" t="s">
        <v>1605</v>
      </c>
      <c r="AG864" t="s">
        <v>1605</v>
      </c>
      <c r="AH864" t="s">
        <v>1606</v>
      </c>
      <c r="AI864">
        <v>99999</v>
      </c>
      <c r="AJ864">
        <v>99999</v>
      </c>
      <c r="AK864">
        <v>699</v>
      </c>
      <c r="AL864" t="b">
        <v>1</v>
      </c>
      <c r="AM864" t="b">
        <v>1</v>
      </c>
      <c r="AN864" t="b">
        <v>0</v>
      </c>
      <c r="AO864">
        <v>99999</v>
      </c>
      <c r="AP864" t="s">
        <v>64</v>
      </c>
      <c r="AR864" t="b">
        <v>0</v>
      </c>
      <c r="AS864">
        <v>12</v>
      </c>
      <c r="AT864" t="s">
        <v>327</v>
      </c>
      <c r="AV864" t="s">
        <v>1607</v>
      </c>
      <c r="CRL864">
        <v>12</v>
      </c>
    </row>
    <row r="865" spans="1:48 2508:2508" x14ac:dyDescent="0.25">
      <c r="A865" t="s">
        <v>3323</v>
      </c>
      <c r="B865" t="s">
        <v>302</v>
      </c>
      <c r="C865" t="s">
        <v>62</v>
      </c>
      <c r="D865">
        <v>99999</v>
      </c>
      <c r="F865" s="109">
        <v>14000</v>
      </c>
      <c r="G865" t="b">
        <v>0</v>
      </c>
      <c r="H865" t="s">
        <v>315</v>
      </c>
      <c r="K865" t="s">
        <v>61</v>
      </c>
      <c r="L865" t="s">
        <v>303</v>
      </c>
      <c r="M865" t="s">
        <v>323</v>
      </c>
      <c r="N865" t="s">
        <v>63</v>
      </c>
      <c r="O865" s="110">
        <v>29.9</v>
      </c>
      <c r="R865" s="110">
        <v>284.89</v>
      </c>
      <c r="S865" s="110">
        <v>107.5</v>
      </c>
      <c r="T865" s="110">
        <v>0</v>
      </c>
      <c r="U865" s="110">
        <v>42.99</v>
      </c>
      <c r="X865">
        <v>89.499999999999972</v>
      </c>
      <c r="Y865">
        <v>44.9</v>
      </c>
      <c r="Z865">
        <v>44.9</v>
      </c>
      <c r="AA865">
        <v>0</v>
      </c>
      <c r="AB865" t="s">
        <v>324</v>
      </c>
      <c r="AF865" t="s">
        <v>1754</v>
      </c>
      <c r="AG865" t="s">
        <v>1754</v>
      </c>
      <c r="AH865" t="s">
        <v>1606</v>
      </c>
      <c r="AI865">
        <v>99999</v>
      </c>
      <c r="AJ865">
        <v>99999</v>
      </c>
      <c r="AK865">
        <v>699</v>
      </c>
      <c r="AL865" t="b">
        <v>1</v>
      </c>
      <c r="AM865" t="b">
        <v>1</v>
      </c>
      <c r="AN865" t="b">
        <v>0</v>
      </c>
      <c r="AO865">
        <v>99999</v>
      </c>
      <c r="AP865" t="s">
        <v>64</v>
      </c>
      <c r="AR865" t="b">
        <v>0</v>
      </c>
      <c r="AS865">
        <v>12</v>
      </c>
      <c r="AT865" t="s">
        <v>327</v>
      </c>
      <c r="AV865" t="s">
        <v>1755</v>
      </c>
      <c r="CRL865">
        <v>12</v>
      </c>
    </row>
    <row r="866" spans="1:48 2508:2508" x14ac:dyDescent="0.25">
      <c r="A866" t="s">
        <v>3323</v>
      </c>
      <c r="B866" t="s">
        <v>302</v>
      </c>
      <c r="C866" t="s">
        <v>62</v>
      </c>
      <c r="D866">
        <v>99999</v>
      </c>
      <c r="F866" s="109">
        <v>14000</v>
      </c>
      <c r="G866" t="b">
        <v>0</v>
      </c>
      <c r="H866" t="s">
        <v>315</v>
      </c>
      <c r="K866" t="s">
        <v>61</v>
      </c>
      <c r="L866" t="s">
        <v>303</v>
      </c>
      <c r="M866" t="s">
        <v>323</v>
      </c>
      <c r="N866" t="s">
        <v>63</v>
      </c>
      <c r="O866" s="110">
        <v>39.9</v>
      </c>
      <c r="R866" s="110">
        <v>255.59</v>
      </c>
      <c r="S866" s="110">
        <v>107.5</v>
      </c>
      <c r="T866" s="110">
        <v>0</v>
      </c>
      <c r="U866" s="110">
        <v>34.99</v>
      </c>
      <c r="X866">
        <v>68.200000000000017</v>
      </c>
      <c r="Y866">
        <v>44.9</v>
      </c>
      <c r="Z866">
        <v>44.9</v>
      </c>
      <c r="AA866">
        <v>0</v>
      </c>
      <c r="AB866" t="s">
        <v>324</v>
      </c>
      <c r="AF866" t="s">
        <v>1673</v>
      </c>
      <c r="AG866" t="s">
        <v>1673</v>
      </c>
      <c r="AH866" t="s">
        <v>1606</v>
      </c>
      <c r="AI866">
        <v>99999</v>
      </c>
      <c r="AJ866">
        <v>99999</v>
      </c>
      <c r="AK866">
        <v>699</v>
      </c>
      <c r="AL866" t="b">
        <v>1</v>
      </c>
      <c r="AM866" t="b">
        <v>1</v>
      </c>
      <c r="AN866" t="b">
        <v>0</v>
      </c>
      <c r="AO866">
        <v>99999</v>
      </c>
      <c r="AP866" t="s">
        <v>64</v>
      </c>
      <c r="AR866" t="b">
        <v>0</v>
      </c>
      <c r="AS866">
        <v>12</v>
      </c>
      <c r="AT866" t="s">
        <v>327</v>
      </c>
      <c r="AV866" t="s">
        <v>1674</v>
      </c>
      <c r="CRL866">
        <v>12</v>
      </c>
    </row>
    <row r="867" spans="1:48 2508:2508" x14ac:dyDescent="0.25">
      <c r="A867" t="s">
        <v>3323</v>
      </c>
      <c r="B867" t="s">
        <v>302</v>
      </c>
      <c r="C867" t="s">
        <v>62</v>
      </c>
      <c r="D867">
        <v>99999</v>
      </c>
      <c r="F867" s="109">
        <v>14000</v>
      </c>
      <c r="G867" t="b">
        <v>0</v>
      </c>
      <c r="H867" t="s">
        <v>315</v>
      </c>
      <c r="K867" t="s">
        <v>61</v>
      </c>
      <c r="L867" t="s">
        <v>303</v>
      </c>
      <c r="M867" t="s">
        <v>323</v>
      </c>
      <c r="N867" t="s">
        <v>63</v>
      </c>
      <c r="O867" s="110">
        <v>39.9</v>
      </c>
      <c r="R867" s="110">
        <v>284.89</v>
      </c>
      <c r="S867" s="110">
        <v>107.5</v>
      </c>
      <c r="T867" s="110">
        <v>0</v>
      </c>
      <c r="U867" s="110">
        <v>42.99</v>
      </c>
      <c r="X867">
        <v>89.499999999999972</v>
      </c>
      <c r="Y867">
        <v>44.9</v>
      </c>
      <c r="Z867">
        <v>44.9</v>
      </c>
      <c r="AA867">
        <v>0</v>
      </c>
      <c r="AB867" t="s">
        <v>324</v>
      </c>
      <c r="AF867" t="s">
        <v>1821</v>
      </c>
      <c r="AG867" t="s">
        <v>1821</v>
      </c>
      <c r="AH867" t="s">
        <v>1606</v>
      </c>
      <c r="AI867">
        <v>99999</v>
      </c>
      <c r="AJ867">
        <v>99999</v>
      </c>
      <c r="AK867">
        <v>699</v>
      </c>
      <c r="AL867" t="b">
        <v>1</v>
      </c>
      <c r="AM867" t="b">
        <v>1</v>
      </c>
      <c r="AN867" t="b">
        <v>0</v>
      </c>
      <c r="AO867">
        <v>99999</v>
      </c>
      <c r="AP867" t="s">
        <v>64</v>
      </c>
      <c r="AR867" t="b">
        <v>0</v>
      </c>
      <c r="AS867">
        <v>12</v>
      </c>
      <c r="AT867" t="s">
        <v>327</v>
      </c>
      <c r="AV867" t="s">
        <v>1822</v>
      </c>
      <c r="CRL867">
        <v>12</v>
      </c>
    </row>
    <row r="868" spans="1:48 2508:2508" x14ac:dyDescent="0.25">
      <c r="A868" t="s">
        <v>3323</v>
      </c>
      <c r="B868" t="s">
        <v>302</v>
      </c>
      <c r="C868" t="s">
        <v>62</v>
      </c>
      <c r="D868">
        <v>99999</v>
      </c>
      <c r="F868" s="109">
        <v>14000</v>
      </c>
      <c r="G868" t="b">
        <v>0</v>
      </c>
      <c r="H868" t="s">
        <v>315</v>
      </c>
      <c r="K868" t="s">
        <v>61</v>
      </c>
      <c r="L868" t="s">
        <v>303</v>
      </c>
      <c r="M868" t="s">
        <v>323</v>
      </c>
      <c r="N868" t="s">
        <v>63</v>
      </c>
      <c r="O868" s="110">
        <v>49.9</v>
      </c>
      <c r="R868" s="110">
        <v>278.09000000000003</v>
      </c>
      <c r="S868" s="110">
        <v>130</v>
      </c>
      <c r="T868" s="110">
        <v>0</v>
      </c>
      <c r="U868" s="110">
        <v>34.99</v>
      </c>
      <c r="X868">
        <v>68.200000000000017</v>
      </c>
      <c r="Y868">
        <v>44.9</v>
      </c>
      <c r="Z868">
        <v>44.9</v>
      </c>
      <c r="AA868">
        <v>0</v>
      </c>
      <c r="AB868" t="s">
        <v>324</v>
      </c>
      <c r="AF868" t="s">
        <v>3033</v>
      </c>
      <c r="AG868" t="s">
        <v>3033</v>
      </c>
      <c r="AH868" t="s">
        <v>1606</v>
      </c>
      <c r="AI868">
        <v>99999</v>
      </c>
      <c r="AJ868">
        <v>99999</v>
      </c>
      <c r="AK868">
        <v>699</v>
      </c>
      <c r="AL868" t="b">
        <v>1</v>
      </c>
      <c r="AM868" t="b">
        <v>1</v>
      </c>
      <c r="AN868" t="b">
        <v>0</v>
      </c>
      <c r="AO868">
        <v>99999</v>
      </c>
      <c r="AP868" t="s">
        <v>64</v>
      </c>
      <c r="AR868" t="b">
        <v>0</v>
      </c>
      <c r="AS868">
        <v>12</v>
      </c>
      <c r="AT868" t="s">
        <v>327</v>
      </c>
      <c r="AV868" t="s">
        <v>3034</v>
      </c>
      <c r="CRL868">
        <v>12</v>
      </c>
    </row>
    <row r="869" spans="1:48 2508:2508" x14ac:dyDescent="0.25">
      <c r="A869" t="s">
        <v>3323</v>
      </c>
      <c r="B869" t="s">
        <v>302</v>
      </c>
      <c r="C869" t="s">
        <v>62</v>
      </c>
      <c r="D869">
        <v>99999</v>
      </c>
      <c r="F869" s="109">
        <v>14000</v>
      </c>
      <c r="G869" t="b">
        <v>0</v>
      </c>
      <c r="H869" t="s">
        <v>315</v>
      </c>
      <c r="K869" t="s">
        <v>61</v>
      </c>
      <c r="L869" t="s">
        <v>303</v>
      </c>
      <c r="M869" t="s">
        <v>323</v>
      </c>
      <c r="N869" t="s">
        <v>63</v>
      </c>
      <c r="O869" s="110">
        <v>49.9</v>
      </c>
      <c r="R869" s="110">
        <v>307.39</v>
      </c>
      <c r="S869" s="110">
        <v>130</v>
      </c>
      <c r="T869" s="110">
        <v>0</v>
      </c>
      <c r="U869" s="110">
        <v>42.99</v>
      </c>
      <c r="X869">
        <v>89.499999999999972</v>
      </c>
      <c r="Y869">
        <v>44.9</v>
      </c>
      <c r="Z869">
        <v>44.9</v>
      </c>
      <c r="AA869">
        <v>0</v>
      </c>
      <c r="AB869" t="s">
        <v>324</v>
      </c>
      <c r="AF869" t="s">
        <v>3107</v>
      </c>
      <c r="AG869" t="s">
        <v>3107</v>
      </c>
      <c r="AH869" t="s">
        <v>1606</v>
      </c>
      <c r="AI869">
        <v>99999</v>
      </c>
      <c r="AJ869">
        <v>99999</v>
      </c>
      <c r="AK869">
        <v>699</v>
      </c>
      <c r="AL869" t="b">
        <v>1</v>
      </c>
      <c r="AM869" t="b">
        <v>1</v>
      </c>
      <c r="AN869" t="b">
        <v>0</v>
      </c>
      <c r="AO869">
        <v>99999</v>
      </c>
      <c r="AP869" t="s">
        <v>64</v>
      </c>
      <c r="AR869" t="b">
        <v>0</v>
      </c>
      <c r="AS869">
        <v>12</v>
      </c>
      <c r="AT869" t="s">
        <v>327</v>
      </c>
      <c r="AV869" t="s">
        <v>3108</v>
      </c>
      <c r="CRL869">
        <v>12</v>
      </c>
    </row>
    <row r="870" spans="1:48 2508:2508" x14ac:dyDescent="0.25">
      <c r="A870" t="s">
        <v>3323</v>
      </c>
      <c r="B870" t="s">
        <v>302</v>
      </c>
      <c r="C870" t="s">
        <v>62</v>
      </c>
      <c r="D870">
        <v>99999</v>
      </c>
      <c r="F870" s="109">
        <v>14000</v>
      </c>
      <c r="G870" t="b">
        <v>0</v>
      </c>
      <c r="H870" t="s">
        <v>343</v>
      </c>
      <c r="K870" t="s">
        <v>349</v>
      </c>
      <c r="L870" t="s">
        <v>303</v>
      </c>
      <c r="M870" t="s">
        <v>323</v>
      </c>
      <c r="N870" t="s">
        <v>63</v>
      </c>
      <c r="O870" s="110">
        <v>29.9</v>
      </c>
      <c r="R870" s="110">
        <v>365.59000000000003</v>
      </c>
      <c r="S870" s="110">
        <v>107.5</v>
      </c>
      <c r="T870" s="110">
        <v>0</v>
      </c>
      <c r="U870" s="110">
        <v>34.99</v>
      </c>
      <c r="X870">
        <v>178.20000000000002</v>
      </c>
      <c r="Y870">
        <v>44.9</v>
      </c>
      <c r="Z870">
        <v>44.9</v>
      </c>
      <c r="AA870">
        <v>0</v>
      </c>
      <c r="AB870" t="s">
        <v>324</v>
      </c>
      <c r="AF870" t="s">
        <v>1605</v>
      </c>
      <c r="AG870" t="s">
        <v>1605</v>
      </c>
      <c r="AH870" t="s">
        <v>1606</v>
      </c>
      <c r="AI870">
        <v>99999</v>
      </c>
      <c r="AJ870">
        <v>99999</v>
      </c>
      <c r="AK870">
        <v>699</v>
      </c>
      <c r="AL870" t="b">
        <v>1</v>
      </c>
      <c r="AM870" t="b">
        <v>1</v>
      </c>
      <c r="AN870" t="b">
        <v>0</v>
      </c>
      <c r="AO870">
        <v>99999</v>
      </c>
      <c r="AP870" t="s">
        <v>64</v>
      </c>
      <c r="AR870" t="b">
        <v>0</v>
      </c>
      <c r="AS870">
        <v>12</v>
      </c>
      <c r="AT870" t="s">
        <v>327</v>
      </c>
      <c r="AV870" t="s">
        <v>1628</v>
      </c>
      <c r="CRL870">
        <v>12</v>
      </c>
    </row>
    <row r="871" spans="1:48 2508:2508" x14ac:dyDescent="0.25">
      <c r="A871" t="s">
        <v>3323</v>
      </c>
      <c r="B871" t="s">
        <v>302</v>
      </c>
      <c r="C871" t="s">
        <v>62</v>
      </c>
      <c r="D871">
        <v>99999</v>
      </c>
      <c r="F871" s="109">
        <v>14000</v>
      </c>
      <c r="G871" t="b">
        <v>0</v>
      </c>
      <c r="H871" t="s">
        <v>343</v>
      </c>
      <c r="K871" t="s">
        <v>349</v>
      </c>
      <c r="L871" t="s">
        <v>303</v>
      </c>
      <c r="M871" t="s">
        <v>323</v>
      </c>
      <c r="N871" t="s">
        <v>63</v>
      </c>
      <c r="O871" s="110">
        <v>29.9</v>
      </c>
      <c r="R871" s="110">
        <v>394.89</v>
      </c>
      <c r="S871" s="110">
        <v>107.5</v>
      </c>
      <c r="T871" s="110">
        <v>0</v>
      </c>
      <c r="U871" s="110">
        <v>42.99</v>
      </c>
      <c r="X871">
        <v>199.49999999999997</v>
      </c>
      <c r="Y871">
        <v>44.9</v>
      </c>
      <c r="Z871">
        <v>44.9</v>
      </c>
      <c r="AA871">
        <v>0</v>
      </c>
      <c r="AB871" t="s">
        <v>324</v>
      </c>
      <c r="AF871" t="s">
        <v>1754</v>
      </c>
      <c r="AG871" t="s">
        <v>1754</v>
      </c>
      <c r="AH871" t="s">
        <v>1606</v>
      </c>
      <c r="AI871">
        <v>99999</v>
      </c>
      <c r="AJ871">
        <v>99999</v>
      </c>
      <c r="AK871">
        <v>699</v>
      </c>
      <c r="AL871" t="b">
        <v>1</v>
      </c>
      <c r="AM871" t="b">
        <v>1</v>
      </c>
      <c r="AN871" t="b">
        <v>0</v>
      </c>
      <c r="AO871">
        <v>99999</v>
      </c>
      <c r="AP871" t="s">
        <v>64</v>
      </c>
      <c r="AR871" t="b">
        <v>0</v>
      </c>
      <c r="AS871">
        <v>12</v>
      </c>
      <c r="AT871" t="s">
        <v>327</v>
      </c>
      <c r="AV871" t="s">
        <v>1776</v>
      </c>
      <c r="CRL871">
        <v>12</v>
      </c>
    </row>
    <row r="872" spans="1:48 2508:2508" x14ac:dyDescent="0.25">
      <c r="A872" t="s">
        <v>3323</v>
      </c>
      <c r="B872" t="s">
        <v>302</v>
      </c>
      <c r="C872" t="s">
        <v>62</v>
      </c>
      <c r="D872">
        <v>99999</v>
      </c>
      <c r="F872" s="109">
        <v>14000</v>
      </c>
      <c r="G872" t="b">
        <v>0</v>
      </c>
      <c r="H872" t="s">
        <v>343</v>
      </c>
      <c r="K872" t="s">
        <v>349</v>
      </c>
      <c r="L872" t="s">
        <v>303</v>
      </c>
      <c r="M872" t="s">
        <v>323</v>
      </c>
      <c r="N872" t="s">
        <v>63</v>
      </c>
      <c r="O872" s="110">
        <v>39.9</v>
      </c>
      <c r="R872" s="110">
        <v>365.59000000000003</v>
      </c>
      <c r="S872" s="110">
        <v>107.5</v>
      </c>
      <c r="T872" s="110">
        <v>0</v>
      </c>
      <c r="U872" s="110">
        <v>34.99</v>
      </c>
      <c r="X872">
        <v>178.20000000000002</v>
      </c>
      <c r="Y872">
        <v>44.9</v>
      </c>
      <c r="Z872">
        <v>44.9</v>
      </c>
      <c r="AA872">
        <v>0</v>
      </c>
      <c r="AB872" t="s">
        <v>324</v>
      </c>
      <c r="AF872" t="s">
        <v>1673</v>
      </c>
      <c r="AG872" t="s">
        <v>1673</v>
      </c>
      <c r="AH872" t="s">
        <v>1606</v>
      </c>
      <c r="AI872">
        <v>99999</v>
      </c>
      <c r="AJ872">
        <v>99999</v>
      </c>
      <c r="AK872">
        <v>699</v>
      </c>
      <c r="AL872" t="b">
        <v>1</v>
      </c>
      <c r="AM872" t="b">
        <v>1</v>
      </c>
      <c r="AN872" t="b">
        <v>0</v>
      </c>
      <c r="AO872">
        <v>99999</v>
      </c>
      <c r="AP872" t="s">
        <v>64</v>
      </c>
      <c r="AR872" t="b">
        <v>0</v>
      </c>
      <c r="AS872">
        <v>12</v>
      </c>
      <c r="AT872" t="s">
        <v>327</v>
      </c>
      <c r="AV872" t="s">
        <v>1695</v>
      </c>
      <c r="CRL872">
        <v>12</v>
      </c>
    </row>
    <row r="873" spans="1:48 2508:2508" x14ac:dyDescent="0.25">
      <c r="A873" t="s">
        <v>3323</v>
      </c>
      <c r="B873" t="s">
        <v>302</v>
      </c>
      <c r="C873" t="s">
        <v>62</v>
      </c>
      <c r="D873">
        <v>99999</v>
      </c>
      <c r="F873" s="109">
        <v>14000</v>
      </c>
      <c r="G873" t="b">
        <v>0</v>
      </c>
      <c r="H873" t="s">
        <v>343</v>
      </c>
      <c r="K873" t="s">
        <v>349</v>
      </c>
      <c r="L873" t="s">
        <v>303</v>
      </c>
      <c r="M873" t="s">
        <v>323</v>
      </c>
      <c r="N873" t="s">
        <v>63</v>
      </c>
      <c r="O873" s="110">
        <v>39.9</v>
      </c>
      <c r="R873" s="110">
        <v>394.89</v>
      </c>
      <c r="S873" s="110">
        <v>107.5</v>
      </c>
      <c r="T873" s="110">
        <v>0</v>
      </c>
      <c r="U873" s="110">
        <v>42.99</v>
      </c>
      <c r="X873">
        <v>199.49999999999997</v>
      </c>
      <c r="Y873">
        <v>44.9</v>
      </c>
      <c r="Z873">
        <v>44.9</v>
      </c>
      <c r="AA873">
        <v>0</v>
      </c>
      <c r="AB873" t="s">
        <v>324</v>
      </c>
      <c r="AF873" t="s">
        <v>1821</v>
      </c>
      <c r="AG873" t="s">
        <v>1821</v>
      </c>
      <c r="AH873" t="s">
        <v>1606</v>
      </c>
      <c r="AI873">
        <v>99999</v>
      </c>
      <c r="AJ873">
        <v>99999</v>
      </c>
      <c r="AK873">
        <v>699</v>
      </c>
      <c r="AL873" t="b">
        <v>1</v>
      </c>
      <c r="AM873" t="b">
        <v>1</v>
      </c>
      <c r="AN873" t="b">
        <v>0</v>
      </c>
      <c r="AO873">
        <v>99999</v>
      </c>
      <c r="AP873" t="s">
        <v>64</v>
      </c>
      <c r="AR873" t="b">
        <v>0</v>
      </c>
      <c r="AS873">
        <v>12</v>
      </c>
      <c r="AT873" t="s">
        <v>327</v>
      </c>
      <c r="AV873" t="s">
        <v>1843</v>
      </c>
      <c r="CRL873">
        <v>12</v>
      </c>
    </row>
    <row r="874" spans="1:48 2508:2508" x14ac:dyDescent="0.25">
      <c r="A874" t="s">
        <v>3323</v>
      </c>
      <c r="B874" t="s">
        <v>302</v>
      </c>
      <c r="C874" t="s">
        <v>62</v>
      </c>
      <c r="D874">
        <v>99999</v>
      </c>
      <c r="F874" s="109">
        <v>14000</v>
      </c>
      <c r="G874" t="b">
        <v>0</v>
      </c>
      <c r="H874" t="s">
        <v>343</v>
      </c>
      <c r="K874" t="s">
        <v>349</v>
      </c>
      <c r="L874" t="s">
        <v>303</v>
      </c>
      <c r="M874" t="s">
        <v>323</v>
      </c>
      <c r="N874" t="s">
        <v>63</v>
      </c>
      <c r="O874" s="110">
        <v>49.9</v>
      </c>
      <c r="R874" s="110">
        <v>388.09000000000003</v>
      </c>
      <c r="S874" s="110">
        <v>130</v>
      </c>
      <c r="T874" s="110">
        <v>0</v>
      </c>
      <c r="U874" s="110">
        <v>34.99</v>
      </c>
      <c r="X874">
        <v>178.20000000000002</v>
      </c>
      <c r="Y874">
        <v>44.9</v>
      </c>
      <c r="Z874">
        <v>44.9</v>
      </c>
      <c r="AA874">
        <v>0</v>
      </c>
      <c r="AB874" t="s">
        <v>324</v>
      </c>
      <c r="AF874" t="s">
        <v>3033</v>
      </c>
      <c r="AG874" t="s">
        <v>3033</v>
      </c>
      <c r="AH874" t="s">
        <v>1606</v>
      </c>
      <c r="AI874">
        <v>99999</v>
      </c>
      <c r="AJ874">
        <v>99999</v>
      </c>
      <c r="AK874">
        <v>699</v>
      </c>
      <c r="AL874" t="b">
        <v>1</v>
      </c>
      <c r="AM874" t="b">
        <v>1</v>
      </c>
      <c r="AN874" t="b">
        <v>0</v>
      </c>
      <c r="AO874">
        <v>99999</v>
      </c>
      <c r="AP874" t="s">
        <v>64</v>
      </c>
      <c r="AR874" t="b">
        <v>0</v>
      </c>
      <c r="AS874">
        <v>12</v>
      </c>
      <c r="AT874" t="s">
        <v>327</v>
      </c>
      <c r="AV874" t="s">
        <v>3055</v>
      </c>
      <c r="CRL874">
        <v>12</v>
      </c>
    </row>
    <row r="875" spans="1:48 2508:2508" x14ac:dyDescent="0.25">
      <c r="A875" t="s">
        <v>3323</v>
      </c>
      <c r="B875" t="s">
        <v>302</v>
      </c>
      <c r="C875" t="s">
        <v>62</v>
      </c>
      <c r="D875">
        <v>99999</v>
      </c>
      <c r="F875" s="109">
        <v>14000</v>
      </c>
      <c r="G875" t="b">
        <v>0</v>
      </c>
      <c r="H875" t="s">
        <v>343</v>
      </c>
      <c r="K875" t="s">
        <v>349</v>
      </c>
      <c r="L875" t="s">
        <v>303</v>
      </c>
      <c r="M875" t="s">
        <v>323</v>
      </c>
      <c r="N875" t="s">
        <v>63</v>
      </c>
      <c r="O875" s="110">
        <v>49.9</v>
      </c>
      <c r="R875" s="110">
        <v>417.39</v>
      </c>
      <c r="S875" s="110">
        <v>130</v>
      </c>
      <c r="T875" s="110">
        <v>0</v>
      </c>
      <c r="U875" s="110">
        <v>42.99</v>
      </c>
      <c r="X875">
        <v>199.49999999999997</v>
      </c>
      <c r="Y875">
        <v>44.9</v>
      </c>
      <c r="Z875">
        <v>44.9</v>
      </c>
      <c r="AA875">
        <v>0</v>
      </c>
      <c r="AB875" t="s">
        <v>324</v>
      </c>
      <c r="AF875" t="s">
        <v>3107</v>
      </c>
      <c r="AG875" t="s">
        <v>3107</v>
      </c>
      <c r="AH875" t="s">
        <v>1606</v>
      </c>
      <c r="AI875">
        <v>99999</v>
      </c>
      <c r="AJ875">
        <v>99999</v>
      </c>
      <c r="AK875">
        <v>699</v>
      </c>
      <c r="AL875" t="b">
        <v>1</v>
      </c>
      <c r="AM875" t="b">
        <v>1</v>
      </c>
      <c r="AN875" t="b">
        <v>0</v>
      </c>
      <c r="AO875">
        <v>99999</v>
      </c>
      <c r="AP875" t="s">
        <v>64</v>
      </c>
      <c r="AR875" t="b">
        <v>0</v>
      </c>
      <c r="AS875">
        <v>12</v>
      </c>
      <c r="AT875" t="s">
        <v>327</v>
      </c>
      <c r="AV875" t="s">
        <v>3129</v>
      </c>
      <c r="CRL875">
        <v>12</v>
      </c>
    </row>
    <row r="876" spans="1:48 2508:2508" x14ac:dyDescent="0.25">
      <c r="A876" t="s">
        <v>3323</v>
      </c>
      <c r="B876" t="s">
        <v>302</v>
      </c>
      <c r="C876" t="s">
        <v>62</v>
      </c>
      <c r="D876">
        <v>99999</v>
      </c>
      <c r="F876" s="109">
        <v>14000</v>
      </c>
      <c r="G876" t="b">
        <v>0</v>
      </c>
      <c r="H876" t="s">
        <v>343</v>
      </c>
      <c r="K876" t="s">
        <v>393</v>
      </c>
      <c r="L876" t="s">
        <v>303</v>
      </c>
      <c r="M876" t="s">
        <v>323</v>
      </c>
      <c r="N876" t="s">
        <v>63</v>
      </c>
      <c r="O876" s="110">
        <v>29.9</v>
      </c>
      <c r="R876" s="110">
        <v>390.59000000000003</v>
      </c>
      <c r="S876" s="110">
        <v>107.5</v>
      </c>
      <c r="T876" s="110">
        <v>0</v>
      </c>
      <c r="U876" s="110">
        <v>34.99</v>
      </c>
      <c r="X876">
        <v>178.20000000000002</v>
      </c>
      <c r="Y876">
        <v>69.900000000000006</v>
      </c>
      <c r="Z876">
        <v>69.900000000000006</v>
      </c>
      <c r="AA876">
        <v>0</v>
      </c>
      <c r="AB876" t="s">
        <v>363</v>
      </c>
      <c r="AF876" t="s">
        <v>1633</v>
      </c>
      <c r="AG876" t="s">
        <v>1633</v>
      </c>
      <c r="AH876" t="s">
        <v>1606</v>
      </c>
      <c r="AI876">
        <v>99999</v>
      </c>
      <c r="AJ876">
        <v>99999</v>
      </c>
      <c r="AK876">
        <v>699</v>
      </c>
      <c r="AL876" t="b">
        <v>1</v>
      </c>
      <c r="AM876" t="b">
        <v>1</v>
      </c>
      <c r="AN876" t="b">
        <v>0</v>
      </c>
      <c r="AO876">
        <v>99999</v>
      </c>
      <c r="AP876" t="s">
        <v>64</v>
      </c>
      <c r="AR876" t="b">
        <v>0</v>
      </c>
      <c r="AS876">
        <v>12</v>
      </c>
      <c r="AT876" t="s">
        <v>327</v>
      </c>
      <c r="AV876" t="s">
        <v>1668</v>
      </c>
      <c r="CRL876">
        <v>12</v>
      </c>
    </row>
    <row r="877" spans="1:48 2508:2508" x14ac:dyDescent="0.25">
      <c r="A877" t="s">
        <v>3323</v>
      </c>
      <c r="B877" t="s">
        <v>302</v>
      </c>
      <c r="C877" t="s">
        <v>62</v>
      </c>
      <c r="D877">
        <v>99999</v>
      </c>
      <c r="F877" s="109">
        <v>14000</v>
      </c>
      <c r="G877" t="b">
        <v>0</v>
      </c>
      <c r="H877" t="s">
        <v>343</v>
      </c>
      <c r="K877" t="s">
        <v>393</v>
      </c>
      <c r="L877" t="s">
        <v>303</v>
      </c>
      <c r="M877" t="s">
        <v>323</v>
      </c>
      <c r="N877" t="s">
        <v>63</v>
      </c>
      <c r="O877" s="110">
        <v>29.9</v>
      </c>
      <c r="R877" s="110">
        <v>419.89</v>
      </c>
      <c r="S877" s="110">
        <v>107.5</v>
      </c>
      <c r="T877" s="110">
        <v>0</v>
      </c>
      <c r="U877" s="110">
        <v>42.99</v>
      </c>
      <c r="X877">
        <v>199.49999999999997</v>
      </c>
      <c r="Y877">
        <v>69.900000000000006</v>
      </c>
      <c r="Z877">
        <v>69.900000000000006</v>
      </c>
      <c r="AA877">
        <v>0</v>
      </c>
      <c r="AB877" t="s">
        <v>363</v>
      </c>
      <c r="AF877" t="s">
        <v>1781</v>
      </c>
      <c r="AG877" t="s">
        <v>1781</v>
      </c>
      <c r="AH877" t="s">
        <v>1606</v>
      </c>
      <c r="AI877">
        <v>99999</v>
      </c>
      <c r="AJ877">
        <v>99999</v>
      </c>
      <c r="AK877">
        <v>699</v>
      </c>
      <c r="AL877" t="b">
        <v>1</v>
      </c>
      <c r="AM877" t="b">
        <v>1</v>
      </c>
      <c r="AN877" t="b">
        <v>0</v>
      </c>
      <c r="AO877">
        <v>99999</v>
      </c>
      <c r="AP877" t="s">
        <v>64</v>
      </c>
      <c r="AR877" t="b">
        <v>0</v>
      </c>
      <c r="AS877">
        <v>12</v>
      </c>
      <c r="AT877" t="s">
        <v>327</v>
      </c>
      <c r="AV877" t="s">
        <v>1816</v>
      </c>
      <c r="CRL877">
        <v>12</v>
      </c>
    </row>
    <row r="878" spans="1:48 2508:2508" x14ac:dyDescent="0.25">
      <c r="A878" t="s">
        <v>3323</v>
      </c>
      <c r="B878" t="s">
        <v>302</v>
      </c>
      <c r="C878" t="s">
        <v>62</v>
      </c>
      <c r="D878">
        <v>99999</v>
      </c>
      <c r="F878" s="109">
        <v>14000</v>
      </c>
      <c r="G878" t="b">
        <v>0</v>
      </c>
      <c r="H878" t="s">
        <v>343</v>
      </c>
      <c r="K878" t="s">
        <v>393</v>
      </c>
      <c r="L878" t="s">
        <v>303</v>
      </c>
      <c r="M878" t="s">
        <v>323</v>
      </c>
      <c r="N878" t="s">
        <v>63</v>
      </c>
      <c r="O878" s="110">
        <v>39.9</v>
      </c>
      <c r="R878" s="110">
        <v>390.59000000000003</v>
      </c>
      <c r="S878" s="110">
        <v>107.5</v>
      </c>
      <c r="T878" s="110">
        <v>0</v>
      </c>
      <c r="U878" s="110">
        <v>34.99</v>
      </c>
      <c r="X878">
        <v>178.20000000000002</v>
      </c>
      <c r="Y878">
        <v>69.900000000000006</v>
      </c>
      <c r="Z878">
        <v>69.900000000000006</v>
      </c>
      <c r="AA878">
        <v>0</v>
      </c>
      <c r="AB878" t="s">
        <v>363</v>
      </c>
      <c r="AF878" t="s">
        <v>1700</v>
      </c>
      <c r="AG878" t="s">
        <v>1700</v>
      </c>
      <c r="AH878" t="s">
        <v>1606</v>
      </c>
      <c r="AI878">
        <v>99999</v>
      </c>
      <c r="AJ878">
        <v>99999</v>
      </c>
      <c r="AK878">
        <v>699</v>
      </c>
      <c r="AL878" t="b">
        <v>1</v>
      </c>
      <c r="AM878" t="b">
        <v>1</v>
      </c>
      <c r="AN878" t="b">
        <v>0</v>
      </c>
      <c r="AO878">
        <v>99999</v>
      </c>
      <c r="AP878" t="s">
        <v>64</v>
      </c>
      <c r="AR878" t="b">
        <v>0</v>
      </c>
      <c r="AS878">
        <v>12</v>
      </c>
      <c r="AT878" t="s">
        <v>327</v>
      </c>
      <c r="AV878" t="s">
        <v>1735</v>
      </c>
      <c r="CRL878">
        <v>12</v>
      </c>
    </row>
    <row r="879" spans="1:48 2508:2508" x14ac:dyDescent="0.25">
      <c r="A879" t="s">
        <v>3323</v>
      </c>
      <c r="B879" t="s">
        <v>302</v>
      </c>
      <c r="C879" t="s">
        <v>62</v>
      </c>
      <c r="D879">
        <v>99999</v>
      </c>
      <c r="F879" s="109">
        <v>14000</v>
      </c>
      <c r="G879" t="b">
        <v>0</v>
      </c>
      <c r="H879" t="s">
        <v>343</v>
      </c>
      <c r="K879" t="s">
        <v>393</v>
      </c>
      <c r="L879" t="s">
        <v>303</v>
      </c>
      <c r="M879" t="s">
        <v>323</v>
      </c>
      <c r="N879" t="s">
        <v>63</v>
      </c>
      <c r="O879" s="110">
        <v>39.9</v>
      </c>
      <c r="R879" s="110">
        <v>419.89</v>
      </c>
      <c r="S879" s="110">
        <v>107.5</v>
      </c>
      <c r="T879" s="110">
        <v>0</v>
      </c>
      <c r="U879" s="110">
        <v>42.99</v>
      </c>
      <c r="X879">
        <v>199.49999999999997</v>
      </c>
      <c r="Y879">
        <v>69.900000000000006</v>
      </c>
      <c r="Z879">
        <v>69.900000000000006</v>
      </c>
      <c r="AA879">
        <v>0</v>
      </c>
      <c r="AB879" t="s">
        <v>363</v>
      </c>
      <c r="AF879" t="s">
        <v>1848</v>
      </c>
      <c r="AG879" t="s">
        <v>1848</v>
      </c>
      <c r="AH879" t="s">
        <v>1606</v>
      </c>
      <c r="AI879">
        <v>99999</v>
      </c>
      <c r="AJ879">
        <v>99999</v>
      </c>
      <c r="AK879">
        <v>699</v>
      </c>
      <c r="AL879" t="b">
        <v>1</v>
      </c>
      <c r="AM879" t="b">
        <v>1</v>
      </c>
      <c r="AN879" t="b">
        <v>0</v>
      </c>
      <c r="AO879">
        <v>99999</v>
      </c>
      <c r="AP879" t="s">
        <v>64</v>
      </c>
      <c r="AR879" t="b">
        <v>0</v>
      </c>
      <c r="AS879">
        <v>12</v>
      </c>
      <c r="AT879" t="s">
        <v>327</v>
      </c>
      <c r="AV879" t="s">
        <v>1883</v>
      </c>
      <c r="CRL879">
        <v>12</v>
      </c>
    </row>
    <row r="880" spans="1:48 2508:2508" x14ac:dyDescent="0.25">
      <c r="A880" t="s">
        <v>3323</v>
      </c>
      <c r="B880" t="s">
        <v>302</v>
      </c>
      <c r="C880" t="s">
        <v>62</v>
      </c>
      <c r="D880">
        <v>99999</v>
      </c>
      <c r="F880" s="109">
        <v>14000</v>
      </c>
      <c r="G880" t="b">
        <v>0</v>
      </c>
      <c r="H880" t="s">
        <v>343</v>
      </c>
      <c r="K880" t="s">
        <v>393</v>
      </c>
      <c r="L880" t="s">
        <v>303</v>
      </c>
      <c r="M880" t="s">
        <v>323</v>
      </c>
      <c r="N880" t="s">
        <v>63</v>
      </c>
      <c r="O880" s="110">
        <v>49.9</v>
      </c>
      <c r="R880" s="110">
        <v>413.09000000000003</v>
      </c>
      <c r="S880" s="110">
        <v>130</v>
      </c>
      <c r="T880" s="110">
        <v>0</v>
      </c>
      <c r="U880" s="110">
        <v>34.99</v>
      </c>
      <c r="X880">
        <v>178.20000000000002</v>
      </c>
      <c r="Y880">
        <v>69.900000000000006</v>
      </c>
      <c r="Z880">
        <v>69.900000000000006</v>
      </c>
      <c r="AA880">
        <v>0</v>
      </c>
      <c r="AB880" t="s">
        <v>363</v>
      </c>
      <c r="AF880" t="s">
        <v>3060</v>
      </c>
      <c r="AG880" t="s">
        <v>3060</v>
      </c>
      <c r="AH880" t="s">
        <v>1606</v>
      </c>
      <c r="AI880">
        <v>99999</v>
      </c>
      <c r="AJ880">
        <v>99999</v>
      </c>
      <c r="AK880">
        <v>699</v>
      </c>
      <c r="AL880" t="b">
        <v>1</v>
      </c>
      <c r="AM880" t="b">
        <v>1</v>
      </c>
      <c r="AN880" t="b">
        <v>0</v>
      </c>
      <c r="AO880">
        <v>99999</v>
      </c>
      <c r="AP880" t="s">
        <v>64</v>
      </c>
      <c r="AR880" t="b">
        <v>0</v>
      </c>
      <c r="AS880">
        <v>12</v>
      </c>
      <c r="AT880" t="s">
        <v>327</v>
      </c>
      <c r="AV880" t="s">
        <v>3095</v>
      </c>
      <c r="CRL880">
        <v>12</v>
      </c>
    </row>
    <row r="881" spans="1:48 2508:2508" x14ac:dyDescent="0.25">
      <c r="A881" t="s">
        <v>3323</v>
      </c>
      <c r="B881" t="s">
        <v>302</v>
      </c>
      <c r="C881" t="s">
        <v>62</v>
      </c>
      <c r="D881">
        <v>99999</v>
      </c>
      <c r="F881" s="109">
        <v>14000</v>
      </c>
      <c r="G881" t="b">
        <v>0</v>
      </c>
      <c r="H881" t="s">
        <v>343</v>
      </c>
      <c r="K881" t="s">
        <v>393</v>
      </c>
      <c r="L881" t="s">
        <v>303</v>
      </c>
      <c r="M881" t="s">
        <v>323</v>
      </c>
      <c r="N881" t="s">
        <v>63</v>
      </c>
      <c r="O881" s="110">
        <v>49.9</v>
      </c>
      <c r="R881" s="110">
        <v>442.39</v>
      </c>
      <c r="S881" s="110">
        <v>130</v>
      </c>
      <c r="T881" s="110">
        <v>0</v>
      </c>
      <c r="U881" s="110">
        <v>42.99</v>
      </c>
      <c r="X881">
        <v>199.49999999999997</v>
      </c>
      <c r="Y881">
        <v>69.900000000000006</v>
      </c>
      <c r="Z881">
        <v>69.900000000000006</v>
      </c>
      <c r="AA881">
        <v>0</v>
      </c>
      <c r="AB881" t="s">
        <v>363</v>
      </c>
      <c r="AF881" t="s">
        <v>3134</v>
      </c>
      <c r="AG881" t="s">
        <v>3134</v>
      </c>
      <c r="AH881" t="s">
        <v>1606</v>
      </c>
      <c r="AI881">
        <v>99999</v>
      </c>
      <c r="AJ881">
        <v>99999</v>
      </c>
      <c r="AK881">
        <v>699</v>
      </c>
      <c r="AL881" t="b">
        <v>1</v>
      </c>
      <c r="AM881" t="b">
        <v>1</v>
      </c>
      <c r="AN881" t="b">
        <v>0</v>
      </c>
      <c r="AO881">
        <v>99999</v>
      </c>
      <c r="AP881" t="s">
        <v>64</v>
      </c>
      <c r="AR881" t="b">
        <v>0</v>
      </c>
      <c r="AS881">
        <v>12</v>
      </c>
      <c r="AT881" t="s">
        <v>327</v>
      </c>
      <c r="AV881" t="s">
        <v>3169</v>
      </c>
      <c r="CRL881">
        <v>12</v>
      </c>
    </row>
    <row r="882" spans="1:48 2508:2508" x14ac:dyDescent="0.25">
      <c r="A882" t="s">
        <v>3323</v>
      </c>
      <c r="B882" t="s">
        <v>302</v>
      </c>
      <c r="C882" t="s">
        <v>62</v>
      </c>
      <c r="D882">
        <v>99999</v>
      </c>
      <c r="F882" s="109">
        <v>14000</v>
      </c>
      <c r="G882" t="b">
        <v>0</v>
      </c>
      <c r="H882" t="s">
        <v>343</v>
      </c>
      <c r="K882" t="s">
        <v>364</v>
      </c>
      <c r="L882" t="s">
        <v>303</v>
      </c>
      <c r="M882" t="s">
        <v>323</v>
      </c>
      <c r="N882" t="s">
        <v>63</v>
      </c>
      <c r="O882" s="110">
        <v>29.9</v>
      </c>
      <c r="R882" s="110">
        <v>370.59000000000003</v>
      </c>
      <c r="S882" s="110">
        <v>107.5</v>
      </c>
      <c r="T882" s="110">
        <v>0</v>
      </c>
      <c r="U882" s="110">
        <v>34.99</v>
      </c>
      <c r="X882">
        <v>178.20000000000002</v>
      </c>
      <c r="Y882">
        <v>49.9</v>
      </c>
      <c r="Z882">
        <v>49.9</v>
      </c>
      <c r="AA882">
        <v>0</v>
      </c>
      <c r="AB882" t="s">
        <v>363</v>
      </c>
      <c r="AF882" t="s">
        <v>1633</v>
      </c>
      <c r="AG882" t="s">
        <v>1633</v>
      </c>
      <c r="AH882" t="s">
        <v>1606</v>
      </c>
      <c r="AI882">
        <v>99999</v>
      </c>
      <c r="AJ882">
        <v>99999</v>
      </c>
      <c r="AK882">
        <v>699</v>
      </c>
      <c r="AL882" t="b">
        <v>1</v>
      </c>
      <c r="AM882" t="b">
        <v>1</v>
      </c>
      <c r="AN882" t="b">
        <v>0</v>
      </c>
      <c r="AO882">
        <v>99999</v>
      </c>
      <c r="AP882" t="s">
        <v>64</v>
      </c>
      <c r="AR882" t="b">
        <v>0</v>
      </c>
      <c r="AS882">
        <v>12</v>
      </c>
      <c r="AT882" t="s">
        <v>327</v>
      </c>
      <c r="AV882" t="s">
        <v>1642</v>
      </c>
      <c r="CRL882">
        <v>12</v>
      </c>
    </row>
    <row r="883" spans="1:48 2508:2508" x14ac:dyDescent="0.25">
      <c r="A883" t="s">
        <v>3323</v>
      </c>
      <c r="B883" t="s">
        <v>302</v>
      </c>
      <c r="C883" t="s">
        <v>62</v>
      </c>
      <c r="D883">
        <v>99999</v>
      </c>
      <c r="F883" s="109">
        <v>14000</v>
      </c>
      <c r="G883" t="b">
        <v>0</v>
      </c>
      <c r="H883" t="s">
        <v>343</v>
      </c>
      <c r="K883" t="s">
        <v>364</v>
      </c>
      <c r="L883" t="s">
        <v>303</v>
      </c>
      <c r="M883" t="s">
        <v>323</v>
      </c>
      <c r="N883" t="s">
        <v>63</v>
      </c>
      <c r="O883" s="110">
        <v>29.9</v>
      </c>
      <c r="R883" s="110">
        <v>399.89</v>
      </c>
      <c r="S883" s="110">
        <v>107.5</v>
      </c>
      <c r="T883" s="110">
        <v>0</v>
      </c>
      <c r="U883" s="110">
        <v>42.99</v>
      </c>
      <c r="X883">
        <v>199.49999999999997</v>
      </c>
      <c r="Y883">
        <v>49.9</v>
      </c>
      <c r="Z883">
        <v>49.9</v>
      </c>
      <c r="AA883">
        <v>0</v>
      </c>
      <c r="AB883" t="s">
        <v>363</v>
      </c>
      <c r="AF883" t="s">
        <v>1781</v>
      </c>
      <c r="AG883" t="s">
        <v>1781</v>
      </c>
      <c r="AH883" t="s">
        <v>1606</v>
      </c>
      <c r="AI883">
        <v>99999</v>
      </c>
      <c r="AJ883">
        <v>99999</v>
      </c>
      <c r="AK883">
        <v>699</v>
      </c>
      <c r="AL883" t="b">
        <v>1</v>
      </c>
      <c r="AM883" t="b">
        <v>1</v>
      </c>
      <c r="AN883" t="b">
        <v>0</v>
      </c>
      <c r="AO883">
        <v>99999</v>
      </c>
      <c r="AP883" t="s">
        <v>64</v>
      </c>
      <c r="AR883" t="b">
        <v>0</v>
      </c>
      <c r="AS883">
        <v>12</v>
      </c>
      <c r="AT883" t="s">
        <v>327</v>
      </c>
      <c r="AV883" t="s">
        <v>1790</v>
      </c>
      <c r="CRL883">
        <v>12</v>
      </c>
    </row>
    <row r="884" spans="1:48 2508:2508" x14ac:dyDescent="0.25">
      <c r="A884" t="s">
        <v>3323</v>
      </c>
      <c r="B884" t="s">
        <v>302</v>
      </c>
      <c r="C884" t="s">
        <v>62</v>
      </c>
      <c r="D884">
        <v>99999</v>
      </c>
      <c r="F884" s="109">
        <v>14000</v>
      </c>
      <c r="G884" t="b">
        <v>0</v>
      </c>
      <c r="H884" t="s">
        <v>343</v>
      </c>
      <c r="K884" t="s">
        <v>364</v>
      </c>
      <c r="L884" t="s">
        <v>303</v>
      </c>
      <c r="M884" t="s">
        <v>323</v>
      </c>
      <c r="N884" t="s">
        <v>63</v>
      </c>
      <c r="O884" s="110">
        <v>39.9</v>
      </c>
      <c r="R884" s="110">
        <v>370.59000000000003</v>
      </c>
      <c r="S884" s="110">
        <v>107.5</v>
      </c>
      <c r="T884" s="110">
        <v>0</v>
      </c>
      <c r="U884" s="110">
        <v>34.99</v>
      </c>
      <c r="X884">
        <v>178.20000000000002</v>
      </c>
      <c r="Y884">
        <v>49.9</v>
      </c>
      <c r="Z884">
        <v>49.9</v>
      </c>
      <c r="AA884">
        <v>0</v>
      </c>
      <c r="AB884" t="s">
        <v>363</v>
      </c>
      <c r="AF884" t="s">
        <v>1700</v>
      </c>
      <c r="AG884" t="s">
        <v>1700</v>
      </c>
      <c r="AH884" t="s">
        <v>1606</v>
      </c>
      <c r="AI884">
        <v>99999</v>
      </c>
      <c r="AJ884">
        <v>99999</v>
      </c>
      <c r="AK884">
        <v>699</v>
      </c>
      <c r="AL884" t="b">
        <v>1</v>
      </c>
      <c r="AM884" t="b">
        <v>1</v>
      </c>
      <c r="AN884" t="b">
        <v>0</v>
      </c>
      <c r="AO884">
        <v>99999</v>
      </c>
      <c r="AP884" t="s">
        <v>64</v>
      </c>
      <c r="AR884" t="b">
        <v>0</v>
      </c>
      <c r="AS884">
        <v>12</v>
      </c>
      <c r="AT884" t="s">
        <v>327</v>
      </c>
      <c r="AV884" t="s">
        <v>1709</v>
      </c>
      <c r="CRL884">
        <v>12</v>
      </c>
    </row>
    <row r="885" spans="1:48 2508:2508" x14ac:dyDescent="0.25">
      <c r="A885" t="s">
        <v>3323</v>
      </c>
      <c r="B885" t="s">
        <v>302</v>
      </c>
      <c r="C885" t="s">
        <v>62</v>
      </c>
      <c r="D885">
        <v>99999</v>
      </c>
      <c r="F885" s="109">
        <v>14000</v>
      </c>
      <c r="G885" t="b">
        <v>0</v>
      </c>
      <c r="H885" t="s">
        <v>343</v>
      </c>
      <c r="K885" t="s">
        <v>364</v>
      </c>
      <c r="L885" t="s">
        <v>303</v>
      </c>
      <c r="M885" t="s">
        <v>323</v>
      </c>
      <c r="N885" t="s">
        <v>63</v>
      </c>
      <c r="O885" s="110">
        <v>39.9</v>
      </c>
      <c r="R885" s="110">
        <v>399.89</v>
      </c>
      <c r="S885" s="110">
        <v>107.5</v>
      </c>
      <c r="T885" s="110">
        <v>0</v>
      </c>
      <c r="U885" s="110">
        <v>42.99</v>
      </c>
      <c r="X885">
        <v>199.49999999999997</v>
      </c>
      <c r="Y885">
        <v>49.9</v>
      </c>
      <c r="Z885">
        <v>49.9</v>
      </c>
      <c r="AA885">
        <v>0</v>
      </c>
      <c r="AB885" t="s">
        <v>363</v>
      </c>
      <c r="AF885" t="s">
        <v>1848</v>
      </c>
      <c r="AG885" t="s">
        <v>1848</v>
      </c>
      <c r="AH885" t="s">
        <v>1606</v>
      </c>
      <c r="AI885">
        <v>99999</v>
      </c>
      <c r="AJ885">
        <v>99999</v>
      </c>
      <c r="AK885">
        <v>699</v>
      </c>
      <c r="AL885" t="b">
        <v>1</v>
      </c>
      <c r="AM885" t="b">
        <v>1</v>
      </c>
      <c r="AN885" t="b">
        <v>0</v>
      </c>
      <c r="AO885">
        <v>99999</v>
      </c>
      <c r="AP885" t="s">
        <v>64</v>
      </c>
      <c r="AR885" t="b">
        <v>0</v>
      </c>
      <c r="AS885">
        <v>12</v>
      </c>
      <c r="AT885" t="s">
        <v>327</v>
      </c>
      <c r="AV885" t="s">
        <v>1857</v>
      </c>
      <c r="CRL885">
        <v>12</v>
      </c>
    </row>
    <row r="886" spans="1:48 2508:2508" x14ac:dyDescent="0.25">
      <c r="A886" t="s">
        <v>3323</v>
      </c>
      <c r="B886" t="s">
        <v>302</v>
      </c>
      <c r="C886" t="s">
        <v>62</v>
      </c>
      <c r="D886">
        <v>99999</v>
      </c>
      <c r="F886" s="109">
        <v>14000</v>
      </c>
      <c r="G886" t="b">
        <v>0</v>
      </c>
      <c r="H886" t="s">
        <v>343</v>
      </c>
      <c r="K886" t="s">
        <v>364</v>
      </c>
      <c r="L886" t="s">
        <v>303</v>
      </c>
      <c r="M886" t="s">
        <v>323</v>
      </c>
      <c r="N886" t="s">
        <v>63</v>
      </c>
      <c r="O886" s="110">
        <v>49.9</v>
      </c>
      <c r="R886" s="110">
        <v>393.09000000000003</v>
      </c>
      <c r="S886" s="110">
        <v>130</v>
      </c>
      <c r="T886" s="110">
        <v>0</v>
      </c>
      <c r="U886" s="110">
        <v>34.99</v>
      </c>
      <c r="X886">
        <v>178.20000000000002</v>
      </c>
      <c r="Y886">
        <v>49.9</v>
      </c>
      <c r="Z886">
        <v>49.9</v>
      </c>
      <c r="AA886">
        <v>0</v>
      </c>
      <c r="AB886" t="s">
        <v>363</v>
      </c>
      <c r="AF886" t="s">
        <v>3060</v>
      </c>
      <c r="AG886" t="s">
        <v>3060</v>
      </c>
      <c r="AH886" t="s">
        <v>1606</v>
      </c>
      <c r="AI886">
        <v>99999</v>
      </c>
      <c r="AJ886">
        <v>99999</v>
      </c>
      <c r="AK886">
        <v>699</v>
      </c>
      <c r="AL886" t="b">
        <v>1</v>
      </c>
      <c r="AM886" t="b">
        <v>1</v>
      </c>
      <c r="AN886" t="b">
        <v>0</v>
      </c>
      <c r="AO886">
        <v>99999</v>
      </c>
      <c r="AP886" t="s">
        <v>64</v>
      </c>
      <c r="AR886" t="b">
        <v>0</v>
      </c>
      <c r="AS886">
        <v>12</v>
      </c>
      <c r="AT886" t="s">
        <v>327</v>
      </c>
      <c r="AV886" t="s">
        <v>3069</v>
      </c>
      <c r="CRL886">
        <v>12</v>
      </c>
    </row>
    <row r="887" spans="1:48 2508:2508" x14ac:dyDescent="0.25">
      <c r="A887" t="s">
        <v>3323</v>
      </c>
      <c r="B887" t="s">
        <v>302</v>
      </c>
      <c r="C887" t="s">
        <v>62</v>
      </c>
      <c r="D887">
        <v>99999</v>
      </c>
      <c r="F887" s="109">
        <v>14000</v>
      </c>
      <c r="G887" t="b">
        <v>0</v>
      </c>
      <c r="H887" t="s">
        <v>343</v>
      </c>
      <c r="K887" t="s">
        <v>364</v>
      </c>
      <c r="L887" t="s">
        <v>303</v>
      </c>
      <c r="M887" t="s">
        <v>323</v>
      </c>
      <c r="N887" t="s">
        <v>63</v>
      </c>
      <c r="O887" s="110">
        <v>49.9</v>
      </c>
      <c r="R887" s="110">
        <v>422.39</v>
      </c>
      <c r="S887" s="110">
        <v>130</v>
      </c>
      <c r="T887" s="110">
        <v>0</v>
      </c>
      <c r="U887" s="110">
        <v>42.99</v>
      </c>
      <c r="X887">
        <v>199.49999999999997</v>
      </c>
      <c r="Y887">
        <v>49.9</v>
      </c>
      <c r="Z887">
        <v>49.9</v>
      </c>
      <c r="AA887">
        <v>0</v>
      </c>
      <c r="AB887" t="s">
        <v>363</v>
      </c>
      <c r="AF887" t="s">
        <v>3134</v>
      </c>
      <c r="AG887" t="s">
        <v>3134</v>
      </c>
      <c r="AH887" t="s">
        <v>1606</v>
      </c>
      <c r="AI887">
        <v>99999</v>
      </c>
      <c r="AJ887">
        <v>99999</v>
      </c>
      <c r="AK887">
        <v>699</v>
      </c>
      <c r="AL887" t="b">
        <v>1</v>
      </c>
      <c r="AM887" t="b">
        <v>1</v>
      </c>
      <c r="AN887" t="b">
        <v>0</v>
      </c>
      <c r="AO887">
        <v>99999</v>
      </c>
      <c r="AP887" t="s">
        <v>64</v>
      </c>
      <c r="AR887" t="b">
        <v>0</v>
      </c>
      <c r="AS887">
        <v>12</v>
      </c>
      <c r="AT887" t="s">
        <v>327</v>
      </c>
      <c r="AV887" t="s">
        <v>3143</v>
      </c>
      <c r="CRL887">
        <v>12</v>
      </c>
    </row>
    <row r="888" spans="1:48 2508:2508" x14ac:dyDescent="0.25">
      <c r="A888" t="s">
        <v>3323</v>
      </c>
      <c r="B888" t="s">
        <v>302</v>
      </c>
      <c r="C888" t="s">
        <v>62</v>
      </c>
      <c r="D888">
        <v>99999</v>
      </c>
      <c r="F888" s="109">
        <v>14000</v>
      </c>
      <c r="G888" t="b">
        <v>0</v>
      </c>
      <c r="H888" t="s">
        <v>343</v>
      </c>
      <c r="K888" t="s">
        <v>379</v>
      </c>
      <c r="L888" t="s">
        <v>303</v>
      </c>
      <c r="M888" t="s">
        <v>323</v>
      </c>
      <c r="N888" t="s">
        <v>63</v>
      </c>
      <c r="O888" s="110">
        <v>29.9</v>
      </c>
      <c r="R888" s="110">
        <v>380.59000000000003</v>
      </c>
      <c r="S888" s="110">
        <v>107.5</v>
      </c>
      <c r="T888" s="110">
        <v>0</v>
      </c>
      <c r="U888" s="110">
        <v>34.99</v>
      </c>
      <c r="X888">
        <v>178.20000000000002</v>
      </c>
      <c r="Y888">
        <v>59.9</v>
      </c>
      <c r="Z888">
        <v>59.9</v>
      </c>
      <c r="AA888">
        <v>0</v>
      </c>
      <c r="AB888" t="s">
        <v>363</v>
      </c>
      <c r="AF888" t="s">
        <v>1633</v>
      </c>
      <c r="AG888" t="s">
        <v>1633</v>
      </c>
      <c r="AH888" t="s">
        <v>1606</v>
      </c>
      <c r="AI888">
        <v>99999</v>
      </c>
      <c r="AJ888">
        <v>99999</v>
      </c>
      <c r="AK888">
        <v>699</v>
      </c>
      <c r="AL888" t="b">
        <v>1</v>
      </c>
      <c r="AM888" t="b">
        <v>1</v>
      </c>
      <c r="AN888" t="b">
        <v>0</v>
      </c>
      <c r="AO888">
        <v>99999</v>
      </c>
      <c r="AP888" t="s">
        <v>64</v>
      </c>
      <c r="AR888" t="b">
        <v>0</v>
      </c>
      <c r="AS888">
        <v>12</v>
      </c>
      <c r="AT888" t="s">
        <v>327</v>
      </c>
      <c r="AV888" t="s">
        <v>1655</v>
      </c>
      <c r="CRL888">
        <v>12</v>
      </c>
    </row>
    <row r="889" spans="1:48 2508:2508" x14ac:dyDescent="0.25">
      <c r="A889" t="s">
        <v>3323</v>
      </c>
      <c r="B889" t="s">
        <v>302</v>
      </c>
      <c r="C889" t="s">
        <v>62</v>
      </c>
      <c r="D889">
        <v>99999</v>
      </c>
      <c r="F889" s="109">
        <v>14000</v>
      </c>
      <c r="G889" t="b">
        <v>0</v>
      </c>
      <c r="H889" t="s">
        <v>343</v>
      </c>
      <c r="K889" t="s">
        <v>379</v>
      </c>
      <c r="L889" t="s">
        <v>303</v>
      </c>
      <c r="M889" t="s">
        <v>323</v>
      </c>
      <c r="N889" t="s">
        <v>63</v>
      </c>
      <c r="O889" s="110">
        <v>29.9</v>
      </c>
      <c r="R889" s="110">
        <v>409.89</v>
      </c>
      <c r="S889" s="110">
        <v>107.5</v>
      </c>
      <c r="T889" s="110">
        <v>0</v>
      </c>
      <c r="U889" s="110">
        <v>42.99</v>
      </c>
      <c r="X889">
        <v>199.49999999999997</v>
      </c>
      <c r="Y889">
        <v>59.9</v>
      </c>
      <c r="Z889">
        <v>59.9</v>
      </c>
      <c r="AA889">
        <v>0</v>
      </c>
      <c r="AB889" t="s">
        <v>363</v>
      </c>
      <c r="AF889" t="s">
        <v>1781</v>
      </c>
      <c r="AG889" t="s">
        <v>1781</v>
      </c>
      <c r="AH889" t="s">
        <v>1606</v>
      </c>
      <c r="AI889">
        <v>99999</v>
      </c>
      <c r="AJ889">
        <v>99999</v>
      </c>
      <c r="AK889">
        <v>699</v>
      </c>
      <c r="AL889" t="b">
        <v>1</v>
      </c>
      <c r="AM889" t="b">
        <v>1</v>
      </c>
      <c r="AN889" t="b">
        <v>0</v>
      </c>
      <c r="AO889">
        <v>99999</v>
      </c>
      <c r="AP889" t="s">
        <v>64</v>
      </c>
      <c r="AR889" t="b">
        <v>0</v>
      </c>
      <c r="AS889">
        <v>12</v>
      </c>
      <c r="AT889" t="s">
        <v>327</v>
      </c>
      <c r="AV889" t="s">
        <v>1803</v>
      </c>
      <c r="CRL889">
        <v>12</v>
      </c>
    </row>
    <row r="890" spans="1:48 2508:2508" x14ac:dyDescent="0.25">
      <c r="A890" t="s">
        <v>3323</v>
      </c>
      <c r="B890" t="s">
        <v>302</v>
      </c>
      <c r="C890" t="s">
        <v>62</v>
      </c>
      <c r="D890">
        <v>99999</v>
      </c>
      <c r="F890" s="109">
        <v>14000</v>
      </c>
      <c r="G890" t="b">
        <v>0</v>
      </c>
      <c r="H890" t="s">
        <v>343</v>
      </c>
      <c r="K890" t="s">
        <v>379</v>
      </c>
      <c r="L890" t="s">
        <v>303</v>
      </c>
      <c r="M890" t="s">
        <v>323</v>
      </c>
      <c r="N890" t="s">
        <v>63</v>
      </c>
      <c r="O890" s="110">
        <v>39.9</v>
      </c>
      <c r="R890" s="110">
        <v>380.59000000000003</v>
      </c>
      <c r="S890" s="110">
        <v>107.5</v>
      </c>
      <c r="T890" s="110">
        <v>0</v>
      </c>
      <c r="U890" s="110">
        <v>34.99</v>
      </c>
      <c r="X890">
        <v>178.20000000000002</v>
      </c>
      <c r="Y890">
        <v>59.9</v>
      </c>
      <c r="Z890">
        <v>59.9</v>
      </c>
      <c r="AA890">
        <v>0</v>
      </c>
      <c r="AB890" t="s">
        <v>363</v>
      </c>
      <c r="AF890" t="s">
        <v>1700</v>
      </c>
      <c r="AG890" t="s">
        <v>1700</v>
      </c>
      <c r="AH890" t="s">
        <v>1606</v>
      </c>
      <c r="AI890">
        <v>99999</v>
      </c>
      <c r="AJ890">
        <v>99999</v>
      </c>
      <c r="AK890">
        <v>699</v>
      </c>
      <c r="AL890" t="b">
        <v>1</v>
      </c>
      <c r="AM890" t="b">
        <v>1</v>
      </c>
      <c r="AN890" t="b">
        <v>0</v>
      </c>
      <c r="AO890">
        <v>99999</v>
      </c>
      <c r="AP890" t="s">
        <v>64</v>
      </c>
      <c r="AR890" t="b">
        <v>0</v>
      </c>
      <c r="AS890">
        <v>12</v>
      </c>
      <c r="AT890" t="s">
        <v>327</v>
      </c>
      <c r="AV890" t="s">
        <v>1722</v>
      </c>
      <c r="CRL890">
        <v>12</v>
      </c>
    </row>
    <row r="891" spans="1:48 2508:2508" x14ac:dyDescent="0.25">
      <c r="A891" t="s">
        <v>3323</v>
      </c>
      <c r="B891" t="s">
        <v>302</v>
      </c>
      <c r="C891" t="s">
        <v>62</v>
      </c>
      <c r="D891">
        <v>99999</v>
      </c>
      <c r="F891" s="109">
        <v>14000</v>
      </c>
      <c r="G891" t="b">
        <v>0</v>
      </c>
      <c r="H891" t="s">
        <v>343</v>
      </c>
      <c r="K891" t="s">
        <v>379</v>
      </c>
      <c r="L891" t="s">
        <v>303</v>
      </c>
      <c r="M891" t="s">
        <v>323</v>
      </c>
      <c r="N891" t="s">
        <v>63</v>
      </c>
      <c r="O891" s="110">
        <v>39.9</v>
      </c>
      <c r="R891" s="110">
        <v>409.89</v>
      </c>
      <c r="S891" s="110">
        <v>107.5</v>
      </c>
      <c r="T891" s="110">
        <v>0</v>
      </c>
      <c r="U891" s="110">
        <v>42.99</v>
      </c>
      <c r="X891">
        <v>199.49999999999997</v>
      </c>
      <c r="Y891">
        <v>59.9</v>
      </c>
      <c r="Z891">
        <v>59.9</v>
      </c>
      <c r="AA891">
        <v>0</v>
      </c>
      <c r="AB891" t="s">
        <v>363</v>
      </c>
      <c r="AF891" t="s">
        <v>1848</v>
      </c>
      <c r="AG891" t="s">
        <v>1848</v>
      </c>
      <c r="AH891" t="s">
        <v>1606</v>
      </c>
      <c r="AI891">
        <v>99999</v>
      </c>
      <c r="AJ891">
        <v>99999</v>
      </c>
      <c r="AK891">
        <v>699</v>
      </c>
      <c r="AL891" t="b">
        <v>1</v>
      </c>
      <c r="AM891" t="b">
        <v>1</v>
      </c>
      <c r="AN891" t="b">
        <v>0</v>
      </c>
      <c r="AO891">
        <v>99999</v>
      </c>
      <c r="AP891" t="s">
        <v>64</v>
      </c>
      <c r="AR891" t="b">
        <v>0</v>
      </c>
      <c r="AS891">
        <v>12</v>
      </c>
      <c r="AT891" t="s">
        <v>327</v>
      </c>
      <c r="AV891" t="s">
        <v>1870</v>
      </c>
      <c r="CRL891">
        <v>12</v>
      </c>
    </row>
    <row r="892" spans="1:48 2508:2508" x14ac:dyDescent="0.25">
      <c r="A892" t="s">
        <v>3323</v>
      </c>
      <c r="B892" t="s">
        <v>302</v>
      </c>
      <c r="C892" t="s">
        <v>62</v>
      </c>
      <c r="D892">
        <v>99999</v>
      </c>
      <c r="F892" s="109">
        <v>14000</v>
      </c>
      <c r="G892" t="b">
        <v>0</v>
      </c>
      <c r="H892" t="s">
        <v>343</v>
      </c>
      <c r="K892" t="s">
        <v>379</v>
      </c>
      <c r="L892" t="s">
        <v>303</v>
      </c>
      <c r="M892" t="s">
        <v>323</v>
      </c>
      <c r="N892" t="s">
        <v>63</v>
      </c>
      <c r="O892" s="110">
        <v>49.9</v>
      </c>
      <c r="R892" s="110">
        <v>403.09000000000003</v>
      </c>
      <c r="S892" s="110">
        <v>130</v>
      </c>
      <c r="T892" s="110">
        <v>0</v>
      </c>
      <c r="U892" s="110">
        <v>34.99</v>
      </c>
      <c r="X892">
        <v>178.20000000000002</v>
      </c>
      <c r="Y892">
        <v>59.9</v>
      </c>
      <c r="Z892">
        <v>59.9</v>
      </c>
      <c r="AA892">
        <v>0</v>
      </c>
      <c r="AB892" t="s">
        <v>363</v>
      </c>
      <c r="AF892" t="s">
        <v>3060</v>
      </c>
      <c r="AG892" t="s">
        <v>3060</v>
      </c>
      <c r="AH892" t="s">
        <v>1606</v>
      </c>
      <c r="AI892">
        <v>99999</v>
      </c>
      <c r="AJ892">
        <v>99999</v>
      </c>
      <c r="AK892">
        <v>699</v>
      </c>
      <c r="AL892" t="b">
        <v>1</v>
      </c>
      <c r="AM892" t="b">
        <v>1</v>
      </c>
      <c r="AN892" t="b">
        <v>0</v>
      </c>
      <c r="AO892">
        <v>99999</v>
      </c>
      <c r="AP892" t="s">
        <v>64</v>
      </c>
      <c r="AR892" t="b">
        <v>0</v>
      </c>
      <c r="AS892">
        <v>12</v>
      </c>
      <c r="AT892" t="s">
        <v>327</v>
      </c>
      <c r="AV892" t="s">
        <v>3082</v>
      </c>
      <c r="CRL892">
        <v>12</v>
      </c>
    </row>
    <row r="893" spans="1:48 2508:2508" x14ac:dyDescent="0.25">
      <c r="A893" t="s">
        <v>3323</v>
      </c>
      <c r="B893" t="s">
        <v>302</v>
      </c>
      <c r="C893" t="s">
        <v>62</v>
      </c>
      <c r="D893">
        <v>99999</v>
      </c>
      <c r="F893" s="109">
        <v>14000</v>
      </c>
      <c r="G893" t="b">
        <v>0</v>
      </c>
      <c r="H893" t="s">
        <v>343</v>
      </c>
      <c r="K893" t="s">
        <v>379</v>
      </c>
      <c r="L893" t="s">
        <v>303</v>
      </c>
      <c r="M893" t="s">
        <v>323</v>
      </c>
      <c r="N893" t="s">
        <v>63</v>
      </c>
      <c r="O893" s="110">
        <v>49.9</v>
      </c>
      <c r="R893" s="110">
        <v>432.39</v>
      </c>
      <c r="S893" s="110">
        <v>130</v>
      </c>
      <c r="T893" s="110">
        <v>0</v>
      </c>
      <c r="U893" s="110">
        <v>42.99</v>
      </c>
      <c r="X893">
        <v>199.49999999999997</v>
      </c>
      <c r="Y893">
        <v>59.9</v>
      </c>
      <c r="Z893">
        <v>59.9</v>
      </c>
      <c r="AA893">
        <v>0</v>
      </c>
      <c r="AB893" t="s">
        <v>363</v>
      </c>
      <c r="AF893" t="s">
        <v>3134</v>
      </c>
      <c r="AG893" t="s">
        <v>3134</v>
      </c>
      <c r="AH893" t="s">
        <v>1606</v>
      </c>
      <c r="AI893">
        <v>99999</v>
      </c>
      <c r="AJ893">
        <v>99999</v>
      </c>
      <c r="AK893">
        <v>699</v>
      </c>
      <c r="AL893" t="b">
        <v>1</v>
      </c>
      <c r="AM893" t="b">
        <v>1</v>
      </c>
      <c r="AN893" t="b">
        <v>0</v>
      </c>
      <c r="AO893">
        <v>99999</v>
      </c>
      <c r="AP893" t="s">
        <v>64</v>
      </c>
      <c r="AR893" t="b">
        <v>0</v>
      </c>
      <c r="AS893">
        <v>12</v>
      </c>
      <c r="AT893" t="s">
        <v>327</v>
      </c>
      <c r="AV893" t="s">
        <v>3156</v>
      </c>
      <c r="CRL893">
        <v>12</v>
      </c>
    </row>
    <row r="894" spans="1:48 2508:2508" x14ac:dyDescent="0.25">
      <c r="A894" t="s">
        <v>3323</v>
      </c>
      <c r="B894" t="s">
        <v>302</v>
      </c>
      <c r="C894" t="s">
        <v>62</v>
      </c>
      <c r="D894">
        <v>99999</v>
      </c>
      <c r="F894" s="109">
        <v>14000</v>
      </c>
      <c r="G894" t="b">
        <v>0</v>
      </c>
      <c r="H894" t="s">
        <v>343</v>
      </c>
      <c r="K894" t="s">
        <v>61</v>
      </c>
      <c r="L894" t="s">
        <v>303</v>
      </c>
      <c r="M894" t="s">
        <v>323</v>
      </c>
      <c r="N894" t="s">
        <v>63</v>
      </c>
      <c r="O894" s="110">
        <v>29.9</v>
      </c>
      <c r="R894" s="110">
        <v>365.59000000000003</v>
      </c>
      <c r="S894" s="110">
        <v>107.5</v>
      </c>
      <c r="T894" s="110">
        <v>0</v>
      </c>
      <c r="U894" s="110">
        <v>34.99</v>
      </c>
      <c r="X894">
        <v>178.20000000000002</v>
      </c>
      <c r="Y894">
        <v>44.9</v>
      </c>
      <c r="Z894">
        <v>44.9</v>
      </c>
      <c r="AA894">
        <v>0</v>
      </c>
      <c r="AB894" t="s">
        <v>324</v>
      </c>
      <c r="AF894" t="s">
        <v>1605</v>
      </c>
      <c r="AG894" t="s">
        <v>1605</v>
      </c>
      <c r="AH894" t="s">
        <v>1606</v>
      </c>
      <c r="AI894">
        <v>99999</v>
      </c>
      <c r="AJ894">
        <v>99999</v>
      </c>
      <c r="AK894">
        <v>699</v>
      </c>
      <c r="AL894" t="b">
        <v>1</v>
      </c>
      <c r="AM894" t="b">
        <v>1</v>
      </c>
      <c r="AN894" t="b">
        <v>0</v>
      </c>
      <c r="AO894">
        <v>99999</v>
      </c>
      <c r="AP894" t="s">
        <v>64</v>
      </c>
      <c r="AR894" t="b">
        <v>0</v>
      </c>
      <c r="AS894">
        <v>12</v>
      </c>
      <c r="AT894" t="s">
        <v>327</v>
      </c>
      <c r="AV894" t="s">
        <v>1615</v>
      </c>
      <c r="CRL894">
        <v>12</v>
      </c>
    </row>
    <row r="895" spans="1:48 2508:2508" x14ac:dyDescent="0.25">
      <c r="A895" t="s">
        <v>3323</v>
      </c>
      <c r="B895" t="s">
        <v>302</v>
      </c>
      <c r="C895" t="s">
        <v>62</v>
      </c>
      <c r="D895">
        <v>99999</v>
      </c>
      <c r="F895" s="109">
        <v>14000</v>
      </c>
      <c r="G895" t="b">
        <v>0</v>
      </c>
      <c r="H895" t="s">
        <v>343</v>
      </c>
      <c r="K895" t="s">
        <v>61</v>
      </c>
      <c r="L895" t="s">
        <v>303</v>
      </c>
      <c r="M895" t="s">
        <v>323</v>
      </c>
      <c r="N895" t="s">
        <v>63</v>
      </c>
      <c r="O895" s="110">
        <v>29.9</v>
      </c>
      <c r="R895" s="110">
        <v>394.89</v>
      </c>
      <c r="S895" s="110">
        <v>107.5</v>
      </c>
      <c r="T895" s="110">
        <v>0</v>
      </c>
      <c r="U895" s="110">
        <v>42.99</v>
      </c>
      <c r="X895">
        <v>199.49999999999997</v>
      </c>
      <c r="Y895">
        <v>44.9</v>
      </c>
      <c r="Z895">
        <v>44.9</v>
      </c>
      <c r="AA895">
        <v>0</v>
      </c>
      <c r="AB895" t="s">
        <v>324</v>
      </c>
      <c r="AF895" t="s">
        <v>1754</v>
      </c>
      <c r="AG895" t="s">
        <v>1754</v>
      </c>
      <c r="AH895" t="s">
        <v>1606</v>
      </c>
      <c r="AI895">
        <v>99999</v>
      </c>
      <c r="AJ895">
        <v>99999</v>
      </c>
      <c r="AK895">
        <v>699</v>
      </c>
      <c r="AL895" t="b">
        <v>1</v>
      </c>
      <c r="AM895" t="b">
        <v>1</v>
      </c>
      <c r="AN895" t="b">
        <v>0</v>
      </c>
      <c r="AO895">
        <v>99999</v>
      </c>
      <c r="AP895" t="s">
        <v>64</v>
      </c>
      <c r="AR895" t="b">
        <v>0</v>
      </c>
      <c r="AS895">
        <v>12</v>
      </c>
      <c r="AT895" t="s">
        <v>327</v>
      </c>
      <c r="AV895" t="s">
        <v>1763</v>
      </c>
      <c r="CRL895">
        <v>12</v>
      </c>
    </row>
    <row r="896" spans="1:48 2508:2508" x14ac:dyDescent="0.25">
      <c r="A896" t="s">
        <v>3323</v>
      </c>
      <c r="B896" t="s">
        <v>302</v>
      </c>
      <c r="C896" t="s">
        <v>62</v>
      </c>
      <c r="D896">
        <v>99999</v>
      </c>
      <c r="F896" s="109">
        <v>14000</v>
      </c>
      <c r="G896" t="b">
        <v>0</v>
      </c>
      <c r="H896" t="s">
        <v>343</v>
      </c>
      <c r="K896" t="s">
        <v>61</v>
      </c>
      <c r="L896" t="s">
        <v>303</v>
      </c>
      <c r="M896" t="s">
        <v>323</v>
      </c>
      <c r="N896" t="s">
        <v>63</v>
      </c>
      <c r="O896" s="110">
        <v>39.9</v>
      </c>
      <c r="R896" s="110">
        <v>365.59000000000003</v>
      </c>
      <c r="S896" s="110">
        <v>107.5</v>
      </c>
      <c r="T896" s="110">
        <v>0</v>
      </c>
      <c r="U896" s="110">
        <v>34.99</v>
      </c>
      <c r="X896">
        <v>178.20000000000002</v>
      </c>
      <c r="Y896">
        <v>44.9</v>
      </c>
      <c r="Z896">
        <v>44.9</v>
      </c>
      <c r="AA896">
        <v>0</v>
      </c>
      <c r="AB896" t="s">
        <v>324</v>
      </c>
      <c r="AF896" t="s">
        <v>1673</v>
      </c>
      <c r="AG896" t="s">
        <v>1673</v>
      </c>
      <c r="AH896" t="s">
        <v>1606</v>
      </c>
      <c r="AI896">
        <v>99999</v>
      </c>
      <c r="AJ896">
        <v>99999</v>
      </c>
      <c r="AK896">
        <v>699</v>
      </c>
      <c r="AL896" t="b">
        <v>1</v>
      </c>
      <c r="AM896" t="b">
        <v>1</v>
      </c>
      <c r="AN896" t="b">
        <v>0</v>
      </c>
      <c r="AO896">
        <v>99999</v>
      </c>
      <c r="AP896" t="s">
        <v>64</v>
      </c>
      <c r="AR896" t="b">
        <v>0</v>
      </c>
      <c r="AS896">
        <v>12</v>
      </c>
      <c r="AT896" t="s">
        <v>327</v>
      </c>
      <c r="AV896" t="s">
        <v>1682</v>
      </c>
      <c r="CRL896">
        <v>12</v>
      </c>
    </row>
    <row r="897" spans="1:48 2508:2508" x14ac:dyDescent="0.25">
      <c r="A897" t="s">
        <v>3323</v>
      </c>
      <c r="B897" t="s">
        <v>302</v>
      </c>
      <c r="C897" t="s">
        <v>62</v>
      </c>
      <c r="D897">
        <v>99999</v>
      </c>
      <c r="F897" s="109">
        <v>14000</v>
      </c>
      <c r="G897" t="b">
        <v>0</v>
      </c>
      <c r="H897" t="s">
        <v>343</v>
      </c>
      <c r="K897" t="s">
        <v>61</v>
      </c>
      <c r="L897" t="s">
        <v>303</v>
      </c>
      <c r="M897" t="s">
        <v>323</v>
      </c>
      <c r="N897" t="s">
        <v>63</v>
      </c>
      <c r="O897" s="110">
        <v>39.9</v>
      </c>
      <c r="R897" s="110">
        <v>394.89</v>
      </c>
      <c r="S897" s="110">
        <v>107.5</v>
      </c>
      <c r="T897" s="110">
        <v>0</v>
      </c>
      <c r="U897" s="110">
        <v>42.99</v>
      </c>
      <c r="X897">
        <v>199.49999999999997</v>
      </c>
      <c r="Y897">
        <v>44.9</v>
      </c>
      <c r="Z897">
        <v>44.9</v>
      </c>
      <c r="AA897">
        <v>0</v>
      </c>
      <c r="AB897" t="s">
        <v>324</v>
      </c>
      <c r="AF897" t="s">
        <v>1821</v>
      </c>
      <c r="AG897" t="s">
        <v>1821</v>
      </c>
      <c r="AH897" t="s">
        <v>1606</v>
      </c>
      <c r="AI897">
        <v>99999</v>
      </c>
      <c r="AJ897">
        <v>99999</v>
      </c>
      <c r="AK897">
        <v>699</v>
      </c>
      <c r="AL897" t="b">
        <v>1</v>
      </c>
      <c r="AM897" t="b">
        <v>1</v>
      </c>
      <c r="AN897" t="b">
        <v>0</v>
      </c>
      <c r="AO897">
        <v>99999</v>
      </c>
      <c r="AP897" t="s">
        <v>64</v>
      </c>
      <c r="AR897" t="b">
        <v>0</v>
      </c>
      <c r="AS897">
        <v>12</v>
      </c>
      <c r="AT897" t="s">
        <v>327</v>
      </c>
      <c r="AV897" t="s">
        <v>1830</v>
      </c>
      <c r="CRL897">
        <v>12</v>
      </c>
    </row>
    <row r="898" spans="1:48 2508:2508" x14ac:dyDescent="0.25">
      <c r="A898" t="s">
        <v>3323</v>
      </c>
      <c r="B898" t="s">
        <v>302</v>
      </c>
      <c r="C898" t="s">
        <v>62</v>
      </c>
      <c r="D898">
        <v>99999</v>
      </c>
      <c r="F898" s="109">
        <v>14000</v>
      </c>
      <c r="G898" t="b">
        <v>0</v>
      </c>
      <c r="H898" t="s">
        <v>343</v>
      </c>
      <c r="K898" t="s">
        <v>61</v>
      </c>
      <c r="L898" t="s">
        <v>303</v>
      </c>
      <c r="M898" t="s">
        <v>323</v>
      </c>
      <c r="N898" t="s">
        <v>63</v>
      </c>
      <c r="O898" s="110">
        <v>49.9</v>
      </c>
      <c r="R898" s="110">
        <v>388.09000000000003</v>
      </c>
      <c r="S898" s="110">
        <v>130</v>
      </c>
      <c r="T898" s="110">
        <v>0</v>
      </c>
      <c r="U898" s="110">
        <v>34.99</v>
      </c>
      <c r="X898">
        <v>178.20000000000002</v>
      </c>
      <c r="Y898">
        <v>44.9</v>
      </c>
      <c r="Z898">
        <v>44.9</v>
      </c>
      <c r="AA898">
        <v>0</v>
      </c>
      <c r="AB898" t="s">
        <v>324</v>
      </c>
      <c r="AF898" t="s">
        <v>3033</v>
      </c>
      <c r="AG898" t="s">
        <v>3033</v>
      </c>
      <c r="AH898" t="s">
        <v>1606</v>
      </c>
      <c r="AI898">
        <v>99999</v>
      </c>
      <c r="AJ898">
        <v>99999</v>
      </c>
      <c r="AK898">
        <v>699</v>
      </c>
      <c r="AL898" t="b">
        <v>1</v>
      </c>
      <c r="AM898" t="b">
        <v>1</v>
      </c>
      <c r="AN898" t="b">
        <v>0</v>
      </c>
      <c r="AO898">
        <v>99999</v>
      </c>
      <c r="AP898" t="s">
        <v>64</v>
      </c>
      <c r="AR898" t="b">
        <v>0</v>
      </c>
      <c r="AS898">
        <v>12</v>
      </c>
      <c r="AT898" t="s">
        <v>327</v>
      </c>
      <c r="AV898" t="s">
        <v>3042</v>
      </c>
      <c r="CRL898">
        <v>12</v>
      </c>
    </row>
    <row r="899" spans="1:48 2508:2508" x14ac:dyDescent="0.25">
      <c r="A899" t="s">
        <v>3323</v>
      </c>
      <c r="B899" t="s">
        <v>302</v>
      </c>
      <c r="C899" t="s">
        <v>62</v>
      </c>
      <c r="D899">
        <v>99999</v>
      </c>
      <c r="F899" s="109">
        <v>14000</v>
      </c>
      <c r="G899" t="b">
        <v>0</v>
      </c>
      <c r="H899" t="s">
        <v>343</v>
      </c>
      <c r="K899" t="s">
        <v>61</v>
      </c>
      <c r="L899" t="s">
        <v>303</v>
      </c>
      <c r="M899" t="s">
        <v>323</v>
      </c>
      <c r="N899" t="s">
        <v>63</v>
      </c>
      <c r="O899" s="110">
        <v>49.9</v>
      </c>
      <c r="R899" s="110">
        <v>417.39</v>
      </c>
      <c r="S899" s="110">
        <v>130</v>
      </c>
      <c r="T899" s="110">
        <v>0</v>
      </c>
      <c r="U899" s="110">
        <v>42.99</v>
      </c>
      <c r="X899">
        <v>199.49999999999997</v>
      </c>
      <c r="Y899">
        <v>44.9</v>
      </c>
      <c r="Z899">
        <v>44.9</v>
      </c>
      <c r="AA899">
        <v>0</v>
      </c>
      <c r="AB899" t="s">
        <v>324</v>
      </c>
      <c r="AF899" t="s">
        <v>3107</v>
      </c>
      <c r="AG899" t="s">
        <v>3107</v>
      </c>
      <c r="AH899" t="s">
        <v>1606</v>
      </c>
      <c r="AI899">
        <v>99999</v>
      </c>
      <c r="AJ899">
        <v>99999</v>
      </c>
      <c r="AK899">
        <v>699</v>
      </c>
      <c r="AL899" t="b">
        <v>1</v>
      </c>
      <c r="AM899" t="b">
        <v>1</v>
      </c>
      <c r="AN899" t="b">
        <v>0</v>
      </c>
      <c r="AO899">
        <v>99999</v>
      </c>
      <c r="AP899" t="s">
        <v>64</v>
      </c>
      <c r="AR899" t="b">
        <v>0</v>
      </c>
      <c r="AS899">
        <v>12</v>
      </c>
      <c r="AT899" t="s">
        <v>327</v>
      </c>
      <c r="AV899" t="s">
        <v>3116</v>
      </c>
      <c r="CRL899">
        <v>12</v>
      </c>
    </row>
    <row r="900" spans="1:48 2508:2508" x14ac:dyDescent="0.25">
      <c r="A900" t="s">
        <v>3323</v>
      </c>
      <c r="B900" t="s">
        <v>302</v>
      </c>
      <c r="C900" t="s">
        <v>62</v>
      </c>
      <c r="D900">
        <v>99999</v>
      </c>
      <c r="F900" s="109">
        <v>14000</v>
      </c>
      <c r="G900" t="b">
        <v>0</v>
      </c>
      <c r="H900" t="s">
        <v>339</v>
      </c>
      <c r="K900" t="s">
        <v>349</v>
      </c>
      <c r="L900" t="s">
        <v>303</v>
      </c>
      <c r="M900" t="s">
        <v>323</v>
      </c>
      <c r="N900" t="s">
        <v>63</v>
      </c>
      <c r="O900" s="110">
        <v>29.9</v>
      </c>
      <c r="R900" s="110">
        <v>320.59000000000003</v>
      </c>
      <c r="S900" s="110">
        <v>107.5</v>
      </c>
      <c r="T900" s="110">
        <v>0</v>
      </c>
      <c r="U900" s="110">
        <v>34.99</v>
      </c>
      <c r="X900">
        <v>133.20000000000002</v>
      </c>
      <c r="Y900">
        <v>44.9</v>
      </c>
      <c r="Z900">
        <v>44.9</v>
      </c>
      <c r="AA900">
        <v>0</v>
      </c>
      <c r="AB900" t="s">
        <v>324</v>
      </c>
      <c r="AF900" t="s">
        <v>1605</v>
      </c>
      <c r="AG900" t="s">
        <v>1605</v>
      </c>
      <c r="AH900" t="s">
        <v>1606</v>
      </c>
      <c r="AI900">
        <v>99999</v>
      </c>
      <c r="AJ900">
        <v>99999</v>
      </c>
      <c r="AK900">
        <v>699</v>
      </c>
      <c r="AL900" t="b">
        <v>1</v>
      </c>
      <c r="AM900" t="b">
        <v>1</v>
      </c>
      <c r="AN900" t="b">
        <v>0</v>
      </c>
      <c r="AO900">
        <v>99999</v>
      </c>
      <c r="AP900" t="s">
        <v>64</v>
      </c>
      <c r="AR900" t="b">
        <v>0</v>
      </c>
      <c r="AS900">
        <v>12</v>
      </c>
      <c r="AT900" t="s">
        <v>327</v>
      </c>
      <c r="AV900" t="s">
        <v>1626</v>
      </c>
      <c r="CRL900">
        <v>12</v>
      </c>
    </row>
    <row r="901" spans="1:48 2508:2508" x14ac:dyDescent="0.25">
      <c r="A901" t="s">
        <v>3323</v>
      </c>
      <c r="B901" t="s">
        <v>302</v>
      </c>
      <c r="C901" t="s">
        <v>62</v>
      </c>
      <c r="D901">
        <v>99999</v>
      </c>
      <c r="F901" s="109">
        <v>14000</v>
      </c>
      <c r="G901" t="b">
        <v>0</v>
      </c>
      <c r="H901" t="s">
        <v>339</v>
      </c>
      <c r="K901" t="s">
        <v>349</v>
      </c>
      <c r="L901" t="s">
        <v>303</v>
      </c>
      <c r="M901" t="s">
        <v>323</v>
      </c>
      <c r="N901" t="s">
        <v>63</v>
      </c>
      <c r="O901" s="110">
        <v>29.9</v>
      </c>
      <c r="R901" s="110">
        <v>349.89</v>
      </c>
      <c r="S901" s="110">
        <v>107.5</v>
      </c>
      <c r="T901" s="110">
        <v>0</v>
      </c>
      <c r="U901" s="110">
        <v>42.99</v>
      </c>
      <c r="X901">
        <v>154.49999999999997</v>
      </c>
      <c r="Y901">
        <v>44.9</v>
      </c>
      <c r="Z901">
        <v>44.9</v>
      </c>
      <c r="AA901">
        <v>0</v>
      </c>
      <c r="AB901" t="s">
        <v>324</v>
      </c>
      <c r="AF901" t="s">
        <v>1754</v>
      </c>
      <c r="AG901" t="s">
        <v>1754</v>
      </c>
      <c r="AH901" t="s">
        <v>1606</v>
      </c>
      <c r="AI901">
        <v>99999</v>
      </c>
      <c r="AJ901">
        <v>99999</v>
      </c>
      <c r="AK901">
        <v>699</v>
      </c>
      <c r="AL901" t="b">
        <v>1</v>
      </c>
      <c r="AM901" t="b">
        <v>1</v>
      </c>
      <c r="AN901" t="b">
        <v>0</v>
      </c>
      <c r="AO901">
        <v>99999</v>
      </c>
      <c r="AP901" t="s">
        <v>64</v>
      </c>
      <c r="AR901" t="b">
        <v>0</v>
      </c>
      <c r="AS901">
        <v>12</v>
      </c>
      <c r="AT901" t="s">
        <v>327</v>
      </c>
      <c r="AV901" t="s">
        <v>1774</v>
      </c>
      <c r="CRL901">
        <v>12</v>
      </c>
    </row>
    <row r="902" spans="1:48 2508:2508" x14ac:dyDescent="0.25">
      <c r="A902" t="s">
        <v>3323</v>
      </c>
      <c r="B902" t="s">
        <v>302</v>
      </c>
      <c r="C902" t="s">
        <v>62</v>
      </c>
      <c r="D902">
        <v>99999</v>
      </c>
      <c r="F902" s="109">
        <v>14000</v>
      </c>
      <c r="G902" t="b">
        <v>0</v>
      </c>
      <c r="H902" t="s">
        <v>339</v>
      </c>
      <c r="K902" t="s">
        <v>349</v>
      </c>
      <c r="L902" t="s">
        <v>303</v>
      </c>
      <c r="M902" t="s">
        <v>323</v>
      </c>
      <c r="N902" t="s">
        <v>63</v>
      </c>
      <c r="O902" s="110">
        <v>39.9</v>
      </c>
      <c r="R902" s="110">
        <v>320.59000000000003</v>
      </c>
      <c r="S902" s="110">
        <v>107.5</v>
      </c>
      <c r="T902" s="110">
        <v>0</v>
      </c>
      <c r="U902" s="110">
        <v>34.99</v>
      </c>
      <c r="X902">
        <v>133.20000000000002</v>
      </c>
      <c r="Y902">
        <v>44.9</v>
      </c>
      <c r="Z902">
        <v>44.9</v>
      </c>
      <c r="AA902">
        <v>0</v>
      </c>
      <c r="AB902" t="s">
        <v>324</v>
      </c>
      <c r="AF902" t="s">
        <v>1673</v>
      </c>
      <c r="AG902" t="s">
        <v>1673</v>
      </c>
      <c r="AH902" t="s">
        <v>1606</v>
      </c>
      <c r="AI902">
        <v>99999</v>
      </c>
      <c r="AJ902">
        <v>99999</v>
      </c>
      <c r="AK902">
        <v>699</v>
      </c>
      <c r="AL902" t="b">
        <v>1</v>
      </c>
      <c r="AM902" t="b">
        <v>1</v>
      </c>
      <c r="AN902" t="b">
        <v>0</v>
      </c>
      <c r="AO902">
        <v>99999</v>
      </c>
      <c r="AP902" t="s">
        <v>64</v>
      </c>
      <c r="AR902" t="b">
        <v>0</v>
      </c>
      <c r="AS902">
        <v>12</v>
      </c>
      <c r="AT902" t="s">
        <v>327</v>
      </c>
      <c r="AV902" t="s">
        <v>1693</v>
      </c>
      <c r="CRL902">
        <v>12</v>
      </c>
    </row>
    <row r="903" spans="1:48 2508:2508" x14ac:dyDescent="0.25">
      <c r="A903" t="s">
        <v>3323</v>
      </c>
      <c r="B903" t="s">
        <v>302</v>
      </c>
      <c r="C903" t="s">
        <v>62</v>
      </c>
      <c r="D903">
        <v>99999</v>
      </c>
      <c r="F903" s="109">
        <v>14000</v>
      </c>
      <c r="G903" t="b">
        <v>0</v>
      </c>
      <c r="H903" t="s">
        <v>339</v>
      </c>
      <c r="K903" t="s">
        <v>349</v>
      </c>
      <c r="L903" t="s">
        <v>303</v>
      </c>
      <c r="M903" t="s">
        <v>323</v>
      </c>
      <c r="N903" t="s">
        <v>63</v>
      </c>
      <c r="O903" s="110">
        <v>39.9</v>
      </c>
      <c r="R903" s="110">
        <v>349.89</v>
      </c>
      <c r="S903" s="110">
        <v>107.5</v>
      </c>
      <c r="T903" s="110">
        <v>0</v>
      </c>
      <c r="U903" s="110">
        <v>42.99</v>
      </c>
      <c r="X903">
        <v>154.49999999999997</v>
      </c>
      <c r="Y903">
        <v>44.9</v>
      </c>
      <c r="Z903">
        <v>44.9</v>
      </c>
      <c r="AA903">
        <v>0</v>
      </c>
      <c r="AB903" t="s">
        <v>324</v>
      </c>
      <c r="AF903" t="s">
        <v>1821</v>
      </c>
      <c r="AG903" t="s">
        <v>1821</v>
      </c>
      <c r="AH903" t="s">
        <v>1606</v>
      </c>
      <c r="AI903">
        <v>99999</v>
      </c>
      <c r="AJ903">
        <v>99999</v>
      </c>
      <c r="AK903">
        <v>699</v>
      </c>
      <c r="AL903" t="b">
        <v>1</v>
      </c>
      <c r="AM903" t="b">
        <v>1</v>
      </c>
      <c r="AN903" t="b">
        <v>0</v>
      </c>
      <c r="AO903">
        <v>99999</v>
      </c>
      <c r="AP903" t="s">
        <v>64</v>
      </c>
      <c r="AR903" t="b">
        <v>0</v>
      </c>
      <c r="AS903">
        <v>12</v>
      </c>
      <c r="AT903" t="s">
        <v>327</v>
      </c>
      <c r="AV903" t="s">
        <v>1841</v>
      </c>
      <c r="CRL903">
        <v>12</v>
      </c>
    </row>
    <row r="904" spans="1:48 2508:2508" x14ac:dyDescent="0.25">
      <c r="A904" t="s">
        <v>3323</v>
      </c>
      <c r="B904" t="s">
        <v>302</v>
      </c>
      <c r="C904" t="s">
        <v>62</v>
      </c>
      <c r="D904">
        <v>99999</v>
      </c>
      <c r="F904" s="109">
        <v>14000</v>
      </c>
      <c r="G904" t="b">
        <v>0</v>
      </c>
      <c r="H904" t="s">
        <v>339</v>
      </c>
      <c r="K904" t="s">
        <v>349</v>
      </c>
      <c r="L904" t="s">
        <v>303</v>
      </c>
      <c r="M904" t="s">
        <v>323</v>
      </c>
      <c r="N904" t="s">
        <v>63</v>
      </c>
      <c r="O904" s="110">
        <v>49.9</v>
      </c>
      <c r="R904" s="110">
        <v>343.09000000000003</v>
      </c>
      <c r="S904" s="110">
        <v>130</v>
      </c>
      <c r="T904" s="110">
        <v>0</v>
      </c>
      <c r="U904" s="110">
        <v>34.99</v>
      </c>
      <c r="X904">
        <v>133.20000000000002</v>
      </c>
      <c r="Y904">
        <v>44.9</v>
      </c>
      <c r="Z904">
        <v>44.9</v>
      </c>
      <c r="AA904">
        <v>0</v>
      </c>
      <c r="AB904" t="s">
        <v>324</v>
      </c>
      <c r="AF904" t="s">
        <v>3033</v>
      </c>
      <c r="AG904" t="s">
        <v>3033</v>
      </c>
      <c r="AH904" t="s">
        <v>1606</v>
      </c>
      <c r="AI904">
        <v>99999</v>
      </c>
      <c r="AJ904">
        <v>99999</v>
      </c>
      <c r="AK904">
        <v>699</v>
      </c>
      <c r="AL904" t="b">
        <v>1</v>
      </c>
      <c r="AM904" t="b">
        <v>1</v>
      </c>
      <c r="AN904" t="b">
        <v>0</v>
      </c>
      <c r="AO904">
        <v>99999</v>
      </c>
      <c r="AP904" t="s">
        <v>64</v>
      </c>
      <c r="AR904" t="b">
        <v>0</v>
      </c>
      <c r="AS904">
        <v>12</v>
      </c>
      <c r="AT904" t="s">
        <v>327</v>
      </c>
      <c r="AV904" t="s">
        <v>3053</v>
      </c>
      <c r="CRL904">
        <v>12</v>
      </c>
    </row>
    <row r="905" spans="1:48 2508:2508" x14ac:dyDescent="0.25">
      <c r="A905" t="s">
        <v>3323</v>
      </c>
      <c r="B905" t="s">
        <v>302</v>
      </c>
      <c r="C905" t="s">
        <v>62</v>
      </c>
      <c r="D905">
        <v>99999</v>
      </c>
      <c r="F905" s="109">
        <v>14000</v>
      </c>
      <c r="G905" t="b">
        <v>0</v>
      </c>
      <c r="H905" t="s">
        <v>339</v>
      </c>
      <c r="K905" t="s">
        <v>349</v>
      </c>
      <c r="L905" t="s">
        <v>303</v>
      </c>
      <c r="M905" t="s">
        <v>323</v>
      </c>
      <c r="N905" t="s">
        <v>63</v>
      </c>
      <c r="O905" s="110">
        <v>49.9</v>
      </c>
      <c r="R905" s="110">
        <v>372.39</v>
      </c>
      <c r="S905" s="110">
        <v>130</v>
      </c>
      <c r="T905" s="110">
        <v>0</v>
      </c>
      <c r="U905" s="110">
        <v>42.99</v>
      </c>
      <c r="X905">
        <v>154.49999999999997</v>
      </c>
      <c r="Y905">
        <v>44.9</v>
      </c>
      <c r="Z905">
        <v>44.9</v>
      </c>
      <c r="AA905">
        <v>0</v>
      </c>
      <c r="AB905" t="s">
        <v>324</v>
      </c>
      <c r="AF905" t="s">
        <v>3107</v>
      </c>
      <c r="AG905" t="s">
        <v>3107</v>
      </c>
      <c r="AH905" t="s">
        <v>1606</v>
      </c>
      <c r="AI905">
        <v>99999</v>
      </c>
      <c r="AJ905">
        <v>99999</v>
      </c>
      <c r="AK905">
        <v>699</v>
      </c>
      <c r="AL905" t="b">
        <v>1</v>
      </c>
      <c r="AM905" t="b">
        <v>1</v>
      </c>
      <c r="AN905" t="b">
        <v>0</v>
      </c>
      <c r="AO905">
        <v>99999</v>
      </c>
      <c r="AP905" t="s">
        <v>64</v>
      </c>
      <c r="AR905" t="b">
        <v>0</v>
      </c>
      <c r="AS905">
        <v>12</v>
      </c>
      <c r="AT905" t="s">
        <v>327</v>
      </c>
      <c r="AV905" t="s">
        <v>3127</v>
      </c>
      <c r="CRL905">
        <v>12</v>
      </c>
    </row>
    <row r="906" spans="1:48 2508:2508" x14ac:dyDescent="0.25">
      <c r="A906" t="s">
        <v>3323</v>
      </c>
      <c r="B906" t="s">
        <v>302</v>
      </c>
      <c r="C906" t="s">
        <v>62</v>
      </c>
      <c r="D906">
        <v>99999</v>
      </c>
      <c r="F906" s="109">
        <v>14000</v>
      </c>
      <c r="G906" t="b">
        <v>0</v>
      </c>
      <c r="H906" t="s">
        <v>339</v>
      </c>
      <c r="K906" t="s">
        <v>393</v>
      </c>
      <c r="L906" t="s">
        <v>303</v>
      </c>
      <c r="M906" t="s">
        <v>323</v>
      </c>
      <c r="N906" t="s">
        <v>63</v>
      </c>
      <c r="O906" s="110">
        <v>29.9</v>
      </c>
      <c r="R906" s="110">
        <v>345.59000000000003</v>
      </c>
      <c r="S906" s="110">
        <v>107.5</v>
      </c>
      <c r="T906" s="110">
        <v>0</v>
      </c>
      <c r="U906" s="110">
        <v>34.99</v>
      </c>
      <c r="X906">
        <v>133.20000000000002</v>
      </c>
      <c r="Y906">
        <v>69.900000000000006</v>
      </c>
      <c r="Z906">
        <v>69.900000000000006</v>
      </c>
      <c r="AA906">
        <v>0</v>
      </c>
      <c r="AB906" t="s">
        <v>363</v>
      </c>
      <c r="AF906" t="s">
        <v>1633</v>
      </c>
      <c r="AG906" t="s">
        <v>1633</v>
      </c>
      <c r="AH906" t="s">
        <v>1606</v>
      </c>
      <c r="AI906">
        <v>99999</v>
      </c>
      <c r="AJ906">
        <v>99999</v>
      </c>
      <c r="AK906">
        <v>699</v>
      </c>
      <c r="AL906" t="b">
        <v>1</v>
      </c>
      <c r="AM906" t="b">
        <v>1</v>
      </c>
      <c r="AN906" t="b">
        <v>0</v>
      </c>
      <c r="AO906">
        <v>99999</v>
      </c>
      <c r="AP906" t="s">
        <v>64</v>
      </c>
      <c r="AR906" t="b">
        <v>0</v>
      </c>
      <c r="AS906">
        <v>12</v>
      </c>
      <c r="AT906" t="s">
        <v>327</v>
      </c>
      <c r="AV906" t="s">
        <v>1666</v>
      </c>
      <c r="CRL906">
        <v>12</v>
      </c>
    </row>
    <row r="907" spans="1:48 2508:2508" x14ac:dyDescent="0.25">
      <c r="A907" t="s">
        <v>3323</v>
      </c>
      <c r="B907" t="s">
        <v>302</v>
      </c>
      <c r="C907" t="s">
        <v>62</v>
      </c>
      <c r="D907">
        <v>99999</v>
      </c>
      <c r="F907" s="109">
        <v>14000</v>
      </c>
      <c r="G907" t="b">
        <v>0</v>
      </c>
      <c r="H907" t="s">
        <v>339</v>
      </c>
      <c r="K907" t="s">
        <v>393</v>
      </c>
      <c r="L907" t="s">
        <v>303</v>
      </c>
      <c r="M907" t="s">
        <v>323</v>
      </c>
      <c r="N907" t="s">
        <v>63</v>
      </c>
      <c r="O907" s="110">
        <v>29.9</v>
      </c>
      <c r="R907" s="110">
        <v>374.89</v>
      </c>
      <c r="S907" s="110">
        <v>107.5</v>
      </c>
      <c r="T907" s="110">
        <v>0</v>
      </c>
      <c r="U907" s="110">
        <v>42.99</v>
      </c>
      <c r="X907">
        <v>154.49999999999997</v>
      </c>
      <c r="Y907">
        <v>69.900000000000006</v>
      </c>
      <c r="Z907">
        <v>69.900000000000006</v>
      </c>
      <c r="AA907">
        <v>0</v>
      </c>
      <c r="AB907" t="s">
        <v>363</v>
      </c>
      <c r="AF907" t="s">
        <v>1781</v>
      </c>
      <c r="AG907" t="s">
        <v>1781</v>
      </c>
      <c r="AH907" t="s">
        <v>1606</v>
      </c>
      <c r="AI907">
        <v>99999</v>
      </c>
      <c r="AJ907">
        <v>99999</v>
      </c>
      <c r="AK907">
        <v>699</v>
      </c>
      <c r="AL907" t="b">
        <v>1</v>
      </c>
      <c r="AM907" t="b">
        <v>1</v>
      </c>
      <c r="AN907" t="b">
        <v>0</v>
      </c>
      <c r="AO907">
        <v>99999</v>
      </c>
      <c r="AP907" t="s">
        <v>64</v>
      </c>
      <c r="AR907" t="b">
        <v>0</v>
      </c>
      <c r="AS907">
        <v>12</v>
      </c>
      <c r="AT907" t="s">
        <v>327</v>
      </c>
      <c r="AV907" t="s">
        <v>1814</v>
      </c>
      <c r="CRL907">
        <v>12</v>
      </c>
    </row>
    <row r="908" spans="1:48 2508:2508" x14ac:dyDescent="0.25">
      <c r="A908" t="s">
        <v>3323</v>
      </c>
      <c r="B908" t="s">
        <v>302</v>
      </c>
      <c r="C908" t="s">
        <v>62</v>
      </c>
      <c r="D908">
        <v>99999</v>
      </c>
      <c r="F908" s="109">
        <v>14000</v>
      </c>
      <c r="G908" t="b">
        <v>0</v>
      </c>
      <c r="H908" t="s">
        <v>339</v>
      </c>
      <c r="K908" t="s">
        <v>393</v>
      </c>
      <c r="L908" t="s">
        <v>303</v>
      </c>
      <c r="M908" t="s">
        <v>323</v>
      </c>
      <c r="N908" t="s">
        <v>63</v>
      </c>
      <c r="O908" s="110">
        <v>39.9</v>
      </c>
      <c r="R908" s="110">
        <v>345.59000000000003</v>
      </c>
      <c r="S908" s="110">
        <v>107.5</v>
      </c>
      <c r="T908" s="110">
        <v>0</v>
      </c>
      <c r="U908" s="110">
        <v>34.99</v>
      </c>
      <c r="X908">
        <v>133.20000000000002</v>
      </c>
      <c r="Y908">
        <v>69.900000000000006</v>
      </c>
      <c r="Z908">
        <v>69.900000000000006</v>
      </c>
      <c r="AA908">
        <v>0</v>
      </c>
      <c r="AB908" t="s">
        <v>363</v>
      </c>
      <c r="AF908" t="s">
        <v>1700</v>
      </c>
      <c r="AG908" t="s">
        <v>1700</v>
      </c>
      <c r="AH908" t="s">
        <v>1606</v>
      </c>
      <c r="AI908">
        <v>99999</v>
      </c>
      <c r="AJ908">
        <v>99999</v>
      </c>
      <c r="AK908">
        <v>699</v>
      </c>
      <c r="AL908" t="b">
        <v>1</v>
      </c>
      <c r="AM908" t="b">
        <v>1</v>
      </c>
      <c r="AN908" t="b">
        <v>0</v>
      </c>
      <c r="AO908">
        <v>99999</v>
      </c>
      <c r="AP908" t="s">
        <v>64</v>
      </c>
      <c r="AR908" t="b">
        <v>0</v>
      </c>
      <c r="AS908">
        <v>12</v>
      </c>
      <c r="AT908" t="s">
        <v>327</v>
      </c>
      <c r="AV908" t="s">
        <v>1733</v>
      </c>
      <c r="CRL908">
        <v>12</v>
      </c>
    </row>
    <row r="909" spans="1:48 2508:2508" x14ac:dyDescent="0.25">
      <c r="A909" t="s">
        <v>3323</v>
      </c>
      <c r="B909" t="s">
        <v>302</v>
      </c>
      <c r="C909" t="s">
        <v>62</v>
      </c>
      <c r="D909">
        <v>99999</v>
      </c>
      <c r="F909" s="109">
        <v>14000</v>
      </c>
      <c r="G909" t="b">
        <v>0</v>
      </c>
      <c r="H909" t="s">
        <v>339</v>
      </c>
      <c r="K909" t="s">
        <v>393</v>
      </c>
      <c r="L909" t="s">
        <v>303</v>
      </c>
      <c r="M909" t="s">
        <v>323</v>
      </c>
      <c r="N909" t="s">
        <v>63</v>
      </c>
      <c r="O909" s="110">
        <v>39.9</v>
      </c>
      <c r="R909" s="110">
        <v>374.89</v>
      </c>
      <c r="S909" s="110">
        <v>107.5</v>
      </c>
      <c r="T909" s="110">
        <v>0</v>
      </c>
      <c r="U909" s="110">
        <v>42.99</v>
      </c>
      <c r="X909">
        <v>154.49999999999997</v>
      </c>
      <c r="Y909">
        <v>69.900000000000006</v>
      </c>
      <c r="Z909">
        <v>69.900000000000006</v>
      </c>
      <c r="AA909">
        <v>0</v>
      </c>
      <c r="AB909" t="s">
        <v>363</v>
      </c>
      <c r="AF909" t="s">
        <v>1848</v>
      </c>
      <c r="AG909" t="s">
        <v>1848</v>
      </c>
      <c r="AH909" t="s">
        <v>1606</v>
      </c>
      <c r="AI909">
        <v>99999</v>
      </c>
      <c r="AJ909">
        <v>99999</v>
      </c>
      <c r="AK909">
        <v>699</v>
      </c>
      <c r="AL909" t="b">
        <v>1</v>
      </c>
      <c r="AM909" t="b">
        <v>1</v>
      </c>
      <c r="AN909" t="b">
        <v>0</v>
      </c>
      <c r="AO909">
        <v>99999</v>
      </c>
      <c r="AP909" t="s">
        <v>64</v>
      </c>
      <c r="AR909" t="b">
        <v>0</v>
      </c>
      <c r="AS909">
        <v>12</v>
      </c>
      <c r="AT909" t="s">
        <v>327</v>
      </c>
      <c r="AV909" t="s">
        <v>1881</v>
      </c>
      <c r="CRL909">
        <v>12</v>
      </c>
    </row>
    <row r="910" spans="1:48 2508:2508" x14ac:dyDescent="0.25">
      <c r="A910" t="s">
        <v>3323</v>
      </c>
      <c r="B910" t="s">
        <v>302</v>
      </c>
      <c r="C910" t="s">
        <v>62</v>
      </c>
      <c r="D910">
        <v>99999</v>
      </c>
      <c r="F910" s="109">
        <v>14000</v>
      </c>
      <c r="G910" t="b">
        <v>0</v>
      </c>
      <c r="H910" t="s">
        <v>339</v>
      </c>
      <c r="K910" t="s">
        <v>393</v>
      </c>
      <c r="L910" t="s">
        <v>303</v>
      </c>
      <c r="M910" t="s">
        <v>323</v>
      </c>
      <c r="N910" t="s">
        <v>63</v>
      </c>
      <c r="O910" s="110">
        <v>49.9</v>
      </c>
      <c r="R910" s="110">
        <v>368.09000000000003</v>
      </c>
      <c r="S910" s="110">
        <v>130</v>
      </c>
      <c r="T910" s="110">
        <v>0</v>
      </c>
      <c r="U910" s="110">
        <v>34.99</v>
      </c>
      <c r="X910">
        <v>133.20000000000002</v>
      </c>
      <c r="Y910">
        <v>69.900000000000006</v>
      </c>
      <c r="Z910">
        <v>69.900000000000006</v>
      </c>
      <c r="AA910">
        <v>0</v>
      </c>
      <c r="AB910" t="s">
        <v>363</v>
      </c>
      <c r="AF910" t="s">
        <v>3060</v>
      </c>
      <c r="AG910" t="s">
        <v>3060</v>
      </c>
      <c r="AH910" t="s">
        <v>1606</v>
      </c>
      <c r="AI910">
        <v>99999</v>
      </c>
      <c r="AJ910">
        <v>99999</v>
      </c>
      <c r="AK910">
        <v>699</v>
      </c>
      <c r="AL910" t="b">
        <v>1</v>
      </c>
      <c r="AM910" t="b">
        <v>1</v>
      </c>
      <c r="AN910" t="b">
        <v>0</v>
      </c>
      <c r="AO910">
        <v>99999</v>
      </c>
      <c r="AP910" t="s">
        <v>64</v>
      </c>
      <c r="AR910" t="b">
        <v>0</v>
      </c>
      <c r="AS910">
        <v>12</v>
      </c>
      <c r="AT910" t="s">
        <v>327</v>
      </c>
      <c r="AV910" t="s">
        <v>3093</v>
      </c>
      <c r="CRL910">
        <v>12</v>
      </c>
    </row>
    <row r="911" spans="1:48 2508:2508" x14ac:dyDescent="0.25">
      <c r="A911" t="s">
        <v>3323</v>
      </c>
      <c r="B911" t="s">
        <v>302</v>
      </c>
      <c r="C911" t="s">
        <v>62</v>
      </c>
      <c r="D911">
        <v>99999</v>
      </c>
      <c r="F911" s="109">
        <v>14000</v>
      </c>
      <c r="G911" t="b">
        <v>0</v>
      </c>
      <c r="H911" t="s">
        <v>339</v>
      </c>
      <c r="K911" t="s">
        <v>393</v>
      </c>
      <c r="L911" t="s">
        <v>303</v>
      </c>
      <c r="M911" t="s">
        <v>323</v>
      </c>
      <c r="N911" t="s">
        <v>63</v>
      </c>
      <c r="O911" s="110">
        <v>49.9</v>
      </c>
      <c r="R911" s="110">
        <v>397.39</v>
      </c>
      <c r="S911" s="110">
        <v>130</v>
      </c>
      <c r="T911" s="110">
        <v>0</v>
      </c>
      <c r="U911" s="110">
        <v>42.99</v>
      </c>
      <c r="X911">
        <v>154.49999999999997</v>
      </c>
      <c r="Y911">
        <v>69.900000000000006</v>
      </c>
      <c r="Z911">
        <v>69.900000000000006</v>
      </c>
      <c r="AA911">
        <v>0</v>
      </c>
      <c r="AB911" t="s">
        <v>363</v>
      </c>
      <c r="AF911" t="s">
        <v>3134</v>
      </c>
      <c r="AG911" t="s">
        <v>3134</v>
      </c>
      <c r="AH911" t="s">
        <v>1606</v>
      </c>
      <c r="AI911">
        <v>99999</v>
      </c>
      <c r="AJ911">
        <v>99999</v>
      </c>
      <c r="AK911">
        <v>699</v>
      </c>
      <c r="AL911" t="b">
        <v>1</v>
      </c>
      <c r="AM911" t="b">
        <v>1</v>
      </c>
      <c r="AN911" t="b">
        <v>0</v>
      </c>
      <c r="AO911">
        <v>99999</v>
      </c>
      <c r="AP911" t="s">
        <v>64</v>
      </c>
      <c r="AR911" t="b">
        <v>0</v>
      </c>
      <c r="AS911">
        <v>12</v>
      </c>
      <c r="AT911" t="s">
        <v>327</v>
      </c>
      <c r="AV911" t="s">
        <v>3167</v>
      </c>
      <c r="CRL911">
        <v>12</v>
      </c>
    </row>
    <row r="912" spans="1:48 2508:2508" x14ac:dyDescent="0.25">
      <c r="A912" t="s">
        <v>3323</v>
      </c>
      <c r="B912" t="s">
        <v>302</v>
      </c>
      <c r="C912" t="s">
        <v>62</v>
      </c>
      <c r="D912">
        <v>99999</v>
      </c>
      <c r="F912" s="109">
        <v>14000</v>
      </c>
      <c r="G912" t="b">
        <v>0</v>
      </c>
      <c r="H912" t="s">
        <v>339</v>
      </c>
      <c r="K912" t="s">
        <v>364</v>
      </c>
      <c r="L912" t="s">
        <v>303</v>
      </c>
      <c r="M912" t="s">
        <v>323</v>
      </c>
      <c r="N912" t="s">
        <v>63</v>
      </c>
      <c r="O912" s="110">
        <v>29.9</v>
      </c>
      <c r="R912" s="110">
        <v>325.59000000000003</v>
      </c>
      <c r="S912" s="110">
        <v>107.5</v>
      </c>
      <c r="T912" s="110">
        <v>0</v>
      </c>
      <c r="U912" s="110">
        <v>34.99</v>
      </c>
      <c r="X912">
        <v>133.20000000000002</v>
      </c>
      <c r="Y912">
        <v>49.9</v>
      </c>
      <c r="Z912">
        <v>49.9</v>
      </c>
      <c r="AA912">
        <v>0</v>
      </c>
      <c r="AB912" t="s">
        <v>363</v>
      </c>
      <c r="AF912" t="s">
        <v>1633</v>
      </c>
      <c r="AG912" t="s">
        <v>1633</v>
      </c>
      <c r="AH912" t="s">
        <v>1606</v>
      </c>
      <c r="AI912">
        <v>99999</v>
      </c>
      <c r="AJ912">
        <v>99999</v>
      </c>
      <c r="AK912">
        <v>699</v>
      </c>
      <c r="AL912" t="b">
        <v>1</v>
      </c>
      <c r="AM912" t="b">
        <v>1</v>
      </c>
      <c r="AN912" t="b">
        <v>0</v>
      </c>
      <c r="AO912">
        <v>99999</v>
      </c>
      <c r="AP912" t="s">
        <v>64</v>
      </c>
      <c r="AR912" t="b">
        <v>0</v>
      </c>
      <c r="AS912">
        <v>12</v>
      </c>
      <c r="AT912" t="s">
        <v>327</v>
      </c>
      <c r="AV912" t="s">
        <v>1640</v>
      </c>
      <c r="CRL912">
        <v>12</v>
      </c>
    </row>
    <row r="913" spans="1:48 2508:2508" x14ac:dyDescent="0.25">
      <c r="A913" t="s">
        <v>3323</v>
      </c>
      <c r="B913" t="s">
        <v>302</v>
      </c>
      <c r="C913" t="s">
        <v>62</v>
      </c>
      <c r="D913">
        <v>99999</v>
      </c>
      <c r="F913" s="109">
        <v>14000</v>
      </c>
      <c r="G913" t="b">
        <v>0</v>
      </c>
      <c r="H913" t="s">
        <v>339</v>
      </c>
      <c r="K913" t="s">
        <v>364</v>
      </c>
      <c r="L913" t="s">
        <v>303</v>
      </c>
      <c r="M913" t="s">
        <v>323</v>
      </c>
      <c r="N913" t="s">
        <v>63</v>
      </c>
      <c r="O913" s="110">
        <v>29.9</v>
      </c>
      <c r="R913" s="110">
        <v>354.89</v>
      </c>
      <c r="S913" s="110">
        <v>107.5</v>
      </c>
      <c r="T913" s="110">
        <v>0</v>
      </c>
      <c r="U913" s="110">
        <v>42.99</v>
      </c>
      <c r="X913">
        <v>154.49999999999997</v>
      </c>
      <c r="Y913">
        <v>49.9</v>
      </c>
      <c r="Z913">
        <v>49.9</v>
      </c>
      <c r="AA913">
        <v>0</v>
      </c>
      <c r="AB913" t="s">
        <v>363</v>
      </c>
      <c r="AF913" t="s">
        <v>1781</v>
      </c>
      <c r="AG913" t="s">
        <v>1781</v>
      </c>
      <c r="AH913" t="s">
        <v>1606</v>
      </c>
      <c r="AI913">
        <v>99999</v>
      </c>
      <c r="AJ913">
        <v>99999</v>
      </c>
      <c r="AK913">
        <v>699</v>
      </c>
      <c r="AL913" t="b">
        <v>1</v>
      </c>
      <c r="AM913" t="b">
        <v>1</v>
      </c>
      <c r="AN913" t="b">
        <v>0</v>
      </c>
      <c r="AO913">
        <v>99999</v>
      </c>
      <c r="AP913" t="s">
        <v>64</v>
      </c>
      <c r="AR913" t="b">
        <v>0</v>
      </c>
      <c r="AS913">
        <v>12</v>
      </c>
      <c r="AT913" t="s">
        <v>327</v>
      </c>
      <c r="AV913" t="s">
        <v>1788</v>
      </c>
      <c r="CRL913">
        <v>12</v>
      </c>
    </row>
    <row r="914" spans="1:48 2508:2508" x14ac:dyDescent="0.25">
      <c r="A914" t="s">
        <v>3323</v>
      </c>
      <c r="B914" t="s">
        <v>302</v>
      </c>
      <c r="C914" t="s">
        <v>62</v>
      </c>
      <c r="D914">
        <v>99999</v>
      </c>
      <c r="F914" s="109">
        <v>14000</v>
      </c>
      <c r="G914" t="b">
        <v>0</v>
      </c>
      <c r="H914" t="s">
        <v>339</v>
      </c>
      <c r="K914" t="s">
        <v>364</v>
      </c>
      <c r="L914" t="s">
        <v>303</v>
      </c>
      <c r="M914" t="s">
        <v>323</v>
      </c>
      <c r="N914" t="s">
        <v>63</v>
      </c>
      <c r="O914" s="110">
        <v>39.9</v>
      </c>
      <c r="R914" s="110">
        <v>325.59000000000003</v>
      </c>
      <c r="S914" s="110">
        <v>107.5</v>
      </c>
      <c r="T914" s="110">
        <v>0</v>
      </c>
      <c r="U914" s="110">
        <v>34.99</v>
      </c>
      <c r="X914">
        <v>133.20000000000002</v>
      </c>
      <c r="Y914">
        <v>49.9</v>
      </c>
      <c r="Z914">
        <v>49.9</v>
      </c>
      <c r="AA914">
        <v>0</v>
      </c>
      <c r="AB914" t="s">
        <v>363</v>
      </c>
      <c r="AF914" t="s">
        <v>1700</v>
      </c>
      <c r="AG914" t="s">
        <v>1700</v>
      </c>
      <c r="AH914" t="s">
        <v>1606</v>
      </c>
      <c r="AI914">
        <v>99999</v>
      </c>
      <c r="AJ914">
        <v>99999</v>
      </c>
      <c r="AK914">
        <v>699</v>
      </c>
      <c r="AL914" t="b">
        <v>1</v>
      </c>
      <c r="AM914" t="b">
        <v>1</v>
      </c>
      <c r="AN914" t="b">
        <v>0</v>
      </c>
      <c r="AO914">
        <v>99999</v>
      </c>
      <c r="AP914" t="s">
        <v>64</v>
      </c>
      <c r="AR914" t="b">
        <v>0</v>
      </c>
      <c r="AS914">
        <v>12</v>
      </c>
      <c r="AT914" t="s">
        <v>327</v>
      </c>
      <c r="AV914" t="s">
        <v>1707</v>
      </c>
      <c r="CRL914">
        <v>12</v>
      </c>
    </row>
    <row r="915" spans="1:48 2508:2508" x14ac:dyDescent="0.25">
      <c r="A915" t="s">
        <v>3323</v>
      </c>
      <c r="B915" t="s">
        <v>302</v>
      </c>
      <c r="C915" t="s">
        <v>62</v>
      </c>
      <c r="D915">
        <v>99999</v>
      </c>
      <c r="F915" s="109">
        <v>14000</v>
      </c>
      <c r="G915" t="b">
        <v>0</v>
      </c>
      <c r="H915" t="s">
        <v>339</v>
      </c>
      <c r="K915" t="s">
        <v>364</v>
      </c>
      <c r="L915" t="s">
        <v>303</v>
      </c>
      <c r="M915" t="s">
        <v>323</v>
      </c>
      <c r="N915" t="s">
        <v>63</v>
      </c>
      <c r="O915" s="110">
        <v>39.9</v>
      </c>
      <c r="R915" s="110">
        <v>354.89</v>
      </c>
      <c r="S915" s="110">
        <v>107.5</v>
      </c>
      <c r="T915" s="110">
        <v>0</v>
      </c>
      <c r="U915" s="110">
        <v>42.99</v>
      </c>
      <c r="X915">
        <v>154.49999999999997</v>
      </c>
      <c r="Y915">
        <v>49.9</v>
      </c>
      <c r="Z915">
        <v>49.9</v>
      </c>
      <c r="AA915">
        <v>0</v>
      </c>
      <c r="AB915" t="s">
        <v>363</v>
      </c>
      <c r="AF915" t="s">
        <v>1848</v>
      </c>
      <c r="AG915" t="s">
        <v>1848</v>
      </c>
      <c r="AH915" t="s">
        <v>1606</v>
      </c>
      <c r="AI915">
        <v>99999</v>
      </c>
      <c r="AJ915">
        <v>99999</v>
      </c>
      <c r="AK915">
        <v>699</v>
      </c>
      <c r="AL915" t="b">
        <v>1</v>
      </c>
      <c r="AM915" t="b">
        <v>1</v>
      </c>
      <c r="AN915" t="b">
        <v>0</v>
      </c>
      <c r="AO915">
        <v>99999</v>
      </c>
      <c r="AP915" t="s">
        <v>64</v>
      </c>
      <c r="AR915" t="b">
        <v>0</v>
      </c>
      <c r="AS915">
        <v>12</v>
      </c>
      <c r="AT915" t="s">
        <v>327</v>
      </c>
      <c r="AV915" t="s">
        <v>1855</v>
      </c>
      <c r="CRL915">
        <v>12</v>
      </c>
    </row>
    <row r="916" spans="1:48 2508:2508" x14ac:dyDescent="0.25">
      <c r="A916" t="s">
        <v>3323</v>
      </c>
      <c r="B916" t="s">
        <v>302</v>
      </c>
      <c r="C916" t="s">
        <v>62</v>
      </c>
      <c r="D916">
        <v>99999</v>
      </c>
      <c r="F916" s="109">
        <v>14000</v>
      </c>
      <c r="G916" t="b">
        <v>0</v>
      </c>
      <c r="H916" t="s">
        <v>339</v>
      </c>
      <c r="K916" t="s">
        <v>364</v>
      </c>
      <c r="L916" t="s">
        <v>303</v>
      </c>
      <c r="M916" t="s">
        <v>323</v>
      </c>
      <c r="N916" t="s">
        <v>63</v>
      </c>
      <c r="O916" s="110">
        <v>49.9</v>
      </c>
      <c r="R916" s="110">
        <v>348.09000000000003</v>
      </c>
      <c r="S916" s="110">
        <v>130</v>
      </c>
      <c r="T916" s="110">
        <v>0</v>
      </c>
      <c r="U916" s="110">
        <v>34.99</v>
      </c>
      <c r="X916">
        <v>133.20000000000002</v>
      </c>
      <c r="Y916">
        <v>49.9</v>
      </c>
      <c r="Z916">
        <v>49.9</v>
      </c>
      <c r="AA916">
        <v>0</v>
      </c>
      <c r="AB916" t="s">
        <v>363</v>
      </c>
      <c r="AF916" t="s">
        <v>3060</v>
      </c>
      <c r="AG916" t="s">
        <v>3060</v>
      </c>
      <c r="AH916" t="s">
        <v>1606</v>
      </c>
      <c r="AI916">
        <v>99999</v>
      </c>
      <c r="AJ916">
        <v>99999</v>
      </c>
      <c r="AK916">
        <v>699</v>
      </c>
      <c r="AL916" t="b">
        <v>1</v>
      </c>
      <c r="AM916" t="b">
        <v>1</v>
      </c>
      <c r="AN916" t="b">
        <v>0</v>
      </c>
      <c r="AO916">
        <v>99999</v>
      </c>
      <c r="AP916" t="s">
        <v>64</v>
      </c>
      <c r="AR916" t="b">
        <v>0</v>
      </c>
      <c r="AS916">
        <v>12</v>
      </c>
      <c r="AT916" t="s">
        <v>327</v>
      </c>
      <c r="AV916" t="s">
        <v>3067</v>
      </c>
      <c r="CRL916">
        <v>12</v>
      </c>
    </row>
    <row r="917" spans="1:48 2508:2508" x14ac:dyDescent="0.25">
      <c r="A917" t="s">
        <v>3323</v>
      </c>
      <c r="B917" t="s">
        <v>302</v>
      </c>
      <c r="C917" t="s">
        <v>62</v>
      </c>
      <c r="D917">
        <v>99999</v>
      </c>
      <c r="F917" s="109">
        <v>14000</v>
      </c>
      <c r="G917" t="b">
        <v>0</v>
      </c>
      <c r="H917" t="s">
        <v>339</v>
      </c>
      <c r="K917" t="s">
        <v>364</v>
      </c>
      <c r="L917" t="s">
        <v>303</v>
      </c>
      <c r="M917" t="s">
        <v>323</v>
      </c>
      <c r="N917" t="s">
        <v>63</v>
      </c>
      <c r="O917" s="110">
        <v>49.9</v>
      </c>
      <c r="R917" s="110">
        <v>377.39</v>
      </c>
      <c r="S917" s="110">
        <v>130</v>
      </c>
      <c r="T917" s="110">
        <v>0</v>
      </c>
      <c r="U917" s="110">
        <v>42.99</v>
      </c>
      <c r="X917">
        <v>154.49999999999997</v>
      </c>
      <c r="Y917">
        <v>49.9</v>
      </c>
      <c r="Z917">
        <v>49.9</v>
      </c>
      <c r="AA917">
        <v>0</v>
      </c>
      <c r="AB917" t="s">
        <v>363</v>
      </c>
      <c r="AF917" t="s">
        <v>3134</v>
      </c>
      <c r="AG917" t="s">
        <v>3134</v>
      </c>
      <c r="AH917" t="s">
        <v>1606</v>
      </c>
      <c r="AI917">
        <v>99999</v>
      </c>
      <c r="AJ917">
        <v>99999</v>
      </c>
      <c r="AK917">
        <v>699</v>
      </c>
      <c r="AL917" t="b">
        <v>1</v>
      </c>
      <c r="AM917" t="b">
        <v>1</v>
      </c>
      <c r="AN917" t="b">
        <v>0</v>
      </c>
      <c r="AO917">
        <v>99999</v>
      </c>
      <c r="AP917" t="s">
        <v>64</v>
      </c>
      <c r="AR917" t="b">
        <v>0</v>
      </c>
      <c r="AS917">
        <v>12</v>
      </c>
      <c r="AT917" t="s">
        <v>327</v>
      </c>
      <c r="AV917" t="s">
        <v>3141</v>
      </c>
      <c r="CRL917">
        <v>12</v>
      </c>
    </row>
    <row r="918" spans="1:48 2508:2508" x14ac:dyDescent="0.25">
      <c r="A918" t="s">
        <v>3323</v>
      </c>
      <c r="B918" t="s">
        <v>302</v>
      </c>
      <c r="C918" t="s">
        <v>62</v>
      </c>
      <c r="D918">
        <v>99999</v>
      </c>
      <c r="F918" s="109">
        <v>14000</v>
      </c>
      <c r="G918" t="b">
        <v>0</v>
      </c>
      <c r="H918" t="s">
        <v>339</v>
      </c>
      <c r="K918" t="s">
        <v>379</v>
      </c>
      <c r="L918" t="s">
        <v>303</v>
      </c>
      <c r="M918" t="s">
        <v>323</v>
      </c>
      <c r="N918" t="s">
        <v>63</v>
      </c>
      <c r="O918" s="110">
        <v>29.9</v>
      </c>
      <c r="R918" s="110">
        <v>335.59000000000003</v>
      </c>
      <c r="S918" s="110">
        <v>107.5</v>
      </c>
      <c r="T918" s="110">
        <v>0</v>
      </c>
      <c r="U918" s="110">
        <v>34.99</v>
      </c>
      <c r="X918">
        <v>133.20000000000002</v>
      </c>
      <c r="Y918">
        <v>59.9</v>
      </c>
      <c r="Z918">
        <v>59.9</v>
      </c>
      <c r="AA918">
        <v>0</v>
      </c>
      <c r="AB918" t="s">
        <v>363</v>
      </c>
      <c r="AF918" t="s">
        <v>1633</v>
      </c>
      <c r="AG918" t="s">
        <v>1633</v>
      </c>
      <c r="AH918" t="s">
        <v>1606</v>
      </c>
      <c r="AI918">
        <v>99999</v>
      </c>
      <c r="AJ918">
        <v>99999</v>
      </c>
      <c r="AK918">
        <v>699</v>
      </c>
      <c r="AL918" t="b">
        <v>1</v>
      </c>
      <c r="AM918" t="b">
        <v>1</v>
      </c>
      <c r="AN918" t="b">
        <v>0</v>
      </c>
      <c r="AO918">
        <v>99999</v>
      </c>
      <c r="AP918" t="s">
        <v>64</v>
      </c>
      <c r="AR918" t="b">
        <v>0</v>
      </c>
      <c r="AS918">
        <v>12</v>
      </c>
      <c r="AT918" t="s">
        <v>327</v>
      </c>
      <c r="AV918" t="s">
        <v>1653</v>
      </c>
      <c r="CRL918">
        <v>12</v>
      </c>
    </row>
    <row r="919" spans="1:48 2508:2508" x14ac:dyDescent="0.25">
      <c r="A919" t="s">
        <v>3323</v>
      </c>
      <c r="B919" t="s">
        <v>302</v>
      </c>
      <c r="C919" t="s">
        <v>62</v>
      </c>
      <c r="D919">
        <v>99999</v>
      </c>
      <c r="F919" s="109">
        <v>14000</v>
      </c>
      <c r="G919" t="b">
        <v>0</v>
      </c>
      <c r="H919" t="s">
        <v>339</v>
      </c>
      <c r="K919" t="s">
        <v>379</v>
      </c>
      <c r="L919" t="s">
        <v>303</v>
      </c>
      <c r="M919" t="s">
        <v>323</v>
      </c>
      <c r="N919" t="s">
        <v>63</v>
      </c>
      <c r="O919" s="110">
        <v>29.9</v>
      </c>
      <c r="R919" s="110">
        <v>364.89</v>
      </c>
      <c r="S919" s="110">
        <v>107.5</v>
      </c>
      <c r="T919" s="110">
        <v>0</v>
      </c>
      <c r="U919" s="110">
        <v>42.99</v>
      </c>
      <c r="X919">
        <v>154.49999999999997</v>
      </c>
      <c r="Y919">
        <v>59.9</v>
      </c>
      <c r="Z919">
        <v>59.9</v>
      </c>
      <c r="AA919">
        <v>0</v>
      </c>
      <c r="AB919" t="s">
        <v>363</v>
      </c>
      <c r="AF919" t="s">
        <v>1781</v>
      </c>
      <c r="AG919" t="s">
        <v>1781</v>
      </c>
      <c r="AH919" t="s">
        <v>1606</v>
      </c>
      <c r="AI919">
        <v>99999</v>
      </c>
      <c r="AJ919">
        <v>99999</v>
      </c>
      <c r="AK919">
        <v>699</v>
      </c>
      <c r="AL919" t="b">
        <v>1</v>
      </c>
      <c r="AM919" t="b">
        <v>1</v>
      </c>
      <c r="AN919" t="b">
        <v>0</v>
      </c>
      <c r="AO919">
        <v>99999</v>
      </c>
      <c r="AP919" t="s">
        <v>64</v>
      </c>
      <c r="AR919" t="b">
        <v>0</v>
      </c>
      <c r="AS919">
        <v>12</v>
      </c>
      <c r="AT919" t="s">
        <v>327</v>
      </c>
      <c r="AV919" t="s">
        <v>1801</v>
      </c>
      <c r="CRL919">
        <v>12</v>
      </c>
    </row>
    <row r="920" spans="1:48 2508:2508" x14ac:dyDescent="0.25">
      <c r="A920" t="s">
        <v>3323</v>
      </c>
      <c r="B920" t="s">
        <v>302</v>
      </c>
      <c r="C920" t="s">
        <v>62</v>
      </c>
      <c r="D920">
        <v>99999</v>
      </c>
      <c r="F920" s="109">
        <v>14000</v>
      </c>
      <c r="G920" t="b">
        <v>0</v>
      </c>
      <c r="H920" t="s">
        <v>339</v>
      </c>
      <c r="K920" t="s">
        <v>379</v>
      </c>
      <c r="L920" t="s">
        <v>303</v>
      </c>
      <c r="M920" t="s">
        <v>323</v>
      </c>
      <c r="N920" t="s">
        <v>63</v>
      </c>
      <c r="O920" s="110">
        <v>39.9</v>
      </c>
      <c r="R920" s="110">
        <v>335.59000000000003</v>
      </c>
      <c r="S920" s="110">
        <v>107.5</v>
      </c>
      <c r="T920" s="110">
        <v>0</v>
      </c>
      <c r="U920" s="110">
        <v>34.99</v>
      </c>
      <c r="X920">
        <v>133.20000000000002</v>
      </c>
      <c r="Y920">
        <v>59.9</v>
      </c>
      <c r="Z920">
        <v>59.9</v>
      </c>
      <c r="AA920">
        <v>0</v>
      </c>
      <c r="AB920" t="s">
        <v>363</v>
      </c>
      <c r="AF920" t="s">
        <v>1700</v>
      </c>
      <c r="AG920" t="s">
        <v>1700</v>
      </c>
      <c r="AH920" t="s">
        <v>1606</v>
      </c>
      <c r="AI920">
        <v>99999</v>
      </c>
      <c r="AJ920">
        <v>99999</v>
      </c>
      <c r="AK920">
        <v>699</v>
      </c>
      <c r="AL920" t="b">
        <v>1</v>
      </c>
      <c r="AM920" t="b">
        <v>1</v>
      </c>
      <c r="AN920" t="b">
        <v>0</v>
      </c>
      <c r="AO920">
        <v>99999</v>
      </c>
      <c r="AP920" t="s">
        <v>64</v>
      </c>
      <c r="AR920" t="b">
        <v>0</v>
      </c>
      <c r="AS920">
        <v>12</v>
      </c>
      <c r="AT920" t="s">
        <v>327</v>
      </c>
      <c r="AV920" t="s">
        <v>1720</v>
      </c>
      <c r="CRL920">
        <v>12</v>
      </c>
    </row>
    <row r="921" spans="1:48 2508:2508" x14ac:dyDescent="0.25">
      <c r="A921" t="s">
        <v>3323</v>
      </c>
      <c r="B921" t="s">
        <v>302</v>
      </c>
      <c r="C921" t="s">
        <v>62</v>
      </c>
      <c r="D921">
        <v>99999</v>
      </c>
      <c r="F921" s="109">
        <v>14000</v>
      </c>
      <c r="G921" t="b">
        <v>0</v>
      </c>
      <c r="H921" t="s">
        <v>339</v>
      </c>
      <c r="K921" t="s">
        <v>379</v>
      </c>
      <c r="L921" t="s">
        <v>303</v>
      </c>
      <c r="M921" t="s">
        <v>323</v>
      </c>
      <c r="N921" t="s">
        <v>63</v>
      </c>
      <c r="O921" s="110">
        <v>39.9</v>
      </c>
      <c r="R921" s="110">
        <v>364.89</v>
      </c>
      <c r="S921" s="110">
        <v>107.5</v>
      </c>
      <c r="T921" s="110">
        <v>0</v>
      </c>
      <c r="U921" s="110">
        <v>42.99</v>
      </c>
      <c r="X921">
        <v>154.49999999999997</v>
      </c>
      <c r="Y921">
        <v>59.9</v>
      </c>
      <c r="Z921">
        <v>59.9</v>
      </c>
      <c r="AA921">
        <v>0</v>
      </c>
      <c r="AB921" t="s">
        <v>363</v>
      </c>
      <c r="AF921" t="s">
        <v>1848</v>
      </c>
      <c r="AG921" t="s">
        <v>1848</v>
      </c>
      <c r="AH921" t="s">
        <v>1606</v>
      </c>
      <c r="AI921">
        <v>99999</v>
      </c>
      <c r="AJ921">
        <v>99999</v>
      </c>
      <c r="AK921">
        <v>699</v>
      </c>
      <c r="AL921" t="b">
        <v>1</v>
      </c>
      <c r="AM921" t="b">
        <v>1</v>
      </c>
      <c r="AN921" t="b">
        <v>0</v>
      </c>
      <c r="AO921">
        <v>99999</v>
      </c>
      <c r="AP921" t="s">
        <v>64</v>
      </c>
      <c r="AR921" t="b">
        <v>0</v>
      </c>
      <c r="AS921">
        <v>12</v>
      </c>
      <c r="AT921" t="s">
        <v>327</v>
      </c>
      <c r="AV921" t="s">
        <v>1868</v>
      </c>
      <c r="CRL921">
        <v>12</v>
      </c>
    </row>
    <row r="922" spans="1:48 2508:2508" x14ac:dyDescent="0.25">
      <c r="A922" t="s">
        <v>3323</v>
      </c>
      <c r="B922" t="s">
        <v>302</v>
      </c>
      <c r="C922" t="s">
        <v>62</v>
      </c>
      <c r="D922">
        <v>99999</v>
      </c>
      <c r="F922" s="109">
        <v>14000</v>
      </c>
      <c r="G922" t="b">
        <v>0</v>
      </c>
      <c r="H922" t="s">
        <v>339</v>
      </c>
      <c r="K922" t="s">
        <v>379</v>
      </c>
      <c r="L922" t="s">
        <v>303</v>
      </c>
      <c r="M922" t="s">
        <v>323</v>
      </c>
      <c r="N922" t="s">
        <v>63</v>
      </c>
      <c r="O922" s="110">
        <v>49.9</v>
      </c>
      <c r="R922" s="110">
        <v>358.09000000000003</v>
      </c>
      <c r="S922" s="110">
        <v>130</v>
      </c>
      <c r="T922" s="110">
        <v>0</v>
      </c>
      <c r="U922" s="110">
        <v>34.99</v>
      </c>
      <c r="X922">
        <v>133.20000000000002</v>
      </c>
      <c r="Y922">
        <v>59.9</v>
      </c>
      <c r="Z922">
        <v>59.9</v>
      </c>
      <c r="AA922">
        <v>0</v>
      </c>
      <c r="AB922" t="s">
        <v>363</v>
      </c>
      <c r="AF922" t="s">
        <v>3060</v>
      </c>
      <c r="AG922" t="s">
        <v>3060</v>
      </c>
      <c r="AH922" t="s">
        <v>1606</v>
      </c>
      <c r="AI922">
        <v>99999</v>
      </c>
      <c r="AJ922">
        <v>99999</v>
      </c>
      <c r="AK922">
        <v>699</v>
      </c>
      <c r="AL922" t="b">
        <v>1</v>
      </c>
      <c r="AM922" t="b">
        <v>1</v>
      </c>
      <c r="AN922" t="b">
        <v>0</v>
      </c>
      <c r="AO922">
        <v>99999</v>
      </c>
      <c r="AP922" t="s">
        <v>64</v>
      </c>
      <c r="AR922" t="b">
        <v>0</v>
      </c>
      <c r="AS922">
        <v>12</v>
      </c>
      <c r="AT922" t="s">
        <v>327</v>
      </c>
      <c r="AV922" t="s">
        <v>3080</v>
      </c>
      <c r="CRL922">
        <v>12</v>
      </c>
    </row>
    <row r="923" spans="1:48 2508:2508" x14ac:dyDescent="0.25">
      <c r="A923" t="s">
        <v>3323</v>
      </c>
      <c r="B923" t="s">
        <v>302</v>
      </c>
      <c r="C923" t="s">
        <v>62</v>
      </c>
      <c r="D923">
        <v>99999</v>
      </c>
      <c r="F923" s="109">
        <v>14000</v>
      </c>
      <c r="G923" t="b">
        <v>0</v>
      </c>
      <c r="H923" t="s">
        <v>339</v>
      </c>
      <c r="K923" t="s">
        <v>379</v>
      </c>
      <c r="L923" t="s">
        <v>303</v>
      </c>
      <c r="M923" t="s">
        <v>323</v>
      </c>
      <c r="N923" t="s">
        <v>63</v>
      </c>
      <c r="O923" s="110">
        <v>49.9</v>
      </c>
      <c r="R923" s="110">
        <v>387.39</v>
      </c>
      <c r="S923" s="110">
        <v>130</v>
      </c>
      <c r="T923" s="110">
        <v>0</v>
      </c>
      <c r="U923" s="110">
        <v>42.99</v>
      </c>
      <c r="X923">
        <v>154.49999999999997</v>
      </c>
      <c r="Y923">
        <v>59.9</v>
      </c>
      <c r="Z923">
        <v>59.9</v>
      </c>
      <c r="AA923">
        <v>0</v>
      </c>
      <c r="AB923" t="s">
        <v>363</v>
      </c>
      <c r="AF923" t="s">
        <v>3134</v>
      </c>
      <c r="AG923" t="s">
        <v>3134</v>
      </c>
      <c r="AH923" t="s">
        <v>1606</v>
      </c>
      <c r="AI923">
        <v>99999</v>
      </c>
      <c r="AJ923">
        <v>99999</v>
      </c>
      <c r="AK923">
        <v>699</v>
      </c>
      <c r="AL923" t="b">
        <v>1</v>
      </c>
      <c r="AM923" t="b">
        <v>1</v>
      </c>
      <c r="AN923" t="b">
        <v>0</v>
      </c>
      <c r="AO923">
        <v>99999</v>
      </c>
      <c r="AP923" t="s">
        <v>64</v>
      </c>
      <c r="AR923" t="b">
        <v>0</v>
      </c>
      <c r="AS923">
        <v>12</v>
      </c>
      <c r="AT923" t="s">
        <v>327</v>
      </c>
      <c r="AV923" t="s">
        <v>3154</v>
      </c>
      <c r="CRL923">
        <v>12</v>
      </c>
    </row>
    <row r="924" spans="1:48 2508:2508" x14ac:dyDescent="0.25">
      <c r="A924" t="s">
        <v>3323</v>
      </c>
      <c r="B924" t="s">
        <v>302</v>
      </c>
      <c r="C924" t="s">
        <v>62</v>
      </c>
      <c r="D924">
        <v>99999</v>
      </c>
      <c r="F924" s="109">
        <v>14000</v>
      </c>
      <c r="G924" t="b">
        <v>0</v>
      </c>
      <c r="H924" t="s">
        <v>339</v>
      </c>
      <c r="K924" t="s">
        <v>61</v>
      </c>
      <c r="L924" t="s">
        <v>303</v>
      </c>
      <c r="M924" t="s">
        <v>323</v>
      </c>
      <c r="N924" t="s">
        <v>63</v>
      </c>
      <c r="O924" s="110">
        <v>29.9</v>
      </c>
      <c r="R924" s="110">
        <v>320.59000000000003</v>
      </c>
      <c r="S924" s="110">
        <v>107.5</v>
      </c>
      <c r="T924" s="110">
        <v>0</v>
      </c>
      <c r="U924" s="110">
        <v>34.99</v>
      </c>
      <c r="X924">
        <v>133.20000000000002</v>
      </c>
      <c r="Y924">
        <v>44.9</v>
      </c>
      <c r="Z924">
        <v>44.9</v>
      </c>
      <c r="AA924">
        <v>0</v>
      </c>
      <c r="AB924" t="s">
        <v>324</v>
      </c>
      <c r="AF924" t="s">
        <v>1605</v>
      </c>
      <c r="AG924" t="s">
        <v>1605</v>
      </c>
      <c r="AH924" t="s">
        <v>1606</v>
      </c>
      <c r="AI924">
        <v>99999</v>
      </c>
      <c r="AJ924">
        <v>99999</v>
      </c>
      <c r="AK924">
        <v>699</v>
      </c>
      <c r="AL924" t="b">
        <v>1</v>
      </c>
      <c r="AM924" t="b">
        <v>1</v>
      </c>
      <c r="AN924" t="b">
        <v>0</v>
      </c>
      <c r="AO924">
        <v>99999</v>
      </c>
      <c r="AP924" t="s">
        <v>64</v>
      </c>
      <c r="AR924" t="b">
        <v>0</v>
      </c>
      <c r="AS924">
        <v>12</v>
      </c>
      <c r="AT924" t="s">
        <v>327</v>
      </c>
      <c r="AV924" t="s">
        <v>1613</v>
      </c>
      <c r="CRL924">
        <v>12</v>
      </c>
    </row>
    <row r="925" spans="1:48 2508:2508" x14ac:dyDescent="0.25">
      <c r="A925" t="s">
        <v>3323</v>
      </c>
      <c r="B925" t="s">
        <v>302</v>
      </c>
      <c r="C925" t="s">
        <v>62</v>
      </c>
      <c r="D925">
        <v>99999</v>
      </c>
      <c r="F925" s="109">
        <v>14000</v>
      </c>
      <c r="G925" t="b">
        <v>0</v>
      </c>
      <c r="H925" t="s">
        <v>339</v>
      </c>
      <c r="K925" t="s">
        <v>61</v>
      </c>
      <c r="L925" t="s">
        <v>303</v>
      </c>
      <c r="M925" t="s">
        <v>323</v>
      </c>
      <c r="N925" t="s">
        <v>63</v>
      </c>
      <c r="O925" s="110">
        <v>29.9</v>
      </c>
      <c r="R925" s="110">
        <v>349.89</v>
      </c>
      <c r="S925" s="110">
        <v>107.5</v>
      </c>
      <c r="T925" s="110">
        <v>0</v>
      </c>
      <c r="U925" s="110">
        <v>42.99</v>
      </c>
      <c r="X925">
        <v>154.49999999999997</v>
      </c>
      <c r="Y925">
        <v>44.9</v>
      </c>
      <c r="Z925">
        <v>44.9</v>
      </c>
      <c r="AA925">
        <v>0</v>
      </c>
      <c r="AB925" t="s">
        <v>324</v>
      </c>
      <c r="AF925" t="s">
        <v>1754</v>
      </c>
      <c r="AG925" t="s">
        <v>1754</v>
      </c>
      <c r="AH925" t="s">
        <v>1606</v>
      </c>
      <c r="AI925">
        <v>99999</v>
      </c>
      <c r="AJ925">
        <v>99999</v>
      </c>
      <c r="AK925">
        <v>699</v>
      </c>
      <c r="AL925" t="b">
        <v>1</v>
      </c>
      <c r="AM925" t="b">
        <v>1</v>
      </c>
      <c r="AN925" t="b">
        <v>0</v>
      </c>
      <c r="AO925">
        <v>99999</v>
      </c>
      <c r="AP925" t="s">
        <v>64</v>
      </c>
      <c r="AR925" t="b">
        <v>0</v>
      </c>
      <c r="AS925">
        <v>12</v>
      </c>
      <c r="AT925" t="s">
        <v>327</v>
      </c>
      <c r="AV925" t="s">
        <v>1761</v>
      </c>
      <c r="CRL925">
        <v>12</v>
      </c>
    </row>
    <row r="926" spans="1:48 2508:2508" x14ac:dyDescent="0.25">
      <c r="A926" t="s">
        <v>3323</v>
      </c>
      <c r="B926" t="s">
        <v>302</v>
      </c>
      <c r="C926" t="s">
        <v>62</v>
      </c>
      <c r="D926">
        <v>99999</v>
      </c>
      <c r="F926" s="109">
        <v>14000</v>
      </c>
      <c r="G926" t="b">
        <v>0</v>
      </c>
      <c r="H926" t="s">
        <v>339</v>
      </c>
      <c r="K926" t="s">
        <v>61</v>
      </c>
      <c r="L926" t="s">
        <v>303</v>
      </c>
      <c r="M926" t="s">
        <v>323</v>
      </c>
      <c r="N926" t="s">
        <v>63</v>
      </c>
      <c r="O926" s="110">
        <v>39.9</v>
      </c>
      <c r="R926" s="110">
        <v>320.59000000000003</v>
      </c>
      <c r="S926" s="110">
        <v>107.5</v>
      </c>
      <c r="T926" s="110">
        <v>0</v>
      </c>
      <c r="U926" s="110">
        <v>34.99</v>
      </c>
      <c r="X926">
        <v>133.20000000000002</v>
      </c>
      <c r="Y926">
        <v>44.9</v>
      </c>
      <c r="Z926">
        <v>44.9</v>
      </c>
      <c r="AA926">
        <v>0</v>
      </c>
      <c r="AB926" t="s">
        <v>324</v>
      </c>
      <c r="AF926" t="s">
        <v>1673</v>
      </c>
      <c r="AG926" t="s">
        <v>1673</v>
      </c>
      <c r="AH926" t="s">
        <v>1606</v>
      </c>
      <c r="AI926">
        <v>99999</v>
      </c>
      <c r="AJ926">
        <v>99999</v>
      </c>
      <c r="AK926">
        <v>699</v>
      </c>
      <c r="AL926" t="b">
        <v>1</v>
      </c>
      <c r="AM926" t="b">
        <v>1</v>
      </c>
      <c r="AN926" t="b">
        <v>0</v>
      </c>
      <c r="AO926">
        <v>99999</v>
      </c>
      <c r="AP926" t="s">
        <v>64</v>
      </c>
      <c r="AR926" t="b">
        <v>0</v>
      </c>
      <c r="AS926">
        <v>12</v>
      </c>
      <c r="AT926" t="s">
        <v>327</v>
      </c>
      <c r="AV926" t="s">
        <v>1680</v>
      </c>
      <c r="CRL926">
        <v>12</v>
      </c>
    </row>
    <row r="927" spans="1:48 2508:2508" x14ac:dyDescent="0.25">
      <c r="A927" t="s">
        <v>3323</v>
      </c>
      <c r="B927" t="s">
        <v>302</v>
      </c>
      <c r="C927" t="s">
        <v>62</v>
      </c>
      <c r="D927">
        <v>99999</v>
      </c>
      <c r="F927" s="109">
        <v>14000</v>
      </c>
      <c r="G927" t="b">
        <v>0</v>
      </c>
      <c r="H927" t="s">
        <v>339</v>
      </c>
      <c r="K927" t="s">
        <v>61</v>
      </c>
      <c r="L927" t="s">
        <v>303</v>
      </c>
      <c r="M927" t="s">
        <v>323</v>
      </c>
      <c r="N927" t="s">
        <v>63</v>
      </c>
      <c r="O927" s="110">
        <v>39.9</v>
      </c>
      <c r="R927" s="110">
        <v>349.89</v>
      </c>
      <c r="S927" s="110">
        <v>107.5</v>
      </c>
      <c r="T927" s="110">
        <v>0</v>
      </c>
      <c r="U927" s="110">
        <v>42.99</v>
      </c>
      <c r="X927">
        <v>154.49999999999997</v>
      </c>
      <c r="Y927">
        <v>44.9</v>
      </c>
      <c r="Z927">
        <v>44.9</v>
      </c>
      <c r="AA927">
        <v>0</v>
      </c>
      <c r="AB927" t="s">
        <v>324</v>
      </c>
      <c r="AF927" t="s">
        <v>1821</v>
      </c>
      <c r="AG927" t="s">
        <v>1821</v>
      </c>
      <c r="AH927" t="s">
        <v>1606</v>
      </c>
      <c r="AI927">
        <v>99999</v>
      </c>
      <c r="AJ927">
        <v>99999</v>
      </c>
      <c r="AK927">
        <v>699</v>
      </c>
      <c r="AL927" t="b">
        <v>1</v>
      </c>
      <c r="AM927" t="b">
        <v>1</v>
      </c>
      <c r="AN927" t="b">
        <v>0</v>
      </c>
      <c r="AO927">
        <v>99999</v>
      </c>
      <c r="AP927" t="s">
        <v>64</v>
      </c>
      <c r="AR927" t="b">
        <v>0</v>
      </c>
      <c r="AS927">
        <v>12</v>
      </c>
      <c r="AT927" t="s">
        <v>327</v>
      </c>
      <c r="AV927" t="s">
        <v>1828</v>
      </c>
      <c r="CRL927">
        <v>12</v>
      </c>
    </row>
    <row r="928" spans="1:48 2508:2508" x14ac:dyDescent="0.25">
      <c r="A928" t="s">
        <v>3323</v>
      </c>
      <c r="B928" t="s">
        <v>302</v>
      </c>
      <c r="C928" t="s">
        <v>62</v>
      </c>
      <c r="D928">
        <v>99999</v>
      </c>
      <c r="F928" s="109">
        <v>14000</v>
      </c>
      <c r="G928" t="b">
        <v>0</v>
      </c>
      <c r="H928" t="s">
        <v>339</v>
      </c>
      <c r="K928" t="s">
        <v>61</v>
      </c>
      <c r="L928" t="s">
        <v>303</v>
      </c>
      <c r="M928" t="s">
        <v>323</v>
      </c>
      <c r="N928" t="s">
        <v>63</v>
      </c>
      <c r="O928" s="110">
        <v>49.9</v>
      </c>
      <c r="R928" s="110">
        <v>343.09000000000003</v>
      </c>
      <c r="S928" s="110">
        <v>130</v>
      </c>
      <c r="T928" s="110">
        <v>0</v>
      </c>
      <c r="U928" s="110">
        <v>34.99</v>
      </c>
      <c r="X928">
        <v>133.20000000000002</v>
      </c>
      <c r="Y928">
        <v>44.9</v>
      </c>
      <c r="Z928">
        <v>44.9</v>
      </c>
      <c r="AA928">
        <v>0</v>
      </c>
      <c r="AB928" t="s">
        <v>324</v>
      </c>
      <c r="AF928" t="s">
        <v>3033</v>
      </c>
      <c r="AG928" t="s">
        <v>3033</v>
      </c>
      <c r="AH928" t="s">
        <v>1606</v>
      </c>
      <c r="AI928">
        <v>99999</v>
      </c>
      <c r="AJ928">
        <v>99999</v>
      </c>
      <c r="AK928">
        <v>699</v>
      </c>
      <c r="AL928" t="b">
        <v>1</v>
      </c>
      <c r="AM928" t="b">
        <v>1</v>
      </c>
      <c r="AN928" t="b">
        <v>0</v>
      </c>
      <c r="AO928">
        <v>99999</v>
      </c>
      <c r="AP928" t="s">
        <v>64</v>
      </c>
      <c r="AR928" t="b">
        <v>0</v>
      </c>
      <c r="AS928">
        <v>12</v>
      </c>
      <c r="AT928" t="s">
        <v>327</v>
      </c>
      <c r="AV928" t="s">
        <v>3040</v>
      </c>
      <c r="CRL928">
        <v>12</v>
      </c>
    </row>
    <row r="929" spans="1:48" x14ac:dyDescent="0.25">
      <c r="A929" t="s">
        <v>3323</v>
      </c>
      <c r="B929" t="s">
        <v>302</v>
      </c>
      <c r="C929" t="s">
        <v>62</v>
      </c>
      <c r="D929">
        <v>99999</v>
      </c>
      <c r="F929" s="109">
        <v>14000</v>
      </c>
      <c r="G929" t="b">
        <v>0</v>
      </c>
      <c r="H929" t="s">
        <v>339</v>
      </c>
      <c r="K929" t="s">
        <v>61</v>
      </c>
      <c r="L929" t="s">
        <v>303</v>
      </c>
      <c r="M929" t="s">
        <v>323</v>
      </c>
      <c r="N929" t="s">
        <v>63</v>
      </c>
      <c r="O929" s="110">
        <v>49.9</v>
      </c>
      <c r="R929" s="110">
        <v>372.39</v>
      </c>
      <c r="S929" s="110">
        <v>130</v>
      </c>
      <c r="T929" s="110">
        <v>0</v>
      </c>
      <c r="U929" s="110">
        <v>42.99</v>
      </c>
      <c r="X929">
        <v>154.49999999999997</v>
      </c>
      <c r="Y929">
        <v>44.9</v>
      </c>
      <c r="Z929">
        <v>44.9</v>
      </c>
      <c r="AA929">
        <v>0</v>
      </c>
      <c r="AB929" t="s">
        <v>324</v>
      </c>
      <c r="AF929" t="s">
        <v>3107</v>
      </c>
      <c r="AG929" t="s">
        <v>3107</v>
      </c>
      <c r="AH929" t="s">
        <v>1606</v>
      </c>
      <c r="AI929">
        <v>99999</v>
      </c>
      <c r="AJ929">
        <v>99999</v>
      </c>
      <c r="AK929">
        <v>699</v>
      </c>
      <c r="AL929" t="b">
        <v>1</v>
      </c>
      <c r="AM929" t="b">
        <v>1</v>
      </c>
      <c r="AN929" t="b">
        <v>0</v>
      </c>
      <c r="AO929">
        <v>99999</v>
      </c>
      <c r="AP929" t="s">
        <v>64</v>
      </c>
      <c r="AR929" t="b">
        <v>0</v>
      </c>
      <c r="AS929">
        <v>12</v>
      </c>
      <c r="AT929" t="s">
        <v>327</v>
      </c>
      <c r="AV929" t="s">
        <v>3114</v>
      </c>
    </row>
    <row r="930" spans="1:48" x14ac:dyDescent="0.25">
      <c r="A930" t="s">
        <v>3323</v>
      </c>
      <c r="B930" t="s">
        <v>302</v>
      </c>
      <c r="C930" t="s">
        <v>62</v>
      </c>
      <c r="D930">
        <v>99999</v>
      </c>
      <c r="F930" s="109">
        <v>14000</v>
      </c>
      <c r="G930" t="b">
        <v>0</v>
      </c>
      <c r="H930" t="s">
        <v>337</v>
      </c>
      <c r="K930" t="s">
        <v>349</v>
      </c>
      <c r="L930" t="s">
        <v>303</v>
      </c>
      <c r="M930" t="s">
        <v>323</v>
      </c>
      <c r="N930" t="s">
        <v>63</v>
      </c>
      <c r="O930" s="110">
        <v>29.9</v>
      </c>
      <c r="R930" s="110">
        <v>285.59000000000003</v>
      </c>
      <c r="S930" s="110">
        <v>107.5</v>
      </c>
      <c r="T930" s="110">
        <v>0</v>
      </c>
      <c r="U930" s="110">
        <v>34.99</v>
      </c>
      <c r="X930">
        <v>98.200000000000017</v>
      </c>
      <c r="Y930">
        <v>44.9</v>
      </c>
      <c r="Z930">
        <v>44.9</v>
      </c>
      <c r="AA930">
        <v>0</v>
      </c>
      <c r="AB930" t="s">
        <v>324</v>
      </c>
      <c r="AF930" t="s">
        <v>1605</v>
      </c>
      <c r="AG930" t="s">
        <v>1605</v>
      </c>
      <c r="AH930" t="s">
        <v>1606</v>
      </c>
      <c r="AI930">
        <v>99999</v>
      </c>
      <c r="AJ930">
        <v>99999</v>
      </c>
      <c r="AK930">
        <v>699</v>
      </c>
      <c r="AL930" t="b">
        <v>1</v>
      </c>
      <c r="AM930" t="b">
        <v>1</v>
      </c>
      <c r="AN930" t="b">
        <v>0</v>
      </c>
      <c r="AO930">
        <v>99999</v>
      </c>
      <c r="AP930" t="s">
        <v>64</v>
      </c>
      <c r="AR930" t="b">
        <v>0</v>
      </c>
      <c r="AS930">
        <v>12</v>
      </c>
      <c r="AT930" t="s">
        <v>327</v>
      </c>
      <c r="AV930" t="s">
        <v>1625</v>
      </c>
    </row>
    <row r="931" spans="1:48" x14ac:dyDescent="0.25">
      <c r="A931" t="s">
        <v>3323</v>
      </c>
      <c r="B931" t="s">
        <v>302</v>
      </c>
      <c r="C931" t="s">
        <v>62</v>
      </c>
      <c r="D931">
        <v>99999</v>
      </c>
      <c r="F931" s="109">
        <v>14000</v>
      </c>
      <c r="G931" t="b">
        <v>0</v>
      </c>
      <c r="H931" t="s">
        <v>337</v>
      </c>
      <c r="K931" t="s">
        <v>349</v>
      </c>
      <c r="L931" t="s">
        <v>303</v>
      </c>
      <c r="M931" t="s">
        <v>323</v>
      </c>
      <c r="N931" t="s">
        <v>63</v>
      </c>
      <c r="O931" s="110">
        <v>29.9</v>
      </c>
      <c r="R931" s="110">
        <v>314.89</v>
      </c>
      <c r="S931" s="110">
        <v>107.5</v>
      </c>
      <c r="T931" s="110">
        <v>0</v>
      </c>
      <c r="U931" s="110">
        <v>42.99</v>
      </c>
      <c r="X931">
        <v>119.49999999999997</v>
      </c>
      <c r="Y931">
        <v>44.9</v>
      </c>
      <c r="Z931">
        <v>44.9</v>
      </c>
      <c r="AA931">
        <v>0</v>
      </c>
      <c r="AB931" t="s">
        <v>324</v>
      </c>
      <c r="AF931" t="s">
        <v>1754</v>
      </c>
      <c r="AG931" t="s">
        <v>1754</v>
      </c>
      <c r="AH931" t="s">
        <v>1606</v>
      </c>
      <c r="AI931">
        <v>99999</v>
      </c>
      <c r="AJ931">
        <v>99999</v>
      </c>
      <c r="AK931">
        <v>699</v>
      </c>
      <c r="AL931" t="b">
        <v>1</v>
      </c>
      <c r="AM931" t="b">
        <v>1</v>
      </c>
      <c r="AN931" t="b">
        <v>0</v>
      </c>
      <c r="AO931">
        <v>99999</v>
      </c>
      <c r="AP931" t="s">
        <v>64</v>
      </c>
      <c r="AR931" t="b">
        <v>0</v>
      </c>
      <c r="AS931">
        <v>12</v>
      </c>
      <c r="AT931" t="s">
        <v>327</v>
      </c>
      <c r="AV931" t="s">
        <v>1773</v>
      </c>
    </row>
    <row r="932" spans="1:48" x14ac:dyDescent="0.25">
      <c r="A932" t="s">
        <v>3323</v>
      </c>
      <c r="B932" t="s">
        <v>302</v>
      </c>
      <c r="C932" t="s">
        <v>62</v>
      </c>
      <c r="D932">
        <v>99999</v>
      </c>
      <c r="F932" s="109">
        <v>14000</v>
      </c>
      <c r="G932" t="b">
        <v>0</v>
      </c>
      <c r="H932" t="s">
        <v>337</v>
      </c>
      <c r="K932" t="s">
        <v>349</v>
      </c>
      <c r="L932" t="s">
        <v>303</v>
      </c>
      <c r="M932" t="s">
        <v>323</v>
      </c>
      <c r="N932" t="s">
        <v>63</v>
      </c>
      <c r="O932" s="110">
        <v>39.9</v>
      </c>
      <c r="R932" s="110">
        <v>285.59000000000003</v>
      </c>
      <c r="S932" s="110">
        <v>107.5</v>
      </c>
      <c r="T932" s="110">
        <v>0</v>
      </c>
      <c r="U932" s="110">
        <v>34.99</v>
      </c>
      <c r="X932">
        <v>98.200000000000017</v>
      </c>
      <c r="Y932">
        <v>44.9</v>
      </c>
      <c r="Z932">
        <v>44.9</v>
      </c>
      <c r="AA932">
        <v>0</v>
      </c>
      <c r="AB932" t="s">
        <v>324</v>
      </c>
      <c r="AF932" t="s">
        <v>1673</v>
      </c>
      <c r="AG932" t="s">
        <v>1673</v>
      </c>
      <c r="AH932" t="s">
        <v>1606</v>
      </c>
      <c r="AI932">
        <v>99999</v>
      </c>
      <c r="AJ932">
        <v>99999</v>
      </c>
      <c r="AK932">
        <v>699</v>
      </c>
      <c r="AL932" t="b">
        <v>1</v>
      </c>
      <c r="AM932" t="b">
        <v>1</v>
      </c>
      <c r="AN932" t="b">
        <v>0</v>
      </c>
      <c r="AO932">
        <v>99999</v>
      </c>
      <c r="AP932" t="s">
        <v>64</v>
      </c>
      <c r="AR932" t="b">
        <v>0</v>
      </c>
      <c r="AS932">
        <v>12</v>
      </c>
      <c r="AT932" t="s">
        <v>327</v>
      </c>
      <c r="AV932" t="s">
        <v>1692</v>
      </c>
    </row>
    <row r="933" spans="1:48" x14ac:dyDescent="0.25">
      <c r="A933" t="s">
        <v>3323</v>
      </c>
      <c r="B933" t="s">
        <v>302</v>
      </c>
      <c r="C933" t="s">
        <v>62</v>
      </c>
      <c r="D933">
        <v>99999</v>
      </c>
      <c r="F933" s="109">
        <v>14000</v>
      </c>
      <c r="G933" t="b">
        <v>0</v>
      </c>
      <c r="H933" t="s">
        <v>337</v>
      </c>
      <c r="K933" t="s">
        <v>349</v>
      </c>
      <c r="L933" t="s">
        <v>303</v>
      </c>
      <c r="M933" t="s">
        <v>323</v>
      </c>
      <c r="N933" t="s">
        <v>63</v>
      </c>
      <c r="O933" s="110">
        <v>39.9</v>
      </c>
      <c r="R933" s="110">
        <v>314.89</v>
      </c>
      <c r="S933" s="110">
        <v>107.5</v>
      </c>
      <c r="T933" s="110">
        <v>0</v>
      </c>
      <c r="U933" s="110">
        <v>42.99</v>
      </c>
      <c r="X933">
        <v>119.49999999999997</v>
      </c>
      <c r="Y933">
        <v>44.9</v>
      </c>
      <c r="Z933">
        <v>44.9</v>
      </c>
      <c r="AA933">
        <v>0</v>
      </c>
      <c r="AB933" t="s">
        <v>324</v>
      </c>
      <c r="AF933" t="s">
        <v>1821</v>
      </c>
      <c r="AG933" t="s">
        <v>1821</v>
      </c>
      <c r="AH933" t="s">
        <v>1606</v>
      </c>
      <c r="AI933">
        <v>99999</v>
      </c>
      <c r="AJ933">
        <v>99999</v>
      </c>
      <c r="AK933">
        <v>699</v>
      </c>
      <c r="AL933" t="b">
        <v>1</v>
      </c>
      <c r="AM933" t="b">
        <v>1</v>
      </c>
      <c r="AN933" t="b">
        <v>0</v>
      </c>
      <c r="AO933">
        <v>99999</v>
      </c>
      <c r="AP933" t="s">
        <v>64</v>
      </c>
      <c r="AR933" t="b">
        <v>0</v>
      </c>
      <c r="AS933">
        <v>12</v>
      </c>
      <c r="AT933" t="s">
        <v>327</v>
      </c>
      <c r="AV933" t="s">
        <v>1840</v>
      </c>
    </row>
    <row r="934" spans="1:48" x14ac:dyDescent="0.25">
      <c r="A934" t="s">
        <v>3323</v>
      </c>
      <c r="B934" t="s">
        <v>302</v>
      </c>
      <c r="C934" t="s">
        <v>62</v>
      </c>
      <c r="D934">
        <v>99999</v>
      </c>
      <c r="F934" s="109">
        <v>14000</v>
      </c>
      <c r="G934" t="b">
        <v>0</v>
      </c>
      <c r="H934" t="s">
        <v>337</v>
      </c>
      <c r="K934" t="s">
        <v>349</v>
      </c>
      <c r="L934" t="s">
        <v>303</v>
      </c>
      <c r="M934" t="s">
        <v>323</v>
      </c>
      <c r="N934" t="s">
        <v>63</v>
      </c>
      <c r="O934" s="110">
        <v>49.9</v>
      </c>
      <c r="R934" s="110">
        <v>308.09000000000003</v>
      </c>
      <c r="S934" s="110">
        <v>130</v>
      </c>
      <c r="T934" s="110">
        <v>0</v>
      </c>
      <c r="U934" s="110">
        <v>34.99</v>
      </c>
      <c r="X934">
        <v>98.200000000000017</v>
      </c>
      <c r="Y934">
        <v>44.9</v>
      </c>
      <c r="Z934">
        <v>44.9</v>
      </c>
      <c r="AA934">
        <v>0</v>
      </c>
      <c r="AB934" t="s">
        <v>324</v>
      </c>
      <c r="AF934" t="s">
        <v>3033</v>
      </c>
      <c r="AG934" t="s">
        <v>3033</v>
      </c>
      <c r="AH934" t="s">
        <v>1606</v>
      </c>
      <c r="AI934">
        <v>99999</v>
      </c>
      <c r="AJ934">
        <v>99999</v>
      </c>
      <c r="AK934">
        <v>699</v>
      </c>
      <c r="AL934" t="b">
        <v>1</v>
      </c>
      <c r="AM934" t="b">
        <v>1</v>
      </c>
      <c r="AN934" t="b">
        <v>0</v>
      </c>
      <c r="AO934">
        <v>99999</v>
      </c>
      <c r="AP934" t="s">
        <v>64</v>
      </c>
      <c r="AR934" t="b">
        <v>0</v>
      </c>
      <c r="AS934">
        <v>12</v>
      </c>
      <c r="AT934" t="s">
        <v>327</v>
      </c>
      <c r="AV934" t="s">
        <v>3052</v>
      </c>
    </row>
    <row r="935" spans="1:48" x14ac:dyDescent="0.25">
      <c r="A935" t="s">
        <v>3323</v>
      </c>
      <c r="B935" t="s">
        <v>302</v>
      </c>
      <c r="C935" t="s">
        <v>62</v>
      </c>
      <c r="D935">
        <v>99999</v>
      </c>
      <c r="F935" s="109">
        <v>14000</v>
      </c>
      <c r="G935" t="b">
        <v>0</v>
      </c>
      <c r="H935" t="s">
        <v>337</v>
      </c>
      <c r="K935" t="s">
        <v>349</v>
      </c>
      <c r="L935" t="s">
        <v>303</v>
      </c>
      <c r="M935" t="s">
        <v>323</v>
      </c>
      <c r="N935" t="s">
        <v>63</v>
      </c>
      <c r="O935" s="110">
        <v>49.9</v>
      </c>
      <c r="R935" s="110">
        <v>337.39</v>
      </c>
      <c r="S935" s="110">
        <v>130</v>
      </c>
      <c r="T935" s="110">
        <v>0</v>
      </c>
      <c r="U935" s="110">
        <v>42.99</v>
      </c>
      <c r="X935">
        <v>119.49999999999997</v>
      </c>
      <c r="Y935">
        <v>44.9</v>
      </c>
      <c r="Z935">
        <v>44.9</v>
      </c>
      <c r="AA935">
        <v>0</v>
      </c>
      <c r="AB935" t="s">
        <v>324</v>
      </c>
      <c r="AF935" t="s">
        <v>3107</v>
      </c>
      <c r="AG935" t="s">
        <v>3107</v>
      </c>
      <c r="AH935" t="s">
        <v>1606</v>
      </c>
      <c r="AI935">
        <v>99999</v>
      </c>
      <c r="AJ935">
        <v>99999</v>
      </c>
      <c r="AK935">
        <v>699</v>
      </c>
      <c r="AL935" t="b">
        <v>1</v>
      </c>
      <c r="AM935" t="b">
        <v>1</v>
      </c>
      <c r="AN935" t="b">
        <v>0</v>
      </c>
      <c r="AO935">
        <v>99999</v>
      </c>
      <c r="AP935" t="s">
        <v>64</v>
      </c>
      <c r="AR935" t="b">
        <v>0</v>
      </c>
      <c r="AS935">
        <v>12</v>
      </c>
      <c r="AT935" t="s">
        <v>327</v>
      </c>
      <c r="AV935" t="s">
        <v>3126</v>
      </c>
    </row>
    <row r="936" spans="1:48" x14ac:dyDescent="0.25">
      <c r="A936" t="s">
        <v>3323</v>
      </c>
      <c r="B936" t="s">
        <v>302</v>
      </c>
      <c r="C936" t="s">
        <v>62</v>
      </c>
      <c r="D936">
        <v>99999</v>
      </c>
      <c r="F936" s="109">
        <v>14000</v>
      </c>
      <c r="G936" t="b">
        <v>0</v>
      </c>
      <c r="H936" t="s">
        <v>337</v>
      </c>
      <c r="K936" t="s">
        <v>393</v>
      </c>
      <c r="L936" t="s">
        <v>303</v>
      </c>
      <c r="M936" t="s">
        <v>323</v>
      </c>
      <c r="N936" t="s">
        <v>63</v>
      </c>
      <c r="O936" s="110">
        <v>29.9</v>
      </c>
      <c r="R936" s="110">
        <v>310.59000000000003</v>
      </c>
      <c r="S936" s="110">
        <v>107.5</v>
      </c>
      <c r="T936" s="110">
        <v>0</v>
      </c>
      <c r="U936" s="110">
        <v>34.99</v>
      </c>
      <c r="X936">
        <v>98.200000000000017</v>
      </c>
      <c r="Y936">
        <v>69.900000000000006</v>
      </c>
      <c r="Z936">
        <v>69.900000000000006</v>
      </c>
      <c r="AA936">
        <v>0</v>
      </c>
      <c r="AB936" t="s">
        <v>363</v>
      </c>
      <c r="AF936" t="s">
        <v>1633</v>
      </c>
      <c r="AG936" t="s">
        <v>1633</v>
      </c>
      <c r="AH936" t="s">
        <v>1606</v>
      </c>
      <c r="AI936">
        <v>99999</v>
      </c>
      <c r="AJ936">
        <v>99999</v>
      </c>
      <c r="AK936">
        <v>699</v>
      </c>
      <c r="AL936" t="b">
        <v>1</v>
      </c>
      <c r="AM936" t="b">
        <v>1</v>
      </c>
      <c r="AN936" t="b">
        <v>0</v>
      </c>
      <c r="AO936">
        <v>99999</v>
      </c>
      <c r="AP936" t="s">
        <v>64</v>
      </c>
      <c r="AR936" t="b">
        <v>0</v>
      </c>
      <c r="AS936">
        <v>12</v>
      </c>
      <c r="AT936" t="s">
        <v>327</v>
      </c>
      <c r="AV936" t="s">
        <v>1665</v>
      </c>
    </row>
    <row r="937" spans="1:48" x14ac:dyDescent="0.25">
      <c r="A937" t="s">
        <v>3323</v>
      </c>
      <c r="B937" t="s">
        <v>302</v>
      </c>
      <c r="C937" t="s">
        <v>62</v>
      </c>
      <c r="D937">
        <v>99999</v>
      </c>
      <c r="F937" s="109">
        <v>14000</v>
      </c>
      <c r="G937" t="b">
        <v>0</v>
      </c>
      <c r="H937" t="s">
        <v>337</v>
      </c>
      <c r="K937" t="s">
        <v>393</v>
      </c>
      <c r="L937" t="s">
        <v>303</v>
      </c>
      <c r="M937" t="s">
        <v>323</v>
      </c>
      <c r="N937" t="s">
        <v>63</v>
      </c>
      <c r="O937" s="110">
        <v>29.9</v>
      </c>
      <c r="R937" s="110">
        <v>339.89</v>
      </c>
      <c r="S937" s="110">
        <v>107.5</v>
      </c>
      <c r="T937" s="110">
        <v>0</v>
      </c>
      <c r="U937" s="110">
        <v>42.99</v>
      </c>
      <c r="X937">
        <v>119.49999999999997</v>
      </c>
      <c r="Y937">
        <v>69.900000000000006</v>
      </c>
      <c r="Z937">
        <v>69.900000000000006</v>
      </c>
      <c r="AA937">
        <v>0</v>
      </c>
      <c r="AB937" t="s">
        <v>363</v>
      </c>
      <c r="AF937" t="s">
        <v>1781</v>
      </c>
      <c r="AG937" t="s">
        <v>1781</v>
      </c>
      <c r="AH937" t="s">
        <v>1606</v>
      </c>
      <c r="AI937">
        <v>99999</v>
      </c>
      <c r="AJ937">
        <v>99999</v>
      </c>
      <c r="AK937">
        <v>699</v>
      </c>
      <c r="AL937" t="b">
        <v>1</v>
      </c>
      <c r="AM937" t="b">
        <v>1</v>
      </c>
      <c r="AN937" t="b">
        <v>0</v>
      </c>
      <c r="AO937">
        <v>99999</v>
      </c>
      <c r="AP937" t="s">
        <v>64</v>
      </c>
      <c r="AR937" t="b">
        <v>0</v>
      </c>
      <c r="AS937">
        <v>12</v>
      </c>
      <c r="AT937" t="s">
        <v>327</v>
      </c>
      <c r="AV937" t="s">
        <v>1813</v>
      </c>
    </row>
    <row r="938" spans="1:48" x14ac:dyDescent="0.25">
      <c r="A938" t="s">
        <v>3323</v>
      </c>
      <c r="B938" t="s">
        <v>302</v>
      </c>
      <c r="C938" t="s">
        <v>62</v>
      </c>
      <c r="D938">
        <v>99999</v>
      </c>
      <c r="F938" s="109">
        <v>14000</v>
      </c>
      <c r="G938" t="b">
        <v>0</v>
      </c>
      <c r="H938" t="s">
        <v>337</v>
      </c>
      <c r="K938" t="s">
        <v>393</v>
      </c>
      <c r="L938" t="s">
        <v>303</v>
      </c>
      <c r="M938" t="s">
        <v>323</v>
      </c>
      <c r="N938" t="s">
        <v>63</v>
      </c>
      <c r="O938" s="110">
        <v>39.9</v>
      </c>
      <c r="R938" s="110">
        <v>310.59000000000003</v>
      </c>
      <c r="S938" s="110">
        <v>107.5</v>
      </c>
      <c r="T938" s="110">
        <v>0</v>
      </c>
      <c r="U938" s="110">
        <v>34.99</v>
      </c>
      <c r="X938">
        <v>98.200000000000017</v>
      </c>
      <c r="Y938">
        <v>69.900000000000006</v>
      </c>
      <c r="Z938">
        <v>69.900000000000006</v>
      </c>
      <c r="AA938">
        <v>0</v>
      </c>
      <c r="AB938" t="s">
        <v>363</v>
      </c>
      <c r="AF938" t="s">
        <v>1700</v>
      </c>
      <c r="AG938" t="s">
        <v>1700</v>
      </c>
      <c r="AH938" t="s">
        <v>1606</v>
      </c>
      <c r="AI938">
        <v>99999</v>
      </c>
      <c r="AJ938">
        <v>99999</v>
      </c>
      <c r="AK938">
        <v>699</v>
      </c>
      <c r="AL938" t="b">
        <v>1</v>
      </c>
      <c r="AM938" t="b">
        <v>1</v>
      </c>
      <c r="AN938" t="b">
        <v>0</v>
      </c>
      <c r="AO938">
        <v>99999</v>
      </c>
      <c r="AP938" t="s">
        <v>64</v>
      </c>
      <c r="AR938" t="b">
        <v>0</v>
      </c>
      <c r="AS938">
        <v>12</v>
      </c>
      <c r="AT938" t="s">
        <v>327</v>
      </c>
      <c r="AV938" t="s">
        <v>1732</v>
      </c>
    </row>
    <row r="939" spans="1:48" x14ac:dyDescent="0.25">
      <c r="A939" t="s">
        <v>3323</v>
      </c>
      <c r="B939" t="s">
        <v>302</v>
      </c>
      <c r="C939" t="s">
        <v>62</v>
      </c>
      <c r="D939">
        <v>99999</v>
      </c>
      <c r="F939" s="109">
        <v>14000</v>
      </c>
      <c r="G939" t="b">
        <v>0</v>
      </c>
      <c r="H939" t="s">
        <v>337</v>
      </c>
      <c r="K939" t="s">
        <v>393</v>
      </c>
      <c r="L939" t="s">
        <v>303</v>
      </c>
      <c r="M939" t="s">
        <v>323</v>
      </c>
      <c r="N939" t="s">
        <v>63</v>
      </c>
      <c r="O939" s="110">
        <v>39.9</v>
      </c>
      <c r="R939" s="110">
        <v>339.89</v>
      </c>
      <c r="S939" s="110">
        <v>107.5</v>
      </c>
      <c r="T939" s="110">
        <v>0</v>
      </c>
      <c r="U939" s="110">
        <v>42.99</v>
      </c>
      <c r="X939">
        <v>119.49999999999997</v>
      </c>
      <c r="Y939">
        <v>69.900000000000006</v>
      </c>
      <c r="Z939">
        <v>69.900000000000006</v>
      </c>
      <c r="AA939">
        <v>0</v>
      </c>
      <c r="AB939" t="s">
        <v>363</v>
      </c>
      <c r="AF939" t="s">
        <v>1848</v>
      </c>
      <c r="AG939" t="s">
        <v>1848</v>
      </c>
      <c r="AH939" t="s">
        <v>1606</v>
      </c>
      <c r="AI939">
        <v>99999</v>
      </c>
      <c r="AJ939">
        <v>99999</v>
      </c>
      <c r="AK939">
        <v>699</v>
      </c>
      <c r="AL939" t="b">
        <v>1</v>
      </c>
      <c r="AM939" t="b">
        <v>1</v>
      </c>
      <c r="AN939" t="b">
        <v>0</v>
      </c>
      <c r="AO939">
        <v>99999</v>
      </c>
      <c r="AP939" t="s">
        <v>64</v>
      </c>
      <c r="AR939" t="b">
        <v>0</v>
      </c>
      <c r="AS939">
        <v>12</v>
      </c>
      <c r="AT939" t="s">
        <v>327</v>
      </c>
      <c r="AV939" t="s">
        <v>1880</v>
      </c>
    </row>
    <row r="940" spans="1:48" x14ac:dyDescent="0.25">
      <c r="A940" t="s">
        <v>3323</v>
      </c>
      <c r="B940" t="s">
        <v>302</v>
      </c>
      <c r="C940" t="s">
        <v>62</v>
      </c>
      <c r="D940">
        <v>99999</v>
      </c>
      <c r="F940" s="109">
        <v>14000</v>
      </c>
      <c r="G940" t="b">
        <v>0</v>
      </c>
      <c r="H940" t="s">
        <v>337</v>
      </c>
      <c r="K940" t="s">
        <v>393</v>
      </c>
      <c r="L940" t="s">
        <v>303</v>
      </c>
      <c r="M940" t="s">
        <v>323</v>
      </c>
      <c r="N940" t="s">
        <v>63</v>
      </c>
      <c r="O940" s="110">
        <v>49.9</v>
      </c>
      <c r="R940" s="110">
        <v>333.09000000000003</v>
      </c>
      <c r="S940" s="110">
        <v>130</v>
      </c>
      <c r="T940" s="110">
        <v>0</v>
      </c>
      <c r="U940" s="110">
        <v>34.99</v>
      </c>
      <c r="X940">
        <v>98.200000000000017</v>
      </c>
      <c r="Y940">
        <v>69.900000000000006</v>
      </c>
      <c r="Z940">
        <v>69.900000000000006</v>
      </c>
      <c r="AA940">
        <v>0</v>
      </c>
      <c r="AB940" t="s">
        <v>363</v>
      </c>
      <c r="AF940" t="s">
        <v>3060</v>
      </c>
      <c r="AG940" t="s">
        <v>3060</v>
      </c>
      <c r="AH940" t="s">
        <v>1606</v>
      </c>
      <c r="AI940">
        <v>99999</v>
      </c>
      <c r="AJ940">
        <v>99999</v>
      </c>
      <c r="AK940">
        <v>699</v>
      </c>
      <c r="AL940" t="b">
        <v>1</v>
      </c>
      <c r="AM940" t="b">
        <v>1</v>
      </c>
      <c r="AN940" t="b">
        <v>0</v>
      </c>
      <c r="AO940">
        <v>99999</v>
      </c>
      <c r="AP940" t="s">
        <v>64</v>
      </c>
      <c r="AR940" t="b">
        <v>0</v>
      </c>
      <c r="AS940">
        <v>12</v>
      </c>
      <c r="AT940" t="s">
        <v>327</v>
      </c>
      <c r="AV940" t="s">
        <v>3092</v>
      </c>
    </row>
    <row r="941" spans="1:48" x14ac:dyDescent="0.25">
      <c r="A941" t="s">
        <v>3323</v>
      </c>
      <c r="B941" t="s">
        <v>302</v>
      </c>
      <c r="C941" t="s">
        <v>62</v>
      </c>
      <c r="D941">
        <v>99999</v>
      </c>
      <c r="F941" s="109">
        <v>14000</v>
      </c>
      <c r="G941" t="b">
        <v>0</v>
      </c>
      <c r="H941" t="s">
        <v>337</v>
      </c>
      <c r="K941" t="s">
        <v>393</v>
      </c>
      <c r="L941" t="s">
        <v>303</v>
      </c>
      <c r="M941" t="s">
        <v>323</v>
      </c>
      <c r="N941" t="s">
        <v>63</v>
      </c>
      <c r="O941" s="110">
        <v>49.9</v>
      </c>
      <c r="R941" s="110">
        <v>362.39</v>
      </c>
      <c r="S941" s="110">
        <v>130</v>
      </c>
      <c r="T941" s="110">
        <v>0</v>
      </c>
      <c r="U941" s="110">
        <v>42.99</v>
      </c>
      <c r="X941">
        <v>119.49999999999997</v>
      </c>
      <c r="Y941">
        <v>69.900000000000006</v>
      </c>
      <c r="Z941">
        <v>69.900000000000006</v>
      </c>
      <c r="AA941">
        <v>0</v>
      </c>
      <c r="AB941" t="s">
        <v>363</v>
      </c>
      <c r="AF941" t="s">
        <v>3134</v>
      </c>
      <c r="AG941" t="s">
        <v>3134</v>
      </c>
      <c r="AH941" t="s">
        <v>1606</v>
      </c>
      <c r="AI941">
        <v>99999</v>
      </c>
      <c r="AJ941">
        <v>99999</v>
      </c>
      <c r="AK941">
        <v>699</v>
      </c>
      <c r="AL941" t="b">
        <v>1</v>
      </c>
      <c r="AM941" t="b">
        <v>1</v>
      </c>
      <c r="AN941" t="b">
        <v>0</v>
      </c>
      <c r="AO941">
        <v>99999</v>
      </c>
      <c r="AP941" t="s">
        <v>64</v>
      </c>
      <c r="AR941" t="b">
        <v>0</v>
      </c>
      <c r="AS941">
        <v>12</v>
      </c>
      <c r="AT941" t="s">
        <v>327</v>
      </c>
      <c r="AV941" t="s">
        <v>3166</v>
      </c>
    </row>
    <row r="942" spans="1:48" x14ac:dyDescent="0.25">
      <c r="A942" t="s">
        <v>3323</v>
      </c>
      <c r="B942" t="s">
        <v>302</v>
      </c>
      <c r="C942" t="s">
        <v>62</v>
      </c>
      <c r="D942">
        <v>99999</v>
      </c>
      <c r="F942" s="109">
        <v>14000</v>
      </c>
      <c r="G942" t="b">
        <v>0</v>
      </c>
      <c r="H942" t="s">
        <v>337</v>
      </c>
      <c r="K942" t="s">
        <v>364</v>
      </c>
      <c r="L942" t="s">
        <v>303</v>
      </c>
      <c r="M942" t="s">
        <v>323</v>
      </c>
      <c r="N942" t="s">
        <v>63</v>
      </c>
      <c r="O942" s="110">
        <v>29.9</v>
      </c>
      <c r="R942" s="110">
        <v>290.59000000000003</v>
      </c>
      <c r="S942" s="110">
        <v>107.5</v>
      </c>
      <c r="T942" s="110">
        <v>0</v>
      </c>
      <c r="U942" s="110">
        <v>34.99</v>
      </c>
      <c r="X942">
        <v>98.200000000000017</v>
      </c>
      <c r="Y942">
        <v>49.9</v>
      </c>
      <c r="Z942">
        <v>49.9</v>
      </c>
      <c r="AA942">
        <v>0</v>
      </c>
      <c r="AB942" t="s">
        <v>363</v>
      </c>
      <c r="AF942" t="s">
        <v>1633</v>
      </c>
      <c r="AG942" t="s">
        <v>1633</v>
      </c>
      <c r="AH942" t="s">
        <v>1606</v>
      </c>
      <c r="AI942">
        <v>99999</v>
      </c>
      <c r="AJ942">
        <v>99999</v>
      </c>
      <c r="AK942">
        <v>699</v>
      </c>
      <c r="AL942" t="b">
        <v>1</v>
      </c>
      <c r="AM942" t="b">
        <v>1</v>
      </c>
      <c r="AN942" t="b">
        <v>0</v>
      </c>
      <c r="AO942">
        <v>99999</v>
      </c>
      <c r="AP942" t="s">
        <v>64</v>
      </c>
      <c r="AR942" t="b">
        <v>0</v>
      </c>
      <c r="AS942">
        <v>12</v>
      </c>
      <c r="AT942" t="s">
        <v>327</v>
      </c>
      <c r="AV942" t="s">
        <v>1639</v>
      </c>
    </row>
    <row r="943" spans="1:48" x14ac:dyDescent="0.25">
      <c r="A943" t="s">
        <v>3323</v>
      </c>
      <c r="B943" t="s">
        <v>302</v>
      </c>
      <c r="C943" t="s">
        <v>62</v>
      </c>
      <c r="D943">
        <v>99999</v>
      </c>
      <c r="F943" s="109">
        <v>14000</v>
      </c>
      <c r="G943" t="b">
        <v>0</v>
      </c>
      <c r="H943" t="s">
        <v>337</v>
      </c>
      <c r="K943" t="s">
        <v>364</v>
      </c>
      <c r="L943" t="s">
        <v>303</v>
      </c>
      <c r="M943" t="s">
        <v>323</v>
      </c>
      <c r="N943" t="s">
        <v>63</v>
      </c>
      <c r="O943" s="110">
        <v>29.9</v>
      </c>
      <c r="R943" s="110">
        <v>319.89</v>
      </c>
      <c r="S943" s="110">
        <v>107.5</v>
      </c>
      <c r="T943" s="110">
        <v>0</v>
      </c>
      <c r="U943" s="110">
        <v>42.99</v>
      </c>
      <c r="X943">
        <v>119.49999999999997</v>
      </c>
      <c r="Y943">
        <v>49.9</v>
      </c>
      <c r="Z943">
        <v>49.9</v>
      </c>
      <c r="AA943">
        <v>0</v>
      </c>
      <c r="AB943" t="s">
        <v>363</v>
      </c>
      <c r="AF943" t="s">
        <v>1781</v>
      </c>
      <c r="AG943" t="s">
        <v>1781</v>
      </c>
      <c r="AH943" t="s">
        <v>1606</v>
      </c>
      <c r="AI943">
        <v>99999</v>
      </c>
      <c r="AJ943">
        <v>99999</v>
      </c>
      <c r="AK943">
        <v>699</v>
      </c>
      <c r="AL943" t="b">
        <v>1</v>
      </c>
      <c r="AM943" t="b">
        <v>1</v>
      </c>
      <c r="AN943" t="b">
        <v>0</v>
      </c>
      <c r="AO943">
        <v>99999</v>
      </c>
      <c r="AP943" t="s">
        <v>64</v>
      </c>
      <c r="AR943" t="b">
        <v>0</v>
      </c>
      <c r="AS943">
        <v>12</v>
      </c>
      <c r="AT943" t="s">
        <v>327</v>
      </c>
      <c r="AV943" t="s">
        <v>1787</v>
      </c>
    </row>
    <row r="944" spans="1:48" x14ac:dyDescent="0.25">
      <c r="A944" t="s">
        <v>3323</v>
      </c>
      <c r="B944" t="s">
        <v>302</v>
      </c>
      <c r="C944" t="s">
        <v>62</v>
      </c>
      <c r="D944">
        <v>99999</v>
      </c>
      <c r="F944" s="109">
        <v>14000</v>
      </c>
      <c r="G944" t="b">
        <v>0</v>
      </c>
      <c r="H944" t="s">
        <v>337</v>
      </c>
      <c r="K944" t="s">
        <v>364</v>
      </c>
      <c r="L944" t="s">
        <v>303</v>
      </c>
      <c r="M944" t="s">
        <v>323</v>
      </c>
      <c r="N944" t="s">
        <v>63</v>
      </c>
      <c r="O944" s="110">
        <v>39.9</v>
      </c>
      <c r="R944" s="110">
        <v>290.59000000000003</v>
      </c>
      <c r="S944" s="110">
        <v>107.5</v>
      </c>
      <c r="T944" s="110">
        <v>0</v>
      </c>
      <c r="U944" s="110">
        <v>34.99</v>
      </c>
      <c r="X944">
        <v>98.200000000000017</v>
      </c>
      <c r="Y944">
        <v>49.9</v>
      </c>
      <c r="Z944">
        <v>49.9</v>
      </c>
      <c r="AA944">
        <v>0</v>
      </c>
      <c r="AB944" t="s">
        <v>363</v>
      </c>
      <c r="AF944" t="s">
        <v>1700</v>
      </c>
      <c r="AG944" t="s">
        <v>1700</v>
      </c>
      <c r="AH944" t="s">
        <v>1606</v>
      </c>
      <c r="AI944">
        <v>99999</v>
      </c>
      <c r="AJ944">
        <v>99999</v>
      </c>
      <c r="AK944">
        <v>699</v>
      </c>
      <c r="AL944" t="b">
        <v>1</v>
      </c>
      <c r="AM944" t="b">
        <v>1</v>
      </c>
      <c r="AN944" t="b">
        <v>0</v>
      </c>
      <c r="AO944">
        <v>99999</v>
      </c>
      <c r="AP944" t="s">
        <v>64</v>
      </c>
      <c r="AR944" t="b">
        <v>0</v>
      </c>
      <c r="AS944">
        <v>12</v>
      </c>
      <c r="AT944" t="s">
        <v>327</v>
      </c>
      <c r="AV944" t="s">
        <v>1706</v>
      </c>
    </row>
    <row r="945" spans="1:48" x14ac:dyDescent="0.25">
      <c r="A945" t="s">
        <v>3323</v>
      </c>
      <c r="B945" t="s">
        <v>302</v>
      </c>
      <c r="C945" t="s">
        <v>62</v>
      </c>
      <c r="D945">
        <v>99999</v>
      </c>
      <c r="F945" s="109">
        <v>14000</v>
      </c>
      <c r="G945" t="b">
        <v>0</v>
      </c>
      <c r="H945" t="s">
        <v>337</v>
      </c>
      <c r="K945" t="s">
        <v>364</v>
      </c>
      <c r="L945" t="s">
        <v>303</v>
      </c>
      <c r="M945" t="s">
        <v>323</v>
      </c>
      <c r="N945" t="s">
        <v>63</v>
      </c>
      <c r="O945" s="110">
        <v>39.9</v>
      </c>
      <c r="R945" s="110">
        <v>319.89</v>
      </c>
      <c r="S945" s="110">
        <v>107.5</v>
      </c>
      <c r="T945" s="110">
        <v>0</v>
      </c>
      <c r="U945" s="110">
        <v>42.99</v>
      </c>
      <c r="X945">
        <v>119.49999999999997</v>
      </c>
      <c r="Y945">
        <v>49.9</v>
      </c>
      <c r="Z945">
        <v>49.9</v>
      </c>
      <c r="AA945">
        <v>0</v>
      </c>
      <c r="AB945" t="s">
        <v>363</v>
      </c>
      <c r="AF945" t="s">
        <v>1848</v>
      </c>
      <c r="AG945" t="s">
        <v>1848</v>
      </c>
      <c r="AH945" t="s">
        <v>1606</v>
      </c>
      <c r="AI945">
        <v>99999</v>
      </c>
      <c r="AJ945">
        <v>99999</v>
      </c>
      <c r="AK945">
        <v>699</v>
      </c>
      <c r="AL945" t="b">
        <v>1</v>
      </c>
      <c r="AM945" t="b">
        <v>1</v>
      </c>
      <c r="AN945" t="b">
        <v>0</v>
      </c>
      <c r="AO945">
        <v>99999</v>
      </c>
      <c r="AP945" t="s">
        <v>64</v>
      </c>
      <c r="AR945" t="b">
        <v>0</v>
      </c>
      <c r="AS945">
        <v>12</v>
      </c>
      <c r="AT945" t="s">
        <v>327</v>
      </c>
      <c r="AV945" t="s">
        <v>1854</v>
      </c>
    </row>
    <row r="946" spans="1:48" x14ac:dyDescent="0.25">
      <c r="A946" t="s">
        <v>3323</v>
      </c>
      <c r="B946" t="s">
        <v>302</v>
      </c>
      <c r="C946" t="s">
        <v>62</v>
      </c>
      <c r="D946">
        <v>99999</v>
      </c>
      <c r="F946" s="109">
        <v>14000</v>
      </c>
      <c r="G946" t="b">
        <v>0</v>
      </c>
      <c r="H946" t="s">
        <v>337</v>
      </c>
      <c r="K946" t="s">
        <v>364</v>
      </c>
      <c r="L946" t="s">
        <v>303</v>
      </c>
      <c r="M946" t="s">
        <v>323</v>
      </c>
      <c r="N946" t="s">
        <v>63</v>
      </c>
      <c r="O946" s="110">
        <v>49.9</v>
      </c>
      <c r="R946" s="110">
        <v>313.09000000000003</v>
      </c>
      <c r="S946" s="110">
        <v>130</v>
      </c>
      <c r="T946" s="110">
        <v>0</v>
      </c>
      <c r="U946" s="110">
        <v>34.99</v>
      </c>
      <c r="X946">
        <v>98.200000000000017</v>
      </c>
      <c r="Y946">
        <v>49.9</v>
      </c>
      <c r="Z946">
        <v>49.9</v>
      </c>
      <c r="AA946">
        <v>0</v>
      </c>
      <c r="AB946" t="s">
        <v>363</v>
      </c>
      <c r="AF946" t="s">
        <v>3060</v>
      </c>
      <c r="AG946" t="s">
        <v>3060</v>
      </c>
      <c r="AH946" t="s">
        <v>1606</v>
      </c>
      <c r="AI946">
        <v>99999</v>
      </c>
      <c r="AJ946">
        <v>99999</v>
      </c>
      <c r="AK946">
        <v>699</v>
      </c>
      <c r="AL946" t="b">
        <v>1</v>
      </c>
      <c r="AM946" t="b">
        <v>1</v>
      </c>
      <c r="AN946" t="b">
        <v>0</v>
      </c>
      <c r="AO946">
        <v>99999</v>
      </c>
      <c r="AP946" t="s">
        <v>64</v>
      </c>
      <c r="AR946" t="b">
        <v>0</v>
      </c>
      <c r="AS946">
        <v>12</v>
      </c>
      <c r="AT946" t="s">
        <v>327</v>
      </c>
      <c r="AV946" t="s">
        <v>3066</v>
      </c>
    </row>
    <row r="947" spans="1:48" x14ac:dyDescent="0.25">
      <c r="A947" t="s">
        <v>3323</v>
      </c>
      <c r="B947" t="s">
        <v>302</v>
      </c>
      <c r="C947" t="s">
        <v>62</v>
      </c>
      <c r="D947">
        <v>99999</v>
      </c>
      <c r="F947" s="109">
        <v>14000</v>
      </c>
      <c r="G947" t="b">
        <v>0</v>
      </c>
      <c r="H947" t="s">
        <v>337</v>
      </c>
      <c r="K947" t="s">
        <v>364</v>
      </c>
      <c r="L947" t="s">
        <v>303</v>
      </c>
      <c r="M947" t="s">
        <v>323</v>
      </c>
      <c r="N947" t="s">
        <v>63</v>
      </c>
      <c r="O947" s="110">
        <v>49.9</v>
      </c>
      <c r="R947" s="110">
        <v>342.39</v>
      </c>
      <c r="S947" s="110">
        <v>130</v>
      </c>
      <c r="T947" s="110">
        <v>0</v>
      </c>
      <c r="U947" s="110">
        <v>42.99</v>
      </c>
      <c r="X947">
        <v>119.49999999999997</v>
      </c>
      <c r="Y947">
        <v>49.9</v>
      </c>
      <c r="Z947">
        <v>49.9</v>
      </c>
      <c r="AA947">
        <v>0</v>
      </c>
      <c r="AB947" t="s">
        <v>363</v>
      </c>
      <c r="AF947" t="s">
        <v>3134</v>
      </c>
      <c r="AG947" t="s">
        <v>3134</v>
      </c>
      <c r="AH947" t="s">
        <v>1606</v>
      </c>
      <c r="AI947">
        <v>99999</v>
      </c>
      <c r="AJ947">
        <v>99999</v>
      </c>
      <c r="AK947">
        <v>699</v>
      </c>
      <c r="AL947" t="b">
        <v>1</v>
      </c>
      <c r="AM947" t="b">
        <v>1</v>
      </c>
      <c r="AN947" t="b">
        <v>0</v>
      </c>
      <c r="AO947">
        <v>99999</v>
      </c>
      <c r="AP947" t="s">
        <v>64</v>
      </c>
      <c r="AR947" t="b">
        <v>0</v>
      </c>
      <c r="AS947">
        <v>12</v>
      </c>
      <c r="AT947" t="s">
        <v>327</v>
      </c>
      <c r="AV947" t="s">
        <v>3140</v>
      </c>
    </row>
    <row r="948" spans="1:48" x14ac:dyDescent="0.25">
      <c r="A948" t="s">
        <v>3323</v>
      </c>
      <c r="B948" t="s">
        <v>302</v>
      </c>
      <c r="C948" t="s">
        <v>62</v>
      </c>
      <c r="D948">
        <v>99999</v>
      </c>
      <c r="F948" s="109">
        <v>14000</v>
      </c>
      <c r="G948" t="b">
        <v>0</v>
      </c>
      <c r="H948" t="s">
        <v>337</v>
      </c>
      <c r="K948" t="s">
        <v>379</v>
      </c>
      <c r="L948" t="s">
        <v>303</v>
      </c>
      <c r="M948" t="s">
        <v>323</v>
      </c>
      <c r="N948" t="s">
        <v>63</v>
      </c>
      <c r="O948" s="110">
        <v>29.9</v>
      </c>
      <c r="R948" s="110">
        <v>300.59000000000003</v>
      </c>
      <c r="S948" s="110">
        <v>107.5</v>
      </c>
      <c r="T948" s="110">
        <v>0</v>
      </c>
      <c r="U948" s="110">
        <v>34.99</v>
      </c>
      <c r="X948">
        <v>98.200000000000017</v>
      </c>
      <c r="Y948">
        <v>59.9</v>
      </c>
      <c r="Z948">
        <v>59.9</v>
      </c>
      <c r="AA948">
        <v>0</v>
      </c>
      <c r="AB948" t="s">
        <v>363</v>
      </c>
      <c r="AF948" t="s">
        <v>1633</v>
      </c>
      <c r="AG948" t="s">
        <v>1633</v>
      </c>
      <c r="AH948" t="s">
        <v>1606</v>
      </c>
      <c r="AI948">
        <v>99999</v>
      </c>
      <c r="AJ948">
        <v>99999</v>
      </c>
      <c r="AK948">
        <v>699</v>
      </c>
      <c r="AL948" t="b">
        <v>1</v>
      </c>
      <c r="AM948" t="b">
        <v>1</v>
      </c>
      <c r="AN948" t="b">
        <v>0</v>
      </c>
      <c r="AO948">
        <v>99999</v>
      </c>
      <c r="AP948" t="s">
        <v>64</v>
      </c>
      <c r="AR948" t="b">
        <v>0</v>
      </c>
      <c r="AS948">
        <v>12</v>
      </c>
      <c r="AT948" t="s">
        <v>327</v>
      </c>
      <c r="AV948" t="s">
        <v>1652</v>
      </c>
    </row>
    <row r="949" spans="1:48" x14ac:dyDescent="0.25">
      <c r="A949" t="s">
        <v>3323</v>
      </c>
      <c r="B949" t="s">
        <v>302</v>
      </c>
      <c r="C949" t="s">
        <v>62</v>
      </c>
      <c r="D949">
        <v>99999</v>
      </c>
      <c r="F949" s="109">
        <v>14000</v>
      </c>
      <c r="G949" t="b">
        <v>0</v>
      </c>
      <c r="H949" t="s">
        <v>337</v>
      </c>
      <c r="K949" t="s">
        <v>379</v>
      </c>
      <c r="L949" t="s">
        <v>303</v>
      </c>
      <c r="M949" t="s">
        <v>323</v>
      </c>
      <c r="N949" t="s">
        <v>63</v>
      </c>
      <c r="O949" s="110">
        <v>29.9</v>
      </c>
      <c r="R949" s="110">
        <v>329.89</v>
      </c>
      <c r="S949" s="110">
        <v>107.5</v>
      </c>
      <c r="T949" s="110">
        <v>0</v>
      </c>
      <c r="U949" s="110">
        <v>42.99</v>
      </c>
      <c r="X949">
        <v>119.49999999999997</v>
      </c>
      <c r="Y949">
        <v>59.9</v>
      </c>
      <c r="Z949">
        <v>59.9</v>
      </c>
      <c r="AA949">
        <v>0</v>
      </c>
      <c r="AB949" t="s">
        <v>363</v>
      </c>
      <c r="AF949" t="s">
        <v>1781</v>
      </c>
      <c r="AG949" t="s">
        <v>1781</v>
      </c>
      <c r="AH949" t="s">
        <v>1606</v>
      </c>
      <c r="AI949">
        <v>99999</v>
      </c>
      <c r="AJ949">
        <v>99999</v>
      </c>
      <c r="AK949">
        <v>699</v>
      </c>
      <c r="AL949" t="b">
        <v>1</v>
      </c>
      <c r="AM949" t="b">
        <v>1</v>
      </c>
      <c r="AN949" t="b">
        <v>0</v>
      </c>
      <c r="AO949">
        <v>99999</v>
      </c>
      <c r="AP949" t="s">
        <v>64</v>
      </c>
      <c r="AR949" t="b">
        <v>0</v>
      </c>
      <c r="AS949">
        <v>12</v>
      </c>
      <c r="AT949" t="s">
        <v>327</v>
      </c>
      <c r="AV949" t="s">
        <v>1800</v>
      </c>
    </row>
    <row r="950" spans="1:48" x14ac:dyDescent="0.25">
      <c r="A950" t="s">
        <v>3323</v>
      </c>
      <c r="B950" t="s">
        <v>302</v>
      </c>
      <c r="C950" t="s">
        <v>62</v>
      </c>
      <c r="D950">
        <v>99999</v>
      </c>
      <c r="F950" s="109">
        <v>14000</v>
      </c>
      <c r="G950" t="b">
        <v>0</v>
      </c>
      <c r="H950" t="s">
        <v>337</v>
      </c>
      <c r="K950" t="s">
        <v>379</v>
      </c>
      <c r="L950" t="s">
        <v>303</v>
      </c>
      <c r="M950" t="s">
        <v>323</v>
      </c>
      <c r="N950" t="s">
        <v>63</v>
      </c>
      <c r="O950" s="110">
        <v>39.9</v>
      </c>
      <c r="R950" s="110">
        <v>300.59000000000003</v>
      </c>
      <c r="S950" s="110">
        <v>107.5</v>
      </c>
      <c r="T950" s="110">
        <v>0</v>
      </c>
      <c r="U950" s="110">
        <v>34.99</v>
      </c>
      <c r="X950">
        <v>98.200000000000017</v>
      </c>
      <c r="Y950">
        <v>59.9</v>
      </c>
      <c r="Z950">
        <v>59.9</v>
      </c>
      <c r="AA950">
        <v>0</v>
      </c>
      <c r="AB950" t="s">
        <v>363</v>
      </c>
      <c r="AF950" t="s">
        <v>1700</v>
      </c>
      <c r="AG950" t="s">
        <v>1700</v>
      </c>
      <c r="AH950" t="s">
        <v>1606</v>
      </c>
      <c r="AI950">
        <v>99999</v>
      </c>
      <c r="AJ950">
        <v>99999</v>
      </c>
      <c r="AK950">
        <v>699</v>
      </c>
      <c r="AL950" t="b">
        <v>1</v>
      </c>
      <c r="AM950" t="b">
        <v>1</v>
      </c>
      <c r="AN950" t="b">
        <v>0</v>
      </c>
      <c r="AO950">
        <v>99999</v>
      </c>
      <c r="AP950" t="s">
        <v>64</v>
      </c>
      <c r="AR950" t="b">
        <v>0</v>
      </c>
      <c r="AS950">
        <v>12</v>
      </c>
      <c r="AT950" t="s">
        <v>327</v>
      </c>
      <c r="AV950" t="s">
        <v>1719</v>
      </c>
    </row>
    <row r="951" spans="1:48" x14ac:dyDescent="0.25">
      <c r="A951" t="s">
        <v>3323</v>
      </c>
      <c r="B951" t="s">
        <v>302</v>
      </c>
      <c r="C951" t="s">
        <v>62</v>
      </c>
      <c r="D951">
        <v>99999</v>
      </c>
      <c r="F951" s="109">
        <v>14000</v>
      </c>
      <c r="G951" t="b">
        <v>0</v>
      </c>
      <c r="H951" t="s">
        <v>337</v>
      </c>
      <c r="K951" t="s">
        <v>379</v>
      </c>
      <c r="L951" t="s">
        <v>303</v>
      </c>
      <c r="M951" t="s">
        <v>323</v>
      </c>
      <c r="N951" t="s">
        <v>63</v>
      </c>
      <c r="O951" s="110">
        <v>39.9</v>
      </c>
      <c r="R951" s="110">
        <v>329.89</v>
      </c>
      <c r="S951" s="110">
        <v>107.5</v>
      </c>
      <c r="T951" s="110">
        <v>0</v>
      </c>
      <c r="U951" s="110">
        <v>42.99</v>
      </c>
      <c r="X951">
        <v>119.49999999999997</v>
      </c>
      <c r="Y951">
        <v>59.9</v>
      </c>
      <c r="Z951">
        <v>59.9</v>
      </c>
      <c r="AA951">
        <v>0</v>
      </c>
      <c r="AB951" t="s">
        <v>363</v>
      </c>
      <c r="AF951" t="s">
        <v>1848</v>
      </c>
      <c r="AG951" t="s">
        <v>1848</v>
      </c>
      <c r="AH951" t="s">
        <v>1606</v>
      </c>
      <c r="AI951">
        <v>99999</v>
      </c>
      <c r="AJ951">
        <v>99999</v>
      </c>
      <c r="AK951">
        <v>699</v>
      </c>
      <c r="AL951" t="b">
        <v>1</v>
      </c>
      <c r="AM951" t="b">
        <v>1</v>
      </c>
      <c r="AN951" t="b">
        <v>0</v>
      </c>
      <c r="AO951">
        <v>99999</v>
      </c>
      <c r="AP951" t="s">
        <v>64</v>
      </c>
      <c r="AR951" t="b">
        <v>0</v>
      </c>
      <c r="AS951">
        <v>12</v>
      </c>
      <c r="AT951" t="s">
        <v>327</v>
      </c>
      <c r="AV951" t="s">
        <v>1867</v>
      </c>
    </row>
    <row r="952" spans="1:48" x14ac:dyDescent="0.25">
      <c r="A952" t="s">
        <v>3323</v>
      </c>
      <c r="B952" t="s">
        <v>302</v>
      </c>
      <c r="C952" t="s">
        <v>62</v>
      </c>
      <c r="D952">
        <v>99999</v>
      </c>
      <c r="F952" s="109">
        <v>14000</v>
      </c>
      <c r="G952" t="b">
        <v>0</v>
      </c>
      <c r="H952" t="s">
        <v>337</v>
      </c>
      <c r="K952" t="s">
        <v>379</v>
      </c>
      <c r="L952" t="s">
        <v>303</v>
      </c>
      <c r="M952" t="s">
        <v>323</v>
      </c>
      <c r="N952" t="s">
        <v>63</v>
      </c>
      <c r="O952" s="110">
        <v>49.9</v>
      </c>
      <c r="R952" s="110">
        <v>323.09000000000003</v>
      </c>
      <c r="S952" s="110">
        <v>130</v>
      </c>
      <c r="T952" s="110">
        <v>0</v>
      </c>
      <c r="U952" s="110">
        <v>34.99</v>
      </c>
      <c r="X952">
        <v>98.200000000000017</v>
      </c>
      <c r="Y952">
        <v>59.9</v>
      </c>
      <c r="Z952">
        <v>59.9</v>
      </c>
      <c r="AA952">
        <v>0</v>
      </c>
      <c r="AB952" t="s">
        <v>363</v>
      </c>
      <c r="AF952" t="s">
        <v>3060</v>
      </c>
      <c r="AG952" t="s">
        <v>3060</v>
      </c>
      <c r="AH952" t="s">
        <v>1606</v>
      </c>
      <c r="AI952">
        <v>99999</v>
      </c>
      <c r="AJ952">
        <v>99999</v>
      </c>
      <c r="AK952">
        <v>699</v>
      </c>
      <c r="AL952" t="b">
        <v>1</v>
      </c>
      <c r="AM952" t="b">
        <v>1</v>
      </c>
      <c r="AN952" t="b">
        <v>0</v>
      </c>
      <c r="AO952">
        <v>99999</v>
      </c>
      <c r="AP952" t="s">
        <v>64</v>
      </c>
      <c r="AR952" t="b">
        <v>0</v>
      </c>
      <c r="AS952">
        <v>12</v>
      </c>
      <c r="AT952" t="s">
        <v>327</v>
      </c>
      <c r="AV952" t="s">
        <v>3079</v>
      </c>
    </row>
    <row r="953" spans="1:48" x14ac:dyDescent="0.25">
      <c r="A953" t="s">
        <v>3323</v>
      </c>
      <c r="B953" t="s">
        <v>302</v>
      </c>
      <c r="C953" t="s">
        <v>62</v>
      </c>
      <c r="D953">
        <v>99999</v>
      </c>
      <c r="F953" s="109">
        <v>14000</v>
      </c>
      <c r="G953" t="b">
        <v>0</v>
      </c>
      <c r="H953" t="s">
        <v>337</v>
      </c>
      <c r="K953" t="s">
        <v>379</v>
      </c>
      <c r="L953" t="s">
        <v>303</v>
      </c>
      <c r="M953" t="s">
        <v>323</v>
      </c>
      <c r="N953" t="s">
        <v>63</v>
      </c>
      <c r="O953" s="110">
        <v>49.9</v>
      </c>
      <c r="R953" s="110">
        <v>352.39</v>
      </c>
      <c r="S953" s="110">
        <v>130</v>
      </c>
      <c r="T953" s="110">
        <v>0</v>
      </c>
      <c r="U953" s="110">
        <v>42.99</v>
      </c>
      <c r="X953">
        <v>119.49999999999997</v>
      </c>
      <c r="Y953">
        <v>59.9</v>
      </c>
      <c r="Z953">
        <v>59.9</v>
      </c>
      <c r="AA953">
        <v>0</v>
      </c>
      <c r="AB953" t="s">
        <v>363</v>
      </c>
      <c r="AF953" t="s">
        <v>3134</v>
      </c>
      <c r="AG953" t="s">
        <v>3134</v>
      </c>
      <c r="AH953" t="s">
        <v>1606</v>
      </c>
      <c r="AI953">
        <v>99999</v>
      </c>
      <c r="AJ953">
        <v>99999</v>
      </c>
      <c r="AK953">
        <v>699</v>
      </c>
      <c r="AL953" t="b">
        <v>1</v>
      </c>
      <c r="AM953" t="b">
        <v>1</v>
      </c>
      <c r="AN953" t="b">
        <v>0</v>
      </c>
      <c r="AO953">
        <v>99999</v>
      </c>
      <c r="AP953" t="s">
        <v>64</v>
      </c>
      <c r="AR953" t="b">
        <v>0</v>
      </c>
      <c r="AS953">
        <v>12</v>
      </c>
      <c r="AT953" t="s">
        <v>327</v>
      </c>
      <c r="AV953" t="s">
        <v>3153</v>
      </c>
    </row>
    <row r="954" spans="1:48" x14ac:dyDescent="0.25">
      <c r="A954" t="s">
        <v>3323</v>
      </c>
      <c r="B954" t="s">
        <v>302</v>
      </c>
      <c r="C954" t="s">
        <v>62</v>
      </c>
      <c r="D954">
        <v>99999</v>
      </c>
      <c r="F954" s="109">
        <v>14000</v>
      </c>
      <c r="G954" t="b">
        <v>0</v>
      </c>
      <c r="H954" t="s">
        <v>337</v>
      </c>
      <c r="K954" t="s">
        <v>61</v>
      </c>
      <c r="L954" t="s">
        <v>303</v>
      </c>
      <c r="M954" t="s">
        <v>323</v>
      </c>
      <c r="N954" t="s">
        <v>63</v>
      </c>
      <c r="O954" s="110">
        <v>29.9</v>
      </c>
      <c r="R954" s="110">
        <v>285.59000000000003</v>
      </c>
      <c r="S954" s="110">
        <v>107.5</v>
      </c>
      <c r="T954" s="110">
        <v>0</v>
      </c>
      <c r="U954" s="110">
        <v>34.99</v>
      </c>
      <c r="X954">
        <v>98.200000000000017</v>
      </c>
      <c r="Y954">
        <v>44.9</v>
      </c>
      <c r="Z954">
        <v>44.9</v>
      </c>
      <c r="AA954">
        <v>0</v>
      </c>
      <c r="AB954" t="s">
        <v>324</v>
      </c>
      <c r="AF954" t="s">
        <v>1605</v>
      </c>
      <c r="AG954" t="s">
        <v>1605</v>
      </c>
      <c r="AH954" t="s">
        <v>1606</v>
      </c>
      <c r="AI954">
        <v>99999</v>
      </c>
      <c r="AJ954">
        <v>99999</v>
      </c>
      <c r="AK954">
        <v>699</v>
      </c>
      <c r="AL954" t="b">
        <v>1</v>
      </c>
      <c r="AM954" t="b">
        <v>1</v>
      </c>
      <c r="AN954" t="b">
        <v>0</v>
      </c>
      <c r="AO954">
        <v>99999</v>
      </c>
      <c r="AP954" t="s">
        <v>64</v>
      </c>
      <c r="AR954" t="b">
        <v>0</v>
      </c>
      <c r="AS954">
        <v>12</v>
      </c>
      <c r="AT954" t="s">
        <v>327</v>
      </c>
      <c r="AV954" t="s">
        <v>1612</v>
      </c>
    </row>
    <row r="955" spans="1:48" x14ac:dyDescent="0.25">
      <c r="A955" t="s">
        <v>3323</v>
      </c>
      <c r="B955" t="s">
        <v>302</v>
      </c>
      <c r="C955" t="s">
        <v>62</v>
      </c>
      <c r="D955">
        <v>99999</v>
      </c>
      <c r="F955" s="109">
        <v>14000</v>
      </c>
      <c r="G955" t="b">
        <v>0</v>
      </c>
      <c r="H955" t="s">
        <v>337</v>
      </c>
      <c r="K955" t="s">
        <v>61</v>
      </c>
      <c r="L955" t="s">
        <v>303</v>
      </c>
      <c r="M955" t="s">
        <v>323</v>
      </c>
      <c r="N955" t="s">
        <v>63</v>
      </c>
      <c r="O955" s="110">
        <v>29.9</v>
      </c>
      <c r="R955" s="110">
        <v>314.89</v>
      </c>
      <c r="S955" s="110">
        <v>107.5</v>
      </c>
      <c r="T955" s="110">
        <v>0</v>
      </c>
      <c r="U955" s="110">
        <v>42.99</v>
      </c>
      <c r="X955">
        <v>119.49999999999997</v>
      </c>
      <c r="Y955">
        <v>44.9</v>
      </c>
      <c r="Z955">
        <v>44.9</v>
      </c>
      <c r="AA955">
        <v>0</v>
      </c>
      <c r="AB955" t="s">
        <v>324</v>
      </c>
      <c r="AF955" t="s">
        <v>1754</v>
      </c>
      <c r="AG955" t="s">
        <v>1754</v>
      </c>
      <c r="AH955" t="s">
        <v>1606</v>
      </c>
      <c r="AI955">
        <v>99999</v>
      </c>
      <c r="AJ955">
        <v>99999</v>
      </c>
      <c r="AK955">
        <v>699</v>
      </c>
      <c r="AL955" t="b">
        <v>1</v>
      </c>
      <c r="AM955" t="b">
        <v>1</v>
      </c>
      <c r="AN955" t="b">
        <v>0</v>
      </c>
      <c r="AO955">
        <v>99999</v>
      </c>
      <c r="AP955" t="s">
        <v>64</v>
      </c>
      <c r="AR955" t="b">
        <v>0</v>
      </c>
      <c r="AS955">
        <v>12</v>
      </c>
      <c r="AT955" t="s">
        <v>327</v>
      </c>
      <c r="AV955" t="s">
        <v>1760</v>
      </c>
    </row>
    <row r="956" spans="1:48" x14ac:dyDescent="0.25">
      <c r="A956" t="s">
        <v>3323</v>
      </c>
      <c r="B956" t="s">
        <v>302</v>
      </c>
      <c r="C956" t="s">
        <v>62</v>
      </c>
      <c r="D956">
        <v>99999</v>
      </c>
      <c r="F956" s="109">
        <v>14000</v>
      </c>
      <c r="G956" t="b">
        <v>0</v>
      </c>
      <c r="H956" t="s">
        <v>337</v>
      </c>
      <c r="K956" t="s">
        <v>61</v>
      </c>
      <c r="L956" t="s">
        <v>303</v>
      </c>
      <c r="M956" t="s">
        <v>323</v>
      </c>
      <c r="N956" t="s">
        <v>63</v>
      </c>
      <c r="O956" s="110">
        <v>39.9</v>
      </c>
      <c r="R956" s="110">
        <v>285.59000000000003</v>
      </c>
      <c r="S956" s="110">
        <v>107.5</v>
      </c>
      <c r="T956" s="110">
        <v>0</v>
      </c>
      <c r="U956" s="110">
        <v>34.99</v>
      </c>
      <c r="X956">
        <v>98.200000000000017</v>
      </c>
      <c r="Y956">
        <v>44.9</v>
      </c>
      <c r="Z956">
        <v>44.9</v>
      </c>
      <c r="AA956">
        <v>0</v>
      </c>
      <c r="AB956" t="s">
        <v>324</v>
      </c>
      <c r="AF956" t="s">
        <v>1673</v>
      </c>
      <c r="AG956" t="s">
        <v>1673</v>
      </c>
      <c r="AH956" t="s">
        <v>1606</v>
      </c>
      <c r="AI956">
        <v>99999</v>
      </c>
      <c r="AJ956">
        <v>99999</v>
      </c>
      <c r="AK956">
        <v>699</v>
      </c>
      <c r="AL956" t="b">
        <v>1</v>
      </c>
      <c r="AM956" t="b">
        <v>1</v>
      </c>
      <c r="AN956" t="b">
        <v>0</v>
      </c>
      <c r="AO956">
        <v>99999</v>
      </c>
      <c r="AP956" t="s">
        <v>64</v>
      </c>
      <c r="AR956" t="b">
        <v>0</v>
      </c>
      <c r="AS956">
        <v>12</v>
      </c>
      <c r="AT956" t="s">
        <v>327</v>
      </c>
      <c r="AV956" t="s">
        <v>1679</v>
      </c>
    </row>
    <row r="957" spans="1:48" x14ac:dyDescent="0.25">
      <c r="A957" t="s">
        <v>3323</v>
      </c>
      <c r="B957" t="s">
        <v>302</v>
      </c>
      <c r="C957" t="s">
        <v>62</v>
      </c>
      <c r="D957">
        <v>99999</v>
      </c>
      <c r="F957" s="109">
        <v>14000</v>
      </c>
      <c r="G957" t="b">
        <v>0</v>
      </c>
      <c r="H957" t="s">
        <v>337</v>
      </c>
      <c r="K957" t="s">
        <v>61</v>
      </c>
      <c r="L957" t="s">
        <v>303</v>
      </c>
      <c r="M957" t="s">
        <v>323</v>
      </c>
      <c r="N957" t="s">
        <v>63</v>
      </c>
      <c r="O957" s="110">
        <v>39.9</v>
      </c>
      <c r="R957" s="110">
        <v>314.89</v>
      </c>
      <c r="S957" s="110">
        <v>107.5</v>
      </c>
      <c r="T957" s="110">
        <v>0</v>
      </c>
      <c r="U957" s="110">
        <v>42.99</v>
      </c>
      <c r="X957">
        <v>119.49999999999997</v>
      </c>
      <c r="Y957">
        <v>44.9</v>
      </c>
      <c r="Z957">
        <v>44.9</v>
      </c>
      <c r="AA957">
        <v>0</v>
      </c>
      <c r="AB957" t="s">
        <v>324</v>
      </c>
      <c r="AF957" t="s">
        <v>1821</v>
      </c>
      <c r="AG957" t="s">
        <v>1821</v>
      </c>
      <c r="AH957" t="s">
        <v>1606</v>
      </c>
      <c r="AI957">
        <v>99999</v>
      </c>
      <c r="AJ957">
        <v>99999</v>
      </c>
      <c r="AK957">
        <v>699</v>
      </c>
      <c r="AL957" t="b">
        <v>1</v>
      </c>
      <c r="AM957" t="b">
        <v>1</v>
      </c>
      <c r="AN957" t="b">
        <v>0</v>
      </c>
      <c r="AO957">
        <v>99999</v>
      </c>
      <c r="AP957" t="s">
        <v>64</v>
      </c>
      <c r="AR957" t="b">
        <v>0</v>
      </c>
      <c r="AS957">
        <v>12</v>
      </c>
      <c r="AT957" t="s">
        <v>327</v>
      </c>
      <c r="AV957" t="s">
        <v>1827</v>
      </c>
    </row>
    <row r="958" spans="1:48" x14ac:dyDescent="0.25">
      <c r="A958" t="s">
        <v>3323</v>
      </c>
      <c r="B958" t="s">
        <v>302</v>
      </c>
      <c r="C958" t="s">
        <v>62</v>
      </c>
      <c r="D958">
        <v>99999</v>
      </c>
      <c r="F958" s="109">
        <v>14000</v>
      </c>
      <c r="G958" t="b">
        <v>0</v>
      </c>
      <c r="H958" t="s">
        <v>337</v>
      </c>
      <c r="K958" t="s">
        <v>61</v>
      </c>
      <c r="L958" t="s">
        <v>303</v>
      </c>
      <c r="M958" t="s">
        <v>323</v>
      </c>
      <c r="N958" t="s">
        <v>63</v>
      </c>
      <c r="O958" s="110">
        <v>49.9</v>
      </c>
      <c r="R958" s="110">
        <v>308.09000000000003</v>
      </c>
      <c r="S958" s="110">
        <v>130</v>
      </c>
      <c r="T958" s="110">
        <v>0</v>
      </c>
      <c r="U958" s="110">
        <v>34.99</v>
      </c>
      <c r="X958">
        <v>98.200000000000017</v>
      </c>
      <c r="Y958">
        <v>44.9</v>
      </c>
      <c r="Z958">
        <v>44.9</v>
      </c>
      <c r="AA958">
        <v>0</v>
      </c>
      <c r="AB958" t="s">
        <v>324</v>
      </c>
      <c r="AF958" t="s">
        <v>3033</v>
      </c>
      <c r="AG958" t="s">
        <v>3033</v>
      </c>
      <c r="AH958" t="s">
        <v>1606</v>
      </c>
      <c r="AI958">
        <v>99999</v>
      </c>
      <c r="AJ958">
        <v>99999</v>
      </c>
      <c r="AK958">
        <v>699</v>
      </c>
      <c r="AL958" t="b">
        <v>1</v>
      </c>
      <c r="AM958" t="b">
        <v>1</v>
      </c>
      <c r="AN958" t="b">
        <v>0</v>
      </c>
      <c r="AO958">
        <v>99999</v>
      </c>
      <c r="AP958" t="s">
        <v>64</v>
      </c>
      <c r="AR958" t="b">
        <v>0</v>
      </c>
      <c r="AS958">
        <v>12</v>
      </c>
      <c r="AT958" t="s">
        <v>327</v>
      </c>
      <c r="AV958" t="s">
        <v>3039</v>
      </c>
    </row>
    <row r="959" spans="1:48" x14ac:dyDescent="0.25">
      <c r="A959" t="s">
        <v>3323</v>
      </c>
      <c r="B959" t="s">
        <v>302</v>
      </c>
      <c r="C959" t="s">
        <v>62</v>
      </c>
      <c r="D959">
        <v>99999</v>
      </c>
      <c r="F959" s="109">
        <v>14000</v>
      </c>
      <c r="G959" t="b">
        <v>0</v>
      </c>
      <c r="H959" t="s">
        <v>337</v>
      </c>
      <c r="K959" t="s">
        <v>61</v>
      </c>
      <c r="L959" t="s">
        <v>303</v>
      </c>
      <c r="M959" t="s">
        <v>323</v>
      </c>
      <c r="N959" t="s">
        <v>63</v>
      </c>
      <c r="O959" s="110">
        <v>49.9</v>
      </c>
      <c r="R959" s="110">
        <v>337.39</v>
      </c>
      <c r="S959" s="110">
        <v>130</v>
      </c>
      <c r="T959" s="110">
        <v>0</v>
      </c>
      <c r="U959" s="110">
        <v>42.99</v>
      </c>
      <c r="X959">
        <v>119.49999999999997</v>
      </c>
      <c r="Y959">
        <v>44.9</v>
      </c>
      <c r="Z959">
        <v>44.9</v>
      </c>
      <c r="AA959">
        <v>0</v>
      </c>
      <c r="AB959" t="s">
        <v>324</v>
      </c>
      <c r="AF959" t="s">
        <v>3107</v>
      </c>
      <c r="AG959" t="s">
        <v>3107</v>
      </c>
      <c r="AH959" t="s">
        <v>1606</v>
      </c>
      <c r="AI959">
        <v>99999</v>
      </c>
      <c r="AJ959">
        <v>99999</v>
      </c>
      <c r="AK959">
        <v>699</v>
      </c>
      <c r="AL959" t="b">
        <v>1</v>
      </c>
      <c r="AM959" t="b">
        <v>1</v>
      </c>
      <c r="AN959" t="b">
        <v>0</v>
      </c>
      <c r="AO959">
        <v>99999</v>
      </c>
      <c r="AP959" t="s">
        <v>64</v>
      </c>
      <c r="AR959" t="b">
        <v>0</v>
      </c>
      <c r="AS959">
        <v>12</v>
      </c>
      <c r="AT959" t="s">
        <v>327</v>
      </c>
      <c r="AV959" t="s">
        <v>3113</v>
      </c>
    </row>
    <row r="960" spans="1:48" x14ac:dyDescent="0.25">
      <c r="A960" t="s">
        <v>3323</v>
      </c>
      <c r="B960" t="s">
        <v>302</v>
      </c>
      <c r="C960" t="s">
        <v>62</v>
      </c>
      <c r="D960">
        <v>99999</v>
      </c>
      <c r="F960" s="109">
        <v>14000</v>
      </c>
      <c r="G960" t="b">
        <v>0</v>
      </c>
      <c r="H960" t="s">
        <v>341</v>
      </c>
      <c r="K960" t="s">
        <v>349</v>
      </c>
      <c r="L960" t="s">
        <v>303</v>
      </c>
      <c r="M960" t="s">
        <v>323</v>
      </c>
      <c r="N960" t="s">
        <v>63</v>
      </c>
      <c r="O960" s="110">
        <v>29.9</v>
      </c>
      <c r="R960" s="110">
        <v>330.59000000000003</v>
      </c>
      <c r="S960" s="110">
        <v>107.5</v>
      </c>
      <c r="T960" s="110">
        <v>0</v>
      </c>
      <c r="U960" s="110">
        <v>34.99</v>
      </c>
      <c r="X960">
        <v>143.20000000000002</v>
      </c>
      <c r="Y960">
        <v>44.9</v>
      </c>
      <c r="Z960">
        <v>44.9</v>
      </c>
      <c r="AA960">
        <v>0</v>
      </c>
      <c r="AB960" t="s">
        <v>324</v>
      </c>
      <c r="AF960" t="s">
        <v>1605</v>
      </c>
      <c r="AG960" t="s">
        <v>1605</v>
      </c>
      <c r="AH960" t="s">
        <v>1606</v>
      </c>
      <c r="AI960">
        <v>99999</v>
      </c>
      <c r="AJ960">
        <v>99999</v>
      </c>
      <c r="AK960">
        <v>699</v>
      </c>
      <c r="AL960" t="b">
        <v>1</v>
      </c>
      <c r="AM960" t="b">
        <v>1</v>
      </c>
      <c r="AN960" t="b">
        <v>0</v>
      </c>
      <c r="AO960">
        <v>99999</v>
      </c>
      <c r="AP960" t="s">
        <v>64</v>
      </c>
      <c r="AR960" t="b">
        <v>0</v>
      </c>
      <c r="AS960">
        <v>12</v>
      </c>
      <c r="AT960" t="s">
        <v>327</v>
      </c>
      <c r="AV960" t="s">
        <v>1627</v>
      </c>
    </row>
    <row r="961" spans="1:48" x14ac:dyDescent="0.25">
      <c r="A961" t="s">
        <v>3323</v>
      </c>
      <c r="B961" t="s">
        <v>302</v>
      </c>
      <c r="C961" t="s">
        <v>62</v>
      </c>
      <c r="D961">
        <v>99999</v>
      </c>
      <c r="F961" s="109">
        <v>14000</v>
      </c>
      <c r="G961" t="b">
        <v>0</v>
      </c>
      <c r="H961" t="s">
        <v>341</v>
      </c>
      <c r="K961" t="s">
        <v>349</v>
      </c>
      <c r="L961" t="s">
        <v>303</v>
      </c>
      <c r="M961" t="s">
        <v>323</v>
      </c>
      <c r="N961" t="s">
        <v>63</v>
      </c>
      <c r="O961" s="110">
        <v>29.9</v>
      </c>
      <c r="R961" s="110">
        <v>359.89</v>
      </c>
      <c r="S961" s="110">
        <v>107.5</v>
      </c>
      <c r="T961" s="110">
        <v>0</v>
      </c>
      <c r="U961" s="110">
        <v>42.99</v>
      </c>
      <c r="X961">
        <v>164.49999999999997</v>
      </c>
      <c r="Y961">
        <v>44.9</v>
      </c>
      <c r="Z961">
        <v>44.9</v>
      </c>
      <c r="AA961">
        <v>0</v>
      </c>
      <c r="AB961" t="s">
        <v>324</v>
      </c>
      <c r="AF961" t="s">
        <v>1754</v>
      </c>
      <c r="AG961" t="s">
        <v>1754</v>
      </c>
      <c r="AH961" t="s">
        <v>1606</v>
      </c>
      <c r="AI961">
        <v>99999</v>
      </c>
      <c r="AJ961">
        <v>99999</v>
      </c>
      <c r="AK961">
        <v>699</v>
      </c>
      <c r="AL961" t="b">
        <v>1</v>
      </c>
      <c r="AM961" t="b">
        <v>1</v>
      </c>
      <c r="AN961" t="b">
        <v>0</v>
      </c>
      <c r="AO961">
        <v>99999</v>
      </c>
      <c r="AP961" t="s">
        <v>64</v>
      </c>
      <c r="AR961" t="b">
        <v>0</v>
      </c>
      <c r="AS961">
        <v>12</v>
      </c>
      <c r="AT961" t="s">
        <v>327</v>
      </c>
      <c r="AV961" t="s">
        <v>1775</v>
      </c>
    </row>
    <row r="962" spans="1:48" x14ac:dyDescent="0.25">
      <c r="A962" t="s">
        <v>3323</v>
      </c>
      <c r="B962" t="s">
        <v>302</v>
      </c>
      <c r="C962" t="s">
        <v>62</v>
      </c>
      <c r="D962">
        <v>99999</v>
      </c>
      <c r="F962" s="109">
        <v>14000</v>
      </c>
      <c r="G962" t="b">
        <v>0</v>
      </c>
      <c r="H962" t="s">
        <v>341</v>
      </c>
      <c r="K962" t="s">
        <v>349</v>
      </c>
      <c r="L962" t="s">
        <v>303</v>
      </c>
      <c r="M962" t="s">
        <v>323</v>
      </c>
      <c r="N962" t="s">
        <v>63</v>
      </c>
      <c r="O962" s="110">
        <v>39.9</v>
      </c>
      <c r="R962" s="110">
        <v>330.59000000000003</v>
      </c>
      <c r="S962" s="110">
        <v>107.5</v>
      </c>
      <c r="T962" s="110">
        <v>0</v>
      </c>
      <c r="U962" s="110">
        <v>34.99</v>
      </c>
      <c r="X962">
        <v>143.20000000000002</v>
      </c>
      <c r="Y962">
        <v>44.9</v>
      </c>
      <c r="Z962">
        <v>44.9</v>
      </c>
      <c r="AA962">
        <v>0</v>
      </c>
      <c r="AB962" t="s">
        <v>324</v>
      </c>
      <c r="AF962" t="s">
        <v>1673</v>
      </c>
      <c r="AG962" t="s">
        <v>1673</v>
      </c>
      <c r="AH962" t="s">
        <v>1606</v>
      </c>
      <c r="AI962">
        <v>99999</v>
      </c>
      <c r="AJ962">
        <v>99999</v>
      </c>
      <c r="AK962">
        <v>699</v>
      </c>
      <c r="AL962" t="b">
        <v>1</v>
      </c>
      <c r="AM962" t="b">
        <v>1</v>
      </c>
      <c r="AN962" t="b">
        <v>0</v>
      </c>
      <c r="AO962">
        <v>99999</v>
      </c>
      <c r="AP962" t="s">
        <v>64</v>
      </c>
      <c r="AR962" t="b">
        <v>0</v>
      </c>
      <c r="AS962">
        <v>12</v>
      </c>
      <c r="AT962" t="s">
        <v>327</v>
      </c>
      <c r="AV962" t="s">
        <v>1694</v>
      </c>
    </row>
    <row r="963" spans="1:48" x14ac:dyDescent="0.25">
      <c r="A963" t="s">
        <v>3323</v>
      </c>
      <c r="B963" t="s">
        <v>302</v>
      </c>
      <c r="C963" t="s">
        <v>62</v>
      </c>
      <c r="D963">
        <v>99999</v>
      </c>
      <c r="F963" s="109">
        <v>14000</v>
      </c>
      <c r="G963" t="b">
        <v>0</v>
      </c>
      <c r="H963" t="s">
        <v>341</v>
      </c>
      <c r="K963" t="s">
        <v>349</v>
      </c>
      <c r="L963" t="s">
        <v>303</v>
      </c>
      <c r="M963" t="s">
        <v>323</v>
      </c>
      <c r="N963" t="s">
        <v>63</v>
      </c>
      <c r="O963" s="110">
        <v>39.9</v>
      </c>
      <c r="R963" s="110">
        <v>359.89</v>
      </c>
      <c r="S963" s="110">
        <v>107.5</v>
      </c>
      <c r="T963" s="110">
        <v>0</v>
      </c>
      <c r="U963" s="110">
        <v>42.99</v>
      </c>
      <c r="X963">
        <v>164.49999999999997</v>
      </c>
      <c r="Y963">
        <v>44.9</v>
      </c>
      <c r="Z963">
        <v>44.9</v>
      </c>
      <c r="AA963">
        <v>0</v>
      </c>
      <c r="AB963" t="s">
        <v>324</v>
      </c>
      <c r="AF963" t="s">
        <v>1821</v>
      </c>
      <c r="AG963" t="s">
        <v>1821</v>
      </c>
      <c r="AH963" t="s">
        <v>1606</v>
      </c>
      <c r="AI963">
        <v>99999</v>
      </c>
      <c r="AJ963">
        <v>99999</v>
      </c>
      <c r="AK963">
        <v>699</v>
      </c>
      <c r="AL963" t="b">
        <v>1</v>
      </c>
      <c r="AM963" t="b">
        <v>1</v>
      </c>
      <c r="AN963" t="b">
        <v>0</v>
      </c>
      <c r="AO963">
        <v>99999</v>
      </c>
      <c r="AP963" t="s">
        <v>64</v>
      </c>
      <c r="AR963" t="b">
        <v>0</v>
      </c>
      <c r="AS963">
        <v>12</v>
      </c>
      <c r="AT963" t="s">
        <v>327</v>
      </c>
      <c r="AV963" t="s">
        <v>1842</v>
      </c>
    </row>
    <row r="964" spans="1:48" x14ac:dyDescent="0.25">
      <c r="A964" t="s">
        <v>3323</v>
      </c>
      <c r="B964" t="s">
        <v>302</v>
      </c>
      <c r="C964" t="s">
        <v>62</v>
      </c>
      <c r="D964">
        <v>99999</v>
      </c>
      <c r="F964" s="109">
        <v>14000</v>
      </c>
      <c r="G964" t="b">
        <v>0</v>
      </c>
      <c r="H964" t="s">
        <v>341</v>
      </c>
      <c r="K964" t="s">
        <v>349</v>
      </c>
      <c r="L964" t="s">
        <v>303</v>
      </c>
      <c r="M964" t="s">
        <v>323</v>
      </c>
      <c r="N964" t="s">
        <v>63</v>
      </c>
      <c r="O964" s="110">
        <v>49.9</v>
      </c>
      <c r="R964" s="110">
        <v>353.09000000000003</v>
      </c>
      <c r="S964" s="110">
        <v>130</v>
      </c>
      <c r="T964" s="110">
        <v>0</v>
      </c>
      <c r="U964" s="110">
        <v>34.99</v>
      </c>
      <c r="X964">
        <v>143.20000000000002</v>
      </c>
      <c r="Y964">
        <v>44.9</v>
      </c>
      <c r="Z964">
        <v>44.9</v>
      </c>
      <c r="AA964">
        <v>0</v>
      </c>
      <c r="AB964" t="s">
        <v>324</v>
      </c>
      <c r="AF964" t="s">
        <v>3033</v>
      </c>
      <c r="AG964" t="s">
        <v>3033</v>
      </c>
      <c r="AH964" t="s">
        <v>1606</v>
      </c>
      <c r="AI964">
        <v>99999</v>
      </c>
      <c r="AJ964">
        <v>99999</v>
      </c>
      <c r="AK964">
        <v>699</v>
      </c>
      <c r="AL964" t="b">
        <v>1</v>
      </c>
      <c r="AM964" t="b">
        <v>1</v>
      </c>
      <c r="AN964" t="b">
        <v>0</v>
      </c>
      <c r="AO964">
        <v>99999</v>
      </c>
      <c r="AP964" t="s">
        <v>64</v>
      </c>
      <c r="AR964" t="b">
        <v>0</v>
      </c>
      <c r="AS964">
        <v>12</v>
      </c>
      <c r="AT964" t="s">
        <v>327</v>
      </c>
      <c r="AV964" t="s">
        <v>3054</v>
      </c>
    </row>
    <row r="965" spans="1:48" x14ac:dyDescent="0.25">
      <c r="A965" t="s">
        <v>3323</v>
      </c>
      <c r="B965" t="s">
        <v>302</v>
      </c>
      <c r="C965" t="s">
        <v>62</v>
      </c>
      <c r="D965">
        <v>99999</v>
      </c>
      <c r="F965" s="109">
        <v>14000</v>
      </c>
      <c r="G965" t="b">
        <v>0</v>
      </c>
      <c r="H965" t="s">
        <v>341</v>
      </c>
      <c r="K965" t="s">
        <v>349</v>
      </c>
      <c r="L965" t="s">
        <v>303</v>
      </c>
      <c r="M965" t="s">
        <v>323</v>
      </c>
      <c r="N965" t="s">
        <v>63</v>
      </c>
      <c r="O965" s="110">
        <v>49.9</v>
      </c>
      <c r="R965" s="110">
        <v>382.39</v>
      </c>
      <c r="S965" s="110">
        <v>130</v>
      </c>
      <c r="T965" s="110">
        <v>0</v>
      </c>
      <c r="U965" s="110">
        <v>42.99</v>
      </c>
      <c r="X965">
        <v>164.49999999999997</v>
      </c>
      <c r="Y965">
        <v>44.9</v>
      </c>
      <c r="Z965">
        <v>44.9</v>
      </c>
      <c r="AA965">
        <v>0</v>
      </c>
      <c r="AB965" t="s">
        <v>324</v>
      </c>
      <c r="AF965" t="s">
        <v>3107</v>
      </c>
      <c r="AG965" t="s">
        <v>3107</v>
      </c>
      <c r="AH965" t="s">
        <v>1606</v>
      </c>
      <c r="AI965">
        <v>99999</v>
      </c>
      <c r="AJ965">
        <v>99999</v>
      </c>
      <c r="AK965">
        <v>699</v>
      </c>
      <c r="AL965" t="b">
        <v>1</v>
      </c>
      <c r="AM965" t="b">
        <v>1</v>
      </c>
      <c r="AN965" t="b">
        <v>0</v>
      </c>
      <c r="AO965">
        <v>99999</v>
      </c>
      <c r="AP965" t="s">
        <v>64</v>
      </c>
      <c r="AR965" t="b">
        <v>0</v>
      </c>
      <c r="AS965">
        <v>12</v>
      </c>
      <c r="AT965" t="s">
        <v>327</v>
      </c>
      <c r="AV965" t="s">
        <v>3128</v>
      </c>
    </row>
    <row r="966" spans="1:48" x14ac:dyDescent="0.25">
      <c r="A966" t="s">
        <v>3323</v>
      </c>
      <c r="B966" t="s">
        <v>302</v>
      </c>
      <c r="C966" t="s">
        <v>62</v>
      </c>
      <c r="D966">
        <v>99999</v>
      </c>
      <c r="F966" s="109">
        <v>14000</v>
      </c>
      <c r="G966" t="b">
        <v>0</v>
      </c>
      <c r="H966" t="s">
        <v>341</v>
      </c>
      <c r="K966" t="s">
        <v>393</v>
      </c>
      <c r="L966" t="s">
        <v>303</v>
      </c>
      <c r="M966" t="s">
        <v>323</v>
      </c>
      <c r="N966" t="s">
        <v>63</v>
      </c>
      <c r="O966" s="110">
        <v>29.9</v>
      </c>
      <c r="R966" s="110">
        <v>355.59000000000003</v>
      </c>
      <c r="S966" s="110">
        <v>107.5</v>
      </c>
      <c r="T966" s="110">
        <v>0</v>
      </c>
      <c r="U966" s="110">
        <v>34.99</v>
      </c>
      <c r="X966">
        <v>143.20000000000002</v>
      </c>
      <c r="Y966">
        <v>69.900000000000006</v>
      </c>
      <c r="Z966">
        <v>69.900000000000006</v>
      </c>
      <c r="AA966">
        <v>0</v>
      </c>
      <c r="AB966" t="s">
        <v>363</v>
      </c>
      <c r="AF966" t="s">
        <v>1633</v>
      </c>
      <c r="AG966" t="s">
        <v>1633</v>
      </c>
      <c r="AH966" t="s">
        <v>1606</v>
      </c>
      <c r="AI966">
        <v>99999</v>
      </c>
      <c r="AJ966">
        <v>99999</v>
      </c>
      <c r="AK966">
        <v>699</v>
      </c>
      <c r="AL966" t="b">
        <v>1</v>
      </c>
      <c r="AM966" t="b">
        <v>1</v>
      </c>
      <c r="AN966" t="b">
        <v>0</v>
      </c>
      <c r="AO966">
        <v>99999</v>
      </c>
      <c r="AP966" t="s">
        <v>64</v>
      </c>
      <c r="AR966" t="b">
        <v>0</v>
      </c>
      <c r="AS966">
        <v>12</v>
      </c>
      <c r="AT966" t="s">
        <v>327</v>
      </c>
      <c r="AV966" t="s">
        <v>1667</v>
      </c>
    </row>
    <row r="967" spans="1:48" x14ac:dyDescent="0.25">
      <c r="A967" t="s">
        <v>3323</v>
      </c>
      <c r="B967" t="s">
        <v>302</v>
      </c>
      <c r="C967" t="s">
        <v>62</v>
      </c>
      <c r="D967">
        <v>99999</v>
      </c>
      <c r="F967" s="109">
        <v>14000</v>
      </c>
      <c r="G967" t="b">
        <v>0</v>
      </c>
      <c r="H967" t="s">
        <v>341</v>
      </c>
      <c r="K967" t="s">
        <v>393</v>
      </c>
      <c r="L967" t="s">
        <v>303</v>
      </c>
      <c r="M967" t="s">
        <v>323</v>
      </c>
      <c r="N967" t="s">
        <v>63</v>
      </c>
      <c r="O967" s="110">
        <v>29.9</v>
      </c>
      <c r="R967" s="110">
        <v>384.89</v>
      </c>
      <c r="S967" s="110">
        <v>107.5</v>
      </c>
      <c r="T967" s="110">
        <v>0</v>
      </c>
      <c r="U967" s="110">
        <v>42.99</v>
      </c>
      <c r="X967">
        <v>164.49999999999997</v>
      </c>
      <c r="Y967">
        <v>69.900000000000006</v>
      </c>
      <c r="Z967">
        <v>69.900000000000006</v>
      </c>
      <c r="AA967">
        <v>0</v>
      </c>
      <c r="AB967" t="s">
        <v>363</v>
      </c>
      <c r="AF967" t="s">
        <v>1781</v>
      </c>
      <c r="AG967" t="s">
        <v>1781</v>
      </c>
      <c r="AH967" t="s">
        <v>1606</v>
      </c>
      <c r="AI967">
        <v>99999</v>
      </c>
      <c r="AJ967">
        <v>99999</v>
      </c>
      <c r="AK967">
        <v>699</v>
      </c>
      <c r="AL967" t="b">
        <v>1</v>
      </c>
      <c r="AM967" t="b">
        <v>1</v>
      </c>
      <c r="AN967" t="b">
        <v>0</v>
      </c>
      <c r="AO967">
        <v>99999</v>
      </c>
      <c r="AP967" t="s">
        <v>64</v>
      </c>
      <c r="AR967" t="b">
        <v>0</v>
      </c>
      <c r="AS967">
        <v>12</v>
      </c>
      <c r="AT967" t="s">
        <v>327</v>
      </c>
      <c r="AV967" t="s">
        <v>1815</v>
      </c>
    </row>
    <row r="968" spans="1:48" x14ac:dyDescent="0.25">
      <c r="A968" t="s">
        <v>3323</v>
      </c>
      <c r="B968" t="s">
        <v>302</v>
      </c>
      <c r="C968" t="s">
        <v>62</v>
      </c>
      <c r="D968">
        <v>99999</v>
      </c>
      <c r="F968" s="109">
        <v>14000</v>
      </c>
      <c r="G968" t="b">
        <v>0</v>
      </c>
      <c r="H968" t="s">
        <v>341</v>
      </c>
      <c r="K968" t="s">
        <v>393</v>
      </c>
      <c r="L968" t="s">
        <v>303</v>
      </c>
      <c r="M968" t="s">
        <v>323</v>
      </c>
      <c r="N968" t="s">
        <v>63</v>
      </c>
      <c r="O968" s="110">
        <v>39.9</v>
      </c>
      <c r="R968" s="110">
        <v>355.59000000000003</v>
      </c>
      <c r="S968" s="110">
        <v>107.5</v>
      </c>
      <c r="T968" s="110">
        <v>0</v>
      </c>
      <c r="U968" s="110">
        <v>34.99</v>
      </c>
      <c r="X968">
        <v>143.20000000000002</v>
      </c>
      <c r="Y968">
        <v>69.900000000000006</v>
      </c>
      <c r="Z968">
        <v>69.900000000000006</v>
      </c>
      <c r="AA968">
        <v>0</v>
      </c>
      <c r="AB968" t="s">
        <v>363</v>
      </c>
      <c r="AF968" t="s">
        <v>1700</v>
      </c>
      <c r="AG968" t="s">
        <v>1700</v>
      </c>
      <c r="AH968" t="s">
        <v>1606</v>
      </c>
      <c r="AI968">
        <v>99999</v>
      </c>
      <c r="AJ968">
        <v>99999</v>
      </c>
      <c r="AK968">
        <v>699</v>
      </c>
      <c r="AL968" t="b">
        <v>1</v>
      </c>
      <c r="AM968" t="b">
        <v>1</v>
      </c>
      <c r="AN968" t="b">
        <v>0</v>
      </c>
      <c r="AO968">
        <v>99999</v>
      </c>
      <c r="AP968" t="s">
        <v>64</v>
      </c>
      <c r="AR968" t="b">
        <v>0</v>
      </c>
      <c r="AS968">
        <v>12</v>
      </c>
      <c r="AT968" t="s">
        <v>327</v>
      </c>
      <c r="AV968" t="s">
        <v>1734</v>
      </c>
    </row>
    <row r="969" spans="1:48" x14ac:dyDescent="0.25">
      <c r="A969" t="s">
        <v>3323</v>
      </c>
      <c r="B969" t="s">
        <v>302</v>
      </c>
      <c r="C969" t="s">
        <v>62</v>
      </c>
      <c r="D969">
        <v>99999</v>
      </c>
      <c r="F969" s="109">
        <v>14000</v>
      </c>
      <c r="G969" t="b">
        <v>0</v>
      </c>
      <c r="H969" t="s">
        <v>341</v>
      </c>
      <c r="K969" t="s">
        <v>393</v>
      </c>
      <c r="L969" t="s">
        <v>303</v>
      </c>
      <c r="M969" t="s">
        <v>323</v>
      </c>
      <c r="N969" t="s">
        <v>63</v>
      </c>
      <c r="O969" s="110">
        <v>39.9</v>
      </c>
      <c r="R969" s="110">
        <v>384.89</v>
      </c>
      <c r="S969" s="110">
        <v>107.5</v>
      </c>
      <c r="T969" s="110">
        <v>0</v>
      </c>
      <c r="U969" s="110">
        <v>42.99</v>
      </c>
      <c r="X969">
        <v>164.49999999999997</v>
      </c>
      <c r="Y969">
        <v>69.900000000000006</v>
      </c>
      <c r="Z969">
        <v>69.900000000000006</v>
      </c>
      <c r="AA969">
        <v>0</v>
      </c>
      <c r="AB969" t="s">
        <v>363</v>
      </c>
      <c r="AF969" t="s">
        <v>1848</v>
      </c>
      <c r="AG969" t="s">
        <v>1848</v>
      </c>
      <c r="AH969" t="s">
        <v>1606</v>
      </c>
      <c r="AI969">
        <v>99999</v>
      </c>
      <c r="AJ969">
        <v>99999</v>
      </c>
      <c r="AK969">
        <v>699</v>
      </c>
      <c r="AL969" t="b">
        <v>1</v>
      </c>
      <c r="AM969" t="b">
        <v>1</v>
      </c>
      <c r="AN969" t="b">
        <v>0</v>
      </c>
      <c r="AO969">
        <v>99999</v>
      </c>
      <c r="AP969" t="s">
        <v>64</v>
      </c>
      <c r="AR969" t="b">
        <v>0</v>
      </c>
      <c r="AS969">
        <v>12</v>
      </c>
      <c r="AT969" t="s">
        <v>327</v>
      </c>
      <c r="AV969" t="s">
        <v>1882</v>
      </c>
    </row>
    <row r="970" spans="1:48" x14ac:dyDescent="0.25">
      <c r="A970" t="s">
        <v>3323</v>
      </c>
      <c r="B970" t="s">
        <v>302</v>
      </c>
      <c r="C970" t="s">
        <v>62</v>
      </c>
      <c r="D970">
        <v>99999</v>
      </c>
      <c r="F970" s="109">
        <v>14000</v>
      </c>
      <c r="G970" t="b">
        <v>0</v>
      </c>
      <c r="H970" t="s">
        <v>341</v>
      </c>
      <c r="K970" t="s">
        <v>393</v>
      </c>
      <c r="L970" t="s">
        <v>303</v>
      </c>
      <c r="M970" t="s">
        <v>323</v>
      </c>
      <c r="N970" t="s">
        <v>63</v>
      </c>
      <c r="O970" s="110">
        <v>49.9</v>
      </c>
      <c r="R970" s="110">
        <v>378.09000000000003</v>
      </c>
      <c r="S970" s="110">
        <v>130</v>
      </c>
      <c r="T970" s="110">
        <v>0</v>
      </c>
      <c r="U970" s="110">
        <v>34.99</v>
      </c>
      <c r="X970">
        <v>143.20000000000002</v>
      </c>
      <c r="Y970">
        <v>69.900000000000006</v>
      </c>
      <c r="Z970">
        <v>69.900000000000006</v>
      </c>
      <c r="AA970">
        <v>0</v>
      </c>
      <c r="AB970" t="s">
        <v>363</v>
      </c>
      <c r="AF970" t="s">
        <v>3060</v>
      </c>
      <c r="AG970" t="s">
        <v>3060</v>
      </c>
      <c r="AH970" t="s">
        <v>1606</v>
      </c>
      <c r="AI970">
        <v>99999</v>
      </c>
      <c r="AJ970">
        <v>99999</v>
      </c>
      <c r="AK970">
        <v>699</v>
      </c>
      <c r="AL970" t="b">
        <v>1</v>
      </c>
      <c r="AM970" t="b">
        <v>1</v>
      </c>
      <c r="AN970" t="b">
        <v>0</v>
      </c>
      <c r="AO970">
        <v>99999</v>
      </c>
      <c r="AP970" t="s">
        <v>64</v>
      </c>
      <c r="AR970" t="b">
        <v>0</v>
      </c>
      <c r="AS970">
        <v>12</v>
      </c>
      <c r="AT970" t="s">
        <v>327</v>
      </c>
      <c r="AV970" t="s">
        <v>3094</v>
      </c>
    </row>
    <row r="971" spans="1:48" x14ac:dyDescent="0.25">
      <c r="A971" t="s">
        <v>3323</v>
      </c>
      <c r="B971" t="s">
        <v>302</v>
      </c>
      <c r="C971" t="s">
        <v>62</v>
      </c>
      <c r="D971">
        <v>99999</v>
      </c>
      <c r="F971" s="109">
        <v>14000</v>
      </c>
      <c r="G971" t="b">
        <v>0</v>
      </c>
      <c r="H971" t="s">
        <v>341</v>
      </c>
      <c r="K971" t="s">
        <v>393</v>
      </c>
      <c r="L971" t="s">
        <v>303</v>
      </c>
      <c r="M971" t="s">
        <v>323</v>
      </c>
      <c r="N971" t="s">
        <v>63</v>
      </c>
      <c r="O971" s="110">
        <v>49.9</v>
      </c>
      <c r="R971" s="110">
        <v>407.39</v>
      </c>
      <c r="S971" s="110">
        <v>130</v>
      </c>
      <c r="T971" s="110">
        <v>0</v>
      </c>
      <c r="U971" s="110">
        <v>42.99</v>
      </c>
      <c r="X971">
        <v>164.49999999999997</v>
      </c>
      <c r="Y971">
        <v>69.900000000000006</v>
      </c>
      <c r="Z971">
        <v>69.900000000000006</v>
      </c>
      <c r="AA971">
        <v>0</v>
      </c>
      <c r="AB971" t="s">
        <v>363</v>
      </c>
      <c r="AF971" t="s">
        <v>3134</v>
      </c>
      <c r="AG971" t="s">
        <v>3134</v>
      </c>
      <c r="AH971" t="s">
        <v>1606</v>
      </c>
      <c r="AI971">
        <v>99999</v>
      </c>
      <c r="AJ971">
        <v>99999</v>
      </c>
      <c r="AK971">
        <v>699</v>
      </c>
      <c r="AL971" t="b">
        <v>1</v>
      </c>
      <c r="AM971" t="b">
        <v>1</v>
      </c>
      <c r="AN971" t="b">
        <v>0</v>
      </c>
      <c r="AO971">
        <v>99999</v>
      </c>
      <c r="AP971" t="s">
        <v>64</v>
      </c>
      <c r="AR971" t="b">
        <v>0</v>
      </c>
      <c r="AS971">
        <v>12</v>
      </c>
      <c r="AT971" t="s">
        <v>327</v>
      </c>
      <c r="AV971" t="s">
        <v>3168</v>
      </c>
    </row>
    <row r="972" spans="1:48" x14ac:dyDescent="0.25">
      <c r="A972" t="s">
        <v>3323</v>
      </c>
      <c r="B972" t="s">
        <v>302</v>
      </c>
      <c r="C972" t="s">
        <v>62</v>
      </c>
      <c r="D972">
        <v>99999</v>
      </c>
      <c r="F972" s="109">
        <v>14000</v>
      </c>
      <c r="G972" t="b">
        <v>0</v>
      </c>
      <c r="H972" t="s">
        <v>341</v>
      </c>
      <c r="K972" t="s">
        <v>364</v>
      </c>
      <c r="L972" t="s">
        <v>303</v>
      </c>
      <c r="M972" t="s">
        <v>323</v>
      </c>
      <c r="N972" t="s">
        <v>63</v>
      </c>
      <c r="O972" s="110">
        <v>29.9</v>
      </c>
      <c r="R972" s="110">
        <v>335.59000000000003</v>
      </c>
      <c r="S972" s="110">
        <v>107.5</v>
      </c>
      <c r="T972" s="110">
        <v>0</v>
      </c>
      <c r="U972" s="110">
        <v>34.99</v>
      </c>
      <c r="X972">
        <v>143.20000000000002</v>
      </c>
      <c r="Y972">
        <v>49.9</v>
      </c>
      <c r="Z972">
        <v>49.9</v>
      </c>
      <c r="AA972">
        <v>0</v>
      </c>
      <c r="AB972" t="s">
        <v>363</v>
      </c>
      <c r="AF972" t="s">
        <v>1633</v>
      </c>
      <c r="AG972" t="s">
        <v>1633</v>
      </c>
      <c r="AH972" t="s">
        <v>1606</v>
      </c>
      <c r="AI972">
        <v>99999</v>
      </c>
      <c r="AJ972">
        <v>99999</v>
      </c>
      <c r="AK972">
        <v>699</v>
      </c>
      <c r="AL972" t="b">
        <v>1</v>
      </c>
      <c r="AM972" t="b">
        <v>1</v>
      </c>
      <c r="AN972" t="b">
        <v>0</v>
      </c>
      <c r="AO972">
        <v>99999</v>
      </c>
      <c r="AP972" t="s">
        <v>64</v>
      </c>
      <c r="AR972" t="b">
        <v>0</v>
      </c>
      <c r="AS972">
        <v>12</v>
      </c>
      <c r="AT972" t="s">
        <v>327</v>
      </c>
      <c r="AV972" t="s">
        <v>1641</v>
      </c>
    </row>
    <row r="973" spans="1:48" x14ac:dyDescent="0.25">
      <c r="A973" t="s">
        <v>3323</v>
      </c>
      <c r="B973" t="s">
        <v>302</v>
      </c>
      <c r="C973" t="s">
        <v>62</v>
      </c>
      <c r="D973">
        <v>99999</v>
      </c>
      <c r="F973" s="109">
        <v>14000</v>
      </c>
      <c r="G973" t="b">
        <v>0</v>
      </c>
      <c r="H973" t="s">
        <v>341</v>
      </c>
      <c r="K973" t="s">
        <v>364</v>
      </c>
      <c r="L973" t="s">
        <v>303</v>
      </c>
      <c r="M973" t="s">
        <v>323</v>
      </c>
      <c r="N973" t="s">
        <v>63</v>
      </c>
      <c r="O973" s="110">
        <v>29.9</v>
      </c>
      <c r="R973" s="110">
        <v>364.89</v>
      </c>
      <c r="S973" s="110">
        <v>107.5</v>
      </c>
      <c r="T973" s="110">
        <v>0</v>
      </c>
      <c r="U973" s="110">
        <v>42.99</v>
      </c>
      <c r="X973">
        <v>164.49999999999997</v>
      </c>
      <c r="Y973">
        <v>49.9</v>
      </c>
      <c r="Z973">
        <v>49.9</v>
      </c>
      <c r="AA973">
        <v>0</v>
      </c>
      <c r="AB973" t="s">
        <v>363</v>
      </c>
      <c r="AF973" t="s">
        <v>1781</v>
      </c>
      <c r="AG973" t="s">
        <v>1781</v>
      </c>
      <c r="AH973" t="s">
        <v>1606</v>
      </c>
      <c r="AI973">
        <v>99999</v>
      </c>
      <c r="AJ973">
        <v>99999</v>
      </c>
      <c r="AK973">
        <v>699</v>
      </c>
      <c r="AL973" t="b">
        <v>1</v>
      </c>
      <c r="AM973" t="b">
        <v>1</v>
      </c>
      <c r="AN973" t="b">
        <v>0</v>
      </c>
      <c r="AO973">
        <v>99999</v>
      </c>
      <c r="AP973" t="s">
        <v>64</v>
      </c>
      <c r="AR973" t="b">
        <v>0</v>
      </c>
      <c r="AS973">
        <v>12</v>
      </c>
      <c r="AT973" t="s">
        <v>327</v>
      </c>
      <c r="AV973" t="s">
        <v>1789</v>
      </c>
    </row>
    <row r="974" spans="1:48" x14ac:dyDescent="0.25">
      <c r="A974" t="s">
        <v>3323</v>
      </c>
      <c r="B974" t="s">
        <v>302</v>
      </c>
      <c r="C974" t="s">
        <v>62</v>
      </c>
      <c r="D974">
        <v>99999</v>
      </c>
      <c r="F974" s="109">
        <v>14000</v>
      </c>
      <c r="G974" t="b">
        <v>0</v>
      </c>
      <c r="H974" t="s">
        <v>341</v>
      </c>
      <c r="K974" t="s">
        <v>364</v>
      </c>
      <c r="L974" t="s">
        <v>303</v>
      </c>
      <c r="M974" t="s">
        <v>323</v>
      </c>
      <c r="N974" t="s">
        <v>63</v>
      </c>
      <c r="O974" s="110">
        <v>39.9</v>
      </c>
      <c r="R974" s="110">
        <v>335.59000000000003</v>
      </c>
      <c r="S974" s="110">
        <v>107.5</v>
      </c>
      <c r="T974" s="110">
        <v>0</v>
      </c>
      <c r="U974" s="110">
        <v>34.99</v>
      </c>
      <c r="X974">
        <v>143.20000000000002</v>
      </c>
      <c r="Y974">
        <v>49.9</v>
      </c>
      <c r="Z974">
        <v>49.9</v>
      </c>
      <c r="AA974">
        <v>0</v>
      </c>
      <c r="AB974" t="s">
        <v>363</v>
      </c>
      <c r="AF974" t="s">
        <v>1700</v>
      </c>
      <c r="AG974" t="s">
        <v>1700</v>
      </c>
      <c r="AH974" t="s">
        <v>1606</v>
      </c>
      <c r="AI974">
        <v>99999</v>
      </c>
      <c r="AJ974">
        <v>99999</v>
      </c>
      <c r="AK974">
        <v>699</v>
      </c>
      <c r="AL974" t="b">
        <v>1</v>
      </c>
      <c r="AM974" t="b">
        <v>1</v>
      </c>
      <c r="AN974" t="b">
        <v>0</v>
      </c>
      <c r="AO974">
        <v>99999</v>
      </c>
      <c r="AP974" t="s">
        <v>64</v>
      </c>
      <c r="AR974" t="b">
        <v>0</v>
      </c>
      <c r="AS974">
        <v>12</v>
      </c>
      <c r="AT974" t="s">
        <v>327</v>
      </c>
      <c r="AV974" t="s">
        <v>1708</v>
      </c>
    </row>
    <row r="975" spans="1:48" x14ac:dyDescent="0.25">
      <c r="A975" t="s">
        <v>3323</v>
      </c>
      <c r="B975" t="s">
        <v>302</v>
      </c>
      <c r="C975" t="s">
        <v>62</v>
      </c>
      <c r="D975">
        <v>99999</v>
      </c>
      <c r="F975" s="109">
        <v>14000</v>
      </c>
      <c r="G975" t="b">
        <v>0</v>
      </c>
      <c r="H975" t="s">
        <v>341</v>
      </c>
      <c r="K975" t="s">
        <v>364</v>
      </c>
      <c r="L975" t="s">
        <v>303</v>
      </c>
      <c r="M975" t="s">
        <v>323</v>
      </c>
      <c r="N975" t="s">
        <v>63</v>
      </c>
      <c r="O975" s="110">
        <v>39.9</v>
      </c>
      <c r="R975" s="110">
        <v>364.89</v>
      </c>
      <c r="S975" s="110">
        <v>107.5</v>
      </c>
      <c r="T975" s="110">
        <v>0</v>
      </c>
      <c r="U975" s="110">
        <v>42.99</v>
      </c>
      <c r="X975">
        <v>164.49999999999997</v>
      </c>
      <c r="Y975">
        <v>49.9</v>
      </c>
      <c r="Z975">
        <v>49.9</v>
      </c>
      <c r="AA975">
        <v>0</v>
      </c>
      <c r="AB975" t="s">
        <v>363</v>
      </c>
      <c r="AF975" t="s">
        <v>1848</v>
      </c>
      <c r="AG975" t="s">
        <v>1848</v>
      </c>
      <c r="AH975" t="s">
        <v>1606</v>
      </c>
      <c r="AI975">
        <v>99999</v>
      </c>
      <c r="AJ975">
        <v>99999</v>
      </c>
      <c r="AK975">
        <v>699</v>
      </c>
      <c r="AL975" t="b">
        <v>1</v>
      </c>
      <c r="AM975" t="b">
        <v>1</v>
      </c>
      <c r="AN975" t="b">
        <v>0</v>
      </c>
      <c r="AO975">
        <v>99999</v>
      </c>
      <c r="AP975" t="s">
        <v>64</v>
      </c>
      <c r="AR975" t="b">
        <v>0</v>
      </c>
      <c r="AS975">
        <v>12</v>
      </c>
      <c r="AT975" t="s">
        <v>327</v>
      </c>
      <c r="AV975" t="s">
        <v>1856</v>
      </c>
    </row>
    <row r="976" spans="1:48" x14ac:dyDescent="0.25">
      <c r="A976" t="s">
        <v>3323</v>
      </c>
      <c r="B976" t="s">
        <v>302</v>
      </c>
      <c r="C976" t="s">
        <v>62</v>
      </c>
      <c r="D976">
        <v>99999</v>
      </c>
      <c r="F976" s="109">
        <v>14000</v>
      </c>
      <c r="G976" t="b">
        <v>0</v>
      </c>
      <c r="H976" t="s">
        <v>341</v>
      </c>
      <c r="K976" t="s">
        <v>364</v>
      </c>
      <c r="L976" t="s">
        <v>303</v>
      </c>
      <c r="M976" t="s">
        <v>323</v>
      </c>
      <c r="N976" t="s">
        <v>63</v>
      </c>
      <c r="O976" s="110">
        <v>49.9</v>
      </c>
      <c r="R976" s="110">
        <v>358.09000000000003</v>
      </c>
      <c r="S976" s="110">
        <v>130</v>
      </c>
      <c r="T976" s="110">
        <v>0</v>
      </c>
      <c r="U976" s="110">
        <v>34.99</v>
      </c>
      <c r="X976">
        <v>143.20000000000002</v>
      </c>
      <c r="Y976">
        <v>49.9</v>
      </c>
      <c r="Z976">
        <v>49.9</v>
      </c>
      <c r="AA976">
        <v>0</v>
      </c>
      <c r="AB976" t="s">
        <v>363</v>
      </c>
      <c r="AF976" t="s">
        <v>3060</v>
      </c>
      <c r="AG976" t="s">
        <v>3060</v>
      </c>
      <c r="AH976" t="s">
        <v>1606</v>
      </c>
      <c r="AI976">
        <v>99999</v>
      </c>
      <c r="AJ976">
        <v>99999</v>
      </c>
      <c r="AK976">
        <v>699</v>
      </c>
      <c r="AL976" t="b">
        <v>1</v>
      </c>
      <c r="AM976" t="b">
        <v>1</v>
      </c>
      <c r="AN976" t="b">
        <v>0</v>
      </c>
      <c r="AO976">
        <v>99999</v>
      </c>
      <c r="AP976" t="s">
        <v>64</v>
      </c>
      <c r="AR976" t="b">
        <v>0</v>
      </c>
      <c r="AS976">
        <v>12</v>
      </c>
      <c r="AT976" t="s">
        <v>327</v>
      </c>
      <c r="AV976" t="s">
        <v>3068</v>
      </c>
    </row>
    <row r="977" spans="1:48" x14ac:dyDescent="0.25">
      <c r="A977" t="s">
        <v>3323</v>
      </c>
      <c r="B977" t="s">
        <v>302</v>
      </c>
      <c r="C977" t="s">
        <v>62</v>
      </c>
      <c r="D977">
        <v>99999</v>
      </c>
      <c r="F977" s="109">
        <v>14000</v>
      </c>
      <c r="G977" t="b">
        <v>0</v>
      </c>
      <c r="H977" t="s">
        <v>341</v>
      </c>
      <c r="K977" t="s">
        <v>364</v>
      </c>
      <c r="L977" t="s">
        <v>303</v>
      </c>
      <c r="M977" t="s">
        <v>323</v>
      </c>
      <c r="N977" t="s">
        <v>63</v>
      </c>
      <c r="O977" s="110">
        <v>49.9</v>
      </c>
      <c r="R977" s="110">
        <v>387.39</v>
      </c>
      <c r="S977" s="110">
        <v>130</v>
      </c>
      <c r="T977" s="110">
        <v>0</v>
      </c>
      <c r="U977" s="110">
        <v>42.99</v>
      </c>
      <c r="X977">
        <v>164.49999999999997</v>
      </c>
      <c r="Y977">
        <v>49.9</v>
      </c>
      <c r="Z977">
        <v>49.9</v>
      </c>
      <c r="AA977">
        <v>0</v>
      </c>
      <c r="AB977" t="s">
        <v>363</v>
      </c>
      <c r="AF977" t="s">
        <v>3134</v>
      </c>
      <c r="AG977" t="s">
        <v>3134</v>
      </c>
      <c r="AH977" t="s">
        <v>1606</v>
      </c>
      <c r="AI977">
        <v>99999</v>
      </c>
      <c r="AJ977">
        <v>99999</v>
      </c>
      <c r="AK977">
        <v>699</v>
      </c>
      <c r="AL977" t="b">
        <v>1</v>
      </c>
      <c r="AM977" t="b">
        <v>1</v>
      </c>
      <c r="AN977" t="b">
        <v>0</v>
      </c>
      <c r="AO977">
        <v>99999</v>
      </c>
      <c r="AP977" t="s">
        <v>64</v>
      </c>
      <c r="AR977" t="b">
        <v>0</v>
      </c>
      <c r="AS977">
        <v>12</v>
      </c>
      <c r="AT977" t="s">
        <v>327</v>
      </c>
      <c r="AV977" t="s">
        <v>3142</v>
      </c>
    </row>
    <row r="978" spans="1:48" x14ac:dyDescent="0.25">
      <c r="A978" t="s">
        <v>3323</v>
      </c>
      <c r="B978" t="s">
        <v>302</v>
      </c>
      <c r="C978" t="s">
        <v>62</v>
      </c>
      <c r="D978">
        <v>99999</v>
      </c>
      <c r="F978" s="109">
        <v>14000</v>
      </c>
      <c r="G978" t="b">
        <v>0</v>
      </c>
      <c r="H978" t="s">
        <v>341</v>
      </c>
      <c r="K978" t="s">
        <v>379</v>
      </c>
      <c r="L978" t="s">
        <v>303</v>
      </c>
      <c r="M978" t="s">
        <v>323</v>
      </c>
      <c r="N978" t="s">
        <v>63</v>
      </c>
      <c r="O978" s="110">
        <v>29.9</v>
      </c>
      <c r="R978" s="110">
        <v>345.59000000000003</v>
      </c>
      <c r="S978" s="110">
        <v>107.5</v>
      </c>
      <c r="T978" s="110">
        <v>0</v>
      </c>
      <c r="U978" s="110">
        <v>34.99</v>
      </c>
      <c r="X978">
        <v>143.20000000000002</v>
      </c>
      <c r="Y978">
        <v>59.9</v>
      </c>
      <c r="Z978">
        <v>59.9</v>
      </c>
      <c r="AA978">
        <v>0</v>
      </c>
      <c r="AB978" t="s">
        <v>363</v>
      </c>
      <c r="AF978" t="s">
        <v>1633</v>
      </c>
      <c r="AG978" t="s">
        <v>1633</v>
      </c>
      <c r="AH978" t="s">
        <v>1606</v>
      </c>
      <c r="AI978">
        <v>99999</v>
      </c>
      <c r="AJ978">
        <v>99999</v>
      </c>
      <c r="AK978">
        <v>699</v>
      </c>
      <c r="AL978" t="b">
        <v>1</v>
      </c>
      <c r="AM978" t="b">
        <v>1</v>
      </c>
      <c r="AN978" t="b">
        <v>0</v>
      </c>
      <c r="AO978">
        <v>99999</v>
      </c>
      <c r="AP978" t="s">
        <v>64</v>
      </c>
      <c r="AR978" t="b">
        <v>0</v>
      </c>
      <c r="AS978">
        <v>12</v>
      </c>
      <c r="AT978" t="s">
        <v>327</v>
      </c>
      <c r="AV978" t="s">
        <v>1654</v>
      </c>
    </row>
    <row r="979" spans="1:48" x14ac:dyDescent="0.25">
      <c r="A979" t="s">
        <v>3323</v>
      </c>
      <c r="B979" t="s">
        <v>302</v>
      </c>
      <c r="C979" t="s">
        <v>62</v>
      </c>
      <c r="D979">
        <v>99999</v>
      </c>
      <c r="F979" s="109">
        <v>14000</v>
      </c>
      <c r="G979" t="b">
        <v>0</v>
      </c>
      <c r="H979" t="s">
        <v>341</v>
      </c>
      <c r="K979" t="s">
        <v>379</v>
      </c>
      <c r="L979" t="s">
        <v>303</v>
      </c>
      <c r="M979" t="s">
        <v>323</v>
      </c>
      <c r="N979" t="s">
        <v>63</v>
      </c>
      <c r="O979" s="110">
        <v>29.9</v>
      </c>
      <c r="R979" s="110">
        <v>374.89</v>
      </c>
      <c r="S979" s="110">
        <v>107.5</v>
      </c>
      <c r="T979" s="110">
        <v>0</v>
      </c>
      <c r="U979" s="110">
        <v>42.99</v>
      </c>
      <c r="X979">
        <v>164.49999999999997</v>
      </c>
      <c r="Y979">
        <v>59.9</v>
      </c>
      <c r="Z979">
        <v>59.9</v>
      </c>
      <c r="AA979">
        <v>0</v>
      </c>
      <c r="AB979" t="s">
        <v>363</v>
      </c>
      <c r="AF979" t="s">
        <v>1781</v>
      </c>
      <c r="AG979" t="s">
        <v>1781</v>
      </c>
      <c r="AH979" t="s">
        <v>1606</v>
      </c>
      <c r="AI979">
        <v>99999</v>
      </c>
      <c r="AJ979">
        <v>99999</v>
      </c>
      <c r="AK979">
        <v>699</v>
      </c>
      <c r="AL979" t="b">
        <v>1</v>
      </c>
      <c r="AM979" t="b">
        <v>1</v>
      </c>
      <c r="AN979" t="b">
        <v>0</v>
      </c>
      <c r="AO979">
        <v>99999</v>
      </c>
      <c r="AP979" t="s">
        <v>64</v>
      </c>
      <c r="AR979" t="b">
        <v>0</v>
      </c>
      <c r="AS979">
        <v>12</v>
      </c>
      <c r="AT979" t="s">
        <v>327</v>
      </c>
      <c r="AV979" t="s">
        <v>1802</v>
      </c>
    </row>
    <row r="980" spans="1:48" x14ac:dyDescent="0.25">
      <c r="A980" t="s">
        <v>3323</v>
      </c>
      <c r="B980" t="s">
        <v>302</v>
      </c>
      <c r="C980" t="s">
        <v>62</v>
      </c>
      <c r="D980">
        <v>99999</v>
      </c>
      <c r="F980" s="109">
        <v>14000</v>
      </c>
      <c r="G980" t="b">
        <v>0</v>
      </c>
      <c r="H980" t="s">
        <v>341</v>
      </c>
      <c r="K980" t="s">
        <v>379</v>
      </c>
      <c r="L980" t="s">
        <v>303</v>
      </c>
      <c r="M980" t="s">
        <v>323</v>
      </c>
      <c r="N980" t="s">
        <v>63</v>
      </c>
      <c r="O980" s="110">
        <v>39.9</v>
      </c>
      <c r="R980" s="110">
        <v>345.59000000000003</v>
      </c>
      <c r="S980" s="110">
        <v>107.5</v>
      </c>
      <c r="T980" s="110">
        <v>0</v>
      </c>
      <c r="U980" s="110">
        <v>34.99</v>
      </c>
      <c r="X980">
        <v>143.20000000000002</v>
      </c>
      <c r="Y980">
        <v>59.9</v>
      </c>
      <c r="Z980">
        <v>59.9</v>
      </c>
      <c r="AA980">
        <v>0</v>
      </c>
      <c r="AB980" t="s">
        <v>363</v>
      </c>
      <c r="AF980" t="s">
        <v>1700</v>
      </c>
      <c r="AG980" t="s">
        <v>1700</v>
      </c>
      <c r="AH980" t="s">
        <v>1606</v>
      </c>
      <c r="AI980">
        <v>99999</v>
      </c>
      <c r="AJ980">
        <v>99999</v>
      </c>
      <c r="AK980">
        <v>699</v>
      </c>
      <c r="AL980" t="b">
        <v>1</v>
      </c>
      <c r="AM980" t="b">
        <v>1</v>
      </c>
      <c r="AN980" t="b">
        <v>0</v>
      </c>
      <c r="AO980">
        <v>99999</v>
      </c>
      <c r="AP980" t="s">
        <v>64</v>
      </c>
      <c r="AR980" t="b">
        <v>0</v>
      </c>
      <c r="AS980">
        <v>12</v>
      </c>
      <c r="AT980" t="s">
        <v>327</v>
      </c>
      <c r="AV980" t="s">
        <v>1721</v>
      </c>
    </row>
    <row r="981" spans="1:48" x14ac:dyDescent="0.25">
      <c r="A981" t="s">
        <v>3323</v>
      </c>
      <c r="B981" t="s">
        <v>302</v>
      </c>
      <c r="C981" t="s">
        <v>62</v>
      </c>
      <c r="D981">
        <v>99999</v>
      </c>
      <c r="F981" s="109">
        <v>14000</v>
      </c>
      <c r="G981" t="b">
        <v>0</v>
      </c>
      <c r="H981" t="s">
        <v>341</v>
      </c>
      <c r="K981" t="s">
        <v>379</v>
      </c>
      <c r="L981" t="s">
        <v>303</v>
      </c>
      <c r="M981" t="s">
        <v>323</v>
      </c>
      <c r="N981" t="s">
        <v>63</v>
      </c>
      <c r="O981" s="110">
        <v>39.9</v>
      </c>
      <c r="R981" s="110">
        <v>374.89</v>
      </c>
      <c r="S981" s="110">
        <v>107.5</v>
      </c>
      <c r="T981" s="110">
        <v>0</v>
      </c>
      <c r="U981" s="110">
        <v>42.99</v>
      </c>
      <c r="X981">
        <v>164.49999999999997</v>
      </c>
      <c r="Y981">
        <v>59.9</v>
      </c>
      <c r="Z981">
        <v>59.9</v>
      </c>
      <c r="AA981">
        <v>0</v>
      </c>
      <c r="AB981" t="s">
        <v>363</v>
      </c>
      <c r="AF981" t="s">
        <v>1848</v>
      </c>
      <c r="AG981" t="s">
        <v>1848</v>
      </c>
      <c r="AH981" t="s">
        <v>1606</v>
      </c>
      <c r="AI981">
        <v>99999</v>
      </c>
      <c r="AJ981">
        <v>99999</v>
      </c>
      <c r="AK981">
        <v>699</v>
      </c>
      <c r="AL981" t="b">
        <v>1</v>
      </c>
      <c r="AM981" t="b">
        <v>1</v>
      </c>
      <c r="AN981" t="b">
        <v>0</v>
      </c>
      <c r="AO981">
        <v>99999</v>
      </c>
      <c r="AP981" t="s">
        <v>64</v>
      </c>
      <c r="AR981" t="b">
        <v>0</v>
      </c>
      <c r="AS981">
        <v>12</v>
      </c>
      <c r="AT981" t="s">
        <v>327</v>
      </c>
      <c r="AV981" t="s">
        <v>1869</v>
      </c>
    </row>
    <row r="982" spans="1:48" x14ac:dyDescent="0.25">
      <c r="A982" t="s">
        <v>3323</v>
      </c>
      <c r="B982" t="s">
        <v>302</v>
      </c>
      <c r="C982" t="s">
        <v>62</v>
      </c>
      <c r="D982">
        <v>99999</v>
      </c>
      <c r="F982" s="109">
        <v>14000</v>
      </c>
      <c r="G982" t="b">
        <v>0</v>
      </c>
      <c r="H982" t="s">
        <v>341</v>
      </c>
      <c r="K982" t="s">
        <v>379</v>
      </c>
      <c r="L982" t="s">
        <v>303</v>
      </c>
      <c r="M982" t="s">
        <v>323</v>
      </c>
      <c r="N982" t="s">
        <v>63</v>
      </c>
      <c r="O982" s="110">
        <v>49.9</v>
      </c>
      <c r="R982" s="110">
        <v>368.09000000000003</v>
      </c>
      <c r="S982" s="110">
        <v>130</v>
      </c>
      <c r="T982" s="110">
        <v>0</v>
      </c>
      <c r="U982" s="110">
        <v>34.99</v>
      </c>
      <c r="X982">
        <v>143.20000000000002</v>
      </c>
      <c r="Y982">
        <v>59.9</v>
      </c>
      <c r="Z982">
        <v>59.9</v>
      </c>
      <c r="AA982">
        <v>0</v>
      </c>
      <c r="AB982" t="s">
        <v>363</v>
      </c>
      <c r="AF982" t="s">
        <v>3060</v>
      </c>
      <c r="AG982" t="s">
        <v>3060</v>
      </c>
      <c r="AH982" t="s">
        <v>1606</v>
      </c>
      <c r="AI982">
        <v>99999</v>
      </c>
      <c r="AJ982">
        <v>99999</v>
      </c>
      <c r="AK982">
        <v>699</v>
      </c>
      <c r="AL982" t="b">
        <v>1</v>
      </c>
      <c r="AM982" t="b">
        <v>1</v>
      </c>
      <c r="AN982" t="b">
        <v>0</v>
      </c>
      <c r="AO982">
        <v>99999</v>
      </c>
      <c r="AP982" t="s">
        <v>64</v>
      </c>
      <c r="AR982" t="b">
        <v>0</v>
      </c>
      <c r="AS982">
        <v>12</v>
      </c>
      <c r="AT982" t="s">
        <v>327</v>
      </c>
      <c r="AV982" t="s">
        <v>3081</v>
      </c>
    </row>
    <row r="983" spans="1:48" x14ac:dyDescent="0.25">
      <c r="A983" t="s">
        <v>3323</v>
      </c>
      <c r="B983" t="s">
        <v>302</v>
      </c>
      <c r="C983" t="s">
        <v>62</v>
      </c>
      <c r="D983">
        <v>99999</v>
      </c>
      <c r="F983" s="109">
        <v>14000</v>
      </c>
      <c r="G983" t="b">
        <v>0</v>
      </c>
      <c r="H983" t="s">
        <v>341</v>
      </c>
      <c r="K983" t="s">
        <v>379</v>
      </c>
      <c r="L983" t="s">
        <v>303</v>
      </c>
      <c r="M983" t="s">
        <v>323</v>
      </c>
      <c r="N983" t="s">
        <v>63</v>
      </c>
      <c r="O983" s="110">
        <v>49.9</v>
      </c>
      <c r="R983" s="110">
        <v>397.39</v>
      </c>
      <c r="S983" s="110">
        <v>130</v>
      </c>
      <c r="T983" s="110">
        <v>0</v>
      </c>
      <c r="U983" s="110">
        <v>42.99</v>
      </c>
      <c r="X983">
        <v>164.49999999999997</v>
      </c>
      <c r="Y983">
        <v>59.9</v>
      </c>
      <c r="Z983">
        <v>59.9</v>
      </c>
      <c r="AA983">
        <v>0</v>
      </c>
      <c r="AB983" t="s">
        <v>363</v>
      </c>
      <c r="AF983" t="s">
        <v>3134</v>
      </c>
      <c r="AG983" t="s">
        <v>3134</v>
      </c>
      <c r="AH983" t="s">
        <v>1606</v>
      </c>
      <c r="AI983">
        <v>99999</v>
      </c>
      <c r="AJ983">
        <v>99999</v>
      </c>
      <c r="AK983">
        <v>699</v>
      </c>
      <c r="AL983" t="b">
        <v>1</v>
      </c>
      <c r="AM983" t="b">
        <v>1</v>
      </c>
      <c r="AN983" t="b">
        <v>0</v>
      </c>
      <c r="AO983">
        <v>99999</v>
      </c>
      <c r="AP983" t="s">
        <v>64</v>
      </c>
      <c r="AR983" t="b">
        <v>0</v>
      </c>
      <c r="AS983">
        <v>12</v>
      </c>
      <c r="AT983" t="s">
        <v>327</v>
      </c>
      <c r="AV983" t="s">
        <v>3155</v>
      </c>
    </row>
    <row r="984" spans="1:48" x14ac:dyDescent="0.25">
      <c r="A984" t="s">
        <v>3323</v>
      </c>
      <c r="B984" t="s">
        <v>302</v>
      </c>
      <c r="C984" t="s">
        <v>62</v>
      </c>
      <c r="D984">
        <v>99999</v>
      </c>
      <c r="F984" s="109">
        <v>14000</v>
      </c>
      <c r="G984" t="b">
        <v>0</v>
      </c>
      <c r="H984" t="s">
        <v>341</v>
      </c>
      <c r="K984" t="s">
        <v>61</v>
      </c>
      <c r="L984" t="s">
        <v>303</v>
      </c>
      <c r="M984" t="s">
        <v>323</v>
      </c>
      <c r="N984" t="s">
        <v>63</v>
      </c>
      <c r="O984" s="110">
        <v>29.9</v>
      </c>
      <c r="R984" s="110">
        <v>330.59000000000003</v>
      </c>
      <c r="S984" s="110">
        <v>107.5</v>
      </c>
      <c r="T984" s="110">
        <v>0</v>
      </c>
      <c r="U984" s="110">
        <v>34.99</v>
      </c>
      <c r="X984">
        <v>143.20000000000002</v>
      </c>
      <c r="Y984">
        <v>44.9</v>
      </c>
      <c r="Z984">
        <v>44.9</v>
      </c>
      <c r="AA984">
        <v>0</v>
      </c>
      <c r="AB984" t="s">
        <v>324</v>
      </c>
      <c r="AF984" t="s">
        <v>1605</v>
      </c>
      <c r="AG984" t="s">
        <v>1605</v>
      </c>
      <c r="AH984" t="s">
        <v>1606</v>
      </c>
      <c r="AI984">
        <v>99999</v>
      </c>
      <c r="AJ984">
        <v>99999</v>
      </c>
      <c r="AK984">
        <v>699</v>
      </c>
      <c r="AL984" t="b">
        <v>1</v>
      </c>
      <c r="AM984" t="b">
        <v>1</v>
      </c>
      <c r="AN984" t="b">
        <v>0</v>
      </c>
      <c r="AO984">
        <v>99999</v>
      </c>
      <c r="AP984" t="s">
        <v>64</v>
      </c>
      <c r="AR984" t="b">
        <v>0</v>
      </c>
      <c r="AS984">
        <v>12</v>
      </c>
      <c r="AT984" t="s">
        <v>327</v>
      </c>
      <c r="AV984" t="s">
        <v>1614</v>
      </c>
    </row>
    <row r="985" spans="1:48" x14ac:dyDescent="0.25">
      <c r="A985" t="s">
        <v>3323</v>
      </c>
      <c r="B985" t="s">
        <v>302</v>
      </c>
      <c r="C985" t="s">
        <v>62</v>
      </c>
      <c r="D985">
        <v>99999</v>
      </c>
      <c r="F985" s="109">
        <v>14000</v>
      </c>
      <c r="G985" t="b">
        <v>0</v>
      </c>
      <c r="H985" t="s">
        <v>341</v>
      </c>
      <c r="K985" t="s">
        <v>61</v>
      </c>
      <c r="L985" t="s">
        <v>303</v>
      </c>
      <c r="M985" t="s">
        <v>323</v>
      </c>
      <c r="N985" t="s">
        <v>63</v>
      </c>
      <c r="O985" s="110">
        <v>29.9</v>
      </c>
      <c r="R985" s="110">
        <v>359.89</v>
      </c>
      <c r="S985" s="110">
        <v>107.5</v>
      </c>
      <c r="T985" s="110">
        <v>0</v>
      </c>
      <c r="U985" s="110">
        <v>42.99</v>
      </c>
      <c r="X985">
        <v>164.49999999999997</v>
      </c>
      <c r="Y985">
        <v>44.9</v>
      </c>
      <c r="Z985">
        <v>44.9</v>
      </c>
      <c r="AA985">
        <v>0</v>
      </c>
      <c r="AB985" t="s">
        <v>324</v>
      </c>
      <c r="AF985" t="s">
        <v>1754</v>
      </c>
      <c r="AG985" t="s">
        <v>1754</v>
      </c>
      <c r="AH985" t="s">
        <v>1606</v>
      </c>
      <c r="AI985">
        <v>99999</v>
      </c>
      <c r="AJ985">
        <v>99999</v>
      </c>
      <c r="AK985">
        <v>699</v>
      </c>
      <c r="AL985" t="b">
        <v>1</v>
      </c>
      <c r="AM985" t="b">
        <v>1</v>
      </c>
      <c r="AN985" t="b">
        <v>0</v>
      </c>
      <c r="AO985">
        <v>99999</v>
      </c>
      <c r="AP985" t="s">
        <v>64</v>
      </c>
      <c r="AR985" t="b">
        <v>0</v>
      </c>
      <c r="AS985">
        <v>12</v>
      </c>
      <c r="AT985" t="s">
        <v>327</v>
      </c>
      <c r="AV985" t="s">
        <v>1762</v>
      </c>
    </row>
    <row r="986" spans="1:48" x14ac:dyDescent="0.25">
      <c r="A986" t="s">
        <v>3323</v>
      </c>
      <c r="B986" t="s">
        <v>302</v>
      </c>
      <c r="C986" t="s">
        <v>62</v>
      </c>
      <c r="D986">
        <v>99999</v>
      </c>
      <c r="F986" s="109">
        <v>14000</v>
      </c>
      <c r="G986" t="b">
        <v>0</v>
      </c>
      <c r="H986" t="s">
        <v>341</v>
      </c>
      <c r="K986" t="s">
        <v>61</v>
      </c>
      <c r="L986" t="s">
        <v>303</v>
      </c>
      <c r="M986" t="s">
        <v>323</v>
      </c>
      <c r="N986" t="s">
        <v>63</v>
      </c>
      <c r="O986" s="110">
        <v>39.9</v>
      </c>
      <c r="R986" s="110">
        <v>330.59000000000003</v>
      </c>
      <c r="S986" s="110">
        <v>107.5</v>
      </c>
      <c r="T986" s="110">
        <v>0</v>
      </c>
      <c r="U986" s="110">
        <v>34.99</v>
      </c>
      <c r="X986">
        <v>143.20000000000002</v>
      </c>
      <c r="Y986">
        <v>44.9</v>
      </c>
      <c r="Z986">
        <v>44.9</v>
      </c>
      <c r="AA986">
        <v>0</v>
      </c>
      <c r="AB986" t="s">
        <v>324</v>
      </c>
      <c r="AF986" t="s">
        <v>1673</v>
      </c>
      <c r="AG986" t="s">
        <v>1673</v>
      </c>
      <c r="AH986" t="s">
        <v>1606</v>
      </c>
      <c r="AI986">
        <v>99999</v>
      </c>
      <c r="AJ986">
        <v>99999</v>
      </c>
      <c r="AK986">
        <v>699</v>
      </c>
      <c r="AL986" t="b">
        <v>1</v>
      </c>
      <c r="AM986" t="b">
        <v>1</v>
      </c>
      <c r="AN986" t="b">
        <v>0</v>
      </c>
      <c r="AO986">
        <v>99999</v>
      </c>
      <c r="AP986" t="s">
        <v>64</v>
      </c>
      <c r="AR986" t="b">
        <v>0</v>
      </c>
      <c r="AS986">
        <v>12</v>
      </c>
      <c r="AT986" t="s">
        <v>327</v>
      </c>
      <c r="AV986" t="s">
        <v>1681</v>
      </c>
    </row>
    <row r="987" spans="1:48" x14ac:dyDescent="0.25">
      <c r="A987" t="s">
        <v>3323</v>
      </c>
      <c r="B987" t="s">
        <v>302</v>
      </c>
      <c r="C987" t="s">
        <v>62</v>
      </c>
      <c r="D987">
        <v>99999</v>
      </c>
      <c r="F987" s="109">
        <v>14000</v>
      </c>
      <c r="G987" t="b">
        <v>0</v>
      </c>
      <c r="H987" t="s">
        <v>341</v>
      </c>
      <c r="K987" t="s">
        <v>61</v>
      </c>
      <c r="L987" t="s">
        <v>303</v>
      </c>
      <c r="M987" t="s">
        <v>323</v>
      </c>
      <c r="N987" t="s">
        <v>63</v>
      </c>
      <c r="O987" s="110">
        <v>39.9</v>
      </c>
      <c r="R987" s="110">
        <v>359.89</v>
      </c>
      <c r="S987" s="110">
        <v>107.5</v>
      </c>
      <c r="T987" s="110">
        <v>0</v>
      </c>
      <c r="U987" s="110">
        <v>42.99</v>
      </c>
      <c r="X987">
        <v>164.49999999999997</v>
      </c>
      <c r="Y987">
        <v>44.9</v>
      </c>
      <c r="Z987">
        <v>44.9</v>
      </c>
      <c r="AA987">
        <v>0</v>
      </c>
      <c r="AB987" t="s">
        <v>324</v>
      </c>
      <c r="AF987" t="s">
        <v>1821</v>
      </c>
      <c r="AG987" t="s">
        <v>1821</v>
      </c>
      <c r="AH987" t="s">
        <v>1606</v>
      </c>
      <c r="AI987">
        <v>99999</v>
      </c>
      <c r="AJ987">
        <v>99999</v>
      </c>
      <c r="AK987">
        <v>699</v>
      </c>
      <c r="AL987" t="b">
        <v>1</v>
      </c>
      <c r="AM987" t="b">
        <v>1</v>
      </c>
      <c r="AN987" t="b">
        <v>0</v>
      </c>
      <c r="AO987">
        <v>99999</v>
      </c>
      <c r="AP987" t="s">
        <v>64</v>
      </c>
      <c r="AR987" t="b">
        <v>0</v>
      </c>
      <c r="AS987">
        <v>12</v>
      </c>
      <c r="AT987" t="s">
        <v>327</v>
      </c>
      <c r="AV987" t="s">
        <v>1829</v>
      </c>
    </row>
    <row r="988" spans="1:48" x14ac:dyDescent="0.25">
      <c r="A988" t="s">
        <v>3323</v>
      </c>
      <c r="B988" t="s">
        <v>302</v>
      </c>
      <c r="C988" t="s">
        <v>62</v>
      </c>
      <c r="D988">
        <v>99999</v>
      </c>
      <c r="F988" s="109">
        <v>14000</v>
      </c>
      <c r="G988" t="b">
        <v>0</v>
      </c>
      <c r="H988" t="s">
        <v>341</v>
      </c>
      <c r="K988" t="s">
        <v>61</v>
      </c>
      <c r="L988" t="s">
        <v>303</v>
      </c>
      <c r="M988" t="s">
        <v>323</v>
      </c>
      <c r="N988" t="s">
        <v>63</v>
      </c>
      <c r="O988" s="110">
        <v>49.9</v>
      </c>
      <c r="R988" s="110">
        <v>353.09000000000003</v>
      </c>
      <c r="S988" s="110">
        <v>130</v>
      </c>
      <c r="T988" s="110">
        <v>0</v>
      </c>
      <c r="U988" s="110">
        <v>34.99</v>
      </c>
      <c r="X988">
        <v>143.20000000000002</v>
      </c>
      <c r="Y988">
        <v>44.9</v>
      </c>
      <c r="Z988">
        <v>44.9</v>
      </c>
      <c r="AA988">
        <v>0</v>
      </c>
      <c r="AB988" t="s">
        <v>324</v>
      </c>
      <c r="AF988" t="s">
        <v>3033</v>
      </c>
      <c r="AG988" t="s">
        <v>3033</v>
      </c>
      <c r="AH988" t="s">
        <v>1606</v>
      </c>
      <c r="AI988">
        <v>99999</v>
      </c>
      <c r="AJ988">
        <v>99999</v>
      </c>
      <c r="AK988">
        <v>699</v>
      </c>
      <c r="AL988" t="b">
        <v>1</v>
      </c>
      <c r="AM988" t="b">
        <v>1</v>
      </c>
      <c r="AN988" t="b">
        <v>0</v>
      </c>
      <c r="AO988">
        <v>99999</v>
      </c>
      <c r="AP988" t="s">
        <v>64</v>
      </c>
      <c r="AR988" t="b">
        <v>0</v>
      </c>
      <c r="AS988">
        <v>12</v>
      </c>
      <c r="AT988" t="s">
        <v>327</v>
      </c>
      <c r="AV988" t="s">
        <v>3041</v>
      </c>
    </row>
    <row r="989" spans="1:48" x14ac:dyDescent="0.25">
      <c r="A989" t="s">
        <v>3323</v>
      </c>
      <c r="B989" t="s">
        <v>302</v>
      </c>
      <c r="C989" t="s">
        <v>62</v>
      </c>
      <c r="D989">
        <v>99999</v>
      </c>
      <c r="F989" s="109">
        <v>14000</v>
      </c>
      <c r="G989" t="b">
        <v>0</v>
      </c>
      <c r="H989" t="s">
        <v>341</v>
      </c>
      <c r="K989" t="s">
        <v>61</v>
      </c>
      <c r="L989" t="s">
        <v>303</v>
      </c>
      <c r="M989" t="s">
        <v>323</v>
      </c>
      <c r="N989" t="s">
        <v>63</v>
      </c>
      <c r="O989" s="110">
        <v>49.9</v>
      </c>
      <c r="R989" s="110">
        <v>382.39</v>
      </c>
      <c r="S989" s="110">
        <v>130</v>
      </c>
      <c r="T989" s="110">
        <v>0</v>
      </c>
      <c r="U989" s="110">
        <v>42.99</v>
      </c>
      <c r="X989">
        <v>164.49999999999997</v>
      </c>
      <c r="Y989">
        <v>44.9</v>
      </c>
      <c r="Z989">
        <v>44.9</v>
      </c>
      <c r="AA989">
        <v>0</v>
      </c>
      <c r="AB989" t="s">
        <v>324</v>
      </c>
      <c r="AF989" t="s">
        <v>3107</v>
      </c>
      <c r="AG989" t="s">
        <v>3107</v>
      </c>
      <c r="AH989" t="s">
        <v>1606</v>
      </c>
      <c r="AI989">
        <v>99999</v>
      </c>
      <c r="AJ989">
        <v>99999</v>
      </c>
      <c r="AK989">
        <v>699</v>
      </c>
      <c r="AL989" t="b">
        <v>1</v>
      </c>
      <c r="AM989" t="b">
        <v>1</v>
      </c>
      <c r="AN989" t="b">
        <v>0</v>
      </c>
      <c r="AO989">
        <v>99999</v>
      </c>
      <c r="AP989" t="s">
        <v>64</v>
      </c>
      <c r="AR989" t="b">
        <v>0</v>
      </c>
      <c r="AS989">
        <v>12</v>
      </c>
      <c r="AT989" t="s">
        <v>327</v>
      </c>
      <c r="AV989" t="s">
        <v>3115</v>
      </c>
    </row>
    <row r="990" spans="1:48" x14ac:dyDescent="0.25">
      <c r="A990" t="s">
        <v>3323</v>
      </c>
      <c r="B990" t="s">
        <v>302</v>
      </c>
      <c r="C990" t="s">
        <v>62</v>
      </c>
      <c r="D990">
        <v>99999</v>
      </c>
      <c r="F990" s="109">
        <v>14000</v>
      </c>
      <c r="G990" t="b">
        <v>1</v>
      </c>
      <c r="H990" t="s">
        <v>343</v>
      </c>
      <c r="K990" t="s">
        <v>349</v>
      </c>
      <c r="L990" t="s">
        <v>303</v>
      </c>
      <c r="M990" t="s">
        <v>323</v>
      </c>
      <c r="N990" t="s">
        <v>63</v>
      </c>
      <c r="O990" s="110">
        <v>29.9</v>
      </c>
      <c r="R990" s="110">
        <v>365.59</v>
      </c>
      <c r="S990" s="110">
        <v>107.5</v>
      </c>
      <c r="T990" s="110">
        <v>0</v>
      </c>
      <c r="U990" s="110">
        <v>34.99</v>
      </c>
      <c r="X990">
        <v>178.2</v>
      </c>
      <c r="Y990">
        <v>44.9</v>
      </c>
      <c r="Z990">
        <v>44.9</v>
      </c>
      <c r="AA990">
        <v>0</v>
      </c>
      <c r="AB990" t="s">
        <v>324</v>
      </c>
      <c r="AF990" t="s">
        <v>1605</v>
      </c>
      <c r="AG990" t="s">
        <v>1605</v>
      </c>
      <c r="AH990" t="s">
        <v>1606</v>
      </c>
      <c r="AI990">
        <v>99999</v>
      </c>
      <c r="AJ990">
        <v>99999</v>
      </c>
      <c r="AK990">
        <v>699</v>
      </c>
      <c r="AL990" t="b">
        <v>1</v>
      </c>
      <c r="AM990" t="b">
        <v>1</v>
      </c>
      <c r="AN990" t="b">
        <v>1</v>
      </c>
      <c r="AO990">
        <v>99999</v>
      </c>
      <c r="AP990" t="s">
        <v>64</v>
      </c>
      <c r="AR990" t="b">
        <v>0</v>
      </c>
      <c r="AS990">
        <v>12</v>
      </c>
      <c r="AT990" t="s">
        <v>327</v>
      </c>
      <c r="AV990" t="s">
        <v>1632</v>
      </c>
    </row>
    <row r="991" spans="1:48" x14ac:dyDescent="0.25">
      <c r="A991" t="s">
        <v>3323</v>
      </c>
      <c r="B991" t="s">
        <v>302</v>
      </c>
      <c r="C991" t="s">
        <v>62</v>
      </c>
      <c r="D991">
        <v>99999</v>
      </c>
      <c r="F991" s="109">
        <v>14000</v>
      </c>
      <c r="G991" t="b">
        <v>1</v>
      </c>
      <c r="H991" t="s">
        <v>343</v>
      </c>
      <c r="K991" t="s">
        <v>349</v>
      </c>
      <c r="L991" t="s">
        <v>303</v>
      </c>
      <c r="M991" t="s">
        <v>323</v>
      </c>
      <c r="N991" t="s">
        <v>63</v>
      </c>
      <c r="O991" s="110">
        <v>29.9</v>
      </c>
      <c r="R991" s="110">
        <v>394.88999999999993</v>
      </c>
      <c r="S991" s="110">
        <v>107.5</v>
      </c>
      <c r="T991" s="110">
        <v>0</v>
      </c>
      <c r="U991" s="110">
        <v>42.99</v>
      </c>
      <c r="X991">
        <v>199.49999999999994</v>
      </c>
      <c r="Y991">
        <v>44.9</v>
      </c>
      <c r="Z991">
        <v>44.9</v>
      </c>
      <c r="AA991">
        <v>0</v>
      </c>
      <c r="AB991" t="s">
        <v>324</v>
      </c>
      <c r="AF991" t="s">
        <v>1754</v>
      </c>
      <c r="AG991" t="s">
        <v>1754</v>
      </c>
      <c r="AH991" t="s">
        <v>1606</v>
      </c>
      <c r="AI991">
        <v>99999</v>
      </c>
      <c r="AJ991">
        <v>99999</v>
      </c>
      <c r="AK991">
        <v>699</v>
      </c>
      <c r="AL991" t="b">
        <v>1</v>
      </c>
      <c r="AM991" t="b">
        <v>1</v>
      </c>
      <c r="AN991" t="b">
        <v>1</v>
      </c>
      <c r="AO991">
        <v>99999</v>
      </c>
      <c r="AP991" t="s">
        <v>64</v>
      </c>
      <c r="AR991" t="b">
        <v>0</v>
      </c>
      <c r="AS991">
        <v>12</v>
      </c>
      <c r="AT991" t="s">
        <v>327</v>
      </c>
      <c r="AV991" t="s">
        <v>1780</v>
      </c>
    </row>
    <row r="992" spans="1:48" x14ac:dyDescent="0.25">
      <c r="A992" t="s">
        <v>3323</v>
      </c>
      <c r="B992" t="s">
        <v>302</v>
      </c>
      <c r="C992" t="s">
        <v>62</v>
      </c>
      <c r="D992">
        <v>99999</v>
      </c>
      <c r="F992" s="109">
        <v>14000</v>
      </c>
      <c r="G992" t="b">
        <v>1</v>
      </c>
      <c r="H992" t="s">
        <v>343</v>
      </c>
      <c r="K992" t="s">
        <v>349</v>
      </c>
      <c r="L992" t="s">
        <v>303</v>
      </c>
      <c r="M992" t="s">
        <v>323</v>
      </c>
      <c r="N992" t="s">
        <v>63</v>
      </c>
      <c r="O992" s="110">
        <v>39.9</v>
      </c>
      <c r="R992" s="110">
        <v>365.59</v>
      </c>
      <c r="S992" s="110">
        <v>107.5</v>
      </c>
      <c r="T992" s="110">
        <v>0</v>
      </c>
      <c r="U992" s="110">
        <v>34.99</v>
      </c>
      <c r="X992">
        <v>178.2</v>
      </c>
      <c r="Y992">
        <v>44.9</v>
      </c>
      <c r="Z992">
        <v>44.9</v>
      </c>
      <c r="AA992">
        <v>0</v>
      </c>
      <c r="AB992" t="s">
        <v>324</v>
      </c>
      <c r="AF992" t="s">
        <v>1673</v>
      </c>
      <c r="AG992" t="s">
        <v>1673</v>
      </c>
      <c r="AH992" t="s">
        <v>1606</v>
      </c>
      <c r="AI992">
        <v>99999</v>
      </c>
      <c r="AJ992">
        <v>99999</v>
      </c>
      <c r="AK992">
        <v>699</v>
      </c>
      <c r="AL992" t="b">
        <v>1</v>
      </c>
      <c r="AM992" t="b">
        <v>1</v>
      </c>
      <c r="AN992" t="b">
        <v>1</v>
      </c>
      <c r="AO992">
        <v>99999</v>
      </c>
      <c r="AP992" t="s">
        <v>64</v>
      </c>
      <c r="AR992" t="b">
        <v>0</v>
      </c>
      <c r="AS992">
        <v>12</v>
      </c>
      <c r="AT992" t="s">
        <v>327</v>
      </c>
      <c r="AV992" t="s">
        <v>1699</v>
      </c>
    </row>
    <row r="993" spans="1:48" x14ac:dyDescent="0.25">
      <c r="A993" t="s">
        <v>3323</v>
      </c>
      <c r="B993" t="s">
        <v>302</v>
      </c>
      <c r="C993" t="s">
        <v>62</v>
      </c>
      <c r="D993">
        <v>99999</v>
      </c>
      <c r="F993" s="109">
        <v>14000</v>
      </c>
      <c r="G993" t="b">
        <v>1</v>
      </c>
      <c r="H993" t="s">
        <v>343</v>
      </c>
      <c r="K993" t="s">
        <v>349</v>
      </c>
      <c r="L993" t="s">
        <v>303</v>
      </c>
      <c r="M993" t="s">
        <v>323</v>
      </c>
      <c r="N993" t="s">
        <v>63</v>
      </c>
      <c r="O993" s="110">
        <v>39.9</v>
      </c>
      <c r="R993" s="110">
        <v>394.88999999999993</v>
      </c>
      <c r="S993" s="110">
        <v>107.5</v>
      </c>
      <c r="T993" s="110">
        <v>0</v>
      </c>
      <c r="U993" s="110">
        <v>42.99</v>
      </c>
      <c r="X993">
        <v>199.49999999999994</v>
      </c>
      <c r="Y993">
        <v>44.9</v>
      </c>
      <c r="Z993">
        <v>44.9</v>
      </c>
      <c r="AA993">
        <v>0</v>
      </c>
      <c r="AB993" t="s">
        <v>324</v>
      </c>
      <c r="AF993" t="s">
        <v>1821</v>
      </c>
      <c r="AG993" t="s">
        <v>1821</v>
      </c>
      <c r="AH993" t="s">
        <v>1606</v>
      </c>
      <c r="AI993">
        <v>99999</v>
      </c>
      <c r="AJ993">
        <v>99999</v>
      </c>
      <c r="AK993">
        <v>699</v>
      </c>
      <c r="AL993" t="b">
        <v>1</v>
      </c>
      <c r="AM993" t="b">
        <v>1</v>
      </c>
      <c r="AN993" t="b">
        <v>1</v>
      </c>
      <c r="AO993">
        <v>99999</v>
      </c>
      <c r="AP993" t="s">
        <v>64</v>
      </c>
      <c r="AR993" t="b">
        <v>0</v>
      </c>
      <c r="AS993">
        <v>12</v>
      </c>
      <c r="AT993" t="s">
        <v>327</v>
      </c>
      <c r="AV993" t="s">
        <v>1847</v>
      </c>
    </row>
    <row r="994" spans="1:48" x14ac:dyDescent="0.25">
      <c r="A994" t="s">
        <v>3323</v>
      </c>
      <c r="B994" t="s">
        <v>302</v>
      </c>
      <c r="C994" t="s">
        <v>62</v>
      </c>
      <c r="D994">
        <v>99999</v>
      </c>
      <c r="F994" s="109">
        <v>14000</v>
      </c>
      <c r="G994" t="b">
        <v>1</v>
      </c>
      <c r="H994" t="s">
        <v>343</v>
      </c>
      <c r="K994" t="s">
        <v>349</v>
      </c>
      <c r="L994" t="s">
        <v>303</v>
      </c>
      <c r="M994" t="s">
        <v>323</v>
      </c>
      <c r="N994" t="s">
        <v>63</v>
      </c>
      <c r="O994" s="110">
        <v>49.9</v>
      </c>
      <c r="R994" s="110">
        <v>388.09</v>
      </c>
      <c r="S994" s="110">
        <v>130</v>
      </c>
      <c r="T994" s="110">
        <v>0</v>
      </c>
      <c r="U994" s="110">
        <v>34.99</v>
      </c>
      <c r="X994">
        <v>178.2</v>
      </c>
      <c r="Y994">
        <v>44.9</v>
      </c>
      <c r="Z994">
        <v>44.9</v>
      </c>
      <c r="AA994">
        <v>0</v>
      </c>
      <c r="AB994" t="s">
        <v>324</v>
      </c>
      <c r="AF994" t="s">
        <v>3033</v>
      </c>
      <c r="AG994" t="s">
        <v>3033</v>
      </c>
      <c r="AH994" t="s">
        <v>1606</v>
      </c>
      <c r="AI994">
        <v>99999</v>
      </c>
      <c r="AJ994">
        <v>99999</v>
      </c>
      <c r="AK994">
        <v>699</v>
      </c>
      <c r="AL994" t="b">
        <v>1</v>
      </c>
      <c r="AM994" t="b">
        <v>1</v>
      </c>
      <c r="AN994" t="b">
        <v>1</v>
      </c>
      <c r="AO994">
        <v>99999</v>
      </c>
      <c r="AP994" t="s">
        <v>64</v>
      </c>
      <c r="AR994" t="b">
        <v>0</v>
      </c>
      <c r="AS994">
        <v>12</v>
      </c>
      <c r="AT994" t="s">
        <v>327</v>
      </c>
      <c r="AV994" t="s">
        <v>3059</v>
      </c>
    </row>
    <row r="995" spans="1:48" x14ac:dyDescent="0.25">
      <c r="A995" t="s">
        <v>3323</v>
      </c>
      <c r="B995" t="s">
        <v>302</v>
      </c>
      <c r="C995" t="s">
        <v>62</v>
      </c>
      <c r="D995">
        <v>99999</v>
      </c>
      <c r="F995" s="109">
        <v>14000</v>
      </c>
      <c r="G995" t="b">
        <v>1</v>
      </c>
      <c r="H995" t="s">
        <v>343</v>
      </c>
      <c r="K995" t="s">
        <v>349</v>
      </c>
      <c r="L995" t="s">
        <v>303</v>
      </c>
      <c r="M995" t="s">
        <v>323</v>
      </c>
      <c r="N995" t="s">
        <v>63</v>
      </c>
      <c r="O995" s="110">
        <v>49.9</v>
      </c>
      <c r="R995" s="110">
        <v>417.38999999999993</v>
      </c>
      <c r="S995" s="110">
        <v>130</v>
      </c>
      <c r="T995" s="110">
        <v>0</v>
      </c>
      <c r="U995" s="110">
        <v>42.99</v>
      </c>
      <c r="X995">
        <v>199.49999999999994</v>
      </c>
      <c r="Y995">
        <v>44.9</v>
      </c>
      <c r="Z995">
        <v>44.9</v>
      </c>
      <c r="AA995">
        <v>0</v>
      </c>
      <c r="AB995" t="s">
        <v>324</v>
      </c>
      <c r="AF995" t="s">
        <v>3107</v>
      </c>
      <c r="AG995" t="s">
        <v>3107</v>
      </c>
      <c r="AH995" t="s">
        <v>1606</v>
      </c>
      <c r="AI995">
        <v>99999</v>
      </c>
      <c r="AJ995">
        <v>99999</v>
      </c>
      <c r="AK995">
        <v>699</v>
      </c>
      <c r="AL995" t="b">
        <v>1</v>
      </c>
      <c r="AM995" t="b">
        <v>1</v>
      </c>
      <c r="AN995" t="b">
        <v>1</v>
      </c>
      <c r="AO995">
        <v>99999</v>
      </c>
      <c r="AP995" t="s">
        <v>64</v>
      </c>
      <c r="AR995" t="b">
        <v>0</v>
      </c>
      <c r="AS995">
        <v>12</v>
      </c>
      <c r="AT995" t="s">
        <v>327</v>
      </c>
      <c r="AV995" t="s">
        <v>3133</v>
      </c>
    </row>
    <row r="996" spans="1:48" x14ac:dyDescent="0.25">
      <c r="A996" t="s">
        <v>3323</v>
      </c>
      <c r="B996" t="s">
        <v>302</v>
      </c>
      <c r="C996" t="s">
        <v>62</v>
      </c>
      <c r="D996">
        <v>99999</v>
      </c>
      <c r="F996" s="109">
        <v>14000</v>
      </c>
      <c r="G996" t="b">
        <v>1</v>
      </c>
      <c r="H996" t="s">
        <v>343</v>
      </c>
      <c r="K996" t="s">
        <v>393</v>
      </c>
      <c r="L996" t="s">
        <v>303</v>
      </c>
      <c r="M996" t="s">
        <v>323</v>
      </c>
      <c r="N996" t="s">
        <v>63</v>
      </c>
      <c r="O996" s="110">
        <v>29.9</v>
      </c>
      <c r="R996" s="110">
        <v>390.59000000000003</v>
      </c>
      <c r="S996" s="110">
        <v>107.5</v>
      </c>
      <c r="T996" s="110">
        <v>0</v>
      </c>
      <c r="U996" s="110">
        <v>34.99</v>
      </c>
      <c r="X996">
        <v>178.2</v>
      </c>
      <c r="Y996">
        <v>69.900000000000006</v>
      </c>
      <c r="Z996">
        <v>69.900000000000006</v>
      </c>
      <c r="AA996">
        <v>0</v>
      </c>
      <c r="AB996" t="s">
        <v>363</v>
      </c>
      <c r="AF996" t="s">
        <v>1633</v>
      </c>
      <c r="AG996" t="s">
        <v>1633</v>
      </c>
      <c r="AH996" t="s">
        <v>1606</v>
      </c>
      <c r="AI996">
        <v>99999</v>
      </c>
      <c r="AJ996">
        <v>99999</v>
      </c>
      <c r="AK996">
        <v>699</v>
      </c>
      <c r="AL996" t="b">
        <v>1</v>
      </c>
      <c r="AM996" t="b">
        <v>1</v>
      </c>
      <c r="AN996" t="b">
        <v>1</v>
      </c>
      <c r="AO996">
        <v>99999</v>
      </c>
      <c r="AP996" t="s">
        <v>64</v>
      </c>
      <c r="AR996" t="b">
        <v>0</v>
      </c>
      <c r="AS996">
        <v>12</v>
      </c>
      <c r="AT996" t="s">
        <v>327</v>
      </c>
      <c r="AV996" t="s">
        <v>1672</v>
      </c>
    </row>
    <row r="997" spans="1:48" x14ac:dyDescent="0.25">
      <c r="A997" t="s">
        <v>3323</v>
      </c>
      <c r="B997" t="s">
        <v>302</v>
      </c>
      <c r="C997" t="s">
        <v>62</v>
      </c>
      <c r="D997">
        <v>99999</v>
      </c>
      <c r="F997" s="109">
        <v>14000</v>
      </c>
      <c r="G997" t="b">
        <v>1</v>
      </c>
      <c r="H997" t="s">
        <v>343</v>
      </c>
      <c r="K997" t="s">
        <v>393</v>
      </c>
      <c r="L997" t="s">
        <v>303</v>
      </c>
      <c r="M997" t="s">
        <v>323</v>
      </c>
      <c r="N997" t="s">
        <v>63</v>
      </c>
      <c r="O997" s="110">
        <v>29.9</v>
      </c>
      <c r="R997" s="110">
        <v>419.89</v>
      </c>
      <c r="S997" s="110">
        <v>107.5</v>
      </c>
      <c r="T997" s="110">
        <v>0</v>
      </c>
      <c r="U997" s="110">
        <v>42.99</v>
      </c>
      <c r="X997">
        <v>199.49999999999994</v>
      </c>
      <c r="Y997">
        <v>69.900000000000006</v>
      </c>
      <c r="Z997">
        <v>69.900000000000006</v>
      </c>
      <c r="AA997">
        <v>0</v>
      </c>
      <c r="AB997" t="s">
        <v>363</v>
      </c>
      <c r="AF997" t="s">
        <v>1781</v>
      </c>
      <c r="AG997" t="s">
        <v>1781</v>
      </c>
      <c r="AH997" t="s">
        <v>1606</v>
      </c>
      <c r="AI997">
        <v>99999</v>
      </c>
      <c r="AJ997">
        <v>99999</v>
      </c>
      <c r="AK997">
        <v>699</v>
      </c>
      <c r="AL997" t="b">
        <v>1</v>
      </c>
      <c r="AM997" t="b">
        <v>1</v>
      </c>
      <c r="AN997" t="b">
        <v>1</v>
      </c>
      <c r="AO997">
        <v>99999</v>
      </c>
      <c r="AP997" t="s">
        <v>64</v>
      </c>
      <c r="AR997" t="b">
        <v>0</v>
      </c>
      <c r="AS997">
        <v>12</v>
      </c>
      <c r="AT997" t="s">
        <v>327</v>
      </c>
      <c r="AV997" t="s">
        <v>1820</v>
      </c>
    </row>
    <row r="998" spans="1:48" x14ac:dyDescent="0.25">
      <c r="A998" t="s">
        <v>3323</v>
      </c>
      <c r="B998" t="s">
        <v>302</v>
      </c>
      <c r="C998" t="s">
        <v>62</v>
      </c>
      <c r="D998">
        <v>99999</v>
      </c>
      <c r="F998" s="109">
        <v>14000</v>
      </c>
      <c r="G998" t="b">
        <v>1</v>
      </c>
      <c r="H998" t="s">
        <v>343</v>
      </c>
      <c r="K998" t="s">
        <v>393</v>
      </c>
      <c r="L998" t="s">
        <v>303</v>
      </c>
      <c r="M998" t="s">
        <v>323</v>
      </c>
      <c r="N998" t="s">
        <v>63</v>
      </c>
      <c r="O998" s="110">
        <v>39.9</v>
      </c>
      <c r="R998" s="110">
        <v>390.59000000000003</v>
      </c>
      <c r="S998" s="110">
        <v>107.5</v>
      </c>
      <c r="T998" s="110">
        <v>0</v>
      </c>
      <c r="U998" s="110">
        <v>34.99</v>
      </c>
      <c r="X998">
        <v>178.2</v>
      </c>
      <c r="Y998">
        <v>69.900000000000006</v>
      </c>
      <c r="Z998">
        <v>69.900000000000006</v>
      </c>
      <c r="AA998">
        <v>0</v>
      </c>
      <c r="AB998" t="s">
        <v>363</v>
      </c>
      <c r="AF998" t="s">
        <v>1700</v>
      </c>
      <c r="AG998" t="s">
        <v>1700</v>
      </c>
      <c r="AH998" t="s">
        <v>1606</v>
      </c>
      <c r="AI998">
        <v>99999</v>
      </c>
      <c r="AJ998">
        <v>99999</v>
      </c>
      <c r="AK998">
        <v>699</v>
      </c>
      <c r="AL998" t="b">
        <v>1</v>
      </c>
      <c r="AM998" t="b">
        <v>1</v>
      </c>
      <c r="AN998" t="b">
        <v>1</v>
      </c>
      <c r="AO998">
        <v>99999</v>
      </c>
      <c r="AP998" t="s">
        <v>64</v>
      </c>
      <c r="AR998" t="b">
        <v>0</v>
      </c>
      <c r="AS998">
        <v>12</v>
      </c>
      <c r="AT998" t="s">
        <v>327</v>
      </c>
      <c r="AV998" t="s">
        <v>1739</v>
      </c>
    </row>
    <row r="999" spans="1:48" x14ac:dyDescent="0.25">
      <c r="A999" t="s">
        <v>3323</v>
      </c>
      <c r="B999" t="s">
        <v>302</v>
      </c>
      <c r="C999" t="s">
        <v>62</v>
      </c>
      <c r="D999">
        <v>99999</v>
      </c>
      <c r="F999" s="109">
        <v>14000</v>
      </c>
      <c r="G999" t="b">
        <v>1</v>
      </c>
      <c r="H999" t="s">
        <v>343</v>
      </c>
      <c r="K999" t="s">
        <v>393</v>
      </c>
      <c r="L999" t="s">
        <v>303</v>
      </c>
      <c r="M999" t="s">
        <v>323</v>
      </c>
      <c r="N999" t="s">
        <v>63</v>
      </c>
      <c r="O999" s="110">
        <v>39.9</v>
      </c>
      <c r="R999" s="110">
        <v>419.89</v>
      </c>
      <c r="S999" s="110">
        <v>107.5</v>
      </c>
      <c r="T999" s="110">
        <v>0</v>
      </c>
      <c r="U999" s="110">
        <v>42.99</v>
      </c>
      <c r="X999">
        <v>199.49999999999994</v>
      </c>
      <c r="Y999">
        <v>69.900000000000006</v>
      </c>
      <c r="Z999">
        <v>69.900000000000006</v>
      </c>
      <c r="AA999">
        <v>0</v>
      </c>
      <c r="AB999" t="s">
        <v>363</v>
      </c>
      <c r="AF999" t="s">
        <v>1848</v>
      </c>
      <c r="AG999" t="s">
        <v>1848</v>
      </c>
      <c r="AH999" t="s">
        <v>1606</v>
      </c>
      <c r="AI999">
        <v>99999</v>
      </c>
      <c r="AJ999">
        <v>99999</v>
      </c>
      <c r="AK999">
        <v>699</v>
      </c>
      <c r="AL999" t="b">
        <v>1</v>
      </c>
      <c r="AM999" t="b">
        <v>1</v>
      </c>
      <c r="AN999" t="b">
        <v>1</v>
      </c>
      <c r="AO999">
        <v>99999</v>
      </c>
      <c r="AP999" t="s">
        <v>64</v>
      </c>
      <c r="AR999" t="b">
        <v>0</v>
      </c>
      <c r="AS999">
        <v>12</v>
      </c>
      <c r="AT999" t="s">
        <v>327</v>
      </c>
      <c r="AV999" t="s">
        <v>1887</v>
      </c>
    </row>
    <row r="1000" spans="1:48" x14ac:dyDescent="0.25">
      <c r="A1000" t="s">
        <v>3323</v>
      </c>
      <c r="B1000" t="s">
        <v>302</v>
      </c>
      <c r="C1000" t="s">
        <v>62</v>
      </c>
      <c r="D1000">
        <v>99999</v>
      </c>
      <c r="F1000" s="109">
        <v>14000</v>
      </c>
      <c r="G1000" t="b">
        <v>1</v>
      </c>
      <c r="H1000" t="s">
        <v>343</v>
      </c>
      <c r="K1000" t="s">
        <v>393</v>
      </c>
      <c r="L1000" t="s">
        <v>303</v>
      </c>
      <c r="M1000" t="s">
        <v>323</v>
      </c>
      <c r="N1000" t="s">
        <v>63</v>
      </c>
      <c r="O1000" s="110">
        <v>49.9</v>
      </c>
      <c r="R1000" s="110">
        <v>413.09000000000003</v>
      </c>
      <c r="S1000" s="110">
        <v>130</v>
      </c>
      <c r="T1000" s="110">
        <v>0</v>
      </c>
      <c r="U1000" s="110">
        <v>34.99</v>
      </c>
      <c r="X1000">
        <v>178.2</v>
      </c>
      <c r="Y1000">
        <v>69.900000000000006</v>
      </c>
      <c r="Z1000">
        <v>69.900000000000006</v>
      </c>
      <c r="AA1000">
        <v>0</v>
      </c>
      <c r="AB1000" t="s">
        <v>363</v>
      </c>
      <c r="AF1000" t="s">
        <v>3060</v>
      </c>
      <c r="AG1000" t="s">
        <v>3060</v>
      </c>
      <c r="AH1000" t="s">
        <v>1606</v>
      </c>
      <c r="AI1000">
        <v>99999</v>
      </c>
      <c r="AJ1000">
        <v>99999</v>
      </c>
      <c r="AK1000">
        <v>699</v>
      </c>
      <c r="AL1000" t="b">
        <v>1</v>
      </c>
      <c r="AM1000" t="b">
        <v>1</v>
      </c>
      <c r="AN1000" t="b">
        <v>1</v>
      </c>
      <c r="AO1000">
        <v>99999</v>
      </c>
      <c r="AP1000" t="s">
        <v>64</v>
      </c>
      <c r="AR1000" t="b">
        <v>0</v>
      </c>
      <c r="AS1000">
        <v>12</v>
      </c>
      <c r="AT1000" t="s">
        <v>327</v>
      </c>
      <c r="AV1000" t="s">
        <v>3099</v>
      </c>
    </row>
    <row r="1001" spans="1:48" x14ac:dyDescent="0.25">
      <c r="A1001" t="s">
        <v>3323</v>
      </c>
      <c r="B1001" t="s">
        <v>302</v>
      </c>
      <c r="C1001" t="s">
        <v>62</v>
      </c>
      <c r="D1001">
        <v>99999</v>
      </c>
      <c r="F1001" s="109">
        <v>14000</v>
      </c>
      <c r="G1001" t="b">
        <v>1</v>
      </c>
      <c r="H1001" t="s">
        <v>343</v>
      </c>
      <c r="K1001" t="s">
        <v>393</v>
      </c>
      <c r="L1001" t="s">
        <v>303</v>
      </c>
      <c r="M1001" t="s">
        <v>323</v>
      </c>
      <c r="N1001" t="s">
        <v>63</v>
      </c>
      <c r="O1001" s="110">
        <v>49.9</v>
      </c>
      <c r="R1001" s="110">
        <v>442.39</v>
      </c>
      <c r="S1001" s="110">
        <v>130</v>
      </c>
      <c r="T1001" s="110">
        <v>0</v>
      </c>
      <c r="U1001" s="110">
        <v>42.99</v>
      </c>
      <c r="X1001">
        <v>199.49999999999994</v>
      </c>
      <c r="Y1001">
        <v>69.900000000000006</v>
      </c>
      <c r="Z1001">
        <v>69.900000000000006</v>
      </c>
      <c r="AA1001">
        <v>0</v>
      </c>
      <c r="AB1001" t="s">
        <v>363</v>
      </c>
      <c r="AF1001" t="s">
        <v>3134</v>
      </c>
      <c r="AG1001" t="s">
        <v>3134</v>
      </c>
      <c r="AH1001" t="s">
        <v>1606</v>
      </c>
      <c r="AI1001">
        <v>99999</v>
      </c>
      <c r="AJ1001">
        <v>99999</v>
      </c>
      <c r="AK1001">
        <v>699</v>
      </c>
      <c r="AL1001" t="b">
        <v>1</v>
      </c>
      <c r="AM1001" t="b">
        <v>1</v>
      </c>
      <c r="AN1001" t="b">
        <v>1</v>
      </c>
      <c r="AO1001">
        <v>99999</v>
      </c>
      <c r="AP1001" t="s">
        <v>64</v>
      </c>
      <c r="AR1001" t="b">
        <v>0</v>
      </c>
      <c r="AS1001">
        <v>12</v>
      </c>
      <c r="AT1001" t="s">
        <v>327</v>
      </c>
      <c r="AV1001" t="s">
        <v>3173</v>
      </c>
    </row>
    <row r="1002" spans="1:48" x14ac:dyDescent="0.25">
      <c r="A1002" t="s">
        <v>3323</v>
      </c>
      <c r="B1002" t="s">
        <v>302</v>
      </c>
      <c r="C1002" t="s">
        <v>62</v>
      </c>
      <c r="D1002">
        <v>99999</v>
      </c>
      <c r="F1002" s="109">
        <v>14000</v>
      </c>
      <c r="G1002" t="b">
        <v>1</v>
      </c>
      <c r="H1002" t="s">
        <v>343</v>
      </c>
      <c r="K1002" t="s">
        <v>364</v>
      </c>
      <c r="L1002" t="s">
        <v>303</v>
      </c>
      <c r="M1002" t="s">
        <v>323</v>
      </c>
      <c r="N1002" t="s">
        <v>63</v>
      </c>
      <c r="O1002" s="110">
        <v>29.9</v>
      </c>
      <c r="R1002" s="110">
        <v>370.59</v>
      </c>
      <c r="S1002" s="110">
        <v>107.5</v>
      </c>
      <c r="T1002" s="110">
        <v>0</v>
      </c>
      <c r="U1002" s="110">
        <v>34.99</v>
      </c>
      <c r="X1002">
        <v>178.2</v>
      </c>
      <c r="Y1002">
        <v>49.9</v>
      </c>
      <c r="Z1002">
        <v>49.9</v>
      </c>
      <c r="AA1002">
        <v>0</v>
      </c>
      <c r="AB1002" t="s">
        <v>363</v>
      </c>
      <c r="AF1002" t="s">
        <v>1633</v>
      </c>
      <c r="AG1002" t="s">
        <v>1633</v>
      </c>
      <c r="AH1002" t="s">
        <v>1606</v>
      </c>
      <c r="AI1002">
        <v>99999</v>
      </c>
      <c r="AJ1002">
        <v>99999</v>
      </c>
      <c r="AK1002">
        <v>699</v>
      </c>
      <c r="AL1002" t="b">
        <v>1</v>
      </c>
      <c r="AM1002" t="b">
        <v>1</v>
      </c>
      <c r="AN1002" t="b">
        <v>1</v>
      </c>
      <c r="AO1002">
        <v>99999</v>
      </c>
      <c r="AP1002" t="s">
        <v>64</v>
      </c>
      <c r="AR1002" t="b">
        <v>0</v>
      </c>
      <c r="AS1002">
        <v>12</v>
      </c>
      <c r="AT1002" t="s">
        <v>327</v>
      </c>
      <c r="AV1002" t="s">
        <v>1646</v>
      </c>
    </row>
    <row r="1003" spans="1:48" x14ac:dyDescent="0.25">
      <c r="A1003" t="s">
        <v>3323</v>
      </c>
      <c r="B1003" t="s">
        <v>302</v>
      </c>
      <c r="C1003" t="s">
        <v>62</v>
      </c>
      <c r="D1003">
        <v>99999</v>
      </c>
      <c r="F1003" s="109">
        <v>14000</v>
      </c>
      <c r="G1003" t="b">
        <v>1</v>
      </c>
      <c r="H1003" t="s">
        <v>343</v>
      </c>
      <c r="K1003" t="s">
        <v>364</v>
      </c>
      <c r="L1003" t="s">
        <v>303</v>
      </c>
      <c r="M1003" t="s">
        <v>323</v>
      </c>
      <c r="N1003" t="s">
        <v>63</v>
      </c>
      <c r="O1003" s="110">
        <v>29.9</v>
      </c>
      <c r="R1003" s="110">
        <v>399.88999999999993</v>
      </c>
      <c r="S1003" s="110">
        <v>107.5</v>
      </c>
      <c r="T1003" s="110">
        <v>0</v>
      </c>
      <c r="U1003" s="110">
        <v>42.99</v>
      </c>
      <c r="X1003">
        <v>199.49999999999994</v>
      </c>
      <c r="Y1003">
        <v>49.9</v>
      </c>
      <c r="Z1003">
        <v>49.9</v>
      </c>
      <c r="AA1003">
        <v>0</v>
      </c>
      <c r="AB1003" t="s">
        <v>363</v>
      </c>
      <c r="AF1003" t="s">
        <v>1781</v>
      </c>
      <c r="AG1003" t="s">
        <v>1781</v>
      </c>
      <c r="AH1003" t="s">
        <v>1606</v>
      </c>
      <c r="AI1003">
        <v>99999</v>
      </c>
      <c r="AJ1003">
        <v>99999</v>
      </c>
      <c r="AK1003">
        <v>699</v>
      </c>
      <c r="AL1003" t="b">
        <v>1</v>
      </c>
      <c r="AM1003" t="b">
        <v>1</v>
      </c>
      <c r="AN1003" t="b">
        <v>1</v>
      </c>
      <c r="AO1003">
        <v>99999</v>
      </c>
      <c r="AP1003" t="s">
        <v>64</v>
      </c>
      <c r="AR1003" t="b">
        <v>0</v>
      </c>
      <c r="AS1003">
        <v>12</v>
      </c>
      <c r="AT1003" t="s">
        <v>327</v>
      </c>
      <c r="AV1003" t="s">
        <v>1794</v>
      </c>
    </row>
    <row r="1004" spans="1:48" x14ac:dyDescent="0.25">
      <c r="A1004" t="s">
        <v>3323</v>
      </c>
      <c r="B1004" t="s">
        <v>302</v>
      </c>
      <c r="C1004" t="s">
        <v>62</v>
      </c>
      <c r="D1004">
        <v>99999</v>
      </c>
      <c r="F1004" s="109">
        <v>14000</v>
      </c>
      <c r="G1004" t="b">
        <v>1</v>
      </c>
      <c r="H1004" t="s">
        <v>343</v>
      </c>
      <c r="K1004" t="s">
        <v>364</v>
      </c>
      <c r="L1004" t="s">
        <v>303</v>
      </c>
      <c r="M1004" t="s">
        <v>323</v>
      </c>
      <c r="N1004" t="s">
        <v>63</v>
      </c>
      <c r="O1004" s="110">
        <v>39.9</v>
      </c>
      <c r="R1004" s="110">
        <v>370.59</v>
      </c>
      <c r="S1004" s="110">
        <v>107.5</v>
      </c>
      <c r="T1004" s="110">
        <v>0</v>
      </c>
      <c r="U1004" s="110">
        <v>34.99</v>
      </c>
      <c r="X1004">
        <v>178.2</v>
      </c>
      <c r="Y1004">
        <v>49.9</v>
      </c>
      <c r="Z1004">
        <v>49.9</v>
      </c>
      <c r="AA1004">
        <v>0</v>
      </c>
      <c r="AB1004" t="s">
        <v>363</v>
      </c>
      <c r="AF1004" t="s">
        <v>1700</v>
      </c>
      <c r="AG1004" t="s">
        <v>1700</v>
      </c>
      <c r="AH1004" t="s">
        <v>1606</v>
      </c>
      <c r="AI1004">
        <v>99999</v>
      </c>
      <c r="AJ1004">
        <v>99999</v>
      </c>
      <c r="AK1004">
        <v>699</v>
      </c>
      <c r="AL1004" t="b">
        <v>1</v>
      </c>
      <c r="AM1004" t="b">
        <v>1</v>
      </c>
      <c r="AN1004" t="b">
        <v>1</v>
      </c>
      <c r="AO1004">
        <v>99999</v>
      </c>
      <c r="AP1004" t="s">
        <v>64</v>
      </c>
      <c r="AR1004" t="b">
        <v>0</v>
      </c>
      <c r="AS1004">
        <v>12</v>
      </c>
      <c r="AT1004" t="s">
        <v>327</v>
      </c>
      <c r="AV1004" t="s">
        <v>1713</v>
      </c>
    </row>
    <row r="1005" spans="1:48" x14ac:dyDescent="0.25">
      <c r="A1005" t="s">
        <v>3323</v>
      </c>
      <c r="B1005" t="s">
        <v>302</v>
      </c>
      <c r="C1005" t="s">
        <v>62</v>
      </c>
      <c r="D1005">
        <v>99999</v>
      </c>
      <c r="F1005" s="109">
        <v>14000</v>
      </c>
      <c r="G1005" t="b">
        <v>1</v>
      </c>
      <c r="H1005" t="s">
        <v>343</v>
      </c>
      <c r="K1005" t="s">
        <v>364</v>
      </c>
      <c r="L1005" t="s">
        <v>303</v>
      </c>
      <c r="M1005" t="s">
        <v>323</v>
      </c>
      <c r="N1005" t="s">
        <v>63</v>
      </c>
      <c r="O1005" s="110">
        <v>39.9</v>
      </c>
      <c r="R1005" s="110">
        <v>399.88999999999993</v>
      </c>
      <c r="S1005" s="110">
        <v>107.5</v>
      </c>
      <c r="T1005" s="110">
        <v>0</v>
      </c>
      <c r="U1005" s="110">
        <v>42.99</v>
      </c>
      <c r="X1005">
        <v>199.49999999999994</v>
      </c>
      <c r="Y1005">
        <v>49.9</v>
      </c>
      <c r="Z1005">
        <v>49.9</v>
      </c>
      <c r="AA1005">
        <v>0</v>
      </c>
      <c r="AB1005" t="s">
        <v>363</v>
      </c>
      <c r="AF1005" t="s">
        <v>1848</v>
      </c>
      <c r="AG1005" t="s">
        <v>1848</v>
      </c>
      <c r="AH1005" t="s">
        <v>1606</v>
      </c>
      <c r="AI1005">
        <v>99999</v>
      </c>
      <c r="AJ1005">
        <v>99999</v>
      </c>
      <c r="AK1005">
        <v>699</v>
      </c>
      <c r="AL1005" t="b">
        <v>1</v>
      </c>
      <c r="AM1005" t="b">
        <v>1</v>
      </c>
      <c r="AN1005" t="b">
        <v>1</v>
      </c>
      <c r="AO1005">
        <v>99999</v>
      </c>
      <c r="AP1005" t="s">
        <v>64</v>
      </c>
      <c r="AR1005" t="b">
        <v>0</v>
      </c>
      <c r="AS1005">
        <v>12</v>
      </c>
      <c r="AT1005" t="s">
        <v>327</v>
      </c>
      <c r="AV1005" t="s">
        <v>1861</v>
      </c>
    </row>
    <row r="1006" spans="1:48" x14ac:dyDescent="0.25">
      <c r="A1006" t="s">
        <v>3323</v>
      </c>
      <c r="B1006" t="s">
        <v>302</v>
      </c>
      <c r="C1006" t="s">
        <v>62</v>
      </c>
      <c r="D1006">
        <v>99999</v>
      </c>
      <c r="F1006" s="109">
        <v>14000</v>
      </c>
      <c r="G1006" t="b">
        <v>1</v>
      </c>
      <c r="H1006" t="s">
        <v>343</v>
      </c>
      <c r="K1006" t="s">
        <v>364</v>
      </c>
      <c r="L1006" t="s">
        <v>303</v>
      </c>
      <c r="M1006" t="s">
        <v>323</v>
      </c>
      <c r="N1006" t="s">
        <v>63</v>
      </c>
      <c r="O1006" s="110">
        <v>49.9</v>
      </c>
      <c r="R1006" s="110">
        <v>393.09</v>
      </c>
      <c r="S1006" s="110">
        <v>130</v>
      </c>
      <c r="T1006" s="110">
        <v>0</v>
      </c>
      <c r="U1006" s="110">
        <v>34.99</v>
      </c>
      <c r="X1006">
        <v>178.2</v>
      </c>
      <c r="Y1006">
        <v>49.9</v>
      </c>
      <c r="Z1006">
        <v>49.9</v>
      </c>
      <c r="AA1006">
        <v>0</v>
      </c>
      <c r="AB1006" t="s">
        <v>363</v>
      </c>
      <c r="AF1006" t="s">
        <v>3060</v>
      </c>
      <c r="AG1006" t="s">
        <v>3060</v>
      </c>
      <c r="AH1006" t="s">
        <v>1606</v>
      </c>
      <c r="AI1006">
        <v>99999</v>
      </c>
      <c r="AJ1006">
        <v>99999</v>
      </c>
      <c r="AK1006">
        <v>699</v>
      </c>
      <c r="AL1006" t="b">
        <v>1</v>
      </c>
      <c r="AM1006" t="b">
        <v>1</v>
      </c>
      <c r="AN1006" t="b">
        <v>1</v>
      </c>
      <c r="AO1006">
        <v>99999</v>
      </c>
      <c r="AP1006" t="s">
        <v>64</v>
      </c>
      <c r="AR1006" t="b">
        <v>0</v>
      </c>
      <c r="AS1006">
        <v>12</v>
      </c>
      <c r="AT1006" t="s">
        <v>327</v>
      </c>
      <c r="AV1006" t="s">
        <v>3073</v>
      </c>
    </row>
    <row r="1007" spans="1:48" x14ac:dyDescent="0.25">
      <c r="A1007" t="s">
        <v>3323</v>
      </c>
      <c r="B1007" t="s">
        <v>302</v>
      </c>
      <c r="C1007" t="s">
        <v>62</v>
      </c>
      <c r="D1007">
        <v>99999</v>
      </c>
      <c r="F1007" s="109">
        <v>14000</v>
      </c>
      <c r="G1007" t="b">
        <v>1</v>
      </c>
      <c r="H1007" t="s">
        <v>343</v>
      </c>
      <c r="K1007" t="s">
        <v>364</v>
      </c>
      <c r="L1007" t="s">
        <v>303</v>
      </c>
      <c r="M1007" t="s">
        <v>323</v>
      </c>
      <c r="N1007" t="s">
        <v>63</v>
      </c>
      <c r="O1007" s="110">
        <v>49.9</v>
      </c>
      <c r="R1007" s="110">
        <v>422.38999999999993</v>
      </c>
      <c r="S1007" s="110">
        <v>130</v>
      </c>
      <c r="T1007" s="110">
        <v>0</v>
      </c>
      <c r="U1007" s="110">
        <v>42.99</v>
      </c>
      <c r="X1007">
        <v>199.49999999999994</v>
      </c>
      <c r="Y1007">
        <v>49.9</v>
      </c>
      <c r="Z1007">
        <v>49.9</v>
      </c>
      <c r="AA1007">
        <v>0</v>
      </c>
      <c r="AB1007" t="s">
        <v>363</v>
      </c>
      <c r="AF1007" t="s">
        <v>3134</v>
      </c>
      <c r="AG1007" t="s">
        <v>3134</v>
      </c>
      <c r="AH1007" t="s">
        <v>1606</v>
      </c>
      <c r="AI1007">
        <v>99999</v>
      </c>
      <c r="AJ1007">
        <v>99999</v>
      </c>
      <c r="AK1007">
        <v>699</v>
      </c>
      <c r="AL1007" t="b">
        <v>1</v>
      </c>
      <c r="AM1007" t="b">
        <v>1</v>
      </c>
      <c r="AN1007" t="b">
        <v>1</v>
      </c>
      <c r="AO1007">
        <v>99999</v>
      </c>
      <c r="AP1007" t="s">
        <v>64</v>
      </c>
      <c r="AR1007" t="b">
        <v>0</v>
      </c>
      <c r="AS1007">
        <v>12</v>
      </c>
      <c r="AT1007" t="s">
        <v>327</v>
      </c>
      <c r="AV1007" t="s">
        <v>3147</v>
      </c>
    </row>
    <row r="1008" spans="1:48" x14ac:dyDescent="0.25">
      <c r="A1008" t="s">
        <v>3323</v>
      </c>
      <c r="B1008" t="s">
        <v>302</v>
      </c>
      <c r="C1008" t="s">
        <v>62</v>
      </c>
      <c r="D1008">
        <v>99999</v>
      </c>
      <c r="F1008" s="109">
        <v>14000</v>
      </c>
      <c r="G1008" t="b">
        <v>1</v>
      </c>
      <c r="H1008" t="s">
        <v>343</v>
      </c>
      <c r="K1008" t="s">
        <v>379</v>
      </c>
      <c r="L1008" t="s">
        <v>303</v>
      </c>
      <c r="M1008" t="s">
        <v>323</v>
      </c>
      <c r="N1008" t="s">
        <v>63</v>
      </c>
      <c r="O1008" s="110">
        <v>29.9</v>
      </c>
      <c r="R1008" s="110">
        <v>380.59</v>
      </c>
      <c r="S1008" s="110">
        <v>107.5</v>
      </c>
      <c r="T1008" s="110">
        <v>0</v>
      </c>
      <c r="U1008" s="110">
        <v>34.99</v>
      </c>
      <c r="X1008">
        <v>178.2</v>
      </c>
      <c r="Y1008">
        <v>59.9</v>
      </c>
      <c r="Z1008">
        <v>59.9</v>
      </c>
      <c r="AA1008">
        <v>0</v>
      </c>
      <c r="AB1008" t="s">
        <v>363</v>
      </c>
      <c r="AF1008" t="s">
        <v>1633</v>
      </c>
      <c r="AG1008" t="s">
        <v>1633</v>
      </c>
      <c r="AH1008" t="s">
        <v>1606</v>
      </c>
      <c r="AI1008">
        <v>99999</v>
      </c>
      <c r="AJ1008">
        <v>99999</v>
      </c>
      <c r="AK1008">
        <v>699</v>
      </c>
      <c r="AL1008" t="b">
        <v>1</v>
      </c>
      <c r="AM1008" t="b">
        <v>1</v>
      </c>
      <c r="AN1008" t="b">
        <v>1</v>
      </c>
      <c r="AO1008">
        <v>99999</v>
      </c>
      <c r="AP1008" t="s">
        <v>64</v>
      </c>
      <c r="AR1008" t="b">
        <v>0</v>
      </c>
      <c r="AS1008">
        <v>12</v>
      </c>
      <c r="AT1008" t="s">
        <v>327</v>
      </c>
      <c r="AV1008" t="s">
        <v>1659</v>
      </c>
    </row>
    <row r="1009" spans="1:48" x14ac:dyDescent="0.25">
      <c r="A1009" t="s">
        <v>3323</v>
      </c>
      <c r="B1009" t="s">
        <v>302</v>
      </c>
      <c r="C1009" t="s">
        <v>62</v>
      </c>
      <c r="D1009">
        <v>99999</v>
      </c>
      <c r="F1009" s="109">
        <v>14000</v>
      </c>
      <c r="G1009" t="b">
        <v>1</v>
      </c>
      <c r="H1009" t="s">
        <v>343</v>
      </c>
      <c r="K1009" t="s">
        <v>379</v>
      </c>
      <c r="L1009" t="s">
        <v>303</v>
      </c>
      <c r="M1009" t="s">
        <v>323</v>
      </c>
      <c r="N1009" t="s">
        <v>63</v>
      </c>
      <c r="O1009" s="110">
        <v>29.9</v>
      </c>
      <c r="R1009" s="110">
        <v>409.88999999999993</v>
      </c>
      <c r="S1009" s="110">
        <v>107.5</v>
      </c>
      <c r="T1009" s="110">
        <v>0</v>
      </c>
      <c r="U1009" s="110">
        <v>42.99</v>
      </c>
      <c r="X1009">
        <v>199.49999999999994</v>
      </c>
      <c r="Y1009">
        <v>59.9</v>
      </c>
      <c r="Z1009">
        <v>59.9</v>
      </c>
      <c r="AA1009">
        <v>0</v>
      </c>
      <c r="AB1009" t="s">
        <v>363</v>
      </c>
      <c r="AF1009" t="s">
        <v>1781</v>
      </c>
      <c r="AG1009" t="s">
        <v>1781</v>
      </c>
      <c r="AH1009" t="s">
        <v>1606</v>
      </c>
      <c r="AI1009">
        <v>99999</v>
      </c>
      <c r="AJ1009">
        <v>99999</v>
      </c>
      <c r="AK1009">
        <v>699</v>
      </c>
      <c r="AL1009" t="b">
        <v>1</v>
      </c>
      <c r="AM1009" t="b">
        <v>1</v>
      </c>
      <c r="AN1009" t="b">
        <v>1</v>
      </c>
      <c r="AO1009">
        <v>99999</v>
      </c>
      <c r="AP1009" t="s">
        <v>64</v>
      </c>
      <c r="AR1009" t="b">
        <v>0</v>
      </c>
      <c r="AS1009">
        <v>12</v>
      </c>
      <c r="AT1009" t="s">
        <v>327</v>
      </c>
      <c r="AV1009" t="s">
        <v>1807</v>
      </c>
    </row>
    <row r="1010" spans="1:48" x14ac:dyDescent="0.25">
      <c r="A1010" t="s">
        <v>3323</v>
      </c>
      <c r="B1010" t="s">
        <v>302</v>
      </c>
      <c r="C1010" t="s">
        <v>62</v>
      </c>
      <c r="D1010">
        <v>99999</v>
      </c>
      <c r="F1010" s="109">
        <v>14000</v>
      </c>
      <c r="G1010" t="b">
        <v>1</v>
      </c>
      <c r="H1010" t="s">
        <v>343</v>
      </c>
      <c r="K1010" t="s">
        <v>379</v>
      </c>
      <c r="L1010" t="s">
        <v>303</v>
      </c>
      <c r="M1010" t="s">
        <v>323</v>
      </c>
      <c r="N1010" t="s">
        <v>63</v>
      </c>
      <c r="O1010" s="110">
        <v>39.9</v>
      </c>
      <c r="R1010" s="110">
        <v>380.59</v>
      </c>
      <c r="S1010" s="110">
        <v>107.5</v>
      </c>
      <c r="T1010" s="110">
        <v>0</v>
      </c>
      <c r="U1010" s="110">
        <v>34.99</v>
      </c>
      <c r="X1010">
        <v>178.2</v>
      </c>
      <c r="Y1010">
        <v>59.9</v>
      </c>
      <c r="Z1010">
        <v>59.9</v>
      </c>
      <c r="AA1010">
        <v>0</v>
      </c>
      <c r="AB1010" t="s">
        <v>363</v>
      </c>
      <c r="AF1010" t="s">
        <v>1700</v>
      </c>
      <c r="AG1010" t="s">
        <v>1700</v>
      </c>
      <c r="AH1010" t="s">
        <v>1606</v>
      </c>
      <c r="AI1010">
        <v>99999</v>
      </c>
      <c r="AJ1010">
        <v>99999</v>
      </c>
      <c r="AK1010">
        <v>699</v>
      </c>
      <c r="AL1010" t="b">
        <v>1</v>
      </c>
      <c r="AM1010" t="b">
        <v>1</v>
      </c>
      <c r="AN1010" t="b">
        <v>1</v>
      </c>
      <c r="AO1010">
        <v>99999</v>
      </c>
      <c r="AP1010" t="s">
        <v>64</v>
      </c>
      <c r="AR1010" t="b">
        <v>0</v>
      </c>
      <c r="AS1010">
        <v>12</v>
      </c>
      <c r="AT1010" t="s">
        <v>327</v>
      </c>
      <c r="AV1010" t="s">
        <v>1726</v>
      </c>
    </row>
    <row r="1011" spans="1:48" x14ac:dyDescent="0.25">
      <c r="A1011" t="s">
        <v>3323</v>
      </c>
      <c r="B1011" t="s">
        <v>302</v>
      </c>
      <c r="C1011" t="s">
        <v>62</v>
      </c>
      <c r="D1011">
        <v>99999</v>
      </c>
      <c r="F1011" s="109">
        <v>14000</v>
      </c>
      <c r="G1011" t="b">
        <v>1</v>
      </c>
      <c r="H1011" t="s">
        <v>343</v>
      </c>
      <c r="K1011" t="s">
        <v>379</v>
      </c>
      <c r="L1011" t="s">
        <v>303</v>
      </c>
      <c r="M1011" t="s">
        <v>323</v>
      </c>
      <c r="N1011" t="s">
        <v>63</v>
      </c>
      <c r="O1011" s="110">
        <v>39.9</v>
      </c>
      <c r="R1011" s="110">
        <v>409.88999999999993</v>
      </c>
      <c r="S1011" s="110">
        <v>107.5</v>
      </c>
      <c r="T1011" s="110">
        <v>0</v>
      </c>
      <c r="U1011" s="110">
        <v>42.99</v>
      </c>
      <c r="X1011">
        <v>199.49999999999994</v>
      </c>
      <c r="Y1011">
        <v>59.9</v>
      </c>
      <c r="Z1011">
        <v>59.9</v>
      </c>
      <c r="AA1011">
        <v>0</v>
      </c>
      <c r="AB1011" t="s">
        <v>363</v>
      </c>
      <c r="AF1011" t="s">
        <v>1848</v>
      </c>
      <c r="AG1011" t="s">
        <v>1848</v>
      </c>
      <c r="AH1011" t="s">
        <v>1606</v>
      </c>
      <c r="AI1011">
        <v>99999</v>
      </c>
      <c r="AJ1011">
        <v>99999</v>
      </c>
      <c r="AK1011">
        <v>699</v>
      </c>
      <c r="AL1011" t="b">
        <v>1</v>
      </c>
      <c r="AM1011" t="b">
        <v>1</v>
      </c>
      <c r="AN1011" t="b">
        <v>1</v>
      </c>
      <c r="AO1011">
        <v>99999</v>
      </c>
      <c r="AP1011" t="s">
        <v>64</v>
      </c>
      <c r="AR1011" t="b">
        <v>0</v>
      </c>
      <c r="AS1011">
        <v>12</v>
      </c>
      <c r="AT1011" t="s">
        <v>327</v>
      </c>
      <c r="AV1011" t="s">
        <v>1874</v>
      </c>
    </row>
    <row r="1012" spans="1:48" x14ac:dyDescent="0.25">
      <c r="A1012" t="s">
        <v>3323</v>
      </c>
      <c r="B1012" t="s">
        <v>302</v>
      </c>
      <c r="C1012" t="s">
        <v>62</v>
      </c>
      <c r="D1012">
        <v>99999</v>
      </c>
      <c r="F1012" s="109">
        <v>14000</v>
      </c>
      <c r="G1012" t="b">
        <v>1</v>
      </c>
      <c r="H1012" t="s">
        <v>343</v>
      </c>
      <c r="K1012" t="s">
        <v>379</v>
      </c>
      <c r="L1012" t="s">
        <v>303</v>
      </c>
      <c r="M1012" t="s">
        <v>323</v>
      </c>
      <c r="N1012" t="s">
        <v>63</v>
      </c>
      <c r="O1012" s="110">
        <v>49.9</v>
      </c>
      <c r="R1012" s="110">
        <v>403.09</v>
      </c>
      <c r="S1012" s="110">
        <v>130</v>
      </c>
      <c r="T1012" s="110">
        <v>0</v>
      </c>
      <c r="U1012" s="110">
        <v>34.99</v>
      </c>
      <c r="X1012">
        <v>178.2</v>
      </c>
      <c r="Y1012">
        <v>59.9</v>
      </c>
      <c r="Z1012">
        <v>59.9</v>
      </c>
      <c r="AA1012">
        <v>0</v>
      </c>
      <c r="AB1012" t="s">
        <v>363</v>
      </c>
      <c r="AF1012" t="s">
        <v>3060</v>
      </c>
      <c r="AG1012" t="s">
        <v>3060</v>
      </c>
      <c r="AH1012" t="s">
        <v>1606</v>
      </c>
      <c r="AI1012">
        <v>99999</v>
      </c>
      <c r="AJ1012">
        <v>99999</v>
      </c>
      <c r="AK1012">
        <v>699</v>
      </c>
      <c r="AL1012" t="b">
        <v>1</v>
      </c>
      <c r="AM1012" t="b">
        <v>1</v>
      </c>
      <c r="AN1012" t="b">
        <v>1</v>
      </c>
      <c r="AO1012">
        <v>99999</v>
      </c>
      <c r="AP1012" t="s">
        <v>64</v>
      </c>
      <c r="AR1012" t="b">
        <v>0</v>
      </c>
      <c r="AS1012">
        <v>12</v>
      </c>
      <c r="AT1012" t="s">
        <v>327</v>
      </c>
      <c r="AV1012" t="s">
        <v>3086</v>
      </c>
    </row>
    <row r="1013" spans="1:48" x14ac:dyDescent="0.25">
      <c r="A1013" t="s">
        <v>3323</v>
      </c>
      <c r="B1013" t="s">
        <v>302</v>
      </c>
      <c r="C1013" t="s">
        <v>62</v>
      </c>
      <c r="D1013">
        <v>99999</v>
      </c>
      <c r="F1013" s="109">
        <v>14000</v>
      </c>
      <c r="G1013" t="b">
        <v>1</v>
      </c>
      <c r="H1013" t="s">
        <v>343</v>
      </c>
      <c r="K1013" t="s">
        <v>379</v>
      </c>
      <c r="L1013" t="s">
        <v>303</v>
      </c>
      <c r="M1013" t="s">
        <v>323</v>
      </c>
      <c r="N1013" t="s">
        <v>63</v>
      </c>
      <c r="O1013" s="110">
        <v>49.9</v>
      </c>
      <c r="R1013" s="110">
        <v>432.38999999999993</v>
      </c>
      <c r="S1013" s="110">
        <v>130</v>
      </c>
      <c r="T1013" s="110">
        <v>0</v>
      </c>
      <c r="U1013" s="110">
        <v>42.99</v>
      </c>
      <c r="X1013">
        <v>199.49999999999994</v>
      </c>
      <c r="Y1013">
        <v>59.9</v>
      </c>
      <c r="Z1013">
        <v>59.9</v>
      </c>
      <c r="AA1013">
        <v>0</v>
      </c>
      <c r="AB1013" t="s">
        <v>363</v>
      </c>
      <c r="AF1013" t="s">
        <v>3134</v>
      </c>
      <c r="AG1013" t="s">
        <v>3134</v>
      </c>
      <c r="AH1013" t="s">
        <v>1606</v>
      </c>
      <c r="AI1013">
        <v>99999</v>
      </c>
      <c r="AJ1013">
        <v>99999</v>
      </c>
      <c r="AK1013">
        <v>699</v>
      </c>
      <c r="AL1013" t="b">
        <v>1</v>
      </c>
      <c r="AM1013" t="b">
        <v>1</v>
      </c>
      <c r="AN1013" t="b">
        <v>1</v>
      </c>
      <c r="AO1013">
        <v>99999</v>
      </c>
      <c r="AP1013" t="s">
        <v>64</v>
      </c>
      <c r="AR1013" t="b">
        <v>0</v>
      </c>
      <c r="AS1013">
        <v>12</v>
      </c>
      <c r="AT1013" t="s">
        <v>327</v>
      </c>
      <c r="AV1013" t="s">
        <v>3160</v>
      </c>
    </row>
    <row r="1014" spans="1:48" x14ac:dyDescent="0.25">
      <c r="A1014" t="s">
        <v>3323</v>
      </c>
      <c r="B1014" t="s">
        <v>302</v>
      </c>
      <c r="C1014" t="s">
        <v>62</v>
      </c>
      <c r="D1014">
        <v>99999</v>
      </c>
      <c r="F1014" s="109">
        <v>14000</v>
      </c>
      <c r="G1014" t="b">
        <v>1</v>
      </c>
      <c r="H1014" t="s">
        <v>343</v>
      </c>
      <c r="K1014" t="s">
        <v>61</v>
      </c>
      <c r="L1014" t="s">
        <v>303</v>
      </c>
      <c r="M1014" t="s">
        <v>323</v>
      </c>
      <c r="N1014" t="s">
        <v>63</v>
      </c>
      <c r="O1014" s="110">
        <v>29.9</v>
      </c>
      <c r="R1014" s="110">
        <v>365.59</v>
      </c>
      <c r="S1014" s="110">
        <v>107.5</v>
      </c>
      <c r="T1014" s="110">
        <v>0</v>
      </c>
      <c r="U1014" s="110">
        <v>34.99</v>
      </c>
      <c r="X1014">
        <v>178.2</v>
      </c>
      <c r="Y1014">
        <v>44.9</v>
      </c>
      <c r="Z1014">
        <v>44.9</v>
      </c>
      <c r="AA1014">
        <v>0</v>
      </c>
      <c r="AB1014" t="s">
        <v>324</v>
      </c>
      <c r="AF1014" t="s">
        <v>1605</v>
      </c>
      <c r="AG1014" t="s">
        <v>1605</v>
      </c>
      <c r="AH1014" t="s">
        <v>1606</v>
      </c>
      <c r="AI1014">
        <v>99999</v>
      </c>
      <c r="AJ1014">
        <v>99999</v>
      </c>
      <c r="AK1014">
        <v>699</v>
      </c>
      <c r="AL1014" t="b">
        <v>1</v>
      </c>
      <c r="AM1014" t="b">
        <v>1</v>
      </c>
      <c r="AN1014" t="b">
        <v>1</v>
      </c>
      <c r="AO1014">
        <v>99999</v>
      </c>
      <c r="AP1014" t="s">
        <v>64</v>
      </c>
      <c r="AR1014" t="b">
        <v>0</v>
      </c>
      <c r="AS1014">
        <v>12</v>
      </c>
      <c r="AT1014" t="s">
        <v>327</v>
      </c>
      <c r="AV1014" t="s">
        <v>1619</v>
      </c>
    </row>
    <row r="1015" spans="1:48" x14ac:dyDescent="0.25">
      <c r="A1015" t="s">
        <v>3323</v>
      </c>
      <c r="B1015" t="s">
        <v>302</v>
      </c>
      <c r="C1015" t="s">
        <v>62</v>
      </c>
      <c r="D1015">
        <v>99999</v>
      </c>
      <c r="F1015" s="109">
        <v>14000</v>
      </c>
      <c r="G1015" t="b">
        <v>1</v>
      </c>
      <c r="H1015" t="s">
        <v>343</v>
      </c>
      <c r="K1015" t="s">
        <v>61</v>
      </c>
      <c r="L1015" t="s">
        <v>303</v>
      </c>
      <c r="M1015" t="s">
        <v>323</v>
      </c>
      <c r="N1015" t="s">
        <v>63</v>
      </c>
      <c r="O1015" s="110">
        <v>29.9</v>
      </c>
      <c r="R1015" s="110">
        <v>394.88999999999993</v>
      </c>
      <c r="S1015" s="110">
        <v>107.5</v>
      </c>
      <c r="T1015" s="110">
        <v>0</v>
      </c>
      <c r="U1015" s="110">
        <v>42.99</v>
      </c>
      <c r="X1015">
        <v>199.49999999999994</v>
      </c>
      <c r="Y1015">
        <v>44.9</v>
      </c>
      <c r="Z1015">
        <v>44.9</v>
      </c>
      <c r="AA1015">
        <v>0</v>
      </c>
      <c r="AB1015" t="s">
        <v>324</v>
      </c>
      <c r="AF1015" t="s">
        <v>1754</v>
      </c>
      <c r="AG1015" t="s">
        <v>1754</v>
      </c>
      <c r="AH1015" t="s">
        <v>1606</v>
      </c>
      <c r="AI1015">
        <v>99999</v>
      </c>
      <c r="AJ1015">
        <v>99999</v>
      </c>
      <c r="AK1015">
        <v>699</v>
      </c>
      <c r="AL1015" t="b">
        <v>1</v>
      </c>
      <c r="AM1015" t="b">
        <v>1</v>
      </c>
      <c r="AN1015" t="b">
        <v>1</v>
      </c>
      <c r="AO1015">
        <v>99999</v>
      </c>
      <c r="AP1015" t="s">
        <v>64</v>
      </c>
      <c r="AR1015" t="b">
        <v>0</v>
      </c>
      <c r="AS1015">
        <v>12</v>
      </c>
      <c r="AT1015" t="s">
        <v>327</v>
      </c>
      <c r="AV1015" t="s">
        <v>1767</v>
      </c>
    </row>
    <row r="1016" spans="1:48" x14ac:dyDescent="0.25">
      <c r="A1016" t="s">
        <v>3323</v>
      </c>
      <c r="B1016" t="s">
        <v>302</v>
      </c>
      <c r="C1016" t="s">
        <v>62</v>
      </c>
      <c r="D1016">
        <v>99999</v>
      </c>
      <c r="F1016" s="109">
        <v>14000</v>
      </c>
      <c r="G1016" t="b">
        <v>1</v>
      </c>
      <c r="H1016" t="s">
        <v>343</v>
      </c>
      <c r="K1016" t="s">
        <v>61</v>
      </c>
      <c r="L1016" t="s">
        <v>303</v>
      </c>
      <c r="M1016" t="s">
        <v>323</v>
      </c>
      <c r="N1016" t="s">
        <v>63</v>
      </c>
      <c r="O1016" s="110">
        <v>39.9</v>
      </c>
      <c r="R1016" s="110">
        <v>365.59</v>
      </c>
      <c r="S1016" s="110">
        <v>107.5</v>
      </c>
      <c r="T1016" s="110">
        <v>0</v>
      </c>
      <c r="U1016" s="110">
        <v>34.99</v>
      </c>
      <c r="X1016">
        <v>178.2</v>
      </c>
      <c r="Y1016">
        <v>44.9</v>
      </c>
      <c r="Z1016">
        <v>44.9</v>
      </c>
      <c r="AA1016">
        <v>0</v>
      </c>
      <c r="AB1016" t="s">
        <v>324</v>
      </c>
      <c r="AF1016" t="s">
        <v>1673</v>
      </c>
      <c r="AG1016" t="s">
        <v>1673</v>
      </c>
      <c r="AH1016" t="s">
        <v>1606</v>
      </c>
      <c r="AI1016">
        <v>99999</v>
      </c>
      <c r="AJ1016">
        <v>99999</v>
      </c>
      <c r="AK1016">
        <v>699</v>
      </c>
      <c r="AL1016" t="b">
        <v>1</v>
      </c>
      <c r="AM1016" t="b">
        <v>1</v>
      </c>
      <c r="AN1016" t="b">
        <v>1</v>
      </c>
      <c r="AO1016">
        <v>99999</v>
      </c>
      <c r="AP1016" t="s">
        <v>64</v>
      </c>
      <c r="AR1016" t="b">
        <v>0</v>
      </c>
      <c r="AS1016">
        <v>12</v>
      </c>
      <c r="AT1016" t="s">
        <v>327</v>
      </c>
      <c r="AV1016" t="s">
        <v>1686</v>
      </c>
    </row>
    <row r="1017" spans="1:48" x14ac:dyDescent="0.25">
      <c r="A1017" t="s">
        <v>3323</v>
      </c>
      <c r="B1017" t="s">
        <v>302</v>
      </c>
      <c r="C1017" t="s">
        <v>62</v>
      </c>
      <c r="D1017">
        <v>99999</v>
      </c>
      <c r="F1017" s="109">
        <v>14000</v>
      </c>
      <c r="G1017" t="b">
        <v>1</v>
      </c>
      <c r="H1017" t="s">
        <v>343</v>
      </c>
      <c r="K1017" t="s">
        <v>61</v>
      </c>
      <c r="L1017" t="s">
        <v>303</v>
      </c>
      <c r="M1017" t="s">
        <v>323</v>
      </c>
      <c r="N1017" t="s">
        <v>63</v>
      </c>
      <c r="O1017" s="110">
        <v>39.9</v>
      </c>
      <c r="R1017" s="110">
        <v>394.88999999999993</v>
      </c>
      <c r="S1017" s="110">
        <v>107.5</v>
      </c>
      <c r="T1017" s="110">
        <v>0</v>
      </c>
      <c r="U1017" s="110">
        <v>42.99</v>
      </c>
      <c r="X1017">
        <v>199.49999999999994</v>
      </c>
      <c r="Y1017">
        <v>44.9</v>
      </c>
      <c r="Z1017">
        <v>44.9</v>
      </c>
      <c r="AA1017">
        <v>0</v>
      </c>
      <c r="AB1017" t="s">
        <v>324</v>
      </c>
      <c r="AF1017" t="s">
        <v>1821</v>
      </c>
      <c r="AG1017" t="s">
        <v>1821</v>
      </c>
      <c r="AH1017" t="s">
        <v>1606</v>
      </c>
      <c r="AI1017">
        <v>99999</v>
      </c>
      <c r="AJ1017">
        <v>99999</v>
      </c>
      <c r="AK1017">
        <v>699</v>
      </c>
      <c r="AL1017" t="b">
        <v>1</v>
      </c>
      <c r="AM1017" t="b">
        <v>1</v>
      </c>
      <c r="AN1017" t="b">
        <v>1</v>
      </c>
      <c r="AO1017">
        <v>99999</v>
      </c>
      <c r="AP1017" t="s">
        <v>64</v>
      </c>
      <c r="AR1017" t="b">
        <v>0</v>
      </c>
      <c r="AS1017">
        <v>12</v>
      </c>
      <c r="AT1017" t="s">
        <v>327</v>
      </c>
      <c r="AV1017" t="s">
        <v>1834</v>
      </c>
    </row>
    <row r="1018" spans="1:48" x14ac:dyDescent="0.25">
      <c r="A1018" t="s">
        <v>3323</v>
      </c>
      <c r="B1018" t="s">
        <v>302</v>
      </c>
      <c r="C1018" t="s">
        <v>62</v>
      </c>
      <c r="D1018">
        <v>99999</v>
      </c>
      <c r="F1018" s="109">
        <v>14000</v>
      </c>
      <c r="G1018" t="b">
        <v>1</v>
      </c>
      <c r="H1018" t="s">
        <v>343</v>
      </c>
      <c r="K1018" t="s">
        <v>61</v>
      </c>
      <c r="L1018" t="s">
        <v>303</v>
      </c>
      <c r="M1018" t="s">
        <v>323</v>
      </c>
      <c r="N1018" t="s">
        <v>63</v>
      </c>
      <c r="O1018" s="110">
        <v>49.9</v>
      </c>
      <c r="R1018" s="110">
        <v>388.09</v>
      </c>
      <c r="S1018" s="110">
        <v>130</v>
      </c>
      <c r="T1018" s="110">
        <v>0</v>
      </c>
      <c r="U1018" s="110">
        <v>34.99</v>
      </c>
      <c r="X1018">
        <v>178.2</v>
      </c>
      <c r="Y1018">
        <v>44.9</v>
      </c>
      <c r="Z1018">
        <v>44.9</v>
      </c>
      <c r="AA1018">
        <v>0</v>
      </c>
      <c r="AB1018" t="s">
        <v>324</v>
      </c>
      <c r="AF1018" t="s">
        <v>3033</v>
      </c>
      <c r="AG1018" t="s">
        <v>3033</v>
      </c>
      <c r="AH1018" t="s">
        <v>1606</v>
      </c>
      <c r="AI1018">
        <v>99999</v>
      </c>
      <c r="AJ1018">
        <v>99999</v>
      </c>
      <c r="AK1018">
        <v>699</v>
      </c>
      <c r="AL1018" t="b">
        <v>1</v>
      </c>
      <c r="AM1018" t="b">
        <v>1</v>
      </c>
      <c r="AN1018" t="b">
        <v>1</v>
      </c>
      <c r="AO1018">
        <v>99999</v>
      </c>
      <c r="AP1018" t="s">
        <v>64</v>
      </c>
      <c r="AR1018" t="b">
        <v>0</v>
      </c>
      <c r="AS1018">
        <v>12</v>
      </c>
      <c r="AT1018" t="s">
        <v>327</v>
      </c>
      <c r="AV1018" t="s">
        <v>3046</v>
      </c>
    </row>
    <row r="1019" spans="1:48" x14ac:dyDescent="0.25">
      <c r="A1019" t="s">
        <v>3323</v>
      </c>
      <c r="B1019" t="s">
        <v>302</v>
      </c>
      <c r="C1019" t="s">
        <v>62</v>
      </c>
      <c r="D1019">
        <v>99999</v>
      </c>
      <c r="F1019" s="109">
        <v>14000</v>
      </c>
      <c r="G1019" t="b">
        <v>1</v>
      </c>
      <c r="H1019" t="s">
        <v>343</v>
      </c>
      <c r="K1019" t="s">
        <v>61</v>
      </c>
      <c r="L1019" t="s">
        <v>303</v>
      </c>
      <c r="M1019" t="s">
        <v>323</v>
      </c>
      <c r="N1019" t="s">
        <v>63</v>
      </c>
      <c r="O1019" s="110">
        <v>49.9</v>
      </c>
      <c r="R1019" s="110">
        <v>417.38999999999993</v>
      </c>
      <c r="S1019" s="110">
        <v>130</v>
      </c>
      <c r="T1019" s="110">
        <v>0</v>
      </c>
      <c r="U1019" s="110">
        <v>42.99</v>
      </c>
      <c r="X1019">
        <v>199.49999999999994</v>
      </c>
      <c r="Y1019">
        <v>44.9</v>
      </c>
      <c r="Z1019">
        <v>44.9</v>
      </c>
      <c r="AA1019">
        <v>0</v>
      </c>
      <c r="AB1019" t="s">
        <v>324</v>
      </c>
      <c r="AF1019" t="s">
        <v>3107</v>
      </c>
      <c r="AG1019" t="s">
        <v>3107</v>
      </c>
      <c r="AH1019" t="s">
        <v>1606</v>
      </c>
      <c r="AI1019">
        <v>99999</v>
      </c>
      <c r="AJ1019">
        <v>99999</v>
      </c>
      <c r="AK1019">
        <v>699</v>
      </c>
      <c r="AL1019" t="b">
        <v>1</v>
      </c>
      <c r="AM1019" t="b">
        <v>1</v>
      </c>
      <c r="AN1019" t="b">
        <v>1</v>
      </c>
      <c r="AO1019">
        <v>99999</v>
      </c>
      <c r="AP1019" t="s">
        <v>64</v>
      </c>
      <c r="AR1019" t="b">
        <v>0</v>
      </c>
      <c r="AS1019">
        <v>12</v>
      </c>
      <c r="AT1019" t="s">
        <v>327</v>
      </c>
      <c r="AV1019" t="s">
        <v>3120</v>
      </c>
    </row>
    <row r="1020" spans="1:48" x14ac:dyDescent="0.25">
      <c r="A1020" t="s">
        <v>3323</v>
      </c>
      <c r="B1020" t="s">
        <v>302</v>
      </c>
      <c r="C1020" t="s">
        <v>62</v>
      </c>
      <c r="D1020">
        <v>99999</v>
      </c>
      <c r="F1020" s="109">
        <v>14000</v>
      </c>
      <c r="G1020" t="b">
        <v>1</v>
      </c>
      <c r="H1020" t="s">
        <v>339</v>
      </c>
      <c r="K1020" t="s">
        <v>349</v>
      </c>
      <c r="L1020" t="s">
        <v>303</v>
      </c>
      <c r="M1020" t="s">
        <v>323</v>
      </c>
      <c r="N1020" t="s">
        <v>63</v>
      </c>
      <c r="O1020" s="110">
        <v>29.9</v>
      </c>
      <c r="R1020" s="110">
        <v>330.59</v>
      </c>
      <c r="S1020" s="110">
        <v>107.5</v>
      </c>
      <c r="T1020" s="110">
        <v>0</v>
      </c>
      <c r="U1020" s="110">
        <v>34.99</v>
      </c>
      <c r="X1020">
        <v>143.19999999999999</v>
      </c>
      <c r="Y1020">
        <v>44.9</v>
      </c>
      <c r="Z1020">
        <v>44.9</v>
      </c>
      <c r="AA1020">
        <v>0</v>
      </c>
      <c r="AB1020" t="s">
        <v>324</v>
      </c>
      <c r="AF1020" t="s">
        <v>1605</v>
      </c>
      <c r="AG1020" t="s">
        <v>1605</v>
      </c>
      <c r="AH1020" t="s">
        <v>1606</v>
      </c>
      <c r="AI1020">
        <v>99999</v>
      </c>
      <c r="AJ1020">
        <v>99999</v>
      </c>
      <c r="AK1020">
        <v>699</v>
      </c>
      <c r="AL1020" t="b">
        <v>1</v>
      </c>
      <c r="AM1020" t="b">
        <v>1</v>
      </c>
      <c r="AN1020" t="b">
        <v>1</v>
      </c>
      <c r="AO1020">
        <v>99999</v>
      </c>
      <c r="AP1020" t="s">
        <v>64</v>
      </c>
      <c r="AR1020" t="b">
        <v>0</v>
      </c>
      <c r="AS1020">
        <v>12</v>
      </c>
      <c r="AT1020" t="s">
        <v>327</v>
      </c>
      <c r="AV1020" t="s">
        <v>1630</v>
      </c>
    </row>
    <row r="1021" spans="1:48" x14ac:dyDescent="0.25">
      <c r="A1021" t="s">
        <v>3323</v>
      </c>
      <c r="B1021" t="s">
        <v>302</v>
      </c>
      <c r="C1021" t="s">
        <v>62</v>
      </c>
      <c r="D1021">
        <v>99999</v>
      </c>
      <c r="F1021" s="109">
        <v>14000</v>
      </c>
      <c r="G1021" t="b">
        <v>1</v>
      </c>
      <c r="H1021" t="s">
        <v>339</v>
      </c>
      <c r="K1021" t="s">
        <v>349</v>
      </c>
      <c r="L1021" t="s">
        <v>303</v>
      </c>
      <c r="M1021" t="s">
        <v>323</v>
      </c>
      <c r="N1021" t="s">
        <v>63</v>
      </c>
      <c r="O1021" s="110">
        <v>29.9</v>
      </c>
      <c r="R1021" s="110">
        <v>359.88999999999993</v>
      </c>
      <c r="S1021" s="110">
        <v>107.5</v>
      </c>
      <c r="T1021" s="110">
        <v>0</v>
      </c>
      <c r="U1021" s="110">
        <v>42.99</v>
      </c>
      <c r="X1021">
        <v>164.49999999999994</v>
      </c>
      <c r="Y1021">
        <v>44.9</v>
      </c>
      <c r="Z1021">
        <v>44.9</v>
      </c>
      <c r="AA1021">
        <v>0</v>
      </c>
      <c r="AB1021" t="s">
        <v>324</v>
      </c>
      <c r="AF1021" t="s">
        <v>1754</v>
      </c>
      <c r="AG1021" t="s">
        <v>1754</v>
      </c>
      <c r="AH1021" t="s">
        <v>1606</v>
      </c>
      <c r="AI1021">
        <v>99999</v>
      </c>
      <c r="AJ1021">
        <v>99999</v>
      </c>
      <c r="AK1021">
        <v>699</v>
      </c>
      <c r="AL1021" t="b">
        <v>1</v>
      </c>
      <c r="AM1021" t="b">
        <v>1</v>
      </c>
      <c r="AN1021" t="b">
        <v>1</v>
      </c>
      <c r="AO1021">
        <v>99999</v>
      </c>
      <c r="AP1021" t="s">
        <v>64</v>
      </c>
      <c r="AR1021" t="b">
        <v>0</v>
      </c>
      <c r="AS1021">
        <v>12</v>
      </c>
      <c r="AT1021" t="s">
        <v>327</v>
      </c>
      <c r="AV1021" t="s">
        <v>1778</v>
      </c>
    </row>
    <row r="1022" spans="1:48" x14ac:dyDescent="0.25">
      <c r="A1022" t="s">
        <v>3323</v>
      </c>
      <c r="B1022" t="s">
        <v>302</v>
      </c>
      <c r="C1022" t="s">
        <v>62</v>
      </c>
      <c r="D1022">
        <v>99999</v>
      </c>
      <c r="F1022" s="109">
        <v>14000</v>
      </c>
      <c r="G1022" t="b">
        <v>1</v>
      </c>
      <c r="H1022" t="s">
        <v>339</v>
      </c>
      <c r="K1022" t="s">
        <v>349</v>
      </c>
      <c r="L1022" t="s">
        <v>303</v>
      </c>
      <c r="M1022" t="s">
        <v>323</v>
      </c>
      <c r="N1022" t="s">
        <v>63</v>
      </c>
      <c r="O1022" s="110">
        <v>39.9</v>
      </c>
      <c r="R1022" s="110">
        <v>330.59</v>
      </c>
      <c r="S1022" s="110">
        <v>107.5</v>
      </c>
      <c r="T1022" s="110">
        <v>0</v>
      </c>
      <c r="U1022" s="110">
        <v>34.99</v>
      </c>
      <c r="X1022">
        <v>143.19999999999999</v>
      </c>
      <c r="Y1022">
        <v>44.9</v>
      </c>
      <c r="Z1022">
        <v>44.9</v>
      </c>
      <c r="AA1022">
        <v>0</v>
      </c>
      <c r="AB1022" t="s">
        <v>324</v>
      </c>
      <c r="AF1022" t="s">
        <v>1673</v>
      </c>
      <c r="AG1022" t="s">
        <v>1673</v>
      </c>
      <c r="AH1022" t="s">
        <v>1606</v>
      </c>
      <c r="AI1022">
        <v>99999</v>
      </c>
      <c r="AJ1022">
        <v>99999</v>
      </c>
      <c r="AK1022">
        <v>699</v>
      </c>
      <c r="AL1022" t="b">
        <v>1</v>
      </c>
      <c r="AM1022" t="b">
        <v>1</v>
      </c>
      <c r="AN1022" t="b">
        <v>1</v>
      </c>
      <c r="AO1022">
        <v>99999</v>
      </c>
      <c r="AP1022" t="s">
        <v>64</v>
      </c>
      <c r="AR1022" t="b">
        <v>0</v>
      </c>
      <c r="AS1022">
        <v>12</v>
      </c>
      <c r="AT1022" t="s">
        <v>327</v>
      </c>
      <c r="AV1022" t="s">
        <v>1697</v>
      </c>
    </row>
    <row r="1023" spans="1:48" x14ac:dyDescent="0.25">
      <c r="A1023" t="s">
        <v>3323</v>
      </c>
      <c r="B1023" t="s">
        <v>302</v>
      </c>
      <c r="C1023" t="s">
        <v>62</v>
      </c>
      <c r="D1023">
        <v>99999</v>
      </c>
      <c r="F1023" s="109">
        <v>14000</v>
      </c>
      <c r="G1023" t="b">
        <v>1</v>
      </c>
      <c r="H1023" t="s">
        <v>339</v>
      </c>
      <c r="K1023" t="s">
        <v>349</v>
      </c>
      <c r="L1023" t="s">
        <v>303</v>
      </c>
      <c r="M1023" t="s">
        <v>323</v>
      </c>
      <c r="N1023" t="s">
        <v>63</v>
      </c>
      <c r="O1023" s="110">
        <v>39.9</v>
      </c>
      <c r="R1023" s="110">
        <v>359.88999999999993</v>
      </c>
      <c r="S1023" s="110">
        <v>107.5</v>
      </c>
      <c r="T1023" s="110">
        <v>0</v>
      </c>
      <c r="U1023" s="110">
        <v>42.99</v>
      </c>
      <c r="X1023">
        <v>164.49999999999994</v>
      </c>
      <c r="Y1023">
        <v>44.9</v>
      </c>
      <c r="Z1023">
        <v>44.9</v>
      </c>
      <c r="AA1023">
        <v>0</v>
      </c>
      <c r="AB1023" t="s">
        <v>324</v>
      </c>
      <c r="AF1023" t="s">
        <v>1821</v>
      </c>
      <c r="AG1023" t="s">
        <v>1821</v>
      </c>
      <c r="AH1023" t="s">
        <v>1606</v>
      </c>
      <c r="AI1023">
        <v>99999</v>
      </c>
      <c r="AJ1023">
        <v>99999</v>
      </c>
      <c r="AK1023">
        <v>699</v>
      </c>
      <c r="AL1023" t="b">
        <v>1</v>
      </c>
      <c r="AM1023" t="b">
        <v>1</v>
      </c>
      <c r="AN1023" t="b">
        <v>1</v>
      </c>
      <c r="AO1023">
        <v>99999</v>
      </c>
      <c r="AP1023" t="s">
        <v>64</v>
      </c>
      <c r="AR1023" t="b">
        <v>0</v>
      </c>
      <c r="AS1023">
        <v>12</v>
      </c>
      <c r="AT1023" t="s">
        <v>327</v>
      </c>
      <c r="AV1023" t="s">
        <v>1845</v>
      </c>
    </row>
    <row r="1024" spans="1:48" x14ac:dyDescent="0.25">
      <c r="A1024" t="s">
        <v>3323</v>
      </c>
      <c r="B1024" t="s">
        <v>302</v>
      </c>
      <c r="C1024" t="s">
        <v>62</v>
      </c>
      <c r="D1024">
        <v>99999</v>
      </c>
      <c r="F1024" s="109">
        <v>14000</v>
      </c>
      <c r="G1024" t="b">
        <v>1</v>
      </c>
      <c r="H1024" t="s">
        <v>339</v>
      </c>
      <c r="K1024" t="s">
        <v>349</v>
      </c>
      <c r="L1024" t="s">
        <v>303</v>
      </c>
      <c r="M1024" t="s">
        <v>323</v>
      </c>
      <c r="N1024" t="s">
        <v>63</v>
      </c>
      <c r="O1024" s="110">
        <v>49.9</v>
      </c>
      <c r="R1024" s="110">
        <v>353.09</v>
      </c>
      <c r="S1024" s="110">
        <v>130</v>
      </c>
      <c r="T1024" s="110">
        <v>0</v>
      </c>
      <c r="U1024" s="110">
        <v>34.99</v>
      </c>
      <c r="X1024">
        <v>143.19999999999999</v>
      </c>
      <c r="Y1024">
        <v>44.9</v>
      </c>
      <c r="Z1024">
        <v>44.9</v>
      </c>
      <c r="AA1024">
        <v>0</v>
      </c>
      <c r="AB1024" t="s">
        <v>324</v>
      </c>
      <c r="AF1024" t="s">
        <v>3033</v>
      </c>
      <c r="AG1024" t="s">
        <v>3033</v>
      </c>
      <c r="AH1024" t="s">
        <v>1606</v>
      </c>
      <c r="AI1024">
        <v>99999</v>
      </c>
      <c r="AJ1024">
        <v>99999</v>
      </c>
      <c r="AK1024">
        <v>699</v>
      </c>
      <c r="AL1024" t="b">
        <v>1</v>
      </c>
      <c r="AM1024" t="b">
        <v>1</v>
      </c>
      <c r="AN1024" t="b">
        <v>1</v>
      </c>
      <c r="AO1024">
        <v>99999</v>
      </c>
      <c r="AP1024" t="s">
        <v>64</v>
      </c>
      <c r="AR1024" t="b">
        <v>0</v>
      </c>
      <c r="AS1024">
        <v>12</v>
      </c>
      <c r="AT1024" t="s">
        <v>327</v>
      </c>
      <c r="AV1024" t="s">
        <v>3057</v>
      </c>
    </row>
    <row r="1025" spans="1:48" x14ac:dyDescent="0.25">
      <c r="A1025" t="s">
        <v>3323</v>
      </c>
      <c r="B1025" t="s">
        <v>302</v>
      </c>
      <c r="C1025" t="s">
        <v>62</v>
      </c>
      <c r="D1025">
        <v>99999</v>
      </c>
      <c r="F1025" s="109">
        <v>14000</v>
      </c>
      <c r="G1025" t="b">
        <v>1</v>
      </c>
      <c r="H1025" t="s">
        <v>339</v>
      </c>
      <c r="K1025" t="s">
        <v>349</v>
      </c>
      <c r="L1025" t="s">
        <v>303</v>
      </c>
      <c r="M1025" t="s">
        <v>323</v>
      </c>
      <c r="N1025" t="s">
        <v>63</v>
      </c>
      <c r="O1025" s="110">
        <v>49.9</v>
      </c>
      <c r="R1025" s="110">
        <v>382.38999999999993</v>
      </c>
      <c r="S1025" s="110">
        <v>130</v>
      </c>
      <c r="T1025" s="110">
        <v>0</v>
      </c>
      <c r="U1025" s="110">
        <v>42.99</v>
      </c>
      <c r="X1025">
        <v>164.49999999999994</v>
      </c>
      <c r="Y1025">
        <v>44.9</v>
      </c>
      <c r="Z1025">
        <v>44.9</v>
      </c>
      <c r="AA1025">
        <v>0</v>
      </c>
      <c r="AB1025" t="s">
        <v>324</v>
      </c>
      <c r="AF1025" t="s">
        <v>3107</v>
      </c>
      <c r="AG1025" t="s">
        <v>3107</v>
      </c>
      <c r="AH1025" t="s">
        <v>1606</v>
      </c>
      <c r="AI1025">
        <v>99999</v>
      </c>
      <c r="AJ1025">
        <v>99999</v>
      </c>
      <c r="AK1025">
        <v>699</v>
      </c>
      <c r="AL1025" t="b">
        <v>1</v>
      </c>
      <c r="AM1025" t="b">
        <v>1</v>
      </c>
      <c r="AN1025" t="b">
        <v>1</v>
      </c>
      <c r="AO1025">
        <v>99999</v>
      </c>
      <c r="AP1025" t="s">
        <v>64</v>
      </c>
      <c r="AR1025" t="b">
        <v>0</v>
      </c>
      <c r="AS1025">
        <v>12</v>
      </c>
      <c r="AT1025" t="s">
        <v>327</v>
      </c>
      <c r="AV1025" t="s">
        <v>3131</v>
      </c>
    </row>
    <row r="1026" spans="1:48" x14ac:dyDescent="0.25">
      <c r="A1026" t="s">
        <v>3323</v>
      </c>
      <c r="B1026" t="s">
        <v>302</v>
      </c>
      <c r="C1026" t="s">
        <v>62</v>
      </c>
      <c r="D1026">
        <v>99999</v>
      </c>
      <c r="F1026" s="109">
        <v>14000</v>
      </c>
      <c r="G1026" t="b">
        <v>1</v>
      </c>
      <c r="H1026" t="s">
        <v>339</v>
      </c>
      <c r="K1026" t="s">
        <v>393</v>
      </c>
      <c r="L1026" t="s">
        <v>303</v>
      </c>
      <c r="M1026" t="s">
        <v>323</v>
      </c>
      <c r="N1026" t="s">
        <v>63</v>
      </c>
      <c r="O1026" s="110">
        <v>29.9</v>
      </c>
      <c r="R1026" s="110">
        <v>355.59000000000003</v>
      </c>
      <c r="S1026" s="110">
        <v>107.5</v>
      </c>
      <c r="T1026" s="110">
        <v>0</v>
      </c>
      <c r="U1026" s="110">
        <v>34.99</v>
      </c>
      <c r="X1026">
        <v>143.19999999999999</v>
      </c>
      <c r="Y1026">
        <v>69.900000000000006</v>
      </c>
      <c r="Z1026">
        <v>69.900000000000006</v>
      </c>
      <c r="AA1026">
        <v>0</v>
      </c>
      <c r="AB1026" t="s">
        <v>363</v>
      </c>
      <c r="AF1026" t="s">
        <v>1633</v>
      </c>
      <c r="AG1026" t="s">
        <v>1633</v>
      </c>
      <c r="AH1026" t="s">
        <v>1606</v>
      </c>
      <c r="AI1026">
        <v>99999</v>
      </c>
      <c r="AJ1026">
        <v>99999</v>
      </c>
      <c r="AK1026">
        <v>699</v>
      </c>
      <c r="AL1026" t="b">
        <v>1</v>
      </c>
      <c r="AM1026" t="b">
        <v>1</v>
      </c>
      <c r="AN1026" t="b">
        <v>1</v>
      </c>
      <c r="AO1026">
        <v>99999</v>
      </c>
      <c r="AP1026" t="s">
        <v>64</v>
      </c>
      <c r="AR1026" t="b">
        <v>0</v>
      </c>
      <c r="AS1026">
        <v>12</v>
      </c>
      <c r="AT1026" t="s">
        <v>327</v>
      </c>
      <c r="AV1026" t="s">
        <v>1670</v>
      </c>
    </row>
    <row r="1027" spans="1:48" x14ac:dyDescent="0.25">
      <c r="A1027" t="s">
        <v>3323</v>
      </c>
      <c r="B1027" t="s">
        <v>302</v>
      </c>
      <c r="C1027" t="s">
        <v>62</v>
      </c>
      <c r="D1027">
        <v>99999</v>
      </c>
      <c r="F1027" s="109">
        <v>14000</v>
      </c>
      <c r="G1027" t="b">
        <v>1</v>
      </c>
      <c r="H1027" t="s">
        <v>339</v>
      </c>
      <c r="K1027" t="s">
        <v>393</v>
      </c>
      <c r="L1027" t="s">
        <v>303</v>
      </c>
      <c r="M1027" t="s">
        <v>323</v>
      </c>
      <c r="N1027" t="s">
        <v>63</v>
      </c>
      <c r="O1027" s="110">
        <v>29.9</v>
      </c>
      <c r="R1027" s="110">
        <v>384.89</v>
      </c>
      <c r="S1027" s="110">
        <v>107.5</v>
      </c>
      <c r="T1027" s="110">
        <v>0</v>
      </c>
      <c r="U1027" s="110">
        <v>42.99</v>
      </c>
      <c r="X1027">
        <v>164.49999999999994</v>
      </c>
      <c r="Y1027">
        <v>69.900000000000006</v>
      </c>
      <c r="Z1027">
        <v>69.900000000000006</v>
      </c>
      <c r="AA1027">
        <v>0</v>
      </c>
      <c r="AB1027" t="s">
        <v>363</v>
      </c>
      <c r="AF1027" t="s">
        <v>1781</v>
      </c>
      <c r="AG1027" t="s">
        <v>1781</v>
      </c>
      <c r="AH1027" t="s">
        <v>1606</v>
      </c>
      <c r="AI1027">
        <v>99999</v>
      </c>
      <c r="AJ1027">
        <v>99999</v>
      </c>
      <c r="AK1027">
        <v>699</v>
      </c>
      <c r="AL1027" t="b">
        <v>1</v>
      </c>
      <c r="AM1027" t="b">
        <v>1</v>
      </c>
      <c r="AN1027" t="b">
        <v>1</v>
      </c>
      <c r="AO1027">
        <v>99999</v>
      </c>
      <c r="AP1027" t="s">
        <v>64</v>
      </c>
      <c r="AR1027" t="b">
        <v>0</v>
      </c>
      <c r="AS1027">
        <v>12</v>
      </c>
      <c r="AT1027" t="s">
        <v>327</v>
      </c>
      <c r="AV1027" t="s">
        <v>1818</v>
      </c>
    </row>
    <row r="1028" spans="1:48" x14ac:dyDescent="0.25">
      <c r="A1028" t="s">
        <v>3323</v>
      </c>
      <c r="B1028" t="s">
        <v>302</v>
      </c>
      <c r="C1028" t="s">
        <v>62</v>
      </c>
      <c r="D1028">
        <v>99999</v>
      </c>
      <c r="F1028" s="109">
        <v>14000</v>
      </c>
      <c r="G1028" t="b">
        <v>1</v>
      </c>
      <c r="H1028" t="s">
        <v>339</v>
      </c>
      <c r="K1028" t="s">
        <v>393</v>
      </c>
      <c r="L1028" t="s">
        <v>303</v>
      </c>
      <c r="M1028" t="s">
        <v>323</v>
      </c>
      <c r="N1028" t="s">
        <v>63</v>
      </c>
      <c r="O1028" s="110">
        <v>39.9</v>
      </c>
      <c r="R1028" s="110">
        <v>355.59000000000003</v>
      </c>
      <c r="S1028" s="110">
        <v>107.5</v>
      </c>
      <c r="T1028" s="110">
        <v>0</v>
      </c>
      <c r="U1028" s="110">
        <v>34.99</v>
      </c>
      <c r="X1028">
        <v>143.19999999999999</v>
      </c>
      <c r="Y1028">
        <v>69.900000000000006</v>
      </c>
      <c r="Z1028">
        <v>69.900000000000006</v>
      </c>
      <c r="AA1028">
        <v>0</v>
      </c>
      <c r="AB1028" t="s">
        <v>363</v>
      </c>
      <c r="AF1028" t="s">
        <v>1700</v>
      </c>
      <c r="AG1028" t="s">
        <v>1700</v>
      </c>
      <c r="AH1028" t="s">
        <v>1606</v>
      </c>
      <c r="AI1028">
        <v>99999</v>
      </c>
      <c r="AJ1028">
        <v>99999</v>
      </c>
      <c r="AK1028">
        <v>699</v>
      </c>
      <c r="AL1028" t="b">
        <v>1</v>
      </c>
      <c r="AM1028" t="b">
        <v>1</v>
      </c>
      <c r="AN1028" t="b">
        <v>1</v>
      </c>
      <c r="AO1028">
        <v>99999</v>
      </c>
      <c r="AP1028" t="s">
        <v>64</v>
      </c>
      <c r="AR1028" t="b">
        <v>0</v>
      </c>
      <c r="AS1028">
        <v>12</v>
      </c>
      <c r="AT1028" t="s">
        <v>327</v>
      </c>
      <c r="AV1028" t="s">
        <v>1737</v>
      </c>
    </row>
    <row r="1029" spans="1:48" x14ac:dyDescent="0.25">
      <c r="A1029" t="s">
        <v>3323</v>
      </c>
      <c r="B1029" t="s">
        <v>302</v>
      </c>
      <c r="C1029" t="s">
        <v>62</v>
      </c>
      <c r="D1029">
        <v>99999</v>
      </c>
      <c r="F1029" s="109">
        <v>14000</v>
      </c>
      <c r="G1029" t="b">
        <v>1</v>
      </c>
      <c r="H1029" t="s">
        <v>339</v>
      </c>
      <c r="K1029" t="s">
        <v>393</v>
      </c>
      <c r="L1029" t="s">
        <v>303</v>
      </c>
      <c r="M1029" t="s">
        <v>323</v>
      </c>
      <c r="N1029" t="s">
        <v>63</v>
      </c>
      <c r="O1029" s="110">
        <v>39.9</v>
      </c>
      <c r="R1029" s="110">
        <v>384.89</v>
      </c>
      <c r="S1029" s="110">
        <v>107.5</v>
      </c>
      <c r="T1029" s="110">
        <v>0</v>
      </c>
      <c r="U1029" s="110">
        <v>42.99</v>
      </c>
      <c r="X1029">
        <v>164.49999999999994</v>
      </c>
      <c r="Y1029">
        <v>69.900000000000006</v>
      </c>
      <c r="Z1029">
        <v>69.900000000000006</v>
      </c>
      <c r="AA1029">
        <v>0</v>
      </c>
      <c r="AB1029" t="s">
        <v>363</v>
      </c>
      <c r="AF1029" t="s">
        <v>1848</v>
      </c>
      <c r="AG1029" t="s">
        <v>1848</v>
      </c>
      <c r="AH1029" t="s">
        <v>1606</v>
      </c>
      <c r="AI1029">
        <v>99999</v>
      </c>
      <c r="AJ1029">
        <v>99999</v>
      </c>
      <c r="AK1029">
        <v>699</v>
      </c>
      <c r="AL1029" t="b">
        <v>1</v>
      </c>
      <c r="AM1029" t="b">
        <v>1</v>
      </c>
      <c r="AN1029" t="b">
        <v>1</v>
      </c>
      <c r="AO1029">
        <v>99999</v>
      </c>
      <c r="AP1029" t="s">
        <v>64</v>
      </c>
      <c r="AR1029" t="b">
        <v>0</v>
      </c>
      <c r="AS1029">
        <v>12</v>
      </c>
      <c r="AT1029" t="s">
        <v>327</v>
      </c>
      <c r="AV1029" t="s">
        <v>1885</v>
      </c>
    </row>
    <row r="1030" spans="1:48" x14ac:dyDescent="0.25">
      <c r="A1030" t="s">
        <v>3323</v>
      </c>
      <c r="B1030" t="s">
        <v>302</v>
      </c>
      <c r="C1030" t="s">
        <v>62</v>
      </c>
      <c r="D1030">
        <v>99999</v>
      </c>
      <c r="F1030" s="109">
        <v>14000</v>
      </c>
      <c r="G1030" t="b">
        <v>1</v>
      </c>
      <c r="H1030" t="s">
        <v>339</v>
      </c>
      <c r="K1030" t="s">
        <v>393</v>
      </c>
      <c r="L1030" t="s">
        <v>303</v>
      </c>
      <c r="M1030" t="s">
        <v>323</v>
      </c>
      <c r="N1030" t="s">
        <v>63</v>
      </c>
      <c r="O1030" s="110">
        <v>49.9</v>
      </c>
      <c r="R1030" s="110">
        <v>378.09000000000003</v>
      </c>
      <c r="S1030" s="110">
        <v>130</v>
      </c>
      <c r="T1030" s="110">
        <v>0</v>
      </c>
      <c r="U1030" s="110">
        <v>34.99</v>
      </c>
      <c r="X1030">
        <v>143.19999999999999</v>
      </c>
      <c r="Y1030">
        <v>69.900000000000006</v>
      </c>
      <c r="Z1030">
        <v>69.900000000000006</v>
      </c>
      <c r="AA1030">
        <v>0</v>
      </c>
      <c r="AB1030" t="s">
        <v>363</v>
      </c>
      <c r="AF1030" t="s">
        <v>3060</v>
      </c>
      <c r="AG1030" t="s">
        <v>3060</v>
      </c>
      <c r="AH1030" t="s">
        <v>1606</v>
      </c>
      <c r="AI1030">
        <v>99999</v>
      </c>
      <c r="AJ1030">
        <v>99999</v>
      </c>
      <c r="AK1030">
        <v>699</v>
      </c>
      <c r="AL1030" t="b">
        <v>1</v>
      </c>
      <c r="AM1030" t="b">
        <v>1</v>
      </c>
      <c r="AN1030" t="b">
        <v>1</v>
      </c>
      <c r="AO1030">
        <v>99999</v>
      </c>
      <c r="AP1030" t="s">
        <v>64</v>
      </c>
      <c r="AR1030" t="b">
        <v>0</v>
      </c>
      <c r="AS1030">
        <v>12</v>
      </c>
      <c r="AT1030" t="s">
        <v>327</v>
      </c>
      <c r="AV1030" t="s">
        <v>3097</v>
      </c>
    </row>
    <row r="1031" spans="1:48" x14ac:dyDescent="0.25">
      <c r="A1031" t="s">
        <v>3323</v>
      </c>
      <c r="B1031" t="s">
        <v>302</v>
      </c>
      <c r="C1031" t="s">
        <v>62</v>
      </c>
      <c r="D1031">
        <v>99999</v>
      </c>
      <c r="F1031" s="109">
        <v>14000</v>
      </c>
      <c r="G1031" t="b">
        <v>1</v>
      </c>
      <c r="H1031" t="s">
        <v>339</v>
      </c>
      <c r="K1031" t="s">
        <v>393</v>
      </c>
      <c r="L1031" t="s">
        <v>303</v>
      </c>
      <c r="M1031" t="s">
        <v>323</v>
      </c>
      <c r="N1031" t="s">
        <v>63</v>
      </c>
      <c r="O1031" s="110">
        <v>49.9</v>
      </c>
      <c r="R1031" s="110">
        <v>407.39</v>
      </c>
      <c r="S1031" s="110">
        <v>130</v>
      </c>
      <c r="T1031" s="110">
        <v>0</v>
      </c>
      <c r="U1031" s="110">
        <v>42.99</v>
      </c>
      <c r="X1031">
        <v>164.49999999999994</v>
      </c>
      <c r="Y1031">
        <v>69.900000000000006</v>
      </c>
      <c r="Z1031">
        <v>69.900000000000006</v>
      </c>
      <c r="AA1031">
        <v>0</v>
      </c>
      <c r="AB1031" t="s">
        <v>363</v>
      </c>
      <c r="AF1031" t="s">
        <v>3134</v>
      </c>
      <c r="AG1031" t="s">
        <v>3134</v>
      </c>
      <c r="AH1031" t="s">
        <v>1606</v>
      </c>
      <c r="AI1031">
        <v>99999</v>
      </c>
      <c r="AJ1031">
        <v>99999</v>
      </c>
      <c r="AK1031">
        <v>699</v>
      </c>
      <c r="AL1031" t="b">
        <v>1</v>
      </c>
      <c r="AM1031" t="b">
        <v>1</v>
      </c>
      <c r="AN1031" t="b">
        <v>1</v>
      </c>
      <c r="AO1031">
        <v>99999</v>
      </c>
      <c r="AP1031" t="s">
        <v>64</v>
      </c>
      <c r="AR1031" t="b">
        <v>0</v>
      </c>
      <c r="AS1031">
        <v>12</v>
      </c>
      <c r="AT1031" t="s">
        <v>327</v>
      </c>
      <c r="AV1031" t="s">
        <v>3171</v>
      </c>
    </row>
    <row r="1032" spans="1:48" x14ac:dyDescent="0.25">
      <c r="A1032" t="s">
        <v>3323</v>
      </c>
      <c r="B1032" t="s">
        <v>302</v>
      </c>
      <c r="C1032" t="s">
        <v>62</v>
      </c>
      <c r="D1032">
        <v>99999</v>
      </c>
      <c r="F1032" s="109">
        <v>14000</v>
      </c>
      <c r="G1032" t="b">
        <v>1</v>
      </c>
      <c r="H1032" t="s">
        <v>339</v>
      </c>
      <c r="K1032" t="s">
        <v>364</v>
      </c>
      <c r="L1032" t="s">
        <v>303</v>
      </c>
      <c r="M1032" t="s">
        <v>323</v>
      </c>
      <c r="N1032" t="s">
        <v>63</v>
      </c>
      <c r="O1032" s="110">
        <v>29.9</v>
      </c>
      <c r="R1032" s="110">
        <v>335.59</v>
      </c>
      <c r="S1032" s="110">
        <v>107.5</v>
      </c>
      <c r="T1032" s="110">
        <v>0</v>
      </c>
      <c r="U1032" s="110">
        <v>34.99</v>
      </c>
      <c r="X1032">
        <v>143.19999999999999</v>
      </c>
      <c r="Y1032">
        <v>49.9</v>
      </c>
      <c r="Z1032">
        <v>49.9</v>
      </c>
      <c r="AA1032">
        <v>0</v>
      </c>
      <c r="AB1032" t="s">
        <v>363</v>
      </c>
      <c r="AF1032" t="s">
        <v>1633</v>
      </c>
      <c r="AG1032" t="s">
        <v>1633</v>
      </c>
      <c r="AH1032" t="s">
        <v>1606</v>
      </c>
      <c r="AI1032">
        <v>99999</v>
      </c>
      <c r="AJ1032">
        <v>99999</v>
      </c>
      <c r="AK1032">
        <v>699</v>
      </c>
      <c r="AL1032" t="b">
        <v>1</v>
      </c>
      <c r="AM1032" t="b">
        <v>1</v>
      </c>
      <c r="AN1032" t="b">
        <v>1</v>
      </c>
      <c r="AO1032">
        <v>99999</v>
      </c>
      <c r="AP1032" t="s">
        <v>64</v>
      </c>
      <c r="AR1032" t="b">
        <v>0</v>
      </c>
      <c r="AS1032">
        <v>12</v>
      </c>
      <c r="AT1032" t="s">
        <v>327</v>
      </c>
      <c r="AV1032" t="s">
        <v>1644</v>
      </c>
    </row>
    <row r="1033" spans="1:48" x14ac:dyDescent="0.25">
      <c r="A1033" t="s">
        <v>3323</v>
      </c>
      <c r="B1033" t="s">
        <v>302</v>
      </c>
      <c r="C1033" t="s">
        <v>62</v>
      </c>
      <c r="D1033">
        <v>99999</v>
      </c>
      <c r="F1033" s="109">
        <v>14000</v>
      </c>
      <c r="G1033" t="b">
        <v>1</v>
      </c>
      <c r="H1033" t="s">
        <v>339</v>
      </c>
      <c r="K1033" t="s">
        <v>364</v>
      </c>
      <c r="L1033" t="s">
        <v>303</v>
      </c>
      <c r="M1033" t="s">
        <v>323</v>
      </c>
      <c r="N1033" t="s">
        <v>63</v>
      </c>
      <c r="O1033" s="110">
        <v>29.9</v>
      </c>
      <c r="R1033" s="110">
        <v>364.88999999999993</v>
      </c>
      <c r="S1033" s="110">
        <v>107.5</v>
      </c>
      <c r="T1033" s="110">
        <v>0</v>
      </c>
      <c r="U1033" s="110">
        <v>42.99</v>
      </c>
      <c r="X1033">
        <v>164.49999999999994</v>
      </c>
      <c r="Y1033">
        <v>49.9</v>
      </c>
      <c r="Z1033">
        <v>49.9</v>
      </c>
      <c r="AA1033">
        <v>0</v>
      </c>
      <c r="AB1033" t="s">
        <v>363</v>
      </c>
      <c r="AF1033" t="s">
        <v>1781</v>
      </c>
      <c r="AG1033" t="s">
        <v>1781</v>
      </c>
      <c r="AH1033" t="s">
        <v>1606</v>
      </c>
      <c r="AI1033">
        <v>99999</v>
      </c>
      <c r="AJ1033">
        <v>99999</v>
      </c>
      <c r="AK1033">
        <v>699</v>
      </c>
      <c r="AL1033" t="b">
        <v>1</v>
      </c>
      <c r="AM1033" t="b">
        <v>1</v>
      </c>
      <c r="AN1033" t="b">
        <v>1</v>
      </c>
      <c r="AO1033">
        <v>99999</v>
      </c>
      <c r="AP1033" t="s">
        <v>64</v>
      </c>
      <c r="AR1033" t="b">
        <v>0</v>
      </c>
      <c r="AS1033">
        <v>12</v>
      </c>
      <c r="AT1033" t="s">
        <v>327</v>
      </c>
      <c r="AV1033" t="s">
        <v>1792</v>
      </c>
    </row>
    <row r="1034" spans="1:48" x14ac:dyDescent="0.25">
      <c r="A1034" t="s">
        <v>3323</v>
      </c>
      <c r="B1034" t="s">
        <v>302</v>
      </c>
      <c r="C1034" t="s">
        <v>62</v>
      </c>
      <c r="D1034">
        <v>99999</v>
      </c>
      <c r="F1034" s="109">
        <v>14000</v>
      </c>
      <c r="G1034" t="b">
        <v>1</v>
      </c>
      <c r="H1034" t="s">
        <v>339</v>
      </c>
      <c r="K1034" t="s">
        <v>364</v>
      </c>
      <c r="L1034" t="s">
        <v>303</v>
      </c>
      <c r="M1034" t="s">
        <v>323</v>
      </c>
      <c r="N1034" t="s">
        <v>63</v>
      </c>
      <c r="O1034" s="110">
        <v>39.9</v>
      </c>
      <c r="R1034" s="110">
        <v>335.59</v>
      </c>
      <c r="S1034" s="110">
        <v>107.5</v>
      </c>
      <c r="T1034" s="110">
        <v>0</v>
      </c>
      <c r="U1034" s="110">
        <v>34.99</v>
      </c>
      <c r="X1034">
        <v>143.19999999999999</v>
      </c>
      <c r="Y1034">
        <v>49.9</v>
      </c>
      <c r="Z1034">
        <v>49.9</v>
      </c>
      <c r="AA1034">
        <v>0</v>
      </c>
      <c r="AB1034" t="s">
        <v>363</v>
      </c>
      <c r="AF1034" t="s">
        <v>1700</v>
      </c>
      <c r="AG1034" t="s">
        <v>1700</v>
      </c>
      <c r="AH1034" t="s">
        <v>1606</v>
      </c>
      <c r="AI1034">
        <v>99999</v>
      </c>
      <c r="AJ1034">
        <v>99999</v>
      </c>
      <c r="AK1034">
        <v>699</v>
      </c>
      <c r="AL1034" t="b">
        <v>1</v>
      </c>
      <c r="AM1034" t="b">
        <v>1</v>
      </c>
      <c r="AN1034" t="b">
        <v>1</v>
      </c>
      <c r="AO1034">
        <v>99999</v>
      </c>
      <c r="AP1034" t="s">
        <v>64</v>
      </c>
      <c r="AR1034" t="b">
        <v>0</v>
      </c>
      <c r="AS1034">
        <v>12</v>
      </c>
      <c r="AT1034" t="s">
        <v>327</v>
      </c>
      <c r="AV1034" t="s">
        <v>1711</v>
      </c>
    </row>
    <row r="1035" spans="1:48" x14ac:dyDescent="0.25">
      <c r="A1035" t="s">
        <v>3323</v>
      </c>
      <c r="B1035" t="s">
        <v>302</v>
      </c>
      <c r="C1035" t="s">
        <v>62</v>
      </c>
      <c r="D1035">
        <v>99999</v>
      </c>
      <c r="F1035" s="109">
        <v>14000</v>
      </c>
      <c r="G1035" t="b">
        <v>1</v>
      </c>
      <c r="H1035" t="s">
        <v>339</v>
      </c>
      <c r="K1035" t="s">
        <v>364</v>
      </c>
      <c r="L1035" t="s">
        <v>303</v>
      </c>
      <c r="M1035" t="s">
        <v>323</v>
      </c>
      <c r="N1035" t="s">
        <v>63</v>
      </c>
      <c r="O1035" s="110">
        <v>39.9</v>
      </c>
      <c r="R1035" s="110">
        <v>364.88999999999993</v>
      </c>
      <c r="S1035" s="110">
        <v>107.5</v>
      </c>
      <c r="T1035" s="110">
        <v>0</v>
      </c>
      <c r="U1035" s="110">
        <v>42.99</v>
      </c>
      <c r="X1035">
        <v>164.49999999999994</v>
      </c>
      <c r="Y1035">
        <v>49.9</v>
      </c>
      <c r="Z1035">
        <v>49.9</v>
      </c>
      <c r="AA1035">
        <v>0</v>
      </c>
      <c r="AB1035" t="s">
        <v>363</v>
      </c>
      <c r="AF1035" t="s">
        <v>1848</v>
      </c>
      <c r="AG1035" t="s">
        <v>1848</v>
      </c>
      <c r="AH1035" t="s">
        <v>1606</v>
      </c>
      <c r="AI1035">
        <v>99999</v>
      </c>
      <c r="AJ1035">
        <v>99999</v>
      </c>
      <c r="AK1035">
        <v>699</v>
      </c>
      <c r="AL1035" t="b">
        <v>1</v>
      </c>
      <c r="AM1035" t="b">
        <v>1</v>
      </c>
      <c r="AN1035" t="b">
        <v>1</v>
      </c>
      <c r="AO1035">
        <v>99999</v>
      </c>
      <c r="AP1035" t="s">
        <v>64</v>
      </c>
      <c r="AR1035" t="b">
        <v>0</v>
      </c>
      <c r="AS1035">
        <v>12</v>
      </c>
      <c r="AT1035" t="s">
        <v>327</v>
      </c>
      <c r="AV1035" t="s">
        <v>1859</v>
      </c>
    </row>
    <row r="1036" spans="1:48" x14ac:dyDescent="0.25">
      <c r="A1036" t="s">
        <v>3323</v>
      </c>
      <c r="B1036" t="s">
        <v>302</v>
      </c>
      <c r="C1036" t="s">
        <v>62</v>
      </c>
      <c r="D1036">
        <v>99999</v>
      </c>
      <c r="F1036" s="109">
        <v>14000</v>
      </c>
      <c r="G1036" t="b">
        <v>1</v>
      </c>
      <c r="H1036" t="s">
        <v>339</v>
      </c>
      <c r="K1036" t="s">
        <v>364</v>
      </c>
      <c r="L1036" t="s">
        <v>303</v>
      </c>
      <c r="M1036" t="s">
        <v>323</v>
      </c>
      <c r="N1036" t="s">
        <v>63</v>
      </c>
      <c r="O1036" s="110">
        <v>49.9</v>
      </c>
      <c r="R1036" s="110">
        <v>358.09</v>
      </c>
      <c r="S1036" s="110">
        <v>130</v>
      </c>
      <c r="T1036" s="110">
        <v>0</v>
      </c>
      <c r="U1036" s="110">
        <v>34.99</v>
      </c>
      <c r="X1036">
        <v>143.19999999999999</v>
      </c>
      <c r="Y1036">
        <v>49.9</v>
      </c>
      <c r="Z1036">
        <v>49.9</v>
      </c>
      <c r="AA1036">
        <v>0</v>
      </c>
      <c r="AB1036" t="s">
        <v>363</v>
      </c>
      <c r="AF1036" t="s">
        <v>3060</v>
      </c>
      <c r="AG1036" t="s">
        <v>3060</v>
      </c>
      <c r="AH1036" t="s">
        <v>1606</v>
      </c>
      <c r="AI1036">
        <v>99999</v>
      </c>
      <c r="AJ1036">
        <v>99999</v>
      </c>
      <c r="AK1036">
        <v>699</v>
      </c>
      <c r="AL1036" t="b">
        <v>1</v>
      </c>
      <c r="AM1036" t="b">
        <v>1</v>
      </c>
      <c r="AN1036" t="b">
        <v>1</v>
      </c>
      <c r="AO1036">
        <v>99999</v>
      </c>
      <c r="AP1036" t="s">
        <v>64</v>
      </c>
      <c r="AR1036" t="b">
        <v>0</v>
      </c>
      <c r="AS1036">
        <v>12</v>
      </c>
      <c r="AT1036" t="s">
        <v>327</v>
      </c>
      <c r="AV1036" t="s">
        <v>3071</v>
      </c>
    </row>
    <row r="1037" spans="1:48" x14ac:dyDescent="0.25">
      <c r="A1037" t="s">
        <v>3323</v>
      </c>
      <c r="B1037" t="s">
        <v>302</v>
      </c>
      <c r="C1037" t="s">
        <v>62</v>
      </c>
      <c r="D1037">
        <v>99999</v>
      </c>
      <c r="F1037" s="109">
        <v>14000</v>
      </c>
      <c r="G1037" t="b">
        <v>1</v>
      </c>
      <c r="H1037" t="s">
        <v>339</v>
      </c>
      <c r="K1037" t="s">
        <v>364</v>
      </c>
      <c r="L1037" t="s">
        <v>303</v>
      </c>
      <c r="M1037" t="s">
        <v>323</v>
      </c>
      <c r="N1037" t="s">
        <v>63</v>
      </c>
      <c r="O1037" s="110">
        <v>49.9</v>
      </c>
      <c r="R1037" s="110">
        <v>387.38999999999993</v>
      </c>
      <c r="S1037" s="110">
        <v>130</v>
      </c>
      <c r="T1037" s="110">
        <v>0</v>
      </c>
      <c r="U1037" s="110">
        <v>42.99</v>
      </c>
      <c r="X1037">
        <v>164.49999999999994</v>
      </c>
      <c r="Y1037">
        <v>49.9</v>
      </c>
      <c r="Z1037">
        <v>49.9</v>
      </c>
      <c r="AA1037">
        <v>0</v>
      </c>
      <c r="AB1037" t="s">
        <v>363</v>
      </c>
      <c r="AF1037" t="s">
        <v>3134</v>
      </c>
      <c r="AG1037" t="s">
        <v>3134</v>
      </c>
      <c r="AH1037" t="s">
        <v>1606</v>
      </c>
      <c r="AI1037">
        <v>99999</v>
      </c>
      <c r="AJ1037">
        <v>99999</v>
      </c>
      <c r="AK1037">
        <v>699</v>
      </c>
      <c r="AL1037" t="b">
        <v>1</v>
      </c>
      <c r="AM1037" t="b">
        <v>1</v>
      </c>
      <c r="AN1037" t="b">
        <v>1</v>
      </c>
      <c r="AO1037">
        <v>99999</v>
      </c>
      <c r="AP1037" t="s">
        <v>64</v>
      </c>
      <c r="AR1037" t="b">
        <v>0</v>
      </c>
      <c r="AS1037">
        <v>12</v>
      </c>
      <c r="AT1037" t="s">
        <v>327</v>
      </c>
      <c r="AV1037" t="s">
        <v>3145</v>
      </c>
    </row>
    <row r="1038" spans="1:48" x14ac:dyDescent="0.25">
      <c r="A1038" t="s">
        <v>3323</v>
      </c>
      <c r="B1038" t="s">
        <v>302</v>
      </c>
      <c r="C1038" t="s">
        <v>62</v>
      </c>
      <c r="D1038">
        <v>99999</v>
      </c>
      <c r="F1038" s="109">
        <v>14000</v>
      </c>
      <c r="G1038" t="b">
        <v>1</v>
      </c>
      <c r="H1038" t="s">
        <v>339</v>
      </c>
      <c r="K1038" t="s">
        <v>379</v>
      </c>
      <c r="L1038" t="s">
        <v>303</v>
      </c>
      <c r="M1038" t="s">
        <v>323</v>
      </c>
      <c r="N1038" t="s">
        <v>63</v>
      </c>
      <c r="O1038" s="110">
        <v>29.9</v>
      </c>
      <c r="R1038" s="110">
        <v>345.59</v>
      </c>
      <c r="S1038" s="110">
        <v>107.5</v>
      </c>
      <c r="T1038" s="110">
        <v>0</v>
      </c>
      <c r="U1038" s="110">
        <v>34.99</v>
      </c>
      <c r="X1038">
        <v>143.19999999999999</v>
      </c>
      <c r="Y1038">
        <v>59.9</v>
      </c>
      <c r="Z1038">
        <v>59.9</v>
      </c>
      <c r="AA1038">
        <v>0</v>
      </c>
      <c r="AB1038" t="s">
        <v>363</v>
      </c>
      <c r="AF1038" t="s">
        <v>1633</v>
      </c>
      <c r="AG1038" t="s">
        <v>1633</v>
      </c>
      <c r="AH1038" t="s">
        <v>1606</v>
      </c>
      <c r="AI1038">
        <v>99999</v>
      </c>
      <c r="AJ1038">
        <v>99999</v>
      </c>
      <c r="AK1038">
        <v>699</v>
      </c>
      <c r="AL1038" t="b">
        <v>1</v>
      </c>
      <c r="AM1038" t="b">
        <v>1</v>
      </c>
      <c r="AN1038" t="b">
        <v>1</v>
      </c>
      <c r="AO1038">
        <v>99999</v>
      </c>
      <c r="AP1038" t="s">
        <v>64</v>
      </c>
      <c r="AR1038" t="b">
        <v>0</v>
      </c>
      <c r="AS1038">
        <v>12</v>
      </c>
      <c r="AT1038" t="s">
        <v>327</v>
      </c>
      <c r="AV1038" t="s">
        <v>1657</v>
      </c>
    </row>
    <row r="1039" spans="1:48" x14ac:dyDescent="0.25">
      <c r="A1039" t="s">
        <v>3323</v>
      </c>
      <c r="B1039" t="s">
        <v>302</v>
      </c>
      <c r="C1039" t="s">
        <v>62</v>
      </c>
      <c r="D1039">
        <v>99999</v>
      </c>
      <c r="F1039" s="109">
        <v>14000</v>
      </c>
      <c r="G1039" t="b">
        <v>1</v>
      </c>
      <c r="H1039" t="s">
        <v>339</v>
      </c>
      <c r="K1039" t="s">
        <v>379</v>
      </c>
      <c r="L1039" t="s">
        <v>303</v>
      </c>
      <c r="M1039" t="s">
        <v>323</v>
      </c>
      <c r="N1039" t="s">
        <v>63</v>
      </c>
      <c r="O1039" s="110">
        <v>29.9</v>
      </c>
      <c r="R1039" s="110">
        <v>374.88999999999993</v>
      </c>
      <c r="S1039" s="110">
        <v>107.5</v>
      </c>
      <c r="T1039" s="110">
        <v>0</v>
      </c>
      <c r="U1039" s="110">
        <v>42.99</v>
      </c>
      <c r="X1039">
        <v>164.49999999999994</v>
      </c>
      <c r="Y1039">
        <v>59.9</v>
      </c>
      <c r="Z1039">
        <v>59.9</v>
      </c>
      <c r="AA1039">
        <v>0</v>
      </c>
      <c r="AB1039" t="s">
        <v>363</v>
      </c>
      <c r="AF1039" t="s">
        <v>1781</v>
      </c>
      <c r="AG1039" t="s">
        <v>1781</v>
      </c>
      <c r="AH1039" t="s">
        <v>1606</v>
      </c>
      <c r="AI1039">
        <v>99999</v>
      </c>
      <c r="AJ1039">
        <v>99999</v>
      </c>
      <c r="AK1039">
        <v>699</v>
      </c>
      <c r="AL1039" t="b">
        <v>1</v>
      </c>
      <c r="AM1039" t="b">
        <v>1</v>
      </c>
      <c r="AN1039" t="b">
        <v>1</v>
      </c>
      <c r="AO1039">
        <v>99999</v>
      </c>
      <c r="AP1039" t="s">
        <v>64</v>
      </c>
      <c r="AR1039" t="b">
        <v>0</v>
      </c>
      <c r="AS1039">
        <v>12</v>
      </c>
      <c r="AT1039" t="s">
        <v>327</v>
      </c>
      <c r="AV1039" t="s">
        <v>1805</v>
      </c>
    </row>
    <row r="1040" spans="1:48" x14ac:dyDescent="0.25">
      <c r="A1040" t="s">
        <v>3323</v>
      </c>
      <c r="B1040" t="s">
        <v>302</v>
      </c>
      <c r="C1040" t="s">
        <v>62</v>
      </c>
      <c r="D1040">
        <v>99999</v>
      </c>
      <c r="F1040" s="109">
        <v>14000</v>
      </c>
      <c r="G1040" t="b">
        <v>1</v>
      </c>
      <c r="H1040" t="s">
        <v>339</v>
      </c>
      <c r="K1040" t="s">
        <v>379</v>
      </c>
      <c r="L1040" t="s">
        <v>303</v>
      </c>
      <c r="M1040" t="s">
        <v>323</v>
      </c>
      <c r="N1040" t="s">
        <v>63</v>
      </c>
      <c r="O1040" s="110">
        <v>39.9</v>
      </c>
      <c r="R1040" s="110">
        <v>345.59</v>
      </c>
      <c r="S1040" s="110">
        <v>107.5</v>
      </c>
      <c r="T1040" s="110">
        <v>0</v>
      </c>
      <c r="U1040" s="110">
        <v>34.99</v>
      </c>
      <c r="X1040">
        <v>143.19999999999999</v>
      </c>
      <c r="Y1040">
        <v>59.9</v>
      </c>
      <c r="Z1040">
        <v>59.9</v>
      </c>
      <c r="AA1040">
        <v>0</v>
      </c>
      <c r="AB1040" t="s">
        <v>363</v>
      </c>
      <c r="AF1040" t="s">
        <v>1700</v>
      </c>
      <c r="AG1040" t="s">
        <v>1700</v>
      </c>
      <c r="AH1040" t="s">
        <v>1606</v>
      </c>
      <c r="AI1040">
        <v>99999</v>
      </c>
      <c r="AJ1040">
        <v>99999</v>
      </c>
      <c r="AK1040">
        <v>699</v>
      </c>
      <c r="AL1040" t="b">
        <v>1</v>
      </c>
      <c r="AM1040" t="b">
        <v>1</v>
      </c>
      <c r="AN1040" t="b">
        <v>1</v>
      </c>
      <c r="AO1040">
        <v>99999</v>
      </c>
      <c r="AP1040" t="s">
        <v>64</v>
      </c>
      <c r="AR1040" t="b">
        <v>0</v>
      </c>
      <c r="AS1040">
        <v>12</v>
      </c>
      <c r="AT1040" t="s">
        <v>327</v>
      </c>
      <c r="AV1040" t="s">
        <v>1724</v>
      </c>
    </row>
    <row r="1041" spans="1:48" x14ac:dyDescent="0.25">
      <c r="A1041" t="s">
        <v>3323</v>
      </c>
      <c r="B1041" t="s">
        <v>302</v>
      </c>
      <c r="C1041" t="s">
        <v>62</v>
      </c>
      <c r="D1041">
        <v>99999</v>
      </c>
      <c r="F1041" s="109">
        <v>14000</v>
      </c>
      <c r="G1041" t="b">
        <v>1</v>
      </c>
      <c r="H1041" t="s">
        <v>339</v>
      </c>
      <c r="K1041" t="s">
        <v>379</v>
      </c>
      <c r="L1041" t="s">
        <v>303</v>
      </c>
      <c r="M1041" t="s">
        <v>323</v>
      </c>
      <c r="N1041" t="s">
        <v>63</v>
      </c>
      <c r="O1041" s="110">
        <v>39.9</v>
      </c>
      <c r="R1041" s="110">
        <v>374.88999999999993</v>
      </c>
      <c r="S1041" s="110">
        <v>107.5</v>
      </c>
      <c r="T1041" s="110">
        <v>0</v>
      </c>
      <c r="U1041" s="110">
        <v>42.99</v>
      </c>
      <c r="X1041">
        <v>164.49999999999994</v>
      </c>
      <c r="Y1041">
        <v>59.9</v>
      </c>
      <c r="Z1041">
        <v>59.9</v>
      </c>
      <c r="AA1041">
        <v>0</v>
      </c>
      <c r="AB1041" t="s">
        <v>363</v>
      </c>
      <c r="AF1041" t="s">
        <v>1848</v>
      </c>
      <c r="AG1041" t="s">
        <v>1848</v>
      </c>
      <c r="AH1041" t="s">
        <v>1606</v>
      </c>
      <c r="AI1041">
        <v>99999</v>
      </c>
      <c r="AJ1041">
        <v>99999</v>
      </c>
      <c r="AK1041">
        <v>699</v>
      </c>
      <c r="AL1041" t="b">
        <v>1</v>
      </c>
      <c r="AM1041" t="b">
        <v>1</v>
      </c>
      <c r="AN1041" t="b">
        <v>1</v>
      </c>
      <c r="AO1041">
        <v>99999</v>
      </c>
      <c r="AP1041" t="s">
        <v>64</v>
      </c>
      <c r="AR1041" t="b">
        <v>0</v>
      </c>
      <c r="AS1041">
        <v>12</v>
      </c>
      <c r="AT1041" t="s">
        <v>327</v>
      </c>
      <c r="AV1041" t="s">
        <v>1872</v>
      </c>
    </row>
    <row r="1042" spans="1:48" x14ac:dyDescent="0.25">
      <c r="A1042" t="s">
        <v>3323</v>
      </c>
      <c r="B1042" t="s">
        <v>302</v>
      </c>
      <c r="C1042" t="s">
        <v>62</v>
      </c>
      <c r="D1042">
        <v>99999</v>
      </c>
      <c r="F1042" s="109">
        <v>14000</v>
      </c>
      <c r="G1042" t="b">
        <v>1</v>
      </c>
      <c r="H1042" t="s">
        <v>339</v>
      </c>
      <c r="K1042" t="s">
        <v>379</v>
      </c>
      <c r="L1042" t="s">
        <v>303</v>
      </c>
      <c r="M1042" t="s">
        <v>323</v>
      </c>
      <c r="N1042" t="s">
        <v>63</v>
      </c>
      <c r="O1042" s="110">
        <v>49.9</v>
      </c>
      <c r="R1042" s="110">
        <v>368.09</v>
      </c>
      <c r="S1042" s="110">
        <v>130</v>
      </c>
      <c r="T1042" s="110">
        <v>0</v>
      </c>
      <c r="U1042" s="110">
        <v>34.99</v>
      </c>
      <c r="X1042">
        <v>143.19999999999999</v>
      </c>
      <c r="Y1042">
        <v>59.9</v>
      </c>
      <c r="Z1042">
        <v>59.9</v>
      </c>
      <c r="AA1042">
        <v>0</v>
      </c>
      <c r="AB1042" t="s">
        <v>363</v>
      </c>
      <c r="AF1042" t="s">
        <v>3060</v>
      </c>
      <c r="AG1042" t="s">
        <v>3060</v>
      </c>
      <c r="AH1042" t="s">
        <v>1606</v>
      </c>
      <c r="AI1042">
        <v>99999</v>
      </c>
      <c r="AJ1042">
        <v>99999</v>
      </c>
      <c r="AK1042">
        <v>699</v>
      </c>
      <c r="AL1042" t="b">
        <v>1</v>
      </c>
      <c r="AM1042" t="b">
        <v>1</v>
      </c>
      <c r="AN1042" t="b">
        <v>1</v>
      </c>
      <c r="AO1042">
        <v>99999</v>
      </c>
      <c r="AP1042" t="s">
        <v>64</v>
      </c>
      <c r="AR1042" t="b">
        <v>0</v>
      </c>
      <c r="AS1042">
        <v>12</v>
      </c>
      <c r="AT1042" t="s">
        <v>327</v>
      </c>
      <c r="AV1042" t="s">
        <v>3084</v>
      </c>
    </row>
    <row r="1043" spans="1:48" x14ac:dyDescent="0.25">
      <c r="A1043" t="s">
        <v>3323</v>
      </c>
      <c r="B1043" t="s">
        <v>302</v>
      </c>
      <c r="C1043" t="s">
        <v>62</v>
      </c>
      <c r="D1043">
        <v>99999</v>
      </c>
      <c r="F1043" s="109">
        <v>14000</v>
      </c>
      <c r="G1043" t="b">
        <v>1</v>
      </c>
      <c r="H1043" t="s">
        <v>339</v>
      </c>
      <c r="K1043" t="s">
        <v>379</v>
      </c>
      <c r="L1043" t="s">
        <v>303</v>
      </c>
      <c r="M1043" t="s">
        <v>323</v>
      </c>
      <c r="N1043" t="s">
        <v>63</v>
      </c>
      <c r="O1043" s="110">
        <v>49.9</v>
      </c>
      <c r="R1043" s="110">
        <v>397.38999999999993</v>
      </c>
      <c r="S1043" s="110">
        <v>130</v>
      </c>
      <c r="T1043" s="110">
        <v>0</v>
      </c>
      <c r="U1043" s="110">
        <v>42.99</v>
      </c>
      <c r="X1043">
        <v>164.49999999999994</v>
      </c>
      <c r="Y1043">
        <v>59.9</v>
      </c>
      <c r="Z1043">
        <v>59.9</v>
      </c>
      <c r="AA1043">
        <v>0</v>
      </c>
      <c r="AB1043" t="s">
        <v>363</v>
      </c>
      <c r="AF1043" t="s">
        <v>3134</v>
      </c>
      <c r="AG1043" t="s">
        <v>3134</v>
      </c>
      <c r="AH1043" t="s">
        <v>1606</v>
      </c>
      <c r="AI1043">
        <v>99999</v>
      </c>
      <c r="AJ1043">
        <v>99999</v>
      </c>
      <c r="AK1043">
        <v>699</v>
      </c>
      <c r="AL1043" t="b">
        <v>1</v>
      </c>
      <c r="AM1043" t="b">
        <v>1</v>
      </c>
      <c r="AN1043" t="b">
        <v>1</v>
      </c>
      <c r="AO1043">
        <v>99999</v>
      </c>
      <c r="AP1043" t="s">
        <v>64</v>
      </c>
      <c r="AR1043" t="b">
        <v>0</v>
      </c>
      <c r="AS1043">
        <v>12</v>
      </c>
      <c r="AT1043" t="s">
        <v>327</v>
      </c>
      <c r="AV1043" t="s">
        <v>3158</v>
      </c>
    </row>
    <row r="1044" spans="1:48" x14ac:dyDescent="0.25">
      <c r="A1044" t="s">
        <v>3323</v>
      </c>
      <c r="B1044" t="s">
        <v>302</v>
      </c>
      <c r="C1044" t="s">
        <v>62</v>
      </c>
      <c r="D1044">
        <v>99999</v>
      </c>
      <c r="F1044" s="109">
        <v>14000</v>
      </c>
      <c r="G1044" t="b">
        <v>1</v>
      </c>
      <c r="H1044" t="s">
        <v>339</v>
      </c>
      <c r="K1044" t="s">
        <v>61</v>
      </c>
      <c r="L1044" t="s">
        <v>303</v>
      </c>
      <c r="M1044" t="s">
        <v>323</v>
      </c>
      <c r="N1044" t="s">
        <v>63</v>
      </c>
      <c r="O1044" s="110">
        <v>29.9</v>
      </c>
      <c r="R1044" s="110">
        <v>330.59</v>
      </c>
      <c r="S1044" s="110">
        <v>107.5</v>
      </c>
      <c r="T1044" s="110">
        <v>0</v>
      </c>
      <c r="U1044" s="110">
        <v>34.99</v>
      </c>
      <c r="X1044">
        <v>143.19999999999999</v>
      </c>
      <c r="Y1044">
        <v>44.9</v>
      </c>
      <c r="Z1044">
        <v>44.9</v>
      </c>
      <c r="AA1044">
        <v>0</v>
      </c>
      <c r="AB1044" t="s">
        <v>324</v>
      </c>
      <c r="AF1044" t="s">
        <v>1605</v>
      </c>
      <c r="AG1044" t="s">
        <v>1605</v>
      </c>
      <c r="AH1044" t="s">
        <v>1606</v>
      </c>
      <c r="AI1044">
        <v>99999</v>
      </c>
      <c r="AJ1044">
        <v>99999</v>
      </c>
      <c r="AK1044">
        <v>699</v>
      </c>
      <c r="AL1044" t="b">
        <v>1</v>
      </c>
      <c r="AM1044" t="b">
        <v>1</v>
      </c>
      <c r="AN1044" t="b">
        <v>1</v>
      </c>
      <c r="AO1044">
        <v>99999</v>
      </c>
      <c r="AP1044" t="s">
        <v>64</v>
      </c>
      <c r="AR1044" t="b">
        <v>0</v>
      </c>
      <c r="AS1044">
        <v>12</v>
      </c>
      <c r="AT1044" t="s">
        <v>327</v>
      </c>
      <c r="AV1044" t="s">
        <v>1617</v>
      </c>
    </row>
    <row r="1045" spans="1:48" x14ac:dyDescent="0.25">
      <c r="A1045" t="s">
        <v>3323</v>
      </c>
      <c r="B1045" t="s">
        <v>302</v>
      </c>
      <c r="C1045" t="s">
        <v>62</v>
      </c>
      <c r="D1045">
        <v>99999</v>
      </c>
      <c r="F1045" s="109">
        <v>14000</v>
      </c>
      <c r="G1045" t="b">
        <v>1</v>
      </c>
      <c r="H1045" t="s">
        <v>339</v>
      </c>
      <c r="K1045" t="s">
        <v>61</v>
      </c>
      <c r="L1045" t="s">
        <v>303</v>
      </c>
      <c r="M1045" t="s">
        <v>323</v>
      </c>
      <c r="N1045" t="s">
        <v>63</v>
      </c>
      <c r="O1045" s="110">
        <v>29.9</v>
      </c>
      <c r="R1045" s="110">
        <v>359.88999999999993</v>
      </c>
      <c r="S1045" s="110">
        <v>107.5</v>
      </c>
      <c r="T1045" s="110">
        <v>0</v>
      </c>
      <c r="U1045" s="110">
        <v>42.99</v>
      </c>
      <c r="X1045">
        <v>164.49999999999994</v>
      </c>
      <c r="Y1045">
        <v>44.9</v>
      </c>
      <c r="Z1045">
        <v>44.9</v>
      </c>
      <c r="AA1045">
        <v>0</v>
      </c>
      <c r="AB1045" t="s">
        <v>324</v>
      </c>
      <c r="AF1045" t="s">
        <v>1754</v>
      </c>
      <c r="AG1045" t="s">
        <v>1754</v>
      </c>
      <c r="AH1045" t="s">
        <v>1606</v>
      </c>
      <c r="AI1045">
        <v>99999</v>
      </c>
      <c r="AJ1045">
        <v>99999</v>
      </c>
      <c r="AK1045">
        <v>699</v>
      </c>
      <c r="AL1045" t="b">
        <v>1</v>
      </c>
      <c r="AM1045" t="b">
        <v>1</v>
      </c>
      <c r="AN1045" t="b">
        <v>1</v>
      </c>
      <c r="AO1045">
        <v>99999</v>
      </c>
      <c r="AP1045" t="s">
        <v>64</v>
      </c>
      <c r="AR1045" t="b">
        <v>0</v>
      </c>
      <c r="AS1045">
        <v>12</v>
      </c>
      <c r="AT1045" t="s">
        <v>327</v>
      </c>
      <c r="AV1045" t="s">
        <v>1765</v>
      </c>
    </row>
    <row r="1046" spans="1:48" x14ac:dyDescent="0.25">
      <c r="A1046" t="s">
        <v>3323</v>
      </c>
      <c r="B1046" t="s">
        <v>302</v>
      </c>
      <c r="C1046" t="s">
        <v>62</v>
      </c>
      <c r="D1046">
        <v>99999</v>
      </c>
      <c r="F1046" s="109">
        <v>14000</v>
      </c>
      <c r="G1046" t="b">
        <v>1</v>
      </c>
      <c r="H1046" t="s">
        <v>339</v>
      </c>
      <c r="K1046" t="s">
        <v>61</v>
      </c>
      <c r="L1046" t="s">
        <v>303</v>
      </c>
      <c r="M1046" t="s">
        <v>323</v>
      </c>
      <c r="N1046" t="s">
        <v>63</v>
      </c>
      <c r="O1046" s="110">
        <v>39.9</v>
      </c>
      <c r="R1046" s="110">
        <v>330.59</v>
      </c>
      <c r="S1046" s="110">
        <v>107.5</v>
      </c>
      <c r="T1046" s="110">
        <v>0</v>
      </c>
      <c r="U1046" s="110">
        <v>34.99</v>
      </c>
      <c r="X1046">
        <v>143.19999999999999</v>
      </c>
      <c r="Y1046">
        <v>44.9</v>
      </c>
      <c r="Z1046">
        <v>44.9</v>
      </c>
      <c r="AA1046">
        <v>0</v>
      </c>
      <c r="AB1046" t="s">
        <v>324</v>
      </c>
      <c r="AF1046" t="s">
        <v>1673</v>
      </c>
      <c r="AG1046" t="s">
        <v>1673</v>
      </c>
      <c r="AH1046" t="s">
        <v>1606</v>
      </c>
      <c r="AI1046">
        <v>99999</v>
      </c>
      <c r="AJ1046">
        <v>99999</v>
      </c>
      <c r="AK1046">
        <v>699</v>
      </c>
      <c r="AL1046" t="b">
        <v>1</v>
      </c>
      <c r="AM1046" t="b">
        <v>1</v>
      </c>
      <c r="AN1046" t="b">
        <v>1</v>
      </c>
      <c r="AO1046">
        <v>99999</v>
      </c>
      <c r="AP1046" t="s">
        <v>64</v>
      </c>
      <c r="AR1046" t="b">
        <v>0</v>
      </c>
      <c r="AS1046">
        <v>12</v>
      </c>
      <c r="AT1046" t="s">
        <v>327</v>
      </c>
      <c r="AV1046" t="s">
        <v>1684</v>
      </c>
    </row>
    <row r="1047" spans="1:48" x14ac:dyDescent="0.25">
      <c r="A1047" t="s">
        <v>3323</v>
      </c>
      <c r="B1047" t="s">
        <v>302</v>
      </c>
      <c r="C1047" t="s">
        <v>62</v>
      </c>
      <c r="D1047">
        <v>99999</v>
      </c>
      <c r="F1047" s="109">
        <v>14000</v>
      </c>
      <c r="G1047" t="b">
        <v>1</v>
      </c>
      <c r="H1047" t="s">
        <v>339</v>
      </c>
      <c r="K1047" t="s">
        <v>61</v>
      </c>
      <c r="L1047" t="s">
        <v>303</v>
      </c>
      <c r="M1047" t="s">
        <v>323</v>
      </c>
      <c r="N1047" t="s">
        <v>63</v>
      </c>
      <c r="O1047" s="110">
        <v>39.9</v>
      </c>
      <c r="R1047" s="110">
        <v>359.88999999999993</v>
      </c>
      <c r="S1047" s="110">
        <v>107.5</v>
      </c>
      <c r="T1047" s="110">
        <v>0</v>
      </c>
      <c r="U1047" s="110">
        <v>42.99</v>
      </c>
      <c r="X1047">
        <v>164.49999999999994</v>
      </c>
      <c r="Y1047">
        <v>44.9</v>
      </c>
      <c r="Z1047">
        <v>44.9</v>
      </c>
      <c r="AA1047">
        <v>0</v>
      </c>
      <c r="AB1047" t="s">
        <v>324</v>
      </c>
      <c r="AF1047" t="s">
        <v>1821</v>
      </c>
      <c r="AG1047" t="s">
        <v>1821</v>
      </c>
      <c r="AH1047" t="s">
        <v>1606</v>
      </c>
      <c r="AI1047">
        <v>99999</v>
      </c>
      <c r="AJ1047">
        <v>99999</v>
      </c>
      <c r="AK1047">
        <v>699</v>
      </c>
      <c r="AL1047" t="b">
        <v>1</v>
      </c>
      <c r="AM1047" t="b">
        <v>1</v>
      </c>
      <c r="AN1047" t="b">
        <v>1</v>
      </c>
      <c r="AO1047">
        <v>99999</v>
      </c>
      <c r="AP1047" t="s">
        <v>64</v>
      </c>
      <c r="AR1047" t="b">
        <v>0</v>
      </c>
      <c r="AS1047">
        <v>12</v>
      </c>
      <c r="AT1047" t="s">
        <v>327</v>
      </c>
      <c r="AV1047" t="s">
        <v>1832</v>
      </c>
    </row>
    <row r="1048" spans="1:48" x14ac:dyDescent="0.25">
      <c r="A1048" t="s">
        <v>3323</v>
      </c>
      <c r="B1048" t="s">
        <v>302</v>
      </c>
      <c r="C1048" t="s">
        <v>62</v>
      </c>
      <c r="D1048">
        <v>99999</v>
      </c>
      <c r="F1048" s="109">
        <v>14000</v>
      </c>
      <c r="G1048" t="b">
        <v>1</v>
      </c>
      <c r="H1048" t="s">
        <v>339</v>
      </c>
      <c r="K1048" t="s">
        <v>61</v>
      </c>
      <c r="L1048" t="s">
        <v>303</v>
      </c>
      <c r="M1048" t="s">
        <v>323</v>
      </c>
      <c r="N1048" t="s">
        <v>63</v>
      </c>
      <c r="O1048" s="110">
        <v>49.9</v>
      </c>
      <c r="R1048" s="110">
        <v>353.09</v>
      </c>
      <c r="S1048" s="110">
        <v>130</v>
      </c>
      <c r="T1048" s="110">
        <v>0</v>
      </c>
      <c r="U1048" s="110">
        <v>34.99</v>
      </c>
      <c r="X1048">
        <v>143.19999999999999</v>
      </c>
      <c r="Y1048">
        <v>44.9</v>
      </c>
      <c r="Z1048">
        <v>44.9</v>
      </c>
      <c r="AA1048">
        <v>0</v>
      </c>
      <c r="AB1048" t="s">
        <v>324</v>
      </c>
      <c r="AF1048" t="s">
        <v>3033</v>
      </c>
      <c r="AG1048" t="s">
        <v>3033</v>
      </c>
      <c r="AH1048" t="s">
        <v>1606</v>
      </c>
      <c r="AI1048">
        <v>99999</v>
      </c>
      <c r="AJ1048">
        <v>99999</v>
      </c>
      <c r="AK1048">
        <v>699</v>
      </c>
      <c r="AL1048" t="b">
        <v>1</v>
      </c>
      <c r="AM1048" t="b">
        <v>1</v>
      </c>
      <c r="AN1048" t="b">
        <v>1</v>
      </c>
      <c r="AO1048">
        <v>99999</v>
      </c>
      <c r="AP1048" t="s">
        <v>64</v>
      </c>
      <c r="AR1048" t="b">
        <v>0</v>
      </c>
      <c r="AS1048">
        <v>12</v>
      </c>
      <c r="AT1048" t="s">
        <v>327</v>
      </c>
      <c r="AV1048" t="s">
        <v>3044</v>
      </c>
    </row>
    <row r="1049" spans="1:48" x14ac:dyDescent="0.25">
      <c r="A1049" t="s">
        <v>3323</v>
      </c>
      <c r="B1049" t="s">
        <v>302</v>
      </c>
      <c r="C1049" t="s">
        <v>62</v>
      </c>
      <c r="D1049">
        <v>99999</v>
      </c>
      <c r="F1049" s="109">
        <v>14000</v>
      </c>
      <c r="G1049" t="b">
        <v>1</v>
      </c>
      <c r="H1049" t="s">
        <v>339</v>
      </c>
      <c r="K1049" t="s">
        <v>61</v>
      </c>
      <c r="L1049" t="s">
        <v>303</v>
      </c>
      <c r="M1049" t="s">
        <v>323</v>
      </c>
      <c r="N1049" t="s">
        <v>63</v>
      </c>
      <c r="O1049" s="110">
        <v>49.9</v>
      </c>
      <c r="R1049" s="110">
        <v>382.38999999999993</v>
      </c>
      <c r="S1049" s="110">
        <v>130</v>
      </c>
      <c r="T1049" s="110">
        <v>0</v>
      </c>
      <c r="U1049" s="110">
        <v>42.99</v>
      </c>
      <c r="X1049">
        <v>164.49999999999994</v>
      </c>
      <c r="Y1049">
        <v>44.9</v>
      </c>
      <c r="Z1049">
        <v>44.9</v>
      </c>
      <c r="AA1049">
        <v>0</v>
      </c>
      <c r="AB1049" t="s">
        <v>324</v>
      </c>
      <c r="AF1049" t="s">
        <v>3107</v>
      </c>
      <c r="AG1049" t="s">
        <v>3107</v>
      </c>
      <c r="AH1049" t="s">
        <v>1606</v>
      </c>
      <c r="AI1049">
        <v>99999</v>
      </c>
      <c r="AJ1049">
        <v>99999</v>
      </c>
      <c r="AK1049">
        <v>699</v>
      </c>
      <c r="AL1049" t="b">
        <v>1</v>
      </c>
      <c r="AM1049" t="b">
        <v>1</v>
      </c>
      <c r="AN1049" t="b">
        <v>1</v>
      </c>
      <c r="AO1049">
        <v>99999</v>
      </c>
      <c r="AP1049" t="s">
        <v>64</v>
      </c>
      <c r="AR1049" t="b">
        <v>0</v>
      </c>
      <c r="AS1049">
        <v>12</v>
      </c>
      <c r="AT1049" t="s">
        <v>327</v>
      </c>
      <c r="AV1049" t="s">
        <v>3118</v>
      </c>
    </row>
    <row r="1050" spans="1:48" x14ac:dyDescent="0.25">
      <c r="A1050" t="s">
        <v>3323</v>
      </c>
      <c r="B1050" t="s">
        <v>302</v>
      </c>
      <c r="C1050" t="s">
        <v>62</v>
      </c>
      <c r="D1050">
        <v>99999</v>
      </c>
      <c r="F1050" s="109">
        <v>14000</v>
      </c>
      <c r="G1050" t="b">
        <v>1</v>
      </c>
      <c r="H1050" t="s">
        <v>337</v>
      </c>
      <c r="K1050" t="s">
        <v>349</v>
      </c>
      <c r="L1050" t="s">
        <v>303</v>
      </c>
      <c r="M1050" t="s">
        <v>323</v>
      </c>
      <c r="N1050" t="s">
        <v>63</v>
      </c>
      <c r="O1050" s="110">
        <v>29.9</v>
      </c>
      <c r="R1050" s="110">
        <v>305.59000000000003</v>
      </c>
      <c r="S1050" s="110">
        <v>107.5</v>
      </c>
      <c r="T1050" s="110">
        <v>0</v>
      </c>
      <c r="U1050" s="110">
        <v>34.99</v>
      </c>
      <c r="X1050">
        <v>118.20000000000002</v>
      </c>
      <c r="Y1050">
        <v>44.9</v>
      </c>
      <c r="Z1050">
        <v>44.9</v>
      </c>
      <c r="AA1050">
        <v>0</v>
      </c>
      <c r="AB1050" t="s">
        <v>324</v>
      </c>
      <c r="AF1050" t="s">
        <v>1605</v>
      </c>
      <c r="AG1050" t="s">
        <v>1605</v>
      </c>
      <c r="AH1050" t="s">
        <v>1606</v>
      </c>
      <c r="AI1050">
        <v>99999</v>
      </c>
      <c r="AJ1050">
        <v>99999</v>
      </c>
      <c r="AK1050">
        <v>699</v>
      </c>
      <c r="AL1050" t="b">
        <v>1</v>
      </c>
      <c r="AM1050" t="b">
        <v>1</v>
      </c>
      <c r="AN1050" t="b">
        <v>1</v>
      </c>
      <c r="AO1050">
        <v>99999</v>
      </c>
      <c r="AP1050" t="s">
        <v>64</v>
      </c>
      <c r="AR1050" t="b">
        <v>0</v>
      </c>
      <c r="AS1050">
        <v>12</v>
      </c>
      <c r="AT1050" t="s">
        <v>327</v>
      </c>
      <c r="AV1050" t="s">
        <v>1629</v>
      </c>
    </row>
    <row r="1051" spans="1:48" x14ac:dyDescent="0.25">
      <c r="A1051" t="s">
        <v>3323</v>
      </c>
      <c r="B1051" t="s">
        <v>302</v>
      </c>
      <c r="C1051" t="s">
        <v>62</v>
      </c>
      <c r="D1051">
        <v>99999</v>
      </c>
      <c r="F1051" s="109">
        <v>14000</v>
      </c>
      <c r="G1051" t="b">
        <v>1</v>
      </c>
      <c r="H1051" t="s">
        <v>337</v>
      </c>
      <c r="K1051" t="s">
        <v>349</v>
      </c>
      <c r="L1051" t="s">
        <v>303</v>
      </c>
      <c r="M1051" t="s">
        <v>323</v>
      </c>
      <c r="N1051" t="s">
        <v>63</v>
      </c>
      <c r="O1051" s="110">
        <v>29.9</v>
      </c>
      <c r="R1051" s="110">
        <v>334.89</v>
      </c>
      <c r="S1051" s="110">
        <v>107.5</v>
      </c>
      <c r="T1051" s="110">
        <v>0</v>
      </c>
      <c r="U1051" s="110">
        <v>42.99</v>
      </c>
      <c r="X1051">
        <v>139.49999999999997</v>
      </c>
      <c r="Y1051">
        <v>44.9</v>
      </c>
      <c r="Z1051">
        <v>44.9</v>
      </c>
      <c r="AA1051">
        <v>0</v>
      </c>
      <c r="AB1051" t="s">
        <v>324</v>
      </c>
      <c r="AF1051" t="s">
        <v>1754</v>
      </c>
      <c r="AG1051" t="s">
        <v>1754</v>
      </c>
      <c r="AH1051" t="s">
        <v>1606</v>
      </c>
      <c r="AI1051">
        <v>99999</v>
      </c>
      <c r="AJ1051">
        <v>99999</v>
      </c>
      <c r="AK1051">
        <v>699</v>
      </c>
      <c r="AL1051" t="b">
        <v>1</v>
      </c>
      <c r="AM1051" t="b">
        <v>1</v>
      </c>
      <c r="AN1051" t="b">
        <v>1</v>
      </c>
      <c r="AO1051">
        <v>99999</v>
      </c>
      <c r="AP1051" t="s">
        <v>64</v>
      </c>
      <c r="AR1051" t="b">
        <v>0</v>
      </c>
      <c r="AS1051">
        <v>12</v>
      </c>
      <c r="AT1051" t="s">
        <v>327</v>
      </c>
      <c r="AV1051" t="s">
        <v>1777</v>
      </c>
    </row>
    <row r="1052" spans="1:48" x14ac:dyDescent="0.25">
      <c r="A1052" t="s">
        <v>3323</v>
      </c>
      <c r="B1052" t="s">
        <v>302</v>
      </c>
      <c r="C1052" t="s">
        <v>62</v>
      </c>
      <c r="D1052">
        <v>99999</v>
      </c>
      <c r="F1052" s="109">
        <v>14000</v>
      </c>
      <c r="G1052" t="b">
        <v>1</v>
      </c>
      <c r="H1052" t="s">
        <v>337</v>
      </c>
      <c r="K1052" t="s">
        <v>349</v>
      </c>
      <c r="L1052" t="s">
        <v>303</v>
      </c>
      <c r="M1052" t="s">
        <v>323</v>
      </c>
      <c r="N1052" t="s">
        <v>63</v>
      </c>
      <c r="O1052" s="110">
        <v>39.9</v>
      </c>
      <c r="R1052" s="110">
        <v>305.59000000000003</v>
      </c>
      <c r="S1052" s="110">
        <v>107.5</v>
      </c>
      <c r="T1052" s="110">
        <v>0</v>
      </c>
      <c r="U1052" s="110">
        <v>34.99</v>
      </c>
      <c r="X1052">
        <v>118.20000000000002</v>
      </c>
      <c r="Y1052">
        <v>44.9</v>
      </c>
      <c r="Z1052">
        <v>44.9</v>
      </c>
      <c r="AA1052">
        <v>0</v>
      </c>
      <c r="AB1052" t="s">
        <v>324</v>
      </c>
      <c r="AF1052" t="s">
        <v>1673</v>
      </c>
      <c r="AG1052" t="s">
        <v>1673</v>
      </c>
      <c r="AH1052" t="s">
        <v>1606</v>
      </c>
      <c r="AI1052">
        <v>99999</v>
      </c>
      <c r="AJ1052">
        <v>99999</v>
      </c>
      <c r="AK1052">
        <v>699</v>
      </c>
      <c r="AL1052" t="b">
        <v>1</v>
      </c>
      <c r="AM1052" t="b">
        <v>1</v>
      </c>
      <c r="AN1052" t="b">
        <v>1</v>
      </c>
      <c r="AO1052">
        <v>99999</v>
      </c>
      <c r="AP1052" t="s">
        <v>64</v>
      </c>
      <c r="AR1052" t="b">
        <v>0</v>
      </c>
      <c r="AS1052">
        <v>12</v>
      </c>
      <c r="AT1052" t="s">
        <v>327</v>
      </c>
      <c r="AV1052" t="s">
        <v>1696</v>
      </c>
    </row>
    <row r="1053" spans="1:48" x14ac:dyDescent="0.25">
      <c r="A1053" t="s">
        <v>3323</v>
      </c>
      <c r="B1053" t="s">
        <v>302</v>
      </c>
      <c r="C1053" t="s">
        <v>62</v>
      </c>
      <c r="D1053">
        <v>99999</v>
      </c>
      <c r="F1053" s="109">
        <v>14000</v>
      </c>
      <c r="G1053" t="b">
        <v>1</v>
      </c>
      <c r="H1053" t="s">
        <v>337</v>
      </c>
      <c r="K1053" t="s">
        <v>349</v>
      </c>
      <c r="L1053" t="s">
        <v>303</v>
      </c>
      <c r="M1053" t="s">
        <v>323</v>
      </c>
      <c r="N1053" t="s">
        <v>63</v>
      </c>
      <c r="O1053" s="110">
        <v>39.9</v>
      </c>
      <c r="R1053" s="110">
        <v>334.89</v>
      </c>
      <c r="S1053" s="110">
        <v>107.5</v>
      </c>
      <c r="T1053" s="110">
        <v>0</v>
      </c>
      <c r="U1053" s="110">
        <v>42.99</v>
      </c>
      <c r="X1053">
        <v>139.49999999999997</v>
      </c>
      <c r="Y1053">
        <v>44.9</v>
      </c>
      <c r="Z1053">
        <v>44.9</v>
      </c>
      <c r="AA1053">
        <v>0</v>
      </c>
      <c r="AB1053" t="s">
        <v>324</v>
      </c>
      <c r="AF1053" t="s">
        <v>1821</v>
      </c>
      <c r="AG1053" t="s">
        <v>1821</v>
      </c>
      <c r="AH1053" t="s">
        <v>1606</v>
      </c>
      <c r="AI1053">
        <v>99999</v>
      </c>
      <c r="AJ1053">
        <v>99999</v>
      </c>
      <c r="AK1053">
        <v>699</v>
      </c>
      <c r="AL1053" t="b">
        <v>1</v>
      </c>
      <c r="AM1053" t="b">
        <v>1</v>
      </c>
      <c r="AN1053" t="b">
        <v>1</v>
      </c>
      <c r="AO1053">
        <v>99999</v>
      </c>
      <c r="AP1053" t="s">
        <v>64</v>
      </c>
      <c r="AR1053" t="b">
        <v>0</v>
      </c>
      <c r="AS1053">
        <v>12</v>
      </c>
      <c r="AT1053" t="s">
        <v>327</v>
      </c>
      <c r="AV1053" t="s">
        <v>1844</v>
      </c>
    </row>
    <row r="1054" spans="1:48" x14ac:dyDescent="0.25">
      <c r="A1054" t="s">
        <v>3323</v>
      </c>
      <c r="B1054" t="s">
        <v>302</v>
      </c>
      <c r="C1054" t="s">
        <v>62</v>
      </c>
      <c r="D1054">
        <v>99999</v>
      </c>
      <c r="F1054" s="109">
        <v>14000</v>
      </c>
      <c r="G1054" t="b">
        <v>1</v>
      </c>
      <c r="H1054" t="s">
        <v>337</v>
      </c>
      <c r="K1054" t="s">
        <v>349</v>
      </c>
      <c r="L1054" t="s">
        <v>303</v>
      </c>
      <c r="M1054" t="s">
        <v>323</v>
      </c>
      <c r="N1054" t="s">
        <v>63</v>
      </c>
      <c r="O1054" s="110">
        <v>49.9</v>
      </c>
      <c r="R1054" s="110">
        <v>328.09000000000003</v>
      </c>
      <c r="S1054" s="110">
        <v>130</v>
      </c>
      <c r="T1054" s="110">
        <v>0</v>
      </c>
      <c r="U1054" s="110">
        <v>34.99</v>
      </c>
      <c r="X1054">
        <v>118.20000000000002</v>
      </c>
      <c r="Y1054">
        <v>44.9</v>
      </c>
      <c r="Z1054">
        <v>44.9</v>
      </c>
      <c r="AA1054">
        <v>0</v>
      </c>
      <c r="AB1054" t="s">
        <v>324</v>
      </c>
      <c r="AF1054" t="s">
        <v>3033</v>
      </c>
      <c r="AG1054" t="s">
        <v>3033</v>
      </c>
      <c r="AH1054" t="s">
        <v>1606</v>
      </c>
      <c r="AI1054">
        <v>99999</v>
      </c>
      <c r="AJ1054">
        <v>99999</v>
      </c>
      <c r="AK1054">
        <v>699</v>
      </c>
      <c r="AL1054" t="b">
        <v>1</v>
      </c>
      <c r="AM1054" t="b">
        <v>1</v>
      </c>
      <c r="AN1054" t="b">
        <v>1</v>
      </c>
      <c r="AO1054">
        <v>99999</v>
      </c>
      <c r="AP1054" t="s">
        <v>64</v>
      </c>
      <c r="AR1054" t="b">
        <v>0</v>
      </c>
      <c r="AS1054">
        <v>12</v>
      </c>
      <c r="AT1054" t="s">
        <v>327</v>
      </c>
      <c r="AV1054" t="s">
        <v>3056</v>
      </c>
    </row>
    <row r="1055" spans="1:48" x14ac:dyDescent="0.25">
      <c r="A1055" t="s">
        <v>3323</v>
      </c>
      <c r="B1055" t="s">
        <v>302</v>
      </c>
      <c r="C1055" t="s">
        <v>62</v>
      </c>
      <c r="D1055">
        <v>99999</v>
      </c>
      <c r="F1055" s="109">
        <v>14000</v>
      </c>
      <c r="G1055" t="b">
        <v>1</v>
      </c>
      <c r="H1055" t="s">
        <v>337</v>
      </c>
      <c r="K1055" t="s">
        <v>349</v>
      </c>
      <c r="L1055" t="s">
        <v>303</v>
      </c>
      <c r="M1055" t="s">
        <v>323</v>
      </c>
      <c r="N1055" t="s">
        <v>63</v>
      </c>
      <c r="O1055" s="110">
        <v>49.9</v>
      </c>
      <c r="R1055" s="110">
        <v>357.39</v>
      </c>
      <c r="S1055" s="110">
        <v>130</v>
      </c>
      <c r="T1055" s="110">
        <v>0</v>
      </c>
      <c r="U1055" s="110">
        <v>42.99</v>
      </c>
      <c r="X1055">
        <v>139.49999999999997</v>
      </c>
      <c r="Y1055">
        <v>44.9</v>
      </c>
      <c r="Z1055">
        <v>44.9</v>
      </c>
      <c r="AA1055">
        <v>0</v>
      </c>
      <c r="AB1055" t="s">
        <v>324</v>
      </c>
      <c r="AF1055" t="s">
        <v>3107</v>
      </c>
      <c r="AG1055" t="s">
        <v>3107</v>
      </c>
      <c r="AH1055" t="s">
        <v>1606</v>
      </c>
      <c r="AI1055">
        <v>99999</v>
      </c>
      <c r="AJ1055">
        <v>99999</v>
      </c>
      <c r="AK1055">
        <v>699</v>
      </c>
      <c r="AL1055" t="b">
        <v>1</v>
      </c>
      <c r="AM1055" t="b">
        <v>1</v>
      </c>
      <c r="AN1055" t="b">
        <v>1</v>
      </c>
      <c r="AO1055">
        <v>99999</v>
      </c>
      <c r="AP1055" t="s">
        <v>64</v>
      </c>
      <c r="AR1055" t="b">
        <v>0</v>
      </c>
      <c r="AS1055">
        <v>12</v>
      </c>
      <c r="AT1055" t="s">
        <v>327</v>
      </c>
      <c r="AV1055" t="s">
        <v>3130</v>
      </c>
    </row>
    <row r="1056" spans="1:48" x14ac:dyDescent="0.25">
      <c r="A1056" t="s">
        <v>3323</v>
      </c>
      <c r="B1056" t="s">
        <v>302</v>
      </c>
      <c r="C1056" t="s">
        <v>62</v>
      </c>
      <c r="D1056">
        <v>99999</v>
      </c>
      <c r="F1056" s="109">
        <v>14000</v>
      </c>
      <c r="G1056" t="b">
        <v>1</v>
      </c>
      <c r="H1056" t="s">
        <v>337</v>
      </c>
      <c r="K1056" t="s">
        <v>393</v>
      </c>
      <c r="L1056" t="s">
        <v>303</v>
      </c>
      <c r="M1056" t="s">
        <v>323</v>
      </c>
      <c r="N1056" t="s">
        <v>63</v>
      </c>
      <c r="O1056" s="110">
        <v>29.9</v>
      </c>
      <c r="R1056" s="110">
        <v>330.59000000000003</v>
      </c>
      <c r="S1056" s="110">
        <v>107.5</v>
      </c>
      <c r="T1056" s="110">
        <v>0</v>
      </c>
      <c r="U1056" s="110">
        <v>34.99</v>
      </c>
      <c r="X1056">
        <v>118.20000000000002</v>
      </c>
      <c r="Y1056">
        <v>69.900000000000006</v>
      </c>
      <c r="Z1056">
        <v>69.900000000000006</v>
      </c>
      <c r="AA1056">
        <v>0</v>
      </c>
      <c r="AB1056" t="s">
        <v>363</v>
      </c>
      <c r="AF1056" t="s">
        <v>1633</v>
      </c>
      <c r="AG1056" t="s">
        <v>1633</v>
      </c>
      <c r="AH1056" t="s">
        <v>1606</v>
      </c>
      <c r="AI1056">
        <v>99999</v>
      </c>
      <c r="AJ1056">
        <v>99999</v>
      </c>
      <c r="AK1056">
        <v>699</v>
      </c>
      <c r="AL1056" t="b">
        <v>1</v>
      </c>
      <c r="AM1056" t="b">
        <v>1</v>
      </c>
      <c r="AN1056" t="b">
        <v>1</v>
      </c>
      <c r="AO1056">
        <v>99999</v>
      </c>
      <c r="AP1056" t="s">
        <v>64</v>
      </c>
      <c r="AR1056" t="b">
        <v>0</v>
      </c>
      <c r="AS1056">
        <v>12</v>
      </c>
      <c r="AT1056" t="s">
        <v>327</v>
      </c>
      <c r="AV1056" t="s">
        <v>1669</v>
      </c>
    </row>
    <row r="1057" spans="1:48" x14ac:dyDescent="0.25">
      <c r="A1057" t="s">
        <v>3323</v>
      </c>
      <c r="B1057" t="s">
        <v>302</v>
      </c>
      <c r="C1057" t="s">
        <v>62</v>
      </c>
      <c r="D1057">
        <v>99999</v>
      </c>
      <c r="F1057" s="109">
        <v>14000</v>
      </c>
      <c r="G1057" t="b">
        <v>1</v>
      </c>
      <c r="H1057" t="s">
        <v>337</v>
      </c>
      <c r="K1057" t="s">
        <v>393</v>
      </c>
      <c r="L1057" t="s">
        <v>303</v>
      </c>
      <c r="M1057" t="s">
        <v>323</v>
      </c>
      <c r="N1057" t="s">
        <v>63</v>
      </c>
      <c r="O1057" s="110">
        <v>29.9</v>
      </c>
      <c r="R1057" s="110">
        <v>359.89</v>
      </c>
      <c r="S1057" s="110">
        <v>107.5</v>
      </c>
      <c r="T1057" s="110">
        <v>0</v>
      </c>
      <c r="U1057" s="110">
        <v>42.99</v>
      </c>
      <c r="X1057">
        <v>139.49999999999997</v>
      </c>
      <c r="Y1057">
        <v>69.900000000000006</v>
      </c>
      <c r="Z1057">
        <v>69.900000000000006</v>
      </c>
      <c r="AA1057">
        <v>0</v>
      </c>
      <c r="AB1057" t="s">
        <v>363</v>
      </c>
      <c r="AF1057" t="s">
        <v>1781</v>
      </c>
      <c r="AG1057" t="s">
        <v>1781</v>
      </c>
      <c r="AH1057" t="s">
        <v>1606</v>
      </c>
      <c r="AI1057">
        <v>99999</v>
      </c>
      <c r="AJ1057">
        <v>99999</v>
      </c>
      <c r="AK1057">
        <v>699</v>
      </c>
      <c r="AL1057" t="b">
        <v>1</v>
      </c>
      <c r="AM1057" t="b">
        <v>1</v>
      </c>
      <c r="AN1057" t="b">
        <v>1</v>
      </c>
      <c r="AO1057">
        <v>99999</v>
      </c>
      <c r="AP1057" t="s">
        <v>64</v>
      </c>
      <c r="AR1057" t="b">
        <v>0</v>
      </c>
      <c r="AS1057">
        <v>12</v>
      </c>
      <c r="AT1057" t="s">
        <v>327</v>
      </c>
      <c r="AV1057" t="s">
        <v>1817</v>
      </c>
    </row>
    <row r="1058" spans="1:48" x14ac:dyDescent="0.25">
      <c r="A1058" t="s">
        <v>3323</v>
      </c>
      <c r="B1058" t="s">
        <v>302</v>
      </c>
      <c r="C1058" t="s">
        <v>62</v>
      </c>
      <c r="D1058">
        <v>99999</v>
      </c>
      <c r="F1058" s="109">
        <v>14000</v>
      </c>
      <c r="G1058" t="b">
        <v>1</v>
      </c>
      <c r="H1058" t="s">
        <v>337</v>
      </c>
      <c r="K1058" t="s">
        <v>393</v>
      </c>
      <c r="L1058" t="s">
        <v>303</v>
      </c>
      <c r="M1058" t="s">
        <v>323</v>
      </c>
      <c r="N1058" t="s">
        <v>63</v>
      </c>
      <c r="O1058" s="110">
        <v>39.9</v>
      </c>
      <c r="R1058" s="110">
        <v>330.59000000000003</v>
      </c>
      <c r="S1058" s="110">
        <v>107.5</v>
      </c>
      <c r="T1058" s="110">
        <v>0</v>
      </c>
      <c r="U1058" s="110">
        <v>34.99</v>
      </c>
      <c r="X1058">
        <v>118.20000000000002</v>
      </c>
      <c r="Y1058">
        <v>69.900000000000006</v>
      </c>
      <c r="Z1058">
        <v>69.900000000000006</v>
      </c>
      <c r="AA1058">
        <v>0</v>
      </c>
      <c r="AB1058" t="s">
        <v>363</v>
      </c>
      <c r="AF1058" t="s">
        <v>1700</v>
      </c>
      <c r="AG1058" t="s">
        <v>1700</v>
      </c>
      <c r="AH1058" t="s">
        <v>1606</v>
      </c>
      <c r="AI1058">
        <v>99999</v>
      </c>
      <c r="AJ1058">
        <v>99999</v>
      </c>
      <c r="AK1058">
        <v>699</v>
      </c>
      <c r="AL1058" t="b">
        <v>1</v>
      </c>
      <c r="AM1058" t="b">
        <v>1</v>
      </c>
      <c r="AN1058" t="b">
        <v>1</v>
      </c>
      <c r="AO1058">
        <v>99999</v>
      </c>
      <c r="AP1058" t="s">
        <v>64</v>
      </c>
      <c r="AR1058" t="b">
        <v>0</v>
      </c>
      <c r="AS1058">
        <v>12</v>
      </c>
      <c r="AT1058" t="s">
        <v>327</v>
      </c>
      <c r="AV1058" t="s">
        <v>1736</v>
      </c>
    </row>
    <row r="1059" spans="1:48" x14ac:dyDescent="0.25">
      <c r="A1059" t="s">
        <v>3323</v>
      </c>
      <c r="B1059" t="s">
        <v>302</v>
      </c>
      <c r="C1059" t="s">
        <v>62</v>
      </c>
      <c r="D1059">
        <v>99999</v>
      </c>
      <c r="F1059" s="109">
        <v>14000</v>
      </c>
      <c r="G1059" t="b">
        <v>1</v>
      </c>
      <c r="H1059" t="s">
        <v>337</v>
      </c>
      <c r="K1059" t="s">
        <v>393</v>
      </c>
      <c r="L1059" t="s">
        <v>303</v>
      </c>
      <c r="M1059" t="s">
        <v>323</v>
      </c>
      <c r="N1059" t="s">
        <v>63</v>
      </c>
      <c r="O1059" s="110">
        <v>39.9</v>
      </c>
      <c r="R1059" s="110">
        <v>359.89</v>
      </c>
      <c r="S1059" s="110">
        <v>107.5</v>
      </c>
      <c r="T1059" s="110">
        <v>0</v>
      </c>
      <c r="U1059" s="110">
        <v>42.99</v>
      </c>
      <c r="X1059">
        <v>139.49999999999997</v>
      </c>
      <c r="Y1059">
        <v>69.900000000000006</v>
      </c>
      <c r="Z1059">
        <v>69.900000000000006</v>
      </c>
      <c r="AA1059">
        <v>0</v>
      </c>
      <c r="AB1059" t="s">
        <v>363</v>
      </c>
      <c r="AF1059" t="s">
        <v>1848</v>
      </c>
      <c r="AG1059" t="s">
        <v>1848</v>
      </c>
      <c r="AH1059" t="s">
        <v>1606</v>
      </c>
      <c r="AI1059">
        <v>99999</v>
      </c>
      <c r="AJ1059">
        <v>99999</v>
      </c>
      <c r="AK1059">
        <v>699</v>
      </c>
      <c r="AL1059" t="b">
        <v>1</v>
      </c>
      <c r="AM1059" t="b">
        <v>1</v>
      </c>
      <c r="AN1059" t="b">
        <v>1</v>
      </c>
      <c r="AO1059">
        <v>99999</v>
      </c>
      <c r="AP1059" t="s">
        <v>64</v>
      </c>
      <c r="AR1059" t="b">
        <v>0</v>
      </c>
      <c r="AS1059">
        <v>12</v>
      </c>
      <c r="AT1059" t="s">
        <v>327</v>
      </c>
      <c r="AV1059" t="s">
        <v>1884</v>
      </c>
    </row>
    <row r="1060" spans="1:48" x14ac:dyDescent="0.25">
      <c r="A1060" t="s">
        <v>3323</v>
      </c>
      <c r="B1060" t="s">
        <v>302</v>
      </c>
      <c r="C1060" t="s">
        <v>62</v>
      </c>
      <c r="D1060">
        <v>99999</v>
      </c>
      <c r="F1060" s="109">
        <v>14000</v>
      </c>
      <c r="G1060" t="b">
        <v>1</v>
      </c>
      <c r="H1060" t="s">
        <v>337</v>
      </c>
      <c r="K1060" t="s">
        <v>393</v>
      </c>
      <c r="L1060" t="s">
        <v>303</v>
      </c>
      <c r="M1060" t="s">
        <v>323</v>
      </c>
      <c r="N1060" t="s">
        <v>63</v>
      </c>
      <c r="O1060" s="110">
        <v>49.9</v>
      </c>
      <c r="R1060" s="110">
        <v>353.09000000000003</v>
      </c>
      <c r="S1060" s="110">
        <v>130</v>
      </c>
      <c r="T1060" s="110">
        <v>0</v>
      </c>
      <c r="U1060" s="110">
        <v>34.99</v>
      </c>
      <c r="X1060">
        <v>118.20000000000002</v>
      </c>
      <c r="Y1060">
        <v>69.900000000000006</v>
      </c>
      <c r="Z1060">
        <v>69.900000000000006</v>
      </c>
      <c r="AA1060">
        <v>0</v>
      </c>
      <c r="AB1060" t="s">
        <v>363</v>
      </c>
      <c r="AF1060" t="s">
        <v>3060</v>
      </c>
      <c r="AG1060" t="s">
        <v>3060</v>
      </c>
      <c r="AH1060" t="s">
        <v>1606</v>
      </c>
      <c r="AI1060">
        <v>99999</v>
      </c>
      <c r="AJ1060">
        <v>99999</v>
      </c>
      <c r="AK1060">
        <v>699</v>
      </c>
      <c r="AL1060" t="b">
        <v>1</v>
      </c>
      <c r="AM1060" t="b">
        <v>1</v>
      </c>
      <c r="AN1060" t="b">
        <v>1</v>
      </c>
      <c r="AO1060">
        <v>99999</v>
      </c>
      <c r="AP1060" t="s">
        <v>64</v>
      </c>
      <c r="AR1060" t="b">
        <v>0</v>
      </c>
      <c r="AS1060">
        <v>12</v>
      </c>
      <c r="AT1060" t="s">
        <v>327</v>
      </c>
      <c r="AV1060" t="s">
        <v>3096</v>
      </c>
    </row>
    <row r="1061" spans="1:48" x14ac:dyDescent="0.25">
      <c r="A1061" t="s">
        <v>3323</v>
      </c>
      <c r="B1061" t="s">
        <v>302</v>
      </c>
      <c r="C1061" t="s">
        <v>62</v>
      </c>
      <c r="D1061">
        <v>99999</v>
      </c>
      <c r="F1061" s="109">
        <v>14000</v>
      </c>
      <c r="G1061" t="b">
        <v>1</v>
      </c>
      <c r="H1061" t="s">
        <v>337</v>
      </c>
      <c r="K1061" t="s">
        <v>393</v>
      </c>
      <c r="L1061" t="s">
        <v>303</v>
      </c>
      <c r="M1061" t="s">
        <v>323</v>
      </c>
      <c r="N1061" t="s">
        <v>63</v>
      </c>
      <c r="O1061" s="110">
        <v>49.9</v>
      </c>
      <c r="R1061" s="110">
        <v>382.39</v>
      </c>
      <c r="S1061" s="110">
        <v>130</v>
      </c>
      <c r="T1061" s="110">
        <v>0</v>
      </c>
      <c r="U1061" s="110">
        <v>42.99</v>
      </c>
      <c r="X1061">
        <v>139.49999999999997</v>
      </c>
      <c r="Y1061">
        <v>69.900000000000006</v>
      </c>
      <c r="Z1061">
        <v>69.900000000000006</v>
      </c>
      <c r="AA1061">
        <v>0</v>
      </c>
      <c r="AB1061" t="s">
        <v>363</v>
      </c>
      <c r="AF1061" t="s">
        <v>3134</v>
      </c>
      <c r="AG1061" t="s">
        <v>3134</v>
      </c>
      <c r="AH1061" t="s">
        <v>1606</v>
      </c>
      <c r="AI1061">
        <v>99999</v>
      </c>
      <c r="AJ1061">
        <v>99999</v>
      </c>
      <c r="AK1061">
        <v>699</v>
      </c>
      <c r="AL1061" t="b">
        <v>1</v>
      </c>
      <c r="AM1061" t="b">
        <v>1</v>
      </c>
      <c r="AN1061" t="b">
        <v>1</v>
      </c>
      <c r="AO1061">
        <v>99999</v>
      </c>
      <c r="AP1061" t="s">
        <v>64</v>
      </c>
      <c r="AR1061" t="b">
        <v>0</v>
      </c>
      <c r="AS1061">
        <v>12</v>
      </c>
      <c r="AT1061" t="s">
        <v>327</v>
      </c>
      <c r="AV1061" t="s">
        <v>3170</v>
      </c>
    </row>
    <row r="1062" spans="1:48" x14ac:dyDescent="0.25">
      <c r="A1062" t="s">
        <v>3323</v>
      </c>
      <c r="B1062" t="s">
        <v>302</v>
      </c>
      <c r="C1062" t="s">
        <v>62</v>
      </c>
      <c r="D1062">
        <v>99999</v>
      </c>
      <c r="F1062" s="109">
        <v>14000</v>
      </c>
      <c r="G1062" t="b">
        <v>1</v>
      </c>
      <c r="H1062" t="s">
        <v>337</v>
      </c>
      <c r="K1062" t="s">
        <v>364</v>
      </c>
      <c r="L1062" t="s">
        <v>303</v>
      </c>
      <c r="M1062" t="s">
        <v>323</v>
      </c>
      <c r="N1062" t="s">
        <v>63</v>
      </c>
      <c r="O1062" s="110">
        <v>29.9</v>
      </c>
      <c r="R1062" s="110">
        <v>310.59000000000003</v>
      </c>
      <c r="S1062" s="110">
        <v>107.5</v>
      </c>
      <c r="T1062" s="110">
        <v>0</v>
      </c>
      <c r="U1062" s="110">
        <v>34.99</v>
      </c>
      <c r="X1062">
        <v>118.20000000000002</v>
      </c>
      <c r="Y1062">
        <v>49.9</v>
      </c>
      <c r="Z1062">
        <v>49.9</v>
      </c>
      <c r="AA1062">
        <v>0</v>
      </c>
      <c r="AB1062" t="s">
        <v>363</v>
      </c>
      <c r="AF1062" t="s">
        <v>1633</v>
      </c>
      <c r="AG1062" t="s">
        <v>1633</v>
      </c>
      <c r="AH1062" t="s">
        <v>1606</v>
      </c>
      <c r="AI1062">
        <v>99999</v>
      </c>
      <c r="AJ1062">
        <v>99999</v>
      </c>
      <c r="AK1062">
        <v>699</v>
      </c>
      <c r="AL1062" t="b">
        <v>1</v>
      </c>
      <c r="AM1062" t="b">
        <v>1</v>
      </c>
      <c r="AN1062" t="b">
        <v>1</v>
      </c>
      <c r="AO1062">
        <v>99999</v>
      </c>
      <c r="AP1062" t="s">
        <v>64</v>
      </c>
      <c r="AR1062" t="b">
        <v>0</v>
      </c>
      <c r="AS1062">
        <v>12</v>
      </c>
      <c r="AT1062" t="s">
        <v>327</v>
      </c>
      <c r="AV1062" t="s">
        <v>1643</v>
      </c>
    </row>
    <row r="1063" spans="1:48" x14ac:dyDescent="0.25">
      <c r="A1063" t="s">
        <v>3323</v>
      </c>
      <c r="B1063" t="s">
        <v>302</v>
      </c>
      <c r="C1063" t="s">
        <v>62</v>
      </c>
      <c r="D1063">
        <v>99999</v>
      </c>
      <c r="F1063" s="109">
        <v>14000</v>
      </c>
      <c r="G1063" t="b">
        <v>1</v>
      </c>
      <c r="H1063" t="s">
        <v>337</v>
      </c>
      <c r="K1063" t="s">
        <v>364</v>
      </c>
      <c r="L1063" t="s">
        <v>303</v>
      </c>
      <c r="M1063" t="s">
        <v>323</v>
      </c>
      <c r="N1063" t="s">
        <v>63</v>
      </c>
      <c r="O1063" s="110">
        <v>29.9</v>
      </c>
      <c r="R1063" s="110">
        <v>339.89</v>
      </c>
      <c r="S1063" s="110">
        <v>107.5</v>
      </c>
      <c r="T1063" s="110">
        <v>0</v>
      </c>
      <c r="U1063" s="110">
        <v>42.99</v>
      </c>
      <c r="X1063">
        <v>139.49999999999997</v>
      </c>
      <c r="Y1063">
        <v>49.9</v>
      </c>
      <c r="Z1063">
        <v>49.9</v>
      </c>
      <c r="AA1063">
        <v>0</v>
      </c>
      <c r="AB1063" t="s">
        <v>363</v>
      </c>
      <c r="AF1063" t="s">
        <v>1781</v>
      </c>
      <c r="AG1063" t="s">
        <v>1781</v>
      </c>
      <c r="AH1063" t="s">
        <v>1606</v>
      </c>
      <c r="AI1063">
        <v>99999</v>
      </c>
      <c r="AJ1063">
        <v>99999</v>
      </c>
      <c r="AK1063">
        <v>699</v>
      </c>
      <c r="AL1063" t="b">
        <v>1</v>
      </c>
      <c r="AM1063" t="b">
        <v>1</v>
      </c>
      <c r="AN1063" t="b">
        <v>1</v>
      </c>
      <c r="AO1063">
        <v>99999</v>
      </c>
      <c r="AP1063" t="s">
        <v>64</v>
      </c>
      <c r="AR1063" t="b">
        <v>0</v>
      </c>
      <c r="AS1063">
        <v>12</v>
      </c>
      <c r="AT1063" t="s">
        <v>327</v>
      </c>
      <c r="AV1063" t="s">
        <v>1791</v>
      </c>
    </row>
    <row r="1064" spans="1:48" x14ac:dyDescent="0.25">
      <c r="A1064" t="s">
        <v>3323</v>
      </c>
      <c r="B1064" t="s">
        <v>302</v>
      </c>
      <c r="C1064" t="s">
        <v>62</v>
      </c>
      <c r="D1064">
        <v>99999</v>
      </c>
      <c r="F1064" s="109">
        <v>14000</v>
      </c>
      <c r="G1064" t="b">
        <v>1</v>
      </c>
      <c r="H1064" t="s">
        <v>337</v>
      </c>
      <c r="K1064" t="s">
        <v>364</v>
      </c>
      <c r="L1064" t="s">
        <v>303</v>
      </c>
      <c r="M1064" t="s">
        <v>323</v>
      </c>
      <c r="N1064" t="s">
        <v>63</v>
      </c>
      <c r="O1064" s="110">
        <v>39.9</v>
      </c>
      <c r="R1064" s="110">
        <v>310.59000000000003</v>
      </c>
      <c r="S1064" s="110">
        <v>107.5</v>
      </c>
      <c r="T1064" s="110">
        <v>0</v>
      </c>
      <c r="U1064" s="110">
        <v>34.99</v>
      </c>
      <c r="X1064">
        <v>118.20000000000002</v>
      </c>
      <c r="Y1064">
        <v>49.9</v>
      </c>
      <c r="Z1064">
        <v>49.9</v>
      </c>
      <c r="AA1064">
        <v>0</v>
      </c>
      <c r="AB1064" t="s">
        <v>363</v>
      </c>
      <c r="AF1064" t="s">
        <v>1700</v>
      </c>
      <c r="AG1064" t="s">
        <v>1700</v>
      </c>
      <c r="AH1064" t="s">
        <v>1606</v>
      </c>
      <c r="AI1064">
        <v>99999</v>
      </c>
      <c r="AJ1064">
        <v>99999</v>
      </c>
      <c r="AK1064">
        <v>699</v>
      </c>
      <c r="AL1064" t="b">
        <v>1</v>
      </c>
      <c r="AM1064" t="b">
        <v>1</v>
      </c>
      <c r="AN1064" t="b">
        <v>1</v>
      </c>
      <c r="AO1064">
        <v>99999</v>
      </c>
      <c r="AP1064" t="s">
        <v>64</v>
      </c>
      <c r="AR1064" t="b">
        <v>0</v>
      </c>
      <c r="AS1064">
        <v>12</v>
      </c>
      <c r="AT1064" t="s">
        <v>327</v>
      </c>
      <c r="AV1064" t="s">
        <v>1710</v>
      </c>
    </row>
    <row r="1065" spans="1:48" x14ac:dyDescent="0.25">
      <c r="A1065" t="s">
        <v>3323</v>
      </c>
      <c r="B1065" t="s">
        <v>302</v>
      </c>
      <c r="C1065" t="s">
        <v>62</v>
      </c>
      <c r="D1065">
        <v>99999</v>
      </c>
      <c r="F1065" s="109">
        <v>14000</v>
      </c>
      <c r="G1065" t="b">
        <v>1</v>
      </c>
      <c r="H1065" t="s">
        <v>337</v>
      </c>
      <c r="K1065" t="s">
        <v>364</v>
      </c>
      <c r="L1065" t="s">
        <v>303</v>
      </c>
      <c r="M1065" t="s">
        <v>323</v>
      </c>
      <c r="N1065" t="s">
        <v>63</v>
      </c>
      <c r="O1065" s="110">
        <v>39.9</v>
      </c>
      <c r="R1065" s="110">
        <v>339.89</v>
      </c>
      <c r="S1065" s="110">
        <v>107.5</v>
      </c>
      <c r="T1065" s="110">
        <v>0</v>
      </c>
      <c r="U1065" s="110">
        <v>42.99</v>
      </c>
      <c r="X1065">
        <v>139.49999999999997</v>
      </c>
      <c r="Y1065">
        <v>49.9</v>
      </c>
      <c r="Z1065">
        <v>49.9</v>
      </c>
      <c r="AA1065">
        <v>0</v>
      </c>
      <c r="AB1065" t="s">
        <v>363</v>
      </c>
      <c r="AF1065" t="s">
        <v>1848</v>
      </c>
      <c r="AG1065" t="s">
        <v>1848</v>
      </c>
      <c r="AH1065" t="s">
        <v>1606</v>
      </c>
      <c r="AI1065">
        <v>99999</v>
      </c>
      <c r="AJ1065">
        <v>99999</v>
      </c>
      <c r="AK1065">
        <v>699</v>
      </c>
      <c r="AL1065" t="b">
        <v>1</v>
      </c>
      <c r="AM1065" t="b">
        <v>1</v>
      </c>
      <c r="AN1065" t="b">
        <v>1</v>
      </c>
      <c r="AO1065">
        <v>99999</v>
      </c>
      <c r="AP1065" t="s">
        <v>64</v>
      </c>
      <c r="AR1065" t="b">
        <v>0</v>
      </c>
      <c r="AS1065">
        <v>12</v>
      </c>
      <c r="AT1065" t="s">
        <v>327</v>
      </c>
      <c r="AV1065" t="s">
        <v>1858</v>
      </c>
    </row>
    <row r="1066" spans="1:48" x14ac:dyDescent="0.25">
      <c r="A1066" t="s">
        <v>3323</v>
      </c>
      <c r="B1066" t="s">
        <v>302</v>
      </c>
      <c r="C1066" t="s">
        <v>62</v>
      </c>
      <c r="D1066">
        <v>99999</v>
      </c>
      <c r="F1066" s="109">
        <v>14000</v>
      </c>
      <c r="G1066" t="b">
        <v>1</v>
      </c>
      <c r="H1066" t="s">
        <v>337</v>
      </c>
      <c r="K1066" t="s">
        <v>364</v>
      </c>
      <c r="L1066" t="s">
        <v>303</v>
      </c>
      <c r="M1066" t="s">
        <v>323</v>
      </c>
      <c r="N1066" t="s">
        <v>63</v>
      </c>
      <c r="O1066" s="110">
        <v>49.9</v>
      </c>
      <c r="R1066" s="110">
        <v>333.09000000000003</v>
      </c>
      <c r="S1066" s="110">
        <v>130</v>
      </c>
      <c r="T1066" s="110">
        <v>0</v>
      </c>
      <c r="U1066" s="110">
        <v>34.99</v>
      </c>
      <c r="X1066">
        <v>118.20000000000002</v>
      </c>
      <c r="Y1066">
        <v>49.9</v>
      </c>
      <c r="Z1066">
        <v>49.9</v>
      </c>
      <c r="AA1066">
        <v>0</v>
      </c>
      <c r="AB1066" t="s">
        <v>363</v>
      </c>
      <c r="AF1066" t="s">
        <v>3060</v>
      </c>
      <c r="AG1066" t="s">
        <v>3060</v>
      </c>
      <c r="AH1066" t="s">
        <v>1606</v>
      </c>
      <c r="AI1066">
        <v>99999</v>
      </c>
      <c r="AJ1066">
        <v>99999</v>
      </c>
      <c r="AK1066">
        <v>699</v>
      </c>
      <c r="AL1066" t="b">
        <v>1</v>
      </c>
      <c r="AM1066" t="b">
        <v>1</v>
      </c>
      <c r="AN1066" t="b">
        <v>1</v>
      </c>
      <c r="AO1066">
        <v>99999</v>
      </c>
      <c r="AP1066" t="s">
        <v>64</v>
      </c>
      <c r="AR1066" t="b">
        <v>0</v>
      </c>
      <c r="AS1066">
        <v>12</v>
      </c>
      <c r="AT1066" t="s">
        <v>327</v>
      </c>
      <c r="AV1066" t="s">
        <v>3070</v>
      </c>
    </row>
    <row r="1067" spans="1:48" x14ac:dyDescent="0.25">
      <c r="A1067" t="s">
        <v>3323</v>
      </c>
      <c r="B1067" t="s">
        <v>302</v>
      </c>
      <c r="C1067" t="s">
        <v>62</v>
      </c>
      <c r="D1067">
        <v>99999</v>
      </c>
      <c r="F1067" s="109">
        <v>14000</v>
      </c>
      <c r="G1067" t="b">
        <v>1</v>
      </c>
      <c r="H1067" t="s">
        <v>337</v>
      </c>
      <c r="K1067" t="s">
        <v>364</v>
      </c>
      <c r="L1067" t="s">
        <v>303</v>
      </c>
      <c r="M1067" t="s">
        <v>323</v>
      </c>
      <c r="N1067" t="s">
        <v>63</v>
      </c>
      <c r="O1067" s="110">
        <v>49.9</v>
      </c>
      <c r="R1067" s="110">
        <v>362.39</v>
      </c>
      <c r="S1067" s="110">
        <v>130</v>
      </c>
      <c r="T1067" s="110">
        <v>0</v>
      </c>
      <c r="U1067" s="110">
        <v>42.99</v>
      </c>
      <c r="X1067">
        <v>139.49999999999997</v>
      </c>
      <c r="Y1067">
        <v>49.9</v>
      </c>
      <c r="Z1067">
        <v>49.9</v>
      </c>
      <c r="AA1067">
        <v>0</v>
      </c>
      <c r="AB1067" t="s">
        <v>363</v>
      </c>
      <c r="AF1067" t="s">
        <v>3134</v>
      </c>
      <c r="AG1067" t="s">
        <v>3134</v>
      </c>
      <c r="AH1067" t="s">
        <v>1606</v>
      </c>
      <c r="AI1067">
        <v>99999</v>
      </c>
      <c r="AJ1067">
        <v>99999</v>
      </c>
      <c r="AK1067">
        <v>699</v>
      </c>
      <c r="AL1067" t="b">
        <v>1</v>
      </c>
      <c r="AM1067" t="b">
        <v>1</v>
      </c>
      <c r="AN1067" t="b">
        <v>1</v>
      </c>
      <c r="AO1067">
        <v>99999</v>
      </c>
      <c r="AP1067" t="s">
        <v>64</v>
      </c>
      <c r="AR1067" t="b">
        <v>0</v>
      </c>
      <c r="AS1067">
        <v>12</v>
      </c>
      <c r="AT1067" t="s">
        <v>327</v>
      </c>
      <c r="AV1067" t="s">
        <v>3144</v>
      </c>
    </row>
    <row r="1068" spans="1:48" x14ac:dyDescent="0.25">
      <c r="A1068" t="s">
        <v>3323</v>
      </c>
      <c r="B1068" t="s">
        <v>302</v>
      </c>
      <c r="C1068" t="s">
        <v>62</v>
      </c>
      <c r="D1068">
        <v>99999</v>
      </c>
      <c r="F1068" s="109">
        <v>14000</v>
      </c>
      <c r="G1068" t="b">
        <v>1</v>
      </c>
      <c r="H1068" t="s">
        <v>337</v>
      </c>
      <c r="K1068" t="s">
        <v>379</v>
      </c>
      <c r="L1068" t="s">
        <v>303</v>
      </c>
      <c r="M1068" t="s">
        <v>323</v>
      </c>
      <c r="N1068" t="s">
        <v>63</v>
      </c>
      <c r="O1068" s="110">
        <v>29.9</v>
      </c>
      <c r="R1068" s="110">
        <v>320.59000000000003</v>
      </c>
      <c r="S1068" s="110">
        <v>107.5</v>
      </c>
      <c r="T1068" s="110">
        <v>0</v>
      </c>
      <c r="U1068" s="110">
        <v>34.99</v>
      </c>
      <c r="X1068">
        <v>118.20000000000002</v>
      </c>
      <c r="Y1068">
        <v>59.9</v>
      </c>
      <c r="Z1068">
        <v>59.9</v>
      </c>
      <c r="AA1068">
        <v>0</v>
      </c>
      <c r="AB1068" t="s">
        <v>363</v>
      </c>
      <c r="AF1068" t="s">
        <v>1633</v>
      </c>
      <c r="AG1068" t="s">
        <v>1633</v>
      </c>
      <c r="AH1068" t="s">
        <v>1606</v>
      </c>
      <c r="AI1068">
        <v>99999</v>
      </c>
      <c r="AJ1068">
        <v>99999</v>
      </c>
      <c r="AK1068">
        <v>699</v>
      </c>
      <c r="AL1068" t="b">
        <v>1</v>
      </c>
      <c r="AM1068" t="b">
        <v>1</v>
      </c>
      <c r="AN1068" t="b">
        <v>1</v>
      </c>
      <c r="AO1068">
        <v>99999</v>
      </c>
      <c r="AP1068" t="s">
        <v>64</v>
      </c>
      <c r="AR1068" t="b">
        <v>0</v>
      </c>
      <c r="AS1068">
        <v>12</v>
      </c>
      <c r="AT1068" t="s">
        <v>327</v>
      </c>
      <c r="AV1068" t="s">
        <v>1656</v>
      </c>
    </row>
    <row r="1069" spans="1:48" x14ac:dyDescent="0.25">
      <c r="A1069" t="s">
        <v>3323</v>
      </c>
      <c r="B1069" t="s">
        <v>302</v>
      </c>
      <c r="C1069" t="s">
        <v>62</v>
      </c>
      <c r="D1069">
        <v>99999</v>
      </c>
      <c r="F1069" s="109">
        <v>14000</v>
      </c>
      <c r="G1069" t="b">
        <v>1</v>
      </c>
      <c r="H1069" t="s">
        <v>337</v>
      </c>
      <c r="K1069" t="s">
        <v>379</v>
      </c>
      <c r="L1069" t="s">
        <v>303</v>
      </c>
      <c r="M1069" t="s">
        <v>323</v>
      </c>
      <c r="N1069" t="s">
        <v>63</v>
      </c>
      <c r="O1069" s="110">
        <v>29.9</v>
      </c>
      <c r="R1069" s="110">
        <v>349.89</v>
      </c>
      <c r="S1069" s="110">
        <v>107.5</v>
      </c>
      <c r="T1069" s="110">
        <v>0</v>
      </c>
      <c r="U1069" s="110">
        <v>42.99</v>
      </c>
      <c r="X1069">
        <v>139.49999999999997</v>
      </c>
      <c r="Y1069">
        <v>59.9</v>
      </c>
      <c r="Z1069">
        <v>59.9</v>
      </c>
      <c r="AA1069">
        <v>0</v>
      </c>
      <c r="AB1069" t="s">
        <v>363</v>
      </c>
      <c r="AF1069" t="s">
        <v>1781</v>
      </c>
      <c r="AG1069" t="s">
        <v>1781</v>
      </c>
      <c r="AH1069" t="s">
        <v>1606</v>
      </c>
      <c r="AI1069">
        <v>99999</v>
      </c>
      <c r="AJ1069">
        <v>99999</v>
      </c>
      <c r="AK1069">
        <v>699</v>
      </c>
      <c r="AL1069" t="b">
        <v>1</v>
      </c>
      <c r="AM1069" t="b">
        <v>1</v>
      </c>
      <c r="AN1069" t="b">
        <v>1</v>
      </c>
      <c r="AO1069">
        <v>99999</v>
      </c>
      <c r="AP1069" t="s">
        <v>64</v>
      </c>
      <c r="AR1069" t="b">
        <v>0</v>
      </c>
      <c r="AS1069">
        <v>12</v>
      </c>
      <c r="AT1069" t="s">
        <v>327</v>
      </c>
      <c r="AV1069" t="s">
        <v>1804</v>
      </c>
    </row>
    <row r="1070" spans="1:48" x14ac:dyDescent="0.25">
      <c r="A1070" t="s">
        <v>3323</v>
      </c>
      <c r="B1070" t="s">
        <v>302</v>
      </c>
      <c r="C1070" t="s">
        <v>62</v>
      </c>
      <c r="D1070">
        <v>99999</v>
      </c>
      <c r="F1070" s="109">
        <v>14000</v>
      </c>
      <c r="G1070" t="b">
        <v>1</v>
      </c>
      <c r="H1070" t="s">
        <v>337</v>
      </c>
      <c r="K1070" t="s">
        <v>379</v>
      </c>
      <c r="L1070" t="s">
        <v>303</v>
      </c>
      <c r="M1070" t="s">
        <v>323</v>
      </c>
      <c r="N1070" t="s">
        <v>63</v>
      </c>
      <c r="O1070" s="110">
        <v>39.9</v>
      </c>
      <c r="R1070" s="110">
        <v>320.59000000000003</v>
      </c>
      <c r="S1070" s="110">
        <v>107.5</v>
      </c>
      <c r="T1070" s="110">
        <v>0</v>
      </c>
      <c r="U1070" s="110">
        <v>34.99</v>
      </c>
      <c r="X1070">
        <v>118.20000000000002</v>
      </c>
      <c r="Y1070">
        <v>59.9</v>
      </c>
      <c r="Z1070">
        <v>59.9</v>
      </c>
      <c r="AA1070">
        <v>0</v>
      </c>
      <c r="AB1070" t="s">
        <v>363</v>
      </c>
      <c r="AF1070" t="s">
        <v>1700</v>
      </c>
      <c r="AG1070" t="s">
        <v>1700</v>
      </c>
      <c r="AH1070" t="s">
        <v>1606</v>
      </c>
      <c r="AI1070">
        <v>99999</v>
      </c>
      <c r="AJ1070">
        <v>99999</v>
      </c>
      <c r="AK1070">
        <v>699</v>
      </c>
      <c r="AL1070" t="b">
        <v>1</v>
      </c>
      <c r="AM1070" t="b">
        <v>1</v>
      </c>
      <c r="AN1070" t="b">
        <v>1</v>
      </c>
      <c r="AO1070">
        <v>99999</v>
      </c>
      <c r="AP1070" t="s">
        <v>64</v>
      </c>
      <c r="AR1070" t="b">
        <v>0</v>
      </c>
      <c r="AS1070">
        <v>12</v>
      </c>
      <c r="AT1070" t="s">
        <v>327</v>
      </c>
      <c r="AV1070" t="s">
        <v>1723</v>
      </c>
    </row>
    <row r="1071" spans="1:48" x14ac:dyDescent="0.25">
      <c r="A1071" t="s">
        <v>3323</v>
      </c>
      <c r="B1071" t="s">
        <v>302</v>
      </c>
      <c r="C1071" t="s">
        <v>62</v>
      </c>
      <c r="D1071">
        <v>99999</v>
      </c>
      <c r="F1071" s="109">
        <v>14000</v>
      </c>
      <c r="G1071" t="b">
        <v>1</v>
      </c>
      <c r="H1071" t="s">
        <v>337</v>
      </c>
      <c r="K1071" t="s">
        <v>379</v>
      </c>
      <c r="L1071" t="s">
        <v>303</v>
      </c>
      <c r="M1071" t="s">
        <v>323</v>
      </c>
      <c r="N1071" t="s">
        <v>63</v>
      </c>
      <c r="O1071" s="110">
        <v>39.9</v>
      </c>
      <c r="R1071" s="110">
        <v>349.89</v>
      </c>
      <c r="S1071" s="110">
        <v>107.5</v>
      </c>
      <c r="T1071" s="110">
        <v>0</v>
      </c>
      <c r="U1071" s="110">
        <v>42.99</v>
      </c>
      <c r="X1071">
        <v>139.49999999999997</v>
      </c>
      <c r="Y1071">
        <v>59.9</v>
      </c>
      <c r="Z1071">
        <v>59.9</v>
      </c>
      <c r="AA1071">
        <v>0</v>
      </c>
      <c r="AB1071" t="s">
        <v>363</v>
      </c>
      <c r="AF1071" t="s">
        <v>1848</v>
      </c>
      <c r="AG1071" t="s">
        <v>1848</v>
      </c>
      <c r="AH1071" t="s">
        <v>1606</v>
      </c>
      <c r="AI1071">
        <v>99999</v>
      </c>
      <c r="AJ1071">
        <v>99999</v>
      </c>
      <c r="AK1071">
        <v>699</v>
      </c>
      <c r="AL1071" t="b">
        <v>1</v>
      </c>
      <c r="AM1071" t="b">
        <v>1</v>
      </c>
      <c r="AN1071" t="b">
        <v>1</v>
      </c>
      <c r="AO1071">
        <v>99999</v>
      </c>
      <c r="AP1071" t="s">
        <v>64</v>
      </c>
      <c r="AR1071" t="b">
        <v>0</v>
      </c>
      <c r="AS1071">
        <v>12</v>
      </c>
      <c r="AT1071" t="s">
        <v>327</v>
      </c>
      <c r="AV1071" t="s">
        <v>1871</v>
      </c>
    </row>
    <row r="1072" spans="1:48" x14ac:dyDescent="0.25">
      <c r="A1072" t="s">
        <v>3323</v>
      </c>
      <c r="B1072" t="s">
        <v>302</v>
      </c>
      <c r="C1072" t="s">
        <v>62</v>
      </c>
      <c r="D1072">
        <v>99999</v>
      </c>
      <c r="F1072" s="109">
        <v>14000</v>
      </c>
      <c r="G1072" t="b">
        <v>1</v>
      </c>
      <c r="H1072" t="s">
        <v>337</v>
      </c>
      <c r="K1072" t="s">
        <v>379</v>
      </c>
      <c r="L1072" t="s">
        <v>303</v>
      </c>
      <c r="M1072" t="s">
        <v>323</v>
      </c>
      <c r="N1072" t="s">
        <v>63</v>
      </c>
      <c r="O1072" s="110">
        <v>49.9</v>
      </c>
      <c r="R1072" s="110">
        <v>343.09000000000003</v>
      </c>
      <c r="S1072" s="110">
        <v>130</v>
      </c>
      <c r="T1072" s="110">
        <v>0</v>
      </c>
      <c r="U1072" s="110">
        <v>34.99</v>
      </c>
      <c r="X1072">
        <v>118.20000000000002</v>
      </c>
      <c r="Y1072">
        <v>59.9</v>
      </c>
      <c r="Z1072">
        <v>59.9</v>
      </c>
      <c r="AA1072">
        <v>0</v>
      </c>
      <c r="AB1072" t="s">
        <v>363</v>
      </c>
      <c r="AF1072" t="s">
        <v>3060</v>
      </c>
      <c r="AG1072" t="s">
        <v>3060</v>
      </c>
      <c r="AH1072" t="s">
        <v>1606</v>
      </c>
      <c r="AI1072">
        <v>99999</v>
      </c>
      <c r="AJ1072">
        <v>99999</v>
      </c>
      <c r="AK1072">
        <v>699</v>
      </c>
      <c r="AL1072" t="b">
        <v>1</v>
      </c>
      <c r="AM1072" t="b">
        <v>1</v>
      </c>
      <c r="AN1072" t="b">
        <v>1</v>
      </c>
      <c r="AO1072">
        <v>99999</v>
      </c>
      <c r="AP1072" t="s">
        <v>64</v>
      </c>
      <c r="AR1072" t="b">
        <v>0</v>
      </c>
      <c r="AS1072">
        <v>12</v>
      </c>
      <c r="AT1072" t="s">
        <v>327</v>
      </c>
      <c r="AV1072" t="s">
        <v>3083</v>
      </c>
    </row>
    <row r="1073" spans="1:48" x14ac:dyDescent="0.25">
      <c r="A1073" t="s">
        <v>3323</v>
      </c>
      <c r="B1073" t="s">
        <v>302</v>
      </c>
      <c r="C1073" t="s">
        <v>62</v>
      </c>
      <c r="D1073">
        <v>99999</v>
      </c>
      <c r="F1073" s="109">
        <v>14000</v>
      </c>
      <c r="G1073" t="b">
        <v>1</v>
      </c>
      <c r="H1073" t="s">
        <v>337</v>
      </c>
      <c r="K1073" t="s">
        <v>379</v>
      </c>
      <c r="L1073" t="s">
        <v>303</v>
      </c>
      <c r="M1073" t="s">
        <v>323</v>
      </c>
      <c r="N1073" t="s">
        <v>63</v>
      </c>
      <c r="O1073" s="110">
        <v>49.9</v>
      </c>
      <c r="R1073" s="110">
        <v>372.39</v>
      </c>
      <c r="S1073" s="110">
        <v>130</v>
      </c>
      <c r="T1073" s="110">
        <v>0</v>
      </c>
      <c r="U1073" s="110">
        <v>42.99</v>
      </c>
      <c r="X1073">
        <v>139.49999999999997</v>
      </c>
      <c r="Y1073">
        <v>59.9</v>
      </c>
      <c r="Z1073">
        <v>59.9</v>
      </c>
      <c r="AA1073">
        <v>0</v>
      </c>
      <c r="AB1073" t="s">
        <v>363</v>
      </c>
      <c r="AF1073" t="s">
        <v>3134</v>
      </c>
      <c r="AG1073" t="s">
        <v>3134</v>
      </c>
      <c r="AH1073" t="s">
        <v>1606</v>
      </c>
      <c r="AI1073">
        <v>99999</v>
      </c>
      <c r="AJ1073">
        <v>99999</v>
      </c>
      <c r="AK1073">
        <v>699</v>
      </c>
      <c r="AL1073" t="b">
        <v>1</v>
      </c>
      <c r="AM1073" t="b">
        <v>1</v>
      </c>
      <c r="AN1073" t="b">
        <v>1</v>
      </c>
      <c r="AO1073">
        <v>99999</v>
      </c>
      <c r="AP1073" t="s">
        <v>64</v>
      </c>
      <c r="AR1073" t="b">
        <v>0</v>
      </c>
      <c r="AS1073">
        <v>12</v>
      </c>
      <c r="AT1073" t="s">
        <v>327</v>
      </c>
      <c r="AV1073" t="s">
        <v>3157</v>
      </c>
    </row>
    <row r="1074" spans="1:48" x14ac:dyDescent="0.25">
      <c r="A1074" t="s">
        <v>3323</v>
      </c>
      <c r="B1074" t="s">
        <v>302</v>
      </c>
      <c r="C1074" t="s">
        <v>62</v>
      </c>
      <c r="D1074">
        <v>99999</v>
      </c>
      <c r="F1074" s="109">
        <v>14000</v>
      </c>
      <c r="G1074" t="b">
        <v>1</v>
      </c>
      <c r="H1074" t="s">
        <v>337</v>
      </c>
      <c r="K1074" t="s">
        <v>61</v>
      </c>
      <c r="L1074" t="s">
        <v>303</v>
      </c>
      <c r="M1074" t="s">
        <v>323</v>
      </c>
      <c r="N1074" t="s">
        <v>63</v>
      </c>
      <c r="O1074" s="110">
        <v>29.9</v>
      </c>
      <c r="R1074" s="110">
        <v>305.59000000000003</v>
      </c>
      <c r="S1074" s="110">
        <v>107.5</v>
      </c>
      <c r="T1074" s="110">
        <v>0</v>
      </c>
      <c r="U1074" s="110">
        <v>34.99</v>
      </c>
      <c r="X1074">
        <v>118.20000000000002</v>
      </c>
      <c r="Y1074">
        <v>44.9</v>
      </c>
      <c r="Z1074">
        <v>44.9</v>
      </c>
      <c r="AA1074">
        <v>0</v>
      </c>
      <c r="AB1074" t="s">
        <v>324</v>
      </c>
      <c r="AF1074" t="s">
        <v>1605</v>
      </c>
      <c r="AG1074" t="s">
        <v>1605</v>
      </c>
      <c r="AH1074" t="s">
        <v>1606</v>
      </c>
      <c r="AI1074">
        <v>99999</v>
      </c>
      <c r="AJ1074">
        <v>99999</v>
      </c>
      <c r="AK1074">
        <v>699</v>
      </c>
      <c r="AL1074" t="b">
        <v>1</v>
      </c>
      <c r="AM1074" t="b">
        <v>1</v>
      </c>
      <c r="AN1074" t="b">
        <v>1</v>
      </c>
      <c r="AO1074">
        <v>99999</v>
      </c>
      <c r="AP1074" t="s">
        <v>64</v>
      </c>
      <c r="AR1074" t="b">
        <v>0</v>
      </c>
      <c r="AS1074">
        <v>12</v>
      </c>
      <c r="AT1074" t="s">
        <v>327</v>
      </c>
      <c r="AV1074" t="s">
        <v>1616</v>
      </c>
    </row>
    <row r="1075" spans="1:48" x14ac:dyDescent="0.25">
      <c r="A1075" t="s">
        <v>3323</v>
      </c>
      <c r="B1075" t="s">
        <v>302</v>
      </c>
      <c r="C1075" t="s">
        <v>62</v>
      </c>
      <c r="D1075">
        <v>99999</v>
      </c>
      <c r="F1075" s="109">
        <v>14000</v>
      </c>
      <c r="G1075" t="b">
        <v>1</v>
      </c>
      <c r="H1075" t="s">
        <v>337</v>
      </c>
      <c r="K1075" t="s">
        <v>61</v>
      </c>
      <c r="L1075" t="s">
        <v>303</v>
      </c>
      <c r="M1075" t="s">
        <v>323</v>
      </c>
      <c r="N1075" t="s">
        <v>63</v>
      </c>
      <c r="O1075" s="110">
        <v>29.9</v>
      </c>
      <c r="R1075" s="110">
        <v>334.89</v>
      </c>
      <c r="S1075" s="110">
        <v>107.5</v>
      </c>
      <c r="T1075" s="110">
        <v>0</v>
      </c>
      <c r="U1075" s="110">
        <v>42.99</v>
      </c>
      <c r="X1075">
        <v>139.49999999999997</v>
      </c>
      <c r="Y1075">
        <v>44.9</v>
      </c>
      <c r="Z1075">
        <v>44.9</v>
      </c>
      <c r="AA1075">
        <v>0</v>
      </c>
      <c r="AB1075" t="s">
        <v>324</v>
      </c>
      <c r="AF1075" t="s">
        <v>1754</v>
      </c>
      <c r="AG1075" t="s">
        <v>1754</v>
      </c>
      <c r="AH1075" t="s">
        <v>1606</v>
      </c>
      <c r="AI1075">
        <v>99999</v>
      </c>
      <c r="AJ1075">
        <v>99999</v>
      </c>
      <c r="AK1075">
        <v>699</v>
      </c>
      <c r="AL1075" t="b">
        <v>1</v>
      </c>
      <c r="AM1075" t="b">
        <v>1</v>
      </c>
      <c r="AN1075" t="b">
        <v>1</v>
      </c>
      <c r="AO1075">
        <v>99999</v>
      </c>
      <c r="AP1075" t="s">
        <v>64</v>
      </c>
      <c r="AR1075" t="b">
        <v>0</v>
      </c>
      <c r="AS1075">
        <v>12</v>
      </c>
      <c r="AT1075" t="s">
        <v>327</v>
      </c>
      <c r="AV1075" t="s">
        <v>1764</v>
      </c>
    </row>
    <row r="1076" spans="1:48" x14ac:dyDescent="0.25">
      <c r="A1076" t="s">
        <v>3323</v>
      </c>
      <c r="B1076" t="s">
        <v>302</v>
      </c>
      <c r="C1076" t="s">
        <v>62</v>
      </c>
      <c r="D1076">
        <v>99999</v>
      </c>
      <c r="F1076" s="109">
        <v>14000</v>
      </c>
      <c r="G1076" t="b">
        <v>1</v>
      </c>
      <c r="H1076" t="s">
        <v>337</v>
      </c>
      <c r="K1076" t="s">
        <v>61</v>
      </c>
      <c r="L1076" t="s">
        <v>303</v>
      </c>
      <c r="M1076" t="s">
        <v>323</v>
      </c>
      <c r="N1076" t="s">
        <v>63</v>
      </c>
      <c r="O1076" s="110">
        <v>39.9</v>
      </c>
      <c r="R1076" s="110">
        <v>305.59000000000003</v>
      </c>
      <c r="S1076" s="110">
        <v>107.5</v>
      </c>
      <c r="T1076" s="110">
        <v>0</v>
      </c>
      <c r="U1076" s="110">
        <v>34.99</v>
      </c>
      <c r="X1076">
        <v>118.20000000000002</v>
      </c>
      <c r="Y1076">
        <v>44.9</v>
      </c>
      <c r="Z1076">
        <v>44.9</v>
      </c>
      <c r="AA1076">
        <v>0</v>
      </c>
      <c r="AB1076" t="s">
        <v>324</v>
      </c>
      <c r="AF1076" t="s">
        <v>1673</v>
      </c>
      <c r="AG1076" t="s">
        <v>1673</v>
      </c>
      <c r="AH1076" t="s">
        <v>1606</v>
      </c>
      <c r="AI1076">
        <v>99999</v>
      </c>
      <c r="AJ1076">
        <v>99999</v>
      </c>
      <c r="AK1076">
        <v>699</v>
      </c>
      <c r="AL1076" t="b">
        <v>1</v>
      </c>
      <c r="AM1076" t="b">
        <v>1</v>
      </c>
      <c r="AN1076" t="b">
        <v>1</v>
      </c>
      <c r="AO1076">
        <v>99999</v>
      </c>
      <c r="AP1076" t="s">
        <v>64</v>
      </c>
      <c r="AR1076" t="b">
        <v>0</v>
      </c>
      <c r="AS1076">
        <v>12</v>
      </c>
      <c r="AT1076" t="s">
        <v>327</v>
      </c>
      <c r="AV1076" t="s">
        <v>1683</v>
      </c>
    </row>
    <row r="1077" spans="1:48" x14ac:dyDescent="0.25">
      <c r="A1077" t="s">
        <v>3323</v>
      </c>
      <c r="B1077" t="s">
        <v>302</v>
      </c>
      <c r="C1077" t="s">
        <v>62</v>
      </c>
      <c r="D1077">
        <v>99999</v>
      </c>
      <c r="F1077" s="109">
        <v>14000</v>
      </c>
      <c r="G1077" t="b">
        <v>1</v>
      </c>
      <c r="H1077" t="s">
        <v>337</v>
      </c>
      <c r="K1077" t="s">
        <v>61</v>
      </c>
      <c r="L1077" t="s">
        <v>303</v>
      </c>
      <c r="M1077" t="s">
        <v>323</v>
      </c>
      <c r="N1077" t="s">
        <v>63</v>
      </c>
      <c r="O1077" s="110">
        <v>39.9</v>
      </c>
      <c r="R1077" s="110">
        <v>334.89</v>
      </c>
      <c r="S1077" s="110">
        <v>107.5</v>
      </c>
      <c r="T1077" s="110">
        <v>0</v>
      </c>
      <c r="U1077" s="110">
        <v>42.99</v>
      </c>
      <c r="X1077">
        <v>139.49999999999997</v>
      </c>
      <c r="Y1077">
        <v>44.9</v>
      </c>
      <c r="Z1077">
        <v>44.9</v>
      </c>
      <c r="AA1077">
        <v>0</v>
      </c>
      <c r="AB1077" t="s">
        <v>324</v>
      </c>
      <c r="AF1077" t="s">
        <v>1821</v>
      </c>
      <c r="AG1077" t="s">
        <v>1821</v>
      </c>
      <c r="AH1077" t="s">
        <v>1606</v>
      </c>
      <c r="AI1077">
        <v>99999</v>
      </c>
      <c r="AJ1077">
        <v>99999</v>
      </c>
      <c r="AK1077">
        <v>699</v>
      </c>
      <c r="AL1077" t="b">
        <v>1</v>
      </c>
      <c r="AM1077" t="b">
        <v>1</v>
      </c>
      <c r="AN1077" t="b">
        <v>1</v>
      </c>
      <c r="AO1077">
        <v>99999</v>
      </c>
      <c r="AP1077" t="s">
        <v>64</v>
      </c>
      <c r="AR1077" t="b">
        <v>0</v>
      </c>
      <c r="AS1077">
        <v>12</v>
      </c>
      <c r="AT1077" t="s">
        <v>327</v>
      </c>
      <c r="AV1077" t="s">
        <v>1831</v>
      </c>
    </row>
    <row r="1078" spans="1:48" x14ac:dyDescent="0.25">
      <c r="A1078" t="s">
        <v>3323</v>
      </c>
      <c r="B1078" t="s">
        <v>302</v>
      </c>
      <c r="C1078" t="s">
        <v>62</v>
      </c>
      <c r="D1078">
        <v>99999</v>
      </c>
      <c r="F1078" s="109">
        <v>14000</v>
      </c>
      <c r="G1078" t="b">
        <v>1</v>
      </c>
      <c r="H1078" t="s">
        <v>337</v>
      </c>
      <c r="K1078" t="s">
        <v>61</v>
      </c>
      <c r="L1078" t="s">
        <v>303</v>
      </c>
      <c r="M1078" t="s">
        <v>323</v>
      </c>
      <c r="N1078" t="s">
        <v>63</v>
      </c>
      <c r="O1078" s="110">
        <v>49.9</v>
      </c>
      <c r="R1078" s="110">
        <v>328.09000000000003</v>
      </c>
      <c r="S1078" s="110">
        <v>130</v>
      </c>
      <c r="T1078" s="110">
        <v>0</v>
      </c>
      <c r="U1078" s="110">
        <v>34.99</v>
      </c>
      <c r="X1078">
        <v>118.20000000000002</v>
      </c>
      <c r="Y1078">
        <v>44.9</v>
      </c>
      <c r="Z1078">
        <v>44.9</v>
      </c>
      <c r="AA1078">
        <v>0</v>
      </c>
      <c r="AB1078" t="s">
        <v>324</v>
      </c>
      <c r="AF1078" t="s">
        <v>3033</v>
      </c>
      <c r="AG1078" t="s">
        <v>3033</v>
      </c>
      <c r="AH1078" t="s">
        <v>1606</v>
      </c>
      <c r="AI1078">
        <v>99999</v>
      </c>
      <c r="AJ1078">
        <v>99999</v>
      </c>
      <c r="AK1078">
        <v>699</v>
      </c>
      <c r="AL1078" t="b">
        <v>1</v>
      </c>
      <c r="AM1078" t="b">
        <v>1</v>
      </c>
      <c r="AN1078" t="b">
        <v>1</v>
      </c>
      <c r="AO1078">
        <v>99999</v>
      </c>
      <c r="AP1078" t="s">
        <v>64</v>
      </c>
      <c r="AR1078" t="b">
        <v>0</v>
      </c>
      <c r="AS1078">
        <v>12</v>
      </c>
      <c r="AT1078" t="s">
        <v>327</v>
      </c>
      <c r="AV1078" t="s">
        <v>3043</v>
      </c>
    </row>
    <row r="1079" spans="1:48" x14ac:dyDescent="0.25">
      <c r="A1079" t="s">
        <v>3323</v>
      </c>
      <c r="B1079" t="s">
        <v>302</v>
      </c>
      <c r="C1079" t="s">
        <v>62</v>
      </c>
      <c r="D1079">
        <v>99999</v>
      </c>
      <c r="F1079" s="109">
        <v>14000</v>
      </c>
      <c r="G1079" t="b">
        <v>1</v>
      </c>
      <c r="H1079" t="s">
        <v>337</v>
      </c>
      <c r="K1079" t="s">
        <v>61</v>
      </c>
      <c r="L1079" t="s">
        <v>303</v>
      </c>
      <c r="M1079" t="s">
        <v>323</v>
      </c>
      <c r="N1079" t="s">
        <v>63</v>
      </c>
      <c r="O1079" s="110">
        <v>49.9</v>
      </c>
      <c r="R1079" s="110">
        <v>357.39</v>
      </c>
      <c r="S1079" s="110">
        <v>130</v>
      </c>
      <c r="T1079" s="110">
        <v>0</v>
      </c>
      <c r="U1079" s="110">
        <v>42.99</v>
      </c>
      <c r="X1079">
        <v>139.49999999999997</v>
      </c>
      <c r="Y1079">
        <v>44.9</v>
      </c>
      <c r="Z1079">
        <v>44.9</v>
      </c>
      <c r="AA1079">
        <v>0</v>
      </c>
      <c r="AB1079" t="s">
        <v>324</v>
      </c>
      <c r="AF1079" t="s">
        <v>3107</v>
      </c>
      <c r="AG1079" t="s">
        <v>3107</v>
      </c>
      <c r="AH1079" t="s">
        <v>1606</v>
      </c>
      <c r="AI1079">
        <v>99999</v>
      </c>
      <c r="AJ1079">
        <v>99999</v>
      </c>
      <c r="AK1079">
        <v>699</v>
      </c>
      <c r="AL1079" t="b">
        <v>1</v>
      </c>
      <c r="AM1079" t="b">
        <v>1</v>
      </c>
      <c r="AN1079" t="b">
        <v>1</v>
      </c>
      <c r="AO1079">
        <v>99999</v>
      </c>
      <c r="AP1079" t="s">
        <v>64</v>
      </c>
      <c r="AR1079" t="b">
        <v>0</v>
      </c>
      <c r="AS1079">
        <v>12</v>
      </c>
      <c r="AT1079" t="s">
        <v>327</v>
      </c>
      <c r="AV1079" t="s">
        <v>3117</v>
      </c>
    </row>
    <row r="1080" spans="1:48" x14ac:dyDescent="0.25">
      <c r="A1080" t="s">
        <v>3323</v>
      </c>
      <c r="B1080" t="s">
        <v>302</v>
      </c>
      <c r="C1080" t="s">
        <v>62</v>
      </c>
      <c r="D1080">
        <v>99999</v>
      </c>
      <c r="F1080" s="109">
        <v>14000</v>
      </c>
      <c r="G1080" t="b">
        <v>1</v>
      </c>
      <c r="H1080" t="s">
        <v>341</v>
      </c>
      <c r="K1080" t="s">
        <v>349</v>
      </c>
      <c r="L1080" t="s">
        <v>303</v>
      </c>
      <c r="M1080" t="s">
        <v>323</v>
      </c>
      <c r="N1080" t="s">
        <v>63</v>
      </c>
      <c r="O1080" s="110">
        <v>29.9</v>
      </c>
      <c r="R1080" s="110">
        <v>330.59</v>
      </c>
      <c r="S1080" s="110">
        <v>107.5</v>
      </c>
      <c r="T1080" s="110">
        <v>0</v>
      </c>
      <c r="U1080" s="110">
        <v>34.99</v>
      </c>
      <c r="X1080">
        <v>143.19999999999999</v>
      </c>
      <c r="Y1080">
        <v>44.9</v>
      </c>
      <c r="Z1080">
        <v>44.9</v>
      </c>
      <c r="AA1080">
        <v>0</v>
      </c>
      <c r="AB1080" t="s">
        <v>324</v>
      </c>
      <c r="AF1080" t="s">
        <v>1605</v>
      </c>
      <c r="AG1080" t="s">
        <v>1605</v>
      </c>
      <c r="AH1080" t="s">
        <v>1606</v>
      </c>
      <c r="AI1080">
        <v>99999</v>
      </c>
      <c r="AJ1080">
        <v>99999</v>
      </c>
      <c r="AK1080">
        <v>699</v>
      </c>
      <c r="AL1080" t="b">
        <v>1</v>
      </c>
      <c r="AM1080" t="b">
        <v>1</v>
      </c>
      <c r="AN1080" t="b">
        <v>1</v>
      </c>
      <c r="AO1080">
        <v>99999</v>
      </c>
      <c r="AP1080" t="s">
        <v>64</v>
      </c>
      <c r="AR1080" t="b">
        <v>0</v>
      </c>
      <c r="AS1080">
        <v>12</v>
      </c>
      <c r="AT1080" t="s">
        <v>327</v>
      </c>
      <c r="AV1080" t="s">
        <v>1631</v>
      </c>
    </row>
    <row r="1081" spans="1:48" x14ac:dyDescent="0.25">
      <c r="A1081" t="s">
        <v>3323</v>
      </c>
      <c r="B1081" t="s">
        <v>302</v>
      </c>
      <c r="C1081" t="s">
        <v>62</v>
      </c>
      <c r="D1081">
        <v>99999</v>
      </c>
      <c r="F1081" s="109">
        <v>14000</v>
      </c>
      <c r="G1081" t="b">
        <v>1</v>
      </c>
      <c r="H1081" t="s">
        <v>341</v>
      </c>
      <c r="K1081" t="s">
        <v>349</v>
      </c>
      <c r="L1081" t="s">
        <v>303</v>
      </c>
      <c r="M1081" t="s">
        <v>323</v>
      </c>
      <c r="N1081" t="s">
        <v>63</v>
      </c>
      <c r="O1081" s="110">
        <v>29.9</v>
      </c>
      <c r="R1081" s="110">
        <v>359.88999999999993</v>
      </c>
      <c r="S1081" s="110">
        <v>107.5</v>
      </c>
      <c r="T1081" s="110">
        <v>0</v>
      </c>
      <c r="U1081" s="110">
        <v>42.99</v>
      </c>
      <c r="X1081">
        <v>164.49999999999994</v>
      </c>
      <c r="Y1081">
        <v>44.9</v>
      </c>
      <c r="Z1081">
        <v>44.9</v>
      </c>
      <c r="AA1081">
        <v>0</v>
      </c>
      <c r="AB1081" t="s">
        <v>324</v>
      </c>
      <c r="AF1081" t="s">
        <v>1754</v>
      </c>
      <c r="AG1081" t="s">
        <v>1754</v>
      </c>
      <c r="AH1081" t="s">
        <v>1606</v>
      </c>
      <c r="AI1081">
        <v>99999</v>
      </c>
      <c r="AJ1081">
        <v>99999</v>
      </c>
      <c r="AK1081">
        <v>699</v>
      </c>
      <c r="AL1081" t="b">
        <v>1</v>
      </c>
      <c r="AM1081" t="b">
        <v>1</v>
      </c>
      <c r="AN1081" t="b">
        <v>1</v>
      </c>
      <c r="AO1081">
        <v>99999</v>
      </c>
      <c r="AP1081" t="s">
        <v>64</v>
      </c>
      <c r="AR1081" t="b">
        <v>0</v>
      </c>
      <c r="AS1081">
        <v>12</v>
      </c>
      <c r="AT1081" t="s">
        <v>327</v>
      </c>
      <c r="AV1081" t="s">
        <v>1779</v>
      </c>
    </row>
    <row r="1082" spans="1:48" x14ac:dyDescent="0.25">
      <c r="A1082" t="s">
        <v>3323</v>
      </c>
      <c r="B1082" t="s">
        <v>302</v>
      </c>
      <c r="C1082" t="s">
        <v>62</v>
      </c>
      <c r="D1082">
        <v>99999</v>
      </c>
      <c r="F1082" s="109">
        <v>14000</v>
      </c>
      <c r="G1082" t="b">
        <v>1</v>
      </c>
      <c r="H1082" t="s">
        <v>341</v>
      </c>
      <c r="K1082" t="s">
        <v>349</v>
      </c>
      <c r="L1082" t="s">
        <v>303</v>
      </c>
      <c r="M1082" t="s">
        <v>323</v>
      </c>
      <c r="N1082" t="s">
        <v>63</v>
      </c>
      <c r="O1082" s="110">
        <v>39.9</v>
      </c>
      <c r="R1082" s="110">
        <v>330.59</v>
      </c>
      <c r="S1082" s="110">
        <v>107.5</v>
      </c>
      <c r="T1082" s="110">
        <v>0</v>
      </c>
      <c r="U1082" s="110">
        <v>34.99</v>
      </c>
      <c r="X1082">
        <v>143.19999999999999</v>
      </c>
      <c r="Y1082">
        <v>44.9</v>
      </c>
      <c r="Z1082">
        <v>44.9</v>
      </c>
      <c r="AA1082">
        <v>0</v>
      </c>
      <c r="AB1082" t="s">
        <v>324</v>
      </c>
      <c r="AF1082" t="s">
        <v>1673</v>
      </c>
      <c r="AG1082" t="s">
        <v>1673</v>
      </c>
      <c r="AH1082" t="s">
        <v>1606</v>
      </c>
      <c r="AI1082">
        <v>99999</v>
      </c>
      <c r="AJ1082">
        <v>99999</v>
      </c>
      <c r="AK1082">
        <v>699</v>
      </c>
      <c r="AL1082" t="b">
        <v>1</v>
      </c>
      <c r="AM1082" t="b">
        <v>1</v>
      </c>
      <c r="AN1082" t="b">
        <v>1</v>
      </c>
      <c r="AO1082">
        <v>99999</v>
      </c>
      <c r="AP1082" t="s">
        <v>64</v>
      </c>
      <c r="AR1082" t="b">
        <v>0</v>
      </c>
      <c r="AS1082">
        <v>12</v>
      </c>
      <c r="AT1082" t="s">
        <v>327</v>
      </c>
      <c r="AV1082" t="s">
        <v>1698</v>
      </c>
    </row>
    <row r="1083" spans="1:48" x14ac:dyDescent="0.25">
      <c r="A1083" t="s">
        <v>3323</v>
      </c>
      <c r="B1083" t="s">
        <v>302</v>
      </c>
      <c r="C1083" t="s">
        <v>62</v>
      </c>
      <c r="D1083">
        <v>99999</v>
      </c>
      <c r="F1083" s="109">
        <v>14000</v>
      </c>
      <c r="G1083" t="b">
        <v>1</v>
      </c>
      <c r="H1083" t="s">
        <v>341</v>
      </c>
      <c r="K1083" t="s">
        <v>349</v>
      </c>
      <c r="L1083" t="s">
        <v>303</v>
      </c>
      <c r="M1083" t="s">
        <v>323</v>
      </c>
      <c r="N1083" t="s">
        <v>63</v>
      </c>
      <c r="O1083" s="110">
        <v>39.9</v>
      </c>
      <c r="R1083" s="110">
        <v>359.88999999999993</v>
      </c>
      <c r="S1083" s="110">
        <v>107.5</v>
      </c>
      <c r="T1083" s="110">
        <v>0</v>
      </c>
      <c r="U1083" s="110">
        <v>42.99</v>
      </c>
      <c r="X1083">
        <v>164.49999999999994</v>
      </c>
      <c r="Y1083">
        <v>44.9</v>
      </c>
      <c r="Z1083">
        <v>44.9</v>
      </c>
      <c r="AA1083">
        <v>0</v>
      </c>
      <c r="AB1083" t="s">
        <v>324</v>
      </c>
      <c r="AF1083" t="s">
        <v>1821</v>
      </c>
      <c r="AG1083" t="s">
        <v>1821</v>
      </c>
      <c r="AH1083" t="s">
        <v>1606</v>
      </c>
      <c r="AI1083">
        <v>99999</v>
      </c>
      <c r="AJ1083">
        <v>99999</v>
      </c>
      <c r="AK1083">
        <v>699</v>
      </c>
      <c r="AL1083" t="b">
        <v>1</v>
      </c>
      <c r="AM1083" t="b">
        <v>1</v>
      </c>
      <c r="AN1083" t="b">
        <v>1</v>
      </c>
      <c r="AO1083">
        <v>99999</v>
      </c>
      <c r="AP1083" t="s">
        <v>64</v>
      </c>
      <c r="AR1083" t="b">
        <v>0</v>
      </c>
      <c r="AS1083">
        <v>12</v>
      </c>
      <c r="AT1083" t="s">
        <v>327</v>
      </c>
      <c r="AV1083" t="s">
        <v>1846</v>
      </c>
    </row>
    <row r="1084" spans="1:48" x14ac:dyDescent="0.25">
      <c r="A1084" t="s">
        <v>3323</v>
      </c>
      <c r="B1084" t="s">
        <v>302</v>
      </c>
      <c r="C1084" t="s">
        <v>62</v>
      </c>
      <c r="D1084">
        <v>99999</v>
      </c>
      <c r="F1084" s="109">
        <v>14000</v>
      </c>
      <c r="G1084" t="b">
        <v>1</v>
      </c>
      <c r="H1084" t="s">
        <v>341</v>
      </c>
      <c r="K1084" t="s">
        <v>349</v>
      </c>
      <c r="L1084" t="s">
        <v>303</v>
      </c>
      <c r="M1084" t="s">
        <v>323</v>
      </c>
      <c r="N1084" t="s">
        <v>63</v>
      </c>
      <c r="O1084" s="110">
        <v>49.9</v>
      </c>
      <c r="R1084" s="110">
        <v>353.09</v>
      </c>
      <c r="S1084" s="110">
        <v>130</v>
      </c>
      <c r="T1084" s="110">
        <v>0</v>
      </c>
      <c r="U1084" s="110">
        <v>34.99</v>
      </c>
      <c r="X1084">
        <v>143.19999999999999</v>
      </c>
      <c r="Y1084">
        <v>44.9</v>
      </c>
      <c r="Z1084">
        <v>44.9</v>
      </c>
      <c r="AA1084">
        <v>0</v>
      </c>
      <c r="AB1084" t="s">
        <v>324</v>
      </c>
      <c r="AF1084" t="s">
        <v>3033</v>
      </c>
      <c r="AG1084" t="s">
        <v>3033</v>
      </c>
      <c r="AH1084" t="s">
        <v>1606</v>
      </c>
      <c r="AI1084">
        <v>99999</v>
      </c>
      <c r="AJ1084">
        <v>99999</v>
      </c>
      <c r="AK1084">
        <v>699</v>
      </c>
      <c r="AL1084" t="b">
        <v>1</v>
      </c>
      <c r="AM1084" t="b">
        <v>1</v>
      </c>
      <c r="AN1084" t="b">
        <v>1</v>
      </c>
      <c r="AO1084">
        <v>99999</v>
      </c>
      <c r="AP1084" t="s">
        <v>64</v>
      </c>
      <c r="AR1084" t="b">
        <v>0</v>
      </c>
      <c r="AS1084">
        <v>12</v>
      </c>
      <c r="AT1084" t="s">
        <v>327</v>
      </c>
      <c r="AV1084" t="s">
        <v>3058</v>
      </c>
    </row>
    <row r="1085" spans="1:48" x14ac:dyDescent="0.25">
      <c r="A1085" t="s">
        <v>3323</v>
      </c>
      <c r="B1085" t="s">
        <v>302</v>
      </c>
      <c r="C1085" t="s">
        <v>62</v>
      </c>
      <c r="D1085">
        <v>99999</v>
      </c>
      <c r="F1085" s="109">
        <v>14000</v>
      </c>
      <c r="G1085" t="b">
        <v>1</v>
      </c>
      <c r="H1085" t="s">
        <v>341</v>
      </c>
      <c r="K1085" t="s">
        <v>349</v>
      </c>
      <c r="L1085" t="s">
        <v>303</v>
      </c>
      <c r="M1085" t="s">
        <v>323</v>
      </c>
      <c r="N1085" t="s">
        <v>63</v>
      </c>
      <c r="O1085" s="110">
        <v>49.9</v>
      </c>
      <c r="R1085" s="110">
        <v>382.38999999999993</v>
      </c>
      <c r="S1085" s="110">
        <v>130</v>
      </c>
      <c r="T1085" s="110">
        <v>0</v>
      </c>
      <c r="U1085" s="110">
        <v>42.99</v>
      </c>
      <c r="X1085">
        <v>164.49999999999994</v>
      </c>
      <c r="Y1085">
        <v>44.9</v>
      </c>
      <c r="Z1085">
        <v>44.9</v>
      </c>
      <c r="AA1085">
        <v>0</v>
      </c>
      <c r="AB1085" t="s">
        <v>324</v>
      </c>
      <c r="AF1085" t="s">
        <v>3107</v>
      </c>
      <c r="AG1085" t="s">
        <v>3107</v>
      </c>
      <c r="AH1085" t="s">
        <v>1606</v>
      </c>
      <c r="AI1085">
        <v>99999</v>
      </c>
      <c r="AJ1085">
        <v>99999</v>
      </c>
      <c r="AK1085">
        <v>699</v>
      </c>
      <c r="AL1085" t="b">
        <v>1</v>
      </c>
      <c r="AM1085" t="b">
        <v>1</v>
      </c>
      <c r="AN1085" t="b">
        <v>1</v>
      </c>
      <c r="AO1085">
        <v>99999</v>
      </c>
      <c r="AP1085" t="s">
        <v>64</v>
      </c>
      <c r="AR1085" t="b">
        <v>0</v>
      </c>
      <c r="AS1085">
        <v>12</v>
      </c>
      <c r="AT1085" t="s">
        <v>327</v>
      </c>
      <c r="AV1085" t="s">
        <v>3132</v>
      </c>
    </row>
    <row r="1086" spans="1:48" x14ac:dyDescent="0.25">
      <c r="A1086" t="s">
        <v>3323</v>
      </c>
      <c r="B1086" t="s">
        <v>302</v>
      </c>
      <c r="C1086" t="s">
        <v>62</v>
      </c>
      <c r="D1086">
        <v>99999</v>
      </c>
      <c r="F1086" s="109">
        <v>14000</v>
      </c>
      <c r="G1086" t="b">
        <v>1</v>
      </c>
      <c r="H1086" t="s">
        <v>341</v>
      </c>
      <c r="K1086" t="s">
        <v>393</v>
      </c>
      <c r="L1086" t="s">
        <v>303</v>
      </c>
      <c r="M1086" t="s">
        <v>323</v>
      </c>
      <c r="N1086" t="s">
        <v>63</v>
      </c>
      <c r="O1086" s="110">
        <v>29.9</v>
      </c>
      <c r="R1086" s="110">
        <v>355.59000000000003</v>
      </c>
      <c r="S1086" s="110">
        <v>107.5</v>
      </c>
      <c r="T1086" s="110">
        <v>0</v>
      </c>
      <c r="U1086" s="110">
        <v>34.99</v>
      </c>
      <c r="X1086">
        <v>143.19999999999999</v>
      </c>
      <c r="Y1086">
        <v>69.900000000000006</v>
      </c>
      <c r="Z1086">
        <v>69.900000000000006</v>
      </c>
      <c r="AA1086">
        <v>0</v>
      </c>
      <c r="AB1086" t="s">
        <v>363</v>
      </c>
      <c r="AF1086" t="s">
        <v>1633</v>
      </c>
      <c r="AG1086" t="s">
        <v>1633</v>
      </c>
      <c r="AH1086" t="s">
        <v>1606</v>
      </c>
      <c r="AI1086">
        <v>99999</v>
      </c>
      <c r="AJ1086">
        <v>99999</v>
      </c>
      <c r="AK1086">
        <v>699</v>
      </c>
      <c r="AL1086" t="b">
        <v>1</v>
      </c>
      <c r="AM1086" t="b">
        <v>1</v>
      </c>
      <c r="AN1086" t="b">
        <v>1</v>
      </c>
      <c r="AO1086">
        <v>99999</v>
      </c>
      <c r="AP1086" t="s">
        <v>64</v>
      </c>
      <c r="AR1086" t="b">
        <v>0</v>
      </c>
      <c r="AS1086">
        <v>12</v>
      </c>
      <c r="AT1086" t="s">
        <v>327</v>
      </c>
      <c r="AV1086" t="s">
        <v>1671</v>
      </c>
    </row>
    <row r="1087" spans="1:48" x14ac:dyDescent="0.25">
      <c r="A1087" t="s">
        <v>3323</v>
      </c>
      <c r="B1087" t="s">
        <v>302</v>
      </c>
      <c r="C1087" t="s">
        <v>62</v>
      </c>
      <c r="D1087">
        <v>99999</v>
      </c>
      <c r="F1087" s="109">
        <v>14000</v>
      </c>
      <c r="G1087" t="b">
        <v>1</v>
      </c>
      <c r="H1087" t="s">
        <v>341</v>
      </c>
      <c r="K1087" t="s">
        <v>393</v>
      </c>
      <c r="L1087" t="s">
        <v>303</v>
      </c>
      <c r="M1087" t="s">
        <v>323</v>
      </c>
      <c r="N1087" t="s">
        <v>63</v>
      </c>
      <c r="O1087" s="110">
        <v>29.9</v>
      </c>
      <c r="R1087" s="110">
        <v>384.89</v>
      </c>
      <c r="S1087" s="110">
        <v>107.5</v>
      </c>
      <c r="T1087" s="110">
        <v>0</v>
      </c>
      <c r="U1087" s="110">
        <v>42.99</v>
      </c>
      <c r="X1087">
        <v>164.49999999999994</v>
      </c>
      <c r="Y1087">
        <v>69.900000000000006</v>
      </c>
      <c r="Z1087">
        <v>69.900000000000006</v>
      </c>
      <c r="AA1087">
        <v>0</v>
      </c>
      <c r="AB1087" t="s">
        <v>363</v>
      </c>
      <c r="AF1087" t="s">
        <v>1781</v>
      </c>
      <c r="AG1087" t="s">
        <v>1781</v>
      </c>
      <c r="AH1087" t="s">
        <v>1606</v>
      </c>
      <c r="AI1087">
        <v>99999</v>
      </c>
      <c r="AJ1087">
        <v>99999</v>
      </c>
      <c r="AK1087">
        <v>699</v>
      </c>
      <c r="AL1087" t="b">
        <v>1</v>
      </c>
      <c r="AM1087" t="b">
        <v>1</v>
      </c>
      <c r="AN1087" t="b">
        <v>1</v>
      </c>
      <c r="AO1087">
        <v>99999</v>
      </c>
      <c r="AP1087" t="s">
        <v>64</v>
      </c>
      <c r="AR1087" t="b">
        <v>0</v>
      </c>
      <c r="AS1087">
        <v>12</v>
      </c>
      <c r="AT1087" t="s">
        <v>327</v>
      </c>
      <c r="AV1087" t="s">
        <v>1819</v>
      </c>
    </row>
    <row r="1088" spans="1:48" x14ac:dyDescent="0.25">
      <c r="A1088" t="s">
        <v>3323</v>
      </c>
      <c r="B1088" t="s">
        <v>302</v>
      </c>
      <c r="C1088" t="s">
        <v>62</v>
      </c>
      <c r="D1088">
        <v>99999</v>
      </c>
      <c r="F1088" s="109">
        <v>14000</v>
      </c>
      <c r="G1088" t="b">
        <v>1</v>
      </c>
      <c r="H1088" t="s">
        <v>341</v>
      </c>
      <c r="K1088" t="s">
        <v>393</v>
      </c>
      <c r="L1088" t="s">
        <v>303</v>
      </c>
      <c r="M1088" t="s">
        <v>323</v>
      </c>
      <c r="N1088" t="s">
        <v>63</v>
      </c>
      <c r="O1088" s="110">
        <v>39.9</v>
      </c>
      <c r="R1088" s="110">
        <v>355.59000000000003</v>
      </c>
      <c r="S1088" s="110">
        <v>107.5</v>
      </c>
      <c r="T1088" s="110">
        <v>0</v>
      </c>
      <c r="U1088" s="110">
        <v>34.99</v>
      </c>
      <c r="X1088">
        <v>143.19999999999999</v>
      </c>
      <c r="Y1088">
        <v>69.900000000000006</v>
      </c>
      <c r="Z1088">
        <v>69.900000000000006</v>
      </c>
      <c r="AA1088">
        <v>0</v>
      </c>
      <c r="AB1088" t="s">
        <v>363</v>
      </c>
      <c r="AF1088" t="s">
        <v>1700</v>
      </c>
      <c r="AG1088" t="s">
        <v>1700</v>
      </c>
      <c r="AH1088" t="s">
        <v>1606</v>
      </c>
      <c r="AI1088">
        <v>99999</v>
      </c>
      <c r="AJ1088">
        <v>99999</v>
      </c>
      <c r="AK1088">
        <v>699</v>
      </c>
      <c r="AL1088" t="b">
        <v>1</v>
      </c>
      <c r="AM1088" t="b">
        <v>1</v>
      </c>
      <c r="AN1088" t="b">
        <v>1</v>
      </c>
      <c r="AO1088">
        <v>99999</v>
      </c>
      <c r="AP1088" t="s">
        <v>64</v>
      </c>
      <c r="AR1088" t="b">
        <v>0</v>
      </c>
      <c r="AS1088">
        <v>12</v>
      </c>
      <c r="AT1088" t="s">
        <v>327</v>
      </c>
      <c r="AV1088" t="s">
        <v>1738</v>
      </c>
    </row>
    <row r="1089" spans="1:48" x14ac:dyDescent="0.25">
      <c r="A1089" t="s">
        <v>3323</v>
      </c>
      <c r="B1089" t="s">
        <v>302</v>
      </c>
      <c r="C1089" t="s">
        <v>62</v>
      </c>
      <c r="D1089">
        <v>99999</v>
      </c>
      <c r="F1089" s="109">
        <v>14000</v>
      </c>
      <c r="G1089" t="b">
        <v>1</v>
      </c>
      <c r="H1089" t="s">
        <v>341</v>
      </c>
      <c r="K1089" t="s">
        <v>393</v>
      </c>
      <c r="L1089" t="s">
        <v>303</v>
      </c>
      <c r="M1089" t="s">
        <v>323</v>
      </c>
      <c r="N1089" t="s">
        <v>63</v>
      </c>
      <c r="O1089" s="110">
        <v>39.9</v>
      </c>
      <c r="R1089" s="110">
        <v>384.89</v>
      </c>
      <c r="S1089" s="110">
        <v>107.5</v>
      </c>
      <c r="T1089" s="110">
        <v>0</v>
      </c>
      <c r="U1089" s="110">
        <v>42.99</v>
      </c>
      <c r="X1089">
        <v>164.49999999999994</v>
      </c>
      <c r="Y1089">
        <v>69.900000000000006</v>
      </c>
      <c r="Z1089">
        <v>69.900000000000006</v>
      </c>
      <c r="AA1089">
        <v>0</v>
      </c>
      <c r="AB1089" t="s">
        <v>363</v>
      </c>
      <c r="AF1089" t="s">
        <v>1848</v>
      </c>
      <c r="AG1089" t="s">
        <v>1848</v>
      </c>
      <c r="AH1089" t="s">
        <v>1606</v>
      </c>
      <c r="AI1089">
        <v>99999</v>
      </c>
      <c r="AJ1089">
        <v>99999</v>
      </c>
      <c r="AK1089">
        <v>699</v>
      </c>
      <c r="AL1089" t="b">
        <v>1</v>
      </c>
      <c r="AM1089" t="b">
        <v>1</v>
      </c>
      <c r="AN1089" t="b">
        <v>1</v>
      </c>
      <c r="AO1089">
        <v>99999</v>
      </c>
      <c r="AP1089" t="s">
        <v>64</v>
      </c>
      <c r="AR1089" t="b">
        <v>0</v>
      </c>
      <c r="AS1089">
        <v>12</v>
      </c>
      <c r="AT1089" t="s">
        <v>327</v>
      </c>
      <c r="AV1089" t="s">
        <v>1886</v>
      </c>
    </row>
    <row r="1090" spans="1:48" x14ac:dyDescent="0.25">
      <c r="A1090" t="s">
        <v>3323</v>
      </c>
      <c r="B1090" t="s">
        <v>302</v>
      </c>
      <c r="C1090" t="s">
        <v>62</v>
      </c>
      <c r="D1090">
        <v>99999</v>
      </c>
      <c r="F1090" s="109">
        <v>14000</v>
      </c>
      <c r="G1090" t="b">
        <v>1</v>
      </c>
      <c r="H1090" t="s">
        <v>341</v>
      </c>
      <c r="K1090" t="s">
        <v>393</v>
      </c>
      <c r="L1090" t="s">
        <v>303</v>
      </c>
      <c r="M1090" t="s">
        <v>323</v>
      </c>
      <c r="N1090" t="s">
        <v>63</v>
      </c>
      <c r="O1090" s="110">
        <v>49.9</v>
      </c>
      <c r="R1090" s="110">
        <v>378.09000000000003</v>
      </c>
      <c r="S1090" s="110">
        <v>130</v>
      </c>
      <c r="T1090" s="110">
        <v>0</v>
      </c>
      <c r="U1090" s="110">
        <v>34.99</v>
      </c>
      <c r="X1090">
        <v>143.19999999999999</v>
      </c>
      <c r="Y1090">
        <v>69.900000000000006</v>
      </c>
      <c r="Z1090">
        <v>69.900000000000006</v>
      </c>
      <c r="AA1090">
        <v>0</v>
      </c>
      <c r="AB1090" t="s">
        <v>363</v>
      </c>
      <c r="AF1090" t="s">
        <v>3060</v>
      </c>
      <c r="AG1090" t="s">
        <v>3060</v>
      </c>
      <c r="AH1090" t="s">
        <v>1606</v>
      </c>
      <c r="AI1090">
        <v>99999</v>
      </c>
      <c r="AJ1090">
        <v>99999</v>
      </c>
      <c r="AK1090">
        <v>699</v>
      </c>
      <c r="AL1090" t="b">
        <v>1</v>
      </c>
      <c r="AM1090" t="b">
        <v>1</v>
      </c>
      <c r="AN1090" t="b">
        <v>1</v>
      </c>
      <c r="AO1090">
        <v>99999</v>
      </c>
      <c r="AP1090" t="s">
        <v>64</v>
      </c>
      <c r="AR1090" t="b">
        <v>0</v>
      </c>
      <c r="AS1090">
        <v>12</v>
      </c>
      <c r="AT1090" t="s">
        <v>327</v>
      </c>
      <c r="AV1090" t="s">
        <v>3098</v>
      </c>
    </row>
    <row r="1091" spans="1:48" x14ac:dyDescent="0.25">
      <c r="A1091" t="s">
        <v>3323</v>
      </c>
      <c r="B1091" t="s">
        <v>302</v>
      </c>
      <c r="C1091" t="s">
        <v>62</v>
      </c>
      <c r="D1091">
        <v>99999</v>
      </c>
      <c r="F1091" s="109">
        <v>14000</v>
      </c>
      <c r="G1091" t="b">
        <v>1</v>
      </c>
      <c r="H1091" t="s">
        <v>341</v>
      </c>
      <c r="K1091" t="s">
        <v>393</v>
      </c>
      <c r="L1091" t="s">
        <v>303</v>
      </c>
      <c r="M1091" t="s">
        <v>323</v>
      </c>
      <c r="N1091" t="s">
        <v>63</v>
      </c>
      <c r="O1091" s="110">
        <v>49.9</v>
      </c>
      <c r="R1091" s="110">
        <v>407.39</v>
      </c>
      <c r="S1091" s="110">
        <v>130</v>
      </c>
      <c r="T1091" s="110">
        <v>0</v>
      </c>
      <c r="U1091" s="110">
        <v>42.99</v>
      </c>
      <c r="X1091">
        <v>164.49999999999994</v>
      </c>
      <c r="Y1091">
        <v>69.900000000000006</v>
      </c>
      <c r="Z1091">
        <v>69.900000000000006</v>
      </c>
      <c r="AA1091">
        <v>0</v>
      </c>
      <c r="AB1091" t="s">
        <v>363</v>
      </c>
      <c r="AF1091" t="s">
        <v>3134</v>
      </c>
      <c r="AG1091" t="s">
        <v>3134</v>
      </c>
      <c r="AH1091" t="s">
        <v>1606</v>
      </c>
      <c r="AI1091">
        <v>99999</v>
      </c>
      <c r="AJ1091">
        <v>99999</v>
      </c>
      <c r="AK1091">
        <v>699</v>
      </c>
      <c r="AL1091" t="b">
        <v>1</v>
      </c>
      <c r="AM1091" t="b">
        <v>1</v>
      </c>
      <c r="AN1091" t="b">
        <v>1</v>
      </c>
      <c r="AO1091">
        <v>99999</v>
      </c>
      <c r="AP1091" t="s">
        <v>64</v>
      </c>
      <c r="AR1091" t="b">
        <v>0</v>
      </c>
      <c r="AS1091">
        <v>12</v>
      </c>
      <c r="AT1091" t="s">
        <v>327</v>
      </c>
      <c r="AV1091" t="s">
        <v>3172</v>
      </c>
    </row>
    <row r="1092" spans="1:48" x14ac:dyDescent="0.25">
      <c r="A1092" t="s">
        <v>3323</v>
      </c>
      <c r="B1092" t="s">
        <v>302</v>
      </c>
      <c r="C1092" t="s">
        <v>62</v>
      </c>
      <c r="D1092">
        <v>99999</v>
      </c>
      <c r="F1092" s="109">
        <v>14000</v>
      </c>
      <c r="G1092" t="b">
        <v>1</v>
      </c>
      <c r="H1092" t="s">
        <v>341</v>
      </c>
      <c r="K1092" t="s">
        <v>364</v>
      </c>
      <c r="L1092" t="s">
        <v>303</v>
      </c>
      <c r="M1092" t="s">
        <v>323</v>
      </c>
      <c r="N1092" t="s">
        <v>63</v>
      </c>
      <c r="O1092" s="110">
        <v>29.9</v>
      </c>
      <c r="R1092" s="110">
        <v>335.59</v>
      </c>
      <c r="S1092" s="110">
        <v>107.5</v>
      </c>
      <c r="T1092" s="110">
        <v>0</v>
      </c>
      <c r="U1092" s="110">
        <v>34.99</v>
      </c>
      <c r="X1092">
        <v>143.19999999999999</v>
      </c>
      <c r="Y1092">
        <v>49.9</v>
      </c>
      <c r="Z1092">
        <v>49.9</v>
      </c>
      <c r="AA1092">
        <v>0</v>
      </c>
      <c r="AB1092" t="s">
        <v>363</v>
      </c>
      <c r="AF1092" t="s">
        <v>1633</v>
      </c>
      <c r="AG1092" t="s">
        <v>1633</v>
      </c>
      <c r="AH1092" t="s">
        <v>1606</v>
      </c>
      <c r="AI1092">
        <v>99999</v>
      </c>
      <c r="AJ1092">
        <v>99999</v>
      </c>
      <c r="AK1092">
        <v>699</v>
      </c>
      <c r="AL1092" t="b">
        <v>1</v>
      </c>
      <c r="AM1092" t="b">
        <v>1</v>
      </c>
      <c r="AN1092" t="b">
        <v>1</v>
      </c>
      <c r="AO1092">
        <v>99999</v>
      </c>
      <c r="AP1092" t="s">
        <v>64</v>
      </c>
      <c r="AR1092" t="b">
        <v>0</v>
      </c>
      <c r="AS1092">
        <v>12</v>
      </c>
      <c r="AT1092" t="s">
        <v>327</v>
      </c>
      <c r="AV1092" t="s">
        <v>1645</v>
      </c>
    </row>
    <row r="1093" spans="1:48" x14ac:dyDescent="0.25">
      <c r="A1093" t="s">
        <v>3323</v>
      </c>
      <c r="B1093" t="s">
        <v>302</v>
      </c>
      <c r="C1093" t="s">
        <v>62</v>
      </c>
      <c r="D1093">
        <v>99999</v>
      </c>
      <c r="F1093" s="109">
        <v>14000</v>
      </c>
      <c r="G1093" t="b">
        <v>1</v>
      </c>
      <c r="H1093" t="s">
        <v>341</v>
      </c>
      <c r="K1093" t="s">
        <v>364</v>
      </c>
      <c r="L1093" t="s">
        <v>303</v>
      </c>
      <c r="M1093" t="s">
        <v>323</v>
      </c>
      <c r="N1093" t="s">
        <v>63</v>
      </c>
      <c r="O1093" s="110">
        <v>29.9</v>
      </c>
      <c r="R1093" s="110">
        <v>364.88999999999993</v>
      </c>
      <c r="S1093" s="110">
        <v>107.5</v>
      </c>
      <c r="T1093" s="110">
        <v>0</v>
      </c>
      <c r="U1093" s="110">
        <v>42.99</v>
      </c>
      <c r="X1093">
        <v>164.49999999999994</v>
      </c>
      <c r="Y1093">
        <v>49.9</v>
      </c>
      <c r="Z1093">
        <v>49.9</v>
      </c>
      <c r="AA1093">
        <v>0</v>
      </c>
      <c r="AB1093" t="s">
        <v>363</v>
      </c>
      <c r="AF1093" t="s">
        <v>1781</v>
      </c>
      <c r="AG1093" t="s">
        <v>1781</v>
      </c>
      <c r="AH1093" t="s">
        <v>1606</v>
      </c>
      <c r="AI1093">
        <v>99999</v>
      </c>
      <c r="AJ1093">
        <v>99999</v>
      </c>
      <c r="AK1093">
        <v>699</v>
      </c>
      <c r="AL1093" t="b">
        <v>1</v>
      </c>
      <c r="AM1093" t="b">
        <v>1</v>
      </c>
      <c r="AN1093" t="b">
        <v>1</v>
      </c>
      <c r="AO1093">
        <v>99999</v>
      </c>
      <c r="AP1093" t="s">
        <v>64</v>
      </c>
      <c r="AR1093" t="b">
        <v>0</v>
      </c>
      <c r="AS1093">
        <v>12</v>
      </c>
      <c r="AT1093" t="s">
        <v>327</v>
      </c>
      <c r="AV1093" t="s">
        <v>1793</v>
      </c>
    </row>
    <row r="1094" spans="1:48" x14ac:dyDescent="0.25">
      <c r="A1094" t="s">
        <v>3323</v>
      </c>
      <c r="B1094" t="s">
        <v>302</v>
      </c>
      <c r="C1094" t="s">
        <v>62</v>
      </c>
      <c r="D1094">
        <v>99999</v>
      </c>
      <c r="F1094" s="109">
        <v>14000</v>
      </c>
      <c r="G1094" t="b">
        <v>1</v>
      </c>
      <c r="H1094" t="s">
        <v>341</v>
      </c>
      <c r="K1094" t="s">
        <v>364</v>
      </c>
      <c r="L1094" t="s">
        <v>303</v>
      </c>
      <c r="M1094" t="s">
        <v>323</v>
      </c>
      <c r="N1094" t="s">
        <v>63</v>
      </c>
      <c r="O1094" s="110">
        <v>39.9</v>
      </c>
      <c r="R1094" s="110">
        <v>335.59</v>
      </c>
      <c r="S1094" s="110">
        <v>107.5</v>
      </c>
      <c r="T1094" s="110">
        <v>0</v>
      </c>
      <c r="U1094" s="110">
        <v>34.99</v>
      </c>
      <c r="X1094">
        <v>143.19999999999999</v>
      </c>
      <c r="Y1094">
        <v>49.9</v>
      </c>
      <c r="Z1094">
        <v>49.9</v>
      </c>
      <c r="AA1094">
        <v>0</v>
      </c>
      <c r="AB1094" t="s">
        <v>363</v>
      </c>
      <c r="AF1094" t="s">
        <v>1700</v>
      </c>
      <c r="AG1094" t="s">
        <v>1700</v>
      </c>
      <c r="AH1094" t="s">
        <v>1606</v>
      </c>
      <c r="AI1094">
        <v>99999</v>
      </c>
      <c r="AJ1094">
        <v>99999</v>
      </c>
      <c r="AK1094">
        <v>699</v>
      </c>
      <c r="AL1094" t="b">
        <v>1</v>
      </c>
      <c r="AM1094" t="b">
        <v>1</v>
      </c>
      <c r="AN1094" t="b">
        <v>1</v>
      </c>
      <c r="AO1094">
        <v>99999</v>
      </c>
      <c r="AP1094" t="s">
        <v>64</v>
      </c>
      <c r="AR1094" t="b">
        <v>0</v>
      </c>
      <c r="AS1094">
        <v>12</v>
      </c>
      <c r="AT1094" t="s">
        <v>327</v>
      </c>
      <c r="AV1094" t="s">
        <v>1712</v>
      </c>
    </row>
    <row r="1095" spans="1:48" x14ac:dyDescent="0.25">
      <c r="A1095" t="s">
        <v>3323</v>
      </c>
      <c r="B1095" t="s">
        <v>302</v>
      </c>
      <c r="C1095" t="s">
        <v>62</v>
      </c>
      <c r="D1095">
        <v>99999</v>
      </c>
      <c r="F1095" s="109">
        <v>14000</v>
      </c>
      <c r="G1095" t="b">
        <v>1</v>
      </c>
      <c r="H1095" t="s">
        <v>341</v>
      </c>
      <c r="K1095" t="s">
        <v>364</v>
      </c>
      <c r="L1095" t="s">
        <v>303</v>
      </c>
      <c r="M1095" t="s">
        <v>323</v>
      </c>
      <c r="N1095" t="s">
        <v>63</v>
      </c>
      <c r="O1095" s="110">
        <v>39.9</v>
      </c>
      <c r="R1095" s="110">
        <v>364.88999999999993</v>
      </c>
      <c r="S1095" s="110">
        <v>107.5</v>
      </c>
      <c r="T1095" s="110">
        <v>0</v>
      </c>
      <c r="U1095" s="110">
        <v>42.99</v>
      </c>
      <c r="X1095">
        <v>164.49999999999994</v>
      </c>
      <c r="Y1095">
        <v>49.9</v>
      </c>
      <c r="Z1095">
        <v>49.9</v>
      </c>
      <c r="AA1095">
        <v>0</v>
      </c>
      <c r="AB1095" t="s">
        <v>363</v>
      </c>
      <c r="AF1095" t="s">
        <v>1848</v>
      </c>
      <c r="AG1095" t="s">
        <v>1848</v>
      </c>
      <c r="AH1095" t="s">
        <v>1606</v>
      </c>
      <c r="AI1095">
        <v>99999</v>
      </c>
      <c r="AJ1095">
        <v>99999</v>
      </c>
      <c r="AK1095">
        <v>699</v>
      </c>
      <c r="AL1095" t="b">
        <v>1</v>
      </c>
      <c r="AM1095" t="b">
        <v>1</v>
      </c>
      <c r="AN1095" t="b">
        <v>1</v>
      </c>
      <c r="AO1095">
        <v>99999</v>
      </c>
      <c r="AP1095" t="s">
        <v>64</v>
      </c>
      <c r="AR1095" t="b">
        <v>0</v>
      </c>
      <c r="AS1095">
        <v>12</v>
      </c>
      <c r="AT1095" t="s">
        <v>327</v>
      </c>
      <c r="AV1095" t="s">
        <v>1860</v>
      </c>
    </row>
    <row r="1096" spans="1:48" x14ac:dyDescent="0.25">
      <c r="A1096" t="s">
        <v>3323</v>
      </c>
      <c r="B1096" t="s">
        <v>302</v>
      </c>
      <c r="C1096" t="s">
        <v>62</v>
      </c>
      <c r="D1096">
        <v>99999</v>
      </c>
      <c r="F1096" s="109">
        <v>14000</v>
      </c>
      <c r="G1096" t="b">
        <v>1</v>
      </c>
      <c r="H1096" t="s">
        <v>341</v>
      </c>
      <c r="K1096" t="s">
        <v>364</v>
      </c>
      <c r="L1096" t="s">
        <v>303</v>
      </c>
      <c r="M1096" t="s">
        <v>323</v>
      </c>
      <c r="N1096" t="s">
        <v>63</v>
      </c>
      <c r="O1096" s="110">
        <v>49.9</v>
      </c>
      <c r="R1096" s="110">
        <v>358.09</v>
      </c>
      <c r="S1096" s="110">
        <v>130</v>
      </c>
      <c r="T1096" s="110">
        <v>0</v>
      </c>
      <c r="U1096" s="110">
        <v>34.99</v>
      </c>
      <c r="X1096">
        <v>143.19999999999999</v>
      </c>
      <c r="Y1096">
        <v>49.9</v>
      </c>
      <c r="Z1096">
        <v>49.9</v>
      </c>
      <c r="AA1096">
        <v>0</v>
      </c>
      <c r="AB1096" t="s">
        <v>363</v>
      </c>
      <c r="AF1096" t="s">
        <v>3060</v>
      </c>
      <c r="AG1096" t="s">
        <v>3060</v>
      </c>
      <c r="AH1096" t="s">
        <v>1606</v>
      </c>
      <c r="AI1096">
        <v>99999</v>
      </c>
      <c r="AJ1096">
        <v>99999</v>
      </c>
      <c r="AK1096">
        <v>699</v>
      </c>
      <c r="AL1096" t="b">
        <v>1</v>
      </c>
      <c r="AM1096" t="b">
        <v>1</v>
      </c>
      <c r="AN1096" t="b">
        <v>1</v>
      </c>
      <c r="AO1096">
        <v>99999</v>
      </c>
      <c r="AP1096" t="s">
        <v>64</v>
      </c>
      <c r="AR1096" t="b">
        <v>0</v>
      </c>
      <c r="AS1096">
        <v>12</v>
      </c>
      <c r="AT1096" t="s">
        <v>327</v>
      </c>
      <c r="AV1096" t="s">
        <v>3072</v>
      </c>
    </row>
    <row r="1097" spans="1:48" x14ac:dyDescent="0.25">
      <c r="A1097" t="s">
        <v>3323</v>
      </c>
      <c r="B1097" t="s">
        <v>302</v>
      </c>
      <c r="C1097" t="s">
        <v>62</v>
      </c>
      <c r="D1097">
        <v>99999</v>
      </c>
      <c r="F1097" s="109">
        <v>14000</v>
      </c>
      <c r="G1097" t="b">
        <v>1</v>
      </c>
      <c r="H1097" t="s">
        <v>341</v>
      </c>
      <c r="K1097" t="s">
        <v>364</v>
      </c>
      <c r="L1097" t="s">
        <v>303</v>
      </c>
      <c r="M1097" t="s">
        <v>323</v>
      </c>
      <c r="N1097" t="s">
        <v>63</v>
      </c>
      <c r="O1097" s="110">
        <v>49.9</v>
      </c>
      <c r="R1097" s="110">
        <v>387.38999999999993</v>
      </c>
      <c r="S1097" s="110">
        <v>130</v>
      </c>
      <c r="T1097" s="110">
        <v>0</v>
      </c>
      <c r="U1097" s="110">
        <v>42.99</v>
      </c>
      <c r="X1097">
        <v>164.49999999999994</v>
      </c>
      <c r="Y1097">
        <v>49.9</v>
      </c>
      <c r="Z1097">
        <v>49.9</v>
      </c>
      <c r="AA1097">
        <v>0</v>
      </c>
      <c r="AB1097" t="s">
        <v>363</v>
      </c>
      <c r="AF1097" t="s">
        <v>3134</v>
      </c>
      <c r="AG1097" t="s">
        <v>3134</v>
      </c>
      <c r="AH1097" t="s">
        <v>1606</v>
      </c>
      <c r="AI1097">
        <v>99999</v>
      </c>
      <c r="AJ1097">
        <v>99999</v>
      </c>
      <c r="AK1097">
        <v>699</v>
      </c>
      <c r="AL1097" t="b">
        <v>1</v>
      </c>
      <c r="AM1097" t="b">
        <v>1</v>
      </c>
      <c r="AN1097" t="b">
        <v>1</v>
      </c>
      <c r="AO1097">
        <v>99999</v>
      </c>
      <c r="AP1097" t="s">
        <v>64</v>
      </c>
      <c r="AR1097" t="b">
        <v>0</v>
      </c>
      <c r="AS1097">
        <v>12</v>
      </c>
      <c r="AT1097" t="s">
        <v>327</v>
      </c>
      <c r="AV1097" t="s">
        <v>3146</v>
      </c>
    </row>
    <row r="1098" spans="1:48" x14ac:dyDescent="0.25">
      <c r="A1098" t="s">
        <v>3323</v>
      </c>
      <c r="B1098" t="s">
        <v>302</v>
      </c>
      <c r="C1098" t="s">
        <v>62</v>
      </c>
      <c r="D1098">
        <v>99999</v>
      </c>
      <c r="F1098" s="109">
        <v>14000</v>
      </c>
      <c r="G1098" t="b">
        <v>1</v>
      </c>
      <c r="H1098" t="s">
        <v>341</v>
      </c>
      <c r="K1098" t="s">
        <v>379</v>
      </c>
      <c r="L1098" t="s">
        <v>303</v>
      </c>
      <c r="M1098" t="s">
        <v>323</v>
      </c>
      <c r="N1098" t="s">
        <v>63</v>
      </c>
      <c r="O1098" s="110">
        <v>29.9</v>
      </c>
      <c r="R1098" s="110">
        <v>345.59</v>
      </c>
      <c r="S1098" s="110">
        <v>107.5</v>
      </c>
      <c r="T1098" s="110">
        <v>0</v>
      </c>
      <c r="U1098" s="110">
        <v>34.99</v>
      </c>
      <c r="X1098">
        <v>143.19999999999999</v>
      </c>
      <c r="Y1098">
        <v>59.9</v>
      </c>
      <c r="Z1098">
        <v>59.9</v>
      </c>
      <c r="AA1098">
        <v>0</v>
      </c>
      <c r="AB1098" t="s">
        <v>363</v>
      </c>
      <c r="AF1098" t="s">
        <v>1633</v>
      </c>
      <c r="AG1098" t="s">
        <v>1633</v>
      </c>
      <c r="AH1098" t="s">
        <v>1606</v>
      </c>
      <c r="AI1098">
        <v>99999</v>
      </c>
      <c r="AJ1098">
        <v>99999</v>
      </c>
      <c r="AK1098">
        <v>699</v>
      </c>
      <c r="AL1098" t="b">
        <v>1</v>
      </c>
      <c r="AM1098" t="b">
        <v>1</v>
      </c>
      <c r="AN1098" t="b">
        <v>1</v>
      </c>
      <c r="AO1098">
        <v>99999</v>
      </c>
      <c r="AP1098" t="s">
        <v>64</v>
      </c>
      <c r="AR1098" t="b">
        <v>0</v>
      </c>
      <c r="AS1098">
        <v>12</v>
      </c>
      <c r="AT1098" t="s">
        <v>327</v>
      </c>
      <c r="AV1098" t="s">
        <v>1658</v>
      </c>
    </row>
    <row r="1099" spans="1:48" x14ac:dyDescent="0.25">
      <c r="A1099" t="s">
        <v>3323</v>
      </c>
      <c r="B1099" t="s">
        <v>302</v>
      </c>
      <c r="C1099" t="s">
        <v>62</v>
      </c>
      <c r="D1099">
        <v>99999</v>
      </c>
      <c r="F1099" s="109">
        <v>14000</v>
      </c>
      <c r="G1099" t="b">
        <v>1</v>
      </c>
      <c r="H1099" t="s">
        <v>341</v>
      </c>
      <c r="K1099" t="s">
        <v>379</v>
      </c>
      <c r="L1099" t="s">
        <v>303</v>
      </c>
      <c r="M1099" t="s">
        <v>323</v>
      </c>
      <c r="N1099" t="s">
        <v>63</v>
      </c>
      <c r="O1099" s="110">
        <v>29.9</v>
      </c>
      <c r="R1099" s="110">
        <v>374.88999999999993</v>
      </c>
      <c r="S1099" s="110">
        <v>107.5</v>
      </c>
      <c r="T1099" s="110">
        <v>0</v>
      </c>
      <c r="U1099" s="110">
        <v>42.99</v>
      </c>
      <c r="X1099">
        <v>164.49999999999994</v>
      </c>
      <c r="Y1099">
        <v>59.9</v>
      </c>
      <c r="Z1099">
        <v>59.9</v>
      </c>
      <c r="AA1099">
        <v>0</v>
      </c>
      <c r="AB1099" t="s">
        <v>363</v>
      </c>
      <c r="AF1099" t="s">
        <v>1781</v>
      </c>
      <c r="AG1099" t="s">
        <v>1781</v>
      </c>
      <c r="AH1099" t="s">
        <v>1606</v>
      </c>
      <c r="AI1099">
        <v>99999</v>
      </c>
      <c r="AJ1099">
        <v>99999</v>
      </c>
      <c r="AK1099">
        <v>699</v>
      </c>
      <c r="AL1099" t="b">
        <v>1</v>
      </c>
      <c r="AM1099" t="b">
        <v>1</v>
      </c>
      <c r="AN1099" t="b">
        <v>1</v>
      </c>
      <c r="AO1099">
        <v>99999</v>
      </c>
      <c r="AP1099" t="s">
        <v>64</v>
      </c>
      <c r="AR1099" t="b">
        <v>0</v>
      </c>
      <c r="AS1099">
        <v>12</v>
      </c>
      <c r="AT1099" t="s">
        <v>327</v>
      </c>
      <c r="AV1099" t="s">
        <v>1806</v>
      </c>
    </row>
    <row r="1100" spans="1:48" x14ac:dyDescent="0.25">
      <c r="A1100" t="s">
        <v>3323</v>
      </c>
      <c r="B1100" t="s">
        <v>302</v>
      </c>
      <c r="C1100" t="s">
        <v>62</v>
      </c>
      <c r="D1100">
        <v>99999</v>
      </c>
      <c r="F1100" s="109">
        <v>14000</v>
      </c>
      <c r="G1100" t="b">
        <v>1</v>
      </c>
      <c r="H1100" t="s">
        <v>341</v>
      </c>
      <c r="K1100" t="s">
        <v>379</v>
      </c>
      <c r="L1100" t="s">
        <v>303</v>
      </c>
      <c r="M1100" t="s">
        <v>323</v>
      </c>
      <c r="N1100" t="s">
        <v>63</v>
      </c>
      <c r="O1100" s="110">
        <v>39.9</v>
      </c>
      <c r="R1100" s="110">
        <v>345.59</v>
      </c>
      <c r="S1100" s="110">
        <v>107.5</v>
      </c>
      <c r="T1100" s="110">
        <v>0</v>
      </c>
      <c r="U1100" s="110">
        <v>34.99</v>
      </c>
      <c r="X1100">
        <v>143.19999999999999</v>
      </c>
      <c r="Y1100">
        <v>59.9</v>
      </c>
      <c r="Z1100">
        <v>59.9</v>
      </c>
      <c r="AA1100">
        <v>0</v>
      </c>
      <c r="AB1100" t="s">
        <v>363</v>
      </c>
      <c r="AF1100" t="s">
        <v>1700</v>
      </c>
      <c r="AG1100" t="s">
        <v>1700</v>
      </c>
      <c r="AH1100" t="s">
        <v>1606</v>
      </c>
      <c r="AI1100">
        <v>99999</v>
      </c>
      <c r="AJ1100">
        <v>99999</v>
      </c>
      <c r="AK1100">
        <v>699</v>
      </c>
      <c r="AL1100" t="b">
        <v>1</v>
      </c>
      <c r="AM1100" t="b">
        <v>1</v>
      </c>
      <c r="AN1100" t="b">
        <v>1</v>
      </c>
      <c r="AO1100">
        <v>99999</v>
      </c>
      <c r="AP1100" t="s">
        <v>64</v>
      </c>
      <c r="AR1100" t="b">
        <v>0</v>
      </c>
      <c r="AS1100">
        <v>12</v>
      </c>
      <c r="AT1100" t="s">
        <v>327</v>
      </c>
      <c r="AV1100" t="s">
        <v>1725</v>
      </c>
    </row>
    <row r="1101" spans="1:48" x14ac:dyDescent="0.25">
      <c r="A1101" t="s">
        <v>3323</v>
      </c>
      <c r="B1101" t="s">
        <v>302</v>
      </c>
      <c r="C1101" t="s">
        <v>62</v>
      </c>
      <c r="D1101">
        <v>99999</v>
      </c>
      <c r="F1101" s="109">
        <v>14000</v>
      </c>
      <c r="G1101" t="b">
        <v>1</v>
      </c>
      <c r="H1101" t="s">
        <v>341</v>
      </c>
      <c r="K1101" t="s">
        <v>379</v>
      </c>
      <c r="L1101" t="s">
        <v>303</v>
      </c>
      <c r="M1101" t="s">
        <v>323</v>
      </c>
      <c r="N1101" t="s">
        <v>63</v>
      </c>
      <c r="O1101" s="110">
        <v>39.9</v>
      </c>
      <c r="R1101" s="110">
        <v>374.88999999999993</v>
      </c>
      <c r="S1101" s="110">
        <v>107.5</v>
      </c>
      <c r="T1101" s="110">
        <v>0</v>
      </c>
      <c r="U1101" s="110">
        <v>42.99</v>
      </c>
      <c r="X1101">
        <v>164.49999999999994</v>
      </c>
      <c r="Y1101">
        <v>59.9</v>
      </c>
      <c r="Z1101">
        <v>59.9</v>
      </c>
      <c r="AA1101">
        <v>0</v>
      </c>
      <c r="AB1101" t="s">
        <v>363</v>
      </c>
      <c r="AF1101" t="s">
        <v>1848</v>
      </c>
      <c r="AG1101" t="s">
        <v>1848</v>
      </c>
      <c r="AH1101" t="s">
        <v>1606</v>
      </c>
      <c r="AI1101">
        <v>99999</v>
      </c>
      <c r="AJ1101">
        <v>99999</v>
      </c>
      <c r="AK1101">
        <v>699</v>
      </c>
      <c r="AL1101" t="b">
        <v>1</v>
      </c>
      <c r="AM1101" t="b">
        <v>1</v>
      </c>
      <c r="AN1101" t="b">
        <v>1</v>
      </c>
      <c r="AO1101">
        <v>99999</v>
      </c>
      <c r="AP1101" t="s">
        <v>64</v>
      </c>
      <c r="AR1101" t="b">
        <v>0</v>
      </c>
      <c r="AS1101">
        <v>12</v>
      </c>
      <c r="AT1101" t="s">
        <v>327</v>
      </c>
      <c r="AV1101" t="s">
        <v>1873</v>
      </c>
    </row>
    <row r="1102" spans="1:48" x14ac:dyDescent="0.25">
      <c r="A1102" t="s">
        <v>3323</v>
      </c>
      <c r="B1102" t="s">
        <v>302</v>
      </c>
      <c r="C1102" t="s">
        <v>62</v>
      </c>
      <c r="D1102">
        <v>99999</v>
      </c>
      <c r="F1102" s="109">
        <v>14000</v>
      </c>
      <c r="G1102" t="b">
        <v>1</v>
      </c>
      <c r="H1102" t="s">
        <v>341</v>
      </c>
      <c r="K1102" t="s">
        <v>379</v>
      </c>
      <c r="L1102" t="s">
        <v>303</v>
      </c>
      <c r="M1102" t="s">
        <v>323</v>
      </c>
      <c r="N1102" t="s">
        <v>63</v>
      </c>
      <c r="O1102" s="110">
        <v>49.9</v>
      </c>
      <c r="R1102" s="110">
        <v>368.09</v>
      </c>
      <c r="S1102" s="110">
        <v>130</v>
      </c>
      <c r="T1102" s="110">
        <v>0</v>
      </c>
      <c r="U1102" s="110">
        <v>34.99</v>
      </c>
      <c r="X1102">
        <v>143.19999999999999</v>
      </c>
      <c r="Y1102">
        <v>59.9</v>
      </c>
      <c r="Z1102">
        <v>59.9</v>
      </c>
      <c r="AA1102">
        <v>0</v>
      </c>
      <c r="AB1102" t="s">
        <v>363</v>
      </c>
      <c r="AF1102" t="s">
        <v>3060</v>
      </c>
      <c r="AG1102" t="s">
        <v>3060</v>
      </c>
      <c r="AH1102" t="s">
        <v>1606</v>
      </c>
      <c r="AI1102">
        <v>99999</v>
      </c>
      <c r="AJ1102">
        <v>99999</v>
      </c>
      <c r="AK1102">
        <v>699</v>
      </c>
      <c r="AL1102" t="b">
        <v>1</v>
      </c>
      <c r="AM1102" t="b">
        <v>1</v>
      </c>
      <c r="AN1102" t="b">
        <v>1</v>
      </c>
      <c r="AO1102">
        <v>99999</v>
      </c>
      <c r="AP1102" t="s">
        <v>64</v>
      </c>
      <c r="AR1102" t="b">
        <v>0</v>
      </c>
      <c r="AS1102">
        <v>12</v>
      </c>
      <c r="AT1102" t="s">
        <v>327</v>
      </c>
      <c r="AV1102" t="s">
        <v>3085</v>
      </c>
    </row>
    <row r="1103" spans="1:48" x14ac:dyDescent="0.25">
      <c r="A1103" t="s">
        <v>3323</v>
      </c>
      <c r="B1103" t="s">
        <v>302</v>
      </c>
      <c r="C1103" t="s">
        <v>62</v>
      </c>
      <c r="D1103">
        <v>99999</v>
      </c>
      <c r="F1103" s="109">
        <v>14000</v>
      </c>
      <c r="G1103" t="b">
        <v>1</v>
      </c>
      <c r="H1103" t="s">
        <v>341</v>
      </c>
      <c r="K1103" t="s">
        <v>379</v>
      </c>
      <c r="L1103" t="s">
        <v>303</v>
      </c>
      <c r="M1103" t="s">
        <v>323</v>
      </c>
      <c r="N1103" t="s">
        <v>63</v>
      </c>
      <c r="O1103" s="110">
        <v>49.9</v>
      </c>
      <c r="R1103" s="110">
        <v>397.38999999999993</v>
      </c>
      <c r="S1103" s="110">
        <v>130</v>
      </c>
      <c r="T1103" s="110">
        <v>0</v>
      </c>
      <c r="U1103" s="110">
        <v>42.99</v>
      </c>
      <c r="X1103">
        <v>164.49999999999994</v>
      </c>
      <c r="Y1103">
        <v>59.9</v>
      </c>
      <c r="Z1103">
        <v>59.9</v>
      </c>
      <c r="AA1103">
        <v>0</v>
      </c>
      <c r="AB1103" t="s">
        <v>363</v>
      </c>
      <c r="AF1103" t="s">
        <v>3134</v>
      </c>
      <c r="AG1103" t="s">
        <v>3134</v>
      </c>
      <c r="AH1103" t="s">
        <v>1606</v>
      </c>
      <c r="AI1103">
        <v>99999</v>
      </c>
      <c r="AJ1103">
        <v>99999</v>
      </c>
      <c r="AK1103">
        <v>699</v>
      </c>
      <c r="AL1103" t="b">
        <v>1</v>
      </c>
      <c r="AM1103" t="b">
        <v>1</v>
      </c>
      <c r="AN1103" t="b">
        <v>1</v>
      </c>
      <c r="AO1103">
        <v>99999</v>
      </c>
      <c r="AP1103" t="s">
        <v>64</v>
      </c>
      <c r="AR1103" t="b">
        <v>0</v>
      </c>
      <c r="AS1103">
        <v>12</v>
      </c>
      <c r="AT1103" t="s">
        <v>327</v>
      </c>
      <c r="AV1103" t="s">
        <v>3159</v>
      </c>
    </row>
    <row r="1104" spans="1:48" x14ac:dyDescent="0.25">
      <c r="A1104" t="s">
        <v>3323</v>
      </c>
      <c r="B1104" t="s">
        <v>302</v>
      </c>
      <c r="C1104" t="s">
        <v>62</v>
      </c>
      <c r="D1104">
        <v>99999</v>
      </c>
      <c r="F1104" s="109">
        <v>14000</v>
      </c>
      <c r="G1104" t="b">
        <v>1</v>
      </c>
      <c r="H1104" t="s">
        <v>341</v>
      </c>
      <c r="K1104" t="s">
        <v>61</v>
      </c>
      <c r="L1104" t="s">
        <v>303</v>
      </c>
      <c r="M1104" t="s">
        <v>323</v>
      </c>
      <c r="N1104" t="s">
        <v>63</v>
      </c>
      <c r="O1104" s="110">
        <v>29.9</v>
      </c>
      <c r="R1104" s="110">
        <v>330.59</v>
      </c>
      <c r="S1104" s="110">
        <v>107.5</v>
      </c>
      <c r="T1104" s="110">
        <v>0</v>
      </c>
      <c r="U1104" s="110">
        <v>34.99</v>
      </c>
      <c r="X1104">
        <v>143.19999999999999</v>
      </c>
      <c r="Y1104">
        <v>44.9</v>
      </c>
      <c r="Z1104">
        <v>44.9</v>
      </c>
      <c r="AA1104">
        <v>0</v>
      </c>
      <c r="AB1104" t="s">
        <v>324</v>
      </c>
      <c r="AF1104" t="s">
        <v>1605</v>
      </c>
      <c r="AG1104" t="s">
        <v>1605</v>
      </c>
      <c r="AH1104" t="s">
        <v>1606</v>
      </c>
      <c r="AI1104">
        <v>99999</v>
      </c>
      <c r="AJ1104">
        <v>99999</v>
      </c>
      <c r="AK1104">
        <v>699</v>
      </c>
      <c r="AL1104" t="b">
        <v>1</v>
      </c>
      <c r="AM1104" t="b">
        <v>1</v>
      </c>
      <c r="AN1104" t="b">
        <v>1</v>
      </c>
      <c r="AO1104">
        <v>99999</v>
      </c>
      <c r="AP1104" t="s">
        <v>64</v>
      </c>
      <c r="AR1104" t="b">
        <v>0</v>
      </c>
      <c r="AS1104">
        <v>12</v>
      </c>
      <c r="AT1104" t="s">
        <v>327</v>
      </c>
      <c r="AV1104" t="s">
        <v>1618</v>
      </c>
    </row>
    <row r="1105" spans="1:48" x14ac:dyDescent="0.25">
      <c r="A1105" t="s">
        <v>3323</v>
      </c>
      <c r="B1105" t="s">
        <v>302</v>
      </c>
      <c r="C1105" t="s">
        <v>62</v>
      </c>
      <c r="D1105">
        <v>99999</v>
      </c>
      <c r="F1105" s="109">
        <v>14000</v>
      </c>
      <c r="G1105" t="b">
        <v>1</v>
      </c>
      <c r="H1105" t="s">
        <v>341</v>
      </c>
      <c r="K1105" t="s">
        <v>61</v>
      </c>
      <c r="L1105" t="s">
        <v>303</v>
      </c>
      <c r="M1105" t="s">
        <v>323</v>
      </c>
      <c r="N1105" t="s">
        <v>63</v>
      </c>
      <c r="O1105" s="110">
        <v>29.9</v>
      </c>
      <c r="R1105" s="110">
        <v>359.88999999999993</v>
      </c>
      <c r="S1105" s="110">
        <v>107.5</v>
      </c>
      <c r="T1105" s="110">
        <v>0</v>
      </c>
      <c r="U1105" s="110">
        <v>42.99</v>
      </c>
      <c r="X1105">
        <v>164.49999999999994</v>
      </c>
      <c r="Y1105">
        <v>44.9</v>
      </c>
      <c r="Z1105">
        <v>44.9</v>
      </c>
      <c r="AA1105">
        <v>0</v>
      </c>
      <c r="AB1105" t="s">
        <v>324</v>
      </c>
      <c r="AF1105" t="s">
        <v>1754</v>
      </c>
      <c r="AG1105" t="s">
        <v>1754</v>
      </c>
      <c r="AH1105" t="s">
        <v>1606</v>
      </c>
      <c r="AI1105">
        <v>99999</v>
      </c>
      <c r="AJ1105">
        <v>99999</v>
      </c>
      <c r="AK1105">
        <v>699</v>
      </c>
      <c r="AL1105" t="b">
        <v>1</v>
      </c>
      <c r="AM1105" t="b">
        <v>1</v>
      </c>
      <c r="AN1105" t="b">
        <v>1</v>
      </c>
      <c r="AO1105">
        <v>99999</v>
      </c>
      <c r="AP1105" t="s">
        <v>64</v>
      </c>
      <c r="AR1105" t="b">
        <v>0</v>
      </c>
      <c r="AS1105">
        <v>12</v>
      </c>
      <c r="AT1105" t="s">
        <v>327</v>
      </c>
      <c r="AV1105" t="s">
        <v>1766</v>
      </c>
    </row>
    <row r="1106" spans="1:48" x14ac:dyDescent="0.25">
      <c r="A1106" t="s">
        <v>3323</v>
      </c>
      <c r="B1106" t="s">
        <v>302</v>
      </c>
      <c r="C1106" t="s">
        <v>62</v>
      </c>
      <c r="D1106">
        <v>99999</v>
      </c>
      <c r="F1106" s="109">
        <v>14000</v>
      </c>
      <c r="G1106" t="b">
        <v>1</v>
      </c>
      <c r="H1106" t="s">
        <v>341</v>
      </c>
      <c r="K1106" t="s">
        <v>61</v>
      </c>
      <c r="L1106" t="s">
        <v>303</v>
      </c>
      <c r="M1106" t="s">
        <v>323</v>
      </c>
      <c r="N1106" t="s">
        <v>63</v>
      </c>
      <c r="O1106" s="110">
        <v>39.9</v>
      </c>
      <c r="R1106" s="110">
        <v>330.59</v>
      </c>
      <c r="S1106" s="110">
        <v>107.5</v>
      </c>
      <c r="T1106" s="110">
        <v>0</v>
      </c>
      <c r="U1106" s="110">
        <v>34.99</v>
      </c>
      <c r="X1106">
        <v>143.19999999999999</v>
      </c>
      <c r="Y1106">
        <v>44.9</v>
      </c>
      <c r="Z1106">
        <v>44.9</v>
      </c>
      <c r="AA1106">
        <v>0</v>
      </c>
      <c r="AB1106" t="s">
        <v>324</v>
      </c>
      <c r="AF1106" t="s">
        <v>1673</v>
      </c>
      <c r="AG1106" t="s">
        <v>1673</v>
      </c>
      <c r="AH1106" t="s">
        <v>1606</v>
      </c>
      <c r="AI1106">
        <v>99999</v>
      </c>
      <c r="AJ1106">
        <v>99999</v>
      </c>
      <c r="AK1106">
        <v>699</v>
      </c>
      <c r="AL1106" t="b">
        <v>1</v>
      </c>
      <c r="AM1106" t="b">
        <v>1</v>
      </c>
      <c r="AN1106" t="b">
        <v>1</v>
      </c>
      <c r="AO1106">
        <v>99999</v>
      </c>
      <c r="AP1106" t="s">
        <v>64</v>
      </c>
      <c r="AR1106" t="b">
        <v>0</v>
      </c>
      <c r="AS1106">
        <v>12</v>
      </c>
      <c r="AT1106" t="s">
        <v>327</v>
      </c>
      <c r="AV1106" t="s">
        <v>1685</v>
      </c>
    </row>
    <row r="1107" spans="1:48" x14ac:dyDescent="0.25">
      <c r="A1107" t="s">
        <v>3323</v>
      </c>
      <c r="B1107" t="s">
        <v>302</v>
      </c>
      <c r="C1107" t="s">
        <v>62</v>
      </c>
      <c r="D1107">
        <v>99999</v>
      </c>
      <c r="F1107" s="109">
        <v>14000</v>
      </c>
      <c r="G1107" t="b">
        <v>1</v>
      </c>
      <c r="H1107" t="s">
        <v>341</v>
      </c>
      <c r="K1107" t="s">
        <v>61</v>
      </c>
      <c r="L1107" t="s">
        <v>303</v>
      </c>
      <c r="M1107" t="s">
        <v>323</v>
      </c>
      <c r="N1107" t="s">
        <v>63</v>
      </c>
      <c r="O1107" s="110">
        <v>39.9</v>
      </c>
      <c r="R1107" s="110">
        <v>359.88999999999993</v>
      </c>
      <c r="S1107" s="110">
        <v>107.5</v>
      </c>
      <c r="T1107" s="110">
        <v>0</v>
      </c>
      <c r="U1107" s="110">
        <v>42.99</v>
      </c>
      <c r="X1107">
        <v>164.49999999999994</v>
      </c>
      <c r="Y1107">
        <v>44.9</v>
      </c>
      <c r="Z1107">
        <v>44.9</v>
      </c>
      <c r="AA1107">
        <v>0</v>
      </c>
      <c r="AB1107" t="s">
        <v>324</v>
      </c>
      <c r="AF1107" t="s">
        <v>1821</v>
      </c>
      <c r="AG1107" t="s">
        <v>1821</v>
      </c>
      <c r="AH1107" t="s">
        <v>1606</v>
      </c>
      <c r="AI1107">
        <v>99999</v>
      </c>
      <c r="AJ1107">
        <v>99999</v>
      </c>
      <c r="AK1107">
        <v>699</v>
      </c>
      <c r="AL1107" t="b">
        <v>1</v>
      </c>
      <c r="AM1107" t="b">
        <v>1</v>
      </c>
      <c r="AN1107" t="b">
        <v>1</v>
      </c>
      <c r="AO1107">
        <v>99999</v>
      </c>
      <c r="AP1107" t="s">
        <v>64</v>
      </c>
      <c r="AR1107" t="b">
        <v>0</v>
      </c>
      <c r="AS1107">
        <v>12</v>
      </c>
      <c r="AT1107" t="s">
        <v>327</v>
      </c>
      <c r="AV1107" t="s">
        <v>1833</v>
      </c>
    </row>
    <row r="1108" spans="1:48" x14ac:dyDescent="0.25">
      <c r="A1108" t="s">
        <v>3323</v>
      </c>
      <c r="B1108" t="s">
        <v>302</v>
      </c>
      <c r="C1108" t="s">
        <v>62</v>
      </c>
      <c r="D1108">
        <v>99999</v>
      </c>
      <c r="F1108" s="109">
        <v>14000</v>
      </c>
      <c r="G1108" t="b">
        <v>1</v>
      </c>
      <c r="H1108" t="s">
        <v>341</v>
      </c>
      <c r="K1108" t="s">
        <v>61</v>
      </c>
      <c r="L1108" t="s">
        <v>303</v>
      </c>
      <c r="M1108" t="s">
        <v>323</v>
      </c>
      <c r="N1108" t="s">
        <v>63</v>
      </c>
      <c r="O1108" s="110">
        <v>49.9</v>
      </c>
      <c r="R1108" s="110">
        <v>353.09</v>
      </c>
      <c r="S1108" s="110">
        <v>130</v>
      </c>
      <c r="T1108" s="110">
        <v>0</v>
      </c>
      <c r="U1108" s="110">
        <v>34.99</v>
      </c>
      <c r="X1108">
        <v>143.19999999999999</v>
      </c>
      <c r="Y1108">
        <v>44.9</v>
      </c>
      <c r="Z1108">
        <v>44.9</v>
      </c>
      <c r="AA1108">
        <v>0</v>
      </c>
      <c r="AB1108" t="s">
        <v>324</v>
      </c>
      <c r="AF1108" t="s">
        <v>3033</v>
      </c>
      <c r="AG1108" t="s">
        <v>3033</v>
      </c>
      <c r="AH1108" t="s">
        <v>1606</v>
      </c>
      <c r="AI1108">
        <v>99999</v>
      </c>
      <c r="AJ1108">
        <v>99999</v>
      </c>
      <c r="AK1108">
        <v>699</v>
      </c>
      <c r="AL1108" t="b">
        <v>1</v>
      </c>
      <c r="AM1108" t="b">
        <v>1</v>
      </c>
      <c r="AN1108" t="b">
        <v>1</v>
      </c>
      <c r="AO1108">
        <v>99999</v>
      </c>
      <c r="AP1108" t="s">
        <v>64</v>
      </c>
      <c r="AR1108" t="b">
        <v>0</v>
      </c>
      <c r="AS1108">
        <v>12</v>
      </c>
      <c r="AT1108" t="s">
        <v>327</v>
      </c>
      <c r="AV1108" t="s">
        <v>3045</v>
      </c>
    </row>
    <row r="1109" spans="1:48" x14ac:dyDescent="0.25">
      <c r="A1109" t="s">
        <v>3323</v>
      </c>
      <c r="B1109" t="s">
        <v>302</v>
      </c>
      <c r="C1109" t="s">
        <v>62</v>
      </c>
      <c r="D1109">
        <v>99999</v>
      </c>
      <c r="F1109" s="109">
        <v>14000</v>
      </c>
      <c r="G1109" t="b">
        <v>1</v>
      </c>
      <c r="H1109" t="s">
        <v>341</v>
      </c>
      <c r="K1109" t="s">
        <v>61</v>
      </c>
      <c r="L1109" t="s">
        <v>303</v>
      </c>
      <c r="M1109" t="s">
        <v>323</v>
      </c>
      <c r="N1109" t="s">
        <v>63</v>
      </c>
      <c r="O1109" s="110">
        <v>49.9</v>
      </c>
      <c r="R1109" s="110">
        <v>382.38999999999993</v>
      </c>
      <c r="S1109" s="110">
        <v>130</v>
      </c>
      <c r="T1109" s="110">
        <v>0</v>
      </c>
      <c r="U1109" s="110">
        <v>42.99</v>
      </c>
      <c r="X1109">
        <v>164.49999999999994</v>
      </c>
      <c r="Y1109">
        <v>44.9</v>
      </c>
      <c r="Z1109">
        <v>44.9</v>
      </c>
      <c r="AA1109">
        <v>0</v>
      </c>
      <c r="AB1109" t="s">
        <v>324</v>
      </c>
      <c r="AF1109" t="s">
        <v>3107</v>
      </c>
      <c r="AG1109" t="s">
        <v>3107</v>
      </c>
      <c r="AH1109" t="s">
        <v>1606</v>
      </c>
      <c r="AI1109">
        <v>99999</v>
      </c>
      <c r="AJ1109">
        <v>99999</v>
      </c>
      <c r="AK1109">
        <v>699</v>
      </c>
      <c r="AL1109" t="b">
        <v>1</v>
      </c>
      <c r="AM1109" t="b">
        <v>1</v>
      </c>
      <c r="AN1109" t="b">
        <v>1</v>
      </c>
      <c r="AO1109">
        <v>99999</v>
      </c>
      <c r="AP1109" t="s">
        <v>64</v>
      </c>
      <c r="AR1109" t="b">
        <v>0</v>
      </c>
      <c r="AS1109">
        <v>12</v>
      </c>
      <c r="AT1109" t="s">
        <v>327</v>
      </c>
      <c r="AV1109" t="s">
        <v>3119</v>
      </c>
    </row>
    <row r="1110" spans="1:48" x14ac:dyDescent="0.25">
      <c r="A1110" t="s">
        <v>3323</v>
      </c>
      <c r="B1110" t="s">
        <v>302</v>
      </c>
      <c r="C1110" t="s">
        <v>62</v>
      </c>
      <c r="D1110">
        <v>99999</v>
      </c>
      <c r="F1110" s="109">
        <v>20000</v>
      </c>
      <c r="G1110" t="b">
        <v>0</v>
      </c>
      <c r="H1110" t="s">
        <v>742</v>
      </c>
      <c r="K1110" t="s">
        <v>349</v>
      </c>
      <c r="L1110" t="s">
        <v>303</v>
      </c>
      <c r="M1110" t="s">
        <v>323</v>
      </c>
      <c r="N1110" t="s">
        <v>63</v>
      </c>
      <c r="O1110" s="110">
        <v>29.9</v>
      </c>
      <c r="R1110" s="110">
        <v>239.79</v>
      </c>
      <c r="S1110" s="110">
        <v>130</v>
      </c>
      <c r="T1110" s="110">
        <v>0</v>
      </c>
      <c r="U1110" s="110">
        <v>34.99</v>
      </c>
      <c r="X1110">
        <v>29.9</v>
      </c>
      <c r="Y1110">
        <v>44.9</v>
      </c>
      <c r="Z1110">
        <v>44.9</v>
      </c>
      <c r="AA1110">
        <v>0</v>
      </c>
      <c r="AB1110" t="s">
        <v>324</v>
      </c>
      <c r="AF1110" t="s">
        <v>2037</v>
      </c>
      <c r="AG1110" t="s">
        <v>2037</v>
      </c>
      <c r="AH1110" t="s">
        <v>1903</v>
      </c>
      <c r="AI1110">
        <v>99999</v>
      </c>
      <c r="AJ1110">
        <v>99999</v>
      </c>
      <c r="AK1110">
        <v>699</v>
      </c>
      <c r="AL1110" t="b">
        <v>1</v>
      </c>
      <c r="AM1110" t="b">
        <v>1</v>
      </c>
      <c r="AN1110" t="b">
        <v>0</v>
      </c>
      <c r="AO1110">
        <v>99999</v>
      </c>
      <c r="AP1110" t="s">
        <v>64</v>
      </c>
      <c r="AR1110" t="b">
        <v>0</v>
      </c>
      <c r="AS1110">
        <v>12</v>
      </c>
      <c r="AT1110" t="s">
        <v>327</v>
      </c>
      <c r="AV1110" t="s">
        <v>2039</v>
      </c>
    </row>
    <row r="1111" spans="1:48" x14ac:dyDescent="0.25">
      <c r="A1111" t="s">
        <v>3323</v>
      </c>
      <c r="B1111" t="s">
        <v>302</v>
      </c>
      <c r="C1111" t="s">
        <v>62</v>
      </c>
      <c r="D1111">
        <v>99999</v>
      </c>
      <c r="F1111" s="109">
        <v>20000</v>
      </c>
      <c r="G1111" t="b">
        <v>0</v>
      </c>
      <c r="H1111" t="s">
        <v>742</v>
      </c>
      <c r="K1111" t="s">
        <v>349</v>
      </c>
      <c r="L1111" t="s">
        <v>303</v>
      </c>
      <c r="M1111" t="s">
        <v>323</v>
      </c>
      <c r="N1111" t="s">
        <v>63</v>
      </c>
      <c r="O1111" s="110">
        <v>39.9</v>
      </c>
      <c r="R1111" s="110">
        <v>239.79</v>
      </c>
      <c r="S1111" s="110">
        <v>130</v>
      </c>
      <c r="T1111" s="110">
        <v>0</v>
      </c>
      <c r="U1111" s="110">
        <v>34.99</v>
      </c>
      <c r="X1111">
        <v>29.9</v>
      </c>
      <c r="Y1111">
        <v>44.9</v>
      </c>
      <c r="Z1111">
        <v>44.9</v>
      </c>
      <c r="AA1111">
        <v>0</v>
      </c>
      <c r="AB1111" t="s">
        <v>324</v>
      </c>
      <c r="AF1111" t="s">
        <v>2044</v>
      </c>
      <c r="AG1111" t="s">
        <v>2044</v>
      </c>
      <c r="AH1111" t="s">
        <v>1903</v>
      </c>
      <c r="AI1111">
        <v>99999</v>
      </c>
      <c r="AJ1111">
        <v>99999</v>
      </c>
      <c r="AK1111">
        <v>699</v>
      </c>
      <c r="AL1111" t="b">
        <v>1</v>
      </c>
      <c r="AM1111" t="b">
        <v>1</v>
      </c>
      <c r="AN1111" t="b">
        <v>0</v>
      </c>
      <c r="AO1111">
        <v>99999</v>
      </c>
      <c r="AP1111" t="s">
        <v>64</v>
      </c>
      <c r="AR1111" t="b">
        <v>0</v>
      </c>
      <c r="AS1111">
        <v>12</v>
      </c>
      <c r="AT1111" t="s">
        <v>327</v>
      </c>
      <c r="AV1111" t="s">
        <v>2046</v>
      </c>
    </row>
    <row r="1112" spans="1:48" x14ac:dyDescent="0.25">
      <c r="A1112" t="s">
        <v>3323</v>
      </c>
      <c r="B1112" t="s">
        <v>302</v>
      </c>
      <c r="C1112" t="s">
        <v>62</v>
      </c>
      <c r="D1112">
        <v>99999</v>
      </c>
      <c r="F1112" s="109">
        <v>20000</v>
      </c>
      <c r="G1112" t="b">
        <v>0</v>
      </c>
      <c r="H1112" t="s">
        <v>742</v>
      </c>
      <c r="K1112" t="s">
        <v>349</v>
      </c>
      <c r="L1112" t="s">
        <v>303</v>
      </c>
      <c r="M1112" t="s">
        <v>323</v>
      </c>
      <c r="N1112" t="s">
        <v>63</v>
      </c>
      <c r="O1112" s="110">
        <v>49.9</v>
      </c>
      <c r="R1112" s="110">
        <v>239.79</v>
      </c>
      <c r="S1112" s="110">
        <v>130</v>
      </c>
      <c r="T1112" s="110">
        <v>0</v>
      </c>
      <c r="U1112" s="110">
        <v>34.99</v>
      </c>
      <c r="X1112">
        <v>29.9</v>
      </c>
      <c r="Y1112">
        <v>44.9</v>
      </c>
      <c r="Z1112">
        <v>44.9</v>
      </c>
      <c r="AA1112">
        <v>0</v>
      </c>
      <c r="AB1112" t="s">
        <v>324</v>
      </c>
      <c r="AF1112" t="s">
        <v>3248</v>
      </c>
      <c r="AG1112" t="s">
        <v>3248</v>
      </c>
      <c r="AH1112" t="s">
        <v>1903</v>
      </c>
      <c r="AI1112">
        <v>99999</v>
      </c>
      <c r="AJ1112">
        <v>99999</v>
      </c>
      <c r="AK1112">
        <v>699</v>
      </c>
      <c r="AL1112" t="b">
        <v>1</v>
      </c>
      <c r="AM1112" t="b">
        <v>1</v>
      </c>
      <c r="AN1112" t="b">
        <v>0</v>
      </c>
      <c r="AO1112">
        <v>99999</v>
      </c>
      <c r="AP1112" t="s">
        <v>64</v>
      </c>
      <c r="AR1112" t="b">
        <v>0</v>
      </c>
      <c r="AS1112">
        <v>12</v>
      </c>
      <c r="AT1112" t="s">
        <v>327</v>
      </c>
      <c r="AV1112" t="s">
        <v>3250</v>
      </c>
    </row>
    <row r="1113" spans="1:48" x14ac:dyDescent="0.25">
      <c r="A1113" t="s">
        <v>3323</v>
      </c>
      <c r="B1113" t="s">
        <v>302</v>
      </c>
      <c r="C1113" t="s">
        <v>62</v>
      </c>
      <c r="D1113">
        <v>99999</v>
      </c>
      <c r="F1113" s="109">
        <v>20000</v>
      </c>
      <c r="G1113" t="b">
        <v>0</v>
      </c>
      <c r="H1113" t="s">
        <v>742</v>
      </c>
      <c r="K1113" t="s">
        <v>393</v>
      </c>
      <c r="L1113" t="s">
        <v>303</v>
      </c>
      <c r="M1113" t="s">
        <v>323</v>
      </c>
      <c r="N1113" t="s">
        <v>63</v>
      </c>
      <c r="O1113" s="110">
        <v>29.9</v>
      </c>
      <c r="R1113" s="110">
        <v>264.79000000000002</v>
      </c>
      <c r="S1113" s="110">
        <v>130</v>
      </c>
      <c r="T1113" s="110">
        <v>0</v>
      </c>
      <c r="U1113" s="110">
        <v>34.99</v>
      </c>
      <c r="X1113">
        <v>29.9</v>
      </c>
      <c r="Y1113">
        <v>69.900000000000006</v>
      </c>
      <c r="Z1113">
        <v>69.900000000000006</v>
      </c>
      <c r="AA1113">
        <v>0</v>
      </c>
      <c r="AB1113" t="s">
        <v>363</v>
      </c>
      <c r="AF1113" t="s">
        <v>2040</v>
      </c>
      <c r="AG1113" t="s">
        <v>2040</v>
      </c>
      <c r="AH1113" t="s">
        <v>1903</v>
      </c>
      <c r="AI1113">
        <v>99999</v>
      </c>
      <c r="AJ1113">
        <v>99999</v>
      </c>
      <c r="AK1113">
        <v>699</v>
      </c>
      <c r="AL1113" t="b">
        <v>1</v>
      </c>
      <c r="AM1113" t="b">
        <v>1</v>
      </c>
      <c r="AN1113" t="b">
        <v>0</v>
      </c>
      <c r="AO1113">
        <v>99999</v>
      </c>
      <c r="AP1113" t="s">
        <v>64</v>
      </c>
      <c r="AR1113" t="b">
        <v>0</v>
      </c>
      <c r="AS1113">
        <v>12</v>
      </c>
      <c r="AT1113" t="s">
        <v>327</v>
      </c>
      <c r="AV1113" t="s">
        <v>2043</v>
      </c>
    </row>
    <row r="1114" spans="1:48" x14ac:dyDescent="0.25">
      <c r="A1114" t="s">
        <v>3323</v>
      </c>
      <c r="B1114" t="s">
        <v>302</v>
      </c>
      <c r="C1114" t="s">
        <v>62</v>
      </c>
      <c r="D1114">
        <v>99999</v>
      </c>
      <c r="F1114" s="109">
        <v>20000</v>
      </c>
      <c r="G1114" t="b">
        <v>0</v>
      </c>
      <c r="H1114" t="s">
        <v>742</v>
      </c>
      <c r="K1114" t="s">
        <v>393</v>
      </c>
      <c r="L1114" t="s">
        <v>303</v>
      </c>
      <c r="M1114" t="s">
        <v>323</v>
      </c>
      <c r="N1114" t="s">
        <v>63</v>
      </c>
      <c r="O1114" s="110">
        <v>39.9</v>
      </c>
      <c r="R1114" s="110">
        <v>264.79000000000002</v>
      </c>
      <c r="S1114" s="110">
        <v>130</v>
      </c>
      <c r="T1114" s="110">
        <v>0</v>
      </c>
      <c r="U1114" s="110">
        <v>34.99</v>
      </c>
      <c r="X1114">
        <v>29.9</v>
      </c>
      <c r="Y1114">
        <v>69.900000000000006</v>
      </c>
      <c r="Z1114">
        <v>69.900000000000006</v>
      </c>
      <c r="AA1114">
        <v>0</v>
      </c>
      <c r="AB1114" t="s">
        <v>363</v>
      </c>
      <c r="AF1114" t="s">
        <v>2047</v>
      </c>
      <c r="AG1114" t="s">
        <v>2047</v>
      </c>
      <c r="AH1114" t="s">
        <v>1903</v>
      </c>
      <c r="AI1114">
        <v>99999</v>
      </c>
      <c r="AJ1114">
        <v>99999</v>
      </c>
      <c r="AK1114">
        <v>699</v>
      </c>
      <c r="AL1114" t="b">
        <v>1</v>
      </c>
      <c r="AM1114" t="b">
        <v>1</v>
      </c>
      <c r="AN1114" t="b">
        <v>0</v>
      </c>
      <c r="AO1114">
        <v>99999</v>
      </c>
      <c r="AP1114" t="s">
        <v>64</v>
      </c>
      <c r="AR1114" t="b">
        <v>0</v>
      </c>
      <c r="AS1114">
        <v>12</v>
      </c>
      <c r="AT1114" t="s">
        <v>327</v>
      </c>
      <c r="AV1114" t="s">
        <v>2050</v>
      </c>
    </row>
    <row r="1115" spans="1:48" x14ac:dyDescent="0.25">
      <c r="A1115" t="s">
        <v>3323</v>
      </c>
      <c r="B1115" t="s">
        <v>302</v>
      </c>
      <c r="C1115" t="s">
        <v>62</v>
      </c>
      <c r="D1115">
        <v>99999</v>
      </c>
      <c r="F1115" s="109">
        <v>20000</v>
      </c>
      <c r="G1115" t="b">
        <v>0</v>
      </c>
      <c r="H1115" t="s">
        <v>742</v>
      </c>
      <c r="K1115" t="s">
        <v>393</v>
      </c>
      <c r="L1115" t="s">
        <v>303</v>
      </c>
      <c r="M1115" t="s">
        <v>323</v>
      </c>
      <c r="N1115" t="s">
        <v>63</v>
      </c>
      <c r="O1115" s="110">
        <v>49.9</v>
      </c>
      <c r="R1115" s="110">
        <v>264.79000000000002</v>
      </c>
      <c r="S1115" s="110">
        <v>130</v>
      </c>
      <c r="T1115" s="110">
        <v>0</v>
      </c>
      <c r="U1115" s="110">
        <v>34.99</v>
      </c>
      <c r="X1115">
        <v>29.9</v>
      </c>
      <c r="Y1115">
        <v>69.900000000000006</v>
      </c>
      <c r="Z1115">
        <v>69.900000000000006</v>
      </c>
      <c r="AA1115">
        <v>0</v>
      </c>
      <c r="AB1115" t="s">
        <v>363</v>
      </c>
      <c r="AF1115" t="s">
        <v>3251</v>
      </c>
      <c r="AG1115" t="s">
        <v>3251</v>
      </c>
      <c r="AH1115" t="s">
        <v>1903</v>
      </c>
      <c r="AI1115">
        <v>99999</v>
      </c>
      <c r="AJ1115">
        <v>99999</v>
      </c>
      <c r="AK1115">
        <v>699</v>
      </c>
      <c r="AL1115" t="b">
        <v>1</v>
      </c>
      <c r="AM1115" t="b">
        <v>1</v>
      </c>
      <c r="AN1115" t="b">
        <v>0</v>
      </c>
      <c r="AO1115">
        <v>99999</v>
      </c>
      <c r="AP1115" t="s">
        <v>64</v>
      </c>
      <c r="AR1115" t="b">
        <v>0</v>
      </c>
      <c r="AS1115">
        <v>12</v>
      </c>
      <c r="AT1115" t="s">
        <v>327</v>
      </c>
      <c r="AV1115" t="s">
        <v>3254</v>
      </c>
    </row>
    <row r="1116" spans="1:48" x14ac:dyDescent="0.25">
      <c r="A1116" t="s">
        <v>3323</v>
      </c>
      <c r="B1116" t="s">
        <v>302</v>
      </c>
      <c r="C1116" t="s">
        <v>62</v>
      </c>
      <c r="D1116">
        <v>99999</v>
      </c>
      <c r="F1116" s="109">
        <v>20000</v>
      </c>
      <c r="G1116" t="b">
        <v>0</v>
      </c>
      <c r="H1116" t="s">
        <v>742</v>
      </c>
      <c r="K1116" t="s">
        <v>364</v>
      </c>
      <c r="L1116" t="s">
        <v>303</v>
      </c>
      <c r="M1116" t="s">
        <v>323</v>
      </c>
      <c r="N1116" t="s">
        <v>63</v>
      </c>
      <c r="O1116" s="110">
        <v>29.9</v>
      </c>
      <c r="R1116" s="110">
        <v>244.79</v>
      </c>
      <c r="S1116" s="110">
        <v>130</v>
      </c>
      <c r="T1116" s="110">
        <v>0</v>
      </c>
      <c r="U1116" s="110">
        <v>34.99</v>
      </c>
      <c r="X1116">
        <v>29.9</v>
      </c>
      <c r="Y1116">
        <v>49.9</v>
      </c>
      <c r="Z1116">
        <v>49.9</v>
      </c>
      <c r="AA1116">
        <v>0</v>
      </c>
      <c r="AB1116" t="s">
        <v>363</v>
      </c>
      <c r="AF1116" t="s">
        <v>2040</v>
      </c>
      <c r="AG1116" t="s">
        <v>2040</v>
      </c>
      <c r="AH1116" t="s">
        <v>1903</v>
      </c>
      <c r="AI1116">
        <v>99999</v>
      </c>
      <c r="AJ1116">
        <v>99999</v>
      </c>
      <c r="AK1116">
        <v>699</v>
      </c>
      <c r="AL1116" t="b">
        <v>1</v>
      </c>
      <c r="AM1116" t="b">
        <v>1</v>
      </c>
      <c r="AN1116" t="b">
        <v>0</v>
      </c>
      <c r="AO1116">
        <v>99999</v>
      </c>
      <c r="AP1116" t="s">
        <v>64</v>
      </c>
      <c r="AR1116" t="b">
        <v>0</v>
      </c>
      <c r="AS1116">
        <v>12</v>
      </c>
      <c r="AT1116" t="s">
        <v>327</v>
      </c>
      <c r="AV1116" t="s">
        <v>2041</v>
      </c>
    </row>
    <row r="1117" spans="1:48" x14ac:dyDescent="0.25">
      <c r="A1117" t="s">
        <v>3323</v>
      </c>
      <c r="B1117" t="s">
        <v>302</v>
      </c>
      <c r="C1117" t="s">
        <v>62</v>
      </c>
      <c r="D1117">
        <v>99999</v>
      </c>
      <c r="F1117" s="109">
        <v>20000</v>
      </c>
      <c r="G1117" t="b">
        <v>0</v>
      </c>
      <c r="H1117" t="s">
        <v>742</v>
      </c>
      <c r="K1117" t="s">
        <v>364</v>
      </c>
      <c r="L1117" t="s">
        <v>303</v>
      </c>
      <c r="M1117" t="s">
        <v>323</v>
      </c>
      <c r="N1117" t="s">
        <v>63</v>
      </c>
      <c r="O1117" s="110">
        <v>39.9</v>
      </c>
      <c r="R1117" s="110">
        <v>244.79</v>
      </c>
      <c r="S1117" s="110">
        <v>130</v>
      </c>
      <c r="T1117" s="110">
        <v>0</v>
      </c>
      <c r="U1117" s="110">
        <v>34.99</v>
      </c>
      <c r="X1117">
        <v>29.9</v>
      </c>
      <c r="Y1117">
        <v>49.9</v>
      </c>
      <c r="Z1117">
        <v>49.9</v>
      </c>
      <c r="AA1117">
        <v>0</v>
      </c>
      <c r="AB1117" t="s">
        <v>363</v>
      </c>
      <c r="AF1117" t="s">
        <v>2047</v>
      </c>
      <c r="AG1117" t="s">
        <v>2047</v>
      </c>
      <c r="AH1117" t="s">
        <v>1903</v>
      </c>
      <c r="AI1117">
        <v>99999</v>
      </c>
      <c r="AJ1117">
        <v>99999</v>
      </c>
      <c r="AK1117">
        <v>699</v>
      </c>
      <c r="AL1117" t="b">
        <v>1</v>
      </c>
      <c r="AM1117" t="b">
        <v>1</v>
      </c>
      <c r="AN1117" t="b">
        <v>0</v>
      </c>
      <c r="AO1117">
        <v>99999</v>
      </c>
      <c r="AP1117" t="s">
        <v>64</v>
      </c>
      <c r="AR1117" t="b">
        <v>0</v>
      </c>
      <c r="AS1117">
        <v>12</v>
      </c>
      <c r="AT1117" t="s">
        <v>327</v>
      </c>
      <c r="AV1117" t="s">
        <v>2048</v>
      </c>
    </row>
    <row r="1118" spans="1:48" x14ac:dyDescent="0.25">
      <c r="A1118" t="s">
        <v>3323</v>
      </c>
      <c r="B1118" t="s">
        <v>302</v>
      </c>
      <c r="C1118" t="s">
        <v>62</v>
      </c>
      <c r="D1118">
        <v>99999</v>
      </c>
      <c r="F1118" s="109">
        <v>20000</v>
      </c>
      <c r="G1118" t="b">
        <v>0</v>
      </c>
      <c r="H1118" t="s">
        <v>742</v>
      </c>
      <c r="K1118" t="s">
        <v>364</v>
      </c>
      <c r="L1118" t="s">
        <v>303</v>
      </c>
      <c r="M1118" t="s">
        <v>323</v>
      </c>
      <c r="N1118" t="s">
        <v>63</v>
      </c>
      <c r="O1118" s="110">
        <v>49.9</v>
      </c>
      <c r="R1118" s="110">
        <v>244.79</v>
      </c>
      <c r="S1118" s="110">
        <v>130</v>
      </c>
      <c r="T1118" s="110">
        <v>0</v>
      </c>
      <c r="U1118" s="110">
        <v>34.99</v>
      </c>
      <c r="X1118">
        <v>29.9</v>
      </c>
      <c r="Y1118">
        <v>49.9</v>
      </c>
      <c r="Z1118">
        <v>49.9</v>
      </c>
      <c r="AA1118">
        <v>0</v>
      </c>
      <c r="AB1118" t="s">
        <v>363</v>
      </c>
      <c r="AF1118" t="s">
        <v>3251</v>
      </c>
      <c r="AG1118" t="s">
        <v>3251</v>
      </c>
      <c r="AH1118" t="s">
        <v>1903</v>
      </c>
      <c r="AI1118">
        <v>99999</v>
      </c>
      <c r="AJ1118">
        <v>99999</v>
      </c>
      <c r="AK1118">
        <v>699</v>
      </c>
      <c r="AL1118" t="b">
        <v>1</v>
      </c>
      <c r="AM1118" t="b">
        <v>1</v>
      </c>
      <c r="AN1118" t="b">
        <v>0</v>
      </c>
      <c r="AO1118">
        <v>99999</v>
      </c>
      <c r="AP1118" t="s">
        <v>64</v>
      </c>
      <c r="AR1118" t="b">
        <v>0</v>
      </c>
      <c r="AS1118">
        <v>12</v>
      </c>
      <c r="AT1118" t="s">
        <v>327</v>
      </c>
      <c r="AV1118" t="s">
        <v>3252</v>
      </c>
    </row>
    <row r="1119" spans="1:48" x14ac:dyDescent="0.25">
      <c r="A1119" t="s">
        <v>3323</v>
      </c>
      <c r="B1119" t="s">
        <v>302</v>
      </c>
      <c r="C1119" t="s">
        <v>62</v>
      </c>
      <c r="D1119">
        <v>99999</v>
      </c>
      <c r="F1119" s="109">
        <v>20000</v>
      </c>
      <c r="G1119" t="b">
        <v>0</v>
      </c>
      <c r="H1119" t="s">
        <v>742</v>
      </c>
      <c r="K1119" t="s">
        <v>379</v>
      </c>
      <c r="L1119" t="s">
        <v>303</v>
      </c>
      <c r="M1119" t="s">
        <v>323</v>
      </c>
      <c r="N1119" t="s">
        <v>63</v>
      </c>
      <c r="O1119" s="110">
        <v>29.9</v>
      </c>
      <c r="R1119" s="110">
        <v>254.79</v>
      </c>
      <c r="S1119" s="110">
        <v>130</v>
      </c>
      <c r="T1119" s="110">
        <v>0</v>
      </c>
      <c r="U1119" s="110">
        <v>34.99</v>
      </c>
      <c r="X1119">
        <v>29.9</v>
      </c>
      <c r="Y1119">
        <v>59.9</v>
      </c>
      <c r="Z1119">
        <v>59.9</v>
      </c>
      <c r="AA1119">
        <v>0</v>
      </c>
      <c r="AB1119" t="s">
        <v>363</v>
      </c>
      <c r="AF1119" t="s">
        <v>2040</v>
      </c>
      <c r="AG1119" t="s">
        <v>2040</v>
      </c>
      <c r="AH1119" t="s">
        <v>1903</v>
      </c>
      <c r="AI1119">
        <v>99999</v>
      </c>
      <c r="AJ1119">
        <v>99999</v>
      </c>
      <c r="AK1119">
        <v>699</v>
      </c>
      <c r="AL1119" t="b">
        <v>1</v>
      </c>
      <c r="AM1119" t="b">
        <v>1</v>
      </c>
      <c r="AN1119" t="b">
        <v>0</v>
      </c>
      <c r="AO1119">
        <v>99999</v>
      </c>
      <c r="AP1119" t="s">
        <v>64</v>
      </c>
      <c r="AR1119" t="b">
        <v>0</v>
      </c>
      <c r="AS1119">
        <v>12</v>
      </c>
      <c r="AT1119" t="s">
        <v>327</v>
      </c>
      <c r="AV1119" t="s">
        <v>2042</v>
      </c>
    </row>
    <row r="1120" spans="1:48" x14ac:dyDescent="0.25">
      <c r="A1120" t="s">
        <v>3323</v>
      </c>
      <c r="B1120" t="s">
        <v>302</v>
      </c>
      <c r="C1120" t="s">
        <v>62</v>
      </c>
      <c r="D1120">
        <v>99999</v>
      </c>
      <c r="F1120" s="109">
        <v>20000</v>
      </c>
      <c r="G1120" t="b">
        <v>0</v>
      </c>
      <c r="H1120" t="s">
        <v>742</v>
      </c>
      <c r="K1120" t="s">
        <v>379</v>
      </c>
      <c r="L1120" t="s">
        <v>303</v>
      </c>
      <c r="M1120" t="s">
        <v>323</v>
      </c>
      <c r="N1120" t="s">
        <v>63</v>
      </c>
      <c r="O1120" s="110">
        <v>39.9</v>
      </c>
      <c r="R1120" s="110">
        <v>254.79</v>
      </c>
      <c r="S1120" s="110">
        <v>130</v>
      </c>
      <c r="T1120" s="110">
        <v>0</v>
      </c>
      <c r="U1120" s="110">
        <v>34.99</v>
      </c>
      <c r="X1120">
        <v>29.9</v>
      </c>
      <c r="Y1120">
        <v>59.9</v>
      </c>
      <c r="Z1120">
        <v>59.9</v>
      </c>
      <c r="AA1120">
        <v>0</v>
      </c>
      <c r="AB1120" t="s">
        <v>363</v>
      </c>
      <c r="AF1120" t="s">
        <v>2047</v>
      </c>
      <c r="AG1120" t="s">
        <v>2047</v>
      </c>
      <c r="AH1120" t="s">
        <v>1903</v>
      </c>
      <c r="AI1120">
        <v>99999</v>
      </c>
      <c r="AJ1120">
        <v>99999</v>
      </c>
      <c r="AK1120">
        <v>699</v>
      </c>
      <c r="AL1120" t="b">
        <v>1</v>
      </c>
      <c r="AM1120" t="b">
        <v>1</v>
      </c>
      <c r="AN1120" t="b">
        <v>0</v>
      </c>
      <c r="AO1120">
        <v>99999</v>
      </c>
      <c r="AP1120" t="s">
        <v>64</v>
      </c>
      <c r="AR1120" t="b">
        <v>0</v>
      </c>
      <c r="AS1120">
        <v>12</v>
      </c>
      <c r="AT1120" t="s">
        <v>327</v>
      </c>
      <c r="AV1120" t="s">
        <v>2049</v>
      </c>
    </row>
    <row r="1121" spans="1:48" x14ac:dyDescent="0.25">
      <c r="A1121" t="s">
        <v>3323</v>
      </c>
      <c r="B1121" t="s">
        <v>302</v>
      </c>
      <c r="C1121" t="s">
        <v>62</v>
      </c>
      <c r="D1121">
        <v>99999</v>
      </c>
      <c r="F1121" s="109">
        <v>20000</v>
      </c>
      <c r="G1121" t="b">
        <v>0</v>
      </c>
      <c r="H1121" t="s">
        <v>742</v>
      </c>
      <c r="K1121" t="s">
        <v>379</v>
      </c>
      <c r="L1121" t="s">
        <v>303</v>
      </c>
      <c r="M1121" t="s">
        <v>323</v>
      </c>
      <c r="N1121" t="s">
        <v>63</v>
      </c>
      <c r="O1121" s="110">
        <v>49.9</v>
      </c>
      <c r="R1121" s="110">
        <v>254.79</v>
      </c>
      <c r="S1121" s="110">
        <v>130</v>
      </c>
      <c r="T1121" s="110">
        <v>0</v>
      </c>
      <c r="U1121" s="110">
        <v>34.99</v>
      </c>
      <c r="X1121">
        <v>29.9</v>
      </c>
      <c r="Y1121">
        <v>59.9</v>
      </c>
      <c r="Z1121">
        <v>59.9</v>
      </c>
      <c r="AA1121">
        <v>0</v>
      </c>
      <c r="AB1121" t="s">
        <v>363</v>
      </c>
      <c r="AF1121" t="s">
        <v>3251</v>
      </c>
      <c r="AG1121" t="s">
        <v>3251</v>
      </c>
      <c r="AH1121" t="s">
        <v>1903</v>
      </c>
      <c r="AI1121">
        <v>99999</v>
      </c>
      <c r="AJ1121">
        <v>99999</v>
      </c>
      <c r="AK1121">
        <v>699</v>
      </c>
      <c r="AL1121" t="b">
        <v>1</v>
      </c>
      <c r="AM1121" t="b">
        <v>1</v>
      </c>
      <c r="AN1121" t="b">
        <v>0</v>
      </c>
      <c r="AO1121">
        <v>99999</v>
      </c>
      <c r="AP1121" t="s">
        <v>64</v>
      </c>
      <c r="AR1121" t="b">
        <v>0</v>
      </c>
      <c r="AS1121">
        <v>12</v>
      </c>
      <c r="AT1121" t="s">
        <v>327</v>
      </c>
      <c r="AV1121" t="s">
        <v>3253</v>
      </c>
    </row>
    <row r="1122" spans="1:48" x14ac:dyDescent="0.25">
      <c r="A1122" t="s">
        <v>3323</v>
      </c>
      <c r="B1122" t="s">
        <v>302</v>
      </c>
      <c r="C1122" t="s">
        <v>62</v>
      </c>
      <c r="D1122">
        <v>99999</v>
      </c>
      <c r="F1122" s="109">
        <v>20000</v>
      </c>
      <c r="G1122" t="b">
        <v>0</v>
      </c>
      <c r="H1122" t="s">
        <v>742</v>
      </c>
      <c r="K1122" t="s">
        <v>61</v>
      </c>
      <c r="L1122" t="s">
        <v>303</v>
      </c>
      <c r="M1122" t="s">
        <v>323</v>
      </c>
      <c r="N1122" t="s">
        <v>63</v>
      </c>
      <c r="O1122" s="110">
        <v>29.9</v>
      </c>
      <c r="R1122" s="110">
        <v>239.79</v>
      </c>
      <c r="S1122" s="110">
        <v>130</v>
      </c>
      <c r="T1122" s="110">
        <v>0</v>
      </c>
      <c r="U1122" s="110">
        <v>34.99</v>
      </c>
      <c r="X1122">
        <v>29.9</v>
      </c>
      <c r="Y1122">
        <v>44.9</v>
      </c>
      <c r="Z1122">
        <v>44.9</v>
      </c>
      <c r="AA1122">
        <v>0</v>
      </c>
      <c r="AB1122" t="s">
        <v>324</v>
      </c>
      <c r="AF1122" t="s">
        <v>2037</v>
      </c>
      <c r="AG1122" t="s">
        <v>2037</v>
      </c>
      <c r="AH1122" t="s">
        <v>1903</v>
      </c>
      <c r="AI1122">
        <v>99999</v>
      </c>
      <c r="AJ1122">
        <v>99999</v>
      </c>
      <c r="AK1122">
        <v>699</v>
      </c>
      <c r="AL1122" t="b">
        <v>1</v>
      </c>
      <c r="AM1122" t="b">
        <v>1</v>
      </c>
      <c r="AN1122" t="b">
        <v>0</v>
      </c>
      <c r="AO1122">
        <v>99999</v>
      </c>
      <c r="AP1122" t="s">
        <v>64</v>
      </c>
      <c r="AR1122" t="b">
        <v>0</v>
      </c>
      <c r="AS1122">
        <v>12</v>
      </c>
      <c r="AT1122" t="s">
        <v>327</v>
      </c>
      <c r="AV1122" t="s">
        <v>2038</v>
      </c>
    </row>
    <row r="1123" spans="1:48" x14ac:dyDescent="0.25">
      <c r="A1123" t="s">
        <v>3323</v>
      </c>
      <c r="B1123" t="s">
        <v>302</v>
      </c>
      <c r="C1123" t="s">
        <v>62</v>
      </c>
      <c r="D1123">
        <v>99999</v>
      </c>
      <c r="F1123" s="109">
        <v>20000</v>
      </c>
      <c r="G1123" t="b">
        <v>0</v>
      </c>
      <c r="H1123" t="s">
        <v>742</v>
      </c>
      <c r="K1123" t="s">
        <v>61</v>
      </c>
      <c r="L1123" t="s">
        <v>303</v>
      </c>
      <c r="M1123" t="s">
        <v>323</v>
      </c>
      <c r="N1123" t="s">
        <v>63</v>
      </c>
      <c r="O1123" s="110">
        <v>39.9</v>
      </c>
      <c r="R1123" s="110">
        <v>239.79</v>
      </c>
      <c r="S1123" s="110">
        <v>130</v>
      </c>
      <c r="T1123" s="110">
        <v>0</v>
      </c>
      <c r="U1123" s="110">
        <v>34.99</v>
      </c>
      <c r="X1123">
        <v>29.9</v>
      </c>
      <c r="Y1123">
        <v>44.9</v>
      </c>
      <c r="Z1123">
        <v>44.9</v>
      </c>
      <c r="AA1123">
        <v>0</v>
      </c>
      <c r="AB1123" t="s">
        <v>324</v>
      </c>
      <c r="AF1123" t="s">
        <v>2044</v>
      </c>
      <c r="AG1123" t="s">
        <v>2044</v>
      </c>
      <c r="AH1123" t="s">
        <v>1903</v>
      </c>
      <c r="AI1123">
        <v>99999</v>
      </c>
      <c r="AJ1123">
        <v>99999</v>
      </c>
      <c r="AK1123">
        <v>699</v>
      </c>
      <c r="AL1123" t="b">
        <v>1</v>
      </c>
      <c r="AM1123" t="b">
        <v>1</v>
      </c>
      <c r="AN1123" t="b">
        <v>0</v>
      </c>
      <c r="AO1123">
        <v>99999</v>
      </c>
      <c r="AP1123" t="s">
        <v>64</v>
      </c>
      <c r="AR1123" t="b">
        <v>0</v>
      </c>
      <c r="AS1123">
        <v>12</v>
      </c>
      <c r="AT1123" t="s">
        <v>327</v>
      </c>
      <c r="AV1123" t="s">
        <v>2045</v>
      </c>
    </row>
    <row r="1124" spans="1:48" x14ac:dyDescent="0.25">
      <c r="A1124" t="s">
        <v>3323</v>
      </c>
      <c r="B1124" t="s">
        <v>302</v>
      </c>
      <c r="C1124" t="s">
        <v>62</v>
      </c>
      <c r="D1124">
        <v>99999</v>
      </c>
      <c r="F1124" s="109">
        <v>20000</v>
      </c>
      <c r="G1124" t="b">
        <v>0</v>
      </c>
      <c r="H1124" t="s">
        <v>742</v>
      </c>
      <c r="K1124" t="s">
        <v>61</v>
      </c>
      <c r="L1124" t="s">
        <v>303</v>
      </c>
      <c r="M1124" t="s">
        <v>323</v>
      </c>
      <c r="N1124" t="s">
        <v>63</v>
      </c>
      <c r="O1124" s="110">
        <v>49.9</v>
      </c>
      <c r="R1124" s="110">
        <v>239.79</v>
      </c>
      <c r="S1124" s="110">
        <v>130</v>
      </c>
      <c r="T1124" s="110">
        <v>0</v>
      </c>
      <c r="U1124" s="110">
        <v>34.99</v>
      </c>
      <c r="X1124">
        <v>29.9</v>
      </c>
      <c r="Y1124">
        <v>44.9</v>
      </c>
      <c r="Z1124">
        <v>44.9</v>
      </c>
      <c r="AA1124">
        <v>0</v>
      </c>
      <c r="AB1124" t="s">
        <v>324</v>
      </c>
      <c r="AF1124" t="s">
        <v>3248</v>
      </c>
      <c r="AG1124" t="s">
        <v>3248</v>
      </c>
      <c r="AH1124" t="s">
        <v>1903</v>
      </c>
      <c r="AI1124">
        <v>99999</v>
      </c>
      <c r="AJ1124">
        <v>99999</v>
      </c>
      <c r="AK1124">
        <v>699</v>
      </c>
      <c r="AL1124" t="b">
        <v>1</v>
      </c>
      <c r="AM1124" t="b">
        <v>1</v>
      </c>
      <c r="AN1124" t="b">
        <v>0</v>
      </c>
      <c r="AO1124">
        <v>99999</v>
      </c>
      <c r="AP1124" t="s">
        <v>64</v>
      </c>
      <c r="AR1124" t="b">
        <v>0</v>
      </c>
      <c r="AS1124">
        <v>12</v>
      </c>
      <c r="AT1124" t="s">
        <v>327</v>
      </c>
      <c r="AV1124" t="s">
        <v>3249</v>
      </c>
    </row>
    <row r="1125" spans="1:48" x14ac:dyDescent="0.25">
      <c r="A1125" t="s">
        <v>3323</v>
      </c>
      <c r="B1125" t="s">
        <v>302</v>
      </c>
      <c r="C1125" t="s">
        <v>62</v>
      </c>
      <c r="D1125">
        <v>99999</v>
      </c>
      <c r="F1125" s="109">
        <v>20000</v>
      </c>
      <c r="G1125" t="b">
        <v>0</v>
      </c>
      <c r="H1125" t="s">
        <v>335</v>
      </c>
      <c r="K1125" t="s">
        <v>349</v>
      </c>
      <c r="L1125" t="s">
        <v>303</v>
      </c>
      <c r="M1125" t="s">
        <v>323</v>
      </c>
      <c r="N1125" t="s">
        <v>63</v>
      </c>
      <c r="O1125" s="110">
        <v>29.9</v>
      </c>
      <c r="R1125" s="110">
        <v>355.58999999999992</v>
      </c>
      <c r="S1125" s="110">
        <v>130</v>
      </c>
      <c r="T1125" s="110">
        <v>0</v>
      </c>
      <c r="U1125" s="110">
        <v>34.99</v>
      </c>
      <c r="X1125">
        <v>145.69999999999993</v>
      </c>
      <c r="Y1125">
        <v>44.9</v>
      </c>
      <c r="Z1125">
        <v>44.9</v>
      </c>
      <c r="AA1125">
        <v>0</v>
      </c>
      <c r="AB1125" t="s">
        <v>324</v>
      </c>
      <c r="AF1125" t="s">
        <v>1902</v>
      </c>
      <c r="AG1125" t="s">
        <v>1902</v>
      </c>
      <c r="AH1125" t="s">
        <v>1903</v>
      </c>
      <c r="AI1125">
        <v>99999</v>
      </c>
      <c r="AJ1125">
        <v>99999</v>
      </c>
      <c r="AK1125">
        <v>699</v>
      </c>
      <c r="AL1125" t="b">
        <v>1</v>
      </c>
      <c r="AM1125" t="b">
        <v>1</v>
      </c>
      <c r="AN1125" t="b">
        <v>0</v>
      </c>
      <c r="AO1125">
        <v>99999</v>
      </c>
      <c r="AP1125" t="s">
        <v>64</v>
      </c>
      <c r="AR1125" t="b">
        <v>0</v>
      </c>
      <c r="AS1125">
        <v>12</v>
      </c>
      <c r="AT1125" t="s">
        <v>327</v>
      </c>
      <c r="AV1125" t="s">
        <v>1921</v>
      </c>
    </row>
    <row r="1126" spans="1:48" x14ac:dyDescent="0.25">
      <c r="A1126" t="s">
        <v>3323</v>
      </c>
      <c r="B1126" t="s">
        <v>302</v>
      </c>
      <c r="C1126" t="s">
        <v>62</v>
      </c>
      <c r="D1126">
        <v>99999</v>
      </c>
      <c r="F1126" s="109">
        <v>20000</v>
      </c>
      <c r="G1126" t="b">
        <v>0</v>
      </c>
      <c r="H1126" t="s">
        <v>335</v>
      </c>
      <c r="K1126" t="s">
        <v>349</v>
      </c>
      <c r="L1126" t="s">
        <v>303</v>
      </c>
      <c r="M1126" t="s">
        <v>323</v>
      </c>
      <c r="N1126" t="s">
        <v>63</v>
      </c>
      <c r="O1126" s="110">
        <v>29.9</v>
      </c>
      <c r="R1126" s="110">
        <v>389.88999999999993</v>
      </c>
      <c r="S1126" s="110">
        <v>130</v>
      </c>
      <c r="T1126" s="110">
        <v>0</v>
      </c>
      <c r="U1126" s="110">
        <v>42.99</v>
      </c>
      <c r="X1126">
        <v>171.99999999999994</v>
      </c>
      <c r="Y1126">
        <v>44.9</v>
      </c>
      <c r="Z1126">
        <v>44.9</v>
      </c>
      <c r="AA1126">
        <v>0</v>
      </c>
      <c r="AB1126" t="s">
        <v>324</v>
      </c>
      <c r="AF1126" t="s">
        <v>2051</v>
      </c>
      <c r="AG1126" t="s">
        <v>2051</v>
      </c>
      <c r="AH1126" t="s">
        <v>1903</v>
      </c>
      <c r="AI1126">
        <v>99999</v>
      </c>
      <c r="AJ1126">
        <v>99999</v>
      </c>
      <c r="AK1126">
        <v>699</v>
      </c>
      <c r="AL1126" t="b">
        <v>1</v>
      </c>
      <c r="AM1126" t="b">
        <v>1</v>
      </c>
      <c r="AN1126" t="b">
        <v>0</v>
      </c>
      <c r="AO1126">
        <v>99999</v>
      </c>
      <c r="AP1126" t="s">
        <v>64</v>
      </c>
      <c r="AR1126" t="b">
        <v>0</v>
      </c>
      <c r="AS1126">
        <v>12</v>
      </c>
      <c r="AT1126" t="s">
        <v>327</v>
      </c>
      <c r="AV1126" t="s">
        <v>2069</v>
      </c>
    </row>
    <row r="1127" spans="1:48" x14ac:dyDescent="0.25">
      <c r="A1127" t="s">
        <v>3323</v>
      </c>
      <c r="B1127" t="s">
        <v>302</v>
      </c>
      <c r="C1127" t="s">
        <v>62</v>
      </c>
      <c r="D1127">
        <v>99999</v>
      </c>
      <c r="F1127" s="109">
        <v>20000</v>
      </c>
      <c r="G1127" t="b">
        <v>0</v>
      </c>
      <c r="H1127" t="s">
        <v>335</v>
      </c>
      <c r="K1127" t="s">
        <v>349</v>
      </c>
      <c r="L1127" t="s">
        <v>303</v>
      </c>
      <c r="M1127" t="s">
        <v>323</v>
      </c>
      <c r="N1127" t="s">
        <v>63</v>
      </c>
      <c r="O1127" s="110">
        <v>39.9</v>
      </c>
      <c r="R1127" s="110">
        <v>355.58999999999992</v>
      </c>
      <c r="S1127" s="110">
        <v>130</v>
      </c>
      <c r="T1127" s="110">
        <v>0</v>
      </c>
      <c r="U1127" s="110">
        <v>34.99</v>
      </c>
      <c r="X1127">
        <v>145.69999999999993</v>
      </c>
      <c r="Y1127">
        <v>44.9</v>
      </c>
      <c r="Z1127">
        <v>44.9</v>
      </c>
      <c r="AA1127">
        <v>0</v>
      </c>
      <c r="AB1127" t="s">
        <v>324</v>
      </c>
      <c r="AF1127" t="s">
        <v>1970</v>
      </c>
      <c r="AG1127" t="s">
        <v>1970</v>
      </c>
      <c r="AH1127" t="s">
        <v>1903</v>
      </c>
      <c r="AI1127">
        <v>99999</v>
      </c>
      <c r="AJ1127">
        <v>99999</v>
      </c>
      <c r="AK1127">
        <v>699</v>
      </c>
      <c r="AL1127" t="b">
        <v>1</v>
      </c>
      <c r="AM1127" t="b">
        <v>1</v>
      </c>
      <c r="AN1127" t="b">
        <v>0</v>
      </c>
      <c r="AO1127">
        <v>99999</v>
      </c>
      <c r="AP1127" t="s">
        <v>64</v>
      </c>
      <c r="AR1127" t="b">
        <v>0</v>
      </c>
      <c r="AS1127">
        <v>12</v>
      </c>
      <c r="AT1127" t="s">
        <v>327</v>
      </c>
      <c r="AV1127" t="s">
        <v>1988</v>
      </c>
    </row>
    <row r="1128" spans="1:48" x14ac:dyDescent="0.25">
      <c r="A1128" t="s">
        <v>3323</v>
      </c>
      <c r="B1128" t="s">
        <v>302</v>
      </c>
      <c r="C1128" t="s">
        <v>62</v>
      </c>
      <c r="D1128">
        <v>99999</v>
      </c>
      <c r="F1128" s="109">
        <v>20000</v>
      </c>
      <c r="G1128" t="b">
        <v>0</v>
      </c>
      <c r="H1128" t="s">
        <v>335</v>
      </c>
      <c r="K1128" t="s">
        <v>349</v>
      </c>
      <c r="L1128" t="s">
        <v>303</v>
      </c>
      <c r="M1128" t="s">
        <v>323</v>
      </c>
      <c r="N1128" t="s">
        <v>63</v>
      </c>
      <c r="O1128" s="110">
        <v>39.9</v>
      </c>
      <c r="R1128" s="110">
        <v>389.88999999999993</v>
      </c>
      <c r="S1128" s="110">
        <v>130</v>
      </c>
      <c r="T1128" s="110">
        <v>0</v>
      </c>
      <c r="U1128" s="110">
        <v>42.99</v>
      </c>
      <c r="X1128">
        <v>171.99999999999994</v>
      </c>
      <c r="Y1128">
        <v>44.9</v>
      </c>
      <c r="Z1128">
        <v>44.9</v>
      </c>
      <c r="AA1128">
        <v>0</v>
      </c>
      <c r="AB1128" t="s">
        <v>324</v>
      </c>
      <c r="AF1128" t="s">
        <v>2118</v>
      </c>
      <c r="AG1128" t="s">
        <v>2118</v>
      </c>
      <c r="AH1128" t="s">
        <v>1903</v>
      </c>
      <c r="AI1128">
        <v>99999</v>
      </c>
      <c r="AJ1128">
        <v>99999</v>
      </c>
      <c r="AK1128">
        <v>699</v>
      </c>
      <c r="AL1128" t="b">
        <v>1</v>
      </c>
      <c r="AM1128" t="b">
        <v>1</v>
      </c>
      <c r="AN1128" t="b">
        <v>0</v>
      </c>
      <c r="AO1128">
        <v>99999</v>
      </c>
      <c r="AP1128" t="s">
        <v>64</v>
      </c>
      <c r="AR1128" t="b">
        <v>0</v>
      </c>
      <c r="AS1128">
        <v>12</v>
      </c>
      <c r="AT1128" t="s">
        <v>327</v>
      </c>
      <c r="AV1128" t="s">
        <v>2136</v>
      </c>
    </row>
    <row r="1129" spans="1:48" x14ac:dyDescent="0.25">
      <c r="A1129" t="s">
        <v>3323</v>
      </c>
      <c r="B1129" t="s">
        <v>302</v>
      </c>
      <c r="C1129" t="s">
        <v>62</v>
      </c>
      <c r="D1129">
        <v>99999</v>
      </c>
      <c r="F1129" s="109">
        <v>20000</v>
      </c>
      <c r="G1129" t="b">
        <v>0</v>
      </c>
      <c r="H1129" t="s">
        <v>335</v>
      </c>
      <c r="K1129" t="s">
        <v>349</v>
      </c>
      <c r="L1129" t="s">
        <v>303</v>
      </c>
      <c r="M1129" t="s">
        <v>323</v>
      </c>
      <c r="N1129" t="s">
        <v>63</v>
      </c>
      <c r="O1129" s="110">
        <v>49.9</v>
      </c>
      <c r="R1129" s="110">
        <v>355.58999999999992</v>
      </c>
      <c r="S1129" s="110">
        <v>130</v>
      </c>
      <c r="T1129" s="110">
        <v>0</v>
      </c>
      <c r="U1129" s="110">
        <v>34.99</v>
      </c>
      <c r="X1129">
        <v>145.69999999999993</v>
      </c>
      <c r="Y1129">
        <v>44.9</v>
      </c>
      <c r="Z1129">
        <v>44.9</v>
      </c>
      <c r="AA1129">
        <v>0</v>
      </c>
      <c r="AB1129" t="s">
        <v>324</v>
      </c>
      <c r="AF1129" t="s">
        <v>3181</v>
      </c>
      <c r="AG1129" t="s">
        <v>3181</v>
      </c>
      <c r="AH1129" t="s">
        <v>1903</v>
      </c>
      <c r="AI1129">
        <v>99999</v>
      </c>
      <c r="AJ1129">
        <v>99999</v>
      </c>
      <c r="AK1129">
        <v>699</v>
      </c>
      <c r="AL1129" t="b">
        <v>1</v>
      </c>
      <c r="AM1129" t="b">
        <v>1</v>
      </c>
      <c r="AN1129" t="b">
        <v>0</v>
      </c>
      <c r="AO1129">
        <v>99999</v>
      </c>
      <c r="AP1129" t="s">
        <v>64</v>
      </c>
      <c r="AR1129" t="b">
        <v>0</v>
      </c>
      <c r="AS1129">
        <v>12</v>
      </c>
      <c r="AT1129" t="s">
        <v>327</v>
      </c>
      <c r="AV1129" t="s">
        <v>3199</v>
      </c>
    </row>
    <row r="1130" spans="1:48" x14ac:dyDescent="0.25">
      <c r="A1130" t="s">
        <v>3323</v>
      </c>
      <c r="B1130" t="s">
        <v>302</v>
      </c>
      <c r="C1130" t="s">
        <v>62</v>
      </c>
      <c r="D1130">
        <v>99999</v>
      </c>
      <c r="F1130" s="109">
        <v>20000</v>
      </c>
      <c r="G1130" t="b">
        <v>0</v>
      </c>
      <c r="H1130" t="s">
        <v>335</v>
      </c>
      <c r="K1130" t="s">
        <v>349</v>
      </c>
      <c r="L1130" t="s">
        <v>303</v>
      </c>
      <c r="M1130" t="s">
        <v>323</v>
      </c>
      <c r="N1130" t="s">
        <v>63</v>
      </c>
      <c r="O1130" s="110">
        <v>49.9</v>
      </c>
      <c r="R1130" s="110">
        <v>389.88999999999993</v>
      </c>
      <c r="S1130" s="110">
        <v>130</v>
      </c>
      <c r="T1130" s="110">
        <v>0</v>
      </c>
      <c r="U1130" s="110">
        <v>42.99</v>
      </c>
      <c r="X1130">
        <v>171.99999999999994</v>
      </c>
      <c r="Y1130">
        <v>44.9</v>
      </c>
      <c r="Z1130">
        <v>44.9</v>
      </c>
      <c r="AA1130">
        <v>0</v>
      </c>
      <c r="AB1130" t="s">
        <v>324</v>
      </c>
      <c r="AF1130" t="s">
        <v>3255</v>
      </c>
      <c r="AG1130" t="s">
        <v>3255</v>
      </c>
      <c r="AH1130" t="s">
        <v>1903</v>
      </c>
      <c r="AI1130">
        <v>99999</v>
      </c>
      <c r="AJ1130">
        <v>99999</v>
      </c>
      <c r="AK1130">
        <v>699</v>
      </c>
      <c r="AL1130" t="b">
        <v>1</v>
      </c>
      <c r="AM1130" t="b">
        <v>1</v>
      </c>
      <c r="AN1130" t="b">
        <v>0</v>
      </c>
      <c r="AO1130">
        <v>99999</v>
      </c>
      <c r="AP1130" t="s">
        <v>64</v>
      </c>
      <c r="AR1130" t="b">
        <v>0</v>
      </c>
      <c r="AS1130">
        <v>12</v>
      </c>
      <c r="AT1130" t="s">
        <v>327</v>
      </c>
      <c r="AV1130" t="s">
        <v>3273</v>
      </c>
    </row>
    <row r="1131" spans="1:48" x14ac:dyDescent="0.25">
      <c r="A1131" t="s">
        <v>3323</v>
      </c>
      <c r="B1131" t="s">
        <v>302</v>
      </c>
      <c r="C1131" t="s">
        <v>62</v>
      </c>
      <c r="D1131">
        <v>99999</v>
      </c>
      <c r="F1131" s="109">
        <v>20000</v>
      </c>
      <c r="G1131" t="b">
        <v>0</v>
      </c>
      <c r="H1131" t="s">
        <v>335</v>
      </c>
      <c r="K1131" t="s">
        <v>393</v>
      </c>
      <c r="L1131" t="s">
        <v>303</v>
      </c>
      <c r="M1131" t="s">
        <v>323</v>
      </c>
      <c r="N1131" t="s">
        <v>63</v>
      </c>
      <c r="O1131" s="110">
        <v>29.9</v>
      </c>
      <c r="R1131" s="110">
        <v>380.58999999999992</v>
      </c>
      <c r="S1131" s="110">
        <v>130</v>
      </c>
      <c r="T1131" s="110">
        <v>0</v>
      </c>
      <c r="U1131" s="110">
        <v>34.99</v>
      </c>
      <c r="X1131">
        <v>145.69999999999993</v>
      </c>
      <c r="Y1131">
        <v>69.900000000000006</v>
      </c>
      <c r="Z1131">
        <v>69.900000000000006</v>
      </c>
      <c r="AA1131">
        <v>0</v>
      </c>
      <c r="AB1131" t="s">
        <v>363</v>
      </c>
      <c r="AF1131" t="s">
        <v>1930</v>
      </c>
      <c r="AG1131" t="s">
        <v>1930</v>
      </c>
      <c r="AH1131" t="s">
        <v>1903</v>
      </c>
      <c r="AI1131">
        <v>99999</v>
      </c>
      <c r="AJ1131">
        <v>99999</v>
      </c>
      <c r="AK1131">
        <v>699</v>
      </c>
      <c r="AL1131" t="b">
        <v>1</v>
      </c>
      <c r="AM1131" t="b">
        <v>1</v>
      </c>
      <c r="AN1131" t="b">
        <v>0</v>
      </c>
      <c r="AO1131">
        <v>99999</v>
      </c>
      <c r="AP1131" t="s">
        <v>64</v>
      </c>
      <c r="AR1131" t="b">
        <v>0</v>
      </c>
      <c r="AS1131">
        <v>12</v>
      </c>
      <c r="AT1131" t="s">
        <v>327</v>
      </c>
      <c r="AV1131" t="s">
        <v>1961</v>
      </c>
    </row>
    <row r="1132" spans="1:48" x14ac:dyDescent="0.25">
      <c r="A1132" t="s">
        <v>3323</v>
      </c>
      <c r="B1132" t="s">
        <v>302</v>
      </c>
      <c r="C1132" t="s">
        <v>62</v>
      </c>
      <c r="D1132">
        <v>99999</v>
      </c>
      <c r="F1132" s="109">
        <v>20000</v>
      </c>
      <c r="G1132" t="b">
        <v>0</v>
      </c>
      <c r="H1132" t="s">
        <v>335</v>
      </c>
      <c r="K1132" t="s">
        <v>393</v>
      </c>
      <c r="L1132" t="s">
        <v>303</v>
      </c>
      <c r="M1132" t="s">
        <v>323</v>
      </c>
      <c r="N1132" t="s">
        <v>63</v>
      </c>
      <c r="O1132" s="110">
        <v>29.9</v>
      </c>
      <c r="R1132" s="110">
        <v>414.89</v>
      </c>
      <c r="S1132" s="110">
        <v>130</v>
      </c>
      <c r="T1132" s="110">
        <v>0</v>
      </c>
      <c r="U1132" s="110">
        <v>42.99</v>
      </c>
      <c r="X1132">
        <v>171.99999999999994</v>
      </c>
      <c r="Y1132">
        <v>69.900000000000006</v>
      </c>
      <c r="Z1132">
        <v>69.900000000000006</v>
      </c>
      <c r="AA1132">
        <v>0</v>
      </c>
      <c r="AB1132" t="s">
        <v>363</v>
      </c>
      <c r="AF1132" t="s">
        <v>2078</v>
      </c>
      <c r="AG1132" t="s">
        <v>2078</v>
      </c>
      <c r="AH1132" t="s">
        <v>1903</v>
      </c>
      <c r="AI1132">
        <v>99999</v>
      </c>
      <c r="AJ1132">
        <v>99999</v>
      </c>
      <c r="AK1132">
        <v>699</v>
      </c>
      <c r="AL1132" t="b">
        <v>1</v>
      </c>
      <c r="AM1132" t="b">
        <v>1</v>
      </c>
      <c r="AN1132" t="b">
        <v>0</v>
      </c>
      <c r="AO1132">
        <v>99999</v>
      </c>
      <c r="AP1132" t="s">
        <v>64</v>
      </c>
      <c r="AR1132" t="b">
        <v>0</v>
      </c>
      <c r="AS1132">
        <v>12</v>
      </c>
      <c r="AT1132" t="s">
        <v>327</v>
      </c>
      <c r="AV1132" t="s">
        <v>2109</v>
      </c>
    </row>
    <row r="1133" spans="1:48" x14ac:dyDescent="0.25">
      <c r="A1133" t="s">
        <v>3323</v>
      </c>
      <c r="B1133" t="s">
        <v>302</v>
      </c>
      <c r="C1133" t="s">
        <v>62</v>
      </c>
      <c r="D1133">
        <v>99999</v>
      </c>
      <c r="F1133" s="109">
        <v>20000</v>
      </c>
      <c r="G1133" t="b">
        <v>0</v>
      </c>
      <c r="H1133" t="s">
        <v>335</v>
      </c>
      <c r="K1133" t="s">
        <v>393</v>
      </c>
      <c r="L1133" t="s">
        <v>303</v>
      </c>
      <c r="M1133" t="s">
        <v>323</v>
      </c>
      <c r="N1133" t="s">
        <v>63</v>
      </c>
      <c r="O1133" s="110">
        <v>39.9</v>
      </c>
      <c r="R1133" s="110">
        <v>380.58999999999992</v>
      </c>
      <c r="S1133" s="110">
        <v>130</v>
      </c>
      <c r="T1133" s="110">
        <v>0</v>
      </c>
      <c r="U1133" s="110">
        <v>34.99</v>
      </c>
      <c r="X1133">
        <v>145.69999999999993</v>
      </c>
      <c r="Y1133">
        <v>69.900000000000006</v>
      </c>
      <c r="Z1133">
        <v>69.900000000000006</v>
      </c>
      <c r="AA1133">
        <v>0</v>
      </c>
      <c r="AB1133" t="s">
        <v>363</v>
      </c>
      <c r="AF1133" t="s">
        <v>1997</v>
      </c>
      <c r="AG1133" t="s">
        <v>1997</v>
      </c>
      <c r="AH1133" t="s">
        <v>1903</v>
      </c>
      <c r="AI1133">
        <v>99999</v>
      </c>
      <c r="AJ1133">
        <v>99999</v>
      </c>
      <c r="AK1133">
        <v>699</v>
      </c>
      <c r="AL1133" t="b">
        <v>1</v>
      </c>
      <c r="AM1133" t="b">
        <v>1</v>
      </c>
      <c r="AN1133" t="b">
        <v>0</v>
      </c>
      <c r="AO1133">
        <v>99999</v>
      </c>
      <c r="AP1133" t="s">
        <v>64</v>
      </c>
      <c r="AR1133" t="b">
        <v>0</v>
      </c>
      <c r="AS1133">
        <v>12</v>
      </c>
      <c r="AT1133" t="s">
        <v>327</v>
      </c>
      <c r="AV1133" t="s">
        <v>2028</v>
      </c>
    </row>
    <row r="1134" spans="1:48" x14ac:dyDescent="0.25">
      <c r="A1134" t="s">
        <v>3323</v>
      </c>
      <c r="B1134" t="s">
        <v>302</v>
      </c>
      <c r="C1134" t="s">
        <v>62</v>
      </c>
      <c r="D1134">
        <v>99999</v>
      </c>
      <c r="F1134" s="109">
        <v>20000</v>
      </c>
      <c r="G1134" t="b">
        <v>0</v>
      </c>
      <c r="H1134" t="s">
        <v>335</v>
      </c>
      <c r="K1134" t="s">
        <v>393</v>
      </c>
      <c r="L1134" t="s">
        <v>303</v>
      </c>
      <c r="M1134" t="s">
        <v>323</v>
      </c>
      <c r="N1134" t="s">
        <v>63</v>
      </c>
      <c r="O1134" s="110">
        <v>39.9</v>
      </c>
      <c r="R1134" s="110">
        <v>414.89</v>
      </c>
      <c r="S1134" s="110">
        <v>130</v>
      </c>
      <c r="T1134" s="110">
        <v>0</v>
      </c>
      <c r="U1134" s="110">
        <v>42.99</v>
      </c>
      <c r="X1134">
        <v>171.99999999999994</v>
      </c>
      <c r="Y1134">
        <v>69.900000000000006</v>
      </c>
      <c r="Z1134">
        <v>69.900000000000006</v>
      </c>
      <c r="AA1134">
        <v>0</v>
      </c>
      <c r="AB1134" t="s">
        <v>363</v>
      </c>
      <c r="AF1134" t="s">
        <v>2145</v>
      </c>
      <c r="AG1134" t="s">
        <v>2145</v>
      </c>
      <c r="AH1134" t="s">
        <v>1903</v>
      </c>
      <c r="AI1134">
        <v>99999</v>
      </c>
      <c r="AJ1134">
        <v>99999</v>
      </c>
      <c r="AK1134">
        <v>699</v>
      </c>
      <c r="AL1134" t="b">
        <v>1</v>
      </c>
      <c r="AM1134" t="b">
        <v>1</v>
      </c>
      <c r="AN1134" t="b">
        <v>0</v>
      </c>
      <c r="AO1134">
        <v>99999</v>
      </c>
      <c r="AP1134" t="s">
        <v>64</v>
      </c>
      <c r="AR1134" t="b">
        <v>0</v>
      </c>
      <c r="AS1134">
        <v>12</v>
      </c>
      <c r="AT1134" t="s">
        <v>327</v>
      </c>
      <c r="AV1134" t="s">
        <v>2176</v>
      </c>
    </row>
    <row r="1135" spans="1:48" x14ac:dyDescent="0.25">
      <c r="A1135" t="s">
        <v>3323</v>
      </c>
      <c r="B1135" t="s">
        <v>302</v>
      </c>
      <c r="C1135" t="s">
        <v>62</v>
      </c>
      <c r="D1135">
        <v>99999</v>
      </c>
      <c r="F1135" s="109">
        <v>20000</v>
      </c>
      <c r="G1135" t="b">
        <v>0</v>
      </c>
      <c r="H1135" t="s">
        <v>335</v>
      </c>
      <c r="K1135" t="s">
        <v>393</v>
      </c>
      <c r="L1135" t="s">
        <v>303</v>
      </c>
      <c r="M1135" t="s">
        <v>323</v>
      </c>
      <c r="N1135" t="s">
        <v>63</v>
      </c>
      <c r="O1135" s="110">
        <v>49.9</v>
      </c>
      <c r="R1135" s="110">
        <v>380.58999999999992</v>
      </c>
      <c r="S1135" s="110">
        <v>130</v>
      </c>
      <c r="T1135" s="110">
        <v>0</v>
      </c>
      <c r="U1135" s="110">
        <v>34.99</v>
      </c>
      <c r="X1135">
        <v>145.69999999999993</v>
      </c>
      <c r="Y1135">
        <v>69.900000000000006</v>
      </c>
      <c r="Z1135">
        <v>69.900000000000006</v>
      </c>
      <c r="AA1135">
        <v>0</v>
      </c>
      <c r="AB1135" t="s">
        <v>363</v>
      </c>
      <c r="AF1135" t="s">
        <v>3208</v>
      </c>
      <c r="AG1135" t="s">
        <v>3208</v>
      </c>
      <c r="AH1135" t="s">
        <v>1903</v>
      </c>
      <c r="AI1135">
        <v>99999</v>
      </c>
      <c r="AJ1135">
        <v>99999</v>
      </c>
      <c r="AK1135">
        <v>699</v>
      </c>
      <c r="AL1135" t="b">
        <v>1</v>
      </c>
      <c r="AM1135" t="b">
        <v>1</v>
      </c>
      <c r="AN1135" t="b">
        <v>0</v>
      </c>
      <c r="AO1135">
        <v>99999</v>
      </c>
      <c r="AP1135" t="s">
        <v>64</v>
      </c>
      <c r="AR1135" t="b">
        <v>0</v>
      </c>
      <c r="AS1135">
        <v>12</v>
      </c>
      <c r="AT1135" t="s">
        <v>327</v>
      </c>
      <c r="AV1135" t="s">
        <v>3239</v>
      </c>
    </row>
    <row r="1136" spans="1:48" x14ac:dyDescent="0.25">
      <c r="A1136" t="s">
        <v>3323</v>
      </c>
      <c r="B1136" t="s">
        <v>302</v>
      </c>
      <c r="C1136" t="s">
        <v>62</v>
      </c>
      <c r="D1136">
        <v>99999</v>
      </c>
      <c r="F1136" s="109">
        <v>20000</v>
      </c>
      <c r="G1136" t="b">
        <v>0</v>
      </c>
      <c r="H1136" t="s">
        <v>335</v>
      </c>
      <c r="K1136" t="s">
        <v>393</v>
      </c>
      <c r="L1136" t="s">
        <v>303</v>
      </c>
      <c r="M1136" t="s">
        <v>323</v>
      </c>
      <c r="N1136" t="s">
        <v>63</v>
      </c>
      <c r="O1136" s="110">
        <v>49.9</v>
      </c>
      <c r="R1136" s="110">
        <v>414.89</v>
      </c>
      <c r="S1136" s="110">
        <v>130</v>
      </c>
      <c r="T1136" s="110">
        <v>0</v>
      </c>
      <c r="U1136" s="110">
        <v>42.99</v>
      </c>
      <c r="X1136">
        <v>171.99999999999994</v>
      </c>
      <c r="Y1136">
        <v>69.900000000000006</v>
      </c>
      <c r="Z1136">
        <v>69.900000000000006</v>
      </c>
      <c r="AA1136">
        <v>0</v>
      </c>
      <c r="AB1136" t="s">
        <v>363</v>
      </c>
      <c r="AF1136" t="s">
        <v>3282</v>
      </c>
      <c r="AG1136" t="s">
        <v>3282</v>
      </c>
      <c r="AH1136" t="s">
        <v>1903</v>
      </c>
      <c r="AI1136">
        <v>99999</v>
      </c>
      <c r="AJ1136">
        <v>99999</v>
      </c>
      <c r="AK1136">
        <v>699</v>
      </c>
      <c r="AL1136" t="b">
        <v>1</v>
      </c>
      <c r="AM1136" t="b">
        <v>1</v>
      </c>
      <c r="AN1136" t="b">
        <v>0</v>
      </c>
      <c r="AO1136">
        <v>99999</v>
      </c>
      <c r="AP1136" t="s">
        <v>64</v>
      </c>
      <c r="AR1136" t="b">
        <v>0</v>
      </c>
      <c r="AS1136">
        <v>12</v>
      </c>
      <c r="AT1136" t="s">
        <v>327</v>
      </c>
      <c r="AV1136" t="s">
        <v>3313</v>
      </c>
    </row>
    <row r="1137" spans="1:48" x14ac:dyDescent="0.25">
      <c r="A1137" t="s">
        <v>3323</v>
      </c>
      <c r="B1137" t="s">
        <v>302</v>
      </c>
      <c r="C1137" t="s">
        <v>62</v>
      </c>
      <c r="D1137">
        <v>99999</v>
      </c>
      <c r="F1137" s="109">
        <v>20000</v>
      </c>
      <c r="G1137" t="b">
        <v>0</v>
      </c>
      <c r="H1137" t="s">
        <v>335</v>
      </c>
      <c r="K1137" t="s">
        <v>364</v>
      </c>
      <c r="L1137" t="s">
        <v>303</v>
      </c>
      <c r="M1137" t="s">
        <v>323</v>
      </c>
      <c r="N1137" t="s">
        <v>63</v>
      </c>
      <c r="O1137" s="110">
        <v>29.9</v>
      </c>
      <c r="R1137" s="110">
        <v>360.58999999999992</v>
      </c>
      <c r="S1137" s="110">
        <v>130</v>
      </c>
      <c r="T1137" s="110">
        <v>0</v>
      </c>
      <c r="U1137" s="110">
        <v>34.99</v>
      </c>
      <c r="X1137">
        <v>145.69999999999993</v>
      </c>
      <c r="Y1137">
        <v>49.9</v>
      </c>
      <c r="Z1137">
        <v>49.9</v>
      </c>
      <c r="AA1137">
        <v>0</v>
      </c>
      <c r="AB1137" t="s">
        <v>363</v>
      </c>
      <c r="AF1137" t="s">
        <v>1930</v>
      </c>
      <c r="AG1137" t="s">
        <v>1930</v>
      </c>
      <c r="AH1137" t="s">
        <v>1903</v>
      </c>
      <c r="AI1137">
        <v>99999</v>
      </c>
      <c r="AJ1137">
        <v>99999</v>
      </c>
      <c r="AK1137">
        <v>699</v>
      </c>
      <c r="AL1137" t="b">
        <v>1</v>
      </c>
      <c r="AM1137" t="b">
        <v>1</v>
      </c>
      <c r="AN1137" t="b">
        <v>0</v>
      </c>
      <c r="AO1137">
        <v>99999</v>
      </c>
      <c r="AP1137" t="s">
        <v>64</v>
      </c>
      <c r="AR1137" t="b">
        <v>0</v>
      </c>
      <c r="AS1137">
        <v>12</v>
      </c>
      <c r="AT1137" t="s">
        <v>327</v>
      </c>
      <c r="AV1137" t="s">
        <v>1935</v>
      </c>
    </row>
    <row r="1138" spans="1:48" x14ac:dyDescent="0.25">
      <c r="A1138" t="s">
        <v>3323</v>
      </c>
      <c r="B1138" t="s">
        <v>302</v>
      </c>
      <c r="C1138" t="s">
        <v>62</v>
      </c>
      <c r="D1138">
        <v>99999</v>
      </c>
      <c r="F1138" s="109">
        <v>20000</v>
      </c>
      <c r="G1138" t="b">
        <v>0</v>
      </c>
      <c r="H1138" t="s">
        <v>335</v>
      </c>
      <c r="K1138" t="s">
        <v>364</v>
      </c>
      <c r="L1138" t="s">
        <v>303</v>
      </c>
      <c r="M1138" t="s">
        <v>323</v>
      </c>
      <c r="N1138" t="s">
        <v>63</v>
      </c>
      <c r="O1138" s="110">
        <v>29.9</v>
      </c>
      <c r="R1138" s="110">
        <v>394.88999999999993</v>
      </c>
      <c r="S1138" s="110">
        <v>130</v>
      </c>
      <c r="T1138" s="110">
        <v>0</v>
      </c>
      <c r="U1138" s="110">
        <v>42.99</v>
      </c>
      <c r="X1138">
        <v>171.99999999999994</v>
      </c>
      <c r="Y1138">
        <v>49.9</v>
      </c>
      <c r="Z1138">
        <v>49.9</v>
      </c>
      <c r="AA1138">
        <v>0</v>
      </c>
      <c r="AB1138" t="s">
        <v>363</v>
      </c>
      <c r="AF1138" t="s">
        <v>2078</v>
      </c>
      <c r="AG1138" t="s">
        <v>2078</v>
      </c>
      <c r="AH1138" t="s">
        <v>1903</v>
      </c>
      <c r="AI1138">
        <v>99999</v>
      </c>
      <c r="AJ1138">
        <v>99999</v>
      </c>
      <c r="AK1138">
        <v>699</v>
      </c>
      <c r="AL1138" t="b">
        <v>1</v>
      </c>
      <c r="AM1138" t="b">
        <v>1</v>
      </c>
      <c r="AN1138" t="b">
        <v>0</v>
      </c>
      <c r="AO1138">
        <v>99999</v>
      </c>
      <c r="AP1138" t="s">
        <v>64</v>
      </c>
      <c r="AR1138" t="b">
        <v>0</v>
      </c>
      <c r="AS1138">
        <v>12</v>
      </c>
      <c r="AT1138" t="s">
        <v>327</v>
      </c>
      <c r="AV1138" t="s">
        <v>2083</v>
      </c>
    </row>
    <row r="1139" spans="1:48" x14ac:dyDescent="0.25">
      <c r="A1139" t="s">
        <v>3323</v>
      </c>
      <c r="B1139" t="s">
        <v>302</v>
      </c>
      <c r="C1139" t="s">
        <v>62</v>
      </c>
      <c r="D1139">
        <v>99999</v>
      </c>
      <c r="F1139" s="109">
        <v>20000</v>
      </c>
      <c r="G1139" t="b">
        <v>0</v>
      </c>
      <c r="H1139" t="s">
        <v>335</v>
      </c>
      <c r="K1139" t="s">
        <v>364</v>
      </c>
      <c r="L1139" t="s">
        <v>303</v>
      </c>
      <c r="M1139" t="s">
        <v>323</v>
      </c>
      <c r="N1139" t="s">
        <v>63</v>
      </c>
      <c r="O1139" s="110">
        <v>39.9</v>
      </c>
      <c r="R1139" s="110">
        <v>360.58999999999992</v>
      </c>
      <c r="S1139" s="110">
        <v>130</v>
      </c>
      <c r="T1139" s="110">
        <v>0</v>
      </c>
      <c r="U1139" s="110">
        <v>34.99</v>
      </c>
      <c r="X1139">
        <v>145.69999999999993</v>
      </c>
      <c r="Y1139">
        <v>49.9</v>
      </c>
      <c r="Z1139">
        <v>49.9</v>
      </c>
      <c r="AA1139">
        <v>0</v>
      </c>
      <c r="AB1139" t="s">
        <v>363</v>
      </c>
      <c r="AF1139" t="s">
        <v>1997</v>
      </c>
      <c r="AG1139" t="s">
        <v>1997</v>
      </c>
      <c r="AH1139" t="s">
        <v>1903</v>
      </c>
      <c r="AI1139">
        <v>99999</v>
      </c>
      <c r="AJ1139">
        <v>99999</v>
      </c>
      <c r="AK1139">
        <v>699</v>
      </c>
      <c r="AL1139" t="b">
        <v>1</v>
      </c>
      <c r="AM1139" t="b">
        <v>1</v>
      </c>
      <c r="AN1139" t="b">
        <v>0</v>
      </c>
      <c r="AO1139">
        <v>99999</v>
      </c>
      <c r="AP1139" t="s">
        <v>64</v>
      </c>
      <c r="AR1139" t="b">
        <v>0</v>
      </c>
      <c r="AS1139">
        <v>12</v>
      </c>
      <c r="AT1139" t="s">
        <v>327</v>
      </c>
      <c r="AV1139" t="s">
        <v>2002</v>
      </c>
    </row>
    <row r="1140" spans="1:48" x14ac:dyDescent="0.25">
      <c r="A1140" t="s">
        <v>3323</v>
      </c>
      <c r="B1140" t="s">
        <v>302</v>
      </c>
      <c r="C1140" t="s">
        <v>62</v>
      </c>
      <c r="D1140">
        <v>99999</v>
      </c>
      <c r="F1140" s="109">
        <v>20000</v>
      </c>
      <c r="G1140" t="b">
        <v>0</v>
      </c>
      <c r="H1140" t="s">
        <v>335</v>
      </c>
      <c r="K1140" t="s">
        <v>364</v>
      </c>
      <c r="L1140" t="s">
        <v>303</v>
      </c>
      <c r="M1140" t="s">
        <v>323</v>
      </c>
      <c r="N1140" t="s">
        <v>63</v>
      </c>
      <c r="O1140" s="110">
        <v>39.9</v>
      </c>
      <c r="R1140" s="110">
        <v>394.88999999999993</v>
      </c>
      <c r="S1140" s="110">
        <v>130</v>
      </c>
      <c r="T1140" s="110">
        <v>0</v>
      </c>
      <c r="U1140" s="110">
        <v>42.99</v>
      </c>
      <c r="X1140">
        <v>171.99999999999994</v>
      </c>
      <c r="Y1140">
        <v>49.9</v>
      </c>
      <c r="Z1140">
        <v>49.9</v>
      </c>
      <c r="AA1140">
        <v>0</v>
      </c>
      <c r="AB1140" t="s">
        <v>363</v>
      </c>
      <c r="AF1140" t="s">
        <v>2145</v>
      </c>
      <c r="AG1140" t="s">
        <v>2145</v>
      </c>
      <c r="AH1140" t="s">
        <v>1903</v>
      </c>
      <c r="AI1140">
        <v>99999</v>
      </c>
      <c r="AJ1140">
        <v>99999</v>
      </c>
      <c r="AK1140">
        <v>699</v>
      </c>
      <c r="AL1140" t="b">
        <v>1</v>
      </c>
      <c r="AM1140" t="b">
        <v>1</v>
      </c>
      <c r="AN1140" t="b">
        <v>0</v>
      </c>
      <c r="AO1140">
        <v>99999</v>
      </c>
      <c r="AP1140" t="s">
        <v>64</v>
      </c>
      <c r="AR1140" t="b">
        <v>0</v>
      </c>
      <c r="AS1140">
        <v>12</v>
      </c>
      <c r="AT1140" t="s">
        <v>327</v>
      </c>
      <c r="AV1140" t="s">
        <v>2150</v>
      </c>
    </row>
    <row r="1141" spans="1:48" x14ac:dyDescent="0.25">
      <c r="A1141" t="s">
        <v>3323</v>
      </c>
      <c r="B1141" t="s">
        <v>302</v>
      </c>
      <c r="C1141" t="s">
        <v>62</v>
      </c>
      <c r="D1141">
        <v>99999</v>
      </c>
      <c r="F1141" s="109">
        <v>20000</v>
      </c>
      <c r="G1141" t="b">
        <v>0</v>
      </c>
      <c r="H1141" t="s">
        <v>335</v>
      </c>
      <c r="K1141" t="s">
        <v>364</v>
      </c>
      <c r="L1141" t="s">
        <v>303</v>
      </c>
      <c r="M1141" t="s">
        <v>323</v>
      </c>
      <c r="N1141" t="s">
        <v>63</v>
      </c>
      <c r="O1141" s="110">
        <v>49.9</v>
      </c>
      <c r="R1141" s="110">
        <v>360.58999999999992</v>
      </c>
      <c r="S1141" s="110">
        <v>130</v>
      </c>
      <c r="T1141" s="110">
        <v>0</v>
      </c>
      <c r="U1141" s="110">
        <v>34.99</v>
      </c>
      <c r="X1141">
        <v>145.69999999999993</v>
      </c>
      <c r="Y1141">
        <v>49.9</v>
      </c>
      <c r="Z1141">
        <v>49.9</v>
      </c>
      <c r="AA1141">
        <v>0</v>
      </c>
      <c r="AB1141" t="s">
        <v>363</v>
      </c>
      <c r="AF1141" t="s">
        <v>3208</v>
      </c>
      <c r="AG1141" t="s">
        <v>3208</v>
      </c>
      <c r="AH1141" t="s">
        <v>1903</v>
      </c>
      <c r="AI1141">
        <v>99999</v>
      </c>
      <c r="AJ1141">
        <v>99999</v>
      </c>
      <c r="AK1141">
        <v>699</v>
      </c>
      <c r="AL1141" t="b">
        <v>1</v>
      </c>
      <c r="AM1141" t="b">
        <v>1</v>
      </c>
      <c r="AN1141" t="b">
        <v>0</v>
      </c>
      <c r="AO1141">
        <v>99999</v>
      </c>
      <c r="AP1141" t="s">
        <v>64</v>
      </c>
      <c r="AR1141" t="b">
        <v>0</v>
      </c>
      <c r="AS1141">
        <v>12</v>
      </c>
      <c r="AT1141" t="s">
        <v>327</v>
      </c>
      <c r="AV1141" t="s">
        <v>3213</v>
      </c>
    </row>
    <row r="1142" spans="1:48" x14ac:dyDescent="0.25">
      <c r="A1142" t="s">
        <v>3323</v>
      </c>
      <c r="B1142" t="s">
        <v>302</v>
      </c>
      <c r="C1142" t="s">
        <v>62</v>
      </c>
      <c r="D1142">
        <v>99999</v>
      </c>
      <c r="F1142" s="109">
        <v>20000</v>
      </c>
      <c r="G1142" t="b">
        <v>0</v>
      </c>
      <c r="H1142" t="s">
        <v>335</v>
      </c>
      <c r="K1142" t="s">
        <v>364</v>
      </c>
      <c r="L1142" t="s">
        <v>303</v>
      </c>
      <c r="M1142" t="s">
        <v>323</v>
      </c>
      <c r="N1142" t="s">
        <v>63</v>
      </c>
      <c r="O1142" s="110">
        <v>49.9</v>
      </c>
      <c r="R1142" s="110">
        <v>394.88999999999993</v>
      </c>
      <c r="S1142" s="110">
        <v>130</v>
      </c>
      <c r="T1142" s="110">
        <v>0</v>
      </c>
      <c r="U1142" s="110">
        <v>42.99</v>
      </c>
      <c r="X1142">
        <v>171.99999999999994</v>
      </c>
      <c r="Y1142">
        <v>49.9</v>
      </c>
      <c r="Z1142">
        <v>49.9</v>
      </c>
      <c r="AA1142">
        <v>0</v>
      </c>
      <c r="AB1142" t="s">
        <v>363</v>
      </c>
      <c r="AF1142" t="s">
        <v>3282</v>
      </c>
      <c r="AG1142" t="s">
        <v>3282</v>
      </c>
      <c r="AH1142" t="s">
        <v>1903</v>
      </c>
      <c r="AI1142">
        <v>99999</v>
      </c>
      <c r="AJ1142">
        <v>99999</v>
      </c>
      <c r="AK1142">
        <v>699</v>
      </c>
      <c r="AL1142" t="b">
        <v>1</v>
      </c>
      <c r="AM1142" t="b">
        <v>1</v>
      </c>
      <c r="AN1142" t="b">
        <v>0</v>
      </c>
      <c r="AO1142">
        <v>99999</v>
      </c>
      <c r="AP1142" t="s">
        <v>64</v>
      </c>
      <c r="AR1142" t="b">
        <v>0</v>
      </c>
      <c r="AS1142">
        <v>12</v>
      </c>
      <c r="AT1142" t="s">
        <v>327</v>
      </c>
      <c r="AV1142" t="s">
        <v>3287</v>
      </c>
    </row>
    <row r="1143" spans="1:48" x14ac:dyDescent="0.25">
      <c r="A1143" t="s">
        <v>3323</v>
      </c>
      <c r="B1143" t="s">
        <v>302</v>
      </c>
      <c r="C1143" t="s">
        <v>62</v>
      </c>
      <c r="D1143">
        <v>99999</v>
      </c>
      <c r="F1143" s="109">
        <v>20000</v>
      </c>
      <c r="G1143" t="b">
        <v>0</v>
      </c>
      <c r="H1143" t="s">
        <v>335</v>
      </c>
      <c r="K1143" t="s">
        <v>379</v>
      </c>
      <c r="L1143" t="s">
        <v>303</v>
      </c>
      <c r="M1143" t="s">
        <v>323</v>
      </c>
      <c r="N1143" t="s">
        <v>63</v>
      </c>
      <c r="O1143" s="110">
        <v>29.9</v>
      </c>
      <c r="R1143" s="110">
        <v>370.58999999999992</v>
      </c>
      <c r="S1143" s="110">
        <v>130</v>
      </c>
      <c r="T1143" s="110">
        <v>0</v>
      </c>
      <c r="U1143" s="110">
        <v>34.99</v>
      </c>
      <c r="X1143">
        <v>145.69999999999993</v>
      </c>
      <c r="Y1143">
        <v>59.9</v>
      </c>
      <c r="Z1143">
        <v>59.9</v>
      </c>
      <c r="AA1143">
        <v>0</v>
      </c>
      <c r="AB1143" t="s">
        <v>363</v>
      </c>
      <c r="AF1143" t="s">
        <v>1930</v>
      </c>
      <c r="AG1143" t="s">
        <v>1930</v>
      </c>
      <c r="AH1143" t="s">
        <v>1903</v>
      </c>
      <c r="AI1143">
        <v>99999</v>
      </c>
      <c r="AJ1143">
        <v>99999</v>
      </c>
      <c r="AK1143">
        <v>699</v>
      </c>
      <c r="AL1143" t="b">
        <v>1</v>
      </c>
      <c r="AM1143" t="b">
        <v>1</v>
      </c>
      <c r="AN1143" t="b">
        <v>0</v>
      </c>
      <c r="AO1143">
        <v>99999</v>
      </c>
      <c r="AP1143" t="s">
        <v>64</v>
      </c>
      <c r="AR1143" t="b">
        <v>0</v>
      </c>
      <c r="AS1143">
        <v>12</v>
      </c>
      <c r="AT1143" t="s">
        <v>327</v>
      </c>
      <c r="AV1143" t="s">
        <v>1948</v>
      </c>
    </row>
    <row r="1144" spans="1:48" x14ac:dyDescent="0.25">
      <c r="A1144" t="s">
        <v>3323</v>
      </c>
      <c r="B1144" t="s">
        <v>302</v>
      </c>
      <c r="C1144" t="s">
        <v>62</v>
      </c>
      <c r="D1144">
        <v>99999</v>
      </c>
      <c r="F1144" s="109">
        <v>20000</v>
      </c>
      <c r="G1144" t="b">
        <v>0</v>
      </c>
      <c r="H1144" t="s">
        <v>335</v>
      </c>
      <c r="K1144" t="s">
        <v>379</v>
      </c>
      <c r="L1144" t="s">
        <v>303</v>
      </c>
      <c r="M1144" t="s">
        <v>323</v>
      </c>
      <c r="N1144" t="s">
        <v>63</v>
      </c>
      <c r="O1144" s="110">
        <v>29.9</v>
      </c>
      <c r="R1144" s="110">
        <v>404.88999999999993</v>
      </c>
      <c r="S1144" s="110">
        <v>130</v>
      </c>
      <c r="T1144" s="110">
        <v>0</v>
      </c>
      <c r="U1144" s="110">
        <v>42.99</v>
      </c>
      <c r="X1144">
        <v>171.99999999999994</v>
      </c>
      <c r="Y1144">
        <v>59.9</v>
      </c>
      <c r="Z1144">
        <v>59.9</v>
      </c>
      <c r="AA1144">
        <v>0</v>
      </c>
      <c r="AB1144" t="s">
        <v>363</v>
      </c>
      <c r="AF1144" t="s">
        <v>2078</v>
      </c>
      <c r="AG1144" t="s">
        <v>2078</v>
      </c>
      <c r="AH1144" t="s">
        <v>1903</v>
      </c>
      <c r="AI1144">
        <v>99999</v>
      </c>
      <c r="AJ1144">
        <v>99999</v>
      </c>
      <c r="AK1144">
        <v>699</v>
      </c>
      <c r="AL1144" t="b">
        <v>1</v>
      </c>
      <c r="AM1144" t="b">
        <v>1</v>
      </c>
      <c r="AN1144" t="b">
        <v>0</v>
      </c>
      <c r="AO1144">
        <v>99999</v>
      </c>
      <c r="AP1144" t="s">
        <v>64</v>
      </c>
      <c r="AR1144" t="b">
        <v>0</v>
      </c>
      <c r="AS1144">
        <v>12</v>
      </c>
      <c r="AT1144" t="s">
        <v>327</v>
      </c>
      <c r="AV1144" t="s">
        <v>2096</v>
      </c>
    </row>
    <row r="1145" spans="1:48" x14ac:dyDescent="0.25">
      <c r="A1145" t="s">
        <v>3323</v>
      </c>
      <c r="B1145" t="s">
        <v>302</v>
      </c>
      <c r="C1145" t="s">
        <v>62</v>
      </c>
      <c r="D1145">
        <v>99999</v>
      </c>
      <c r="F1145" s="109">
        <v>20000</v>
      </c>
      <c r="G1145" t="b">
        <v>0</v>
      </c>
      <c r="H1145" t="s">
        <v>335</v>
      </c>
      <c r="K1145" t="s">
        <v>379</v>
      </c>
      <c r="L1145" t="s">
        <v>303</v>
      </c>
      <c r="M1145" t="s">
        <v>323</v>
      </c>
      <c r="N1145" t="s">
        <v>63</v>
      </c>
      <c r="O1145" s="110">
        <v>39.9</v>
      </c>
      <c r="R1145" s="110">
        <v>370.58999999999992</v>
      </c>
      <c r="S1145" s="110">
        <v>130</v>
      </c>
      <c r="T1145" s="110">
        <v>0</v>
      </c>
      <c r="U1145" s="110">
        <v>34.99</v>
      </c>
      <c r="X1145">
        <v>145.69999999999993</v>
      </c>
      <c r="Y1145">
        <v>59.9</v>
      </c>
      <c r="Z1145">
        <v>59.9</v>
      </c>
      <c r="AA1145">
        <v>0</v>
      </c>
      <c r="AB1145" t="s">
        <v>363</v>
      </c>
      <c r="AF1145" t="s">
        <v>1997</v>
      </c>
      <c r="AG1145" t="s">
        <v>1997</v>
      </c>
      <c r="AH1145" t="s">
        <v>1903</v>
      </c>
      <c r="AI1145">
        <v>99999</v>
      </c>
      <c r="AJ1145">
        <v>99999</v>
      </c>
      <c r="AK1145">
        <v>699</v>
      </c>
      <c r="AL1145" t="b">
        <v>1</v>
      </c>
      <c r="AM1145" t="b">
        <v>1</v>
      </c>
      <c r="AN1145" t="b">
        <v>0</v>
      </c>
      <c r="AO1145">
        <v>99999</v>
      </c>
      <c r="AP1145" t="s">
        <v>64</v>
      </c>
      <c r="AR1145" t="b">
        <v>0</v>
      </c>
      <c r="AS1145">
        <v>12</v>
      </c>
      <c r="AT1145" t="s">
        <v>327</v>
      </c>
      <c r="AV1145" t="s">
        <v>2015</v>
      </c>
    </row>
    <row r="1146" spans="1:48" x14ac:dyDescent="0.25">
      <c r="A1146" t="s">
        <v>3323</v>
      </c>
      <c r="B1146" t="s">
        <v>302</v>
      </c>
      <c r="C1146" t="s">
        <v>62</v>
      </c>
      <c r="D1146">
        <v>99999</v>
      </c>
      <c r="F1146" s="109">
        <v>20000</v>
      </c>
      <c r="G1146" t="b">
        <v>0</v>
      </c>
      <c r="H1146" t="s">
        <v>335</v>
      </c>
      <c r="K1146" t="s">
        <v>379</v>
      </c>
      <c r="L1146" t="s">
        <v>303</v>
      </c>
      <c r="M1146" t="s">
        <v>323</v>
      </c>
      <c r="N1146" t="s">
        <v>63</v>
      </c>
      <c r="O1146" s="110">
        <v>39.9</v>
      </c>
      <c r="R1146" s="110">
        <v>404.88999999999993</v>
      </c>
      <c r="S1146" s="110">
        <v>130</v>
      </c>
      <c r="T1146" s="110">
        <v>0</v>
      </c>
      <c r="U1146" s="110">
        <v>42.99</v>
      </c>
      <c r="X1146">
        <v>171.99999999999994</v>
      </c>
      <c r="Y1146">
        <v>59.9</v>
      </c>
      <c r="Z1146">
        <v>59.9</v>
      </c>
      <c r="AA1146">
        <v>0</v>
      </c>
      <c r="AB1146" t="s">
        <v>363</v>
      </c>
      <c r="AF1146" t="s">
        <v>2145</v>
      </c>
      <c r="AG1146" t="s">
        <v>2145</v>
      </c>
      <c r="AH1146" t="s">
        <v>1903</v>
      </c>
      <c r="AI1146">
        <v>99999</v>
      </c>
      <c r="AJ1146">
        <v>99999</v>
      </c>
      <c r="AK1146">
        <v>699</v>
      </c>
      <c r="AL1146" t="b">
        <v>1</v>
      </c>
      <c r="AM1146" t="b">
        <v>1</v>
      </c>
      <c r="AN1146" t="b">
        <v>0</v>
      </c>
      <c r="AO1146">
        <v>99999</v>
      </c>
      <c r="AP1146" t="s">
        <v>64</v>
      </c>
      <c r="AR1146" t="b">
        <v>0</v>
      </c>
      <c r="AS1146">
        <v>12</v>
      </c>
      <c r="AT1146" t="s">
        <v>327</v>
      </c>
      <c r="AV1146" t="s">
        <v>2163</v>
      </c>
    </row>
    <row r="1147" spans="1:48" x14ac:dyDescent="0.25">
      <c r="A1147" t="s">
        <v>3323</v>
      </c>
      <c r="B1147" t="s">
        <v>302</v>
      </c>
      <c r="C1147" t="s">
        <v>62</v>
      </c>
      <c r="D1147">
        <v>99999</v>
      </c>
      <c r="F1147" s="109">
        <v>20000</v>
      </c>
      <c r="G1147" t="b">
        <v>0</v>
      </c>
      <c r="H1147" t="s">
        <v>335</v>
      </c>
      <c r="K1147" t="s">
        <v>379</v>
      </c>
      <c r="L1147" t="s">
        <v>303</v>
      </c>
      <c r="M1147" t="s">
        <v>323</v>
      </c>
      <c r="N1147" t="s">
        <v>63</v>
      </c>
      <c r="O1147" s="110">
        <v>49.9</v>
      </c>
      <c r="R1147" s="110">
        <v>370.58999999999992</v>
      </c>
      <c r="S1147" s="110">
        <v>130</v>
      </c>
      <c r="T1147" s="110">
        <v>0</v>
      </c>
      <c r="U1147" s="110">
        <v>34.99</v>
      </c>
      <c r="X1147">
        <v>145.69999999999993</v>
      </c>
      <c r="Y1147">
        <v>59.9</v>
      </c>
      <c r="Z1147">
        <v>59.9</v>
      </c>
      <c r="AA1147">
        <v>0</v>
      </c>
      <c r="AB1147" t="s">
        <v>363</v>
      </c>
      <c r="AF1147" t="s">
        <v>3208</v>
      </c>
      <c r="AG1147" t="s">
        <v>3208</v>
      </c>
      <c r="AH1147" t="s">
        <v>1903</v>
      </c>
      <c r="AI1147">
        <v>99999</v>
      </c>
      <c r="AJ1147">
        <v>99999</v>
      </c>
      <c r="AK1147">
        <v>699</v>
      </c>
      <c r="AL1147" t="b">
        <v>1</v>
      </c>
      <c r="AM1147" t="b">
        <v>1</v>
      </c>
      <c r="AN1147" t="b">
        <v>0</v>
      </c>
      <c r="AO1147">
        <v>99999</v>
      </c>
      <c r="AP1147" t="s">
        <v>64</v>
      </c>
      <c r="AR1147" t="b">
        <v>0</v>
      </c>
      <c r="AS1147">
        <v>12</v>
      </c>
      <c r="AT1147" t="s">
        <v>327</v>
      </c>
      <c r="AV1147" t="s">
        <v>3226</v>
      </c>
    </row>
    <row r="1148" spans="1:48" x14ac:dyDescent="0.25">
      <c r="A1148" t="s">
        <v>3323</v>
      </c>
      <c r="B1148" t="s">
        <v>302</v>
      </c>
      <c r="C1148" t="s">
        <v>62</v>
      </c>
      <c r="D1148">
        <v>99999</v>
      </c>
      <c r="F1148" s="109">
        <v>20000</v>
      </c>
      <c r="G1148" t="b">
        <v>0</v>
      </c>
      <c r="H1148" t="s">
        <v>335</v>
      </c>
      <c r="K1148" t="s">
        <v>379</v>
      </c>
      <c r="L1148" t="s">
        <v>303</v>
      </c>
      <c r="M1148" t="s">
        <v>323</v>
      </c>
      <c r="N1148" t="s">
        <v>63</v>
      </c>
      <c r="O1148" s="110">
        <v>49.9</v>
      </c>
      <c r="R1148" s="110">
        <v>404.88999999999993</v>
      </c>
      <c r="S1148" s="110">
        <v>130</v>
      </c>
      <c r="T1148" s="110">
        <v>0</v>
      </c>
      <c r="U1148" s="110">
        <v>42.99</v>
      </c>
      <c r="X1148">
        <v>171.99999999999994</v>
      </c>
      <c r="Y1148">
        <v>59.9</v>
      </c>
      <c r="Z1148">
        <v>59.9</v>
      </c>
      <c r="AA1148">
        <v>0</v>
      </c>
      <c r="AB1148" t="s">
        <v>363</v>
      </c>
      <c r="AF1148" t="s">
        <v>3282</v>
      </c>
      <c r="AG1148" t="s">
        <v>3282</v>
      </c>
      <c r="AH1148" t="s">
        <v>1903</v>
      </c>
      <c r="AI1148">
        <v>99999</v>
      </c>
      <c r="AJ1148">
        <v>99999</v>
      </c>
      <c r="AK1148">
        <v>699</v>
      </c>
      <c r="AL1148" t="b">
        <v>1</v>
      </c>
      <c r="AM1148" t="b">
        <v>1</v>
      </c>
      <c r="AN1148" t="b">
        <v>0</v>
      </c>
      <c r="AO1148">
        <v>99999</v>
      </c>
      <c r="AP1148" t="s">
        <v>64</v>
      </c>
      <c r="AR1148" t="b">
        <v>0</v>
      </c>
      <c r="AS1148">
        <v>12</v>
      </c>
      <c r="AT1148" t="s">
        <v>327</v>
      </c>
      <c r="AV1148" t="s">
        <v>3300</v>
      </c>
    </row>
    <row r="1149" spans="1:48" x14ac:dyDescent="0.25">
      <c r="A1149" t="s">
        <v>3323</v>
      </c>
      <c r="B1149" t="s">
        <v>302</v>
      </c>
      <c r="C1149" t="s">
        <v>62</v>
      </c>
      <c r="D1149">
        <v>99999</v>
      </c>
      <c r="F1149" s="109">
        <v>20000</v>
      </c>
      <c r="G1149" t="b">
        <v>0</v>
      </c>
      <c r="H1149" t="s">
        <v>335</v>
      </c>
      <c r="K1149" t="s">
        <v>61</v>
      </c>
      <c r="L1149" t="s">
        <v>303</v>
      </c>
      <c r="M1149" t="s">
        <v>323</v>
      </c>
      <c r="N1149" t="s">
        <v>63</v>
      </c>
      <c r="O1149" s="110">
        <v>29.9</v>
      </c>
      <c r="R1149" s="110">
        <v>355.58999999999992</v>
      </c>
      <c r="S1149" s="110">
        <v>130</v>
      </c>
      <c r="T1149" s="110">
        <v>0</v>
      </c>
      <c r="U1149" s="110">
        <v>34.99</v>
      </c>
      <c r="X1149">
        <v>145.69999999999993</v>
      </c>
      <c r="Y1149">
        <v>44.9</v>
      </c>
      <c r="Z1149">
        <v>44.9</v>
      </c>
      <c r="AA1149">
        <v>0</v>
      </c>
      <c r="AB1149" t="s">
        <v>324</v>
      </c>
      <c r="AF1149" t="s">
        <v>1902</v>
      </c>
      <c r="AG1149" t="s">
        <v>1902</v>
      </c>
      <c r="AH1149" t="s">
        <v>1903</v>
      </c>
      <c r="AI1149">
        <v>99999</v>
      </c>
      <c r="AJ1149">
        <v>99999</v>
      </c>
      <c r="AK1149">
        <v>699</v>
      </c>
      <c r="AL1149" t="b">
        <v>1</v>
      </c>
      <c r="AM1149" t="b">
        <v>1</v>
      </c>
      <c r="AN1149" t="b">
        <v>0</v>
      </c>
      <c r="AO1149">
        <v>99999</v>
      </c>
      <c r="AP1149" t="s">
        <v>64</v>
      </c>
      <c r="AR1149" t="b">
        <v>0</v>
      </c>
      <c r="AS1149">
        <v>12</v>
      </c>
      <c r="AT1149" t="s">
        <v>327</v>
      </c>
      <c r="AV1149" t="s">
        <v>1908</v>
      </c>
    </row>
    <row r="1150" spans="1:48" x14ac:dyDescent="0.25">
      <c r="A1150" t="s">
        <v>3323</v>
      </c>
      <c r="B1150" t="s">
        <v>302</v>
      </c>
      <c r="C1150" t="s">
        <v>62</v>
      </c>
      <c r="D1150">
        <v>99999</v>
      </c>
      <c r="F1150" s="109">
        <v>20000</v>
      </c>
      <c r="G1150" t="b">
        <v>0</v>
      </c>
      <c r="H1150" t="s">
        <v>335</v>
      </c>
      <c r="K1150" t="s">
        <v>61</v>
      </c>
      <c r="L1150" t="s">
        <v>303</v>
      </c>
      <c r="M1150" t="s">
        <v>323</v>
      </c>
      <c r="N1150" t="s">
        <v>63</v>
      </c>
      <c r="O1150" s="110">
        <v>29.9</v>
      </c>
      <c r="R1150" s="110">
        <v>389.88999999999993</v>
      </c>
      <c r="S1150" s="110">
        <v>130</v>
      </c>
      <c r="T1150" s="110">
        <v>0</v>
      </c>
      <c r="U1150" s="110">
        <v>42.99</v>
      </c>
      <c r="X1150">
        <v>171.99999999999994</v>
      </c>
      <c r="Y1150">
        <v>44.9</v>
      </c>
      <c r="Z1150">
        <v>44.9</v>
      </c>
      <c r="AA1150">
        <v>0</v>
      </c>
      <c r="AB1150" t="s">
        <v>324</v>
      </c>
      <c r="AF1150" t="s">
        <v>2051</v>
      </c>
      <c r="AG1150" t="s">
        <v>2051</v>
      </c>
      <c r="AH1150" t="s">
        <v>1903</v>
      </c>
      <c r="AI1150">
        <v>99999</v>
      </c>
      <c r="AJ1150">
        <v>99999</v>
      </c>
      <c r="AK1150">
        <v>699</v>
      </c>
      <c r="AL1150" t="b">
        <v>1</v>
      </c>
      <c r="AM1150" t="b">
        <v>1</v>
      </c>
      <c r="AN1150" t="b">
        <v>0</v>
      </c>
      <c r="AO1150">
        <v>99999</v>
      </c>
      <c r="AP1150" t="s">
        <v>64</v>
      </c>
      <c r="AR1150" t="b">
        <v>0</v>
      </c>
      <c r="AS1150">
        <v>12</v>
      </c>
      <c r="AT1150" t="s">
        <v>327</v>
      </c>
      <c r="AV1150" t="s">
        <v>2056</v>
      </c>
    </row>
    <row r="1151" spans="1:48" x14ac:dyDescent="0.25">
      <c r="A1151" t="s">
        <v>3323</v>
      </c>
      <c r="B1151" t="s">
        <v>302</v>
      </c>
      <c r="C1151" t="s">
        <v>62</v>
      </c>
      <c r="D1151">
        <v>99999</v>
      </c>
      <c r="F1151" s="109">
        <v>20000</v>
      </c>
      <c r="G1151" t="b">
        <v>0</v>
      </c>
      <c r="H1151" t="s">
        <v>335</v>
      </c>
      <c r="K1151" t="s">
        <v>61</v>
      </c>
      <c r="L1151" t="s">
        <v>303</v>
      </c>
      <c r="M1151" t="s">
        <v>323</v>
      </c>
      <c r="N1151" t="s">
        <v>63</v>
      </c>
      <c r="O1151" s="110">
        <v>39.9</v>
      </c>
      <c r="R1151" s="110">
        <v>355.58999999999992</v>
      </c>
      <c r="S1151" s="110">
        <v>130</v>
      </c>
      <c r="T1151" s="110">
        <v>0</v>
      </c>
      <c r="U1151" s="110">
        <v>34.99</v>
      </c>
      <c r="X1151">
        <v>145.69999999999993</v>
      </c>
      <c r="Y1151">
        <v>44.9</v>
      </c>
      <c r="Z1151">
        <v>44.9</v>
      </c>
      <c r="AA1151">
        <v>0</v>
      </c>
      <c r="AB1151" t="s">
        <v>324</v>
      </c>
      <c r="AF1151" t="s">
        <v>1970</v>
      </c>
      <c r="AG1151" t="s">
        <v>1970</v>
      </c>
      <c r="AH1151" t="s">
        <v>1903</v>
      </c>
      <c r="AI1151">
        <v>99999</v>
      </c>
      <c r="AJ1151">
        <v>99999</v>
      </c>
      <c r="AK1151">
        <v>699</v>
      </c>
      <c r="AL1151" t="b">
        <v>1</v>
      </c>
      <c r="AM1151" t="b">
        <v>1</v>
      </c>
      <c r="AN1151" t="b">
        <v>0</v>
      </c>
      <c r="AO1151">
        <v>99999</v>
      </c>
      <c r="AP1151" t="s">
        <v>64</v>
      </c>
      <c r="AR1151" t="b">
        <v>0</v>
      </c>
      <c r="AS1151">
        <v>12</v>
      </c>
      <c r="AT1151" t="s">
        <v>327</v>
      </c>
      <c r="AV1151" t="s">
        <v>1975</v>
      </c>
    </row>
    <row r="1152" spans="1:48" x14ac:dyDescent="0.25">
      <c r="A1152" t="s">
        <v>3323</v>
      </c>
      <c r="B1152" t="s">
        <v>302</v>
      </c>
      <c r="C1152" t="s">
        <v>62</v>
      </c>
      <c r="D1152">
        <v>99999</v>
      </c>
      <c r="F1152" s="109">
        <v>20000</v>
      </c>
      <c r="G1152" t="b">
        <v>0</v>
      </c>
      <c r="H1152" t="s">
        <v>335</v>
      </c>
      <c r="K1152" t="s">
        <v>61</v>
      </c>
      <c r="L1152" t="s">
        <v>303</v>
      </c>
      <c r="M1152" t="s">
        <v>323</v>
      </c>
      <c r="N1152" t="s">
        <v>63</v>
      </c>
      <c r="O1152" s="110">
        <v>39.9</v>
      </c>
      <c r="R1152" s="110">
        <v>389.88999999999993</v>
      </c>
      <c r="S1152" s="110">
        <v>130</v>
      </c>
      <c r="T1152" s="110">
        <v>0</v>
      </c>
      <c r="U1152" s="110">
        <v>42.99</v>
      </c>
      <c r="X1152">
        <v>171.99999999999994</v>
      </c>
      <c r="Y1152">
        <v>44.9</v>
      </c>
      <c r="Z1152">
        <v>44.9</v>
      </c>
      <c r="AA1152">
        <v>0</v>
      </c>
      <c r="AB1152" t="s">
        <v>324</v>
      </c>
      <c r="AF1152" t="s">
        <v>2118</v>
      </c>
      <c r="AG1152" t="s">
        <v>2118</v>
      </c>
      <c r="AH1152" t="s">
        <v>1903</v>
      </c>
      <c r="AI1152">
        <v>99999</v>
      </c>
      <c r="AJ1152">
        <v>99999</v>
      </c>
      <c r="AK1152">
        <v>699</v>
      </c>
      <c r="AL1152" t="b">
        <v>1</v>
      </c>
      <c r="AM1152" t="b">
        <v>1</v>
      </c>
      <c r="AN1152" t="b">
        <v>0</v>
      </c>
      <c r="AO1152">
        <v>99999</v>
      </c>
      <c r="AP1152" t="s">
        <v>64</v>
      </c>
      <c r="AR1152" t="b">
        <v>0</v>
      </c>
      <c r="AS1152">
        <v>12</v>
      </c>
      <c r="AT1152" t="s">
        <v>327</v>
      </c>
      <c r="AV1152" t="s">
        <v>2123</v>
      </c>
    </row>
    <row r="1153" spans="1:48" x14ac:dyDescent="0.25">
      <c r="A1153" t="s">
        <v>3323</v>
      </c>
      <c r="B1153" t="s">
        <v>302</v>
      </c>
      <c r="C1153" t="s">
        <v>62</v>
      </c>
      <c r="D1153">
        <v>99999</v>
      </c>
      <c r="F1153" s="109">
        <v>20000</v>
      </c>
      <c r="G1153" t="b">
        <v>0</v>
      </c>
      <c r="H1153" t="s">
        <v>335</v>
      </c>
      <c r="K1153" t="s">
        <v>61</v>
      </c>
      <c r="L1153" t="s">
        <v>303</v>
      </c>
      <c r="M1153" t="s">
        <v>323</v>
      </c>
      <c r="N1153" t="s">
        <v>63</v>
      </c>
      <c r="O1153" s="110">
        <v>49.9</v>
      </c>
      <c r="R1153" s="110">
        <v>355.58999999999992</v>
      </c>
      <c r="S1153" s="110">
        <v>130</v>
      </c>
      <c r="T1153" s="110">
        <v>0</v>
      </c>
      <c r="U1153" s="110">
        <v>34.99</v>
      </c>
      <c r="X1153">
        <v>145.69999999999993</v>
      </c>
      <c r="Y1153">
        <v>44.9</v>
      </c>
      <c r="Z1153">
        <v>44.9</v>
      </c>
      <c r="AA1153">
        <v>0</v>
      </c>
      <c r="AB1153" t="s">
        <v>324</v>
      </c>
      <c r="AF1153" t="s">
        <v>3181</v>
      </c>
      <c r="AG1153" t="s">
        <v>3181</v>
      </c>
      <c r="AH1153" t="s">
        <v>1903</v>
      </c>
      <c r="AI1153">
        <v>99999</v>
      </c>
      <c r="AJ1153">
        <v>99999</v>
      </c>
      <c r="AK1153">
        <v>699</v>
      </c>
      <c r="AL1153" t="b">
        <v>1</v>
      </c>
      <c r="AM1153" t="b">
        <v>1</v>
      </c>
      <c r="AN1153" t="b">
        <v>0</v>
      </c>
      <c r="AO1153">
        <v>99999</v>
      </c>
      <c r="AP1153" t="s">
        <v>64</v>
      </c>
      <c r="AR1153" t="b">
        <v>0</v>
      </c>
      <c r="AS1153">
        <v>12</v>
      </c>
      <c r="AT1153" t="s">
        <v>327</v>
      </c>
      <c r="AV1153" t="s">
        <v>3186</v>
      </c>
    </row>
    <row r="1154" spans="1:48" x14ac:dyDescent="0.25">
      <c r="A1154" t="s">
        <v>3323</v>
      </c>
      <c r="B1154" t="s">
        <v>302</v>
      </c>
      <c r="C1154" t="s">
        <v>62</v>
      </c>
      <c r="D1154">
        <v>99999</v>
      </c>
      <c r="F1154" s="109">
        <v>20000</v>
      </c>
      <c r="G1154" t="b">
        <v>0</v>
      </c>
      <c r="H1154" t="s">
        <v>335</v>
      </c>
      <c r="K1154" t="s">
        <v>61</v>
      </c>
      <c r="L1154" t="s">
        <v>303</v>
      </c>
      <c r="M1154" t="s">
        <v>323</v>
      </c>
      <c r="N1154" t="s">
        <v>63</v>
      </c>
      <c r="O1154" s="110">
        <v>49.9</v>
      </c>
      <c r="R1154" s="110">
        <v>389.88999999999993</v>
      </c>
      <c r="S1154" s="110">
        <v>130</v>
      </c>
      <c r="T1154" s="110">
        <v>0</v>
      </c>
      <c r="U1154" s="110">
        <v>42.99</v>
      </c>
      <c r="X1154">
        <v>171.99999999999994</v>
      </c>
      <c r="Y1154">
        <v>44.9</v>
      </c>
      <c r="Z1154">
        <v>44.9</v>
      </c>
      <c r="AA1154">
        <v>0</v>
      </c>
      <c r="AB1154" t="s">
        <v>324</v>
      </c>
      <c r="AF1154" t="s">
        <v>3255</v>
      </c>
      <c r="AG1154" t="s">
        <v>3255</v>
      </c>
      <c r="AH1154" t="s">
        <v>1903</v>
      </c>
      <c r="AI1154">
        <v>99999</v>
      </c>
      <c r="AJ1154">
        <v>99999</v>
      </c>
      <c r="AK1154">
        <v>699</v>
      </c>
      <c r="AL1154" t="b">
        <v>1</v>
      </c>
      <c r="AM1154" t="b">
        <v>1</v>
      </c>
      <c r="AN1154" t="b">
        <v>0</v>
      </c>
      <c r="AO1154">
        <v>99999</v>
      </c>
      <c r="AP1154" t="s">
        <v>64</v>
      </c>
      <c r="AR1154" t="b">
        <v>0</v>
      </c>
      <c r="AS1154">
        <v>12</v>
      </c>
      <c r="AT1154" t="s">
        <v>327</v>
      </c>
      <c r="AV1154" t="s">
        <v>3260</v>
      </c>
    </row>
    <row r="1155" spans="1:48" x14ac:dyDescent="0.25">
      <c r="A1155" t="s">
        <v>3323</v>
      </c>
      <c r="B1155" t="s">
        <v>302</v>
      </c>
      <c r="C1155" t="s">
        <v>62</v>
      </c>
      <c r="D1155">
        <v>99999</v>
      </c>
      <c r="F1155" s="109">
        <v>20000</v>
      </c>
      <c r="G1155" t="b">
        <v>0</v>
      </c>
      <c r="H1155" t="s">
        <v>331</v>
      </c>
      <c r="K1155" t="s">
        <v>349</v>
      </c>
      <c r="L1155" t="s">
        <v>303</v>
      </c>
      <c r="M1155" t="s">
        <v>323</v>
      </c>
      <c r="N1155" t="s">
        <v>63</v>
      </c>
      <c r="O1155" s="110">
        <v>29.9</v>
      </c>
      <c r="R1155" s="110">
        <v>310.58999999999992</v>
      </c>
      <c r="S1155" s="110">
        <v>130</v>
      </c>
      <c r="T1155" s="110">
        <v>0</v>
      </c>
      <c r="U1155" s="110">
        <v>34.99</v>
      </c>
      <c r="X1155">
        <v>100.69999999999996</v>
      </c>
      <c r="Y1155">
        <v>44.9</v>
      </c>
      <c r="Z1155">
        <v>44.9</v>
      </c>
      <c r="AA1155">
        <v>0</v>
      </c>
      <c r="AB1155" t="s">
        <v>324</v>
      </c>
      <c r="AF1155" t="s">
        <v>1902</v>
      </c>
      <c r="AG1155" t="s">
        <v>1902</v>
      </c>
      <c r="AH1155" t="s">
        <v>1903</v>
      </c>
      <c r="AI1155">
        <v>99999</v>
      </c>
      <c r="AJ1155">
        <v>99999</v>
      </c>
      <c r="AK1155">
        <v>699</v>
      </c>
      <c r="AL1155" t="b">
        <v>1</v>
      </c>
      <c r="AM1155" t="b">
        <v>1</v>
      </c>
      <c r="AN1155" t="b">
        <v>0</v>
      </c>
      <c r="AO1155">
        <v>99999</v>
      </c>
      <c r="AP1155" t="s">
        <v>64</v>
      </c>
      <c r="AR1155" t="b">
        <v>0</v>
      </c>
      <c r="AS1155">
        <v>12</v>
      </c>
      <c r="AT1155" t="s">
        <v>327</v>
      </c>
      <c r="AV1155" t="s">
        <v>1919</v>
      </c>
    </row>
    <row r="1156" spans="1:48" x14ac:dyDescent="0.25">
      <c r="A1156" t="s">
        <v>3323</v>
      </c>
      <c r="B1156" t="s">
        <v>302</v>
      </c>
      <c r="C1156" t="s">
        <v>62</v>
      </c>
      <c r="D1156">
        <v>99999</v>
      </c>
      <c r="F1156" s="109">
        <v>20000</v>
      </c>
      <c r="G1156" t="b">
        <v>0</v>
      </c>
      <c r="H1156" t="s">
        <v>331</v>
      </c>
      <c r="K1156" t="s">
        <v>349</v>
      </c>
      <c r="L1156" t="s">
        <v>303</v>
      </c>
      <c r="M1156" t="s">
        <v>323</v>
      </c>
      <c r="N1156" t="s">
        <v>63</v>
      </c>
      <c r="O1156" s="110">
        <v>29.9</v>
      </c>
      <c r="R1156" s="110">
        <v>344.89</v>
      </c>
      <c r="S1156" s="110">
        <v>130</v>
      </c>
      <c r="T1156" s="110">
        <v>0</v>
      </c>
      <c r="U1156" s="110">
        <v>42.99</v>
      </c>
      <c r="X1156">
        <v>126.99999999999997</v>
      </c>
      <c r="Y1156">
        <v>44.9</v>
      </c>
      <c r="Z1156">
        <v>44.9</v>
      </c>
      <c r="AA1156">
        <v>0</v>
      </c>
      <c r="AB1156" t="s">
        <v>324</v>
      </c>
      <c r="AF1156" t="s">
        <v>2051</v>
      </c>
      <c r="AG1156" t="s">
        <v>2051</v>
      </c>
      <c r="AH1156" t="s">
        <v>1903</v>
      </c>
      <c r="AI1156">
        <v>99999</v>
      </c>
      <c r="AJ1156">
        <v>99999</v>
      </c>
      <c r="AK1156">
        <v>699</v>
      </c>
      <c r="AL1156" t="b">
        <v>1</v>
      </c>
      <c r="AM1156" t="b">
        <v>1</v>
      </c>
      <c r="AN1156" t="b">
        <v>0</v>
      </c>
      <c r="AO1156">
        <v>99999</v>
      </c>
      <c r="AP1156" t="s">
        <v>64</v>
      </c>
      <c r="AR1156" t="b">
        <v>0</v>
      </c>
      <c r="AS1156">
        <v>12</v>
      </c>
      <c r="AT1156" t="s">
        <v>327</v>
      </c>
      <c r="AV1156" t="s">
        <v>2067</v>
      </c>
    </row>
    <row r="1157" spans="1:48" x14ac:dyDescent="0.25">
      <c r="A1157" t="s">
        <v>3323</v>
      </c>
      <c r="B1157" t="s">
        <v>302</v>
      </c>
      <c r="C1157" t="s">
        <v>62</v>
      </c>
      <c r="D1157">
        <v>99999</v>
      </c>
      <c r="F1157" s="109">
        <v>20000</v>
      </c>
      <c r="G1157" t="b">
        <v>0</v>
      </c>
      <c r="H1157" t="s">
        <v>331</v>
      </c>
      <c r="K1157" t="s">
        <v>349</v>
      </c>
      <c r="L1157" t="s">
        <v>303</v>
      </c>
      <c r="M1157" t="s">
        <v>323</v>
      </c>
      <c r="N1157" t="s">
        <v>63</v>
      </c>
      <c r="O1157" s="110">
        <v>39.9</v>
      </c>
      <c r="R1157" s="110">
        <v>310.58999999999992</v>
      </c>
      <c r="S1157" s="110">
        <v>130</v>
      </c>
      <c r="T1157" s="110">
        <v>0</v>
      </c>
      <c r="U1157" s="110">
        <v>34.99</v>
      </c>
      <c r="X1157">
        <v>100.69999999999996</v>
      </c>
      <c r="Y1157">
        <v>44.9</v>
      </c>
      <c r="Z1157">
        <v>44.9</v>
      </c>
      <c r="AA1157">
        <v>0</v>
      </c>
      <c r="AB1157" t="s">
        <v>324</v>
      </c>
      <c r="AF1157" t="s">
        <v>1970</v>
      </c>
      <c r="AG1157" t="s">
        <v>1970</v>
      </c>
      <c r="AH1157" t="s">
        <v>1903</v>
      </c>
      <c r="AI1157">
        <v>99999</v>
      </c>
      <c r="AJ1157">
        <v>99999</v>
      </c>
      <c r="AK1157">
        <v>699</v>
      </c>
      <c r="AL1157" t="b">
        <v>1</v>
      </c>
      <c r="AM1157" t="b">
        <v>1</v>
      </c>
      <c r="AN1157" t="b">
        <v>0</v>
      </c>
      <c r="AO1157">
        <v>99999</v>
      </c>
      <c r="AP1157" t="s">
        <v>64</v>
      </c>
      <c r="AR1157" t="b">
        <v>0</v>
      </c>
      <c r="AS1157">
        <v>12</v>
      </c>
      <c r="AT1157" t="s">
        <v>327</v>
      </c>
      <c r="AV1157" t="s">
        <v>1986</v>
      </c>
    </row>
    <row r="1158" spans="1:48" x14ac:dyDescent="0.25">
      <c r="A1158" t="s">
        <v>3323</v>
      </c>
      <c r="B1158" t="s">
        <v>302</v>
      </c>
      <c r="C1158" t="s">
        <v>62</v>
      </c>
      <c r="D1158">
        <v>99999</v>
      </c>
      <c r="F1158" s="109">
        <v>20000</v>
      </c>
      <c r="G1158" t="b">
        <v>0</v>
      </c>
      <c r="H1158" t="s">
        <v>331</v>
      </c>
      <c r="K1158" t="s">
        <v>349</v>
      </c>
      <c r="L1158" t="s">
        <v>303</v>
      </c>
      <c r="M1158" t="s">
        <v>323</v>
      </c>
      <c r="N1158" t="s">
        <v>63</v>
      </c>
      <c r="O1158" s="110">
        <v>39.9</v>
      </c>
      <c r="R1158" s="110">
        <v>344.89</v>
      </c>
      <c r="S1158" s="110">
        <v>130</v>
      </c>
      <c r="T1158" s="110">
        <v>0</v>
      </c>
      <c r="U1158" s="110">
        <v>42.99</v>
      </c>
      <c r="X1158">
        <v>126.99999999999997</v>
      </c>
      <c r="Y1158">
        <v>44.9</v>
      </c>
      <c r="Z1158">
        <v>44.9</v>
      </c>
      <c r="AA1158">
        <v>0</v>
      </c>
      <c r="AB1158" t="s">
        <v>324</v>
      </c>
      <c r="AF1158" t="s">
        <v>2118</v>
      </c>
      <c r="AG1158" t="s">
        <v>2118</v>
      </c>
      <c r="AH1158" t="s">
        <v>1903</v>
      </c>
      <c r="AI1158">
        <v>99999</v>
      </c>
      <c r="AJ1158">
        <v>99999</v>
      </c>
      <c r="AK1158">
        <v>699</v>
      </c>
      <c r="AL1158" t="b">
        <v>1</v>
      </c>
      <c r="AM1158" t="b">
        <v>1</v>
      </c>
      <c r="AN1158" t="b">
        <v>0</v>
      </c>
      <c r="AO1158">
        <v>99999</v>
      </c>
      <c r="AP1158" t="s">
        <v>64</v>
      </c>
      <c r="AR1158" t="b">
        <v>0</v>
      </c>
      <c r="AS1158">
        <v>12</v>
      </c>
      <c r="AT1158" t="s">
        <v>327</v>
      </c>
      <c r="AV1158" t="s">
        <v>2134</v>
      </c>
    </row>
    <row r="1159" spans="1:48" x14ac:dyDescent="0.25">
      <c r="A1159" t="s">
        <v>3323</v>
      </c>
      <c r="B1159" t="s">
        <v>302</v>
      </c>
      <c r="C1159" t="s">
        <v>62</v>
      </c>
      <c r="D1159">
        <v>99999</v>
      </c>
      <c r="F1159" s="109">
        <v>20000</v>
      </c>
      <c r="G1159" t="b">
        <v>0</v>
      </c>
      <c r="H1159" t="s">
        <v>331</v>
      </c>
      <c r="K1159" t="s">
        <v>349</v>
      </c>
      <c r="L1159" t="s">
        <v>303</v>
      </c>
      <c r="M1159" t="s">
        <v>323</v>
      </c>
      <c r="N1159" t="s">
        <v>63</v>
      </c>
      <c r="O1159" s="110">
        <v>49.9</v>
      </c>
      <c r="R1159" s="110">
        <v>310.58999999999992</v>
      </c>
      <c r="S1159" s="110">
        <v>130</v>
      </c>
      <c r="T1159" s="110">
        <v>0</v>
      </c>
      <c r="U1159" s="110">
        <v>34.99</v>
      </c>
      <c r="X1159">
        <v>100.69999999999996</v>
      </c>
      <c r="Y1159">
        <v>44.9</v>
      </c>
      <c r="Z1159">
        <v>44.9</v>
      </c>
      <c r="AA1159">
        <v>0</v>
      </c>
      <c r="AB1159" t="s">
        <v>324</v>
      </c>
      <c r="AF1159" t="s">
        <v>3181</v>
      </c>
      <c r="AG1159" t="s">
        <v>3181</v>
      </c>
      <c r="AH1159" t="s">
        <v>1903</v>
      </c>
      <c r="AI1159">
        <v>99999</v>
      </c>
      <c r="AJ1159">
        <v>99999</v>
      </c>
      <c r="AK1159">
        <v>699</v>
      </c>
      <c r="AL1159" t="b">
        <v>1</v>
      </c>
      <c r="AM1159" t="b">
        <v>1</v>
      </c>
      <c r="AN1159" t="b">
        <v>0</v>
      </c>
      <c r="AO1159">
        <v>99999</v>
      </c>
      <c r="AP1159" t="s">
        <v>64</v>
      </c>
      <c r="AR1159" t="b">
        <v>0</v>
      </c>
      <c r="AS1159">
        <v>12</v>
      </c>
      <c r="AT1159" t="s">
        <v>327</v>
      </c>
      <c r="AV1159" t="s">
        <v>3197</v>
      </c>
    </row>
    <row r="1160" spans="1:48" x14ac:dyDescent="0.25">
      <c r="A1160" t="s">
        <v>3323</v>
      </c>
      <c r="B1160" t="s">
        <v>302</v>
      </c>
      <c r="C1160" t="s">
        <v>62</v>
      </c>
      <c r="D1160">
        <v>99999</v>
      </c>
      <c r="F1160" s="109">
        <v>20000</v>
      </c>
      <c r="G1160" t="b">
        <v>0</v>
      </c>
      <c r="H1160" t="s">
        <v>331</v>
      </c>
      <c r="K1160" t="s">
        <v>349</v>
      </c>
      <c r="L1160" t="s">
        <v>303</v>
      </c>
      <c r="M1160" t="s">
        <v>323</v>
      </c>
      <c r="N1160" t="s">
        <v>63</v>
      </c>
      <c r="O1160" s="110">
        <v>49.9</v>
      </c>
      <c r="R1160" s="110">
        <v>344.89</v>
      </c>
      <c r="S1160" s="110">
        <v>130</v>
      </c>
      <c r="T1160" s="110">
        <v>0</v>
      </c>
      <c r="U1160" s="110">
        <v>42.99</v>
      </c>
      <c r="X1160">
        <v>126.99999999999997</v>
      </c>
      <c r="Y1160">
        <v>44.9</v>
      </c>
      <c r="Z1160">
        <v>44.9</v>
      </c>
      <c r="AA1160">
        <v>0</v>
      </c>
      <c r="AB1160" t="s">
        <v>324</v>
      </c>
      <c r="AF1160" t="s">
        <v>3255</v>
      </c>
      <c r="AG1160" t="s">
        <v>3255</v>
      </c>
      <c r="AH1160" t="s">
        <v>1903</v>
      </c>
      <c r="AI1160">
        <v>99999</v>
      </c>
      <c r="AJ1160">
        <v>99999</v>
      </c>
      <c r="AK1160">
        <v>699</v>
      </c>
      <c r="AL1160" t="b">
        <v>1</v>
      </c>
      <c r="AM1160" t="b">
        <v>1</v>
      </c>
      <c r="AN1160" t="b">
        <v>0</v>
      </c>
      <c r="AO1160">
        <v>99999</v>
      </c>
      <c r="AP1160" t="s">
        <v>64</v>
      </c>
      <c r="AR1160" t="b">
        <v>0</v>
      </c>
      <c r="AS1160">
        <v>12</v>
      </c>
      <c r="AT1160" t="s">
        <v>327</v>
      </c>
      <c r="AV1160" t="s">
        <v>3271</v>
      </c>
    </row>
    <row r="1161" spans="1:48" x14ac:dyDescent="0.25">
      <c r="A1161" t="s">
        <v>3323</v>
      </c>
      <c r="B1161" t="s">
        <v>302</v>
      </c>
      <c r="C1161" t="s">
        <v>62</v>
      </c>
      <c r="D1161">
        <v>99999</v>
      </c>
      <c r="F1161" s="109">
        <v>20000</v>
      </c>
      <c r="G1161" t="b">
        <v>0</v>
      </c>
      <c r="H1161" t="s">
        <v>331</v>
      </c>
      <c r="K1161" t="s">
        <v>393</v>
      </c>
      <c r="L1161" t="s">
        <v>303</v>
      </c>
      <c r="M1161" t="s">
        <v>323</v>
      </c>
      <c r="N1161" t="s">
        <v>63</v>
      </c>
      <c r="O1161" s="110">
        <v>29.9</v>
      </c>
      <c r="R1161" s="110">
        <v>335.59</v>
      </c>
      <c r="S1161" s="110">
        <v>130</v>
      </c>
      <c r="T1161" s="110">
        <v>0</v>
      </c>
      <c r="U1161" s="110">
        <v>34.99</v>
      </c>
      <c r="X1161">
        <v>100.69999999999996</v>
      </c>
      <c r="Y1161">
        <v>69.900000000000006</v>
      </c>
      <c r="Z1161">
        <v>69.900000000000006</v>
      </c>
      <c r="AA1161">
        <v>0</v>
      </c>
      <c r="AB1161" t="s">
        <v>363</v>
      </c>
      <c r="AF1161" t="s">
        <v>1930</v>
      </c>
      <c r="AG1161" t="s">
        <v>1930</v>
      </c>
      <c r="AH1161" t="s">
        <v>1903</v>
      </c>
      <c r="AI1161">
        <v>99999</v>
      </c>
      <c r="AJ1161">
        <v>99999</v>
      </c>
      <c r="AK1161">
        <v>699</v>
      </c>
      <c r="AL1161" t="b">
        <v>1</v>
      </c>
      <c r="AM1161" t="b">
        <v>1</v>
      </c>
      <c r="AN1161" t="b">
        <v>0</v>
      </c>
      <c r="AO1161">
        <v>99999</v>
      </c>
      <c r="AP1161" t="s">
        <v>64</v>
      </c>
      <c r="AR1161" t="b">
        <v>0</v>
      </c>
      <c r="AS1161">
        <v>12</v>
      </c>
      <c r="AT1161" t="s">
        <v>327</v>
      </c>
      <c r="AV1161" t="s">
        <v>1959</v>
      </c>
    </row>
    <row r="1162" spans="1:48" x14ac:dyDescent="0.25">
      <c r="A1162" t="s">
        <v>3323</v>
      </c>
      <c r="B1162" t="s">
        <v>302</v>
      </c>
      <c r="C1162" t="s">
        <v>62</v>
      </c>
      <c r="D1162">
        <v>99999</v>
      </c>
      <c r="F1162" s="109">
        <v>20000</v>
      </c>
      <c r="G1162" t="b">
        <v>0</v>
      </c>
      <c r="H1162" t="s">
        <v>331</v>
      </c>
      <c r="K1162" t="s">
        <v>393</v>
      </c>
      <c r="L1162" t="s">
        <v>303</v>
      </c>
      <c r="M1162" t="s">
        <v>323</v>
      </c>
      <c r="N1162" t="s">
        <v>63</v>
      </c>
      <c r="O1162" s="110">
        <v>29.9</v>
      </c>
      <c r="R1162" s="110">
        <v>369.89</v>
      </c>
      <c r="S1162" s="110">
        <v>130</v>
      </c>
      <c r="T1162" s="110">
        <v>0</v>
      </c>
      <c r="U1162" s="110">
        <v>42.99</v>
      </c>
      <c r="X1162">
        <v>126.99999999999997</v>
      </c>
      <c r="Y1162">
        <v>69.900000000000006</v>
      </c>
      <c r="Z1162">
        <v>69.900000000000006</v>
      </c>
      <c r="AA1162">
        <v>0</v>
      </c>
      <c r="AB1162" t="s">
        <v>363</v>
      </c>
      <c r="AF1162" t="s">
        <v>2078</v>
      </c>
      <c r="AG1162" t="s">
        <v>2078</v>
      </c>
      <c r="AH1162" t="s">
        <v>1903</v>
      </c>
      <c r="AI1162">
        <v>99999</v>
      </c>
      <c r="AJ1162">
        <v>99999</v>
      </c>
      <c r="AK1162">
        <v>699</v>
      </c>
      <c r="AL1162" t="b">
        <v>1</v>
      </c>
      <c r="AM1162" t="b">
        <v>1</v>
      </c>
      <c r="AN1162" t="b">
        <v>0</v>
      </c>
      <c r="AO1162">
        <v>99999</v>
      </c>
      <c r="AP1162" t="s">
        <v>64</v>
      </c>
      <c r="AR1162" t="b">
        <v>0</v>
      </c>
      <c r="AS1162">
        <v>12</v>
      </c>
      <c r="AT1162" t="s">
        <v>327</v>
      </c>
      <c r="AV1162" t="s">
        <v>2107</v>
      </c>
    </row>
    <row r="1163" spans="1:48" x14ac:dyDescent="0.25">
      <c r="A1163" t="s">
        <v>3323</v>
      </c>
      <c r="B1163" t="s">
        <v>302</v>
      </c>
      <c r="C1163" t="s">
        <v>62</v>
      </c>
      <c r="D1163">
        <v>99999</v>
      </c>
      <c r="F1163" s="109">
        <v>20000</v>
      </c>
      <c r="G1163" t="b">
        <v>0</v>
      </c>
      <c r="H1163" t="s">
        <v>331</v>
      </c>
      <c r="K1163" t="s">
        <v>393</v>
      </c>
      <c r="L1163" t="s">
        <v>303</v>
      </c>
      <c r="M1163" t="s">
        <v>323</v>
      </c>
      <c r="N1163" t="s">
        <v>63</v>
      </c>
      <c r="O1163" s="110">
        <v>39.9</v>
      </c>
      <c r="R1163" s="110">
        <v>335.59</v>
      </c>
      <c r="S1163" s="110">
        <v>130</v>
      </c>
      <c r="T1163" s="110">
        <v>0</v>
      </c>
      <c r="U1163" s="110">
        <v>34.99</v>
      </c>
      <c r="X1163">
        <v>100.69999999999996</v>
      </c>
      <c r="Y1163">
        <v>69.900000000000006</v>
      </c>
      <c r="Z1163">
        <v>69.900000000000006</v>
      </c>
      <c r="AA1163">
        <v>0</v>
      </c>
      <c r="AB1163" t="s">
        <v>363</v>
      </c>
      <c r="AF1163" t="s">
        <v>1997</v>
      </c>
      <c r="AG1163" t="s">
        <v>1997</v>
      </c>
      <c r="AH1163" t="s">
        <v>1903</v>
      </c>
      <c r="AI1163">
        <v>99999</v>
      </c>
      <c r="AJ1163">
        <v>99999</v>
      </c>
      <c r="AK1163">
        <v>699</v>
      </c>
      <c r="AL1163" t="b">
        <v>1</v>
      </c>
      <c r="AM1163" t="b">
        <v>1</v>
      </c>
      <c r="AN1163" t="b">
        <v>0</v>
      </c>
      <c r="AO1163">
        <v>99999</v>
      </c>
      <c r="AP1163" t="s">
        <v>64</v>
      </c>
      <c r="AR1163" t="b">
        <v>0</v>
      </c>
      <c r="AS1163">
        <v>12</v>
      </c>
      <c r="AT1163" t="s">
        <v>327</v>
      </c>
      <c r="AV1163" t="s">
        <v>2026</v>
      </c>
    </row>
    <row r="1164" spans="1:48" x14ac:dyDescent="0.25">
      <c r="A1164" t="s">
        <v>3323</v>
      </c>
      <c r="B1164" t="s">
        <v>302</v>
      </c>
      <c r="C1164" t="s">
        <v>62</v>
      </c>
      <c r="D1164">
        <v>99999</v>
      </c>
      <c r="F1164" s="109">
        <v>20000</v>
      </c>
      <c r="G1164" t="b">
        <v>0</v>
      </c>
      <c r="H1164" t="s">
        <v>331</v>
      </c>
      <c r="K1164" t="s">
        <v>393</v>
      </c>
      <c r="L1164" t="s">
        <v>303</v>
      </c>
      <c r="M1164" t="s">
        <v>323</v>
      </c>
      <c r="N1164" t="s">
        <v>63</v>
      </c>
      <c r="O1164" s="110">
        <v>39.9</v>
      </c>
      <c r="R1164" s="110">
        <v>369.89</v>
      </c>
      <c r="S1164" s="110">
        <v>130</v>
      </c>
      <c r="T1164" s="110">
        <v>0</v>
      </c>
      <c r="U1164" s="110">
        <v>42.99</v>
      </c>
      <c r="X1164">
        <v>126.99999999999997</v>
      </c>
      <c r="Y1164">
        <v>69.900000000000006</v>
      </c>
      <c r="Z1164">
        <v>69.900000000000006</v>
      </c>
      <c r="AA1164">
        <v>0</v>
      </c>
      <c r="AB1164" t="s">
        <v>363</v>
      </c>
      <c r="AF1164" t="s">
        <v>2145</v>
      </c>
      <c r="AG1164" t="s">
        <v>2145</v>
      </c>
      <c r="AH1164" t="s">
        <v>1903</v>
      </c>
      <c r="AI1164">
        <v>99999</v>
      </c>
      <c r="AJ1164">
        <v>99999</v>
      </c>
      <c r="AK1164">
        <v>699</v>
      </c>
      <c r="AL1164" t="b">
        <v>1</v>
      </c>
      <c r="AM1164" t="b">
        <v>1</v>
      </c>
      <c r="AN1164" t="b">
        <v>0</v>
      </c>
      <c r="AO1164">
        <v>99999</v>
      </c>
      <c r="AP1164" t="s">
        <v>64</v>
      </c>
      <c r="AR1164" t="b">
        <v>0</v>
      </c>
      <c r="AS1164">
        <v>12</v>
      </c>
      <c r="AT1164" t="s">
        <v>327</v>
      </c>
      <c r="AV1164" t="s">
        <v>2174</v>
      </c>
    </row>
    <row r="1165" spans="1:48" x14ac:dyDescent="0.25">
      <c r="A1165" t="s">
        <v>3323</v>
      </c>
      <c r="B1165" t="s">
        <v>302</v>
      </c>
      <c r="C1165" t="s">
        <v>62</v>
      </c>
      <c r="D1165">
        <v>99999</v>
      </c>
      <c r="F1165" s="109">
        <v>20000</v>
      </c>
      <c r="G1165" t="b">
        <v>0</v>
      </c>
      <c r="H1165" t="s">
        <v>331</v>
      </c>
      <c r="K1165" t="s">
        <v>393</v>
      </c>
      <c r="L1165" t="s">
        <v>303</v>
      </c>
      <c r="M1165" t="s">
        <v>323</v>
      </c>
      <c r="N1165" t="s">
        <v>63</v>
      </c>
      <c r="O1165" s="110">
        <v>49.9</v>
      </c>
      <c r="R1165" s="110">
        <v>335.59</v>
      </c>
      <c r="S1165" s="110">
        <v>130</v>
      </c>
      <c r="T1165" s="110">
        <v>0</v>
      </c>
      <c r="U1165" s="110">
        <v>34.99</v>
      </c>
      <c r="X1165">
        <v>100.69999999999996</v>
      </c>
      <c r="Y1165">
        <v>69.900000000000006</v>
      </c>
      <c r="Z1165">
        <v>69.900000000000006</v>
      </c>
      <c r="AA1165">
        <v>0</v>
      </c>
      <c r="AB1165" t="s">
        <v>363</v>
      </c>
      <c r="AF1165" t="s">
        <v>3208</v>
      </c>
      <c r="AG1165" t="s">
        <v>3208</v>
      </c>
      <c r="AH1165" t="s">
        <v>1903</v>
      </c>
      <c r="AI1165">
        <v>99999</v>
      </c>
      <c r="AJ1165">
        <v>99999</v>
      </c>
      <c r="AK1165">
        <v>699</v>
      </c>
      <c r="AL1165" t="b">
        <v>1</v>
      </c>
      <c r="AM1165" t="b">
        <v>1</v>
      </c>
      <c r="AN1165" t="b">
        <v>0</v>
      </c>
      <c r="AO1165">
        <v>99999</v>
      </c>
      <c r="AP1165" t="s">
        <v>64</v>
      </c>
      <c r="AR1165" t="b">
        <v>0</v>
      </c>
      <c r="AS1165">
        <v>12</v>
      </c>
      <c r="AT1165" t="s">
        <v>327</v>
      </c>
      <c r="AV1165" t="s">
        <v>3237</v>
      </c>
    </row>
    <row r="1166" spans="1:48" x14ac:dyDescent="0.25">
      <c r="A1166" t="s">
        <v>3323</v>
      </c>
      <c r="B1166" t="s">
        <v>302</v>
      </c>
      <c r="C1166" t="s">
        <v>62</v>
      </c>
      <c r="D1166">
        <v>99999</v>
      </c>
      <c r="F1166" s="109">
        <v>20000</v>
      </c>
      <c r="G1166" t="b">
        <v>0</v>
      </c>
      <c r="H1166" t="s">
        <v>331</v>
      </c>
      <c r="K1166" t="s">
        <v>393</v>
      </c>
      <c r="L1166" t="s">
        <v>303</v>
      </c>
      <c r="M1166" t="s">
        <v>323</v>
      </c>
      <c r="N1166" t="s">
        <v>63</v>
      </c>
      <c r="O1166" s="110">
        <v>49.9</v>
      </c>
      <c r="R1166" s="110">
        <v>369.89</v>
      </c>
      <c r="S1166" s="110">
        <v>130</v>
      </c>
      <c r="T1166" s="110">
        <v>0</v>
      </c>
      <c r="U1166" s="110">
        <v>42.99</v>
      </c>
      <c r="X1166">
        <v>126.99999999999997</v>
      </c>
      <c r="Y1166">
        <v>69.900000000000006</v>
      </c>
      <c r="Z1166">
        <v>69.900000000000006</v>
      </c>
      <c r="AA1166">
        <v>0</v>
      </c>
      <c r="AB1166" t="s">
        <v>363</v>
      </c>
      <c r="AF1166" t="s">
        <v>3282</v>
      </c>
      <c r="AG1166" t="s">
        <v>3282</v>
      </c>
      <c r="AH1166" t="s">
        <v>1903</v>
      </c>
      <c r="AI1166">
        <v>99999</v>
      </c>
      <c r="AJ1166">
        <v>99999</v>
      </c>
      <c r="AK1166">
        <v>699</v>
      </c>
      <c r="AL1166" t="b">
        <v>1</v>
      </c>
      <c r="AM1166" t="b">
        <v>1</v>
      </c>
      <c r="AN1166" t="b">
        <v>0</v>
      </c>
      <c r="AO1166">
        <v>99999</v>
      </c>
      <c r="AP1166" t="s">
        <v>64</v>
      </c>
      <c r="AR1166" t="b">
        <v>0</v>
      </c>
      <c r="AS1166">
        <v>12</v>
      </c>
      <c r="AT1166" t="s">
        <v>327</v>
      </c>
      <c r="AV1166" t="s">
        <v>3311</v>
      </c>
    </row>
    <row r="1167" spans="1:48" x14ac:dyDescent="0.25">
      <c r="A1167" t="s">
        <v>3323</v>
      </c>
      <c r="B1167" t="s">
        <v>302</v>
      </c>
      <c r="C1167" t="s">
        <v>62</v>
      </c>
      <c r="D1167">
        <v>99999</v>
      </c>
      <c r="F1167" s="109">
        <v>20000</v>
      </c>
      <c r="G1167" t="b">
        <v>0</v>
      </c>
      <c r="H1167" t="s">
        <v>331</v>
      </c>
      <c r="K1167" t="s">
        <v>364</v>
      </c>
      <c r="L1167" t="s">
        <v>303</v>
      </c>
      <c r="M1167" t="s">
        <v>323</v>
      </c>
      <c r="N1167" t="s">
        <v>63</v>
      </c>
      <c r="O1167" s="110">
        <v>29.9</v>
      </c>
      <c r="R1167" s="110">
        <v>315.58999999999992</v>
      </c>
      <c r="S1167" s="110">
        <v>130</v>
      </c>
      <c r="T1167" s="110">
        <v>0</v>
      </c>
      <c r="U1167" s="110">
        <v>34.99</v>
      </c>
      <c r="X1167">
        <v>100.69999999999996</v>
      </c>
      <c r="Y1167">
        <v>49.9</v>
      </c>
      <c r="Z1167">
        <v>49.9</v>
      </c>
      <c r="AA1167">
        <v>0</v>
      </c>
      <c r="AB1167" t="s">
        <v>363</v>
      </c>
      <c r="AF1167" t="s">
        <v>1930</v>
      </c>
      <c r="AG1167" t="s">
        <v>1930</v>
      </c>
      <c r="AH1167" t="s">
        <v>1903</v>
      </c>
      <c r="AI1167">
        <v>99999</v>
      </c>
      <c r="AJ1167">
        <v>99999</v>
      </c>
      <c r="AK1167">
        <v>699</v>
      </c>
      <c r="AL1167" t="b">
        <v>1</v>
      </c>
      <c r="AM1167" t="b">
        <v>1</v>
      </c>
      <c r="AN1167" t="b">
        <v>0</v>
      </c>
      <c r="AO1167">
        <v>99999</v>
      </c>
      <c r="AP1167" t="s">
        <v>64</v>
      </c>
      <c r="AR1167" t="b">
        <v>0</v>
      </c>
      <c r="AS1167">
        <v>12</v>
      </c>
      <c r="AT1167" t="s">
        <v>327</v>
      </c>
      <c r="AV1167" t="s">
        <v>1933</v>
      </c>
    </row>
    <row r="1168" spans="1:48" x14ac:dyDescent="0.25">
      <c r="A1168" t="s">
        <v>3323</v>
      </c>
      <c r="B1168" t="s">
        <v>302</v>
      </c>
      <c r="C1168" t="s">
        <v>62</v>
      </c>
      <c r="D1168">
        <v>99999</v>
      </c>
      <c r="F1168" s="109">
        <v>20000</v>
      </c>
      <c r="G1168" t="b">
        <v>0</v>
      </c>
      <c r="H1168" t="s">
        <v>331</v>
      </c>
      <c r="K1168" t="s">
        <v>364</v>
      </c>
      <c r="L1168" t="s">
        <v>303</v>
      </c>
      <c r="M1168" t="s">
        <v>323</v>
      </c>
      <c r="N1168" t="s">
        <v>63</v>
      </c>
      <c r="O1168" s="110">
        <v>29.9</v>
      </c>
      <c r="R1168" s="110">
        <v>349.89</v>
      </c>
      <c r="S1168" s="110">
        <v>130</v>
      </c>
      <c r="T1168" s="110">
        <v>0</v>
      </c>
      <c r="U1168" s="110">
        <v>42.99</v>
      </c>
      <c r="X1168">
        <v>126.99999999999997</v>
      </c>
      <c r="Y1168">
        <v>49.9</v>
      </c>
      <c r="Z1168">
        <v>49.9</v>
      </c>
      <c r="AA1168">
        <v>0</v>
      </c>
      <c r="AB1168" t="s">
        <v>363</v>
      </c>
      <c r="AF1168" t="s">
        <v>2078</v>
      </c>
      <c r="AG1168" t="s">
        <v>2078</v>
      </c>
      <c r="AH1168" t="s">
        <v>1903</v>
      </c>
      <c r="AI1168">
        <v>99999</v>
      </c>
      <c r="AJ1168">
        <v>99999</v>
      </c>
      <c r="AK1168">
        <v>699</v>
      </c>
      <c r="AL1168" t="b">
        <v>1</v>
      </c>
      <c r="AM1168" t="b">
        <v>1</v>
      </c>
      <c r="AN1168" t="b">
        <v>0</v>
      </c>
      <c r="AO1168">
        <v>99999</v>
      </c>
      <c r="AP1168" t="s">
        <v>64</v>
      </c>
      <c r="AR1168" t="b">
        <v>0</v>
      </c>
      <c r="AS1168">
        <v>12</v>
      </c>
      <c r="AT1168" t="s">
        <v>327</v>
      </c>
      <c r="AV1168" t="s">
        <v>2081</v>
      </c>
    </row>
    <row r="1169" spans="1:48" x14ac:dyDescent="0.25">
      <c r="A1169" t="s">
        <v>3323</v>
      </c>
      <c r="B1169" t="s">
        <v>302</v>
      </c>
      <c r="C1169" t="s">
        <v>62</v>
      </c>
      <c r="D1169">
        <v>99999</v>
      </c>
      <c r="F1169" s="109">
        <v>20000</v>
      </c>
      <c r="G1169" t="b">
        <v>0</v>
      </c>
      <c r="H1169" t="s">
        <v>331</v>
      </c>
      <c r="K1169" t="s">
        <v>364</v>
      </c>
      <c r="L1169" t="s">
        <v>303</v>
      </c>
      <c r="M1169" t="s">
        <v>323</v>
      </c>
      <c r="N1169" t="s">
        <v>63</v>
      </c>
      <c r="O1169" s="110">
        <v>39.9</v>
      </c>
      <c r="R1169" s="110">
        <v>315.58999999999992</v>
      </c>
      <c r="S1169" s="110">
        <v>130</v>
      </c>
      <c r="T1169" s="110">
        <v>0</v>
      </c>
      <c r="U1169" s="110">
        <v>34.99</v>
      </c>
      <c r="X1169">
        <v>100.69999999999996</v>
      </c>
      <c r="Y1169">
        <v>49.9</v>
      </c>
      <c r="Z1169">
        <v>49.9</v>
      </c>
      <c r="AA1169">
        <v>0</v>
      </c>
      <c r="AB1169" t="s">
        <v>363</v>
      </c>
      <c r="AF1169" t="s">
        <v>1997</v>
      </c>
      <c r="AG1169" t="s">
        <v>1997</v>
      </c>
      <c r="AH1169" t="s">
        <v>1903</v>
      </c>
      <c r="AI1169">
        <v>99999</v>
      </c>
      <c r="AJ1169">
        <v>99999</v>
      </c>
      <c r="AK1169">
        <v>699</v>
      </c>
      <c r="AL1169" t="b">
        <v>1</v>
      </c>
      <c r="AM1169" t="b">
        <v>1</v>
      </c>
      <c r="AN1169" t="b">
        <v>0</v>
      </c>
      <c r="AO1169">
        <v>99999</v>
      </c>
      <c r="AP1169" t="s">
        <v>64</v>
      </c>
      <c r="AR1169" t="b">
        <v>0</v>
      </c>
      <c r="AS1169">
        <v>12</v>
      </c>
      <c r="AT1169" t="s">
        <v>327</v>
      </c>
      <c r="AV1169" t="s">
        <v>2000</v>
      </c>
    </row>
    <row r="1170" spans="1:48" x14ac:dyDescent="0.25">
      <c r="A1170" t="s">
        <v>3323</v>
      </c>
      <c r="B1170" t="s">
        <v>302</v>
      </c>
      <c r="C1170" t="s">
        <v>62</v>
      </c>
      <c r="D1170">
        <v>99999</v>
      </c>
      <c r="F1170" s="109">
        <v>20000</v>
      </c>
      <c r="G1170" t="b">
        <v>0</v>
      </c>
      <c r="H1170" t="s">
        <v>331</v>
      </c>
      <c r="K1170" t="s">
        <v>364</v>
      </c>
      <c r="L1170" t="s">
        <v>303</v>
      </c>
      <c r="M1170" t="s">
        <v>323</v>
      </c>
      <c r="N1170" t="s">
        <v>63</v>
      </c>
      <c r="O1170" s="110">
        <v>39.9</v>
      </c>
      <c r="R1170" s="110">
        <v>349.89</v>
      </c>
      <c r="S1170" s="110">
        <v>130</v>
      </c>
      <c r="T1170" s="110">
        <v>0</v>
      </c>
      <c r="U1170" s="110">
        <v>42.99</v>
      </c>
      <c r="X1170">
        <v>126.99999999999997</v>
      </c>
      <c r="Y1170">
        <v>49.9</v>
      </c>
      <c r="Z1170">
        <v>49.9</v>
      </c>
      <c r="AA1170">
        <v>0</v>
      </c>
      <c r="AB1170" t="s">
        <v>363</v>
      </c>
      <c r="AF1170" t="s">
        <v>2145</v>
      </c>
      <c r="AG1170" t="s">
        <v>2145</v>
      </c>
      <c r="AH1170" t="s">
        <v>1903</v>
      </c>
      <c r="AI1170">
        <v>99999</v>
      </c>
      <c r="AJ1170">
        <v>99999</v>
      </c>
      <c r="AK1170">
        <v>699</v>
      </c>
      <c r="AL1170" t="b">
        <v>1</v>
      </c>
      <c r="AM1170" t="b">
        <v>1</v>
      </c>
      <c r="AN1170" t="b">
        <v>0</v>
      </c>
      <c r="AO1170">
        <v>99999</v>
      </c>
      <c r="AP1170" t="s">
        <v>64</v>
      </c>
      <c r="AR1170" t="b">
        <v>0</v>
      </c>
      <c r="AS1170">
        <v>12</v>
      </c>
      <c r="AT1170" t="s">
        <v>327</v>
      </c>
      <c r="AV1170" t="s">
        <v>2148</v>
      </c>
    </row>
    <row r="1171" spans="1:48" x14ac:dyDescent="0.25">
      <c r="A1171" t="s">
        <v>3323</v>
      </c>
      <c r="B1171" t="s">
        <v>302</v>
      </c>
      <c r="C1171" t="s">
        <v>62</v>
      </c>
      <c r="D1171">
        <v>99999</v>
      </c>
      <c r="F1171" s="109">
        <v>20000</v>
      </c>
      <c r="G1171" t="b">
        <v>0</v>
      </c>
      <c r="H1171" t="s">
        <v>331</v>
      </c>
      <c r="K1171" t="s">
        <v>364</v>
      </c>
      <c r="L1171" t="s">
        <v>303</v>
      </c>
      <c r="M1171" t="s">
        <v>323</v>
      </c>
      <c r="N1171" t="s">
        <v>63</v>
      </c>
      <c r="O1171" s="110">
        <v>49.9</v>
      </c>
      <c r="R1171" s="110">
        <v>315.58999999999992</v>
      </c>
      <c r="S1171" s="110">
        <v>130</v>
      </c>
      <c r="T1171" s="110">
        <v>0</v>
      </c>
      <c r="U1171" s="110">
        <v>34.99</v>
      </c>
      <c r="X1171">
        <v>100.69999999999996</v>
      </c>
      <c r="Y1171">
        <v>49.9</v>
      </c>
      <c r="Z1171">
        <v>49.9</v>
      </c>
      <c r="AA1171">
        <v>0</v>
      </c>
      <c r="AB1171" t="s">
        <v>363</v>
      </c>
      <c r="AF1171" t="s">
        <v>3208</v>
      </c>
      <c r="AG1171" t="s">
        <v>3208</v>
      </c>
      <c r="AH1171" t="s">
        <v>1903</v>
      </c>
      <c r="AI1171">
        <v>99999</v>
      </c>
      <c r="AJ1171">
        <v>99999</v>
      </c>
      <c r="AK1171">
        <v>699</v>
      </c>
      <c r="AL1171" t="b">
        <v>1</v>
      </c>
      <c r="AM1171" t="b">
        <v>1</v>
      </c>
      <c r="AN1171" t="b">
        <v>0</v>
      </c>
      <c r="AO1171">
        <v>99999</v>
      </c>
      <c r="AP1171" t="s">
        <v>64</v>
      </c>
      <c r="AR1171" t="b">
        <v>0</v>
      </c>
      <c r="AS1171">
        <v>12</v>
      </c>
      <c r="AT1171" t="s">
        <v>327</v>
      </c>
      <c r="AV1171" t="s">
        <v>3211</v>
      </c>
    </row>
    <row r="1172" spans="1:48" x14ac:dyDescent="0.25">
      <c r="A1172" t="s">
        <v>3323</v>
      </c>
      <c r="B1172" t="s">
        <v>302</v>
      </c>
      <c r="C1172" t="s">
        <v>62</v>
      </c>
      <c r="D1172">
        <v>99999</v>
      </c>
      <c r="F1172" s="109">
        <v>20000</v>
      </c>
      <c r="G1172" t="b">
        <v>0</v>
      </c>
      <c r="H1172" t="s">
        <v>331</v>
      </c>
      <c r="K1172" t="s">
        <v>364</v>
      </c>
      <c r="L1172" t="s">
        <v>303</v>
      </c>
      <c r="M1172" t="s">
        <v>323</v>
      </c>
      <c r="N1172" t="s">
        <v>63</v>
      </c>
      <c r="O1172" s="110">
        <v>49.9</v>
      </c>
      <c r="R1172" s="110">
        <v>349.89</v>
      </c>
      <c r="S1172" s="110">
        <v>130</v>
      </c>
      <c r="T1172" s="110">
        <v>0</v>
      </c>
      <c r="U1172" s="110">
        <v>42.99</v>
      </c>
      <c r="X1172">
        <v>126.99999999999997</v>
      </c>
      <c r="Y1172">
        <v>49.9</v>
      </c>
      <c r="Z1172">
        <v>49.9</v>
      </c>
      <c r="AA1172">
        <v>0</v>
      </c>
      <c r="AB1172" t="s">
        <v>363</v>
      </c>
      <c r="AF1172" t="s">
        <v>3282</v>
      </c>
      <c r="AG1172" t="s">
        <v>3282</v>
      </c>
      <c r="AH1172" t="s">
        <v>1903</v>
      </c>
      <c r="AI1172">
        <v>99999</v>
      </c>
      <c r="AJ1172">
        <v>99999</v>
      </c>
      <c r="AK1172">
        <v>699</v>
      </c>
      <c r="AL1172" t="b">
        <v>1</v>
      </c>
      <c r="AM1172" t="b">
        <v>1</v>
      </c>
      <c r="AN1172" t="b">
        <v>0</v>
      </c>
      <c r="AO1172">
        <v>99999</v>
      </c>
      <c r="AP1172" t="s">
        <v>64</v>
      </c>
      <c r="AR1172" t="b">
        <v>0</v>
      </c>
      <c r="AS1172">
        <v>12</v>
      </c>
      <c r="AT1172" t="s">
        <v>327</v>
      </c>
      <c r="AV1172" t="s">
        <v>3285</v>
      </c>
    </row>
    <row r="1173" spans="1:48" x14ac:dyDescent="0.25">
      <c r="A1173" t="s">
        <v>3323</v>
      </c>
      <c r="B1173" t="s">
        <v>302</v>
      </c>
      <c r="C1173" t="s">
        <v>62</v>
      </c>
      <c r="D1173">
        <v>99999</v>
      </c>
      <c r="F1173" s="109">
        <v>20000</v>
      </c>
      <c r="G1173" t="b">
        <v>0</v>
      </c>
      <c r="H1173" t="s">
        <v>331</v>
      </c>
      <c r="K1173" t="s">
        <v>379</v>
      </c>
      <c r="L1173" t="s">
        <v>303</v>
      </c>
      <c r="M1173" t="s">
        <v>323</v>
      </c>
      <c r="N1173" t="s">
        <v>63</v>
      </c>
      <c r="O1173" s="110">
        <v>29.9</v>
      </c>
      <c r="R1173" s="110">
        <v>325.58999999999992</v>
      </c>
      <c r="S1173" s="110">
        <v>130</v>
      </c>
      <c r="T1173" s="110">
        <v>0</v>
      </c>
      <c r="U1173" s="110">
        <v>34.99</v>
      </c>
      <c r="X1173">
        <v>100.69999999999996</v>
      </c>
      <c r="Y1173">
        <v>59.9</v>
      </c>
      <c r="Z1173">
        <v>59.9</v>
      </c>
      <c r="AA1173">
        <v>0</v>
      </c>
      <c r="AB1173" t="s">
        <v>363</v>
      </c>
      <c r="AF1173" t="s">
        <v>1930</v>
      </c>
      <c r="AG1173" t="s">
        <v>1930</v>
      </c>
      <c r="AH1173" t="s">
        <v>1903</v>
      </c>
      <c r="AI1173">
        <v>99999</v>
      </c>
      <c r="AJ1173">
        <v>99999</v>
      </c>
      <c r="AK1173">
        <v>699</v>
      </c>
      <c r="AL1173" t="b">
        <v>1</v>
      </c>
      <c r="AM1173" t="b">
        <v>1</v>
      </c>
      <c r="AN1173" t="b">
        <v>0</v>
      </c>
      <c r="AO1173">
        <v>99999</v>
      </c>
      <c r="AP1173" t="s">
        <v>64</v>
      </c>
      <c r="AR1173" t="b">
        <v>0</v>
      </c>
      <c r="AS1173">
        <v>12</v>
      </c>
      <c r="AT1173" t="s">
        <v>327</v>
      </c>
      <c r="AV1173" t="s">
        <v>1946</v>
      </c>
    </row>
    <row r="1174" spans="1:48" x14ac:dyDescent="0.25">
      <c r="A1174" t="s">
        <v>3323</v>
      </c>
      <c r="B1174" t="s">
        <v>302</v>
      </c>
      <c r="C1174" t="s">
        <v>62</v>
      </c>
      <c r="D1174">
        <v>99999</v>
      </c>
      <c r="F1174" s="109">
        <v>20000</v>
      </c>
      <c r="G1174" t="b">
        <v>0</v>
      </c>
      <c r="H1174" t="s">
        <v>331</v>
      </c>
      <c r="K1174" t="s">
        <v>379</v>
      </c>
      <c r="L1174" t="s">
        <v>303</v>
      </c>
      <c r="M1174" t="s">
        <v>323</v>
      </c>
      <c r="N1174" t="s">
        <v>63</v>
      </c>
      <c r="O1174" s="110">
        <v>29.9</v>
      </c>
      <c r="R1174" s="110">
        <v>359.89</v>
      </c>
      <c r="S1174" s="110">
        <v>130</v>
      </c>
      <c r="T1174" s="110">
        <v>0</v>
      </c>
      <c r="U1174" s="110">
        <v>42.99</v>
      </c>
      <c r="X1174">
        <v>126.99999999999997</v>
      </c>
      <c r="Y1174">
        <v>59.9</v>
      </c>
      <c r="Z1174">
        <v>59.9</v>
      </c>
      <c r="AA1174">
        <v>0</v>
      </c>
      <c r="AB1174" t="s">
        <v>363</v>
      </c>
      <c r="AF1174" t="s">
        <v>2078</v>
      </c>
      <c r="AG1174" t="s">
        <v>2078</v>
      </c>
      <c r="AH1174" t="s">
        <v>1903</v>
      </c>
      <c r="AI1174">
        <v>99999</v>
      </c>
      <c r="AJ1174">
        <v>99999</v>
      </c>
      <c r="AK1174">
        <v>699</v>
      </c>
      <c r="AL1174" t="b">
        <v>1</v>
      </c>
      <c r="AM1174" t="b">
        <v>1</v>
      </c>
      <c r="AN1174" t="b">
        <v>0</v>
      </c>
      <c r="AO1174">
        <v>99999</v>
      </c>
      <c r="AP1174" t="s">
        <v>64</v>
      </c>
      <c r="AR1174" t="b">
        <v>0</v>
      </c>
      <c r="AS1174">
        <v>12</v>
      </c>
      <c r="AT1174" t="s">
        <v>327</v>
      </c>
      <c r="AV1174" t="s">
        <v>2094</v>
      </c>
    </row>
    <row r="1175" spans="1:48" x14ac:dyDescent="0.25">
      <c r="A1175" t="s">
        <v>3323</v>
      </c>
      <c r="B1175" t="s">
        <v>302</v>
      </c>
      <c r="C1175" t="s">
        <v>62</v>
      </c>
      <c r="D1175">
        <v>99999</v>
      </c>
      <c r="F1175" s="109">
        <v>20000</v>
      </c>
      <c r="G1175" t="b">
        <v>0</v>
      </c>
      <c r="H1175" t="s">
        <v>331</v>
      </c>
      <c r="K1175" t="s">
        <v>379</v>
      </c>
      <c r="L1175" t="s">
        <v>303</v>
      </c>
      <c r="M1175" t="s">
        <v>323</v>
      </c>
      <c r="N1175" t="s">
        <v>63</v>
      </c>
      <c r="O1175" s="110">
        <v>39.9</v>
      </c>
      <c r="R1175" s="110">
        <v>325.58999999999992</v>
      </c>
      <c r="S1175" s="110">
        <v>130</v>
      </c>
      <c r="T1175" s="110">
        <v>0</v>
      </c>
      <c r="U1175" s="110">
        <v>34.99</v>
      </c>
      <c r="X1175">
        <v>100.69999999999996</v>
      </c>
      <c r="Y1175">
        <v>59.9</v>
      </c>
      <c r="Z1175">
        <v>59.9</v>
      </c>
      <c r="AA1175">
        <v>0</v>
      </c>
      <c r="AB1175" t="s">
        <v>363</v>
      </c>
      <c r="AF1175" t="s">
        <v>1997</v>
      </c>
      <c r="AG1175" t="s">
        <v>1997</v>
      </c>
      <c r="AH1175" t="s">
        <v>1903</v>
      </c>
      <c r="AI1175">
        <v>99999</v>
      </c>
      <c r="AJ1175">
        <v>99999</v>
      </c>
      <c r="AK1175">
        <v>699</v>
      </c>
      <c r="AL1175" t="b">
        <v>1</v>
      </c>
      <c r="AM1175" t="b">
        <v>1</v>
      </c>
      <c r="AN1175" t="b">
        <v>0</v>
      </c>
      <c r="AO1175">
        <v>99999</v>
      </c>
      <c r="AP1175" t="s">
        <v>64</v>
      </c>
      <c r="AR1175" t="b">
        <v>0</v>
      </c>
      <c r="AS1175">
        <v>12</v>
      </c>
      <c r="AT1175" t="s">
        <v>327</v>
      </c>
      <c r="AV1175" t="s">
        <v>2013</v>
      </c>
    </row>
    <row r="1176" spans="1:48" x14ac:dyDescent="0.25">
      <c r="A1176" t="s">
        <v>3323</v>
      </c>
      <c r="B1176" t="s">
        <v>302</v>
      </c>
      <c r="C1176" t="s">
        <v>62</v>
      </c>
      <c r="D1176">
        <v>99999</v>
      </c>
      <c r="F1176" s="109">
        <v>20000</v>
      </c>
      <c r="G1176" t="b">
        <v>0</v>
      </c>
      <c r="H1176" t="s">
        <v>331</v>
      </c>
      <c r="K1176" t="s">
        <v>379</v>
      </c>
      <c r="L1176" t="s">
        <v>303</v>
      </c>
      <c r="M1176" t="s">
        <v>323</v>
      </c>
      <c r="N1176" t="s">
        <v>63</v>
      </c>
      <c r="O1176" s="110">
        <v>39.9</v>
      </c>
      <c r="R1176" s="110">
        <v>359.89</v>
      </c>
      <c r="S1176" s="110">
        <v>130</v>
      </c>
      <c r="T1176" s="110">
        <v>0</v>
      </c>
      <c r="U1176" s="110">
        <v>42.99</v>
      </c>
      <c r="X1176">
        <v>126.99999999999997</v>
      </c>
      <c r="Y1176">
        <v>59.9</v>
      </c>
      <c r="Z1176">
        <v>59.9</v>
      </c>
      <c r="AA1176">
        <v>0</v>
      </c>
      <c r="AB1176" t="s">
        <v>363</v>
      </c>
      <c r="AF1176" t="s">
        <v>2145</v>
      </c>
      <c r="AG1176" t="s">
        <v>2145</v>
      </c>
      <c r="AH1176" t="s">
        <v>1903</v>
      </c>
      <c r="AI1176">
        <v>99999</v>
      </c>
      <c r="AJ1176">
        <v>99999</v>
      </c>
      <c r="AK1176">
        <v>699</v>
      </c>
      <c r="AL1176" t="b">
        <v>1</v>
      </c>
      <c r="AM1176" t="b">
        <v>1</v>
      </c>
      <c r="AN1176" t="b">
        <v>0</v>
      </c>
      <c r="AO1176">
        <v>99999</v>
      </c>
      <c r="AP1176" t="s">
        <v>64</v>
      </c>
      <c r="AR1176" t="b">
        <v>0</v>
      </c>
      <c r="AS1176">
        <v>12</v>
      </c>
      <c r="AT1176" t="s">
        <v>327</v>
      </c>
      <c r="AV1176" t="s">
        <v>2161</v>
      </c>
    </row>
    <row r="1177" spans="1:48" x14ac:dyDescent="0.25">
      <c r="A1177" t="s">
        <v>3323</v>
      </c>
      <c r="B1177" t="s">
        <v>302</v>
      </c>
      <c r="C1177" t="s">
        <v>62</v>
      </c>
      <c r="D1177">
        <v>99999</v>
      </c>
      <c r="F1177" s="109">
        <v>20000</v>
      </c>
      <c r="G1177" t="b">
        <v>0</v>
      </c>
      <c r="H1177" t="s">
        <v>331</v>
      </c>
      <c r="K1177" t="s">
        <v>379</v>
      </c>
      <c r="L1177" t="s">
        <v>303</v>
      </c>
      <c r="M1177" t="s">
        <v>323</v>
      </c>
      <c r="N1177" t="s">
        <v>63</v>
      </c>
      <c r="O1177" s="110">
        <v>49.9</v>
      </c>
      <c r="R1177" s="110">
        <v>325.58999999999992</v>
      </c>
      <c r="S1177" s="110">
        <v>130</v>
      </c>
      <c r="T1177" s="110">
        <v>0</v>
      </c>
      <c r="U1177" s="110">
        <v>34.99</v>
      </c>
      <c r="X1177">
        <v>100.69999999999996</v>
      </c>
      <c r="Y1177">
        <v>59.9</v>
      </c>
      <c r="Z1177">
        <v>59.9</v>
      </c>
      <c r="AA1177">
        <v>0</v>
      </c>
      <c r="AB1177" t="s">
        <v>363</v>
      </c>
      <c r="AF1177" t="s">
        <v>3208</v>
      </c>
      <c r="AG1177" t="s">
        <v>3208</v>
      </c>
      <c r="AH1177" t="s">
        <v>1903</v>
      </c>
      <c r="AI1177">
        <v>99999</v>
      </c>
      <c r="AJ1177">
        <v>99999</v>
      </c>
      <c r="AK1177">
        <v>699</v>
      </c>
      <c r="AL1177" t="b">
        <v>1</v>
      </c>
      <c r="AM1177" t="b">
        <v>1</v>
      </c>
      <c r="AN1177" t="b">
        <v>0</v>
      </c>
      <c r="AO1177">
        <v>99999</v>
      </c>
      <c r="AP1177" t="s">
        <v>64</v>
      </c>
      <c r="AR1177" t="b">
        <v>0</v>
      </c>
      <c r="AS1177">
        <v>12</v>
      </c>
      <c r="AT1177" t="s">
        <v>327</v>
      </c>
      <c r="AV1177" t="s">
        <v>3224</v>
      </c>
    </row>
    <row r="1178" spans="1:48" x14ac:dyDescent="0.25">
      <c r="A1178" t="s">
        <v>3323</v>
      </c>
      <c r="B1178" t="s">
        <v>302</v>
      </c>
      <c r="C1178" t="s">
        <v>62</v>
      </c>
      <c r="D1178">
        <v>99999</v>
      </c>
      <c r="F1178" s="109">
        <v>20000</v>
      </c>
      <c r="G1178" t="b">
        <v>0</v>
      </c>
      <c r="H1178" t="s">
        <v>331</v>
      </c>
      <c r="K1178" t="s">
        <v>379</v>
      </c>
      <c r="L1178" t="s">
        <v>303</v>
      </c>
      <c r="M1178" t="s">
        <v>323</v>
      </c>
      <c r="N1178" t="s">
        <v>63</v>
      </c>
      <c r="O1178" s="110">
        <v>49.9</v>
      </c>
      <c r="R1178" s="110">
        <v>359.89</v>
      </c>
      <c r="S1178" s="110">
        <v>130</v>
      </c>
      <c r="T1178" s="110">
        <v>0</v>
      </c>
      <c r="U1178" s="110">
        <v>42.99</v>
      </c>
      <c r="X1178">
        <v>126.99999999999997</v>
      </c>
      <c r="Y1178">
        <v>59.9</v>
      </c>
      <c r="Z1178">
        <v>59.9</v>
      </c>
      <c r="AA1178">
        <v>0</v>
      </c>
      <c r="AB1178" t="s">
        <v>363</v>
      </c>
      <c r="AF1178" t="s">
        <v>3282</v>
      </c>
      <c r="AG1178" t="s">
        <v>3282</v>
      </c>
      <c r="AH1178" t="s">
        <v>1903</v>
      </c>
      <c r="AI1178">
        <v>99999</v>
      </c>
      <c r="AJ1178">
        <v>99999</v>
      </c>
      <c r="AK1178">
        <v>699</v>
      </c>
      <c r="AL1178" t="b">
        <v>1</v>
      </c>
      <c r="AM1178" t="b">
        <v>1</v>
      </c>
      <c r="AN1178" t="b">
        <v>0</v>
      </c>
      <c r="AO1178">
        <v>99999</v>
      </c>
      <c r="AP1178" t="s">
        <v>64</v>
      </c>
      <c r="AR1178" t="b">
        <v>0</v>
      </c>
      <c r="AS1178">
        <v>12</v>
      </c>
      <c r="AT1178" t="s">
        <v>327</v>
      </c>
      <c r="AV1178" t="s">
        <v>3298</v>
      </c>
    </row>
    <row r="1179" spans="1:48" x14ac:dyDescent="0.25">
      <c r="A1179" t="s">
        <v>3323</v>
      </c>
      <c r="B1179" t="s">
        <v>302</v>
      </c>
      <c r="C1179" t="s">
        <v>62</v>
      </c>
      <c r="D1179">
        <v>99999</v>
      </c>
      <c r="F1179" s="109">
        <v>20000</v>
      </c>
      <c r="G1179" t="b">
        <v>0</v>
      </c>
      <c r="H1179" t="s">
        <v>331</v>
      </c>
      <c r="K1179" t="s">
        <v>61</v>
      </c>
      <c r="L1179" t="s">
        <v>303</v>
      </c>
      <c r="M1179" t="s">
        <v>323</v>
      </c>
      <c r="N1179" t="s">
        <v>63</v>
      </c>
      <c r="O1179" s="110">
        <v>29.9</v>
      </c>
      <c r="R1179" s="110">
        <v>310.58999999999992</v>
      </c>
      <c r="S1179" s="110">
        <v>130</v>
      </c>
      <c r="T1179" s="110">
        <v>0</v>
      </c>
      <c r="U1179" s="110">
        <v>34.99</v>
      </c>
      <c r="X1179">
        <v>100.69999999999996</v>
      </c>
      <c r="Y1179">
        <v>44.9</v>
      </c>
      <c r="Z1179">
        <v>44.9</v>
      </c>
      <c r="AA1179">
        <v>0</v>
      </c>
      <c r="AB1179" t="s">
        <v>324</v>
      </c>
      <c r="AF1179" t="s">
        <v>1902</v>
      </c>
      <c r="AG1179" t="s">
        <v>1902</v>
      </c>
      <c r="AH1179" t="s">
        <v>1903</v>
      </c>
      <c r="AI1179">
        <v>99999</v>
      </c>
      <c r="AJ1179">
        <v>99999</v>
      </c>
      <c r="AK1179">
        <v>699</v>
      </c>
      <c r="AL1179" t="b">
        <v>1</v>
      </c>
      <c r="AM1179" t="b">
        <v>1</v>
      </c>
      <c r="AN1179" t="b">
        <v>0</v>
      </c>
      <c r="AO1179">
        <v>99999</v>
      </c>
      <c r="AP1179" t="s">
        <v>64</v>
      </c>
      <c r="AR1179" t="b">
        <v>0</v>
      </c>
      <c r="AS1179">
        <v>12</v>
      </c>
      <c r="AT1179" t="s">
        <v>327</v>
      </c>
      <c r="AV1179" t="s">
        <v>1906</v>
      </c>
    </row>
    <row r="1180" spans="1:48" x14ac:dyDescent="0.25">
      <c r="A1180" t="s">
        <v>3323</v>
      </c>
      <c r="B1180" t="s">
        <v>302</v>
      </c>
      <c r="C1180" t="s">
        <v>62</v>
      </c>
      <c r="D1180">
        <v>99999</v>
      </c>
      <c r="F1180" s="109">
        <v>20000</v>
      </c>
      <c r="G1180" t="b">
        <v>0</v>
      </c>
      <c r="H1180" t="s">
        <v>331</v>
      </c>
      <c r="K1180" t="s">
        <v>61</v>
      </c>
      <c r="L1180" t="s">
        <v>303</v>
      </c>
      <c r="M1180" t="s">
        <v>323</v>
      </c>
      <c r="N1180" t="s">
        <v>63</v>
      </c>
      <c r="O1180" s="110">
        <v>29.9</v>
      </c>
      <c r="R1180" s="110">
        <v>344.89</v>
      </c>
      <c r="S1180" s="110">
        <v>130</v>
      </c>
      <c r="T1180" s="110">
        <v>0</v>
      </c>
      <c r="U1180" s="110">
        <v>42.99</v>
      </c>
      <c r="X1180">
        <v>126.99999999999997</v>
      </c>
      <c r="Y1180">
        <v>44.9</v>
      </c>
      <c r="Z1180">
        <v>44.9</v>
      </c>
      <c r="AA1180">
        <v>0</v>
      </c>
      <c r="AB1180" t="s">
        <v>324</v>
      </c>
      <c r="AF1180" t="s">
        <v>2051</v>
      </c>
      <c r="AG1180" t="s">
        <v>2051</v>
      </c>
      <c r="AH1180" t="s">
        <v>1903</v>
      </c>
      <c r="AI1180">
        <v>99999</v>
      </c>
      <c r="AJ1180">
        <v>99999</v>
      </c>
      <c r="AK1180">
        <v>699</v>
      </c>
      <c r="AL1180" t="b">
        <v>1</v>
      </c>
      <c r="AM1180" t="b">
        <v>1</v>
      </c>
      <c r="AN1180" t="b">
        <v>0</v>
      </c>
      <c r="AO1180">
        <v>99999</v>
      </c>
      <c r="AP1180" t="s">
        <v>64</v>
      </c>
      <c r="AR1180" t="b">
        <v>0</v>
      </c>
      <c r="AS1180">
        <v>12</v>
      </c>
      <c r="AT1180" t="s">
        <v>327</v>
      </c>
      <c r="AV1180" t="s">
        <v>2054</v>
      </c>
    </row>
    <row r="1181" spans="1:48" x14ac:dyDescent="0.25">
      <c r="A1181" t="s">
        <v>3323</v>
      </c>
      <c r="B1181" t="s">
        <v>302</v>
      </c>
      <c r="C1181" t="s">
        <v>62</v>
      </c>
      <c r="D1181">
        <v>99999</v>
      </c>
      <c r="F1181" s="109">
        <v>20000</v>
      </c>
      <c r="G1181" t="b">
        <v>0</v>
      </c>
      <c r="H1181" t="s">
        <v>331</v>
      </c>
      <c r="K1181" t="s">
        <v>61</v>
      </c>
      <c r="L1181" t="s">
        <v>303</v>
      </c>
      <c r="M1181" t="s">
        <v>323</v>
      </c>
      <c r="N1181" t="s">
        <v>63</v>
      </c>
      <c r="O1181" s="110">
        <v>39.9</v>
      </c>
      <c r="R1181" s="110">
        <v>310.58999999999992</v>
      </c>
      <c r="S1181" s="110">
        <v>130</v>
      </c>
      <c r="T1181" s="110">
        <v>0</v>
      </c>
      <c r="U1181" s="110">
        <v>34.99</v>
      </c>
      <c r="X1181">
        <v>100.69999999999996</v>
      </c>
      <c r="Y1181">
        <v>44.9</v>
      </c>
      <c r="Z1181">
        <v>44.9</v>
      </c>
      <c r="AA1181">
        <v>0</v>
      </c>
      <c r="AB1181" t="s">
        <v>324</v>
      </c>
      <c r="AF1181" t="s">
        <v>1970</v>
      </c>
      <c r="AG1181" t="s">
        <v>1970</v>
      </c>
      <c r="AH1181" t="s">
        <v>1903</v>
      </c>
      <c r="AI1181">
        <v>99999</v>
      </c>
      <c r="AJ1181">
        <v>99999</v>
      </c>
      <c r="AK1181">
        <v>699</v>
      </c>
      <c r="AL1181" t="b">
        <v>1</v>
      </c>
      <c r="AM1181" t="b">
        <v>1</v>
      </c>
      <c r="AN1181" t="b">
        <v>0</v>
      </c>
      <c r="AO1181">
        <v>99999</v>
      </c>
      <c r="AP1181" t="s">
        <v>64</v>
      </c>
      <c r="AR1181" t="b">
        <v>0</v>
      </c>
      <c r="AS1181">
        <v>12</v>
      </c>
      <c r="AT1181" t="s">
        <v>327</v>
      </c>
      <c r="AV1181" t="s">
        <v>1973</v>
      </c>
    </row>
    <row r="1182" spans="1:48" x14ac:dyDescent="0.25">
      <c r="A1182" t="s">
        <v>3323</v>
      </c>
      <c r="B1182" t="s">
        <v>302</v>
      </c>
      <c r="C1182" t="s">
        <v>62</v>
      </c>
      <c r="D1182">
        <v>99999</v>
      </c>
      <c r="F1182" s="109">
        <v>20000</v>
      </c>
      <c r="G1182" t="b">
        <v>0</v>
      </c>
      <c r="H1182" t="s">
        <v>331</v>
      </c>
      <c r="K1182" t="s">
        <v>61</v>
      </c>
      <c r="L1182" t="s">
        <v>303</v>
      </c>
      <c r="M1182" t="s">
        <v>323</v>
      </c>
      <c r="N1182" t="s">
        <v>63</v>
      </c>
      <c r="O1182" s="110">
        <v>39.9</v>
      </c>
      <c r="R1182" s="110">
        <v>344.89</v>
      </c>
      <c r="S1182" s="110">
        <v>130</v>
      </c>
      <c r="T1182" s="110">
        <v>0</v>
      </c>
      <c r="U1182" s="110">
        <v>42.99</v>
      </c>
      <c r="X1182">
        <v>126.99999999999997</v>
      </c>
      <c r="Y1182">
        <v>44.9</v>
      </c>
      <c r="Z1182">
        <v>44.9</v>
      </c>
      <c r="AA1182">
        <v>0</v>
      </c>
      <c r="AB1182" t="s">
        <v>324</v>
      </c>
      <c r="AF1182" t="s">
        <v>2118</v>
      </c>
      <c r="AG1182" t="s">
        <v>2118</v>
      </c>
      <c r="AH1182" t="s">
        <v>1903</v>
      </c>
      <c r="AI1182">
        <v>99999</v>
      </c>
      <c r="AJ1182">
        <v>99999</v>
      </c>
      <c r="AK1182">
        <v>699</v>
      </c>
      <c r="AL1182" t="b">
        <v>1</v>
      </c>
      <c r="AM1182" t="b">
        <v>1</v>
      </c>
      <c r="AN1182" t="b">
        <v>0</v>
      </c>
      <c r="AO1182">
        <v>99999</v>
      </c>
      <c r="AP1182" t="s">
        <v>64</v>
      </c>
      <c r="AR1182" t="b">
        <v>0</v>
      </c>
      <c r="AS1182">
        <v>12</v>
      </c>
      <c r="AT1182" t="s">
        <v>327</v>
      </c>
      <c r="AV1182" t="s">
        <v>2121</v>
      </c>
    </row>
    <row r="1183" spans="1:48" x14ac:dyDescent="0.25">
      <c r="A1183" t="s">
        <v>3323</v>
      </c>
      <c r="B1183" t="s">
        <v>302</v>
      </c>
      <c r="C1183" t="s">
        <v>62</v>
      </c>
      <c r="D1183">
        <v>99999</v>
      </c>
      <c r="F1183" s="109">
        <v>20000</v>
      </c>
      <c r="G1183" t="b">
        <v>0</v>
      </c>
      <c r="H1183" t="s">
        <v>331</v>
      </c>
      <c r="K1183" t="s">
        <v>61</v>
      </c>
      <c r="L1183" t="s">
        <v>303</v>
      </c>
      <c r="M1183" t="s">
        <v>323</v>
      </c>
      <c r="N1183" t="s">
        <v>63</v>
      </c>
      <c r="O1183" s="110">
        <v>49.9</v>
      </c>
      <c r="R1183" s="110">
        <v>310.58999999999992</v>
      </c>
      <c r="S1183" s="110">
        <v>130</v>
      </c>
      <c r="T1183" s="110">
        <v>0</v>
      </c>
      <c r="U1183" s="110">
        <v>34.99</v>
      </c>
      <c r="X1183">
        <v>100.69999999999996</v>
      </c>
      <c r="Y1183">
        <v>44.9</v>
      </c>
      <c r="Z1183">
        <v>44.9</v>
      </c>
      <c r="AA1183">
        <v>0</v>
      </c>
      <c r="AB1183" t="s">
        <v>324</v>
      </c>
      <c r="AF1183" t="s">
        <v>3181</v>
      </c>
      <c r="AG1183" t="s">
        <v>3181</v>
      </c>
      <c r="AH1183" t="s">
        <v>1903</v>
      </c>
      <c r="AI1183">
        <v>99999</v>
      </c>
      <c r="AJ1183">
        <v>99999</v>
      </c>
      <c r="AK1183">
        <v>699</v>
      </c>
      <c r="AL1183" t="b">
        <v>1</v>
      </c>
      <c r="AM1183" t="b">
        <v>1</v>
      </c>
      <c r="AN1183" t="b">
        <v>0</v>
      </c>
      <c r="AO1183">
        <v>99999</v>
      </c>
      <c r="AP1183" t="s">
        <v>64</v>
      </c>
      <c r="AR1183" t="b">
        <v>0</v>
      </c>
      <c r="AS1183">
        <v>12</v>
      </c>
      <c r="AT1183" t="s">
        <v>327</v>
      </c>
      <c r="AV1183" t="s">
        <v>3184</v>
      </c>
    </row>
    <row r="1184" spans="1:48" x14ac:dyDescent="0.25">
      <c r="A1184" t="s">
        <v>3323</v>
      </c>
      <c r="B1184" t="s">
        <v>302</v>
      </c>
      <c r="C1184" t="s">
        <v>62</v>
      </c>
      <c r="D1184">
        <v>99999</v>
      </c>
      <c r="F1184" s="109">
        <v>20000</v>
      </c>
      <c r="G1184" t="b">
        <v>0</v>
      </c>
      <c r="H1184" t="s">
        <v>331</v>
      </c>
      <c r="K1184" t="s">
        <v>61</v>
      </c>
      <c r="L1184" t="s">
        <v>303</v>
      </c>
      <c r="M1184" t="s">
        <v>323</v>
      </c>
      <c r="N1184" t="s">
        <v>63</v>
      </c>
      <c r="O1184" s="110">
        <v>49.9</v>
      </c>
      <c r="R1184" s="110">
        <v>344.89</v>
      </c>
      <c r="S1184" s="110">
        <v>130</v>
      </c>
      <c r="T1184" s="110">
        <v>0</v>
      </c>
      <c r="U1184" s="110">
        <v>42.99</v>
      </c>
      <c r="X1184">
        <v>126.99999999999997</v>
      </c>
      <c r="Y1184">
        <v>44.9</v>
      </c>
      <c r="Z1184">
        <v>44.9</v>
      </c>
      <c r="AA1184">
        <v>0</v>
      </c>
      <c r="AB1184" t="s">
        <v>324</v>
      </c>
      <c r="AF1184" t="s">
        <v>3255</v>
      </c>
      <c r="AG1184" t="s">
        <v>3255</v>
      </c>
      <c r="AH1184" t="s">
        <v>1903</v>
      </c>
      <c r="AI1184">
        <v>99999</v>
      </c>
      <c r="AJ1184">
        <v>99999</v>
      </c>
      <c r="AK1184">
        <v>699</v>
      </c>
      <c r="AL1184" t="b">
        <v>1</v>
      </c>
      <c r="AM1184" t="b">
        <v>1</v>
      </c>
      <c r="AN1184" t="b">
        <v>0</v>
      </c>
      <c r="AO1184">
        <v>99999</v>
      </c>
      <c r="AP1184" t="s">
        <v>64</v>
      </c>
      <c r="AR1184" t="b">
        <v>0</v>
      </c>
      <c r="AS1184">
        <v>12</v>
      </c>
      <c r="AT1184" t="s">
        <v>327</v>
      </c>
      <c r="AV1184" t="s">
        <v>3258</v>
      </c>
    </row>
    <row r="1185" spans="1:48" x14ac:dyDescent="0.25">
      <c r="A1185" t="s">
        <v>3323</v>
      </c>
      <c r="B1185" t="s">
        <v>302</v>
      </c>
      <c r="C1185" t="s">
        <v>62</v>
      </c>
      <c r="D1185">
        <v>99999</v>
      </c>
      <c r="F1185" s="109">
        <v>20000</v>
      </c>
      <c r="G1185" t="b">
        <v>0</v>
      </c>
      <c r="H1185" t="s">
        <v>329</v>
      </c>
      <c r="K1185" t="s">
        <v>349</v>
      </c>
      <c r="L1185" t="s">
        <v>303</v>
      </c>
      <c r="M1185" t="s">
        <v>323</v>
      </c>
      <c r="N1185" t="s">
        <v>63</v>
      </c>
      <c r="O1185" s="110">
        <v>29.9</v>
      </c>
      <c r="R1185" s="110">
        <v>275.58999999999992</v>
      </c>
      <c r="S1185" s="110">
        <v>130</v>
      </c>
      <c r="T1185" s="110">
        <v>0</v>
      </c>
      <c r="U1185" s="110">
        <v>34.99</v>
      </c>
      <c r="X1185">
        <v>65.69999999999996</v>
      </c>
      <c r="Y1185">
        <v>44.9</v>
      </c>
      <c r="Z1185">
        <v>44.9</v>
      </c>
      <c r="AA1185">
        <v>0</v>
      </c>
      <c r="AB1185" t="s">
        <v>324</v>
      </c>
      <c r="AF1185" t="s">
        <v>1902</v>
      </c>
      <c r="AG1185" t="s">
        <v>1902</v>
      </c>
      <c r="AH1185" t="s">
        <v>1903</v>
      </c>
      <c r="AI1185">
        <v>99999</v>
      </c>
      <c r="AJ1185">
        <v>99999</v>
      </c>
      <c r="AK1185">
        <v>699</v>
      </c>
      <c r="AL1185" t="b">
        <v>1</v>
      </c>
      <c r="AM1185" t="b">
        <v>1</v>
      </c>
      <c r="AN1185" t="b">
        <v>0</v>
      </c>
      <c r="AO1185">
        <v>99999</v>
      </c>
      <c r="AP1185" t="s">
        <v>64</v>
      </c>
      <c r="AR1185" t="b">
        <v>0</v>
      </c>
      <c r="AS1185">
        <v>12</v>
      </c>
      <c r="AT1185" t="s">
        <v>327</v>
      </c>
      <c r="AV1185" t="s">
        <v>1918</v>
      </c>
    </row>
    <row r="1186" spans="1:48" x14ac:dyDescent="0.25">
      <c r="A1186" t="s">
        <v>3323</v>
      </c>
      <c r="B1186" t="s">
        <v>302</v>
      </c>
      <c r="C1186" t="s">
        <v>62</v>
      </c>
      <c r="D1186">
        <v>99999</v>
      </c>
      <c r="F1186" s="109">
        <v>20000</v>
      </c>
      <c r="G1186" t="b">
        <v>0</v>
      </c>
      <c r="H1186" t="s">
        <v>329</v>
      </c>
      <c r="K1186" t="s">
        <v>349</v>
      </c>
      <c r="L1186" t="s">
        <v>303</v>
      </c>
      <c r="M1186" t="s">
        <v>323</v>
      </c>
      <c r="N1186" t="s">
        <v>63</v>
      </c>
      <c r="O1186" s="110">
        <v>29.9</v>
      </c>
      <c r="R1186" s="110">
        <v>309.89</v>
      </c>
      <c r="S1186" s="110">
        <v>130</v>
      </c>
      <c r="T1186" s="110">
        <v>0</v>
      </c>
      <c r="U1186" s="110">
        <v>42.99</v>
      </c>
      <c r="X1186">
        <v>91.999999999999972</v>
      </c>
      <c r="Y1186">
        <v>44.9</v>
      </c>
      <c r="Z1186">
        <v>44.9</v>
      </c>
      <c r="AA1186">
        <v>0</v>
      </c>
      <c r="AB1186" t="s">
        <v>324</v>
      </c>
      <c r="AF1186" t="s">
        <v>2051</v>
      </c>
      <c r="AG1186" t="s">
        <v>2051</v>
      </c>
      <c r="AH1186" t="s">
        <v>1903</v>
      </c>
      <c r="AI1186">
        <v>99999</v>
      </c>
      <c r="AJ1186">
        <v>99999</v>
      </c>
      <c r="AK1186">
        <v>699</v>
      </c>
      <c r="AL1186" t="b">
        <v>1</v>
      </c>
      <c r="AM1186" t="b">
        <v>1</v>
      </c>
      <c r="AN1186" t="b">
        <v>0</v>
      </c>
      <c r="AO1186">
        <v>99999</v>
      </c>
      <c r="AP1186" t="s">
        <v>64</v>
      </c>
      <c r="AR1186" t="b">
        <v>0</v>
      </c>
      <c r="AS1186">
        <v>12</v>
      </c>
      <c r="AT1186" t="s">
        <v>327</v>
      </c>
      <c r="AV1186" t="s">
        <v>2066</v>
      </c>
    </row>
    <row r="1187" spans="1:48" x14ac:dyDescent="0.25">
      <c r="A1187" t="s">
        <v>3323</v>
      </c>
      <c r="B1187" t="s">
        <v>302</v>
      </c>
      <c r="C1187" t="s">
        <v>62</v>
      </c>
      <c r="D1187">
        <v>99999</v>
      </c>
      <c r="F1187" s="109">
        <v>20000</v>
      </c>
      <c r="G1187" t="b">
        <v>0</v>
      </c>
      <c r="H1187" t="s">
        <v>329</v>
      </c>
      <c r="K1187" t="s">
        <v>349</v>
      </c>
      <c r="L1187" t="s">
        <v>303</v>
      </c>
      <c r="M1187" t="s">
        <v>323</v>
      </c>
      <c r="N1187" t="s">
        <v>63</v>
      </c>
      <c r="O1187" s="110">
        <v>39.9</v>
      </c>
      <c r="R1187" s="110">
        <v>275.58999999999992</v>
      </c>
      <c r="S1187" s="110">
        <v>130</v>
      </c>
      <c r="T1187" s="110">
        <v>0</v>
      </c>
      <c r="U1187" s="110">
        <v>34.99</v>
      </c>
      <c r="X1187">
        <v>65.69999999999996</v>
      </c>
      <c r="Y1187">
        <v>44.9</v>
      </c>
      <c r="Z1187">
        <v>44.9</v>
      </c>
      <c r="AA1187">
        <v>0</v>
      </c>
      <c r="AB1187" t="s">
        <v>324</v>
      </c>
      <c r="AF1187" t="s">
        <v>1970</v>
      </c>
      <c r="AG1187" t="s">
        <v>1970</v>
      </c>
      <c r="AH1187" t="s">
        <v>1903</v>
      </c>
      <c r="AI1187">
        <v>99999</v>
      </c>
      <c r="AJ1187">
        <v>99999</v>
      </c>
      <c r="AK1187">
        <v>699</v>
      </c>
      <c r="AL1187" t="b">
        <v>1</v>
      </c>
      <c r="AM1187" t="b">
        <v>1</v>
      </c>
      <c r="AN1187" t="b">
        <v>0</v>
      </c>
      <c r="AO1187">
        <v>99999</v>
      </c>
      <c r="AP1187" t="s">
        <v>64</v>
      </c>
      <c r="AR1187" t="b">
        <v>0</v>
      </c>
      <c r="AS1187">
        <v>12</v>
      </c>
      <c r="AT1187" t="s">
        <v>327</v>
      </c>
      <c r="AV1187" t="s">
        <v>1985</v>
      </c>
    </row>
    <row r="1188" spans="1:48" x14ac:dyDescent="0.25">
      <c r="A1188" t="s">
        <v>3323</v>
      </c>
      <c r="B1188" t="s">
        <v>302</v>
      </c>
      <c r="C1188" t="s">
        <v>62</v>
      </c>
      <c r="D1188">
        <v>99999</v>
      </c>
      <c r="F1188" s="109">
        <v>20000</v>
      </c>
      <c r="G1188" t="b">
        <v>0</v>
      </c>
      <c r="H1188" t="s">
        <v>329</v>
      </c>
      <c r="K1188" t="s">
        <v>349</v>
      </c>
      <c r="L1188" t="s">
        <v>303</v>
      </c>
      <c r="M1188" t="s">
        <v>323</v>
      </c>
      <c r="N1188" t="s">
        <v>63</v>
      </c>
      <c r="O1188" s="110">
        <v>39.9</v>
      </c>
      <c r="R1188" s="110">
        <v>309.89</v>
      </c>
      <c r="S1188" s="110">
        <v>130</v>
      </c>
      <c r="T1188" s="110">
        <v>0</v>
      </c>
      <c r="U1188" s="110">
        <v>42.99</v>
      </c>
      <c r="X1188">
        <v>91.999999999999972</v>
      </c>
      <c r="Y1188">
        <v>44.9</v>
      </c>
      <c r="Z1188">
        <v>44.9</v>
      </c>
      <c r="AA1188">
        <v>0</v>
      </c>
      <c r="AB1188" t="s">
        <v>324</v>
      </c>
      <c r="AF1188" t="s">
        <v>2118</v>
      </c>
      <c r="AG1188" t="s">
        <v>2118</v>
      </c>
      <c r="AH1188" t="s">
        <v>1903</v>
      </c>
      <c r="AI1188">
        <v>99999</v>
      </c>
      <c r="AJ1188">
        <v>99999</v>
      </c>
      <c r="AK1188">
        <v>699</v>
      </c>
      <c r="AL1188" t="b">
        <v>1</v>
      </c>
      <c r="AM1188" t="b">
        <v>1</v>
      </c>
      <c r="AN1188" t="b">
        <v>0</v>
      </c>
      <c r="AO1188">
        <v>99999</v>
      </c>
      <c r="AP1188" t="s">
        <v>64</v>
      </c>
      <c r="AR1188" t="b">
        <v>0</v>
      </c>
      <c r="AS1188">
        <v>12</v>
      </c>
      <c r="AT1188" t="s">
        <v>327</v>
      </c>
      <c r="AV1188" t="s">
        <v>2133</v>
      </c>
    </row>
    <row r="1189" spans="1:48" x14ac:dyDescent="0.25">
      <c r="A1189" t="s">
        <v>3323</v>
      </c>
      <c r="B1189" t="s">
        <v>302</v>
      </c>
      <c r="C1189" t="s">
        <v>62</v>
      </c>
      <c r="D1189">
        <v>99999</v>
      </c>
      <c r="F1189" s="109">
        <v>20000</v>
      </c>
      <c r="G1189" t="b">
        <v>0</v>
      </c>
      <c r="H1189" t="s">
        <v>329</v>
      </c>
      <c r="K1189" t="s">
        <v>349</v>
      </c>
      <c r="L1189" t="s">
        <v>303</v>
      </c>
      <c r="M1189" t="s">
        <v>323</v>
      </c>
      <c r="N1189" t="s">
        <v>63</v>
      </c>
      <c r="O1189" s="110">
        <v>49.9</v>
      </c>
      <c r="R1189" s="110">
        <v>275.58999999999992</v>
      </c>
      <c r="S1189" s="110">
        <v>130</v>
      </c>
      <c r="T1189" s="110">
        <v>0</v>
      </c>
      <c r="U1189" s="110">
        <v>34.99</v>
      </c>
      <c r="X1189">
        <v>65.69999999999996</v>
      </c>
      <c r="Y1189">
        <v>44.9</v>
      </c>
      <c r="Z1189">
        <v>44.9</v>
      </c>
      <c r="AA1189">
        <v>0</v>
      </c>
      <c r="AB1189" t="s">
        <v>324</v>
      </c>
      <c r="AF1189" t="s">
        <v>3181</v>
      </c>
      <c r="AG1189" t="s">
        <v>3181</v>
      </c>
      <c r="AH1189" t="s">
        <v>1903</v>
      </c>
      <c r="AI1189">
        <v>99999</v>
      </c>
      <c r="AJ1189">
        <v>99999</v>
      </c>
      <c r="AK1189">
        <v>699</v>
      </c>
      <c r="AL1189" t="b">
        <v>1</v>
      </c>
      <c r="AM1189" t="b">
        <v>1</v>
      </c>
      <c r="AN1189" t="b">
        <v>0</v>
      </c>
      <c r="AO1189">
        <v>99999</v>
      </c>
      <c r="AP1189" t="s">
        <v>64</v>
      </c>
      <c r="AR1189" t="b">
        <v>0</v>
      </c>
      <c r="AS1189">
        <v>12</v>
      </c>
      <c r="AT1189" t="s">
        <v>327</v>
      </c>
      <c r="AV1189" t="s">
        <v>3196</v>
      </c>
    </row>
    <row r="1190" spans="1:48" x14ac:dyDescent="0.25">
      <c r="A1190" t="s">
        <v>3323</v>
      </c>
      <c r="B1190" t="s">
        <v>302</v>
      </c>
      <c r="C1190" t="s">
        <v>62</v>
      </c>
      <c r="D1190">
        <v>99999</v>
      </c>
      <c r="F1190" s="109">
        <v>20000</v>
      </c>
      <c r="G1190" t="b">
        <v>0</v>
      </c>
      <c r="H1190" t="s">
        <v>329</v>
      </c>
      <c r="K1190" t="s">
        <v>349</v>
      </c>
      <c r="L1190" t="s">
        <v>303</v>
      </c>
      <c r="M1190" t="s">
        <v>323</v>
      </c>
      <c r="N1190" t="s">
        <v>63</v>
      </c>
      <c r="O1190" s="110">
        <v>49.9</v>
      </c>
      <c r="R1190" s="110">
        <v>309.89</v>
      </c>
      <c r="S1190" s="110">
        <v>130</v>
      </c>
      <c r="T1190" s="110">
        <v>0</v>
      </c>
      <c r="U1190" s="110">
        <v>42.99</v>
      </c>
      <c r="X1190">
        <v>91.999999999999972</v>
      </c>
      <c r="Y1190">
        <v>44.9</v>
      </c>
      <c r="Z1190">
        <v>44.9</v>
      </c>
      <c r="AA1190">
        <v>0</v>
      </c>
      <c r="AB1190" t="s">
        <v>324</v>
      </c>
      <c r="AF1190" t="s">
        <v>3255</v>
      </c>
      <c r="AG1190" t="s">
        <v>3255</v>
      </c>
      <c r="AH1190" t="s">
        <v>1903</v>
      </c>
      <c r="AI1190">
        <v>99999</v>
      </c>
      <c r="AJ1190">
        <v>99999</v>
      </c>
      <c r="AK1190">
        <v>699</v>
      </c>
      <c r="AL1190" t="b">
        <v>1</v>
      </c>
      <c r="AM1190" t="b">
        <v>1</v>
      </c>
      <c r="AN1190" t="b">
        <v>0</v>
      </c>
      <c r="AO1190">
        <v>99999</v>
      </c>
      <c r="AP1190" t="s">
        <v>64</v>
      </c>
      <c r="AR1190" t="b">
        <v>0</v>
      </c>
      <c r="AS1190">
        <v>12</v>
      </c>
      <c r="AT1190" t="s">
        <v>327</v>
      </c>
      <c r="AV1190" t="s">
        <v>3270</v>
      </c>
    </row>
    <row r="1191" spans="1:48" x14ac:dyDescent="0.25">
      <c r="A1191" t="s">
        <v>3323</v>
      </c>
      <c r="B1191" t="s">
        <v>302</v>
      </c>
      <c r="C1191" t="s">
        <v>62</v>
      </c>
      <c r="D1191">
        <v>99999</v>
      </c>
      <c r="F1191" s="109">
        <v>20000</v>
      </c>
      <c r="G1191" t="b">
        <v>0</v>
      </c>
      <c r="H1191" t="s">
        <v>329</v>
      </c>
      <c r="K1191" t="s">
        <v>393</v>
      </c>
      <c r="L1191" t="s">
        <v>303</v>
      </c>
      <c r="M1191" t="s">
        <v>323</v>
      </c>
      <c r="N1191" t="s">
        <v>63</v>
      </c>
      <c r="O1191" s="110">
        <v>29.9</v>
      </c>
      <c r="R1191" s="110">
        <v>300.58999999999997</v>
      </c>
      <c r="S1191" s="110">
        <v>130</v>
      </c>
      <c r="T1191" s="110">
        <v>0</v>
      </c>
      <c r="U1191" s="110">
        <v>34.99</v>
      </c>
      <c r="X1191">
        <v>65.69999999999996</v>
      </c>
      <c r="Y1191">
        <v>69.900000000000006</v>
      </c>
      <c r="Z1191">
        <v>69.900000000000006</v>
      </c>
      <c r="AA1191">
        <v>0</v>
      </c>
      <c r="AB1191" t="s">
        <v>363</v>
      </c>
      <c r="AF1191" t="s">
        <v>1930</v>
      </c>
      <c r="AG1191" t="s">
        <v>1930</v>
      </c>
      <c r="AH1191" t="s">
        <v>1903</v>
      </c>
      <c r="AI1191">
        <v>99999</v>
      </c>
      <c r="AJ1191">
        <v>99999</v>
      </c>
      <c r="AK1191">
        <v>699</v>
      </c>
      <c r="AL1191" t="b">
        <v>1</v>
      </c>
      <c r="AM1191" t="b">
        <v>1</v>
      </c>
      <c r="AN1191" t="b">
        <v>0</v>
      </c>
      <c r="AO1191">
        <v>99999</v>
      </c>
      <c r="AP1191" t="s">
        <v>64</v>
      </c>
      <c r="AR1191" t="b">
        <v>0</v>
      </c>
      <c r="AS1191">
        <v>12</v>
      </c>
      <c r="AT1191" t="s">
        <v>327</v>
      </c>
      <c r="AV1191" t="s">
        <v>1958</v>
      </c>
    </row>
    <row r="1192" spans="1:48" x14ac:dyDescent="0.25">
      <c r="A1192" t="s">
        <v>3323</v>
      </c>
      <c r="B1192" t="s">
        <v>302</v>
      </c>
      <c r="C1192" t="s">
        <v>62</v>
      </c>
      <c r="D1192">
        <v>99999</v>
      </c>
      <c r="F1192" s="109">
        <v>20000</v>
      </c>
      <c r="G1192" t="b">
        <v>0</v>
      </c>
      <c r="H1192" t="s">
        <v>329</v>
      </c>
      <c r="K1192" t="s">
        <v>393</v>
      </c>
      <c r="L1192" t="s">
        <v>303</v>
      </c>
      <c r="M1192" t="s">
        <v>323</v>
      </c>
      <c r="N1192" t="s">
        <v>63</v>
      </c>
      <c r="O1192" s="110">
        <v>29.9</v>
      </c>
      <c r="R1192" s="110">
        <v>334.89</v>
      </c>
      <c r="S1192" s="110">
        <v>130</v>
      </c>
      <c r="T1192" s="110">
        <v>0</v>
      </c>
      <c r="U1192" s="110">
        <v>42.99</v>
      </c>
      <c r="X1192">
        <v>91.999999999999972</v>
      </c>
      <c r="Y1192">
        <v>69.900000000000006</v>
      </c>
      <c r="Z1192">
        <v>69.900000000000006</v>
      </c>
      <c r="AA1192">
        <v>0</v>
      </c>
      <c r="AB1192" t="s">
        <v>363</v>
      </c>
      <c r="AF1192" t="s">
        <v>2078</v>
      </c>
      <c r="AG1192" t="s">
        <v>2078</v>
      </c>
      <c r="AH1192" t="s">
        <v>1903</v>
      </c>
      <c r="AI1192">
        <v>99999</v>
      </c>
      <c r="AJ1192">
        <v>99999</v>
      </c>
      <c r="AK1192">
        <v>699</v>
      </c>
      <c r="AL1192" t="b">
        <v>1</v>
      </c>
      <c r="AM1192" t="b">
        <v>1</v>
      </c>
      <c r="AN1192" t="b">
        <v>0</v>
      </c>
      <c r="AO1192">
        <v>99999</v>
      </c>
      <c r="AP1192" t="s">
        <v>64</v>
      </c>
      <c r="AR1192" t="b">
        <v>0</v>
      </c>
      <c r="AS1192">
        <v>12</v>
      </c>
      <c r="AT1192" t="s">
        <v>327</v>
      </c>
      <c r="AV1192" t="s">
        <v>2106</v>
      </c>
    </row>
    <row r="1193" spans="1:48" x14ac:dyDescent="0.25">
      <c r="A1193" t="s">
        <v>3323</v>
      </c>
      <c r="B1193" t="s">
        <v>302</v>
      </c>
      <c r="C1193" t="s">
        <v>62</v>
      </c>
      <c r="D1193">
        <v>99999</v>
      </c>
      <c r="F1193" s="109">
        <v>20000</v>
      </c>
      <c r="G1193" t="b">
        <v>0</v>
      </c>
      <c r="H1193" t="s">
        <v>329</v>
      </c>
      <c r="K1193" t="s">
        <v>393</v>
      </c>
      <c r="L1193" t="s">
        <v>303</v>
      </c>
      <c r="M1193" t="s">
        <v>323</v>
      </c>
      <c r="N1193" t="s">
        <v>63</v>
      </c>
      <c r="O1193" s="110">
        <v>39.9</v>
      </c>
      <c r="R1193" s="110">
        <v>300.58999999999997</v>
      </c>
      <c r="S1193" s="110">
        <v>130</v>
      </c>
      <c r="T1193" s="110">
        <v>0</v>
      </c>
      <c r="U1193" s="110">
        <v>34.99</v>
      </c>
      <c r="X1193">
        <v>65.69999999999996</v>
      </c>
      <c r="Y1193">
        <v>69.900000000000006</v>
      </c>
      <c r="Z1193">
        <v>69.900000000000006</v>
      </c>
      <c r="AA1193">
        <v>0</v>
      </c>
      <c r="AB1193" t="s">
        <v>363</v>
      </c>
      <c r="AF1193" t="s">
        <v>1997</v>
      </c>
      <c r="AG1193" t="s">
        <v>1997</v>
      </c>
      <c r="AH1193" t="s">
        <v>1903</v>
      </c>
      <c r="AI1193">
        <v>99999</v>
      </c>
      <c r="AJ1193">
        <v>99999</v>
      </c>
      <c r="AK1193">
        <v>699</v>
      </c>
      <c r="AL1193" t="b">
        <v>1</v>
      </c>
      <c r="AM1193" t="b">
        <v>1</v>
      </c>
      <c r="AN1193" t="b">
        <v>0</v>
      </c>
      <c r="AO1193">
        <v>99999</v>
      </c>
      <c r="AP1193" t="s">
        <v>64</v>
      </c>
      <c r="AR1193" t="b">
        <v>0</v>
      </c>
      <c r="AS1193">
        <v>12</v>
      </c>
      <c r="AT1193" t="s">
        <v>327</v>
      </c>
      <c r="AV1193" t="s">
        <v>2025</v>
      </c>
    </row>
    <row r="1194" spans="1:48" x14ac:dyDescent="0.25">
      <c r="A1194" t="s">
        <v>3323</v>
      </c>
      <c r="B1194" t="s">
        <v>302</v>
      </c>
      <c r="C1194" t="s">
        <v>62</v>
      </c>
      <c r="D1194">
        <v>99999</v>
      </c>
      <c r="F1194" s="109">
        <v>20000</v>
      </c>
      <c r="G1194" t="b">
        <v>0</v>
      </c>
      <c r="H1194" t="s">
        <v>329</v>
      </c>
      <c r="K1194" t="s">
        <v>393</v>
      </c>
      <c r="L1194" t="s">
        <v>303</v>
      </c>
      <c r="M1194" t="s">
        <v>323</v>
      </c>
      <c r="N1194" t="s">
        <v>63</v>
      </c>
      <c r="O1194" s="110">
        <v>39.9</v>
      </c>
      <c r="R1194" s="110">
        <v>334.89</v>
      </c>
      <c r="S1194" s="110">
        <v>130</v>
      </c>
      <c r="T1194" s="110">
        <v>0</v>
      </c>
      <c r="U1194" s="110">
        <v>42.99</v>
      </c>
      <c r="X1194">
        <v>91.999999999999972</v>
      </c>
      <c r="Y1194">
        <v>69.900000000000006</v>
      </c>
      <c r="Z1194">
        <v>69.900000000000006</v>
      </c>
      <c r="AA1194">
        <v>0</v>
      </c>
      <c r="AB1194" t="s">
        <v>363</v>
      </c>
      <c r="AF1194" t="s">
        <v>2145</v>
      </c>
      <c r="AG1194" t="s">
        <v>2145</v>
      </c>
      <c r="AH1194" t="s">
        <v>1903</v>
      </c>
      <c r="AI1194">
        <v>99999</v>
      </c>
      <c r="AJ1194">
        <v>99999</v>
      </c>
      <c r="AK1194">
        <v>699</v>
      </c>
      <c r="AL1194" t="b">
        <v>1</v>
      </c>
      <c r="AM1194" t="b">
        <v>1</v>
      </c>
      <c r="AN1194" t="b">
        <v>0</v>
      </c>
      <c r="AO1194">
        <v>99999</v>
      </c>
      <c r="AP1194" t="s">
        <v>64</v>
      </c>
      <c r="AR1194" t="b">
        <v>0</v>
      </c>
      <c r="AS1194">
        <v>12</v>
      </c>
      <c r="AT1194" t="s">
        <v>327</v>
      </c>
      <c r="AV1194" t="s">
        <v>2173</v>
      </c>
    </row>
    <row r="1195" spans="1:48" x14ac:dyDescent="0.25">
      <c r="A1195" t="s">
        <v>3323</v>
      </c>
      <c r="B1195" t="s">
        <v>302</v>
      </c>
      <c r="C1195" t="s">
        <v>62</v>
      </c>
      <c r="D1195">
        <v>99999</v>
      </c>
      <c r="F1195" s="109">
        <v>20000</v>
      </c>
      <c r="G1195" t="b">
        <v>0</v>
      </c>
      <c r="H1195" t="s">
        <v>329</v>
      </c>
      <c r="K1195" t="s">
        <v>393</v>
      </c>
      <c r="L1195" t="s">
        <v>303</v>
      </c>
      <c r="M1195" t="s">
        <v>323</v>
      </c>
      <c r="N1195" t="s">
        <v>63</v>
      </c>
      <c r="O1195" s="110">
        <v>49.9</v>
      </c>
      <c r="R1195" s="110">
        <v>300.58999999999997</v>
      </c>
      <c r="S1195" s="110">
        <v>130</v>
      </c>
      <c r="T1195" s="110">
        <v>0</v>
      </c>
      <c r="U1195" s="110">
        <v>34.99</v>
      </c>
      <c r="X1195">
        <v>65.69999999999996</v>
      </c>
      <c r="Y1195">
        <v>69.900000000000006</v>
      </c>
      <c r="Z1195">
        <v>69.900000000000006</v>
      </c>
      <c r="AA1195">
        <v>0</v>
      </c>
      <c r="AB1195" t="s">
        <v>363</v>
      </c>
      <c r="AF1195" t="s">
        <v>3208</v>
      </c>
      <c r="AG1195" t="s">
        <v>3208</v>
      </c>
      <c r="AH1195" t="s">
        <v>1903</v>
      </c>
      <c r="AI1195">
        <v>99999</v>
      </c>
      <c r="AJ1195">
        <v>99999</v>
      </c>
      <c r="AK1195">
        <v>699</v>
      </c>
      <c r="AL1195" t="b">
        <v>1</v>
      </c>
      <c r="AM1195" t="b">
        <v>1</v>
      </c>
      <c r="AN1195" t="b">
        <v>0</v>
      </c>
      <c r="AO1195">
        <v>99999</v>
      </c>
      <c r="AP1195" t="s">
        <v>64</v>
      </c>
      <c r="AR1195" t="b">
        <v>0</v>
      </c>
      <c r="AS1195">
        <v>12</v>
      </c>
      <c r="AT1195" t="s">
        <v>327</v>
      </c>
      <c r="AV1195" t="s">
        <v>3236</v>
      </c>
    </row>
    <row r="1196" spans="1:48" x14ac:dyDescent="0.25">
      <c r="A1196" t="s">
        <v>3323</v>
      </c>
      <c r="B1196" t="s">
        <v>302</v>
      </c>
      <c r="C1196" t="s">
        <v>62</v>
      </c>
      <c r="D1196">
        <v>99999</v>
      </c>
      <c r="F1196" s="109">
        <v>20000</v>
      </c>
      <c r="G1196" t="b">
        <v>0</v>
      </c>
      <c r="H1196" t="s">
        <v>329</v>
      </c>
      <c r="K1196" t="s">
        <v>393</v>
      </c>
      <c r="L1196" t="s">
        <v>303</v>
      </c>
      <c r="M1196" t="s">
        <v>323</v>
      </c>
      <c r="N1196" t="s">
        <v>63</v>
      </c>
      <c r="O1196" s="110">
        <v>49.9</v>
      </c>
      <c r="R1196" s="110">
        <v>334.89</v>
      </c>
      <c r="S1196" s="110">
        <v>130</v>
      </c>
      <c r="T1196" s="110">
        <v>0</v>
      </c>
      <c r="U1196" s="110">
        <v>42.99</v>
      </c>
      <c r="X1196">
        <v>91.999999999999972</v>
      </c>
      <c r="Y1196">
        <v>69.900000000000006</v>
      </c>
      <c r="Z1196">
        <v>69.900000000000006</v>
      </c>
      <c r="AA1196">
        <v>0</v>
      </c>
      <c r="AB1196" t="s">
        <v>363</v>
      </c>
      <c r="AF1196" t="s">
        <v>3282</v>
      </c>
      <c r="AG1196" t="s">
        <v>3282</v>
      </c>
      <c r="AH1196" t="s">
        <v>1903</v>
      </c>
      <c r="AI1196">
        <v>99999</v>
      </c>
      <c r="AJ1196">
        <v>99999</v>
      </c>
      <c r="AK1196">
        <v>699</v>
      </c>
      <c r="AL1196" t="b">
        <v>1</v>
      </c>
      <c r="AM1196" t="b">
        <v>1</v>
      </c>
      <c r="AN1196" t="b">
        <v>0</v>
      </c>
      <c r="AO1196">
        <v>99999</v>
      </c>
      <c r="AP1196" t="s">
        <v>64</v>
      </c>
      <c r="AR1196" t="b">
        <v>0</v>
      </c>
      <c r="AS1196">
        <v>12</v>
      </c>
      <c r="AT1196" t="s">
        <v>327</v>
      </c>
      <c r="AV1196" t="s">
        <v>3310</v>
      </c>
    </row>
    <row r="1197" spans="1:48" x14ac:dyDescent="0.25">
      <c r="A1197" t="s">
        <v>3323</v>
      </c>
      <c r="B1197" t="s">
        <v>302</v>
      </c>
      <c r="C1197" t="s">
        <v>62</v>
      </c>
      <c r="D1197">
        <v>99999</v>
      </c>
      <c r="F1197" s="109">
        <v>20000</v>
      </c>
      <c r="G1197" t="b">
        <v>0</v>
      </c>
      <c r="H1197" t="s">
        <v>329</v>
      </c>
      <c r="K1197" t="s">
        <v>364</v>
      </c>
      <c r="L1197" t="s">
        <v>303</v>
      </c>
      <c r="M1197" t="s">
        <v>323</v>
      </c>
      <c r="N1197" t="s">
        <v>63</v>
      </c>
      <c r="O1197" s="110">
        <v>29.9</v>
      </c>
      <c r="R1197" s="110">
        <v>280.58999999999992</v>
      </c>
      <c r="S1197" s="110">
        <v>130</v>
      </c>
      <c r="T1197" s="110">
        <v>0</v>
      </c>
      <c r="U1197" s="110">
        <v>34.99</v>
      </c>
      <c r="X1197">
        <v>65.69999999999996</v>
      </c>
      <c r="Y1197">
        <v>49.9</v>
      </c>
      <c r="Z1197">
        <v>49.9</v>
      </c>
      <c r="AA1197">
        <v>0</v>
      </c>
      <c r="AB1197" t="s">
        <v>363</v>
      </c>
      <c r="AF1197" t="s">
        <v>1930</v>
      </c>
      <c r="AG1197" t="s">
        <v>1930</v>
      </c>
      <c r="AH1197" t="s">
        <v>1903</v>
      </c>
      <c r="AI1197">
        <v>99999</v>
      </c>
      <c r="AJ1197">
        <v>99999</v>
      </c>
      <c r="AK1197">
        <v>699</v>
      </c>
      <c r="AL1197" t="b">
        <v>1</v>
      </c>
      <c r="AM1197" t="b">
        <v>1</v>
      </c>
      <c r="AN1197" t="b">
        <v>0</v>
      </c>
      <c r="AO1197">
        <v>99999</v>
      </c>
      <c r="AP1197" t="s">
        <v>64</v>
      </c>
      <c r="AR1197" t="b">
        <v>0</v>
      </c>
      <c r="AS1197">
        <v>12</v>
      </c>
      <c r="AT1197" t="s">
        <v>327</v>
      </c>
      <c r="AV1197" t="s">
        <v>1932</v>
      </c>
    </row>
    <row r="1198" spans="1:48" x14ac:dyDescent="0.25">
      <c r="A1198" t="s">
        <v>3323</v>
      </c>
      <c r="B1198" t="s">
        <v>302</v>
      </c>
      <c r="C1198" t="s">
        <v>62</v>
      </c>
      <c r="D1198">
        <v>99999</v>
      </c>
      <c r="F1198" s="109">
        <v>20000</v>
      </c>
      <c r="G1198" t="b">
        <v>0</v>
      </c>
      <c r="H1198" t="s">
        <v>329</v>
      </c>
      <c r="K1198" t="s">
        <v>364</v>
      </c>
      <c r="L1198" t="s">
        <v>303</v>
      </c>
      <c r="M1198" t="s">
        <v>323</v>
      </c>
      <c r="N1198" t="s">
        <v>63</v>
      </c>
      <c r="O1198" s="110">
        <v>29.9</v>
      </c>
      <c r="R1198" s="110">
        <v>314.89</v>
      </c>
      <c r="S1198" s="110">
        <v>130</v>
      </c>
      <c r="T1198" s="110">
        <v>0</v>
      </c>
      <c r="U1198" s="110">
        <v>42.99</v>
      </c>
      <c r="X1198">
        <v>91.999999999999972</v>
      </c>
      <c r="Y1198">
        <v>49.9</v>
      </c>
      <c r="Z1198">
        <v>49.9</v>
      </c>
      <c r="AA1198">
        <v>0</v>
      </c>
      <c r="AB1198" t="s">
        <v>363</v>
      </c>
      <c r="AF1198" t="s">
        <v>2078</v>
      </c>
      <c r="AG1198" t="s">
        <v>2078</v>
      </c>
      <c r="AH1198" t="s">
        <v>1903</v>
      </c>
      <c r="AI1198">
        <v>99999</v>
      </c>
      <c r="AJ1198">
        <v>99999</v>
      </c>
      <c r="AK1198">
        <v>699</v>
      </c>
      <c r="AL1198" t="b">
        <v>1</v>
      </c>
      <c r="AM1198" t="b">
        <v>1</v>
      </c>
      <c r="AN1198" t="b">
        <v>0</v>
      </c>
      <c r="AO1198">
        <v>99999</v>
      </c>
      <c r="AP1198" t="s">
        <v>64</v>
      </c>
      <c r="AR1198" t="b">
        <v>0</v>
      </c>
      <c r="AS1198">
        <v>12</v>
      </c>
      <c r="AT1198" t="s">
        <v>327</v>
      </c>
      <c r="AV1198" t="s">
        <v>2080</v>
      </c>
    </row>
    <row r="1199" spans="1:48" x14ac:dyDescent="0.25">
      <c r="A1199" t="s">
        <v>3323</v>
      </c>
      <c r="B1199" t="s">
        <v>302</v>
      </c>
      <c r="C1199" t="s">
        <v>62</v>
      </c>
      <c r="D1199">
        <v>99999</v>
      </c>
      <c r="F1199" s="109">
        <v>20000</v>
      </c>
      <c r="G1199" t="b">
        <v>0</v>
      </c>
      <c r="H1199" t="s">
        <v>329</v>
      </c>
      <c r="K1199" t="s">
        <v>364</v>
      </c>
      <c r="L1199" t="s">
        <v>303</v>
      </c>
      <c r="M1199" t="s">
        <v>323</v>
      </c>
      <c r="N1199" t="s">
        <v>63</v>
      </c>
      <c r="O1199" s="110">
        <v>39.9</v>
      </c>
      <c r="R1199" s="110">
        <v>280.58999999999992</v>
      </c>
      <c r="S1199" s="110">
        <v>130</v>
      </c>
      <c r="T1199" s="110">
        <v>0</v>
      </c>
      <c r="U1199" s="110">
        <v>34.99</v>
      </c>
      <c r="X1199">
        <v>65.69999999999996</v>
      </c>
      <c r="Y1199">
        <v>49.9</v>
      </c>
      <c r="Z1199">
        <v>49.9</v>
      </c>
      <c r="AA1199">
        <v>0</v>
      </c>
      <c r="AB1199" t="s">
        <v>363</v>
      </c>
      <c r="AF1199" t="s">
        <v>1997</v>
      </c>
      <c r="AG1199" t="s">
        <v>1997</v>
      </c>
      <c r="AH1199" t="s">
        <v>1903</v>
      </c>
      <c r="AI1199">
        <v>99999</v>
      </c>
      <c r="AJ1199">
        <v>99999</v>
      </c>
      <c r="AK1199">
        <v>699</v>
      </c>
      <c r="AL1199" t="b">
        <v>1</v>
      </c>
      <c r="AM1199" t="b">
        <v>1</v>
      </c>
      <c r="AN1199" t="b">
        <v>0</v>
      </c>
      <c r="AO1199">
        <v>99999</v>
      </c>
      <c r="AP1199" t="s">
        <v>64</v>
      </c>
      <c r="AR1199" t="b">
        <v>0</v>
      </c>
      <c r="AS1199">
        <v>12</v>
      </c>
      <c r="AT1199" t="s">
        <v>327</v>
      </c>
      <c r="AV1199" t="s">
        <v>1999</v>
      </c>
    </row>
    <row r="1200" spans="1:48" x14ac:dyDescent="0.25">
      <c r="A1200" t="s">
        <v>3323</v>
      </c>
      <c r="B1200" t="s">
        <v>302</v>
      </c>
      <c r="C1200" t="s">
        <v>62</v>
      </c>
      <c r="D1200">
        <v>99999</v>
      </c>
      <c r="F1200" s="109">
        <v>20000</v>
      </c>
      <c r="G1200" t="b">
        <v>0</v>
      </c>
      <c r="H1200" t="s">
        <v>329</v>
      </c>
      <c r="K1200" t="s">
        <v>364</v>
      </c>
      <c r="L1200" t="s">
        <v>303</v>
      </c>
      <c r="M1200" t="s">
        <v>323</v>
      </c>
      <c r="N1200" t="s">
        <v>63</v>
      </c>
      <c r="O1200" s="110">
        <v>39.9</v>
      </c>
      <c r="R1200" s="110">
        <v>314.89</v>
      </c>
      <c r="S1200" s="110">
        <v>130</v>
      </c>
      <c r="T1200" s="110">
        <v>0</v>
      </c>
      <c r="U1200" s="110">
        <v>42.99</v>
      </c>
      <c r="X1200">
        <v>91.999999999999972</v>
      </c>
      <c r="Y1200">
        <v>49.9</v>
      </c>
      <c r="Z1200">
        <v>49.9</v>
      </c>
      <c r="AA1200">
        <v>0</v>
      </c>
      <c r="AB1200" t="s">
        <v>363</v>
      </c>
      <c r="AF1200" t="s">
        <v>2145</v>
      </c>
      <c r="AG1200" t="s">
        <v>2145</v>
      </c>
      <c r="AH1200" t="s">
        <v>1903</v>
      </c>
      <c r="AI1200">
        <v>99999</v>
      </c>
      <c r="AJ1200">
        <v>99999</v>
      </c>
      <c r="AK1200">
        <v>699</v>
      </c>
      <c r="AL1200" t="b">
        <v>1</v>
      </c>
      <c r="AM1200" t="b">
        <v>1</v>
      </c>
      <c r="AN1200" t="b">
        <v>0</v>
      </c>
      <c r="AO1200">
        <v>99999</v>
      </c>
      <c r="AP1200" t="s">
        <v>64</v>
      </c>
      <c r="AR1200" t="b">
        <v>0</v>
      </c>
      <c r="AS1200">
        <v>12</v>
      </c>
      <c r="AT1200" t="s">
        <v>327</v>
      </c>
      <c r="AV1200" t="s">
        <v>2147</v>
      </c>
    </row>
    <row r="1201" spans="1:48" x14ac:dyDescent="0.25">
      <c r="A1201" t="s">
        <v>3323</v>
      </c>
      <c r="B1201" t="s">
        <v>302</v>
      </c>
      <c r="C1201" t="s">
        <v>62</v>
      </c>
      <c r="D1201">
        <v>99999</v>
      </c>
      <c r="F1201" s="109">
        <v>20000</v>
      </c>
      <c r="G1201" t="b">
        <v>0</v>
      </c>
      <c r="H1201" t="s">
        <v>329</v>
      </c>
      <c r="K1201" t="s">
        <v>364</v>
      </c>
      <c r="L1201" t="s">
        <v>303</v>
      </c>
      <c r="M1201" t="s">
        <v>323</v>
      </c>
      <c r="N1201" t="s">
        <v>63</v>
      </c>
      <c r="O1201" s="110">
        <v>49.9</v>
      </c>
      <c r="R1201" s="110">
        <v>280.58999999999992</v>
      </c>
      <c r="S1201" s="110">
        <v>130</v>
      </c>
      <c r="T1201" s="110">
        <v>0</v>
      </c>
      <c r="U1201" s="110">
        <v>34.99</v>
      </c>
      <c r="X1201">
        <v>65.69999999999996</v>
      </c>
      <c r="Y1201">
        <v>49.9</v>
      </c>
      <c r="Z1201">
        <v>49.9</v>
      </c>
      <c r="AA1201">
        <v>0</v>
      </c>
      <c r="AB1201" t="s">
        <v>363</v>
      </c>
      <c r="AF1201" t="s">
        <v>3208</v>
      </c>
      <c r="AG1201" t="s">
        <v>3208</v>
      </c>
      <c r="AH1201" t="s">
        <v>1903</v>
      </c>
      <c r="AI1201">
        <v>99999</v>
      </c>
      <c r="AJ1201">
        <v>99999</v>
      </c>
      <c r="AK1201">
        <v>699</v>
      </c>
      <c r="AL1201" t="b">
        <v>1</v>
      </c>
      <c r="AM1201" t="b">
        <v>1</v>
      </c>
      <c r="AN1201" t="b">
        <v>0</v>
      </c>
      <c r="AO1201">
        <v>99999</v>
      </c>
      <c r="AP1201" t="s">
        <v>64</v>
      </c>
      <c r="AR1201" t="b">
        <v>0</v>
      </c>
      <c r="AS1201">
        <v>12</v>
      </c>
      <c r="AT1201" t="s">
        <v>327</v>
      </c>
      <c r="AV1201" t="s">
        <v>3210</v>
      </c>
    </row>
    <row r="1202" spans="1:48" x14ac:dyDescent="0.25">
      <c r="A1202" t="s">
        <v>3323</v>
      </c>
      <c r="B1202" t="s">
        <v>302</v>
      </c>
      <c r="C1202" t="s">
        <v>62</v>
      </c>
      <c r="D1202">
        <v>99999</v>
      </c>
      <c r="F1202" s="109">
        <v>20000</v>
      </c>
      <c r="G1202" t="b">
        <v>0</v>
      </c>
      <c r="H1202" t="s">
        <v>329</v>
      </c>
      <c r="K1202" t="s">
        <v>364</v>
      </c>
      <c r="L1202" t="s">
        <v>303</v>
      </c>
      <c r="M1202" t="s">
        <v>323</v>
      </c>
      <c r="N1202" t="s">
        <v>63</v>
      </c>
      <c r="O1202" s="110">
        <v>49.9</v>
      </c>
      <c r="R1202" s="110">
        <v>314.89</v>
      </c>
      <c r="S1202" s="110">
        <v>130</v>
      </c>
      <c r="T1202" s="110">
        <v>0</v>
      </c>
      <c r="U1202" s="110">
        <v>42.99</v>
      </c>
      <c r="X1202">
        <v>91.999999999999972</v>
      </c>
      <c r="Y1202">
        <v>49.9</v>
      </c>
      <c r="Z1202">
        <v>49.9</v>
      </c>
      <c r="AA1202">
        <v>0</v>
      </c>
      <c r="AB1202" t="s">
        <v>363</v>
      </c>
      <c r="AF1202" t="s">
        <v>3282</v>
      </c>
      <c r="AG1202" t="s">
        <v>3282</v>
      </c>
      <c r="AH1202" t="s">
        <v>1903</v>
      </c>
      <c r="AI1202">
        <v>99999</v>
      </c>
      <c r="AJ1202">
        <v>99999</v>
      </c>
      <c r="AK1202">
        <v>699</v>
      </c>
      <c r="AL1202" t="b">
        <v>1</v>
      </c>
      <c r="AM1202" t="b">
        <v>1</v>
      </c>
      <c r="AN1202" t="b">
        <v>0</v>
      </c>
      <c r="AO1202">
        <v>99999</v>
      </c>
      <c r="AP1202" t="s">
        <v>64</v>
      </c>
      <c r="AR1202" t="b">
        <v>0</v>
      </c>
      <c r="AS1202">
        <v>12</v>
      </c>
      <c r="AT1202" t="s">
        <v>327</v>
      </c>
      <c r="AV1202" t="s">
        <v>3284</v>
      </c>
    </row>
    <row r="1203" spans="1:48" x14ac:dyDescent="0.25">
      <c r="A1203" t="s">
        <v>3323</v>
      </c>
      <c r="B1203" t="s">
        <v>302</v>
      </c>
      <c r="C1203" t="s">
        <v>62</v>
      </c>
      <c r="D1203">
        <v>99999</v>
      </c>
      <c r="F1203" s="109">
        <v>20000</v>
      </c>
      <c r="G1203" t="b">
        <v>0</v>
      </c>
      <c r="H1203" t="s">
        <v>329</v>
      </c>
      <c r="K1203" t="s">
        <v>379</v>
      </c>
      <c r="L1203" t="s">
        <v>303</v>
      </c>
      <c r="M1203" t="s">
        <v>323</v>
      </c>
      <c r="N1203" t="s">
        <v>63</v>
      </c>
      <c r="O1203" s="110">
        <v>29.9</v>
      </c>
      <c r="R1203" s="110">
        <v>290.58999999999992</v>
      </c>
      <c r="S1203" s="110">
        <v>130</v>
      </c>
      <c r="T1203" s="110">
        <v>0</v>
      </c>
      <c r="U1203" s="110">
        <v>34.99</v>
      </c>
      <c r="X1203">
        <v>65.69999999999996</v>
      </c>
      <c r="Y1203">
        <v>59.9</v>
      </c>
      <c r="Z1203">
        <v>59.9</v>
      </c>
      <c r="AA1203">
        <v>0</v>
      </c>
      <c r="AB1203" t="s">
        <v>363</v>
      </c>
      <c r="AF1203" t="s">
        <v>1930</v>
      </c>
      <c r="AG1203" t="s">
        <v>1930</v>
      </c>
      <c r="AH1203" t="s">
        <v>1903</v>
      </c>
      <c r="AI1203">
        <v>99999</v>
      </c>
      <c r="AJ1203">
        <v>99999</v>
      </c>
      <c r="AK1203">
        <v>699</v>
      </c>
      <c r="AL1203" t="b">
        <v>1</v>
      </c>
      <c r="AM1203" t="b">
        <v>1</v>
      </c>
      <c r="AN1203" t="b">
        <v>0</v>
      </c>
      <c r="AO1203">
        <v>99999</v>
      </c>
      <c r="AP1203" t="s">
        <v>64</v>
      </c>
      <c r="AR1203" t="b">
        <v>0</v>
      </c>
      <c r="AS1203">
        <v>12</v>
      </c>
      <c r="AT1203" t="s">
        <v>327</v>
      </c>
      <c r="AV1203" t="s">
        <v>1945</v>
      </c>
    </row>
    <row r="1204" spans="1:48" x14ac:dyDescent="0.25">
      <c r="A1204" t="s">
        <v>3323</v>
      </c>
      <c r="B1204" t="s">
        <v>302</v>
      </c>
      <c r="C1204" t="s">
        <v>62</v>
      </c>
      <c r="D1204">
        <v>99999</v>
      </c>
      <c r="F1204" s="109">
        <v>20000</v>
      </c>
      <c r="G1204" t="b">
        <v>0</v>
      </c>
      <c r="H1204" t="s">
        <v>329</v>
      </c>
      <c r="K1204" t="s">
        <v>379</v>
      </c>
      <c r="L1204" t="s">
        <v>303</v>
      </c>
      <c r="M1204" t="s">
        <v>323</v>
      </c>
      <c r="N1204" t="s">
        <v>63</v>
      </c>
      <c r="O1204" s="110">
        <v>29.9</v>
      </c>
      <c r="R1204" s="110">
        <v>324.89</v>
      </c>
      <c r="S1204" s="110">
        <v>130</v>
      </c>
      <c r="T1204" s="110">
        <v>0</v>
      </c>
      <c r="U1204" s="110">
        <v>42.99</v>
      </c>
      <c r="X1204">
        <v>91.999999999999972</v>
      </c>
      <c r="Y1204">
        <v>59.9</v>
      </c>
      <c r="Z1204">
        <v>59.9</v>
      </c>
      <c r="AA1204">
        <v>0</v>
      </c>
      <c r="AB1204" t="s">
        <v>363</v>
      </c>
      <c r="AF1204" t="s">
        <v>2078</v>
      </c>
      <c r="AG1204" t="s">
        <v>2078</v>
      </c>
      <c r="AH1204" t="s">
        <v>1903</v>
      </c>
      <c r="AI1204">
        <v>99999</v>
      </c>
      <c r="AJ1204">
        <v>99999</v>
      </c>
      <c r="AK1204">
        <v>699</v>
      </c>
      <c r="AL1204" t="b">
        <v>1</v>
      </c>
      <c r="AM1204" t="b">
        <v>1</v>
      </c>
      <c r="AN1204" t="b">
        <v>0</v>
      </c>
      <c r="AO1204">
        <v>99999</v>
      </c>
      <c r="AP1204" t="s">
        <v>64</v>
      </c>
      <c r="AR1204" t="b">
        <v>0</v>
      </c>
      <c r="AS1204">
        <v>12</v>
      </c>
      <c r="AT1204" t="s">
        <v>327</v>
      </c>
      <c r="AV1204" t="s">
        <v>2093</v>
      </c>
    </row>
    <row r="1205" spans="1:48" x14ac:dyDescent="0.25">
      <c r="A1205" t="s">
        <v>3323</v>
      </c>
      <c r="B1205" t="s">
        <v>302</v>
      </c>
      <c r="C1205" t="s">
        <v>62</v>
      </c>
      <c r="D1205">
        <v>99999</v>
      </c>
      <c r="F1205" s="109">
        <v>20000</v>
      </c>
      <c r="G1205" t="b">
        <v>0</v>
      </c>
      <c r="H1205" t="s">
        <v>329</v>
      </c>
      <c r="K1205" t="s">
        <v>379</v>
      </c>
      <c r="L1205" t="s">
        <v>303</v>
      </c>
      <c r="M1205" t="s">
        <v>323</v>
      </c>
      <c r="N1205" t="s">
        <v>63</v>
      </c>
      <c r="O1205" s="110">
        <v>39.9</v>
      </c>
      <c r="R1205" s="110">
        <v>290.58999999999992</v>
      </c>
      <c r="S1205" s="110">
        <v>130</v>
      </c>
      <c r="T1205" s="110">
        <v>0</v>
      </c>
      <c r="U1205" s="110">
        <v>34.99</v>
      </c>
      <c r="X1205">
        <v>65.69999999999996</v>
      </c>
      <c r="Y1205">
        <v>59.9</v>
      </c>
      <c r="Z1205">
        <v>59.9</v>
      </c>
      <c r="AA1205">
        <v>0</v>
      </c>
      <c r="AB1205" t="s">
        <v>363</v>
      </c>
      <c r="AF1205" t="s">
        <v>1997</v>
      </c>
      <c r="AG1205" t="s">
        <v>1997</v>
      </c>
      <c r="AH1205" t="s">
        <v>1903</v>
      </c>
      <c r="AI1205">
        <v>99999</v>
      </c>
      <c r="AJ1205">
        <v>99999</v>
      </c>
      <c r="AK1205">
        <v>699</v>
      </c>
      <c r="AL1205" t="b">
        <v>1</v>
      </c>
      <c r="AM1205" t="b">
        <v>1</v>
      </c>
      <c r="AN1205" t="b">
        <v>0</v>
      </c>
      <c r="AO1205">
        <v>99999</v>
      </c>
      <c r="AP1205" t="s">
        <v>64</v>
      </c>
      <c r="AR1205" t="b">
        <v>0</v>
      </c>
      <c r="AS1205">
        <v>12</v>
      </c>
      <c r="AT1205" t="s">
        <v>327</v>
      </c>
      <c r="AV1205" t="s">
        <v>2012</v>
      </c>
    </row>
    <row r="1206" spans="1:48" x14ac:dyDescent="0.25">
      <c r="A1206" t="s">
        <v>3323</v>
      </c>
      <c r="B1206" t="s">
        <v>302</v>
      </c>
      <c r="C1206" t="s">
        <v>62</v>
      </c>
      <c r="D1206">
        <v>99999</v>
      </c>
      <c r="F1206" s="109">
        <v>20000</v>
      </c>
      <c r="G1206" t="b">
        <v>0</v>
      </c>
      <c r="H1206" t="s">
        <v>329</v>
      </c>
      <c r="K1206" t="s">
        <v>379</v>
      </c>
      <c r="L1206" t="s">
        <v>303</v>
      </c>
      <c r="M1206" t="s">
        <v>323</v>
      </c>
      <c r="N1206" t="s">
        <v>63</v>
      </c>
      <c r="O1206" s="110">
        <v>39.9</v>
      </c>
      <c r="R1206" s="110">
        <v>324.89</v>
      </c>
      <c r="S1206" s="110">
        <v>130</v>
      </c>
      <c r="T1206" s="110">
        <v>0</v>
      </c>
      <c r="U1206" s="110">
        <v>42.99</v>
      </c>
      <c r="X1206">
        <v>91.999999999999972</v>
      </c>
      <c r="Y1206">
        <v>59.9</v>
      </c>
      <c r="Z1206">
        <v>59.9</v>
      </c>
      <c r="AA1206">
        <v>0</v>
      </c>
      <c r="AB1206" t="s">
        <v>363</v>
      </c>
      <c r="AF1206" t="s">
        <v>2145</v>
      </c>
      <c r="AG1206" t="s">
        <v>2145</v>
      </c>
      <c r="AH1206" t="s">
        <v>1903</v>
      </c>
      <c r="AI1206">
        <v>99999</v>
      </c>
      <c r="AJ1206">
        <v>99999</v>
      </c>
      <c r="AK1206">
        <v>699</v>
      </c>
      <c r="AL1206" t="b">
        <v>1</v>
      </c>
      <c r="AM1206" t="b">
        <v>1</v>
      </c>
      <c r="AN1206" t="b">
        <v>0</v>
      </c>
      <c r="AO1206">
        <v>99999</v>
      </c>
      <c r="AP1206" t="s">
        <v>64</v>
      </c>
      <c r="AR1206" t="b">
        <v>0</v>
      </c>
      <c r="AS1206">
        <v>12</v>
      </c>
      <c r="AT1206" t="s">
        <v>327</v>
      </c>
      <c r="AV1206" t="s">
        <v>2160</v>
      </c>
    </row>
    <row r="1207" spans="1:48" x14ac:dyDescent="0.25">
      <c r="A1207" t="s">
        <v>3323</v>
      </c>
      <c r="B1207" t="s">
        <v>302</v>
      </c>
      <c r="C1207" t="s">
        <v>62</v>
      </c>
      <c r="D1207">
        <v>99999</v>
      </c>
      <c r="F1207" s="109">
        <v>20000</v>
      </c>
      <c r="G1207" t="b">
        <v>0</v>
      </c>
      <c r="H1207" t="s">
        <v>329</v>
      </c>
      <c r="K1207" t="s">
        <v>379</v>
      </c>
      <c r="L1207" t="s">
        <v>303</v>
      </c>
      <c r="M1207" t="s">
        <v>323</v>
      </c>
      <c r="N1207" t="s">
        <v>63</v>
      </c>
      <c r="O1207" s="110">
        <v>49.9</v>
      </c>
      <c r="R1207" s="110">
        <v>290.58999999999992</v>
      </c>
      <c r="S1207" s="110">
        <v>130</v>
      </c>
      <c r="T1207" s="110">
        <v>0</v>
      </c>
      <c r="U1207" s="110">
        <v>34.99</v>
      </c>
      <c r="X1207">
        <v>65.69999999999996</v>
      </c>
      <c r="Y1207">
        <v>59.9</v>
      </c>
      <c r="Z1207">
        <v>59.9</v>
      </c>
      <c r="AA1207">
        <v>0</v>
      </c>
      <c r="AB1207" t="s">
        <v>363</v>
      </c>
      <c r="AF1207" t="s">
        <v>3208</v>
      </c>
      <c r="AG1207" t="s">
        <v>3208</v>
      </c>
      <c r="AH1207" t="s">
        <v>1903</v>
      </c>
      <c r="AI1207">
        <v>99999</v>
      </c>
      <c r="AJ1207">
        <v>99999</v>
      </c>
      <c r="AK1207">
        <v>699</v>
      </c>
      <c r="AL1207" t="b">
        <v>1</v>
      </c>
      <c r="AM1207" t="b">
        <v>1</v>
      </c>
      <c r="AN1207" t="b">
        <v>0</v>
      </c>
      <c r="AO1207">
        <v>99999</v>
      </c>
      <c r="AP1207" t="s">
        <v>64</v>
      </c>
      <c r="AR1207" t="b">
        <v>0</v>
      </c>
      <c r="AS1207">
        <v>12</v>
      </c>
      <c r="AT1207" t="s">
        <v>327</v>
      </c>
      <c r="AV1207" t="s">
        <v>3223</v>
      </c>
    </row>
    <row r="1208" spans="1:48" x14ac:dyDescent="0.25">
      <c r="A1208" t="s">
        <v>3323</v>
      </c>
      <c r="B1208" t="s">
        <v>302</v>
      </c>
      <c r="C1208" t="s">
        <v>62</v>
      </c>
      <c r="D1208">
        <v>99999</v>
      </c>
      <c r="F1208" s="109">
        <v>20000</v>
      </c>
      <c r="G1208" t="b">
        <v>0</v>
      </c>
      <c r="H1208" t="s">
        <v>329</v>
      </c>
      <c r="K1208" t="s">
        <v>379</v>
      </c>
      <c r="L1208" t="s">
        <v>303</v>
      </c>
      <c r="M1208" t="s">
        <v>323</v>
      </c>
      <c r="N1208" t="s">
        <v>63</v>
      </c>
      <c r="O1208" s="110">
        <v>49.9</v>
      </c>
      <c r="R1208" s="110">
        <v>324.89</v>
      </c>
      <c r="S1208" s="110">
        <v>130</v>
      </c>
      <c r="T1208" s="110">
        <v>0</v>
      </c>
      <c r="U1208" s="110">
        <v>42.99</v>
      </c>
      <c r="X1208">
        <v>91.999999999999972</v>
      </c>
      <c r="Y1208">
        <v>59.9</v>
      </c>
      <c r="Z1208">
        <v>59.9</v>
      </c>
      <c r="AA1208">
        <v>0</v>
      </c>
      <c r="AB1208" t="s">
        <v>363</v>
      </c>
      <c r="AF1208" t="s">
        <v>3282</v>
      </c>
      <c r="AG1208" t="s">
        <v>3282</v>
      </c>
      <c r="AH1208" t="s">
        <v>1903</v>
      </c>
      <c r="AI1208">
        <v>99999</v>
      </c>
      <c r="AJ1208">
        <v>99999</v>
      </c>
      <c r="AK1208">
        <v>699</v>
      </c>
      <c r="AL1208" t="b">
        <v>1</v>
      </c>
      <c r="AM1208" t="b">
        <v>1</v>
      </c>
      <c r="AN1208" t="b">
        <v>0</v>
      </c>
      <c r="AO1208">
        <v>99999</v>
      </c>
      <c r="AP1208" t="s">
        <v>64</v>
      </c>
      <c r="AR1208" t="b">
        <v>0</v>
      </c>
      <c r="AS1208">
        <v>12</v>
      </c>
      <c r="AT1208" t="s">
        <v>327</v>
      </c>
      <c r="AV1208" t="s">
        <v>3297</v>
      </c>
    </row>
    <row r="1209" spans="1:48" x14ac:dyDescent="0.25">
      <c r="A1209" t="s">
        <v>3323</v>
      </c>
      <c r="B1209" t="s">
        <v>302</v>
      </c>
      <c r="C1209" t="s">
        <v>62</v>
      </c>
      <c r="D1209">
        <v>99999</v>
      </c>
      <c r="F1209" s="109">
        <v>20000</v>
      </c>
      <c r="G1209" t="b">
        <v>0</v>
      </c>
      <c r="H1209" t="s">
        <v>329</v>
      </c>
      <c r="K1209" t="s">
        <v>61</v>
      </c>
      <c r="L1209" t="s">
        <v>303</v>
      </c>
      <c r="M1209" t="s">
        <v>323</v>
      </c>
      <c r="N1209" t="s">
        <v>63</v>
      </c>
      <c r="O1209" s="110">
        <v>29.9</v>
      </c>
      <c r="R1209" s="110">
        <v>275.58999999999992</v>
      </c>
      <c r="S1209" s="110">
        <v>130</v>
      </c>
      <c r="T1209" s="110">
        <v>0</v>
      </c>
      <c r="U1209" s="110">
        <v>34.99</v>
      </c>
      <c r="X1209">
        <v>65.69999999999996</v>
      </c>
      <c r="Y1209">
        <v>44.9</v>
      </c>
      <c r="Z1209">
        <v>44.9</v>
      </c>
      <c r="AA1209">
        <v>0</v>
      </c>
      <c r="AB1209" t="s">
        <v>324</v>
      </c>
      <c r="AF1209" t="s">
        <v>1902</v>
      </c>
      <c r="AG1209" t="s">
        <v>1902</v>
      </c>
      <c r="AH1209" t="s">
        <v>1903</v>
      </c>
      <c r="AI1209">
        <v>99999</v>
      </c>
      <c r="AJ1209">
        <v>99999</v>
      </c>
      <c r="AK1209">
        <v>699</v>
      </c>
      <c r="AL1209" t="b">
        <v>1</v>
      </c>
      <c r="AM1209" t="b">
        <v>1</v>
      </c>
      <c r="AN1209" t="b">
        <v>0</v>
      </c>
      <c r="AO1209">
        <v>99999</v>
      </c>
      <c r="AP1209" t="s">
        <v>64</v>
      </c>
      <c r="AR1209" t="b">
        <v>0</v>
      </c>
      <c r="AS1209">
        <v>12</v>
      </c>
      <c r="AT1209" t="s">
        <v>327</v>
      </c>
      <c r="AV1209" t="s">
        <v>1905</v>
      </c>
    </row>
    <row r="1210" spans="1:48" x14ac:dyDescent="0.25">
      <c r="A1210" t="s">
        <v>3323</v>
      </c>
      <c r="B1210" t="s">
        <v>302</v>
      </c>
      <c r="C1210" t="s">
        <v>62</v>
      </c>
      <c r="D1210">
        <v>99999</v>
      </c>
      <c r="F1210" s="109">
        <v>20000</v>
      </c>
      <c r="G1210" t="b">
        <v>0</v>
      </c>
      <c r="H1210" t="s">
        <v>329</v>
      </c>
      <c r="K1210" t="s">
        <v>61</v>
      </c>
      <c r="L1210" t="s">
        <v>303</v>
      </c>
      <c r="M1210" t="s">
        <v>323</v>
      </c>
      <c r="N1210" t="s">
        <v>63</v>
      </c>
      <c r="O1210" s="110">
        <v>29.9</v>
      </c>
      <c r="R1210" s="110">
        <v>309.89</v>
      </c>
      <c r="S1210" s="110">
        <v>130</v>
      </c>
      <c r="T1210" s="110">
        <v>0</v>
      </c>
      <c r="U1210" s="110">
        <v>42.99</v>
      </c>
      <c r="X1210">
        <v>91.999999999999972</v>
      </c>
      <c r="Y1210">
        <v>44.9</v>
      </c>
      <c r="Z1210">
        <v>44.9</v>
      </c>
      <c r="AA1210">
        <v>0</v>
      </c>
      <c r="AB1210" t="s">
        <v>324</v>
      </c>
      <c r="AF1210" t="s">
        <v>2051</v>
      </c>
      <c r="AG1210" t="s">
        <v>2051</v>
      </c>
      <c r="AH1210" t="s">
        <v>1903</v>
      </c>
      <c r="AI1210">
        <v>99999</v>
      </c>
      <c r="AJ1210">
        <v>99999</v>
      </c>
      <c r="AK1210">
        <v>699</v>
      </c>
      <c r="AL1210" t="b">
        <v>1</v>
      </c>
      <c r="AM1210" t="b">
        <v>1</v>
      </c>
      <c r="AN1210" t="b">
        <v>0</v>
      </c>
      <c r="AO1210">
        <v>99999</v>
      </c>
      <c r="AP1210" t="s">
        <v>64</v>
      </c>
      <c r="AR1210" t="b">
        <v>0</v>
      </c>
      <c r="AS1210">
        <v>12</v>
      </c>
      <c r="AT1210" t="s">
        <v>327</v>
      </c>
      <c r="AV1210" t="s">
        <v>2053</v>
      </c>
    </row>
    <row r="1211" spans="1:48" x14ac:dyDescent="0.25">
      <c r="A1211" t="s">
        <v>3323</v>
      </c>
      <c r="B1211" t="s">
        <v>302</v>
      </c>
      <c r="C1211" t="s">
        <v>62</v>
      </c>
      <c r="D1211">
        <v>99999</v>
      </c>
      <c r="F1211" s="109">
        <v>20000</v>
      </c>
      <c r="G1211" t="b">
        <v>0</v>
      </c>
      <c r="H1211" t="s">
        <v>329</v>
      </c>
      <c r="K1211" t="s">
        <v>61</v>
      </c>
      <c r="L1211" t="s">
        <v>303</v>
      </c>
      <c r="M1211" t="s">
        <v>323</v>
      </c>
      <c r="N1211" t="s">
        <v>63</v>
      </c>
      <c r="O1211" s="110">
        <v>39.9</v>
      </c>
      <c r="R1211" s="110">
        <v>275.58999999999992</v>
      </c>
      <c r="S1211" s="110">
        <v>130</v>
      </c>
      <c r="T1211" s="110">
        <v>0</v>
      </c>
      <c r="U1211" s="110">
        <v>34.99</v>
      </c>
      <c r="X1211">
        <v>65.69999999999996</v>
      </c>
      <c r="Y1211">
        <v>44.9</v>
      </c>
      <c r="Z1211">
        <v>44.9</v>
      </c>
      <c r="AA1211">
        <v>0</v>
      </c>
      <c r="AB1211" t="s">
        <v>324</v>
      </c>
      <c r="AF1211" t="s">
        <v>1970</v>
      </c>
      <c r="AG1211" t="s">
        <v>1970</v>
      </c>
      <c r="AH1211" t="s">
        <v>1903</v>
      </c>
      <c r="AI1211">
        <v>99999</v>
      </c>
      <c r="AJ1211">
        <v>99999</v>
      </c>
      <c r="AK1211">
        <v>699</v>
      </c>
      <c r="AL1211" t="b">
        <v>1</v>
      </c>
      <c r="AM1211" t="b">
        <v>1</v>
      </c>
      <c r="AN1211" t="b">
        <v>0</v>
      </c>
      <c r="AO1211">
        <v>99999</v>
      </c>
      <c r="AP1211" t="s">
        <v>64</v>
      </c>
      <c r="AR1211" t="b">
        <v>0</v>
      </c>
      <c r="AS1211">
        <v>12</v>
      </c>
      <c r="AT1211" t="s">
        <v>327</v>
      </c>
      <c r="AV1211" t="s">
        <v>1972</v>
      </c>
    </row>
    <row r="1212" spans="1:48" x14ac:dyDescent="0.25">
      <c r="A1212" t="s">
        <v>3323</v>
      </c>
      <c r="B1212" t="s">
        <v>302</v>
      </c>
      <c r="C1212" t="s">
        <v>62</v>
      </c>
      <c r="D1212">
        <v>99999</v>
      </c>
      <c r="F1212" s="109">
        <v>20000</v>
      </c>
      <c r="G1212" t="b">
        <v>0</v>
      </c>
      <c r="H1212" t="s">
        <v>329</v>
      </c>
      <c r="K1212" t="s">
        <v>61</v>
      </c>
      <c r="L1212" t="s">
        <v>303</v>
      </c>
      <c r="M1212" t="s">
        <v>323</v>
      </c>
      <c r="N1212" t="s">
        <v>63</v>
      </c>
      <c r="O1212" s="110">
        <v>39.9</v>
      </c>
      <c r="R1212" s="110">
        <v>309.89</v>
      </c>
      <c r="S1212" s="110">
        <v>130</v>
      </c>
      <c r="T1212" s="110">
        <v>0</v>
      </c>
      <c r="U1212" s="110">
        <v>42.99</v>
      </c>
      <c r="X1212">
        <v>91.999999999999972</v>
      </c>
      <c r="Y1212">
        <v>44.9</v>
      </c>
      <c r="Z1212">
        <v>44.9</v>
      </c>
      <c r="AA1212">
        <v>0</v>
      </c>
      <c r="AB1212" t="s">
        <v>324</v>
      </c>
      <c r="AF1212" t="s">
        <v>2118</v>
      </c>
      <c r="AG1212" t="s">
        <v>2118</v>
      </c>
      <c r="AH1212" t="s">
        <v>1903</v>
      </c>
      <c r="AI1212">
        <v>99999</v>
      </c>
      <c r="AJ1212">
        <v>99999</v>
      </c>
      <c r="AK1212">
        <v>699</v>
      </c>
      <c r="AL1212" t="b">
        <v>1</v>
      </c>
      <c r="AM1212" t="b">
        <v>1</v>
      </c>
      <c r="AN1212" t="b">
        <v>0</v>
      </c>
      <c r="AO1212">
        <v>99999</v>
      </c>
      <c r="AP1212" t="s">
        <v>64</v>
      </c>
      <c r="AR1212" t="b">
        <v>0</v>
      </c>
      <c r="AS1212">
        <v>12</v>
      </c>
      <c r="AT1212" t="s">
        <v>327</v>
      </c>
      <c r="AV1212" t="s">
        <v>2120</v>
      </c>
    </row>
    <row r="1213" spans="1:48" x14ac:dyDescent="0.25">
      <c r="A1213" t="s">
        <v>3323</v>
      </c>
      <c r="B1213" t="s">
        <v>302</v>
      </c>
      <c r="C1213" t="s">
        <v>62</v>
      </c>
      <c r="D1213">
        <v>99999</v>
      </c>
      <c r="F1213" s="109">
        <v>20000</v>
      </c>
      <c r="G1213" t="b">
        <v>0</v>
      </c>
      <c r="H1213" t="s">
        <v>329</v>
      </c>
      <c r="K1213" t="s">
        <v>61</v>
      </c>
      <c r="L1213" t="s">
        <v>303</v>
      </c>
      <c r="M1213" t="s">
        <v>323</v>
      </c>
      <c r="N1213" t="s">
        <v>63</v>
      </c>
      <c r="O1213" s="110">
        <v>49.9</v>
      </c>
      <c r="R1213" s="110">
        <v>275.58999999999992</v>
      </c>
      <c r="S1213" s="110">
        <v>130</v>
      </c>
      <c r="T1213" s="110">
        <v>0</v>
      </c>
      <c r="U1213" s="110">
        <v>34.99</v>
      </c>
      <c r="X1213">
        <v>65.69999999999996</v>
      </c>
      <c r="Y1213">
        <v>44.9</v>
      </c>
      <c r="Z1213">
        <v>44.9</v>
      </c>
      <c r="AA1213">
        <v>0</v>
      </c>
      <c r="AB1213" t="s">
        <v>324</v>
      </c>
      <c r="AF1213" t="s">
        <v>3181</v>
      </c>
      <c r="AG1213" t="s">
        <v>3181</v>
      </c>
      <c r="AH1213" t="s">
        <v>1903</v>
      </c>
      <c r="AI1213">
        <v>99999</v>
      </c>
      <c r="AJ1213">
        <v>99999</v>
      </c>
      <c r="AK1213">
        <v>699</v>
      </c>
      <c r="AL1213" t="b">
        <v>1</v>
      </c>
      <c r="AM1213" t="b">
        <v>1</v>
      </c>
      <c r="AN1213" t="b">
        <v>0</v>
      </c>
      <c r="AO1213">
        <v>99999</v>
      </c>
      <c r="AP1213" t="s">
        <v>64</v>
      </c>
      <c r="AR1213" t="b">
        <v>0</v>
      </c>
      <c r="AS1213">
        <v>12</v>
      </c>
      <c r="AT1213" t="s">
        <v>327</v>
      </c>
      <c r="AV1213" t="s">
        <v>3183</v>
      </c>
    </row>
    <row r="1214" spans="1:48" x14ac:dyDescent="0.25">
      <c r="A1214" t="s">
        <v>3323</v>
      </c>
      <c r="B1214" t="s">
        <v>302</v>
      </c>
      <c r="C1214" t="s">
        <v>62</v>
      </c>
      <c r="D1214">
        <v>99999</v>
      </c>
      <c r="F1214" s="109">
        <v>20000</v>
      </c>
      <c r="G1214" t="b">
        <v>0</v>
      </c>
      <c r="H1214" t="s">
        <v>329</v>
      </c>
      <c r="K1214" t="s">
        <v>61</v>
      </c>
      <c r="L1214" t="s">
        <v>303</v>
      </c>
      <c r="M1214" t="s">
        <v>323</v>
      </c>
      <c r="N1214" t="s">
        <v>63</v>
      </c>
      <c r="O1214" s="110">
        <v>49.9</v>
      </c>
      <c r="R1214" s="110">
        <v>309.89</v>
      </c>
      <c r="S1214" s="110">
        <v>130</v>
      </c>
      <c r="T1214" s="110">
        <v>0</v>
      </c>
      <c r="U1214" s="110">
        <v>42.99</v>
      </c>
      <c r="X1214">
        <v>91.999999999999972</v>
      </c>
      <c r="Y1214">
        <v>44.9</v>
      </c>
      <c r="Z1214">
        <v>44.9</v>
      </c>
      <c r="AA1214">
        <v>0</v>
      </c>
      <c r="AB1214" t="s">
        <v>324</v>
      </c>
      <c r="AF1214" t="s">
        <v>3255</v>
      </c>
      <c r="AG1214" t="s">
        <v>3255</v>
      </c>
      <c r="AH1214" t="s">
        <v>1903</v>
      </c>
      <c r="AI1214">
        <v>99999</v>
      </c>
      <c r="AJ1214">
        <v>99999</v>
      </c>
      <c r="AK1214">
        <v>699</v>
      </c>
      <c r="AL1214" t="b">
        <v>1</v>
      </c>
      <c r="AM1214" t="b">
        <v>1</v>
      </c>
      <c r="AN1214" t="b">
        <v>0</v>
      </c>
      <c r="AO1214">
        <v>99999</v>
      </c>
      <c r="AP1214" t="s">
        <v>64</v>
      </c>
      <c r="AR1214" t="b">
        <v>0</v>
      </c>
      <c r="AS1214">
        <v>12</v>
      </c>
      <c r="AT1214" t="s">
        <v>327</v>
      </c>
      <c r="AV1214" t="s">
        <v>3257</v>
      </c>
    </row>
    <row r="1215" spans="1:48" x14ac:dyDescent="0.25">
      <c r="A1215" t="s">
        <v>3323</v>
      </c>
      <c r="B1215" t="s">
        <v>302</v>
      </c>
      <c r="C1215" t="s">
        <v>62</v>
      </c>
      <c r="D1215">
        <v>99999</v>
      </c>
      <c r="F1215" s="109">
        <v>20000</v>
      </c>
      <c r="G1215" t="b">
        <v>0</v>
      </c>
      <c r="H1215" t="s">
        <v>333</v>
      </c>
      <c r="K1215" t="s">
        <v>349</v>
      </c>
      <c r="L1215" t="s">
        <v>303</v>
      </c>
      <c r="M1215" t="s">
        <v>323</v>
      </c>
      <c r="N1215" t="s">
        <v>63</v>
      </c>
      <c r="O1215" s="110">
        <v>29.9</v>
      </c>
      <c r="R1215" s="110">
        <v>320.58999999999992</v>
      </c>
      <c r="S1215" s="110">
        <v>130</v>
      </c>
      <c r="T1215" s="110">
        <v>0</v>
      </c>
      <c r="U1215" s="110">
        <v>34.99</v>
      </c>
      <c r="X1215">
        <v>110.69999999999996</v>
      </c>
      <c r="Y1215">
        <v>44.9</v>
      </c>
      <c r="Z1215">
        <v>44.9</v>
      </c>
      <c r="AA1215">
        <v>0</v>
      </c>
      <c r="AB1215" t="s">
        <v>324</v>
      </c>
      <c r="AF1215" t="s">
        <v>1902</v>
      </c>
      <c r="AG1215" t="s">
        <v>1902</v>
      </c>
      <c r="AH1215" t="s">
        <v>1903</v>
      </c>
      <c r="AI1215">
        <v>99999</v>
      </c>
      <c r="AJ1215">
        <v>99999</v>
      </c>
      <c r="AK1215">
        <v>699</v>
      </c>
      <c r="AL1215" t="b">
        <v>1</v>
      </c>
      <c r="AM1215" t="b">
        <v>1</v>
      </c>
      <c r="AN1215" t="b">
        <v>0</v>
      </c>
      <c r="AO1215">
        <v>99999</v>
      </c>
      <c r="AP1215" t="s">
        <v>64</v>
      </c>
      <c r="AR1215" t="b">
        <v>0</v>
      </c>
      <c r="AS1215">
        <v>12</v>
      </c>
      <c r="AT1215" t="s">
        <v>327</v>
      </c>
      <c r="AV1215" t="s">
        <v>1920</v>
      </c>
    </row>
    <row r="1216" spans="1:48" x14ac:dyDescent="0.25">
      <c r="A1216" t="s">
        <v>3323</v>
      </c>
      <c r="B1216" t="s">
        <v>302</v>
      </c>
      <c r="C1216" t="s">
        <v>62</v>
      </c>
      <c r="D1216">
        <v>99999</v>
      </c>
      <c r="F1216" s="109">
        <v>20000</v>
      </c>
      <c r="G1216" t="b">
        <v>0</v>
      </c>
      <c r="H1216" t="s">
        <v>333</v>
      </c>
      <c r="K1216" t="s">
        <v>349</v>
      </c>
      <c r="L1216" t="s">
        <v>303</v>
      </c>
      <c r="M1216" t="s">
        <v>323</v>
      </c>
      <c r="N1216" t="s">
        <v>63</v>
      </c>
      <c r="O1216" s="110">
        <v>29.9</v>
      </c>
      <c r="R1216" s="110">
        <v>354.89</v>
      </c>
      <c r="S1216" s="110">
        <v>130</v>
      </c>
      <c r="T1216" s="110">
        <v>0</v>
      </c>
      <c r="U1216" s="110">
        <v>42.99</v>
      </c>
      <c r="X1216">
        <v>136.99999999999997</v>
      </c>
      <c r="Y1216">
        <v>44.9</v>
      </c>
      <c r="Z1216">
        <v>44.9</v>
      </c>
      <c r="AA1216">
        <v>0</v>
      </c>
      <c r="AB1216" t="s">
        <v>324</v>
      </c>
      <c r="AF1216" t="s">
        <v>2051</v>
      </c>
      <c r="AG1216" t="s">
        <v>2051</v>
      </c>
      <c r="AH1216" t="s">
        <v>1903</v>
      </c>
      <c r="AI1216">
        <v>99999</v>
      </c>
      <c r="AJ1216">
        <v>99999</v>
      </c>
      <c r="AK1216">
        <v>699</v>
      </c>
      <c r="AL1216" t="b">
        <v>1</v>
      </c>
      <c r="AM1216" t="b">
        <v>1</v>
      </c>
      <c r="AN1216" t="b">
        <v>0</v>
      </c>
      <c r="AO1216">
        <v>99999</v>
      </c>
      <c r="AP1216" t="s">
        <v>64</v>
      </c>
      <c r="AR1216" t="b">
        <v>0</v>
      </c>
      <c r="AS1216">
        <v>12</v>
      </c>
      <c r="AT1216" t="s">
        <v>327</v>
      </c>
      <c r="AV1216" t="s">
        <v>2068</v>
      </c>
    </row>
    <row r="1217" spans="1:48" x14ac:dyDescent="0.25">
      <c r="A1217" t="s">
        <v>3323</v>
      </c>
      <c r="B1217" t="s">
        <v>302</v>
      </c>
      <c r="C1217" t="s">
        <v>62</v>
      </c>
      <c r="D1217">
        <v>99999</v>
      </c>
      <c r="F1217" s="109">
        <v>20000</v>
      </c>
      <c r="G1217" t="b">
        <v>0</v>
      </c>
      <c r="H1217" t="s">
        <v>333</v>
      </c>
      <c r="K1217" t="s">
        <v>349</v>
      </c>
      <c r="L1217" t="s">
        <v>303</v>
      </c>
      <c r="M1217" t="s">
        <v>323</v>
      </c>
      <c r="N1217" t="s">
        <v>63</v>
      </c>
      <c r="O1217" s="110">
        <v>39.9</v>
      </c>
      <c r="R1217" s="110">
        <v>320.58999999999992</v>
      </c>
      <c r="S1217" s="110">
        <v>130</v>
      </c>
      <c r="T1217" s="110">
        <v>0</v>
      </c>
      <c r="U1217" s="110">
        <v>34.99</v>
      </c>
      <c r="X1217">
        <v>110.69999999999996</v>
      </c>
      <c r="Y1217">
        <v>44.9</v>
      </c>
      <c r="Z1217">
        <v>44.9</v>
      </c>
      <c r="AA1217">
        <v>0</v>
      </c>
      <c r="AB1217" t="s">
        <v>324</v>
      </c>
      <c r="AF1217" t="s">
        <v>1970</v>
      </c>
      <c r="AG1217" t="s">
        <v>1970</v>
      </c>
      <c r="AH1217" t="s">
        <v>1903</v>
      </c>
      <c r="AI1217">
        <v>99999</v>
      </c>
      <c r="AJ1217">
        <v>99999</v>
      </c>
      <c r="AK1217">
        <v>699</v>
      </c>
      <c r="AL1217" t="b">
        <v>1</v>
      </c>
      <c r="AM1217" t="b">
        <v>1</v>
      </c>
      <c r="AN1217" t="b">
        <v>0</v>
      </c>
      <c r="AO1217">
        <v>99999</v>
      </c>
      <c r="AP1217" t="s">
        <v>64</v>
      </c>
      <c r="AR1217" t="b">
        <v>0</v>
      </c>
      <c r="AS1217">
        <v>12</v>
      </c>
      <c r="AT1217" t="s">
        <v>327</v>
      </c>
      <c r="AV1217" t="s">
        <v>1987</v>
      </c>
    </row>
    <row r="1218" spans="1:48" x14ac:dyDescent="0.25">
      <c r="A1218" t="s">
        <v>3323</v>
      </c>
      <c r="B1218" t="s">
        <v>302</v>
      </c>
      <c r="C1218" t="s">
        <v>62</v>
      </c>
      <c r="D1218">
        <v>99999</v>
      </c>
      <c r="F1218" s="109">
        <v>20000</v>
      </c>
      <c r="G1218" t="b">
        <v>0</v>
      </c>
      <c r="H1218" t="s">
        <v>333</v>
      </c>
      <c r="K1218" t="s">
        <v>349</v>
      </c>
      <c r="L1218" t="s">
        <v>303</v>
      </c>
      <c r="M1218" t="s">
        <v>323</v>
      </c>
      <c r="N1218" t="s">
        <v>63</v>
      </c>
      <c r="O1218" s="110">
        <v>39.9</v>
      </c>
      <c r="R1218" s="110">
        <v>354.89</v>
      </c>
      <c r="S1218" s="110">
        <v>130</v>
      </c>
      <c r="T1218" s="110">
        <v>0</v>
      </c>
      <c r="U1218" s="110">
        <v>42.99</v>
      </c>
      <c r="X1218">
        <v>136.99999999999997</v>
      </c>
      <c r="Y1218">
        <v>44.9</v>
      </c>
      <c r="Z1218">
        <v>44.9</v>
      </c>
      <c r="AA1218">
        <v>0</v>
      </c>
      <c r="AB1218" t="s">
        <v>324</v>
      </c>
      <c r="AF1218" t="s">
        <v>2118</v>
      </c>
      <c r="AG1218" t="s">
        <v>2118</v>
      </c>
      <c r="AH1218" t="s">
        <v>1903</v>
      </c>
      <c r="AI1218">
        <v>99999</v>
      </c>
      <c r="AJ1218">
        <v>99999</v>
      </c>
      <c r="AK1218">
        <v>699</v>
      </c>
      <c r="AL1218" t="b">
        <v>1</v>
      </c>
      <c r="AM1218" t="b">
        <v>1</v>
      </c>
      <c r="AN1218" t="b">
        <v>0</v>
      </c>
      <c r="AO1218">
        <v>99999</v>
      </c>
      <c r="AP1218" t="s">
        <v>64</v>
      </c>
      <c r="AR1218" t="b">
        <v>0</v>
      </c>
      <c r="AS1218">
        <v>12</v>
      </c>
      <c r="AT1218" t="s">
        <v>327</v>
      </c>
      <c r="AV1218" t="s">
        <v>2135</v>
      </c>
    </row>
    <row r="1219" spans="1:48" x14ac:dyDescent="0.25">
      <c r="A1219" t="s">
        <v>3323</v>
      </c>
      <c r="B1219" t="s">
        <v>302</v>
      </c>
      <c r="C1219" t="s">
        <v>62</v>
      </c>
      <c r="D1219">
        <v>99999</v>
      </c>
      <c r="F1219" s="109">
        <v>20000</v>
      </c>
      <c r="G1219" t="b">
        <v>0</v>
      </c>
      <c r="H1219" t="s">
        <v>333</v>
      </c>
      <c r="K1219" t="s">
        <v>349</v>
      </c>
      <c r="L1219" t="s">
        <v>303</v>
      </c>
      <c r="M1219" t="s">
        <v>323</v>
      </c>
      <c r="N1219" t="s">
        <v>63</v>
      </c>
      <c r="O1219" s="110">
        <v>49.9</v>
      </c>
      <c r="R1219" s="110">
        <v>320.58999999999992</v>
      </c>
      <c r="S1219" s="110">
        <v>130</v>
      </c>
      <c r="T1219" s="110">
        <v>0</v>
      </c>
      <c r="U1219" s="110">
        <v>34.99</v>
      </c>
      <c r="X1219">
        <v>110.69999999999996</v>
      </c>
      <c r="Y1219">
        <v>44.9</v>
      </c>
      <c r="Z1219">
        <v>44.9</v>
      </c>
      <c r="AA1219">
        <v>0</v>
      </c>
      <c r="AB1219" t="s">
        <v>324</v>
      </c>
      <c r="AF1219" t="s">
        <v>3181</v>
      </c>
      <c r="AG1219" t="s">
        <v>3181</v>
      </c>
      <c r="AH1219" t="s">
        <v>1903</v>
      </c>
      <c r="AI1219">
        <v>99999</v>
      </c>
      <c r="AJ1219">
        <v>99999</v>
      </c>
      <c r="AK1219">
        <v>699</v>
      </c>
      <c r="AL1219" t="b">
        <v>1</v>
      </c>
      <c r="AM1219" t="b">
        <v>1</v>
      </c>
      <c r="AN1219" t="b">
        <v>0</v>
      </c>
      <c r="AO1219">
        <v>99999</v>
      </c>
      <c r="AP1219" t="s">
        <v>64</v>
      </c>
      <c r="AR1219" t="b">
        <v>0</v>
      </c>
      <c r="AS1219">
        <v>12</v>
      </c>
      <c r="AT1219" t="s">
        <v>327</v>
      </c>
      <c r="AV1219" t="s">
        <v>3198</v>
      </c>
    </row>
    <row r="1220" spans="1:48" x14ac:dyDescent="0.25">
      <c r="A1220" t="s">
        <v>3323</v>
      </c>
      <c r="B1220" t="s">
        <v>302</v>
      </c>
      <c r="C1220" t="s">
        <v>62</v>
      </c>
      <c r="D1220">
        <v>99999</v>
      </c>
      <c r="F1220" s="109">
        <v>20000</v>
      </c>
      <c r="G1220" t="b">
        <v>0</v>
      </c>
      <c r="H1220" t="s">
        <v>333</v>
      </c>
      <c r="K1220" t="s">
        <v>349</v>
      </c>
      <c r="L1220" t="s">
        <v>303</v>
      </c>
      <c r="M1220" t="s">
        <v>323</v>
      </c>
      <c r="N1220" t="s">
        <v>63</v>
      </c>
      <c r="O1220" s="110">
        <v>49.9</v>
      </c>
      <c r="R1220" s="110">
        <v>354.89</v>
      </c>
      <c r="S1220" s="110">
        <v>130</v>
      </c>
      <c r="T1220" s="110">
        <v>0</v>
      </c>
      <c r="U1220" s="110">
        <v>42.99</v>
      </c>
      <c r="X1220">
        <v>136.99999999999997</v>
      </c>
      <c r="Y1220">
        <v>44.9</v>
      </c>
      <c r="Z1220">
        <v>44.9</v>
      </c>
      <c r="AA1220">
        <v>0</v>
      </c>
      <c r="AB1220" t="s">
        <v>324</v>
      </c>
      <c r="AF1220" t="s">
        <v>3255</v>
      </c>
      <c r="AG1220" t="s">
        <v>3255</v>
      </c>
      <c r="AH1220" t="s">
        <v>1903</v>
      </c>
      <c r="AI1220">
        <v>99999</v>
      </c>
      <c r="AJ1220">
        <v>99999</v>
      </c>
      <c r="AK1220">
        <v>699</v>
      </c>
      <c r="AL1220" t="b">
        <v>1</v>
      </c>
      <c r="AM1220" t="b">
        <v>1</v>
      </c>
      <c r="AN1220" t="b">
        <v>0</v>
      </c>
      <c r="AO1220">
        <v>99999</v>
      </c>
      <c r="AP1220" t="s">
        <v>64</v>
      </c>
      <c r="AR1220" t="b">
        <v>0</v>
      </c>
      <c r="AS1220">
        <v>12</v>
      </c>
      <c r="AT1220" t="s">
        <v>327</v>
      </c>
      <c r="AV1220" t="s">
        <v>3272</v>
      </c>
    </row>
    <row r="1221" spans="1:48" x14ac:dyDescent="0.25">
      <c r="A1221" t="s">
        <v>3323</v>
      </c>
      <c r="B1221" t="s">
        <v>302</v>
      </c>
      <c r="C1221" t="s">
        <v>62</v>
      </c>
      <c r="D1221">
        <v>99999</v>
      </c>
      <c r="F1221" s="109">
        <v>20000</v>
      </c>
      <c r="G1221" t="b">
        <v>0</v>
      </c>
      <c r="H1221" t="s">
        <v>333</v>
      </c>
      <c r="K1221" t="s">
        <v>393</v>
      </c>
      <c r="L1221" t="s">
        <v>303</v>
      </c>
      <c r="M1221" t="s">
        <v>323</v>
      </c>
      <c r="N1221" t="s">
        <v>63</v>
      </c>
      <c r="O1221" s="110">
        <v>29.9</v>
      </c>
      <c r="R1221" s="110">
        <v>345.59</v>
      </c>
      <c r="S1221" s="110">
        <v>130</v>
      </c>
      <c r="T1221" s="110">
        <v>0</v>
      </c>
      <c r="U1221" s="110">
        <v>34.99</v>
      </c>
      <c r="X1221">
        <v>110.69999999999996</v>
      </c>
      <c r="Y1221">
        <v>69.900000000000006</v>
      </c>
      <c r="Z1221">
        <v>69.900000000000006</v>
      </c>
      <c r="AA1221">
        <v>0</v>
      </c>
      <c r="AB1221" t="s">
        <v>363</v>
      </c>
      <c r="AF1221" t="s">
        <v>1930</v>
      </c>
      <c r="AG1221" t="s">
        <v>1930</v>
      </c>
      <c r="AH1221" t="s">
        <v>1903</v>
      </c>
      <c r="AI1221">
        <v>99999</v>
      </c>
      <c r="AJ1221">
        <v>99999</v>
      </c>
      <c r="AK1221">
        <v>699</v>
      </c>
      <c r="AL1221" t="b">
        <v>1</v>
      </c>
      <c r="AM1221" t="b">
        <v>1</v>
      </c>
      <c r="AN1221" t="b">
        <v>0</v>
      </c>
      <c r="AO1221">
        <v>99999</v>
      </c>
      <c r="AP1221" t="s">
        <v>64</v>
      </c>
      <c r="AR1221" t="b">
        <v>0</v>
      </c>
      <c r="AS1221">
        <v>12</v>
      </c>
      <c r="AT1221" t="s">
        <v>327</v>
      </c>
      <c r="AV1221" t="s">
        <v>1960</v>
      </c>
    </row>
    <row r="1222" spans="1:48" x14ac:dyDescent="0.25">
      <c r="A1222" t="s">
        <v>3323</v>
      </c>
      <c r="B1222" t="s">
        <v>302</v>
      </c>
      <c r="C1222" t="s">
        <v>62</v>
      </c>
      <c r="D1222">
        <v>99999</v>
      </c>
      <c r="F1222" s="109">
        <v>20000</v>
      </c>
      <c r="G1222" t="b">
        <v>0</v>
      </c>
      <c r="H1222" t="s">
        <v>333</v>
      </c>
      <c r="K1222" t="s">
        <v>393</v>
      </c>
      <c r="L1222" t="s">
        <v>303</v>
      </c>
      <c r="M1222" t="s">
        <v>323</v>
      </c>
      <c r="N1222" t="s">
        <v>63</v>
      </c>
      <c r="O1222" s="110">
        <v>29.9</v>
      </c>
      <c r="R1222" s="110">
        <v>379.89</v>
      </c>
      <c r="S1222" s="110">
        <v>130</v>
      </c>
      <c r="T1222" s="110">
        <v>0</v>
      </c>
      <c r="U1222" s="110">
        <v>42.99</v>
      </c>
      <c r="X1222">
        <v>136.99999999999997</v>
      </c>
      <c r="Y1222">
        <v>69.900000000000006</v>
      </c>
      <c r="Z1222">
        <v>69.900000000000006</v>
      </c>
      <c r="AA1222">
        <v>0</v>
      </c>
      <c r="AB1222" t="s">
        <v>363</v>
      </c>
      <c r="AF1222" t="s">
        <v>2078</v>
      </c>
      <c r="AG1222" t="s">
        <v>2078</v>
      </c>
      <c r="AH1222" t="s">
        <v>1903</v>
      </c>
      <c r="AI1222">
        <v>99999</v>
      </c>
      <c r="AJ1222">
        <v>99999</v>
      </c>
      <c r="AK1222">
        <v>699</v>
      </c>
      <c r="AL1222" t="b">
        <v>1</v>
      </c>
      <c r="AM1222" t="b">
        <v>1</v>
      </c>
      <c r="AN1222" t="b">
        <v>0</v>
      </c>
      <c r="AO1222">
        <v>99999</v>
      </c>
      <c r="AP1222" t="s">
        <v>64</v>
      </c>
      <c r="AR1222" t="b">
        <v>0</v>
      </c>
      <c r="AS1222">
        <v>12</v>
      </c>
      <c r="AT1222" t="s">
        <v>327</v>
      </c>
      <c r="AV1222" t="s">
        <v>2108</v>
      </c>
    </row>
    <row r="1223" spans="1:48" x14ac:dyDescent="0.25">
      <c r="A1223" t="s">
        <v>3323</v>
      </c>
      <c r="B1223" t="s">
        <v>302</v>
      </c>
      <c r="C1223" t="s">
        <v>62</v>
      </c>
      <c r="D1223">
        <v>99999</v>
      </c>
      <c r="F1223" s="109">
        <v>20000</v>
      </c>
      <c r="G1223" t="b">
        <v>0</v>
      </c>
      <c r="H1223" t="s">
        <v>333</v>
      </c>
      <c r="K1223" t="s">
        <v>393</v>
      </c>
      <c r="L1223" t="s">
        <v>303</v>
      </c>
      <c r="M1223" t="s">
        <v>323</v>
      </c>
      <c r="N1223" t="s">
        <v>63</v>
      </c>
      <c r="O1223" s="110">
        <v>39.9</v>
      </c>
      <c r="R1223" s="110">
        <v>345.59</v>
      </c>
      <c r="S1223" s="110">
        <v>130</v>
      </c>
      <c r="T1223" s="110">
        <v>0</v>
      </c>
      <c r="U1223" s="110">
        <v>34.99</v>
      </c>
      <c r="X1223">
        <v>110.69999999999996</v>
      </c>
      <c r="Y1223">
        <v>69.900000000000006</v>
      </c>
      <c r="Z1223">
        <v>69.900000000000006</v>
      </c>
      <c r="AA1223">
        <v>0</v>
      </c>
      <c r="AB1223" t="s">
        <v>363</v>
      </c>
      <c r="AF1223" t="s">
        <v>1997</v>
      </c>
      <c r="AG1223" t="s">
        <v>1997</v>
      </c>
      <c r="AH1223" t="s">
        <v>1903</v>
      </c>
      <c r="AI1223">
        <v>99999</v>
      </c>
      <c r="AJ1223">
        <v>99999</v>
      </c>
      <c r="AK1223">
        <v>699</v>
      </c>
      <c r="AL1223" t="b">
        <v>1</v>
      </c>
      <c r="AM1223" t="b">
        <v>1</v>
      </c>
      <c r="AN1223" t="b">
        <v>0</v>
      </c>
      <c r="AO1223">
        <v>99999</v>
      </c>
      <c r="AP1223" t="s">
        <v>64</v>
      </c>
      <c r="AR1223" t="b">
        <v>0</v>
      </c>
      <c r="AS1223">
        <v>12</v>
      </c>
      <c r="AT1223" t="s">
        <v>327</v>
      </c>
      <c r="AV1223" t="s">
        <v>2027</v>
      </c>
    </row>
    <row r="1224" spans="1:48" x14ac:dyDescent="0.25">
      <c r="A1224" t="s">
        <v>3323</v>
      </c>
      <c r="B1224" t="s">
        <v>302</v>
      </c>
      <c r="C1224" t="s">
        <v>62</v>
      </c>
      <c r="D1224">
        <v>99999</v>
      </c>
      <c r="F1224" s="109">
        <v>20000</v>
      </c>
      <c r="G1224" t="b">
        <v>0</v>
      </c>
      <c r="H1224" t="s">
        <v>333</v>
      </c>
      <c r="K1224" t="s">
        <v>393</v>
      </c>
      <c r="L1224" t="s">
        <v>303</v>
      </c>
      <c r="M1224" t="s">
        <v>323</v>
      </c>
      <c r="N1224" t="s">
        <v>63</v>
      </c>
      <c r="O1224" s="110">
        <v>39.9</v>
      </c>
      <c r="R1224" s="110">
        <v>379.89</v>
      </c>
      <c r="S1224" s="110">
        <v>130</v>
      </c>
      <c r="T1224" s="110">
        <v>0</v>
      </c>
      <c r="U1224" s="110">
        <v>42.99</v>
      </c>
      <c r="X1224">
        <v>136.99999999999997</v>
      </c>
      <c r="Y1224">
        <v>69.900000000000006</v>
      </c>
      <c r="Z1224">
        <v>69.900000000000006</v>
      </c>
      <c r="AA1224">
        <v>0</v>
      </c>
      <c r="AB1224" t="s">
        <v>363</v>
      </c>
      <c r="AF1224" t="s">
        <v>2145</v>
      </c>
      <c r="AG1224" t="s">
        <v>2145</v>
      </c>
      <c r="AH1224" t="s">
        <v>1903</v>
      </c>
      <c r="AI1224">
        <v>99999</v>
      </c>
      <c r="AJ1224">
        <v>99999</v>
      </c>
      <c r="AK1224">
        <v>699</v>
      </c>
      <c r="AL1224" t="b">
        <v>1</v>
      </c>
      <c r="AM1224" t="b">
        <v>1</v>
      </c>
      <c r="AN1224" t="b">
        <v>0</v>
      </c>
      <c r="AO1224">
        <v>99999</v>
      </c>
      <c r="AP1224" t="s">
        <v>64</v>
      </c>
      <c r="AR1224" t="b">
        <v>0</v>
      </c>
      <c r="AS1224">
        <v>12</v>
      </c>
      <c r="AT1224" t="s">
        <v>327</v>
      </c>
      <c r="AV1224" t="s">
        <v>2175</v>
      </c>
    </row>
    <row r="1225" spans="1:48" x14ac:dyDescent="0.25">
      <c r="A1225" t="s">
        <v>3323</v>
      </c>
      <c r="B1225" t="s">
        <v>302</v>
      </c>
      <c r="C1225" t="s">
        <v>62</v>
      </c>
      <c r="D1225">
        <v>99999</v>
      </c>
      <c r="F1225" s="109">
        <v>20000</v>
      </c>
      <c r="G1225" t="b">
        <v>0</v>
      </c>
      <c r="H1225" t="s">
        <v>333</v>
      </c>
      <c r="K1225" t="s">
        <v>393</v>
      </c>
      <c r="L1225" t="s">
        <v>303</v>
      </c>
      <c r="M1225" t="s">
        <v>323</v>
      </c>
      <c r="N1225" t="s">
        <v>63</v>
      </c>
      <c r="O1225" s="110">
        <v>49.9</v>
      </c>
      <c r="R1225" s="110">
        <v>345.59</v>
      </c>
      <c r="S1225" s="110">
        <v>130</v>
      </c>
      <c r="T1225" s="110">
        <v>0</v>
      </c>
      <c r="U1225" s="110">
        <v>34.99</v>
      </c>
      <c r="X1225">
        <v>110.69999999999996</v>
      </c>
      <c r="Y1225">
        <v>69.900000000000006</v>
      </c>
      <c r="Z1225">
        <v>69.900000000000006</v>
      </c>
      <c r="AA1225">
        <v>0</v>
      </c>
      <c r="AB1225" t="s">
        <v>363</v>
      </c>
      <c r="AF1225" t="s">
        <v>3208</v>
      </c>
      <c r="AG1225" t="s">
        <v>3208</v>
      </c>
      <c r="AH1225" t="s">
        <v>1903</v>
      </c>
      <c r="AI1225">
        <v>99999</v>
      </c>
      <c r="AJ1225">
        <v>99999</v>
      </c>
      <c r="AK1225">
        <v>699</v>
      </c>
      <c r="AL1225" t="b">
        <v>1</v>
      </c>
      <c r="AM1225" t="b">
        <v>1</v>
      </c>
      <c r="AN1225" t="b">
        <v>0</v>
      </c>
      <c r="AO1225">
        <v>99999</v>
      </c>
      <c r="AP1225" t="s">
        <v>64</v>
      </c>
      <c r="AR1225" t="b">
        <v>0</v>
      </c>
      <c r="AS1225">
        <v>12</v>
      </c>
      <c r="AT1225" t="s">
        <v>327</v>
      </c>
      <c r="AV1225" t="s">
        <v>3238</v>
      </c>
    </row>
    <row r="1226" spans="1:48" x14ac:dyDescent="0.25">
      <c r="A1226" t="s">
        <v>3323</v>
      </c>
      <c r="B1226" t="s">
        <v>302</v>
      </c>
      <c r="C1226" t="s">
        <v>62</v>
      </c>
      <c r="D1226">
        <v>99999</v>
      </c>
      <c r="F1226" s="109">
        <v>20000</v>
      </c>
      <c r="G1226" t="b">
        <v>0</v>
      </c>
      <c r="H1226" t="s">
        <v>333</v>
      </c>
      <c r="K1226" t="s">
        <v>393</v>
      </c>
      <c r="L1226" t="s">
        <v>303</v>
      </c>
      <c r="M1226" t="s">
        <v>323</v>
      </c>
      <c r="N1226" t="s">
        <v>63</v>
      </c>
      <c r="O1226" s="110">
        <v>49.9</v>
      </c>
      <c r="R1226" s="110">
        <v>379.89</v>
      </c>
      <c r="S1226" s="110">
        <v>130</v>
      </c>
      <c r="T1226" s="110">
        <v>0</v>
      </c>
      <c r="U1226" s="110">
        <v>42.99</v>
      </c>
      <c r="X1226">
        <v>136.99999999999997</v>
      </c>
      <c r="Y1226">
        <v>69.900000000000006</v>
      </c>
      <c r="Z1226">
        <v>69.900000000000006</v>
      </c>
      <c r="AA1226">
        <v>0</v>
      </c>
      <c r="AB1226" t="s">
        <v>363</v>
      </c>
      <c r="AF1226" t="s">
        <v>3282</v>
      </c>
      <c r="AG1226" t="s">
        <v>3282</v>
      </c>
      <c r="AH1226" t="s">
        <v>1903</v>
      </c>
      <c r="AI1226">
        <v>99999</v>
      </c>
      <c r="AJ1226">
        <v>99999</v>
      </c>
      <c r="AK1226">
        <v>699</v>
      </c>
      <c r="AL1226" t="b">
        <v>1</v>
      </c>
      <c r="AM1226" t="b">
        <v>1</v>
      </c>
      <c r="AN1226" t="b">
        <v>0</v>
      </c>
      <c r="AO1226">
        <v>99999</v>
      </c>
      <c r="AP1226" t="s">
        <v>64</v>
      </c>
      <c r="AR1226" t="b">
        <v>0</v>
      </c>
      <c r="AS1226">
        <v>12</v>
      </c>
      <c r="AT1226" t="s">
        <v>327</v>
      </c>
      <c r="AV1226" t="s">
        <v>3312</v>
      </c>
    </row>
    <row r="1227" spans="1:48" x14ac:dyDescent="0.25">
      <c r="A1227" t="s">
        <v>3323</v>
      </c>
      <c r="B1227" t="s">
        <v>302</v>
      </c>
      <c r="C1227" t="s">
        <v>62</v>
      </c>
      <c r="D1227">
        <v>99999</v>
      </c>
      <c r="F1227" s="109">
        <v>20000</v>
      </c>
      <c r="G1227" t="b">
        <v>0</v>
      </c>
      <c r="H1227" t="s">
        <v>333</v>
      </c>
      <c r="K1227" t="s">
        <v>364</v>
      </c>
      <c r="L1227" t="s">
        <v>303</v>
      </c>
      <c r="M1227" t="s">
        <v>323</v>
      </c>
      <c r="N1227" t="s">
        <v>63</v>
      </c>
      <c r="O1227" s="110">
        <v>29.9</v>
      </c>
      <c r="R1227" s="110">
        <v>325.58999999999992</v>
      </c>
      <c r="S1227" s="110">
        <v>130</v>
      </c>
      <c r="T1227" s="110">
        <v>0</v>
      </c>
      <c r="U1227" s="110">
        <v>34.99</v>
      </c>
      <c r="X1227">
        <v>110.69999999999996</v>
      </c>
      <c r="Y1227">
        <v>49.9</v>
      </c>
      <c r="Z1227">
        <v>49.9</v>
      </c>
      <c r="AA1227">
        <v>0</v>
      </c>
      <c r="AB1227" t="s">
        <v>363</v>
      </c>
      <c r="AF1227" t="s">
        <v>1930</v>
      </c>
      <c r="AG1227" t="s">
        <v>1930</v>
      </c>
      <c r="AH1227" t="s">
        <v>1903</v>
      </c>
      <c r="AI1227">
        <v>99999</v>
      </c>
      <c r="AJ1227">
        <v>99999</v>
      </c>
      <c r="AK1227">
        <v>699</v>
      </c>
      <c r="AL1227" t="b">
        <v>1</v>
      </c>
      <c r="AM1227" t="b">
        <v>1</v>
      </c>
      <c r="AN1227" t="b">
        <v>0</v>
      </c>
      <c r="AO1227">
        <v>99999</v>
      </c>
      <c r="AP1227" t="s">
        <v>64</v>
      </c>
      <c r="AR1227" t="b">
        <v>0</v>
      </c>
      <c r="AS1227">
        <v>12</v>
      </c>
      <c r="AT1227" t="s">
        <v>327</v>
      </c>
      <c r="AV1227" t="s">
        <v>1934</v>
      </c>
    </row>
    <row r="1228" spans="1:48" x14ac:dyDescent="0.25">
      <c r="A1228" t="s">
        <v>3323</v>
      </c>
      <c r="B1228" t="s">
        <v>302</v>
      </c>
      <c r="C1228" t="s">
        <v>62</v>
      </c>
      <c r="D1228">
        <v>99999</v>
      </c>
      <c r="F1228" s="109">
        <v>20000</v>
      </c>
      <c r="G1228" t="b">
        <v>0</v>
      </c>
      <c r="H1228" t="s">
        <v>333</v>
      </c>
      <c r="K1228" t="s">
        <v>364</v>
      </c>
      <c r="L1228" t="s">
        <v>303</v>
      </c>
      <c r="M1228" t="s">
        <v>323</v>
      </c>
      <c r="N1228" t="s">
        <v>63</v>
      </c>
      <c r="O1228" s="110">
        <v>29.9</v>
      </c>
      <c r="R1228" s="110">
        <v>359.89</v>
      </c>
      <c r="S1228" s="110">
        <v>130</v>
      </c>
      <c r="T1228" s="110">
        <v>0</v>
      </c>
      <c r="U1228" s="110">
        <v>42.99</v>
      </c>
      <c r="X1228">
        <v>136.99999999999997</v>
      </c>
      <c r="Y1228">
        <v>49.9</v>
      </c>
      <c r="Z1228">
        <v>49.9</v>
      </c>
      <c r="AA1228">
        <v>0</v>
      </c>
      <c r="AB1228" t="s">
        <v>363</v>
      </c>
      <c r="AF1228" t="s">
        <v>2078</v>
      </c>
      <c r="AG1228" t="s">
        <v>2078</v>
      </c>
      <c r="AH1228" t="s">
        <v>1903</v>
      </c>
      <c r="AI1228">
        <v>99999</v>
      </c>
      <c r="AJ1228">
        <v>99999</v>
      </c>
      <c r="AK1228">
        <v>699</v>
      </c>
      <c r="AL1228" t="b">
        <v>1</v>
      </c>
      <c r="AM1228" t="b">
        <v>1</v>
      </c>
      <c r="AN1228" t="b">
        <v>0</v>
      </c>
      <c r="AO1228">
        <v>99999</v>
      </c>
      <c r="AP1228" t="s">
        <v>64</v>
      </c>
      <c r="AR1228" t="b">
        <v>0</v>
      </c>
      <c r="AS1228">
        <v>12</v>
      </c>
      <c r="AT1228" t="s">
        <v>327</v>
      </c>
      <c r="AV1228" t="s">
        <v>2082</v>
      </c>
    </row>
    <row r="1229" spans="1:48" x14ac:dyDescent="0.25">
      <c r="A1229" t="s">
        <v>3323</v>
      </c>
      <c r="B1229" t="s">
        <v>302</v>
      </c>
      <c r="C1229" t="s">
        <v>62</v>
      </c>
      <c r="D1229">
        <v>99999</v>
      </c>
      <c r="F1229" s="109">
        <v>20000</v>
      </c>
      <c r="G1229" t="b">
        <v>0</v>
      </c>
      <c r="H1229" t="s">
        <v>333</v>
      </c>
      <c r="K1229" t="s">
        <v>364</v>
      </c>
      <c r="L1229" t="s">
        <v>303</v>
      </c>
      <c r="M1229" t="s">
        <v>323</v>
      </c>
      <c r="N1229" t="s">
        <v>63</v>
      </c>
      <c r="O1229" s="110">
        <v>39.9</v>
      </c>
      <c r="R1229" s="110">
        <v>325.58999999999992</v>
      </c>
      <c r="S1229" s="110">
        <v>130</v>
      </c>
      <c r="T1229" s="110">
        <v>0</v>
      </c>
      <c r="U1229" s="110">
        <v>34.99</v>
      </c>
      <c r="X1229">
        <v>110.69999999999996</v>
      </c>
      <c r="Y1229">
        <v>49.9</v>
      </c>
      <c r="Z1229">
        <v>49.9</v>
      </c>
      <c r="AA1229">
        <v>0</v>
      </c>
      <c r="AB1229" t="s">
        <v>363</v>
      </c>
      <c r="AF1229" t="s">
        <v>1997</v>
      </c>
      <c r="AG1229" t="s">
        <v>1997</v>
      </c>
      <c r="AH1229" t="s">
        <v>1903</v>
      </c>
      <c r="AI1229">
        <v>99999</v>
      </c>
      <c r="AJ1229">
        <v>99999</v>
      </c>
      <c r="AK1229">
        <v>699</v>
      </c>
      <c r="AL1229" t="b">
        <v>1</v>
      </c>
      <c r="AM1229" t="b">
        <v>1</v>
      </c>
      <c r="AN1229" t="b">
        <v>0</v>
      </c>
      <c r="AO1229">
        <v>99999</v>
      </c>
      <c r="AP1229" t="s">
        <v>64</v>
      </c>
      <c r="AR1229" t="b">
        <v>0</v>
      </c>
      <c r="AS1229">
        <v>12</v>
      </c>
      <c r="AT1229" t="s">
        <v>327</v>
      </c>
      <c r="AV1229" t="s">
        <v>2001</v>
      </c>
    </row>
    <row r="1230" spans="1:48" x14ac:dyDescent="0.25">
      <c r="A1230" t="s">
        <v>3323</v>
      </c>
      <c r="B1230" t="s">
        <v>302</v>
      </c>
      <c r="C1230" t="s">
        <v>62</v>
      </c>
      <c r="D1230">
        <v>99999</v>
      </c>
      <c r="F1230" s="109">
        <v>20000</v>
      </c>
      <c r="G1230" t="b">
        <v>0</v>
      </c>
      <c r="H1230" t="s">
        <v>333</v>
      </c>
      <c r="K1230" t="s">
        <v>364</v>
      </c>
      <c r="L1230" t="s">
        <v>303</v>
      </c>
      <c r="M1230" t="s">
        <v>323</v>
      </c>
      <c r="N1230" t="s">
        <v>63</v>
      </c>
      <c r="O1230" s="110">
        <v>39.9</v>
      </c>
      <c r="R1230" s="110">
        <v>359.89</v>
      </c>
      <c r="S1230" s="110">
        <v>130</v>
      </c>
      <c r="T1230" s="110">
        <v>0</v>
      </c>
      <c r="U1230" s="110">
        <v>42.99</v>
      </c>
      <c r="X1230">
        <v>136.99999999999997</v>
      </c>
      <c r="Y1230">
        <v>49.9</v>
      </c>
      <c r="Z1230">
        <v>49.9</v>
      </c>
      <c r="AA1230">
        <v>0</v>
      </c>
      <c r="AB1230" t="s">
        <v>363</v>
      </c>
      <c r="AF1230" t="s">
        <v>2145</v>
      </c>
      <c r="AG1230" t="s">
        <v>2145</v>
      </c>
      <c r="AH1230" t="s">
        <v>1903</v>
      </c>
      <c r="AI1230">
        <v>99999</v>
      </c>
      <c r="AJ1230">
        <v>99999</v>
      </c>
      <c r="AK1230">
        <v>699</v>
      </c>
      <c r="AL1230" t="b">
        <v>1</v>
      </c>
      <c r="AM1230" t="b">
        <v>1</v>
      </c>
      <c r="AN1230" t="b">
        <v>0</v>
      </c>
      <c r="AO1230">
        <v>99999</v>
      </c>
      <c r="AP1230" t="s">
        <v>64</v>
      </c>
      <c r="AR1230" t="b">
        <v>0</v>
      </c>
      <c r="AS1230">
        <v>12</v>
      </c>
      <c r="AT1230" t="s">
        <v>327</v>
      </c>
      <c r="AV1230" t="s">
        <v>2149</v>
      </c>
    </row>
    <row r="1231" spans="1:48" x14ac:dyDescent="0.25">
      <c r="A1231" t="s">
        <v>3323</v>
      </c>
      <c r="B1231" t="s">
        <v>302</v>
      </c>
      <c r="C1231" t="s">
        <v>62</v>
      </c>
      <c r="D1231">
        <v>99999</v>
      </c>
      <c r="F1231" s="109">
        <v>20000</v>
      </c>
      <c r="G1231" t="b">
        <v>0</v>
      </c>
      <c r="H1231" t="s">
        <v>333</v>
      </c>
      <c r="K1231" t="s">
        <v>364</v>
      </c>
      <c r="L1231" t="s">
        <v>303</v>
      </c>
      <c r="M1231" t="s">
        <v>323</v>
      </c>
      <c r="N1231" t="s">
        <v>63</v>
      </c>
      <c r="O1231" s="110">
        <v>49.9</v>
      </c>
      <c r="R1231" s="110">
        <v>325.58999999999992</v>
      </c>
      <c r="S1231" s="110">
        <v>130</v>
      </c>
      <c r="T1231" s="110">
        <v>0</v>
      </c>
      <c r="U1231" s="110">
        <v>34.99</v>
      </c>
      <c r="X1231">
        <v>110.69999999999996</v>
      </c>
      <c r="Y1231">
        <v>49.9</v>
      </c>
      <c r="Z1231">
        <v>49.9</v>
      </c>
      <c r="AA1231">
        <v>0</v>
      </c>
      <c r="AB1231" t="s">
        <v>363</v>
      </c>
      <c r="AF1231" t="s">
        <v>3208</v>
      </c>
      <c r="AG1231" t="s">
        <v>3208</v>
      </c>
      <c r="AH1231" t="s">
        <v>1903</v>
      </c>
      <c r="AI1231">
        <v>99999</v>
      </c>
      <c r="AJ1231">
        <v>99999</v>
      </c>
      <c r="AK1231">
        <v>699</v>
      </c>
      <c r="AL1231" t="b">
        <v>1</v>
      </c>
      <c r="AM1231" t="b">
        <v>1</v>
      </c>
      <c r="AN1231" t="b">
        <v>0</v>
      </c>
      <c r="AO1231">
        <v>99999</v>
      </c>
      <c r="AP1231" t="s">
        <v>64</v>
      </c>
      <c r="AR1231" t="b">
        <v>0</v>
      </c>
      <c r="AS1231">
        <v>12</v>
      </c>
      <c r="AT1231" t="s">
        <v>327</v>
      </c>
      <c r="AV1231" t="s">
        <v>3212</v>
      </c>
    </row>
    <row r="1232" spans="1:48" x14ac:dyDescent="0.25">
      <c r="A1232" t="s">
        <v>3323</v>
      </c>
      <c r="B1232" t="s">
        <v>302</v>
      </c>
      <c r="C1232" t="s">
        <v>62</v>
      </c>
      <c r="D1232">
        <v>99999</v>
      </c>
      <c r="F1232" s="109">
        <v>20000</v>
      </c>
      <c r="G1232" t="b">
        <v>0</v>
      </c>
      <c r="H1232" t="s">
        <v>333</v>
      </c>
      <c r="K1232" t="s">
        <v>364</v>
      </c>
      <c r="L1232" t="s">
        <v>303</v>
      </c>
      <c r="M1232" t="s">
        <v>323</v>
      </c>
      <c r="N1232" t="s">
        <v>63</v>
      </c>
      <c r="O1232" s="110">
        <v>49.9</v>
      </c>
      <c r="R1232" s="110">
        <v>359.89</v>
      </c>
      <c r="S1232" s="110">
        <v>130</v>
      </c>
      <c r="T1232" s="110">
        <v>0</v>
      </c>
      <c r="U1232" s="110">
        <v>42.99</v>
      </c>
      <c r="X1232">
        <v>136.99999999999997</v>
      </c>
      <c r="Y1232">
        <v>49.9</v>
      </c>
      <c r="Z1232">
        <v>49.9</v>
      </c>
      <c r="AA1232">
        <v>0</v>
      </c>
      <c r="AB1232" t="s">
        <v>363</v>
      </c>
      <c r="AF1232" t="s">
        <v>3282</v>
      </c>
      <c r="AG1232" t="s">
        <v>3282</v>
      </c>
      <c r="AH1232" t="s">
        <v>1903</v>
      </c>
      <c r="AI1232">
        <v>99999</v>
      </c>
      <c r="AJ1232">
        <v>99999</v>
      </c>
      <c r="AK1232">
        <v>699</v>
      </c>
      <c r="AL1232" t="b">
        <v>1</v>
      </c>
      <c r="AM1232" t="b">
        <v>1</v>
      </c>
      <c r="AN1232" t="b">
        <v>0</v>
      </c>
      <c r="AO1232">
        <v>99999</v>
      </c>
      <c r="AP1232" t="s">
        <v>64</v>
      </c>
      <c r="AR1232" t="b">
        <v>0</v>
      </c>
      <c r="AS1232">
        <v>12</v>
      </c>
      <c r="AT1232" t="s">
        <v>327</v>
      </c>
      <c r="AV1232" t="s">
        <v>3286</v>
      </c>
    </row>
    <row r="1233" spans="1:48" x14ac:dyDescent="0.25">
      <c r="A1233" t="s">
        <v>3323</v>
      </c>
      <c r="B1233" t="s">
        <v>302</v>
      </c>
      <c r="C1233" t="s">
        <v>62</v>
      </c>
      <c r="D1233">
        <v>99999</v>
      </c>
      <c r="F1233" s="109">
        <v>20000</v>
      </c>
      <c r="G1233" t="b">
        <v>0</v>
      </c>
      <c r="H1233" t="s">
        <v>333</v>
      </c>
      <c r="K1233" t="s">
        <v>379</v>
      </c>
      <c r="L1233" t="s">
        <v>303</v>
      </c>
      <c r="M1233" t="s">
        <v>323</v>
      </c>
      <c r="N1233" t="s">
        <v>63</v>
      </c>
      <c r="O1233" s="110">
        <v>29.9</v>
      </c>
      <c r="R1233" s="110">
        <v>335.58999999999992</v>
      </c>
      <c r="S1233" s="110">
        <v>130</v>
      </c>
      <c r="T1233" s="110">
        <v>0</v>
      </c>
      <c r="U1233" s="110">
        <v>34.99</v>
      </c>
      <c r="X1233">
        <v>110.69999999999996</v>
      </c>
      <c r="Y1233">
        <v>59.9</v>
      </c>
      <c r="Z1233">
        <v>59.9</v>
      </c>
      <c r="AA1233">
        <v>0</v>
      </c>
      <c r="AB1233" t="s">
        <v>363</v>
      </c>
      <c r="AF1233" t="s">
        <v>1930</v>
      </c>
      <c r="AG1233" t="s">
        <v>1930</v>
      </c>
      <c r="AH1233" t="s">
        <v>1903</v>
      </c>
      <c r="AI1233">
        <v>99999</v>
      </c>
      <c r="AJ1233">
        <v>99999</v>
      </c>
      <c r="AK1233">
        <v>699</v>
      </c>
      <c r="AL1233" t="b">
        <v>1</v>
      </c>
      <c r="AM1233" t="b">
        <v>1</v>
      </c>
      <c r="AN1233" t="b">
        <v>0</v>
      </c>
      <c r="AO1233">
        <v>99999</v>
      </c>
      <c r="AP1233" t="s">
        <v>64</v>
      </c>
      <c r="AR1233" t="b">
        <v>0</v>
      </c>
      <c r="AS1233">
        <v>12</v>
      </c>
      <c r="AT1233" t="s">
        <v>327</v>
      </c>
      <c r="AV1233" t="s">
        <v>1947</v>
      </c>
    </row>
    <row r="1234" spans="1:48" x14ac:dyDescent="0.25">
      <c r="A1234" t="s">
        <v>3323</v>
      </c>
      <c r="B1234" t="s">
        <v>302</v>
      </c>
      <c r="C1234" t="s">
        <v>62</v>
      </c>
      <c r="D1234">
        <v>99999</v>
      </c>
      <c r="F1234" s="109">
        <v>20000</v>
      </c>
      <c r="G1234" t="b">
        <v>0</v>
      </c>
      <c r="H1234" t="s">
        <v>333</v>
      </c>
      <c r="K1234" t="s">
        <v>379</v>
      </c>
      <c r="L1234" t="s">
        <v>303</v>
      </c>
      <c r="M1234" t="s">
        <v>323</v>
      </c>
      <c r="N1234" t="s">
        <v>63</v>
      </c>
      <c r="O1234" s="110">
        <v>29.9</v>
      </c>
      <c r="R1234" s="110">
        <v>369.89</v>
      </c>
      <c r="S1234" s="110">
        <v>130</v>
      </c>
      <c r="T1234" s="110">
        <v>0</v>
      </c>
      <c r="U1234" s="110">
        <v>42.99</v>
      </c>
      <c r="X1234">
        <v>136.99999999999997</v>
      </c>
      <c r="Y1234">
        <v>59.9</v>
      </c>
      <c r="Z1234">
        <v>59.9</v>
      </c>
      <c r="AA1234">
        <v>0</v>
      </c>
      <c r="AB1234" t="s">
        <v>363</v>
      </c>
      <c r="AF1234" t="s">
        <v>2078</v>
      </c>
      <c r="AG1234" t="s">
        <v>2078</v>
      </c>
      <c r="AH1234" t="s">
        <v>1903</v>
      </c>
      <c r="AI1234">
        <v>99999</v>
      </c>
      <c r="AJ1234">
        <v>99999</v>
      </c>
      <c r="AK1234">
        <v>699</v>
      </c>
      <c r="AL1234" t="b">
        <v>1</v>
      </c>
      <c r="AM1234" t="b">
        <v>1</v>
      </c>
      <c r="AN1234" t="b">
        <v>0</v>
      </c>
      <c r="AO1234">
        <v>99999</v>
      </c>
      <c r="AP1234" t="s">
        <v>64</v>
      </c>
      <c r="AR1234" t="b">
        <v>0</v>
      </c>
      <c r="AS1234">
        <v>12</v>
      </c>
      <c r="AT1234" t="s">
        <v>327</v>
      </c>
      <c r="AV1234" t="s">
        <v>2095</v>
      </c>
    </row>
    <row r="1235" spans="1:48" x14ac:dyDescent="0.25">
      <c r="A1235" t="s">
        <v>3323</v>
      </c>
      <c r="B1235" t="s">
        <v>302</v>
      </c>
      <c r="C1235" t="s">
        <v>62</v>
      </c>
      <c r="D1235">
        <v>99999</v>
      </c>
      <c r="F1235" s="109">
        <v>20000</v>
      </c>
      <c r="G1235" t="b">
        <v>0</v>
      </c>
      <c r="H1235" t="s">
        <v>333</v>
      </c>
      <c r="K1235" t="s">
        <v>379</v>
      </c>
      <c r="L1235" t="s">
        <v>303</v>
      </c>
      <c r="M1235" t="s">
        <v>323</v>
      </c>
      <c r="N1235" t="s">
        <v>63</v>
      </c>
      <c r="O1235" s="110">
        <v>39.9</v>
      </c>
      <c r="R1235" s="110">
        <v>335.58999999999992</v>
      </c>
      <c r="S1235" s="110">
        <v>130</v>
      </c>
      <c r="T1235" s="110">
        <v>0</v>
      </c>
      <c r="U1235" s="110">
        <v>34.99</v>
      </c>
      <c r="X1235">
        <v>110.69999999999996</v>
      </c>
      <c r="Y1235">
        <v>59.9</v>
      </c>
      <c r="Z1235">
        <v>59.9</v>
      </c>
      <c r="AA1235">
        <v>0</v>
      </c>
      <c r="AB1235" t="s">
        <v>363</v>
      </c>
      <c r="AF1235" t="s">
        <v>1997</v>
      </c>
      <c r="AG1235" t="s">
        <v>1997</v>
      </c>
      <c r="AH1235" t="s">
        <v>1903</v>
      </c>
      <c r="AI1235">
        <v>99999</v>
      </c>
      <c r="AJ1235">
        <v>99999</v>
      </c>
      <c r="AK1235">
        <v>699</v>
      </c>
      <c r="AL1235" t="b">
        <v>1</v>
      </c>
      <c r="AM1235" t="b">
        <v>1</v>
      </c>
      <c r="AN1235" t="b">
        <v>0</v>
      </c>
      <c r="AO1235">
        <v>99999</v>
      </c>
      <c r="AP1235" t="s">
        <v>64</v>
      </c>
      <c r="AR1235" t="b">
        <v>0</v>
      </c>
      <c r="AS1235">
        <v>12</v>
      </c>
      <c r="AT1235" t="s">
        <v>327</v>
      </c>
      <c r="AV1235" t="s">
        <v>2014</v>
      </c>
    </row>
    <row r="1236" spans="1:48" x14ac:dyDescent="0.25">
      <c r="A1236" t="s">
        <v>3323</v>
      </c>
      <c r="B1236" t="s">
        <v>302</v>
      </c>
      <c r="C1236" t="s">
        <v>62</v>
      </c>
      <c r="D1236">
        <v>99999</v>
      </c>
      <c r="F1236" s="109">
        <v>20000</v>
      </c>
      <c r="G1236" t="b">
        <v>0</v>
      </c>
      <c r="H1236" t="s">
        <v>333</v>
      </c>
      <c r="K1236" t="s">
        <v>379</v>
      </c>
      <c r="L1236" t="s">
        <v>303</v>
      </c>
      <c r="M1236" t="s">
        <v>323</v>
      </c>
      <c r="N1236" t="s">
        <v>63</v>
      </c>
      <c r="O1236" s="110">
        <v>39.9</v>
      </c>
      <c r="R1236" s="110">
        <v>369.89</v>
      </c>
      <c r="S1236" s="110">
        <v>130</v>
      </c>
      <c r="T1236" s="110">
        <v>0</v>
      </c>
      <c r="U1236" s="110">
        <v>42.99</v>
      </c>
      <c r="X1236">
        <v>136.99999999999997</v>
      </c>
      <c r="Y1236">
        <v>59.9</v>
      </c>
      <c r="Z1236">
        <v>59.9</v>
      </c>
      <c r="AA1236">
        <v>0</v>
      </c>
      <c r="AB1236" t="s">
        <v>363</v>
      </c>
      <c r="AF1236" t="s">
        <v>2145</v>
      </c>
      <c r="AG1236" t="s">
        <v>2145</v>
      </c>
      <c r="AH1236" t="s">
        <v>1903</v>
      </c>
      <c r="AI1236">
        <v>99999</v>
      </c>
      <c r="AJ1236">
        <v>99999</v>
      </c>
      <c r="AK1236">
        <v>699</v>
      </c>
      <c r="AL1236" t="b">
        <v>1</v>
      </c>
      <c r="AM1236" t="b">
        <v>1</v>
      </c>
      <c r="AN1236" t="b">
        <v>0</v>
      </c>
      <c r="AO1236">
        <v>99999</v>
      </c>
      <c r="AP1236" t="s">
        <v>64</v>
      </c>
      <c r="AR1236" t="b">
        <v>0</v>
      </c>
      <c r="AS1236">
        <v>12</v>
      </c>
      <c r="AT1236" t="s">
        <v>327</v>
      </c>
      <c r="AV1236" t="s">
        <v>2162</v>
      </c>
    </row>
    <row r="1237" spans="1:48" x14ac:dyDescent="0.25">
      <c r="A1237" t="s">
        <v>3323</v>
      </c>
      <c r="B1237" t="s">
        <v>302</v>
      </c>
      <c r="C1237" t="s">
        <v>62</v>
      </c>
      <c r="D1237">
        <v>99999</v>
      </c>
      <c r="F1237" s="109">
        <v>20000</v>
      </c>
      <c r="G1237" t="b">
        <v>0</v>
      </c>
      <c r="H1237" t="s">
        <v>333</v>
      </c>
      <c r="K1237" t="s">
        <v>379</v>
      </c>
      <c r="L1237" t="s">
        <v>303</v>
      </c>
      <c r="M1237" t="s">
        <v>323</v>
      </c>
      <c r="N1237" t="s">
        <v>63</v>
      </c>
      <c r="O1237" s="110">
        <v>49.9</v>
      </c>
      <c r="R1237" s="110">
        <v>335.58999999999992</v>
      </c>
      <c r="S1237" s="110">
        <v>130</v>
      </c>
      <c r="T1237" s="110">
        <v>0</v>
      </c>
      <c r="U1237" s="110">
        <v>34.99</v>
      </c>
      <c r="X1237">
        <v>110.69999999999996</v>
      </c>
      <c r="Y1237">
        <v>59.9</v>
      </c>
      <c r="Z1237">
        <v>59.9</v>
      </c>
      <c r="AA1237">
        <v>0</v>
      </c>
      <c r="AB1237" t="s">
        <v>363</v>
      </c>
      <c r="AF1237" t="s">
        <v>3208</v>
      </c>
      <c r="AG1237" t="s">
        <v>3208</v>
      </c>
      <c r="AH1237" t="s">
        <v>1903</v>
      </c>
      <c r="AI1237">
        <v>99999</v>
      </c>
      <c r="AJ1237">
        <v>99999</v>
      </c>
      <c r="AK1237">
        <v>699</v>
      </c>
      <c r="AL1237" t="b">
        <v>1</v>
      </c>
      <c r="AM1237" t="b">
        <v>1</v>
      </c>
      <c r="AN1237" t="b">
        <v>0</v>
      </c>
      <c r="AO1237">
        <v>99999</v>
      </c>
      <c r="AP1237" t="s">
        <v>64</v>
      </c>
      <c r="AR1237" t="b">
        <v>0</v>
      </c>
      <c r="AS1237">
        <v>12</v>
      </c>
      <c r="AT1237" t="s">
        <v>327</v>
      </c>
      <c r="AV1237" t="s">
        <v>3225</v>
      </c>
    </row>
    <row r="1238" spans="1:48" x14ac:dyDescent="0.25">
      <c r="A1238" t="s">
        <v>3323</v>
      </c>
      <c r="B1238" t="s">
        <v>302</v>
      </c>
      <c r="C1238" t="s">
        <v>62</v>
      </c>
      <c r="D1238">
        <v>99999</v>
      </c>
      <c r="F1238" s="109">
        <v>20000</v>
      </c>
      <c r="G1238" t="b">
        <v>0</v>
      </c>
      <c r="H1238" t="s">
        <v>333</v>
      </c>
      <c r="K1238" t="s">
        <v>379</v>
      </c>
      <c r="L1238" t="s">
        <v>303</v>
      </c>
      <c r="M1238" t="s">
        <v>323</v>
      </c>
      <c r="N1238" t="s">
        <v>63</v>
      </c>
      <c r="O1238" s="110">
        <v>49.9</v>
      </c>
      <c r="R1238" s="110">
        <v>369.89</v>
      </c>
      <c r="S1238" s="110">
        <v>130</v>
      </c>
      <c r="T1238" s="110">
        <v>0</v>
      </c>
      <c r="U1238" s="110">
        <v>42.99</v>
      </c>
      <c r="X1238">
        <v>136.99999999999997</v>
      </c>
      <c r="Y1238">
        <v>59.9</v>
      </c>
      <c r="Z1238">
        <v>59.9</v>
      </c>
      <c r="AA1238">
        <v>0</v>
      </c>
      <c r="AB1238" t="s">
        <v>363</v>
      </c>
      <c r="AF1238" t="s">
        <v>3282</v>
      </c>
      <c r="AG1238" t="s">
        <v>3282</v>
      </c>
      <c r="AH1238" t="s">
        <v>1903</v>
      </c>
      <c r="AI1238">
        <v>99999</v>
      </c>
      <c r="AJ1238">
        <v>99999</v>
      </c>
      <c r="AK1238">
        <v>699</v>
      </c>
      <c r="AL1238" t="b">
        <v>1</v>
      </c>
      <c r="AM1238" t="b">
        <v>1</v>
      </c>
      <c r="AN1238" t="b">
        <v>0</v>
      </c>
      <c r="AO1238">
        <v>99999</v>
      </c>
      <c r="AP1238" t="s">
        <v>64</v>
      </c>
      <c r="AR1238" t="b">
        <v>0</v>
      </c>
      <c r="AS1238">
        <v>12</v>
      </c>
      <c r="AT1238" t="s">
        <v>327</v>
      </c>
      <c r="AV1238" t="s">
        <v>3299</v>
      </c>
    </row>
    <row r="1239" spans="1:48" x14ac:dyDescent="0.25">
      <c r="A1239" t="s">
        <v>3323</v>
      </c>
      <c r="B1239" t="s">
        <v>302</v>
      </c>
      <c r="C1239" t="s">
        <v>62</v>
      </c>
      <c r="D1239">
        <v>99999</v>
      </c>
      <c r="F1239" s="109">
        <v>20000</v>
      </c>
      <c r="G1239" t="b">
        <v>0</v>
      </c>
      <c r="H1239" t="s">
        <v>333</v>
      </c>
      <c r="K1239" t="s">
        <v>61</v>
      </c>
      <c r="L1239" t="s">
        <v>303</v>
      </c>
      <c r="M1239" t="s">
        <v>323</v>
      </c>
      <c r="N1239" t="s">
        <v>63</v>
      </c>
      <c r="O1239" s="110">
        <v>29.9</v>
      </c>
      <c r="R1239" s="110">
        <v>320.58999999999992</v>
      </c>
      <c r="S1239" s="110">
        <v>130</v>
      </c>
      <c r="T1239" s="110">
        <v>0</v>
      </c>
      <c r="U1239" s="110">
        <v>34.99</v>
      </c>
      <c r="X1239">
        <v>110.69999999999996</v>
      </c>
      <c r="Y1239">
        <v>44.9</v>
      </c>
      <c r="Z1239">
        <v>44.9</v>
      </c>
      <c r="AA1239">
        <v>0</v>
      </c>
      <c r="AB1239" t="s">
        <v>324</v>
      </c>
      <c r="AF1239" t="s">
        <v>1902</v>
      </c>
      <c r="AG1239" t="s">
        <v>1902</v>
      </c>
      <c r="AH1239" t="s">
        <v>1903</v>
      </c>
      <c r="AI1239">
        <v>99999</v>
      </c>
      <c r="AJ1239">
        <v>99999</v>
      </c>
      <c r="AK1239">
        <v>699</v>
      </c>
      <c r="AL1239" t="b">
        <v>1</v>
      </c>
      <c r="AM1239" t="b">
        <v>1</v>
      </c>
      <c r="AN1239" t="b">
        <v>0</v>
      </c>
      <c r="AO1239">
        <v>99999</v>
      </c>
      <c r="AP1239" t="s">
        <v>64</v>
      </c>
      <c r="AR1239" t="b">
        <v>0</v>
      </c>
      <c r="AS1239">
        <v>12</v>
      </c>
      <c r="AT1239" t="s">
        <v>327</v>
      </c>
      <c r="AV1239" t="s">
        <v>1907</v>
      </c>
    </row>
    <row r="1240" spans="1:48" x14ac:dyDescent="0.25">
      <c r="A1240" t="s">
        <v>3323</v>
      </c>
      <c r="B1240" t="s">
        <v>302</v>
      </c>
      <c r="C1240" t="s">
        <v>62</v>
      </c>
      <c r="D1240">
        <v>99999</v>
      </c>
      <c r="F1240" s="109">
        <v>20000</v>
      </c>
      <c r="G1240" t="b">
        <v>0</v>
      </c>
      <c r="H1240" t="s">
        <v>333</v>
      </c>
      <c r="K1240" t="s">
        <v>61</v>
      </c>
      <c r="L1240" t="s">
        <v>303</v>
      </c>
      <c r="M1240" t="s">
        <v>323</v>
      </c>
      <c r="N1240" t="s">
        <v>63</v>
      </c>
      <c r="O1240" s="110">
        <v>29.9</v>
      </c>
      <c r="R1240" s="110">
        <v>354.89</v>
      </c>
      <c r="S1240" s="110">
        <v>130</v>
      </c>
      <c r="T1240" s="110">
        <v>0</v>
      </c>
      <c r="U1240" s="110">
        <v>42.99</v>
      </c>
      <c r="X1240">
        <v>136.99999999999997</v>
      </c>
      <c r="Y1240">
        <v>44.9</v>
      </c>
      <c r="Z1240">
        <v>44.9</v>
      </c>
      <c r="AA1240">
        <v>0</v>
      </c>
      <c r="AB1240" t="s">
        <v>324</v>
      </c>
      <c r="AF1240" t="s">
        <v>2051</v>
      </c>
      <c r="AG1240" t="s">
        <v>2051</v>
      </c>
      <c r="AH1240" t="s">
        <v>1903</v>
      </c>
      <c r="AI1240">
        <v>99999</v>
      </c>
      <c r="AJ1240">
        <v>99999</v>
      </c>
      <c r="AK1240">
        <v>699</v>
      </c>
      <c r="AL1240" t="b">
        <v>1</v>
      </c>
      <c r="AM1240" t="b">
        <v>1</v>
      </c>
      <c r="AN1240" t="b">
        <v>0</v>
      </c>
      <c r="AO1240">
        <v>99999</v>
      </c>
      <c r="AP1240" t="s">
        <v>64</v>
      </c>
      <c r="AR1240" t="b">
        <v>0</v>
      </c>
      <c r="AS1240">
        <v>12</v>
      </c>
      <c r="AT1240" t="s">
        <v>327</v>
      </c>
      <c r="AV1240" t="s">
        <v>2055</v>
      </c>
    </row>
    <row r="1241" spans="1:48" x14ac:dyDescent="0.25">
      <c r="A1241" t="s">
        <v>3323</v>
      </c>
      <c r="B1241" t="s">
        <v>302</v>
      </c>
      <c r="C1241" t="s">
        <v>62</v>
      </c>
      <c r="D1241">
        <v>99999</v>
      </c>
      <c r="F1241" s="109">
        <v>20000</v>
      </c>
      <c r="G1241" t="b">
        <v>0</v>
      </c>
      <c r="H1241" t="s">
        <v>333</v>
      </c>
      <c r="K1241" t="s">
        <v>61</v>
      </c>
      <c r="L1241" t="s">
        <v>303</v>
      </c>
      <c r="M1241" t="s">
        <v>323</v>
      </c>
      <c r="N1241" t="s">
        <v>63</v>
      </c>
      <c r="O1241" s="110">
        <v>39.9</v>
      </c>
      <c r="R1241" s="110">
        <v>320.58999999999992</v>
      </c>
      <c r="S1241" s="110">
        <v>130</v>
      </c>
      <c r="T1241" s="110">
        <v>0</v>
      </c>
      <c r="U1241" s="110">
        <v>34.99</v>
      </c>
      <c r="X1241">
        <v>110.69999999999996</v>
      </c>
      <c r="Y1241">
        <v>44.9</v>
      </c>
      <c r="Z1241">
        <v>44.9</v>
      </c>
      <c r="AA1241">
        <v>0</v>
      </c>
      <c r="AB1241" t="s">
        <v>324</v>
      </c>
      <c r="AF1241" t="s">
        <v>1970</v>
      </c>
      <c r="AG1241" t="s">
        <v>1970</v>
      </c>
      <c r="AH1241" t="s">
        <v>1903</v>
      </c>
      <c r="AI1241">
        <v>99999</v>
      </c>
      <c r="AJ1241">
        <v>99999</v>
      </c>
      <c r="AK1241">
        <v>699</v>
      </c>
      <c r="AL1241" t="b">
        <v>1</v>
      </c>
      <c r="AM1241" t="b">
        <v>1</v>
      </c>
      <c r="AN1241" t="b">
        <v>0</v>
      </c>
      <c r="AO1241">
        <v>99999</v>
      </c>
      <c r="AP1241" t="s">
        <v>64</v>
      </c>
      <c r="AR1241" t="b">
        <v>0</v>
      </c>
      <c r="AS1241">
        <v>12</v>
      </c>
      <c r="AT1241" t="s">
        <v>327</v>
      </c>
      <c r="AV1241" t="s">
        <v>1974</v>
      </c>
    </row>
    <row r="1242" spans="1:48" x14ac:dyDescent="0.25">
      <c r="A1242" t="s">
        <v>3323</v>
      </c>
      <c r="B1242" t="s">
        <v>302</v>
      </c>
      <c r="C1242" t="s">
        <v>62</v>
      </c>
      <c r="D1242">
        <v>99999</v>
      </c>
      <c r="F1242" s="109">
        <v>20000</v>
      </c>
      <c r="G1242" t="b">
        <v>0</v>
      </c>
      <c r="H1242" t="s">
        <v>333</v>
      </c>
      <c r="K1242" t="s">
        <v>61</v>
      </c>
      <c r="L1242" t="s">
        <v>303</v>
      </c>
      <c r="M1242" t="s">
        <v>323</v>
      </c>
      <c r="N1242" t="s">
        <v>63</v>
      </c>
      <c r="O1242" s="110">
        <v>39.9</v>
      </c>
      <c r="R1242" s="110">
        <v>354.89</v>
      </c>
      <c r="S1242" s="110">
        <v>130</v>
      </c>
      <c r="T1242" s="110">
        <v>0</v>
      </c>
      <c r="U1242" s="110">
        <v>42.99</v>
      </c>
      <c r="X1242">
        <v>136.99999999999997</v>
      </c>
      <c r="Y1242">
        <v>44.9</v>
      </c>
      <c r="Z1242">
        <v>44.9</v>
      </c>
      <c r="AA1242">
        <v>0</v>
      </c>
      <c r="AB1242" t="s">
        <v>324</v>
      </c>
      <c r="AF1242" t="s">
        <v>2118</v>
      </c>
      <c r="AG1242" t="s">
        <v>2118</v>
      </c>
      <c r="AH1242" t="s">
        <v>1903</v>
      </c>
      <c r="AI1242">
        <v>99999</v>
      </c>
      <c r="AJ1242">
        <v>99999</v>
      </c>
      <c r="AK1242">
        <v>699</v>
      </c>
      <c r="AL1242" t="b">
        <v>1</v>
      </c>
      <c r="AM1242" t="b">
        <v>1</v>
      </c>
      <c r="AN1242" t="b">
        <v>0</v>
      </c>
      <c r="AO1242">
        <v>99999</v>
      </c>
      <c r="AP1242" t="s">
        <v>64</v>
      </c>
      <c r="AR1242" t="b">
        <v>0</v>
      </c>
      <c r="AS1242">
        <v>12</v>
      </c>
      <c r="AT1242" t="s">
        <v>327</v>
      </c>
      <c r="AV1242" t="s">
        <v>2122</v>
      </c>
    </row>
    <row r="1243" spans="1:48" x14ac:dyDescent="0.25">
      <c r="A1243" t="s">
        <v>3323</v>
      </c>
      <c r="B1243" t="s">
        <v>302</v>
      </c>
      <c r="C1243" t="s">
        <v>62</v>
      </c>
      <c r="D1243">
        <v>99999</v>
      </c>
      <c r="F1243" s="109">
        <v>20000</v>
      </c>
      <c r="G1243" t="b">
        <v>0</v>
      </c>
      <c r="H1243" t="s">
        <v>333</v>
      </c>
      <c r="K1243" t="s">
        <v>61</v>
      </c>
      <c r="L1243" t="s">
        <v>303</v>
      </c>
      <c r="M1243" t="s">
        <v>323</v>
      </c>
      <c r="N1243" t="s">
        <v>63</v>
      </c>
      <c r="O1243" s="110">
        <v>49.9</v>
      </c>
      <c r="R1243" s="110">
        <v>320.58999999999992</v>
      </c>
      <c r="S1243" s="110">
        <v>130</v>
      </c>
      <c r="T1243" s="110">
        <v>0</v>
      </c>
      <c r="U1243" s="110">
        <v>34.99</v>
      </c>
      <c r="X1243">
        <v>110.69999999999996</v>
      </c>
      <c r="Y1243">
        <v>44.9</v>
      </c>
      <c r="Z1243">
        <v>44.9</v>
      </c>
      <c r="AA1243">
        <v>0</v>
      </c>
      <c r="AB1243" t="s">
        <v>324</v>
      </c>
      <c r="AF1243" t="s">
        <v>3181</v>
      </c>
      <c r="AG1243" t="s">
        <v>3181</v>
      </c>
      <c r="AH1243" t="s">
        <v>1903</v>
      </c>
      <c r="AI1243">
        <v>99999</v>
      </c>
      <c r="AJ1243">
        <v>99999</v>
      </c>
      <c r="AK1243">
        <v>699</v>
      </c>
      <c r="AL1243" t="b">
        <v>1</v>
      </c>
      <c r="AM1243" t="b">
        <v>1</v>
      </c>
      <c r="AN1243" t="b">
        <v>0</v>
      </c>
      <c r="AO1243">
        <v>99999</v>
      </c>
      <c r="AP1243" t="s">
        <v>64</v>
      </c>
      <c r="AR1243" t="b">
        <v>0</v>
      </c>
      <c r="AS1243">
        <v>12</v>
      </c>
      <c r="AT1243" t="s">
        <v>327</v>
      </c>
      <c r="AV1243" t="s">
        <v>3185</v>
      </c>
    </row>
    <row r="1244" spans="1:48" x14ac:dyDescent="0.25">
      <c r="A1244" t="s">
        <v>3323</v>
      </c>
      <c r="B1244" t="s">
        <v>302</v>
      </c>
      <c r="C1244" t="s">
        <v>62</v>
      </c>
      <c r="D1244">
        <v>99999</v>
      </c>
      <c r="F1244" s="109">
        <v>20000</v>
      </c>
      <c r="G1244" t="b">
        <v>0</v>
      </c>
      <c r="H1244" t="s">
        <v>333</v>
      </c>
      <c r="K1244" t="s">
        <v>61</v>
      </c>
      <c r="L1244" t="s">
        <v>303</v>
      </c>
      <c r="M1244" t="s">
        <v>323</v>
      </c>
      <c r="N1244" t="s">
        <v>63</v>
      </c>
      <c r="O1244" s="110">
        <v>49.9</v>
      </c>
      <c r="R1244" s="110">
        <v>354.89</v>
      </c>
      <c r="S1244" s="110">
        <v>130</v>
      </c>
      <c r="T1244" s="110">
        <v>0</v>
      </c>
      <c r="U1244" s="110">
        <v>42.99</v>
      </c>
      <c r="X1244">
        <v>136.99999999999997</v>
      </c>
      <c r="Y1244">
        <v>44.9</v>
      </c>
      <c r="Z1244">
        <v>44.9</v>
      </c>
      <c r="AA1244">
        <v>0</v>
      </c>
      <c r="AB1244" t="s">
        <v>324</v>
      </c>
      <c r="AF1244" t="s">
        <v>3255</v>
      </c>
      <c r="AG1244" t="s">
        <v>3255</v>
      </c>
      <c r="AH1244" t="s">
        <v>1903</v>
      </c>
      <c r="AI1244">
        <v>99999</v>
      </c>
      <c r="AJ1244">
        <v>99999</v>
      </c>
      <c r="AK1244">
        <v>699</v>
      </c>
      <c r="AL1244" t="b">
        <v>1</v>
      </c>
      <c r="AM1244" t="b">
        <v>1</v>
      </c>
      <c r="AN1244" t="b">
        <v>0</v>
      </c>
      <c r="AO1244">
        <v>99999</v>
      </c>
      <c r="AP1244" t="s">
        <v>64</v>
      </c>
      <c r="AR1244" t="b">
        <v>0</v>
      </c>
      <c r="AS1244">
        <v>12</v>
      </c>
      <c r="AT1244" t="s">
        <v>327</v>
      </c>
      <c r="AV1244" t="s">
        <v>3259</v>
      </c>
    </row>
    <row r="1245" spans="1:48" x14ac:dyDescent="0.25">
      <c r="A1245" t="s">
        <v>3323</v>
      </c>
      <c r="B1245" t="s">
        <v>302</v>
      </c>
      <c r="C1245" t="s">
        <v>62</v>
      </c>
      <c r="D1245">
        <v>99999</v>
      </c>
      <c r="F1245" s="109">
        <v>20000</v>
      </c>
      <c r="G1245" t="b">
        <v>0</v>
      </c>
      <c r="H1245" t="s">
        <v>315</v>
      </c>
      <c r="K1245" t="s">
        <v>349</v>
      </c>
      <c r="L1245" t="s">
        <v>303</v>
      </c>
      <c r="M1245" t="s">
        <v>323</v>
      </c>
      <c r="N1245" t="s">
        <v>63</v>
      </c>
      <c r="O1245" s="110">
        <v>29.9</v>
      </c>
      <c r="R1245" s="110">
        <v>265.58999999999992</v>
      </c>
      <c r="S1245" s="110">
        <v>130</v>
      </c>
      <c r="T1245" s="110">
        <v>0</v>
      </c>
      <c r="U1245" s="110">
        <v>34.99</v>
      </c>
      <c r="X1245">
        <v>55.69999999999996</v>
      </c>
      <c r="Y1245">
        <v>44.9</v>
      </c>
      <c r="Z1245">
        <v>44.9</v>
      </c>
      <c r="AA1245">
        <v>0</v>
      </c>
      <c r="AB1245" t="s">
        <v>324</v>
      </c>
      <c r="AF1245" t="s">
        <v>1902</v>
      </c>
      <c r="AG1245" t="s">
        <v>1902</v>
      </c>
      <c r="AH1245" t="s">
        <v>1903</v>
      </c>
      <c r="AI1245">
        <v>99999</v>
      </c>
      <c r="AJ1245">
        <v>99999</v>
      </c>
      <c r="AK1245">
        <v>699</v>
      </c>
      <c r="AL1245" t="b">
        <v>1</v>
      </c>
      <c r="AM1245" t="b">
        <v>1</v>
      </c>
      <c r="AN1245" t="b">
        <v>0</v>
      </c>
      <c r="AO1245">
        <v>99999</v>
      </c>
      <c r="AP1245" t="s">
        <v>64</v>
      </c>
      <c r="AR1245" t="b">
        <v>0</v>
      </c>
      <c r="AS1245">
        <v>12</v>
      </c>
      <c r="AT1245" t="s">
        <v>327</v>
      </c>
      <c r="AV1245" t="s">
        <v>1917</v>
      </c>
    </row>
    <row r="1246" spans="1:48" x14ac:dyDescent="0.25">
      <c r="A1246" t="s">
        <v>3323</v>
      </c>
      <c r="B1246" t="s">
        <v>302</v>
      </c>
      <c r="C1246" t="s">
        <v>62</v>
      </c>
      <c r="D1246">
        <v>99999</v>
      </c>
      <c r="F1246" s="109">
        <v>20000</v>
      </c>
      <c r="G1246" t="b">
        <v>0</v>
      </c>
      <c r="H1246" t="s">
        <v>315</v>
      </c>
      <c r="K1246" t="s">
        <v>349</v>
      </c>
      <c r="L1246" t="s">
        <v>303</v>
      </c>
      <c r="M1246" t="s">
        <v>323</v>
      </c>
      <c r="N1246" t="s">
        <v>63</v>
      </c>
      <c r="O1246" s="110">
        <v>29.9</v>
      </c>
      <c r="R1246" s="110">
        <v>299.89</v>
      </c>
      <c r="S1246" s="110">
        <v>130</v>
      </c>
      <c r="T1246" s="110">
        <v>0</v>
      </c>
      <c r="U1246" s="110">
        <v>42.99</v>
      </c>
      <c r="X1246">
        <v>81.999999999999972</v>
      </c>
      <c r="Y1246">
        <v>44.9</v>
      </c>
      <c r="Z1246">
        <v>44.9</v>
      </c>
      <c r="AA1246">
        <v>0</v>
      </c>
      <c r="AB1246" t="s">
        <v>324</v>
      </c>
      <c r="AF1246" t="s">
        <v>2051</v>
      </c>
      <c r="AG1246" t="s">
        <v>2051</v>
      </c>
      <c r="AH1246" t="s">
        <v>1903</v>
      </c>
      <c r="AI1246">
        <v>99999</v>
      </c>
      <c r="AJ1246">
        <v>99999</v>
      </c>
      <c r="AK1246">
        <v>699</v>
      </c>
      <c r="AL1246" t="b">
        <v>1</v>
      </c>
      <c r="AM1246" t="b">
        <v>1</v>
      </c>
      <c r="AN1246" t="b">
        <v>0</v>
      </c>
      <c r="AO1246">
        <v>99999</v>
      </c>
      <c r="AP1246" t="s">
        <v>64</v>
      </c>
      <c r="AR1246" t="b">
        <v>0</v>
      </c>
      <c r="AS1246">
        <v>12</v>
      </c>
      <c r="AT1246" t="s">
        <v>327</v>
      </c>
      <c r="AV1246" t="s">
        <v>2065</v>
      </c>
    </row>
    <row r="1247" spans="1:48" x14ac:dyDescent="0.25">
      <c r="A1247" t="s">
        <v>3323</v>
      </c>
      <c r="B1247" t="s">
        <v>302</v>
      </c>
      <c r="C1247" t="s">
        <v>62</v>
      </c>
      <c r="D1247">
        <v>99999</v>
      </c>
      <c r="F1247" s="109">
        <v>20000</v>
      </c>
      <c r="G1247" t="b">
        <v>0</v>
      </c>
      <c r="H1247" t="s">
        <v>315</v>
      </c>
      <c r="K1247" t="s">
        <v>349</v>
      </c>
      <c r="L1247" t="s">
        <v>303</v>
      </c>
      <c r="M1247" t="s">
        <v>323</v>
      </c>
      <c r="N1247" t="s">
        <v>63</v>
      </c>
      <c r="O1247" s="110">
        <v>39.9</v>
      </c>
      <c r="R1247" s="110">
        <v>265.58999999999992</v>
      </c>
      <c r="S1247" s="110">
        <v>130</v>
      </c>
      <c r="T1247" s="110">
        <v>0</v>
      </c>
      <c r="U1247" s="110">
        <v>34.99</v>
      </c>
      <c r="X1247">
        <v>55.69999999999996</v>
      </c>
      <c r="Y1247">
        <v>44.9</v>
      </c>
      <c r="Z1247">
        <v>44.9</v>
      </c>
      <c r="AA1247">
        <v>0</v>
      </c>
      <c r="AB1247" t="s">
        <v>324</v>
      </c>
      <c r="AF1247" t="s">
        <v>1970</v>
      </c>
      <c r="AG1247" t="s">
        <v>1970</v>
      </c>
      <c r="AH1247" t="s">
        <v>1903</v>
      </c>
      <c r="AI1247">
        <v>99999</v>
      </c>
      <c r="AJ1247">
        <v>99999</v>
      </c>
      <c r="AK1247">
        <v>699</v>
      </c>
      <c r="AL1247" t="b">
        <v>1</v>
      </c>
      <c r="AM1247" t="b">
        <v>1</v>
      </c>
      <c r="AN1247" t="b">
        <v>0</v>
      </c>
      <c r="AO1247">
        <v>99999</v>
      </c>
      <c r="AP1247" t="s">
        <v>64</v>
      </c>
      <c r="AR1247" t="b">
        <v>0</v>
      </c>
      <c r="AS1247">
        <v>12</v>
      </c>
      <c r="AT1247" t="s">
        <v>327</v>
      </c>
      <c r="AV1247" t="s">
        <v>1984</v>
      </c>
    </row>
    <row r="1248" spans="1:48" x14ac:dyDescent="0.25">
      <c r="A1248" t="s">
        <v>3323</v>
      </c>
      <c r="B1248" t="s">
        <v>302</v>
      </c>
      <c r="C1248" t="s">
        <v>62</v>
      </c>
      <c r="D1248">
        <v>99999</v>
      </c>
      <c r="F1248" s="109">
        <v>20000</v>
      </c>
      <c r="G1248" t="b">
        <v>0</v>
      </c>
      <c r="H1248" t="s">
        <v>315</v>
      </c>
      <c r="K1248" t="s">
        <v>349</v>
      </c>
      <c r="L1248" t="s">
        <v>303</v>
      </c>
      <c r="M1248" t="s">
        <v>323</v>
      </c>
      <c r="N1248" t="s">
        <v>63</v>
      </c>
      <c r="O1248" s="110">
        <v>39.9</v>
      </c>
      <c r="R1248" s="110">
        <v>299.89</v>
      </c>
      <c r="S1248" s="110">
        <v>130</v>
      </c>
      <c r="T1248" s="110">
        <v>0</v>
      </c>
      <c r="U1248" s="110">
        <v>42.99</v>
      </c>
      <c r="X1248">
        <v>81.999999999999972</v>
      </c>
      <c r="Y1248">
        <v>44.9</v>
      </c>
      <c r="Z1248">
        <v>44.9</v>
      </c>
      <c r="AA1248">
        <v>0</v>
      </c>
      <c r="AB1248" t="s">
        <v>324</v>
      </c>
      <c r="AF1248" t="s">
        <v>2118</v>
      </c>
      <c r="AG1248" t="s">
        <v>2118</v>
      </c>
      <c r="AH1248" t="s">
        <v>1903</v>
      </c>
      <c r="AI1248">
        <v>99999</v>
      </c>
      <c r="AJ1248">
        <v>99999</v>
      </c>
      <c r="AK1248">
        <v>699</v>
      </c>
      <c r="AL1248" t="b">
        <v>1</v>
      </c>
      <c r="AM1248" t="b">
        <v>1</v>
      </c>
      <c r="AN1248" t="b">
        <v>0</v>
      </c>
      <c r="AO1248">
        <v>99999</v>
      </c>
      <c r="AP1248" t="s">
        <v>64</v>
      </c>
      <c r="AR1248" t="b">
        <v>0</v>
      </c>
      <c r="AS1248">
        <v>12</v>
      </c>
      <c r="AT1248" t="s">
        <v>327</v>
      </c>
      <c r="AV1248" t="s">
        <v>2132</v>
      </c>
    </row>
    <row r="1249" spans="1:48" x14ac:dyDescent="0.25">
      <c r="A1249" t="s">
        <v>3323</v>
      </c>
      <c r="B1249" t="s">
        <v>302</v>
      </c>
      <c r="C1249" t="s">
        <v>62</v>
      </c>
      <c r="D1249">
        <v>99999</v>
      </c>
      <c r="F1249" s="109">
        <v>20000</v>
      </c>
      <c r="G1249" t="b">
        <v>0</v>
      </c>
      <c r="H1249" t="s">
        <v>315</v>
      </c>
      <c r="K1249" t="s">
        <v>349</v>
      </c>
      <c r="L1249" t="s">
        <v>303</v>
      </c>
      <c r="M1249" t="s">
        <v>323</v>
      </c>
      <c r="N1249" t="s">
        <v>63</v>
      </c>
      <c r="O1249" s="110">
        <v>49.9</v>
      </c>
      <c r="R1249" s="110">
        <v>265.58999999999992</v>
      </c>
      <c r="S1249" s="110">
        <v>130</v>
      </c>
      <c r="T1249" s="110">
        <v>0</v>
      </c>
      <c r="U1249" s="110">
        <v>34.99</v>
      </c>
      <c r="X1249">
        <v>55.69999999999996</v>
      </c>
      <c r="Y1249">
        <v>44.9</v>
      </c>
      <c r="Z1249">
        <v>44.9</v>
      </c>
      <c r="AA1249">
        <v>0</v>
      </c>
      <c r="AB1249" t="s">
        <v>324</v>
      </c>
      <c r="AF1249" t="s">
        <v>3181</v>
      </c>
      <c r="AG1249" t="s">
        <v>3181</v>
      </c>
      <c r="AH1249" t="s">
        <v>1903</v>
      </c>
      <c r="AI1249">
        <v>99999</v>
      </c>
      <c r="AJ1249">
        <v>99999</v>
      </c>
      <c r="AK1249">
        <v>699</v>
      </c>
      <c r="AL1249" t="b">
        <v>1</v>
      </c>
      <c r="AM1249" t="b">
        <v>1</v>
      </c>
      <c r="AN1249" t="b">
        <v>0</v>
      </c>
      <c r="AO1249">
        <v>99999</v>
      </c>
      <c r="AP1249" t="s">
        <v>64</v>
      </c>
      <c r="AR1249" t="b">
        <v>0</v>
      </c>
      <c r="AS1249">
        <v>12</v>
      </c>
      <c r="AT1249" t="s">
        <v>327</v>
      </c>
      <c r="AV1249" t="s">
        <v>3195</v>
      </c>
    </row>
    <row r="1250" spans="1:48" x14ac:dyDescent="0.25">
      <c r="A1250" t="s">
        <v>3323</v>
      </c>
      <c r="B1250" t="s">
        <v>302</v>
      </c>
      <c r="C1250" t="s">
        <v>62</v>
      </c>
      <c r="D1250">
        <v>99999</v>
      </c>
      <c r="F1250" s="109">
        <v>20000</v>
      </c>
      <c r="G1250" t="b">
        <v>0</v>
      </c>
      <c r="H1250" t="s">
        <v>315</v>
      </c>
      <c r="K1250" t="s">
        <v>349</v>
      </c>
      <c r="L1250" t="s">
        <v>303</v>
      </c>
      <c r="M1250" t="s">
        <v>323</v>
      </c>
      <c r="N1250" t="s">
        <v>63</v>
      </c>
      <c r="O1250" s="110">
        <v>49.9</v>
      </c>
      <c r="R1250" s="110">
        <v>299.89</v>
      </c>
      <c r="S1250" s="110">
        <v>130</v>
      </c>
      <c r="T1250" s="110">
        <v>0</v>
      </c>
      <c r="U1250" s="110">
        <v>42.99</v>
      </c>
      <c r="X1250">
        <v>81.999999999999972</v>
      </c>
      <c r="Y1250">
        <v>44.9</v>
      </c>
      <c r="Z1250">
        <v>44.9</v>
      </c>
      <c r="AA1250">
        <v>0</v>
      </c>
      <c r="AB1250" t="s">
        <v>324</v>
      </c>
      <c r="AF1250" t="s">
        <v>3255</v>
      </c>
      <c r="AG1250" t="s">
        <v>3255</v>
      </c>
      <c r="AH1250" t="s">
        <v>1903</v>
      </c>
      <c r="AI1250">
        <v>99999</v>
      </c>
      <c r="AJ1250">
        <v>99999</v>
      </c>
      <c r="AK1250">
        <v>699</v>
      </c>
      <c r="AL1250" t="b">
        <v>1</v>
      </c>
      <c r="AM1250" t="b">
        <v>1</v>
      </c>
      <c r="AN1250" t="b">
        <v>0</v>
      </c>
      <c r="AO1250">
        <v>99999</v>
      </c>
      <c r="AP1250" t="s">
        <v>64</v>
      </c>
      <c r="AR1250" t="b">
        <v>0</v>
      </c>
      <c r="AS1250">
        <v>12</v>
      </c>
      <c r="AT1250" t="s">
        <v>327</v>
      </c>
      <c r="AV1250" t="s">
        <v>3269</v>
      </c>
    </row>
    <row r="1251" spans="1:48" x14ac:dyDescent="0.25">
      <c r="A1251" t="s">
        <v>3323</v>
      </c>
      <c r="B1251" t="s">
        <v>302</v>
      </c>
      <c r="C1251" t="s">
        <v>62</v>
      </c>
      <c r="D1251">
        <v>99999</v>
      </c>
      <c r="F1251" s="109">
        <v>20000</v>
      </c>
      <c r="G1251" t="b">
        <v>0</v>
      </c>
      <c r="H1251" t="s">
        <v>315</v>
      </c>
      <c r="K1251" t="s">
        <v>393</v>
      </c>
      <c r="L1251" t="s">
        <v>303</v>
      </c>
      <c r="M1251" t="s">
        <v>323</v>
      </c>
      <c r="N1251" t="s">
        <v>63</v>
      </c>
      <c r="O1251" s="110">
        <v>29.9</v>
      </c>
      <c r="R1251" s="110">
        <v>290.58999999999997</v>
      </c>
      <c r="S1251" s="110">
        <v>130</v>
      </c>
      <c r="T1251" s="110">
        <v>0</v>
      </c>
      <c r="U1251" s="110">
        <v>34.99</v>
      </c>
      <c r="X1251">
        <v>55.69999999999996</v>
      </c>
      <c r="Y1251">
        <v>69.900000000000006</v>
      </c>
      <c r="Z1251">
        <v>69.900000000000006</v>
      </c>
      <c r="AA1251">
        <v>0</v>
      </c>
      <c r="AB1251" t="s">
        <v>363</v>
      </c>
      <c r="AF1251" t="s">
        <v>1930</v>
      </c>
      <c r="AG1251" t="s">
        <v>1930</v>
      </c>
      <c r="AH1251" t="s">
        <v>1903</v>
      </c>
      <c r="AI1251">
        <v>99999</v>
      </c>
      <c r="AJ1251">
        <v>99999</v>
      </c>
      <c r="AK1251">
        <v>699</v>
      </c>
      <c r="AL1251" t="b">
        <v>1</v>
      </c>
      <c r="AM1251" t="b">
        <v>1</v>
      </c>
      <c r="AN1251" t="b">
        <v>0</v>
      </c>
      <c r="AO1251">
        <v>99999</v>
      </c>
      <c r="AP1251" t="s">
        <v>64</v>
      </c>
      <c r="AR1251" t="b">
        <v>0</v>
      </c>
      <c r="AS1251">
        <v>12</v>
      </c>
      <c r="AT1251" t="s">
        <v>327</v>
      </c>
      <c r="AV1251" t="s">
        <v>1957</v>
      </c>
    </row>
    <row r="1252" spans="1:48" x14ac:dyDescent="0.25">
      <c r="A1252" t="s">
        <v>3323</v>
      </c>
      <c r="B1252" t="s">
        <v>302</v>
      </c>
      <c r="C1252" t="s">
        <v>62</v>
      </c>
      <c r="D1252">
        <v>99999</v>
      </c>
      <c r="F1252" s="109">
        <v>20000</v>
      </c>
      <c r="G1252" t="b">
        <v>0</v>
      </c>
      <c r="H1252" t="s">
        <v>315</v>
      </c>
      <c r="K1252" t="s">
        <v>393</v>
      </c>
      <c r="L1252" t="s">
        <v>303</v>
      </c>
      <c r="M1252" t="s">
        <v>323</v>
      </c>
      <c r="N1252" t="s">
        <v>63</v>
      </c>
      <c r="O1252" s="110">
        <v>29.9</v>
      </c>
      <c r="R1252" s="110">
        <v>324.89</v>
      </c>
      <c r="S1252" s="110">
        <v>130</v>
      </c>
      <c r="T1252" s="110">
        <v>0</v>
      </c>
      <c r="U1252" s="110">
        <v>42.99</v>
      </c>
      <c r="X1252">
        <v>81.999999999999972</v>
      </c>
      <c r="Y1252">
        <v>69.900000000000006</v>
      </c>
      <c r="Z1252">
        <v>69.900000000000006</v>
      </c>
      <c r="AA1252">
        <v>0</v>
      </c>
      <c r="AB1252" t="s">
        <v>363</v>
      </c>
      <c r="AF1252" t="s">
        <v>2078</v>
      </c>
      <c r="AG1252" t="s">
        <v>2078</v>
      </c>
      <c r="AH1252" t="s">
        <v>1903</v>
      </c>
      <c r="AI1252">
        <v>99999</v>
      </c>
      <c r="AJ1252">
        <v>99999</v>
      </c>
      <c r="AK1252">
        <v>699</v>
      </c>
      <c r="AL1252" t="b">
        <v>1</v>
      </c>
      <c r="AM1252" t="b">
        <v>1</v>
      </c>
      <c r="AN1252" t="b">
        <v>0</v>
      </c>
      <c r="AO1252">
        <v>99999</v>
      </c>
      <c r="AP1252" t="s">
        <v>64</v>
      </c>
      <c r="AR1252" t="b">
        <v>0</v>
      </c>
      <c r="AS1252">
        <v>12</v>
      </c>
      <c r="AT1252" t="s">
        <v>327</v>
      </c>
      <c r="AV1252" t="s">
        <v>2105</v>
      </c>
    </row>
    <row r="1253" spans="1:48" x14ac:dyDescent="0.25">
      <c r="A1253" t="s">
        <v>3323</v>
      </c>
      <c r="B1253" t="s">
        <v>302</v>
      </c>
      <c r="C1253" t="s">
        <v>62</v>
      </c>
      <c r="D1253">
        <v>99999</v>
      </c>
      <c r="F1253" s="109">
        <v>20000</v>
      </c>
      <c r="G1253" t="b">
        <v>0</v>
      </c>
      <c r="H1253" t="s">
        <v>315</v>
      </c>
      <c r="K1253" t="s">
        <v>393</v>
      </c>
      <c r="L1253" t="s">
        <v>303</v>
      </c>
      <c r="M1253" t="s">
        <v>323</v>
      </c>
      <c r="N1253" t="s">
        <v>63</v>
      </c>
      <c r="O1253" s="110">
        <v>39.9</v>
      </c>
      <c r="R1253" s="110">
        <v>290.58999999999997</v>
      </c>
      <c r="S1253" s="110">
        <v>130</v>
      </c>
      <c r="T1253" s="110">
        <v>0</v>
      </c>
      <c r="U1253" s="110">
        <v>34.99</v>
      </c>
      <c r="X1253">
        <v>55.69999999999996</v>
      </c>
      <c r="Y1253">
        <v>69.900000000000006</v>
      </c>
      <c r="Z1253">
        <v>69.900000000000006</v>
      </c>
      <c r="AA1253">
        <v>0</v>
      </c>
      <c r="AB1253" t="s">
        <v>363</v>
      </c>
      <c r="AF1253" t="s">
        <v>1997</v>
      </c>
      <c r="AG1253" t="s">
        <v>1997</v>
      </c>
      <c r="AH1253" t="s">
        <v>1903</v>
      </c>
      <c r="AI1253">
        <v>99999</v>
      </c>
      <c r="AJ1253">
        <v>99999</v>
      </c>
      <c r="AK1253">
        <v>699</v>
      </c>
      <c r="AL1253" t="b">
        <v>1</v>
      </c>
      <c r="AM1253" t="b">
        <v>1</v>
      </c>
      <c r="AN1253" t="b">
        <v>0</v>
      </c>
      <c r="AO1253">
        <v>99999</v>
      </c>
      <c r="AP1253" t="s">
        <v>64</v>
      </c>
      <c r="AR1253" t="b">
        <v>0</v>
      </c>
      <c r="AS1253">
        <v>12</v>
      </c>
      <c r="AT1253" t="s">
        <v>327</v>
      </c>
      <c r="AV1253" t="s">
        <v>2024</v>
      </c>
    </row>
    <row r="1254" spans="1:48" x14ac:dyDescent="0.25">
      <c r="A1254" t="s">
        <v>3323</v>
      </c>
      <c r="B1254" t="s">
        <v>302</v>
      </c>
      <c r="C1254" t="s">
        <v>62</v>
      </c>
      <c r="D1254">
        <v>99999</v>
      </c>
      <c r="F1254" s="109">
        <v>20000</v>
      </c>
      <c r="G1254" t="b">
        <v>0</v>
      </c>
      <c r="H1254" t="s">
        <v>315</v>
      </c>
      <c r="K1254" t="s">
        <v>393</v>
      </c>
      <c r="L1254" t="s">
        <v>303</v>
      </c>
      <c r="M1254" t="s">
        <v>323</v>
      </c>
      <c r="N1254" t="s">
        <v>63</v>
      </c>
      <c r="O1254" s="110">
        <v>39.9</v>
      </c>
      <c r="R1254" s="110">
        <v>324.89</v>
      </c>
      <c r="S1254" s="110">
        <v>130</v>
      </c>
      <c r="T1254" s="110">
        <v>0</v>
      </c>
      <c r="U1254" s="110">
        <v>42.99</v>
      </c>
      <c r="X1254">
        <v>81.999999999999972</v>
      </c>
      <c r="Y1254">
        <v>69.900000000000006</v>
      </c>
      <c r="Z1254">
        <v>69.900000000000006</v>
      </c>
      <c r="AA1254">
        <v>0</v>
      </c>
      <c r="AB1254" t="s">
        <v>363</v>
      </c>
      <c r="AF1254" t="s">
        <v>2145</v>
      </c>
      <c r="AG1254" t="s">
        <v>2145</v>
      </c>
      <c r="AH1254" t="s">
        <v>1903</v>
      </c>
      <c r="AI1254">
        <v>99999</v>
      </c>
      <c r="AJ1254">
        <v>99999</v>
      </c>
      <c r="AK1254">
        <v>699</v>
      </c>
      <c r="AL1254" t="b">
        <v>1</v>
      </c>
      <c r="AM1254" t="b">
        <v>1</v>
      </c>
      <c r="AN1254" t="b">
        <v>0</v>
      </c>
      <c r="AO1254">
        <v>99999</v>
      </c>
      <c r="AP1254" t="s">
        <v>64</v>
      </c>
      <c r="AR1254" t="b">
        <v>0</v>
      </c>
      <c r="AS1254">
        <v>12</v>
      </c>
      <c r="AT1254" t="s">
        <v>327</v>
      </c>
      <c r="AV1254" t="s">
        <v>2172</v>
      </c>
    </row>
    <row r="1255" spans="1:48" x14ac:dyDescent="0.25">
      <c r="A1255" t="s">
        <v>3323</v>
      </c>
      <c r="B1255" t="s">
        <v>302</v>
      </c>
      <c r="C1255" t="s">
        <v>62</v>
      </c>
      <c r="D1255">
        <v>99999</v>
      </c>
      <c r="F1255" s="109">
        <v>20000</v>
      </c>
      <c r="G1255" t="b">
        <v>0</v>
      </c>
      <c r="H1255" t="s">
        <v>315</v>
      </c>
      <c r="K1255" t="s">
        <v>393</v>
      </c>
      <c r="L1255" t="s">
        <v>303</v>
      </c>
      <c r="M1255" t="s">
        <v>323</v>
      </c>
      <c r="N1255" t="s">
        <v>63</v>
      </c>
      <c r="O1255" s="110">
        <v>49.9</v>
      </c>
      <c r="R1255" s="110">
        <v>290.58999999999997</v>
      </c>
      <c r="S1255" s="110">
        <v>130</v>
      </c>
      <c r="T1255" s="110">
        <v>0</v>
      </c>
      <c r="U1255" s="110">
        <v>34.99</v>
      </c>
      <c r="X1255">
        <v>55.69999999999996</v>
      </c>
      <c r="Y1255">
        <v>69.900000000000006</v>
      </c>
      <c r="Z1255">
        <v>69.900000000000006</v>
      </c>
      <c r="AA1255">
        <v>0</v>
      </c>
      <c r="AB1255" t="s">
        <v>363</v>
      </c>
      <c r="AF1255" t="s">
        <v>3208</v>
      </c>
      <c r="AG1255" t="s">
        <v>3208</v>
      </c>
      <c r="AH1255" t="s">
        <v>1903</v>
      </c>
      <c r="AI1255">
        <v>99999</v>
      </c>
      <c r="AJ1255">
        <v>99999</v>
      </c>
      <c r="AK1255">
        <v>699</v>
      </c>
      <c r="AL1255" t="b">
        <v>1</v>
      </c>
      <c r="AM1255" t="b">
        <v>1</v>
      </c>
      <c r="AN1255" t="b">
        <v>0</v>
      </c>
      <c r="AO1255">
        <v>99999</v>
      </c>
      <c r="AP1255" t="s">
        <v>64</v>
      </c>
      <c r="AR1255" t="b">
        <v>0</v>
      </c>
      <c r="AS1255">
        <v>12</v>
      </c>
      <c r="AT1255" t="s">
        <v>327</v>
      </c>
      <c r="AV1255" t="s">
        <v>3235</v>
      </c>
    </row>
    <row r="1256" spans="1:48" x14ac:dyDescent="0.25">
      <c r="A1256" t="s">
        <v>3323</v>
      </c>
      <c r="B1256" t="s">
        <v>302</v>
      </c>
      <c r="C1256" t="s">
        <v>62</v>
      </c>
      <c r="D1256">
        <v>99999</v>
      </c>
      <c r="F1256" s="109">
        <v>20000</v>
      </c>
      <c r="G1256" t="b">
        <v>0</v>
      </c>
      <c r="H1256" t="s">
        <v>315</v>
      </c>
      <c r="K1256" t="s">
        <v>393</v>
      </c>
      <c r="L1256" t="s">
        <v>303</v>
      </c>
      <c r="M1256" t="s">
        <v>323</v>
      </c>
      <c r="N1256" t="s">
        <v>63</v>
      </c>
      <c r="O1256" s="110">
        <v>49.9</v>
      </c>
      <c r="R1256" s="110">
        <v>324.89</v>
      </c>
      <c r="S1256" s="110">
        <v>130</v>
      </c>
      <c r="T1256" s="110">
        <v>0</v>
      </c>
      <c r="U1256" s="110">
        <v>42.99</v>
      </c>
      <c r="X1256">
        <v>81.999999999999972</v>
      </c>
      <c r="Y1256">
        <v>69.900000000000006</v>
      </c>
      <c r="Z1256">
        <v>69.900000000000006</v>
      </c>
      <c r="AA1256">
        <v>0</v>
      </c>
      <c r="AB1256" t="s">
        <v>363</v>
      </c>
      <c r="AF1256" t="s">
        <v>3282</v>
      </c>
      <c r="AG1256" t="s">
        <v>3282</v>
      </c>
      <c r="AH1256" t="s">
        <v>1903</v>
      </c>
      <c r="AI1256">
        <v>99999</v>
      </c>
      <c r="AJ1256">
        <v>99999</v>
      </c>
      <c r="AK1256">
        <v>699</v>
      </c>
      <c r="AL1256" t="b">
        <v>1</v>
      </c>
      <c r="AM1256" t="b">
        <v>1</v>
      </c>
      <c r="AN1256" t="b">
        <v>0</v>
      </c>
      <c r="AO1256">
        <v>99999</v>
      </c>
      <c r="AP1256" t="s">
        <v>64</v>
      </c>
      <c r="AR1256" t="b">
        <v>0</v>
      </c>
      <c r="AS1256">
        <v>12</v>
      </c>
      <c r="AT1256" t="s">
        <v>327</v>
      </c>
      <c r="AV1256" t="s">
        <v>3309</v>
      </c>
    </row>
    <row r="1257" spans="1:48" x14ac:dyDescent="0.25">
      <c r="A1257" t="s">
        <v>3323</v>
      </c>
      <c r="B1257" t="s">
        <v>302</v>
      </c>
      <c r="C1257" t="s">
        <v>62</v>
      </c>
      <c r="D1257">
        <v>99999</v>
      </c>
      <c r="F1257" s="109">
        <v>20000</v>
      </c>
      <c r="G1257" t="b">
        <v>0</v>
      </c>
      <c r="H1257" t="s">
        <v>315</v>
      </c>
      <c r="K1257" t="s">
        <v>364</v>
      </c>
      <c r="L1257" t="s">
        <v>303</v>
      </c>
      <c r="M1257" t="s">
        <v>323</v>
      </c>
      <c r="N1257" t="s">
        <v>63</v>
      </c>
      <c r="O1257" s="110">
        <v>29.9</v>
      </c>
      <c r="R1257" s="110">
        <v>270.58999999999992</v>
      </c>
      <c r="S1257" s="110">
        <v>130</v>
      </c>
      <c r="T1257" s="110">
        <v>0</v>
      </c>
      <c r="U1257" s="110">
        <v>34.99</v>
      </c>
      <c r="X1257">
        <v>55.69999999999996</v>
      </c>
      <c r="Y1257">
        <v>49.9</v>
      </c>
      <c r="Z1257">
        <v>49.9</v>
      </c>
      <c r="AA1257">
        <v>0</v>
      </c>
      <c r="AB1257" t="s">
        <v>363</v>
      </c>
      <c r="AF1257" t="s">
        <v>1930</v>
      </c>
      <c r="AG1257" t="s">
        <v>1930</v>
      </c>
      <c r="AH1257" t="s">
        <v>1903</v>
      </c>
      <c r="AI1257">
        <v>99999</v>
      </c>
      <c r="AJ1257">
        <v>99999</v>
      </c>
      <c r="AK1257">
        <v>699</v>
      </c>
      <c r="AL1257" t="b">
        <v>1</v>
      </c>
      <c r="AM1257" t="b">
        <v>1</v>
      </c>
      <c r="AN1257" t="b">
        <v>0</v>
      </c>
      <c r="AO1257">
        <v>99999</v>
      </c>
      <c r="AP1257" t="s">
        <v>64</v>
      </c>
      <c r="AR1257" t="b">
        <v>0</v>
      </c>
      <c r="AS1257">
        <v>12</v>
      </c>
      <c r="AT1257" t="s">
        <v>327</v>
      </c>
      <c r="AV1257" t="s">
        <v>1931</v>
      </c>
    </row>
    <row r="1258" spans="1:48" x14ac:dyDescent="0.25">
      <c r="A1258" t="s">
        <v>3323</v>
      </c>
      <c r="B1258" t="s">
        <v>302</v>
      </c>
      <c r="C1258" t="s">
        <v>62</v>
      </c>
      <c r="D1258">
        <v>99999</v>
      </c>
      <c r="F1258" s="109">
        <v>20000</v>
      </c>
      <c r="G1258" t="b">
        <v>0</v>
      </c>
      <c r="H1258" t="s">
        <v>315</v>
      </c>
      <c r="K1258" t="s">
        <v>364</v>
      </c>
      <c r="L1258" t="s">
        <v>303</v>
      </c>
      <c r="M1258" t="s">
        <v>323</v>
      </c>
      <c r="N1258" t="s">
        <v>63</v>
      </c>
      <c r="O1258" s="110">
        <v>29.9</v>
      </c>
      <c r="R1258" s="110">
        <v>304.89</v>
      </c>
      <c r="S1258" s="110">
        <v>130</v>
      </c>
      <c r="T1258" s="110">
        <v>0</v>
      </c>
      <c r="U1258" s="110">
        <v>42.99</v>
      </c>
      <c r="X1258">
        <v>81.999999999999972</v>
      </c>
      <c r="Y1258">
        <v>49.9</v>
      </c>
      <c r="Z1258">
        <v>49.9</v>
      </c>
      <c r="AA1258">
        <v>0</v>
      </c>
      <c r="AB1258" t="s">
        <v>363</v>
      </c>
      <c r="AF1258" t="s">
        <v>2078</v>
      </c>
      <c r="AG1258" t="s">
        <v>2078</v>
      </c>
      <c r="AH1258" t="s">
        <v>1903</v>
      </c>
      <c r="AI1258">
        <v>99999</v>
      </c>
      <c r="AJ1258">
        <v>99999</v>
      </c>
      <c r="AK1258">
        <v>699</v>
      </c>
      <c r="AL1258" t="b">
        <v>1</v>
      </c>
      <c r="AM1258" t="b">
        <v>1</v>
      </c>
      <c r="AN1258" t="b">
        <v>0</v>
      </c>
      <c r="AO1258">
        <v>99999</v>
      </c>
      <c r="AP1258" t="s">
        <v>64</v>
      </c>
      <c r="AR1258" t="b">
        <v>0</v>
      </c>
      <c r="AS1258">
        <v>12</v>
      </c>
      <c r="AT1258" t="s">
        <v>327</v>
      </c>
      <c r="AV1258" t="s">
        <v>2079</v>
      </c>
    </row>
    <row r="1259" spans="1:48" x14ac:dyDescent="0.25">
      <c r="A1259" t="s">
        <v>3323</v>
      </c>
      <c r="B1259" t="s">
        <v>302</v>
      </c>
      <c r="C1259" t="s">
        <v>62</v>
      </c>
      <c r="D1259">
        <v>99999</v>
      </c>
      <c r="F1259" s="109">
        <v>20000</v>
      </c>
      <c r="G1259" t="b">
        <v>0</v>
      </c>
      <c r="H1259" t="s">
        <v>315</v>
      </c>
      <c r="K1259" t="s">
        <v>364</v>
      </c>
      <c r="L1259" t="s">
        <v>303</v>
      </c>
      <c r="M1259" t="s">
        <v>323</v>
      </c>
      <c r="N1259" t="s">
        <v>63</v>
      </c>
      <c r="O1259" s="110">
        <v>39.9</v>
      </c>
      <c r="R1259" s="110">
        <v>270.58999999999992</v>
      </c>
      <c r="S1259" s="110">
        <v>130</v>
      </c>
      <c r="T1259" s="110">
        <v>0</v>
      </c>
      <c r="U1259" s="110">
        <v>34.99</v>
      </c>
      <c r="X1259">
        <v>55.69999999999996</v>
      </c>
      <c r="Y1259">
        <v>49.9</v>
      </c>
      <c r="Z1259">
        <v>49.9</v>
      </c>
      <c r="AA1259">
        <v>0</v>
      </c>
      <c r="AB1259" t="s">
        <v>363</v>
      </c>
      <c r="AF1259" t="s">
        <v>1997</v>
      </c>
      <c r="AG1259" t="s">
        <v>1997</v>
      </c>
      <c r="AH1259" t="s">
        <v>1903</v>
      </c>
      <c r="AI1259">
        <v>99999</v>
      </c>
      <c r="AJ1259">
        <v>99999</v>
      </c>
      <c r="AK1259">
        <v>699</v>
      </c>
      <c r="AL1259" t="b">
        <v>1</v>
      </c>
      <c r="AM1259" t="b">
        <v>1</v>
      </c>
      <c r="AN1259" t="b">
        <v>0</v>
      </c>
      <c r="AO1259">
        <v>99999</v>
      </c>
      <c r="AP1259" t="s">
        <v>64</v>
      </c>
      <c r="AR1259" t="b">
        <v>0</v>
      </c>
      <c r="AS1259">
        <v>12</v>
      </c>
      <c r="AT1259" t="s">
        <v>327</v>
      </c>
      <c r="AV1259" t="s">
        <v>1998</v>
      </c>
    </row>
    <row r="1260" spans="1:48" x14ac:dyDescent="0.25">
      <c r="A1260" t="s">
        <v>3323</v>
      </c>
      <c r="B1260" t="s">
        <v>302</v>
      </c>
      <c r="C1260" t="s">
        <v>62</v>
      </c>
      <c r="D1260">
        <v>99999</v>
      </c>
      <c r="F1260" s="109">
        <v>20000</v>
      </c>
      <c r="G1260" t="b">
        <v>0</v>
      </c>
      <c r="H1260" t="s">
        <v>315</v>
      </c>
      <c r="K1260" t="s">
        <v>364</v>
      </c>
      <c r="L1260" t="s">
        <v>303</v>
      </c>
      <c r="M1260" t="s">
        <v>323</v>
      </c>
      <c r="N1260" t="s">
        <v>63</v>
      </c>
      <c r="O1260" s="110">
        <v>39.9</v>
      </c>
      <c r="R1260" s="110">
        <v>304.89</v>
      </c>
      <c r="S1260" s="110">
        <v>130</v>
      </c>
      <c r="T1260" s="110">
        <v>0</v>
      </c>
      <c r="U1260" s="110">
        <v>42.99</v>
      </c>
      <c r="X1260">
        <v>81.999999999999972</v>
      </c>
      <c r="Y1260">
        <v>49.9</v>
      </c>
      <c r="Z1260">
        <v>49.9</v>
      </c>
      <c r="AA1260">
        <v>0</v>
      </c>
      <c r="AB1260" t="s">
        <v>363</v>
      </c>
      <c r="AF1260" t="s">
        <v>2145</v>
      </c>
      <c r="AG1260" t="s">
        <v>2145</v>
      </c>
      <c r="AH1260" t="s">
        <v>1903</v>
      </c>
      <c r="AI1260">
        <v>99999</v>
      </c>
      <c r="AJ1260">
        <v>99999</v>
      </c>
      <c r="AK1260">
        <v>699</v>
      </c>
      <c r="AL1260" t="b">
        <v>1</v>
      </c>
      <c r="AM1260" t="b">
        <v>1</v>
      </c>
      <c r="AN1260" t="b">
        <v>0</v>
      </c>
      <c r="AO1260">
        <v>99999</v>
      </c>
      <c r="AP1260" t="s">
        <v>64</v>
      </c>
      <c r="AR1260" t="b">
        <v>0</v>
      </c>
      <c r="AS1260">
        <v>12</v>
      </c>
      <c r="AT1260" t="s">
        <v>327</v>
      </c>
      <c r="AV1260" t="s">
        <v>2146</v>
      </c>
    </row>
    <row r="1261" spans="1:48" x14ac:dyDescent="0.25">
      <c r="A1261" t="s">
        <v>3323</v>
      </c>
      <c r="B1261" t="s">
        <v>302</v>
      </c>
      <c r="C1261" t="s">
        <v>62</v>
      </c>
      <c r="D1261">
        <v>99999</v>
      </c>
      <c r="F1261" s="109">
        <v>20000</v>
      </c>
      <c r="G1261" t="b">
        <v>0</v>
      </c>
      <c r="H1261" t="s">
        <v>315</v>
      </c>
      <c r="K1261" t="s">
        <v>364</v>
      </c>
      <c r="L1261" t="s">
        <v>303</v>
      </c>
      <c r="M1261" t="s">
        <v>323</v>
      </c>
      <c r="N1261" t="s">
        <v>63</v>
      </c>
      <c r="O1261" s="110">
        <v>49.9</v>
      </c>
      <c r="R1261" s="110">
        <v>270.58999999999992</v>
      </c>
      <c r="S1261" s="110">
        <v>130</v>
      </c>
      <c r="T1261" s="110">
        <v>0</v>
      </c>
      <c r="U1261" s="110">
        <v>34.99</v>
      </c>
      <c r="X1261">
        <v>55.69999999999996</v>
      </c>
      <c r="Y1261">
        <v>49.9</v>
      </c>
      <c r="Z1261">
        <v>49.9</v>
      </c>
      <c r="AA1261">
        <v>0</v>
      </c>
      <c r="AB1261" t="s">
        <v>363</v>
      </c>
      <c r="AF1261" t="s">
        <v>3208</v>
      </c>
      <c r="AG1261" t="s">
        <v>3208</v>
      </c>
      <c r="AH1261" t="s">
        <v>1903</v>
      </c>
      <c r="AI1261">
        <v>99999</v>
      </c>
      <c r="AJ1261">
        <v>99999</v>
      </c>
      <c r="AK1261">
        <v>699</v>
      </c>
      <c r="AL1261" t="b">
        <v>1</v>
      </c>
      <c r="AM1261" t="b">
        <v>1</v>
      </c>
      <c r="AN1261" t="b">
        <v>0</v>
      </c>
      <c r="AO1261">
        <v>99999</v>
      </c>
      <c r="AP1261" t="s">
        <v>64</v>
      </c>
      <c r="AR1261" t="b">
        <v>0</v>
      </c>
      <c r="AS1261">
        <v>12</v>
      </c>
      <c r="AT1261" t="s">
        <v>327</v>
      </c>
      <c r="AV1261" t="s">
        <v>3209</v>
      </c>
    </row>
    <row r="1262" spans="1:48" x14ac:dyDescent="0.25">
      <c r="A1262" t="s">
        <v>3323</v>
      </c>
      <c r="B1262" t="s">
        <v>302</v>
      </c>
      <c r="C1262" t="s">
        <v>62</v>
      </c>
      <c r="D1262">
        <v>99999</v>
      </c>
      <c r="F1262" s="109">
        <v>20000</v>
      </c>
      <c r="G1262" t="b">
        <v>0</v>
      </c>
      <c r="H1262" t="s">
        <v>315</v>
      </c>
      <c r="K1262" t="s">
        <v>364</v>
      </c>
      <c r="L1262" t="s">
        <v>303</v>
      </c>
      <c r="M1262" t="s">
        <v>323</v>
      </c>
      <c r="N1262" t="s">
        <v>63</v>
      </c>
      <c r="O1262" s="110">
        <v>49.9</v>
      </c>
      <c r="R1262" s="110">
        <v>304.89</v>
      </c>
      <c r="S1262" s="110">
        <v>130</v>
      </c>
      <c r="T1262" s="110">
        <v>0</v>
      </c>
      <c r="U1262" s="110">
        <v>42.99</v>
      </c>
      <c r="X1262">
        <v>81.999999999999972</v>
      </c>
      <c r="Y1262">
        <v>49.9</v>
      </c>
      <c r="Z1262">
        <v>49.9</v>
      </c>
      <c r="AA1262">
        <v>0</v>
      </c>
      <c r="AB1262" t="s">
        <v>363</v>
      </c>
      <c r="AF1262" t="s">
        <v>3282</v>
      </c>
      <c r="AG1262" t="s">
        <v>3282</v>
      </c>
      <c r="AH1262" t="s">
        <v>1903</v>
      </c>
      <c r="AI1262">
        <v>99999</v>
      </c>
      <c r="AJ1262">
        <v>99999</v>
      </c>
      <c r="AK1262">
        <v>699</v>
      </c>
      <c r="AL1262" t="b">
        <v>1</v>
      </c>
      <c r="AM1262" t="b">
        <v>1</v>
      </c>
      <c r="AN1262" t="b">
        <v>0</v>
      </c>
      <c r="AO1262">
        <v>99999</v>
      </c>
      <c r="AP1262" t="s">
        <v>64</v>
      </c>
      <c r="AR1262" t="b">
        <v>0</v>
      </c>
      <c r="AS1262">
        <v>12</v>
      </c>
      <c r="AT1262" t="s">
        <v>327</v>
      </c>
      <c r="AV1262" t="s">
        <v>3283</v>
      </c>
    </row>
    <row r="1263" spans="1:48" x14ac:dyDescent="0.25">
      <c r="A1263" t="s">
        <v>3323</v>
      </c>
      <c r="B1263" t="s">
        <v>302</v>
      </c>
      <c r="C1263" t="s">
        <v>62</v>
      </c>
      <c r="D1263">
        <v>99999</v>
      </c>
      <c r="F1263" s="109">
        <v>20000</v>
      </c>
      <c r="G1263" t="b">
        <v>0</v>
      </c>
      <c r="H1263" t="s">
        <v>315</v>
      </c>
      <c r="K1263" t="s">
        <v>379</v>
      </c>
      <c r="L1263" t="s">
        <v>303</v>
      </c>
      <c r="M1263" t="s">
        <v>323</v>
      </c>
      <c r="N1263" t="s">
        <v>63</v>
      </c>
      <c r="O1263" s="110">
        <v>29.9</v>
      </c>
      <c r="R1263" s="110">
        <v>280.58999999999992</v>
      </c>
      <c r="S1263" s="110">
        <v>130</v>
      </c>
      <c r="T1263" s="110">
        <v>0</v>
      </c>
      <c r="U1263" s="110">
        <v>34.99</v>
      </c>
      <c r="X1263">
        <v>55.69999999999996</v>
      </c>
      <c r="Y1263">
        <v>59.9</v>
      </c>
      <c r="Z1263">
        <v>59.9</v>
      </c>
      <c r="AA1263">
        <v>0</v>
      </c>
      <c r="AB1263" t="s">
        <v>363</v>
      </c>
      <c r="AF1263" t="s">
        <v>1930</v>
      </c>
      <c r="AG1263" t="s">
        <v>1930</v>
      </c>
      <c r="AH1263" t="s">
        <v>1903</v>
      </c>
      <c r="AI1263">
        <v>99999</v>
      </c>
      <c r="AJ1263">
        <v>99999</v>
      </c>
      <c r="AK1263">
        <v>699</v>
      </c>
      <c r="AL1263" t="b">
        <v>1</v>
      </c>
      <c r="AM1263" t="b">
        <v>1</v>
      </c>
      <c r="AN1263" t="b">
        <v>0</v>
      </c>
      <c r="AO1263">
        <v>99999</v>
      </c>
      <c r="AP1263" t="s">
        <v>64</v>
      </c>
      <c r="AR1263" t="b">
        <v>0</v>
      </c>
      <c r="AS1263">
        <v>12</v>
      </c>
      <c r="AT1263" t="s">
        <v>327</v>
      </c>
      <c r="AV1263" t="s">
        <v>1944</v>
      </c>
    </row>
    <row r="1264" spans="1:48" x14ac:dyDescent="0.25">
      <c r="A1264" t="s">
        <v>3323</v>
      </c>
      <c r="B1264" t="s">
        <v>302</v>
      </c>
      <c r="C1264" t="s">
        <v>62</v>
      </c>
      <c r="D1264">
        <v>99999</v>
      </c>
      <c r="F1264" s="109">
        <v>20000</v>
      </c>
      <c r="G1264" t="b">
        <v>0</v>
      </c>
      <c r="H1264" t="s">
        <v>315</v>
      </c>
      <c r="K1264" t="s">
        <v>379</v>
      </c>
      <c r="L1264" t="s">
        <v>303</v>
      </c>
      <c r="M1264" t="s">
        <v>323</v>
      </c>
      <c r="N1264" t="s">
        <v>63</v>
      </c>
      <c r="O1264" s="110">
        <v>29.9</v>
      </c>
      <c r="R1264" s="110">
        <v>314.89</v>
      </c>
      <c r="S1264" s="110">
        <v>130</v>
      </c>
      <c r="T1264" s="110">
        <v>0</v>
      </c>
      <c r="U1264" s="110">
        <v>42.99</v>
      </c>
      <c r="X1264">
        <v>81.999999999999972</v>
      </c>
      <c r="Y1264">
        <v>59.9</v>
      </c>
      <c r="Z1264">
        <v>59.9</v>
      </c>
      <c r="AA1264">
        <v>0</v>
      </c>
      <c r="AB1264" t="s">
        <v>363</v>
      </c>
      <c r="AF1264" t="s">
        <v>2078</v>
      </c>
      <c r="AG1264" t="s">
        <v>2078</v>
      </c>
      <c r="AH1264" t="s">
        <v>1903</v>
      </c>
      <c r="AI1264">
        <v>99999</v>
      </c>
      <c r="AJ1264">
        <v>99999</v>
      </c>
      <c r="AK1264">
        <v>699</v>
      </c>
      <c r="AL1264" t="b">
        <v>1</v>
      </c>
      <c r="AM1264" t="b">
        <v>1</v>
      </c>
      <c r="AN1264" t="b">
        <v>0</v>
      </c>
      <c r="AO1264">
        <v>99999</v>
      </c>
      <c r="AP1264" t="s">
        <v>64</v>
      </c>
      <c r="AR1264" t="b">
        <v>0</v>
      </c>
      <c r="AS1264">
        <v>12</v>
      </c>
      <c r="AT1264" t="s">
        <v>327</v>
      </c>
      <c r="AV1264" t="s">
        <v>2092</v>
      </c>
    </row>
    <row r="1265" spans="1:48" x14ac:dyDescent="0.25">
      <c r="A1265" t="s">
        <v>3323</v>
      </c>
      <c r="B1265" t="s">
        <v>302</v>
      </c>
      <c r="C1265" t="s">
        <v>62</v>
      </c>
      <c r="D1265">
        <v>99999</v>
      </c>
      <c r="F1265" s="109">
        <v>20000</v>
      </c>
      <c r="G1265" t="b">
        <v>0</v>
      </c>
      <c r="H1265" t="s">
        <v>315</v>
      </c>
      <c r="K1265" t="s">
        <v>379</v>
      </c>
      <c r="L1265" t="s">
        <v>303</v>
      </c>
      <c r="M1265" t="s">
        <v>323</v>
      </c>
      <c r="N1265" t="s">
        <v>63</v>
      </c>
      <c r="O1265" s="110">
        <v>39.9</v>
      </c>
      <c r="R1265" s="110">
        <v>280.58999999999992</v>
      </c>
      <c r="S1265" s="110">
        <v>130</v>
      </c>
      <c r="T1265" s="110">
        <v>0</v>
      </c>
      <c r="U1265" s="110">
        <v>34.99</v>
      </c>
      <c r="X1265">
        <v>55.69999999999996</v>
      </c>
      <c r="Y1265">
        <v>59.9</v>
      </c>
      <c r="Z1265">
        <v>59.9</v>
      </c>
      <c r="AA1265">
        <v>0</v>
      </c>
      <c r="AB1265" t="s">
        <v>363</v>
      </c>
      <c r="AF1265" t="s">
        <v>1997</v>
      </c>
      <c r="AG1265" t="s">
        <v>1997</v>
      </c>
      <c r="AH1265" t="s">
        <v>1903</v>
      </c>
      <c r="AI1265">
        <v>99999</v>
      </c>
      <c r="AJ1265">
        <v>99999</v>
      </c>
      <c r="AK1265">
        <v>699</v>
      </c>
      <c r="AL1265" t="b">
        <v>1</v>
      </c>
      <c r="AM1265" t="b">
        <v>1</v>
      </c>
      <c r="AN1265" t="b">
        <v>0</v>
      </c>
      <c r="AO1265">
        <v>99999</v>
      </c>
      <c r="AP1265" t="s">
        <v>64</v>
      </c>
      <c r="AR1265" t="b">
        <v>0</v>
      </c>
      <c r="AS1265">
        <v>12</v>
      </c>
      <c r="AT1265" t="s">
        <v>327</v>
      </c>
      <c r="AV1265" t="s">
        <v>2011</v>
      </c>
    </row>
    <row r="1266" spans="1:48" x14ac:dyDescent="0.25">
      <c r="A1266" t="s">
        <v>3323</v>
      </c>
      <c r="B1266" t="s">
        <v>302</v>
      </c>
      <c r="C1266" t="s">
        <v>62</v>
      </c>
      <c r="D1266">
        <v>99999</v>
      </c>
      <c r="F1266" s="109">
        <v>20000</v>
      </c>
      <c r="G1266" t="b">
        <v>0</v>
      </c>
      <c r="H1266" t="s">
        <v>315</v>
      </c>
      <c r="K1266" t="s">
        <v>379</v>
      </c>
      <c r="L1266" t="s">
        <v>303</v>
      </c>
      <c r="M1266" t="s">
        <v>323</v>
      </c>
      <c r="N1266" t="s">
        <v>63</v>
      </c>
      <c r="O1266" s="110">
        <v>39.9</v>
      </c>
      <c r="R1266" s="110">
        <v>314.89</v>
      </c>
      <c r="S1266" s="110">
        <v>130</v>
      </c>
      <c r="T1266" s="110">
        <v>0</v>
      </c>
      <c r="U1266" s="110">
        <v>42.99</v>
      </c>
      <c r="X1266">
        <v>81.999999999999972</v>
      </c>
      <c r="Y1266">
        <v>59.9</v>
      </c>
      <c r="Z1266">
        <v>59.9</v>
      </c>
      <c r="AA1266">
        <v>0</v>
      </c>
      <c r="AB1266" t="s">
        <v>363</v>
      </c>
      <c r="AF1266" t="s">
        <v>2145</v>
      </c>
      <c r="AG1266" t="s">
        <v>2145</v>
      </c>
      <c r="AH1266" t="s">
        <v>1903</v>
      </c>
      <c r="AI1266">
        <v>99999</v>
      </c>
      <c r="AJ1266">
        <v>99999</v>
      </c>
      <c r="AK1266">
        <v>699</v>
      </c>
      <c r="AL1266" t="b">
        <v>1</v>
      </c>
      <c r="AM1266" t="b">
        <v>1</v>
      </c>
      <c r="AN1266" t="b">
        <v>0</v>
      </c>
      <c r="AO1266">
        <v>99999</v>
      </c>
      <c r="AP1266" t="s">
        <v>64</v>
      </c>
      <c r="AR1266" t="b">
        <v>0</v>
      </c>
      <c r="AS1266">
        <v>12</v>
      </c>
      <c r="AT1266" t="s">
        <v>327</v>
      </c>
      <c r="AV1266" t="s">
        <v>2159</v>
      </c>
    </row>
    <row r="1267" spans="1:48" x14ac:dyDescent="0.25">
      <c r="A1267" t="s">
        <v>3323</v>
      </c>
      <c r="B1267" t="s">
        <v>302</v>
      </c>
      <c r="C1267" t="s">
        <v>62</v>
      </c>
      <c r="D1267">
        <v>99999</v>
      </c>
      <c r="F1267" s="109">
        <v>20000</v>
      </c>
      <c r="G1267" t="b">
        <v>0</v>
      </c>
      <c r="H1267" t="s">
        <v>315</v>
      </c>
      <c r="K1267" t="s">
        <v>379</v>
      </c>
      <c r="L1267" t="s">
        <v>303</v>
      </c>
      <c r="M1267" t="s">
        <v>323</v>
      </c>
      <c r="N1267" t="s">
        <v>63</v>
      </c>
      <c r="O1267" s="110">
        <v>49.9</v>
      </c>
      <c r="R1267" s="110">
        <v>280.58999999999992</v>
      </c>
      <c r="S1267" s="110">
        <v>130</v>
      </c>
      <c r="T1267" s="110">
        <v>0</v>
      </c>
      <c r="U1267" s="110">
        <v>34.99</v>
      </c>
      <c r="X1267">
        <v>55.69999999999996</v>
      </c>
      <c r="Y1267">
        <v>59.9</v>
      </c>
      <c r="Z1267">
        <v>59.9</v>
      </c>
      <c r="AA1267">
        <v>0</v>
      </c>
      <c r="AB1267" t="s">
        <v>363</v>
      </c>
      <c r="AF1267" t="s">
        <v>3208</v>
      </c>
      <c r="AG1267" t="s">
        <v>3208</v>
      </c>
      <c r="AH1267" t="s">
        <v>1903</v>
      </c>
      <c r="AI1267">
        <v>99999</v>
      </c>
      <c r="AJ1267">
        <v>99999</v>
      </c>
      <c r="AK1267">
        <v>699</v>
      </c>
      <c r="AL1267" t="b">
        <v>1</v>
      </c>
      <c r="AM1267" t="b">
        <v>1</v>
      </c>
      <c r="AN1267" t="b">
        <v>0</v>
      </c>
      <c r="AO1267">
        <v>99999</v>
      </c>
      <c r="AP1267" t="s">
        <v>64</v>
      </c>
      <c r="AR1267" t="b">
        <v>0</v>
      </c>
      <c r="AS1267">
        <v>12</v>
      </c>
      <c r="AT1267" t="s">
        <v>327</v>
      </c>
      <c r="AV1267" t="s">
        <v>3222</v>
      </c>
    </row>
    <row r="1268" spans="1:48" x14ac:dyDescent="0.25">
      <c r="A1268" t="s">
        <v>3323</v>
      </c>
      <c r="B1268" t="s">
        <v>302</v>
      </c>
      <c r="C1268" t="s">
        <v>62</v>
      </c>
      <c r="D1268">
        <v>99999</v>
      </c>
      <c r="F1268" s="109">
        <v>20000</v>
      </c>
      <c r="G1268" t="b">
        <v>0</v>
      </c>
      <c r="H1268" t="s">
        <v>315</v>
      </c>
      <c r="K1268" t="s">
        <v>379</v>
      </c>
      <c r="L1268" t="s">
        <v>303</v>
      </c>
      <c r="M1268" t="s">
        <v>323</v>
      </c>
      <c r="N1268" t="s">
        <v>63</v>
      </c>
      <c r="O1268" s="110">
        <v>49.9</v>
      </c>
      <c r="R1268" s="110">
        <v>314.89</v>
      </c>
      <c r="S1268" s="110">
        <v>130</v>
      </c>
      <c r="T1268" s="110">
        <v>0</v>
      </c>
      <c r="U1268" s="110">
        <v>42.99</v>
      </c>
      <c r="X1268">
        <v>81.999999999999972</v>
      </c>
      <c r="Y1268">
        <v>59.9</v>
      </c>
      <c r="Z1268">
        <v>59.9</v>
      </c>
      <c r="AA1268">
        <v>0</v>
      </c>
      <c r="AB1268" t="s">
        <v>363</v>
      </c>
      <c r="AF1268" t="s">
        <v>3282</v>
      </c>
      <c r="AG1268" t="s">
        <v>3282</v>
      </c>
      <c r="AH1268" t="s">
        <v>1903</v>
      </c>
      <c r="AI1268">
        <v>99999</v>
      </c>
      <c r="AJ1268">
        <v>99999</v>
      </c>
      <c r="AK1268">
        <v>699</v>
      </c>
      <c r="AL1268" t="b">
        <v>1</v>
      </c>
      <c r="AM1268" t="b">
        <v>1</v>
      </c>
      <c r="AN1268" t="b">
        <v>0</v>
      </c>
      <c r="AO1268">
        <v>99999</v>
      </c>
      <c r="AP1268" t="s">
        <v>64</v>
      </c>
      <c r="AR1268" t="b">
        <v>0</v>
      </c>
      <c r="AS1268">
        <v>12</v>
      </c>
      <c r="AT1268" t="s">
        <v>327</v>
      </c>
      <c r="AV1268" t="s">
        <v>3296</v>
      </c>
    </row>
    <row r="1269" spans="1:48" x14ac:dyDescent="0.25">
      <c r="A1269" t="s">
        <v>3323</v>
      </c>
      <c r="B1269" t="s">
        <v>302</v>
      </c>
      <c r="C1269" t="s">
        <v>62</v>
      </c>
      <c r="D1269">
        <v>99999</v>
      </c>
      <c r="F1269" s="109">
        <v>20000</v>
      </c>
      <c r="G1269" t="b">
        <v>0</v>
      </c>
      <c r="H1269" t="s">
        <v>315</v>
      </c>
      <c r="K1269" t="s">
        <v>61</v>
      </c>
      <c r="L1269" t="s">
        <v>303</v>
      </c>
      <c r="M1269" t="s">
        <v>323</v>
      </c>
      <c r="N1269" t="s">
        <v>63</v>
      </c>
      <c r="O1269" s="110">
        <v>29.9</v>
      </c>
      <c r="R1269" s="110">
        <v>265.58999999999992</v>
      </c>
      <c r="S1269" s="110">
        <v>130</v>
      </c>
      <c r="T1269" s="110">
        <v>0</v>
      </c>
      <c r="U1269" s="110">
        <v>34.99</v>
      </c>
      <c r="X1269">
        <v>55.69999999999996</v>
      </c>
      <c r="Y1269">
        <v>44.9</v>
      </c>
      <c r="Z1269">
        <v>44.9</v>
      </c>
      <c r="AA1269">
        <v>0</v>
      </c>
      <c r="AB1269" t="s">
        <v>324</v>
      </c>
      <c r="AF1269" t="s">
        <v>1902</v>
      </c>
      <c r="AG1269" t="s">
        <v>1902</v>
      </c>
      <c r="AH1269" t="s">
        <v>1903</v>
      </c>
      <c r="AI1269">
        <v>99999</v>
      </c>
      <c r="AJ1269">
        <v>99999</v>
      </c>
      <c r="AK1269">
        <v>699</v>
      </c>
      <c r="AL1269" t="b">
        <v>1</v>
      </c>
      <c r="AM1269" t="b">
        <v>1</v>
      </c>
      <c r="AN1269" t="b">
        <v>0</v>
      </c>
      <c r="AO1269">
        <v>99999</v>
      </c>
      <c r="AP1269" t="s">
        <v>64</v>
      </c>
      <c r="AR1269" t="b">
        <v>0</v>
      </c>
      <c r="AS1269">
        <v>12</v>
      </c>
      <c r="AT1269" t="s">
        <v>327</v>
      </c>
      <c r="AV1269" t="s">
        <v>1904</v>
      </c>
    </row>
    <row r="1270" spans="1:48" x14ac:dyDescent="0.25">
      <c r="A1270" t="s">
        <v>3323</v>
      </c>
      <c r="B1270" t="s">
        <v>302</v>
      </c>
      <c r="C1270" t="s">
        <v>62</v>
      </c>
      <c r="D1270">
        <v>99999</v>
      </c>
      <c r="F1270" s="109">
        <v>20000</v>
      </c>
      <c r="G1270" t="b">
        <v>0</v>
      </c>
      <c r="H1270" t="s">
        <v>315</v>
      </c>
      <c r="K1270" t="s">
        <v>61</v>
      </c>
      <c r="L1270" t="s">
        <v>303</v>
      </c>
      <c r="M1270" t="s">
        <v>323</v>
      </c>
      <c r="N1270" t="s">
        <v>63</v>
      </c>
      <c r="O1270" s="110">
        <v>29.9</v>
      </c>
      <c r="R1270" s="110">
        <v>299.89</v>
      </c>
      <c r="S1270" s="110">
        <v>130</v>
      </c>
      <c r="T1270" s="110">
        <v>0</v>
      </c>
      <c r="U1270" s="110">
        <v>42.99</v>
      </c>
      <c r="X1270">
        <v>81.999999999999972</v>
      </c>
      <c r="Y1270">
        <v>44.9</v>
      </c>
      <c r="Z1270">
        <v>44.9</v>
      </c>
      <c r="AA1270">
        <v>0</v>
      </c>
      <c r="AB1270" t="s">
        <v>324</v>
      </c>
      <c r="AF1270" t="s">
        <v>2051</v>
      </c>
      <c r="AG1270" t="s">
        <v>2051</v>
      </c>
      <c r="AH1270" t="s">
        <v>1903</v>
      </c>
      <c r="AI1270">
        <v>99999</v>
      </c>
      <c r="AJ1270">
        <v>99999</v>
      </c>
      <c r="AK1270">
        <v>699</v>
      </c>
      <c r="AL1270" t="b">
        <v>1</v>
      </c>
      <c r="AM1270" t="b">
        <v>1</v>
      </c>
      <c r="AN1270" t="b">
        <v>0</v>
      </c>
      <c r="AO1270">
        <v>99999</v>
      </c>
      <c r="AP1270" t="s">
        <v>64</v>
      </c>
      <c r="AR1270" t="b">
        <v>0</v>
      </c>
      <c r="AS1270">
        <v>12</v>
      </c>
      <c r="AT1270" t="s">
        <v>327</v>
      </c>
      <c r="AV1270" t="s">
        <v>2052</v>
      </c>
    </row>
    <row r="1271" spans="1:48" x14ac:dyDescent="0.25">
      <c r="A1271" t="s">
        <v>3323</v>
      </c>
      <c r="B1271" t="s">
        <v>302</v>
      </c>
      <c r="C1271" t="s">
        <v>62</v>
      </c>
      <c r="D1271">
        <v>99999</v>
      </c>
      <c r="F1271" s="109">
        <v>20000</v>
      </c>
      <c r="G1271" t="b">
        <v>0</v>
      </c>
      <c r="H1271" t="s">
        <v>315</v>
      </c>
      <c r="K1271" t="s">
        <v>61</v>
      </c>
      <c r="L1271" t="s">
        <v>303</v>
      </c>
      <c r="M1271" t="s">
        <v>323</v>
      </c>
      <c r="N1271" t="s">
        <v>63</v>
      </c>
      <c r="O1271" s="110">
        <v>39.9</v>
      </c>
      <c r="R1271" s="110">
        <v>265.58999999999992</v>
      </c>
      <c r="S1271" s="110">
        <v>130</v>
      </c>
      <c r="T1271" s="110">
        <v>0</v>
      </c>
      <c r="U1271" s="110">
        <v>34.99</v>
      </c>
      <c r="X1271">
        <v>55.69999999999996</v>
      </c>
      <c r="Y1271">
        <v>44.9</v>
      </c>
      <c r="Z1271">
        <v>44.9</v>
      </c>
      <c r="AA1271">
        <v>0</v>
      </c>
      <c r="AB1271" t="s">
        <v>324</v>
      </c>
      <c r="AF1271" t="s">
        <v>1970</v>
      </c>
      <c r="AG1271" t="s">
        <v>1970</v>
      </c>
      <c r="AH1271" t="s">
        <v>1903</v>
      </c>
      <c r="AI1271">
        <v>99999</v>
      </c>
      <c r="AJ1271">
        <v>99999</v>
      </c>
      <c r="AK1271">
        <v>699</v>
      </c>
      <c r="AL1271" t="b">
        <v>1</v>
      </c>
      <c r="AM1271" t="b">
        <v>1</v>
      </c>
      <c r="AN1271" t="b">
        <v>0</v>
      </c>
      <c r="AO1271">
        <v>99999</v>
      </c>
      <c r="AP1271" t="s">
        <v>64</v>
      </c>
      <c r="AR1271" t="b">
        <v>0</v>
      </c>
      <c r="AS1271">
        <v>12</v>
      </c>
      <c r="AT1271" t="s">
        <v>327</v>
      </c>
      <c r="AV1271" t="s">
        <v>1971</v>
      </c>
    </row>
    <row r="1272" spans="1:48" x14ac:dyDescent="0.25">
      <c r="A1272" t="s">
        <v>3323</v>
      </c>
      <c r="B1272" t="s">
        <v>302</v>
      </c>
      <c r="C1272" t="s">
        <v>62</v>
      </c>
      <c r="D1272">
        <v>99999</v>
      </c>
      <c r="F1272" s="109">
        <v>20000</v>
      </c>
      <c r="G1272" t="b">
        <v>0</v>
      </c>
      <c r="H1272" t="s">
        <v>315</v>
      </c>
      <c r="K1272" t="s">
        <v>61</v>
      </c>
      <c r="L1272" t="s">
        <v>303</v>
      </c>
      <c r="M1272" t="s">
        <v>323</v>
      </c>
      <c r="N1272" t="s">
        <v>63</v>
      </c>
      <c r="O1272" s="110">
        <v>39.9</v>
      </c>
      <c r="R1272" s="110">
        <v>299.89</v>
      </c>
      <c r="S1272" s="110">
        <v>130</v>
      </c>
      <c r="T1272" s="110">
        <v>0</v>
      </c>
      <c r="U1272" s="110">
        <v>42.99</v>
      </c>
      <c r="X1272">
        <v>81.999999999999972</v>
      </c>
      <c r="Y1272">
        <v>44.9</v>
      </c>
      <c r="Z1272">
        <v>44.9</v>
      </c>
      <c r="AA1272">
        <v>0</v>
      </c>
      <c r="AB1272" t="s">
        <v>324</v>
      </c>
      <c r="AF1272" t="s">
        <v>2118</v>
      </c>
      <c r="AG1272" t="s">
        <v>2118</v>
      </c>
      <c r="AH1272" t="s">
        <v>1903</v>
      </c>
      <c r="AI1272">
        <v>99999</v>
      </c>
      <c r="AJ1272">
        <v>99999</v>
      </c>
      <c r="AK1272">
        <v>699</v>
      </c>
      <c r="AL1272" t="b">
        <v>1</v>
      </c>
      <c r="AM1272" t="b">
        <v>1</v>
      </c>
      <c r="AN1272" t="b">
        <v>0</v>
      </c>
      <c r="AO1272">
        <v>99999</v>
      </c>
      <c r="AP1272" t="s">
        <v>64</v>
      </c>
      <c r="AR1272" t="b">
        <v>0</v>
      </c>
      <c r="AS1272">
        <v>12</v>
      </c>
      <c r="AT1272" t="s">
        <v>327</v>
      </c>
      <c r="AV1272" t="s">
        <v>2119</v>
      </c>
    </row>
    <row r="1273" spans="1:48" x14ac:dyDescent="0.25">
      <c r="A1273" t="s">
        <v>3323</v>
      </c>
      <c r="B1273" t="s">
        <v>302</v>
      </c>
      <c r="C1273" t="s">
        <v>62</v>
      </c>
      <c r="D1273">
        <v>99999</v>
      </c>
      <c r="F1273" s="109">
        <v>20000</v>
      </c>
      <c r="G1273" t="b">
        <v>0</v>
      </c>
      <c r="H1273" t="s">
        <v>315</v>
      </c>
      <c r="K1273" t="s">
        <v>61</v>
      </c>
      <c r="L1273" t="s">
        <v>303</v>
      </c>
      <c r="M1273" t="s">
        <v>323</v>
      </c>
      <c r="N1273" t="s">
        <v>63</v>
      </c>
      <c r="O1273" s="110">
        <v>49.9</v>
      </c>
      <c r="R1273" s="110">
        <v>265.58999999999992</v>
      </c>
      <c r="S1273" s="110">
        <v>130</v>
      </c>
      <c r="T1273" s="110">
        <v>0</v>
      </c>
      <c r="U1273" s="110">
        <v>34.99</v>
      </c>
      <c r="X1273">
        <v>55.69999999999996</v>
      </c>
      <c r="Y1273">
        <v>44.9</v>
      </c>
      <c r="Z1273">
        <v>44.9</v>
      </c>
      <c r="AA1273">
        <v>0</v>
      </c>
      <c r="AB1273" t="s">
        <v>324</v>
      </c>
      <c r="AF1273" t="s">
        <v>3181</v>
      </c>
      <c r="AG1273" t="s">
        <v>3181</v>
      </c>
      <c r="AH1273" t="s">
        <v>1903</v>
      </c>
      <c r="AI1273">
        <v>99999</v>
      </c>
      <c r="AJ1273">
        <v>99999</v>
      </c>
      <c r="AK1273">
        <v>699</v>
      </c>
      <c r="AL1273" t="b">
        <v>1</v>
      </c>
      <c r="AM1273" t="b">
        <v>1</v>
      </c>
      <c r="AN1273" t="b">
        <v>0</v>
      </c>
      <c r="AO1273">
        <v>99999</v>
      </c>
      <c r="AP1273" t="s">
        <v>64</v>
      </c>
      <c r="AR1273" t="b">
        <v>0</v>
      </c>
      <c r="AS1273">
        <v>12</v>
      </c>
      <c r="AT1273" t="s">
        <v>327</v>
      </c>
      <c r="AV1273" t="s">
        <v>3182</v>
      </c>
    </row>
    <row r="1274" spans="1:48" x14ac:dyDescent="0.25">
      <c r="A1274" t="s">
        <v>3323</v>
      </c>
      <c r="B1274" t="s">
        <v>302</v>
      </c>
      <c r="C1274" t="s">
        <v>62</v>
      </c>
      <c r="D1274">
        <v>99999</v>
      </c>
      <c r="F1274" s="109">
        <v>20000</v>
      </c>
      <c r="G1274" t="b">
        <v>0</v>
      </c>
      <c r="H1274" t="s">
        <v>315</v>
      </c>
      <c r="K1274" t="s">
        <v>61</v>
      </c>
      <c r="L1274" t="s">
        <v>303</v>
      </c>
      <c r="M1274" t="s">
        <v>323</v>
      </c>
      <c r="N1274" t="s">
        <v>63</v>
      </c>
      <c r="O1274" s="110">
        <v>49.9</v>
      </c>
      <c r="R1274" s="110">
        <v>299.89</v>
      </c>
      <c r="S1274" s="110">
        <v>130</v>
      </c>
      <c r="T1274" s="110">
        <v>0</v>
      </c>
      <c r="U1274" s="110">
        <v>42.99</v>
      </c>
      <c r="X1274">
        <v>81.999999999999972</v>
      </c>
      <c r="Y1274">
        <v>44.9</v>
      </c>
      <c r="Z1274">
        <v>44.9</v>
      </c>
      <c r="AA1274">
        <v>0</v>
      </c>
      <c r="AB1274" t="s">
        <v>324</v>
      </c>
      <c r="AF1274" t="s">
        <v>3255</v>
      </c>
      <c r="AG1274" t="s">
        <v>3255</v>
      </c>
      <c r="AH1274" t="s">
        <v>1903</v>
      </c>
      <c r="AI1274">
        <v>99999</v>
      </c>
      <c r="AJ1274">
        <v>99999</v>
      </c>
      <c r="AK1274">
        <v>699</v>
      </c>
      <c r="AL1274" t="b">
        <v>1</v>
      </c>
      <c r="AM1274" t="b">
        <v>1</v>
      </c>
      <c r="AN1274" t="b">
        <v>0</v>
      </c>
      <c r="AO1274">
        <v>99999</v>
      </c>
      <c r="AP1274" t="s">
        <v>64</v>
      </c>
      <c r="AR1274" t="b">
        <v>0</v>
      </c>
      <c r="AS1274">
        <v>12</v>
      </c>
      <c r="AT1274" t="s">
        <v>327</v>
      </c>
      <c r="AV1274" t="s">
        <v>3256</v>
      </c>
    </row>
    <row r="1275" spans="1:48" x14ac:dyDescent="0.25">
      <c r="A1275" t="s">
        <v>3323</v>
      </c>
      <c r="B1275" t="s">
        <v>302</v>
      </c>
      <c r="C1275" t="s">
        <v>62</v>
      </c>
      <c r="D1275">
        <v>99999</v>
      </c>
      <c r="F1275" s="109">
        <v>20000</v>
      </c>
      <c r="G1275" t="b">
        <v>0</v>
      </c>
      <c r="H1275" t="s">
        <v>343</v>
      </c>
      <c r="K1275" t="s">
        <v>349</v>
      </c>
      <c r="L1275" t="s">
        <v>303</v>
      </c>
      <c r="M1275" t="s">
        <v>323</v>
      </c>
      <c r="N1275" t="s">
        <v>63</v>
      </c>
      <c r="O1275" s="110">
        <v>29.9</v>
      </c>
      <c r="R1275" s="110">
        <v>375.58999999999992</v>
      </c>
      <c r="S1275" s="110">
        <v>130</v>
      </c>
      <c r="T1275" s="110">
        <v>0</v>
      </c>
      <c r="U1275" s="110">
        <v>34.99</v>
      </c>
      <c r="X1275">
        <v>165.69999999999996</v>
      </c>
      <c r="Y1275">
        <v>44.9</v>
      </c>
      <c r="Z1275">
        <v>44.9</v>
      </c>
      <c r="AA1275">
        <v>0</v>
      </c>
      <c r="AB1275" t="s">
        <v>324</v>
      </c>
      <c r="AF1275" t="s">
        <v>1902</v>
      </c>
      <c r="AG1275" t="s">
        <v>1902</v>
      </c>
      <c r="AH1275" t="s">
        <v>1903</v>
      </c>
      <c r="AI1275">
        <v>99999</v>
      </c>
      <c r="AJ1275">
        <v>99999</v>
      </c>
      <c r="AK1275">
        <v>699</v>
      </c>
      <c r="AL1275" t="b">
        <v>1</v>
      </c>
      <c r="AM1275" t="b">
        <v>1</v>
      </c>
      <c r="AN1275" t="b">
        <v>0</v>
      </c>
      <c r="AO1275">
        <v>99999</v>
      </c>
      <c r="AP1275" t="s">
        <v>64</v>
      </c>
      <c r="AR1275" t="b">
        <v>0</v>
      </c>
      <c r="AS1275">
        <v>12</v>
      </c>
      <c r="AT1275" t="s">
        <v>327</v>
      </c>
      <c r="AV1275" t="s">
        <v>1925</v>
      </c>
    </row>
    <row r="1276" spans="1:48" x14ac:dyDescent="0.25">
      <c r="A1276" t="s">
        <v>3323</v>
      </c>
      <c r="B1276" t="s">
        <v>302</v>
      </c>
      <c r="C1276" t="s">
        <v>62</v>
      </c>
      <c r="D1276">
        <v>99999</v>
      </c>
      <c r="F1276" s="109">
        <v>20000</v>
      </c>
      <c r="G1276" t="b">
        <v>0</v>
      </c>
      <c r="H1276" t="s">
        <v>343</v>
      </c>
      <c r="K1276" t="s">
        <v>349</v>
      </c>
      <c r="L1276" t="s">
        <v>303</v>
      </c>
      <c r="M1276" t="s">
        <v>323</v>
      </c>
      <c r="N1276" t="s">
        <v>63</v>
      </c>
      <c r="O1276" s="110">
        <v>29.9</v>
      </c>
      <c r="R1276" s="110">
        <v>409.89</v>
      </c>
      <c r="S1276" s="110">
        <v>130</v>
      </c>
      <c r="T1276" s="110">
        <v>0</v>
      </c>
      <c r="U1276" s="110">
        <v>42.99</v>
      </c>
      <c r="X1276">
        <v>191.99999999999997</v>
      </c>
      <c r="Y1276">
        <v>44.9</v>
      </c>
      <c r="Z1276">
        <v>44.9</v>
      </c>
      <c r="AA1276">
        <v>0</v>
      </c>
      <c r="AB1276" t="s">
        <v>324</v>
      </c>
      <c r="AF1276" t="s">
        <v>2051</v>
      </c>
      <c r="AG1276" t="s">
        <v>2051</v>
      </c>
      <c r="AH1276" t="s">
        <v>1903</v>
      </c>
      <c r="AI1276">
        <v>99999</v>
      </c>
      <c r="AJ1276">
        <v>99999</v>
      </c>
      <c r="AK1276">
        <v>699</v>
      </c>
      <c r="AL1276" t="b">
        <v>1</v>
      </c>
      <c r="AM1276" t="b">
        <v>1</v>
      </c>
      <c r="AN1276" t="b">
        <v>0</v>
      </c>
      <c r="AO1276">
        <v>99999</v>
      </c>
      <c r="AP1276" t="s">
        <v>64</v>
      </c>
      <c r="AR1276" t="b">
        <v>0</v>
      </c>
      <c r="AS1276">
        <v>12</v>
      </c>
      <c r="AT1276" t="s">
        <v>327</v>
      </c>
      <c r="AV1276" t="s">
        <v>2073</v>
      </c>
    </row>
    <row r="1277" spans="1:48" x14ac:dyDescent="0.25">
      <c r="A1277" t="s">
        <v>3323</v>
      </c>
      <c r="B1277" t="s">
        <v>302</v>
      </c>
      <c r="C1277" t="s">
        <v>62</v>
      </c>
      <c r="D1277">
        <v>99999</v>
      </c>
      <c r="F1277" s="109">
        <v>20000</v>
      </c>
      <c r="G1277" t="b">
        <v>0</v>
      </c>
      <c r="H1277" t="s">
        <v>343</v>
      </c>
      <c r="K1277" t="s">
        <v>349</v>
      </c>
      <c r="L1277" t="s">
        <v>303</v>
      </c>
      <c r="M1277" t="s">
        <v>323</v>
      </c>
      <c r="N1277" t="s">
        <v>63</v>
      </c>
      <c r="O1277" s="110">
        <v>39.9</v>
      </c>
      <c r="R1277" s="110">
        <v>375.58999999999992</v>
      </c>
      <c r="S1277" s="110">
        <v>130</v>
      </c>
      <c r="T1277" s="110">
        <v>0</v>
      </c>
      <c r="U1277" s="110">
        <v>34.99</v>
      </c>
      <c r="X1277">
        <v>165.69999999999996</v>
      </c>
      <c r="Y1277">
        <v>44.9</v>
      </c>
      <c r="Z1277">
        <v>44.9</v>
      </c>
      <c r="AA1277">
        <v>0</v>
      </c>
      <c r="AB1277" t="s">
        <v>324</v>
      </c>
      <c r="AF1277" t="s">
        <v>1970</v>
      </c>
      <c r="AG1277" t="s">
        <v>1970</v>
      </c>
      <c r="AH1277" t="s">
        <v>1903</v>
      </c>
      <c r="AI1277">
        <v>99999</v>
      </c>
      <c r="AJ1277">
        <v>99999</v>
      </c>
      <c r="AK1277">
        <v>699</v>
      </c>
      <c r="AL1277" t="b">
        <v>1</v>
      </c>
      <c r="AM1277" t="b">
        <v>1</v>
      </c>
      <c r="AN1277" t="b">
        <v>0</v>
      </c>
      <c r="AO1277">
        <v>99999</v>
      </c>
      <c r="AP1277" t="s">
        <v>64</v>
      </c>
      <c r="AR1277" t="b">
        <v>0</v>
      </c>
      <c r="AS1277">
        <v>12</v>
      </c>
      <c r="AT1277" t="s">
        <v>327</v>
      </c>
      <c r="AV1277" t="s">
        <v>1992</v>
      </c>
    </row>
    <row r="1278" spans="1:48" x14ac:dyDescent="0.25">
      <c r="A1278" t="s">
        <v>3323</v>
      </c>
      <c r="B1278" t="s">
        <v>302</v>
      </c>
      <c r="C1278" t="s">
        <v>62</v>
      </c>
      <c r="D1278">
        <v>99999</v>
      </c>
      <c r="F1278" s="109">
        <v>20000</v>
      </c>
      <c r="G1278" t="b">
        <v>0</v>
      </c>
      <c r="H1278" t="s">
        <v>343</v>
      </c>
      <c r="K1278" t="s">
        <v>349</v>
      </c>
      <c r="L1278" t="s">
        <v>303</v>
      </c>
      <c r="M1278" t="s">
        <v>323</v>
      </c>
      <c r="N1278" t="s">
        <v>63</v>
      </c>
      <c r="O1278" s="110">
        <v>39.9</v>
      </c>
      <c r="R1278" s="110">
        <v>409.89</v>
      </c>
      <c r="S1278" s="110">
        <v>130</v>
      </c>
      <c r="T1278" s="110">
        <v>0</v>
      </c>
      <c r="U1278" s="110">
        <v>42.99</v>
      </c>
      <c r="X1278">
        <v>191.99999999999997</v>
      </c>
      <c r="Y1278">
        <v>44.9</v>
      </c>
      <c r="Z1278">
        <v>44.9</v>
      </c>
      <c r="AA1278">
        <v>0</v>
      </c>
      <c r="AB1278" t="s">
        <v>324</v>
      </c>
      <c r="AF1278" t="s">
        <v>2118</v>
      </c>
      <c r="AG1278" t="s">
        <v>2118</v>
      </c>
      <c r="AH1278" t="s">
        <v>1903</v>
      </c>
      <c r="AI1278">
        <v>99999</v>
      </c>
      <c r="AJ1278">
        <v>99999</v>
      </c>
      <c r="AK1278">
        <v>699</v>
      </c>
      <c r="AL1278" t="b">
        <v>1</v>
      </c>
      <c r="AM1278" t="b">
        <v>1</v>
      </c>
      <c r="AN1278" t="b">
        <v>0</v>
      </c>
      <c r="AO1278">
        <v>99999</v>
      </c>
      <c r="AP1278" t="s">
        <v>64</v>
      </c>
      <c r="AR1278" t="b">
        <v>0</v>
      </c>
      <c r="AS1278">
        <v>12</v>
      </c>
      <c r="AT1278" t="s">
        <v>327</v>
      </c>
      <c r="AV1278" t="s">
        <v>2140</v>
      </c>
    </row>
    <row r="1279" spans="1:48" x14ac:dyDescent="0.25">
      <c r="A1279" t="s">
        <v>3323</v>
      </c>
      <c r="B1279" t="s">
        <v>302</v>
      </c>
      <c r="C1279" t="s">
        <v>62</v>
      </c>
      <c r="D1279">
        <v>99999</v>
      </c>
      <c r="F1279" s="109">
        <v>20000</v>
      </c>
      <c r="G1279" t="b">
        <v>0</v>
      </c>
      <c r="H1279" t="s">
        <v>343</v>
      </c>
      <c r="K1279" t="s">
        <v>349</v>
      </c>
      <c r="L1279" t="s">
        <v>303</v>
      </c>
      <c r="M1279" t="s">
        <v>323</v>
      </c>
      <c r="N1279" t="s">
        <v>63</v>
      </c>
      <c r="O1279" s="110">
        <v>49.9</v>
      </c>
      <c r="R1279" s="110">
        <v>375.58999999999992</v>
      </c>
      <c r="S1279" s="110">
        <v>130</v>
      </c>
      <c r="T1279" s="110">
        <v>0</v>
      </c>
      <c r="U1279" s="110">
        <v>34.99</v>
      </c>
      <c r="X1279">
        <v>165.69999999999996</v>
      </c>
      <c r="Y1279">
        <v>44.9</v>
      </c>
      <c r="Z1279">
        <v>44.9</v>
      </c>
      <c r="AA1279">
        <v>0</v>
      </c>
      <c r="AB1279" t="s">
        <v>324</v>
      </c>
      <c r="AF1279" t="s">
        <v>3181</v>
      </c>
      <c r="AG1279" t="s">
        <v>3181</v>
      </c>
      <c r="AH1279" t="s">
        <v>1903</v>
      </c>
      <c r="AI1279">
        <v>99999</v>
      </c>
      <c r="AJ1279">
        <v>99999</v>
      </c>
      <c r="AK1279">
        <v>699</v>
      </c>
      <c r="AL1279" t="b">
        <v>1</v>
      </c>
      <c r="AM1279" t="b">
        <v>1</v>
      </c>
      <c r="AN1279" t="b">
        <v>0</v>
      </c>
      <c r="AO1279">
        <v>99999</v>
      </c>
      <c r="AP1279" t="s">
        <v>64</v>
      </c>
      <c r="AR1279" t="b">
        <v>0</v>
      </c>
      <c r="AS1279">
        <v>12</v>
      </c>
      <c r="AT1279" t="s">
        <v>327</v>
      </c>
      <c r="AV1279" t="s">
        <v>3203</v>
      </c>
    </row>
    <row r="1280" spans="1:48" x14ac:dyDescent="0.25">
      <c r="A1280" t="s">
        <v>3323</v>
      </c>
      <c r="B1280" t="s">
        <v>302</v>
      </c>
      <c r="C1280" t="s">
        <v>62</v>
      </c>
      <c r="D1280">
        <v>99999</v>
      </c>
      <c r="F1280" s="109">
        <v>20000</v>
      </c>
      <c r="G1280" t="b">
        <v>0</v>
      </c>
      <c r="H1280" t="s">
        <v>343</v>
      </c>
      <c r="K1280" t="s">
        <v>349</v>
      </c>
      <c r="L1280" t="s">
        <v>303</v>
      </c>
      <c r="M1280" t="s">
        <v>323</v>
      </c>
      <c r="N1280" t="s">
        <v>63</v>
      </c>
      <c r="O1280" s="110">
        <v>49.9</v>
      </c>
      <c r="R1280" s="110">
        <v>409.89</v>
      </c>
      <c r="S1280" s="110">
        <v>130</v>
      </c>
      <c r="T1280" s="110">
        <v>0</v>
      </c>
      <c r="U1280" s="110">
        <v>42.99</v>
      </c>
      <c r="X1280">
        <v>191.99999999999997</v>
      </c>
      <c r="Y1280">
        <v>44.9</v>
      </c>
      <c r="Z1280">
        <v>44.9</v>
      </c>
      <c r="AA1280">
        <v>0</v>
      </c>
      <c r="AB1280" t="s">
        <v>324</v>
      </c>
      <c r="AF1280" t="s">
        <v>3255</v>
      </c>
      <c r="AG1280" t="s">
        <v>3255</v>
      </c>
      <c r="AH1280" t="s">
        <v>1903</v>
      </c>
      <c r="AI1280">
        <v>99999</v>
      </c>
      <c r="AJ1280">
        <v>99999</v>
      </c>
      <c r="AK1280">
        <v>699</v>
      </c>
      <c r="AL1280" t="b">
        <v>1</v>
      </c>
      <c r="AM1280" t="b">
        <v>1</v>
      </c>
      <c r="AN1280" t="b">
        <v>0</v>
      </c>
      <c r="AO1280">
        <v>99999</v>
      </c>
      <c r="AP1280" t="s">
        <v>64</v>
      </c>
      <c r="AR1280" t="b">
        <v>0</v>
      </c>
      <c r="AS1280">
        <v>12</v>
      </c>
      <c r="AT1280" t="s">
        <v>327</v>
      </c>
      <c r="AV1280" t="s">
        <v>3277</v>
      </c>
    </row>
    <row r="1281" spans="1:48" x14ac:dyDescent="0.25">
      <c r="A1281" t="s">
        <v>3323</v>
      </c>
      <c r="B1281" t="s">
        <v>302</v>
      </c>
      <c r="C1281" t="s">
        <v>62</v>
      </c>
      <c r="D1281">
        <v>99999</v>
      </c>
      <c r="F1281" s="109">
        <v>20000</v>
      </c>
      <c r="G1281" t="b">
        <v>0</v>
      </c>
      <c r="H1281" t="s">
        <v>343</v>
      </c>
      <c r="K1281" t="s">
        <v>393</v>
      </c>
      <c r="L1281" t="s">
        <v>303</v>
      </c>
      <c r="M1281" t="s">
        <v>323</v>
      </c>
      <c r="N1281" t="s">
        <v>63</v>
      </c>
      <c r="O1281" s="110">
        <v>29.9</v>
      </c>
      <c r="R1281" s="110">
        <v>400.59</v>
      </c>
      <c r="S1281" s="110">
        <v>130</v>
      </c>
      <c r="T1281" s="110">
        <v>0</v>
      </c>
      <c r="U1281" s="110">
        <v>34.99</v>
      </c>
      <c r="X1281">
        <v>165.69999999999996</v>
      </c>
      <c r="Y1281">
        <v>69.900000000000006</v>
      </c>
      <c r="Z1281">
        <v>69.900000000000006</v>
      </c>
      <c r="AA1281">
        <v>0</v>
      </c>
      <c r="AB1281" t="s">
        <v>363</v>
      </c>
      <c r="AF1281" t="s">
        <v>1930</v>
      </c>
      <c r="AG1281" t="s">
        <v>1930</v>
      </c>
      <c r="AH1281" t="s">
        <v>1903</v>
      </c>
      <c r="AI1281">
        <v>99999</v>
      </c>
      <c r="AJ1281">
        <v>99999</v>
      </c>
      <c r="AK1281">
        <v>699</v>
      </c>
      <c r="AL1281" t="b">
        <v>1</v>
      </c>
      <c r="AM1281" t="b">
        <v>1</v>
      </c>
      <c r="AN1281" t="b">
        <v>0</v>
      </c>
      <c r="AO1281">
        <v>99999</v>
      </c>
      <c r="AP1281" t="s">
        <v>64</v>
      </c>
      <c r="AR1281" t="b">
        <v>0</v>
      </c>
      <c r="AS1281">
        <v>12</v>
      </c>
      <c r="AT1281" t="s">
        <v>327</v>
      </c>
      <c r="AV1281" t="s">
        <v>1965</v>
      </c>
    </row>
    <row r="1282" spans="1:48" x14ac:dyDescent="0.25">
      <c r="A1282" t="s">
        <v>3323</v>
      </c>
      <c r="B1282" t="s">
        <v>302</v>
      </c>
      <c r="C1282" t="s">
        <v>62</v>
      </c>
      <c r="D1282">
        <v>99999</v>
      </c>
      <c r="F1282" s="109">
        <v>20000</v>
      </c>
      <c r="G1282" t="b">
        <v>0</v>
      </c>
      <c r="H1282" t="s">
        <v>343</v>
      </c>
      <c r="K1282" t="s">
        <v>393</v>
      </c>
      <c r="L1282" t="s">
        <v>303</v>
      </c>
      <c r="M1282" t="s">
        <v>323</v>
      </c>
      <c r="N1282" t="s">
        <v>63</v>
      </c>
      <c r="O1282" s="110">
        <v>29.9</v>
      </c>
      <c r="R1282" s="110">
        <v>434.89</v>
      </c>
      <c r="S1282" s="110">
        <v>130</v>
      </c>
      <c r="T1282" s="110">
        <v>0</v>
      </c>
      <c r="U1282" s="110">
        <v>42.99</v>
      </c>
      <c r="X1282">
        <v>191.99999999999997</v>
      </c>
      <c r="Y1282">
        <v>69.900000000000006</v>
      </c>
      <c r="Z1282">
        <v>69.900000000000006</v>
      </c>
      <c r="AA1282">
        <v>0</v>
      </c>
      <c r="AB1282" t="s">
        <v>363</v>
      </c>
      <c r="AF1282" t="s">
        <v>2078</v>
      </c>
      <c r="AG1282" t="s">
        <v>2078</v>
      </c>
      <c r="AH1282" t="s">
        <v>1903</v>
      </c>
      <c r="AI1282">
        <v>99999</v>
      </c>
      <c r="AJ1282">
        <v>99999</v>
      </c>
      <c r="AK1282">
        <v>699</v>
      </c>
      <c r="AL1282" t="b">
        <v>1</v>
      </c>
      <c r="AM1282" t="b">
        <v>1</v>
      </c>
      <c r="AN1282" t="b">
        <v>0</v>
      </c>
      <c r="AO1282">
        <v>99999</v>
      </c>
      <c r="AP1282" t="s">
        <v>64</v>
      </c>
      <c r="AR1282" t="b">
        <v>0</v>
      </c>
      <c r="AS1282">
        <v>12</v>
      </c>
      <c r="AT1282" t="s">
        <v>327</v>
      </c>
      <c r="AV1282" t="s">
        <v>2113</v>
      </c>
    </row>
    <row r="1283" spans="1:48" x14ac:dyDescent="0.25">
      <c r="A1283" t="s">
        <v>3323</v>
      </c>
      <c r="B1283" t="s">
        <v>302</v>
      </c>
      <c r="C1283" t="s">
        <v>62</v>
      </c>
      <c r="D1283">
        <v>99999</v>
      </c>
      <c r="F1283" s="109">
        <v>20000</v>
      </c>
      <c r="G1283" t="b">
        <v>0</v>
      </c>
      <c r="H1283" t="s">
        <v>343</v>
      </c>
      <c r="K1283" t="s">
        <v>393</v>
      </c>
      <c r="L1283" t="s">
        <v>303</v>
      </c>
      <c r="M1283" t="s">
        <v>323</v>
      </c>
      <c r="N1283" t="s">
        <v>63</v>
      </c>
      <c r="O1283" s="110">
        <v>39.9</v>
      </c>
      <c r="R1283" s="110">
        <v>400.59</v>
      </c>
      <c r="S1283" s="110">
        <v>130</v>
      </c>
      <c r="T1283" s="110">
        <v>0</v>
      </c>
      <c r="U1283" s="110">
        <v>34.99</v>
      </c>
      <c r="X1283">
        <v>165.69999999999996</v>
      </c>
      <c r="Y1283">
        <v>69.900000000000006</v>
      </c>
      <c r="Z1283">
        <v>69.900000000000006</v>
      </c>
      <c r="AA1283">
        <v>0</v>
      </c>
      <c r="AB1283" t="s">
        <v>363</v>
      </c>
      <c r="AF1283" t="s">
        <v>1997</v>
      </c>
      <c r="AG1283" t="s">
        <v>1997</v>
      </c>
      <c r="AH1283" t="s">
        <v>1903</v>
      </c>
      <c r="AI1283">
        <v>99999</v>
      </c>
      <c r="AJ1283">
        <v>99999</v>
      </c>
      <c r="AK1283">
        <v>699</v>
      </c>
      <c r="AL1283" t="b">
        <v>1</v>
      </c>
      <c r="AM1283" t="b">
        <v>1</v>
      </c>
      <c r="AN1283" t="b">
        <v>0</v>
      </c>
      <c r="AO1283">
        <v>99999</v>
      </c>
      <c r="AP1283" t="s">
        <v>64</v>
      </c>
      <c r="AR1283" t="b">
        <v>0</v>
      </c>
      <c r="AS1283">
        <v>12</v>
      </c>
      <c r="AT1283" t="s">
        <v>327</v>
      </c>
      <c r="AV1283" t="s">
        <v>2032</v>
      </c>
    </row>
    <row r="1284" spans="1:48" x14ac:dyDescent="0.25">
      <c r="A1284" t="s">
        <v>3323</v>
      </c>
      <c r="B1284" t="s">
        <v>302</v>
      </c>
      <c r="C1284" t="s">
        <v>62</v>
      </c>
      <c r="D1284">
        <v>99999</v>
      </c>
      <c r="F1284" s="109">
        <v>20000</v>
      </c>
      <c r="G1284" t="b">
        <v>0</v>
      </c>
      <c r="H1284" t="s">
        <v>343</v>
      </c>
      <c r="K1284" t="s">
        <v>393</v>
      </c>
      <c r="L1284" t="s">
        <v>303</v>
      </c>
      <c r="M1284" t="s">
        <v>323</v>
      </c>
      <c r="N1284" t="s">
        <v>63</v>
      </c>
      <c r="O1284" s="110">
        <v>39.9</v>
      </c>
      <c r="R1284" s="110">
        <v>434.89</v>
      </c>
      <c r="S1284" s="110">
        <v>130</v>
      </c>
      <c r="T1284" s="110">
        <v>0</v>
      </c>
      <c r="U1284" s="110">
        <v>42.99</v>
      </c>
      <c r="X1284">
        <v>191.99999999999997</v>
      </c>
      <c r="Y1284">
        <v>69.900000000000006</v>
      </c>
      <c r="Z1284">
        <v>69.900000000000006</v>
      </c>
      <c r="AA1284">
        <v>0</v>
      </c>
      <c r="AB1284" t="s">
        <v>363</v>
      </c>
      <c r="AF1284" t="s">
        <v>2145</v>
      </c>
      <c r="AG1284" t="s">
        <v>2145</v>
      </c>
      <c r="AH1284" t="s">
        <v>1903</v>
      </c>
      <c r="AI1284">
        <v>99999</v>
      </c>
      <c r="AJ1284">
        <v>99999</v>
      </c>
      <c r="AK1284">
        <v>699</v>
      </c>
      <c r="AL1284" t="b">
        <v>1</v>
      </c>
      <c r="AM1284" t="b">
        <v>1</v>
      </c>
      <c r="AN1284" t="b">
        <v>0</v>
      </c>
      <c r="AO1284">
        <v>99999</v>
      </c>
      <c r="AP1284" t="s">
        <v>64</v>
      </c>
      <c r="AR1284" t="b">
        <v>0</v>
      </c>
      <c r="AS1284">
        <v>12</v>
      </c>
      <c r="AT1284" t="s">
        <v>327</v>
      </c>
      <c r="AV1284" t="s">
        <v>2180</v>
      </c>
    </row>
    <row r="1285" spans="1:48" x14ac:dyDescent="0.25">
      <c r="A1285" t="s">
        <v>3323</v>
      </c>
      <c r="B1285" t="s">
        <v>302</v>
      </c>
      <c r="C1285" t="s">
        <v>62</v>
      </c>
      <c r="D1285">
        <v>99999</v>
      </c>
      <c r="F1285" s="109">
        <v>20000</v>
      </c>
      <c r="G1285" t="b">
        <v>0</v>
      </c>
      <c r="H1285" t="s">
        <v>343</v>
      </c>
      <c r="K1285" t="s">
        <v>393</v>
      </c>
      <c r="L1285" t="s">
        <v>303</v>
      </c>
      <c r="M1285" t="s">
        <v>323</v>
      </c>
      <c r="N1285" t="s">
        <v>63</v>
      </c>
      <c r="O1285" s="110">
        <v>49.9</v>
      </c>
      <c r="R1285" s="110">
        <v>400.59</v>
      </c>
      <c r="S1285" s="110">
        <v>130</v>
      </c>
      <c r="T1285" s="110">
        <v>0</v>
      </c>
      <c r="U1285" s="110">
        <v>34.99</v>
      </c>
      <c r="X1285">
        <v>165.69999999999996</v>
      </c>
      <c r="Y1285">
        <v>69.900000000000006</v>
      </c>
      <c r="Z1285">
        <v>69.900000000000006</v>
      </c>
      <c r="AA1285">
        <v>0</v>
      </c>
      <c r="AB1285" t="s">
        <v>363</v>
      </c>
      <c r="AF1285" t="s">
        <v>3208</v>
      </c>
      <c r="AG1285" t="s">
        <v>3208</v>
      </c>
      <c r="AH1285" t="s">
        <v>1903</v>
      </c>
      <c r="AI1285">
        <v>99999</v>
      </c>
      <c r="AJ1285">
        <v>99999</v>
      </c>
      <c r="AK1285">
        <v>699</v>
      </c>
      <c r="AL1285" t="b">
        <v>1</v>
      </c>
      <c r="AM1285" t="b">
        <v>1</v>
      </c>
      <c r="AN1285" t="b">
        <v>0</v>
      </c>
      <c r="AO1285">
        <v>99999</v>
      </c>
      <c r="AP1285" t="s">
        <v>64</v>
      </c>
      <c r="AR1285" t="b">
        <v>0</v>
      </c>
      <c r="AS1285">
        <v>12</v>
      </c>
      <c r="AT1285" t="s">
        <v>327</v>
      </c>
      <c r="AV1285" t="s">
        <v>3243</v>
      </c>
    </row>
    <row r="1286" spans="1:48" x14ac:dyDescent="0.25">
      <c r="A1286" t="s">
        <v>3323</v>
      </c>
      <c r="B1286" t="s">
        <v>302</v>
      </c>
      <c r="C1286" t="s">
        <v>62</v>
      </c>
      <c r="D1286">
        <v>99999</v>
      </c>
      <c r="F1286" s="109">
        <v>20000</v>
      </c>
      <c r="G1286" t="b">
        <v>0</v>
      </c>
      <c r="H1286" t="s">
        <v>343</v>
      </c>
      <c r="K1286" t="s">
        <v>393</v>
      </c>
      <c r="L1286" t="s">
        <v>303</v>
      </c>
      <c r="M1286" t="s">
        <v>323</v>
      </c>
      <c r="N1286" t="s">
        <v>63</v>
      </c>
      <c r="O1286" s="110">
        <v>49.9</v>
      </c>
      <c r="R1286" s="110">
        <v>434.89</v>
      </c>
      <c r="S1286" s="110">
        <v>130</v>
      </c>
      <c r="T1286" s="110">
        <v>0</v>
      </c>
      <c r="U1286" s="110">
        <v>42.99</v>
      </c>
      <c r="X1286">
        <v>191.99999999999997</v>
      </c>
      <c r="Y1286">
        <v>69.900000000000006</v>
      </c>
      <c r="Z1286">
        <v>69.900000000000006</v>
      </c>
      <c r="AA1286">
        <v>0</v>
      </c>
      <c r="AB1286" t="s">
        <v>363</v>
      </c>
      <c r="AF1286" t="s">
        <v>3282</v>
      </c>
      <c r="AG1286" t="s">
        <v>3282</v>
      </c>
      <c r="AH1286" t="s">
        <v>1903</v>
      </c>
      <c r="AI1286">
        <v>99999</v>
      </c>
      <c r="AJ1286">
        <v>99999</v>
      </c>
      <c r="AK1286">
        <v>699</v>
      </c>
      <c r="AL1286" t="b">
        <v>1</v>
      </c>
      <c r="AM1286" t="b">
        <v>1</v>
      </c>
      <c r="AN1286" t="b">
        <v>0</v>
      </c>
      <c r="AO1286">
        <v>99999</v>
      </c>
      <c r="AP1286" t="s">
        <v>64</v>
      </c>
      <c r="AR1286" t="b">
        <v>0</v>
      </c>
      <c r="AS1286">
        <v>12</v>
      </c>
      <c r="AT1286" t="s">
        <v>327</v>
      </c>
      <c r="AV1286" t="s">
        <v>3317</v>
      </c>
    </row>
    <row r="1287" spans="1:48" x14ac:dyDescent="0.25">
      <c r="A1287" t="s">
        <v>3323</v>
      </c>
      <c r="B1287" t="s">
        <v>302</v>
      </c>
      <c r="C1287" t="s">
        <v>62</v>
      </c>
      <c r="D1287">
        <v>99999</v>
      </c>
      <c r="F1287" s="109">
        <v>20000</v>
      </c>
      <c r="G1287" t="b">
        <v>0</v>
      </c>
      <c r="H1287" t="s">
        <v>343</v>
      </c>
      <c r="K1287" t="s">
        <v>364</v>
      </c>
      <c r="L1287" t="s">
        <v>303</v>
      </c>
      <c r="M1287" t="s">
        <v>323</v>
      </c>
      <c r="N1287" t="s">
        <v>63</v>
      </c>
      <c r="O1287" s="110">
        <v>29.9</v>
      </c>
      <c r="R1287" s="110">
        <v>380.58999999999992</v>
      </c>
      <c r="S1287" s="110">
        <v>130</v>
      </c>
      <c r="T1287" s="110">
        <v>0</v>
      </c>
      <c r="U1287" s="110">
        <v>34.99</v>
      </c>
      <c r="X1287">
        <v>165.69999999999996</v>
      </c>
      <c r="Y1287">
        <v>49.9</v>
      </c>
      <c r="Z1287">
        <v>49.9</v>
      </c>
      <c r="AA1287">
        <v>0</v>
      </c>
      <c r="AB1287" t="s">
        <v>363</v>
      </c>
      <c r="AF1287" t="s">
        <v>1930</v>
      </c>
      <c r="AG1287" t="s">
        <v>1930</v>
      </c>
      <c r="AH1287" t="s">
        <v>1903</v>
      </c>
      <c r="AI1287">
        <v>99999</v>
      </c>
      <c r="AJ1287">
        <v>99999</v>
      </c>
      <c r="AK1287">
        <v>699</v>
      </c>
      <c r="AL1287" t="b">
        <v>1</v>
      </c>
      <c r="AM1287" t="b">
        <v>1</v>
      </c>
      <c r="AN1287" t="b">
        <v>0</v>
      </c>
      <c r="AO1287">
        <v>99999</v>
      </c>
      <c r="AP1287" t="s">
        <v>64</v>
      </c>
      <c r="AR1287" t="b">
        <v>0</v>
      </c>
      <c r="AS1287">
        <v>12</v>
      </c>
      <c r="AT1287" t="s">
        <v>327</v>
      </c>
      <c r="AV1287" t="s">
        <v>1939</v>
      </c>
    </row>
    <row r="1288" spans="1:48" x14ac:dyDescent="0.25">
      <c r="A1288" t="s">
        <v>3323</v>
      </c>
      <c r="B1288" t="s">
        <v>302</v>
      </c>
      <c r="C1288" t="s">
        <v>62</v>
      </c>
      <c r="D1288">
        <v>99999</v>
      </c>
      <c r="F1288" s="109">
        <v>20000</v>
      </c>
      <c r="G1288" t="b">
        <v>0</v>
      </c>
      <c r="H1288" t="s">
        <v>343</v>
      </c>
      <c r="K1288" t="s">
        <v>364</v>
      </c>
      <c r="L1288" t="s">
        <v>303</v>
      </c>
      <c r="M1288" t="s">
        <v>323</v>
      </c>
      <c r="N1288" t="s">
        <v>63</v>
      </c>
      <c r="O1288" s="110">
        <v>29.9</v>
      </c>
      <c r="R1288" s="110">
        <v>414.89</v>
      </c>
      <c r="S1288" s="110">
        <v>130</v>
      </c>
      <c r="T1288" s="110">
        <v>0</v>
      </c>
      <c r="U1288" s="110">
        <v>42.99</v>
      </c>
      <c r="X1288">
        <v>191.99999999999997</v>
      </c>
      <c r="Y1288">
        <v>49.9</v>
      </c>
      <c r="Z1288">
        <v>49.9</v>
      </c>
      <c r="AA1288">
        <v>0</v>
      </c>
      <c r="AB1288" t="s">
        <v>363</v>
      </c>
      <c r="AF1288" t="s">
        <v>2078</v>
      </c>
      <c r="AG1288" t="s">
        <v>2078</v>
      </c>
      <c r="AH1288" t="s">
        <v>1903</v>
      </c>
      <c r="AI1288">
        <v>99999</v>
      </c>
      <c r="AJ1288">
        <v>99999</v>
      </c>
      <c r="AK1288">
        <v>699</v>
      </c>
      <c r="AL1288" t="b">
        <v>1</v>
      </c>
      <c r="AM1288" t="b">
        <v>1</v>
      </c>
      <c r="AN1288" t="b">
        <v>0</v>
      </c>
      <c r="AO1288">
        <v>99999</v>
      </c>
      <c r="AP1288" t="s">
        <v>64</v>
      </c>
      <c r="AR1288" t="b">
        <v>0</v>
      </c>
      <c r="AS1288">
        <v>12</v>
      </c>
      <c r="AT1288" t="s">
        <v>327</v>
      </c>
      <c r="AV1288" t="s">
        <v>2087</v>
      </c>
    </row>
    <row r="1289" spans="1:48" x14ac:dyDescent="0.25">
      <c r="A1289" t="s">
        <v>3323</v>
      </c>
      <c r="B1289" t="s">
        <v>302</v>
      </c>
      <c r="C1289" t="s">
        <v>62</v>
      </c>
      <c r="D1289">
        <v>99999</v>
      </c>
      <c r="F1289" s="109">
        <v>20000</v>
      </c>
      <c r="G1289" t="b">
        <v>0</v>
      </c>
      <c r="H1289" t="s">
        <v>343</v>
      </c>
      <c r="K1289" t="s">
        <v>364</v>
      </c>
      <c r="L1289" t="s">
        <v>303</v>
      </c>
      <c r="M1289" t="s">
        <v>323</v>
      </c>
      <c r="N1289" t="s">
        <v>63</v>
      </c>
      <c r="O1289" s="110">
        <v>39.9</v>
      </c>
      <c r="R1289" s="110">
        <v>380.58999999999992</v>
      </c>
      <c r="S1289" s="110">
        <v>130</v>
      </c>
      <c r="T1289" s="110">
        <v>0</v>
      </c>
      <c r="U1289" s="110">
        <v>34.99</v>
      </c>
      <c r="X1289">
        <v>165.69999999999996</v>
      </c>
      <c r="Y1289">
        <v>49.9</v>
      </c>
      <c r="Z1289">
        <v>49.9</v>
      </c>
      <c r="AA1289">
        <v>0</v>
      </c>
      <c r="AB1289" t="s">
        <v>363</v>
      </c>
      <c r="AF1289" t="s">
        <v>1997</v>
      </c>
      <c r="AG1289" t="s">
        <v>1997</v>
      </c>
      <c r="AH1289" t="s">
        <v>1903</v>
      </c>
      <c r="AI1289">
        <v>99999</v>
      </c>
      <c r="AJ1289">
        <v>99999</v>
      </c>
      <c r="AK1289">
        <v>699</v>
      </c>
      <c r="AL1289" t="b">
        <v>1</v>
      </c>
      <c r="AM1289" t="b">
        <v>1</v>
      </c>
      <c r="AN1289" t="b">
        <v>0</v>
      </c>
      <c r="AO1289">
        <v>99999</v>
      </c>
      <c r="AP1289" t="s">
        <v>64</v>
      </c>
      <c r="AR1289" t="b">
        <v>0</v>
      </c>
      <c r="AS1289">
        <v>12</v>
      </c>
      <c r="AT1289" t="s">
        <v>327</v>
      </c>
      <c r="AV1289" t="s">
        <v>2006</v>
      </c>
    </row>
    <row r="1290" spans="1:48" x14ac:dyDescent="0.25">
      <c r="A1290" t="s">
        <v>3323</v>
      </c>
      <c r="B1290" t="s">
        <v>302</v>
      </c>
      <c r="C1290" t="s">
        <v>62</v>
      </c>
      <c r="D1290">
        <v>99999</v>
      </c>
      <c r="F1290" s="109">
        <v>20000</v>
      </c>
      <c r="G1290" t="b">
        <v>0</v>
      </c>
      <c r="H1290" t="s">
        <v>343</v>
      </c>
      <c r="K1290" t="s">
        <v>364</v>
      </c>
      <c r="L1290" t="s">
        <v>303</v>
      </c>
      <c r="M1290" t="s">
        <v>323</v>
      </c>
      <c r="N1290" t="s">
        <v>63</v>
      </c>
      <c r="O1290" s="110">
        <v>39.9</v>
      </c>
      <c r="R1290" s="110">
        <v>414.89</v>
      </c>
      <c r="S1290" s="110">
        <v>130</v>
      </c>
      <c r="T1290" s="110">
        <v>0</v>
      </c>
      <c r="U1290" s="110">
        <v>42.99</v>
      </c>
      <c r="X1290">
        <v>191.99999999999997</v>
      </c>
      <c r="Y1290">
        <v>49.9</v>
      </c>
      <c r="Z1290">
        <v>49.9</v>
      </c>
      <c r="AA1290">
        <v>0</v>
      </c>
      <c r="AB1290" t="s">
        <v>363</v>
      </c>
      <c r="AF1290" t="s">
        <v>2145</v>
      </c>
      <c r="AG1290" t="s">
        <v>2145</v>
      </c>
      <c r="AH1290" t="s">
        <v>1903</v>
      </c>
      <c r="AI1290">
        <v>99999</v>
      </c>
      <c r="AJ1290">
        <v>99999</v>
      </c>
      <c r="AK1290">
        <v>699</v>
      </c>
      <c r="AL1290" t="b">
        <v>1</v>
      </c>
      <c r="AM1290" t="b">
        <v>1</v>
      </c>
      <c r="AN1290" t="b">
        <v>0</v>
      </c>
      <c r="AO1290">
        <v>99999</v>
      </c>
      <c r="AP1290" t="s">
        <v>64</v>
      </c>
      <c r="AR1290" t="b">
        <v>0</v>
      </c>
      <c r="AS1290">
        <v>12</v>
      </c>
      <c r="AT1290" t="s">
        <v>327</v>
      </c>
      <c r="AV1290" t="s">
        <v>2154</v>
      </c>
    </row>
    <row r="1291" spans="1:48" x14ac:dyDescent="0.25">
      <c r="A1291" t="s">
        <v>3323</v>
      </c>
      <c r="B1291" t="s">
        <v>302</v>
      </c>
      <c r="C1291" t="s">
        <v>62</v>
      </c>
      <c r="D1291">
        <v>99999</v>
      </c>
      <c r="F1291" s="109">
        <v>20000</v>
      </c>
      <c r="G1291" t="b">
        <v>0</v>
      </c>
      <c r="H1291" t="s">
        <v>343</v>
      </c>
      <c r="K1291" t="s">
        <v>364</v>
      </c>
      <c r="L1291" t="s">
        <v>303</v>
      </c>
      <c r="M1291" t="s">
        <v>323</v>
      </c>
      <c r="N1291" t="s">
        <v>63</v>
      </c>
      <c r="O1291" s="110">
        <v>49.9</v>
      </c>
      <c r="R1291" s="110">
        <v>380.58999999999992</v>
      </c>
      <c r="S1291" s="110">
        <v>130</v>
      </c>
      <c r="T1291" s="110">
        <v>0</v>
      </c>
      <c r="U1291" s="110">
        <v>34.99</v>
      </c>
      <c r="X1291">
        <v>165.69999999999996</v>
      </c>
      <c r="Y1291">
        <v>49.9</v>
      </c>
      <c r="Z1291">
        <v>49.9</v>
      </c>
      <c r="AA1291">
        <v>0</v>
      </c>
      <c r="AB1291" t="s">
        <v>363</v>
      </c>
      <c r="AF1291" t="s">
        <v>3208</v>
      </c>
      <c r="AG1291" t="s">
        <v>3208</v>
      </c>
      <c r="AH1291" t="s">
        <v>1903</v>
      </c>
      <c r="AI1291">
        <v>99999</v>
      </c>
      <c r="AJ1291">
        <v>99999</v>
      </c>
      <c r="AK1291">
        <v>699</v>
      </c>
      <c r="AL1291" t="b">
        <v>1</v>
      </c>
      <c r="AM1291" t="b">
        <v>1</v>
      </c>
      <c r="AN1291" t="b">
        <v>0</v>
      </c>
      <c r="AO1291">
        <v>99999</v>
      </c>
      <c r="AP1291" t="s">
        <v>64</v>
      </c>
      <c r="AR1291" t="b">
        <v>0</v>
      </c>
      <c r="AS1291">
        <v>12</v>
      </c>
      <c r="AT1291" t="s">
        <v>327</v>
      </c>
      <c r="AV1291" t="s">
        <v>3217</v>
      </c>
    </row>
    <row r="1292" spans="1:48" x14ac:dyDescent="0.25">
      <c r="A1292" t="s">
        <v>3323</v>
      </c>
      <c r="B1292" t="s">
        <v>302</v>
      </c>
      <c r="C1292" t="s">
        <v>62</v>
      </c>
      <c r="D1292">
        <v>99999</v>
      </c>
      <c r="F1292" s="109">
        <v>20000</v>
      </c>
      <c r="G1292" t="b">
        <v>0</v>
      </c>
      <c r="H1292" t="s">
        <v>343</v>
      </c>
      <c r="K1292" t="s">
        <v>364</v>
      </c>
      <c r="L1292" t="s">
        <v>303</v>
      </c>
      <c r="M1292" t="s">
        <v>323</v>
      </c>
      <c r="N1292" t="s">
        <v>63</v>
      </c>
      <c r="O1292" s="110">
        <v>49.9</v>
      </c>
      <c r="R1292" s="110">
        <v>414.89</v>
      </c>
      <c r="S1292" s="110">
        <v>130</v>
      </c>
      <c r="T1292" s="110">
        <v>0</v>
      </c>
      <c r="U1292" s="110">
        <v>42.99</v>
      </c>
      <c r="X1292">
        <v>191.99999999999997</v>
      </c>
      <c r="Y1292">
        <v>49.9</v>
      </c>
      <c r="Z1292">
        <v>49.9</v>
      </c>
      <c r="AA1292">
        <v>0</v>
      </c>
      <c r="AB1292" t="s">
        <v>363</v>
      </c>
      <c r="AF1292" t="s">
        <v>3282</v>
      </c>
      <c r="AG1292" t="s">
        <v>3282</v>
      </c>
      <c r="AH1292" t="s">
        <v>1903</v>
      </c>
      <c r="AI1292">
        <v>99999</v>
      </c>
      <c r="AJ1292">
        <v>99999</v>
      </c>
      <c r="AK1292">
        <v>699</v>
      </c>
      <c r="AL1292" t="b">
        <v>1</v>
      </c>
      <c r="AM1292" t="b">
        <v>1</v>
      </c>
      <c r="AN1292" t="b">
        <v>0</v>
      </c>
      <c r="AO1292">
        <v>99999</v>
      </c>
      <c r="AP1292" t="s">
        <v>64</v>
      </c>
      <c r="AR1292" t="b">
        <v>0</v>
      </c>
      <c r="AS1292">
        <v>12</v>
      </c>
      <c r="AT1292" t="s">
        <v>327</v>
      </c>
      <c r="AV1292" t="s">
        <v>3291</v>
      </c>
    </row>
    <row r="1293" spans="1:48" x14ac:dyDescent="0.25">
      <c r="A1293" t="s">
        <v>3323</v>
      </c>
      <c r="B1293" t="s">
        <v>302</v>
      </c>
      <c r="C1293" t="s">
        <v>62</v>
      </c>
      <c r="D1293">
        <v>99999</v>
      </c>
      <c r="F1293" s="109">
        <v>20000</v>
      </c>
      <c r="G1293" t="b">
        <v>0</v>
      </c>
      <c r="H1293" t="s">
        <v>343</v>
      </c>
      <c r="K1293" t="s">
        <v>379</v>
      </c>
      <c r="L1293" t="s">
        <v>303</v>
      </c>
      <c r="M1293" t="s">
        <v>323</v>
      </c>
      <c r="N1293" t="s">
        <v>63</v>
      </c>
      <c r="O1293" s="110">
        <v>29.9</v>
      </c>
      <c r="R1293" s="110">
        <v>390.58999999999992</v>
      </c>
      <c r="S1293" s="110">
        <v>130</v>
      </c>
      <c r="T1293" s="110">
        <v>0</v>
      </c>
      <c r="U1293" s="110">
        <v>34.99</v>
      </c>
      <c r="X1293">
        <v>165.69999999999996</v>
      </c>
      <c r="Y1293">
        <v>59.9</v>
      </c>
      <c r="Z1293">
        <v>59.9</v>
      </c>
      <c r="AA1293">
        <v>0</v>
      </c>
      <c r="AB1293" t="s">
        <v>363</v>
      </c>
      <c r="AF1293" t="s">
        <v>1930</v>
      </c>
      <c r="AG1293" t="s">
        <v>1930</v>
      </c>
      <c r="AH1293" t="s">
        <v>1903</v>
      </c>
      <c r="AI1293">
        <v>99999</v>
      </c>
      <c r="AJ1293">
        <v>99999</v>
      </c>
      <c r="AK1293">
        <v>699</v>
      </c>
      <c r="AL1293" t="b">
        <v>1</v>
      </c>
      <c r="AM1293" t="b">
        <v>1</v>
      </c>
      <c r="AN1293" t="b">
        <v>0</v>
      </c>
      <c r="AO1293">
        <v>99999</v>
      </c>
      <c r="AP1293" t="s">
        <v>64</v>
      </c>
      <c r="AR1293" t="b">
        <v>0</v>
      </c>
      <c r="AS1293">
        <v>12</v>
      </c>
      <c r="AT1293" t="s">
        <v>327</v>
      </c>
      <c r="AV1293" t="s">
        <v>1952</v>
      </c>
    </row>
    <row r="1294" spans="1:48" x14ac:dyDescent="0.25">
      <c r="A1294" t="s">
        <v>3323</v>
      </c>
      <c r="B1294" t="s">
        <v>302</v>
      </c>
      <c r="C1294" t="s">
        <v>62</v>
      </c>
      <c r="D1294">
        <v>99999</v>
      </c>
      <c r="F1294" s="109">
        <v>20000</v>
      </c>
      <c r="G1294" t="b">
        <v>0</v>
      </c>
      <c r="H1294" t="s">
        <v>343</v>
      </c>
      <c r="K1294" t="s">
        <v>379</v>
      </c>
      <c r="L1294" t="s">
        <v>303</v>
      </c>
      <c r="M1294" t="s">
        <v>323</v>
      </c>
      <c r="N1294" t="s">
        <v>63</v>
      </c>
      <c r="O1294" s="110">
        <v>29.9</v>
      </c>
      <c r="R1294" s="110">
        <v>424.89</v>
      </c>
      <c r="S1294" s="110">
        <v>130</v>
      </c>
      <c r="T1294" s="110">
        <v>0</v>
      </c>
      <c r="U1294" s="110">
        <v>42.99</v>
      </c>
      <c r="X1294">
        <v>191.99999999999997</v>
      </c>
      <c r="Y1294">
        <v>59.9</v>
      </c>
      <c r="Z1294">
        <v>59.9</v>
      </c>
      <c r="AA1294">
        <v>0</v>
      </c>
      <c r="AB1294" t="s">
        <v>363</v>
      </c>
      <c r="AF1294" t="s">
        <v>2078</v>
      </c>
      <c r="AG1294" t="s">
        <v>2078</v>
      </c>
      <c r="AH1294" t="s">
        <v>1903</v>
      </c>
      <c r="AI1294">
        <v>99999</v>
      </c>
      <c r="AJ1294">
        <v>99999</v>
      </c>
      <c r="AK1294">
        <v>699</v>
      </c>
      <c r="AL1294" t="b">
        <v>1</v>
      </c>
      <c r="AM1294" t="b">
        <v>1</v>
      </c>
      <c r="AN1294" t="b">
        <v>0</v>
      </c>
      <c r="AO1294">
        <v>99999</v>
      </c>
      <c r="AP1294" t="s">
        <v>64</v>
      </c>
      <c r="AR1294" t="b">
        <v>0</v>
      </c>
      <c r="AS1294">
        <v>12</v>
      </c>
      <c r="AT1294" t="s">
        <v>327</v>
      </c>
      <c r="AV1294" t="s">
        <v>2100</v>
      </c>
    </row>
    <row r="1295" spans="1:48" x14ac:dyDescent="0.25">
      <c r="A1295" t="s">
        <v>3323</v>
      </c>
      <c r="B1295" t="s">
        <v>302</v>
      </c>
      <c r="C1295" t="s">
        <v>62</v>
      </c>
      <c r="D1295">
        <v>99999</v>
      </c>
      <c r="F1295" s="109">
        <v>20000</v>
      </c>
      <c r="G1295" t="b">
        <v>0</v>
      </c>
      <c r="H1295" t="s">
        <v>343</v>
      </c>
      <c r="K1295" t="s">
        <v>379</v>
      </c>
      <c r="L1295" t="s">
        <v>303</v>
      </c>
      <c r="M1295" t="s">
        <v>323</v>
      </c>
      <c r="N1295" t="s">
        <v>63</v>
      </c>
      <c r="O1295" s="110">
        <v>39.9</v>
      </c>
      <c r="R1295" s="110">
        <v>390.58999999999992</v>
      </c>
      <c r="S1295" s="110">
        <v>130</v>
      </c>
      <c r="T1295" s="110">
        <v>0</v>
      </c>
      <c r="U1295" s="110">
        <v>34.99</v>
      </c>
      <c r="X1295">
        <v>165.69999999999996</v>
      </c>
      <c r="Y1295">
        <v>59.9</v>
      </c>
      <c r="Z1295">
        <v>59.9</v>
      </c>
      <c r="AA1295">
        <v>0</v>
      </c>
      <c r="AB1295" t="s">
        <v>363</v>
      </c>
      <c r="AF1295" t="s">
        <v>1997</v>
      </c>
      <c r="AG1295" t="s">
        <v>1997</v>
      </c>
      <c r="AH1295" t="s">
        <v>1903</v>
      </c>
      <c r="AI1295">
        <v>99999</v>
      </c>
      <c r="AJ1295">
        <v>99999</v>
      </c>
      <c r="AK1295">
        <v>699</v>
      </c>
      <c r="AL1295" t="b">
        <v>1</v>
      </c>
      <c r="AM1295" t="b">
        <v>1</v>
      </c>
      <c r="AN1295" t="b">
        <v>0</v>
      </c>
      <c r="AO1295">
        <v>99999</v>
      </c>
      <c r="AP1295" t="s">
        <v>64</v>
      </c>
      <c r="AR1295" t="b">
        <v>0</v>
      </c>
      <c r="AS1295">
        <v>12</v>
      </c>
      <c r="AT1295" t="s">
        <v>327</v>
      </c>
      <c r="AV1295" t="s">
        <v>2019</v>
      </c>
    </row>
    <row r="1296" spans="1:48" x14ac:dyDescent="0.25">
      <c r="A1296" t="s">
        <v>3323</v>
      </c>
      <c r="B1296" t="s">
        <v>302</v>
      </c>
      <c r="C1296" t="s">
        <v>62</v>
      </c>
      <c r="D1296">
        <v>99999</v>
      </c>
      <c r="F1296" s="109">
        <v>20000</v>
      </c>
      <c r="G1296" t="b">
        <v>0</v>
      </c>
      <c r="H1296" t="s">
        <v>343</v>
      </c>
      <c r="K1296" t="s">
        <v>379</v>
      </c>
      <c r="L1296" t="s">
        <v>303</v>
      </c>
      <c r="M1296" t="s">
        <v>323</v>
      </c>
      <c r="N1296" t="s">
        <v>63</v>
      </c>
      <c r="O1296" s="110">
        <v>39.9</v>
      </c>
      <c r="R1296" s="110">
        <v>424.89</v>
      </c>
      <c r="S1296" s="110">
        <v>130</v>
      </c>
      <c r="T1296" s="110">
        <v>0</v>
      </c>
      <c r="U1296" s="110">
        <v>42.99</v>
      </c>
      <c r="X1296">
        <v>191.99999999999997</v>
      </c>
      <c r="Y1296">
        <v>59.9</v>
      </c>
      <c r="Z1296">
        <v>59.9</v>
      </c>
      <c r="AA1296">
        <v>0</v>
      </c>
      <c r="AB1296" t="s">
        <v>363</v>
      </c>
      <c r="AF1296" t="s">
        <v>2145</v>
      </c>
      <c r="AG1296" t="s">
        <v>2145</v>
      </c>
      <c r="AH1296" t="s">
        <v>1903</v>
      </c>
      <c r="AI1296">
        <v>99999</v>
      </c>
      <c r="AJ1296">
        <v>99999</v>
      </c>
      <c r="AK1296">
        <v>699</v>
      </c>
      <c r="AL1296" t="b">
        <v>1</v>
      </c>
      <c r="AM1296" t="b">
        <v>1</v>
      </c>
      <c r="AN1296" t="b">
        <v>0</v>
      </c>
      <c r="AO1296">
        <v>99999</v>
      </c>
      <c r="AP1296" t="s">
        <v>64</v>
      </c>
      <c r="AR1296" t="b">
        <v>0</v>
      </c>
      <c r="AS1296">
        <v>12</v>
      </c>
      <c r="AT1296" t="s">
        <v>327</v>
      </c>
      <c r="AV1296" t="s">
        <v>2167</v>
      </c>
    </row>
    <row r="1297" spans="1:48" x14ac:dyDescent="0.25">
      <c r="A1297" t="s">
        <v>3323</v>
      </c>
      <c r="B1297" t="s">
        <v>302</v>
      </c>
      <c r="C1297" t="s">
        <v>62</v>
      </c>
      <c r="D1297">
        <v>99999</v>
      </c>
      <c r="F1297" s="109">
        <v>20000</v>
      </c>
      <c r="G1297" t="b">
        <v>0</v>
      </c>
      <c r="H1297" t="s">
        <v>343</v>
      </c>
      <c r="K1297" t="s">
        <v>379</v>
      </c>
      <c r="L1297" t="s">
        <v>303</v>
      </c>
      <c r="M1297" t="s">
        <v>323</v>
      </c>
      <c r="N1297" t="s">
        <v>63</v>
      </c>
      <c r="O1297" s="110">
        <v>49.9</v>
      </c>
      <c r="R1297" s="110">
        <v>390.58999999999992</v>
      </c>
      <c r="S1297" s="110">
        <v>130</v>
      </c>
      <c r="T1297" s="110">
        <v>0</v>
      </c>
      <c r="U1297" s="110">
        <v>34.99</v>
      </c>
      <c r="X1297">
        <v>165.69999999999996</v>
      </c>
      <c r="Y1297">
        <v>59.9</v>
      </c>
      <c r="Z1297">
        <v>59.9</v>
      </c>
      <c r="AA1297">
        <v>0</v>
      </c>
      <c r="AB1297" t="s">
        <v>363</v>
      </c>
      <c r="AF1297" t="s">
        <v>3208</v>
      </c>
      <c r="AG1297" t="s">
        <v>3208</v>
      </c>
      <c r="AH1297" t="s">
        <v>1903</v>
      </c>
      <c r="AI1297">
        <v>99999</v>
      </c>
      <c r="AJ1297">
        <v>99999</v>
      </c>
      <c r="AK1297">
        <v>699</v>
      </c>
      <c r="AL1297" t="b">
        <v>1</v>
      </c>
      <c r="AM1297" t="b">
        <v>1</v>
      </c>
      <c r="AN1297" t="b">
        <v>0</v>
      </c>
      <c r="AO1297">
        <v>99999</v>
      </c>
      <c r="AP1297" t="s">
        <v>64</v>
      </c>
      <c r="AR1297" t="b">
        <v>0</v>
      </c>
      <c r="AS1297">
        <v>12</v>
      </c>
      <c r="AT1297" t="s">
        <v>327</v>
      </c>
      <c r="AV1297" t="s">
        <v>3230</v>
      </c>
    </row>
    <row r="1298" spans="1:48" x14ac:dyDescent="0.25">
      <c r="A1298" t="s">
        <v>3323</v>
      </c>
      <c r="B1298" t="s">
        <v>302</v>
      </c>
      <c r="C1298" t="s">
        <v>62</v>
      </c>
      <c r="D1298">
        <v>99999</v>
      </c>
      <c r="F1298" s="109">
        <v>20000</v>
      </c>
      <c r="G1298" t="b">
        <v>0</v>
      </c>
      <c r="H1298" t="s">
        <v>343</v>
      </c>
      <c r="K1298" t="s">
        <v>379</v>
      </c>
      <c r="L1298" t="s">
        <v>303</v>
      </c>
      <c r="M1298" t="s">
        <v>323</v>
      </c>
      <c r="N1298" t="s">
        <v>63</v>
      </c>
      <c r="O1298" s="110">
        <v>49.9</v>
      </c>
      <c r="R1298" s="110">
        <v>424.89</v>
      </c>
      <c r="S1298" s="110">
        <v>130</v>
      </c>
      <c r="T1298" s="110">
        <v>0</v>
      </c>
      <c r="U1298" s="110">
        <v>42.99</v>
      </c>
      <c r="X1298">
        <v>191.99999999999997</v>
      </c>
      <c r="Y1298">
        <v>59.9</v>
      </c>
      <c r="Z1298">
        <v>59.9</v>
      </c>
      <c r="AA1298">
        <v>0</v>
      </c>
      <c r="AB1298" t="s">
        <v>363</v>
      </c>
      <c r="AF1298" t="s">
        <v>3282</v>
      </c>
      <c r="AG1298" t="s">
        <v>3282</v>
      </c>
      <c r="AH1298" t="s">
        <v>1903</v>
      </c>
      <c r="AI1298">
        <v>99999</v>
      </c>
      <c r="AJ1298">
        <v>99999</v>
      </c>
      <c r="AK1298">
        <v>699</v>
      </c>
      <c r="AL1298" t="b">
        <v>1</v>
      </c>
      <c r="AM1298" t="b">
        <v>1</v>
      </c>
      <c r="AN1298" t="b">
        <v>0</v>
      </c>
      <c r="AO1298">
        <v>99999</v>
      </c>
      <c r="AP1298" t="s">
        <v>64</v>
      </c>
      <c r="AR1298" t="b">
        <v>0</v>
      </c>
      <c r="AS1298">
        <v>12</v>
      </c>
      <c r="AT1298" t="s">
        <v>327</v>
      </c>
      <c r="AV1298" t="s">
        <v>3304</v>
      </c>
    </row>
    <row r="1299" spans="1:48" x14ac:dyDescent="0.25">
      <c r="A1299" t="s">
        <v>3323</v>
      </c>
      <c r="B1299" t="s">
        <v>302</v>
      </c>
      <c r="C1299" t="s">
        <v>62</v>
      </c>
      <c r="D1299">
        <v>99999</v>
      </c>
      <c r="F1299" s="109">
        <v>20000</v>
      </c>
      <c r="G1299" t="b">
        <v>0</v>
      </c>
      <c r="H1299" t="s">
        <v>343</v>
      </c>
      <c r="K1299" t="s">
        <v>61</v>
      </c>
      <c r="L1299" t="s">
        <v>303</v>
      </c>
      <c r="M1299" t="s">
        <v>323</v>
      </c>
      <c r="N1299" t="s">
        <v>63</v>
      </c>
      <c r="O1299" s="110">
        <v>29.9</v>
      </c>
      <c r="R1299" s="110">
        <v>375.58999999999992</v>
      </c>
      <c r="S1299" s="110">
        <v>130</v>
      </c>
      <c r="T1299" s="110">
        <v>0</v>
      </c>
      <c r="U1299" s="110">
        <v>34.99</v>
      </c>
      <c r="X1299">
        <v>165.69999999999996</v>
      </c>
      <c r="Y1299">
        <v>44.9</v>
      </c>
      <c r="Z1299">
        <v>44.9</v>
      </c>
      <c r="AA1299">
        <v>0</v>
      </c>
      <c r="AB1299" t="s">
        <v>324</v>
      </c>
      <c r="AF1299" t="s">
        <v>1902</v>
      </c>
      <c r="AG1299" t="s">
        <v>1902</v>
      </c>
      <c r="AH1299" t="s">
        <v>1903</v>
      </c>
      <c r="AI1299">
        <v>99999</v>
      </c>
      <c r="AJ1299">
        <v>99999</v>
      </c>
      <c r="AK1299">
        <v>699</v>
      </c>
      <c r="AL1299" t="b">
        <v>1</v>
      </c>
      <c r="AM1299" t="b">
        <v>1</v>
      </c>
      <c r="AN1299" t="b">
        <v>0</v>
      </c>
      <c r="AO1299">
        <v>99999</v>
      </c>
      <c r="AP1299" t="s">
        <v>64</v>
      </c>
      <c r="AR1299" t="b">
        <v>0</v>
      </c>
      <c r="AS1299">
        <v>12</v>
      </c>
      <c r="AT1299" t="s">
        <v>327</v>
      </c>
      <c r="AV1299" t="s">
        <v>1912</v>
      </c>
    </row>
    <row r="1300" spans="1:48" x14ac:dyDescent="0.25">
      <c r="A1300" t="s">
        <v>3323</v>
      </c>
      <c r="B1300" t="s">
        <v>302</v>
      </c>
      <c r="C1300" t="s">
        <v>62</v>
      </c>
      <c r="D1300">
        <v>99999</v>
      </c>
      <c r="F1300" s="109">
        <v>20000</v>
      </c>
      <c r="G1300" t="b">
        <v>0</v>
      </c>
      <c r="H1300" t="s">
        <v>343</v>
      </c>
      <c r="K1300" t="s">
        <v>61</v>
      </c>
      <c r="L1300" t="s">
        <v>303</v>
      </c>
      <c r="M1300" t="s">
        <v>323</v>
      </c>
      <c r="N1300" t="s">
        <v>63</v>
      </c>
      <c r="O1300" s="110">
        <v>29.9</v>
      </c>
      <c r="R1300" s="110">
        <v>409.89</v>
      </c>
      <c r="S1300" s="110">
        <v>130</v>
      </c>
      <c r="T1300" s="110">
        <v>0</v>
      </c>
      <c r="U1300" s="110">
        <v>42.99</v>
      </c>
      <c r="X1300">
        <v>191.99999999999997</v>
      </c>
      <c r="Y1300">
        <v>44.9</v>
      </c>
      <c r="Z1300">
        <v>44.9</v>
      </c>
      <c r="AA1300">
        <v>0</v>
      </c>
      <c r="AB1300" t="s">
        <v>324</v>
      </c>
      <c r="AF1300" t="s">
        <v>2051</v>
      </c>
      <c r="AG1300" t="s">
        <v>2051</v>
      </c>
      <c r="AH1300" t="s">
        <v>1903</v>
      </c>
      <c r="AI1300">
        <v>99999</v>
      </c>
      <c r="AJ1300">
        <v>99999</v>
      </c>
      <c r="AK1300">
        <v>699</v>
      </c>
      <c r="AL1300" t="b">
        <v>1</v>
      </c>
      <c r="AM1300" t="b">
        <v>1</v>
      </c>
      <c r="AN1300" t="b">
        <v>0</v>
      </c>
      <c r="AO1300">
        <v>99999</v>
      </c>
      <c r="AP1300" t="s">
        <v>64</v>
      </c>
      <c r="AR1300" t="b">
        <v>0</v>
      </c>
      <c r="AS1300">
        <v>12</v>
      </c>
      <c r="AT1300" t="s">
        <v>327</v>
      </c>
      <c r="AV1300" t="s">
        <v>2060</v>
      </c>
    </row>
    <row r="1301" spans="1:48" x14ac:dyDescent="0.25">
      <c r="A1301" t="s">
        <v>3323</v>
      </c>
      <c r="B1301" t="s">
        <v>302</v>
      </c>
      <c r="C1301" t="s">
        <v>62</v>
      </c>
      <c r="D1301">
        <v>99999</v>
      </c>
      <c r="F1301" s="109">
        <v>20000</v>
      </c>
      <c r="G1301" t="b">
        <v>0</v>
      </c>
      <c r="H1301" t="s">
        <v>343</v>
      </c>
      <c r="K1301" t="s">
        <v>61</v>
      </c>
      <c r="L1301" t="s">
        <v>303</v>
      </c>
      <c r="M1301" t="s">
        <v>323</v>
      </c>
      <c r="N1301" t="s">
        <v>63</v>
      </c>
      <c r="O1301" s="110">
        <v>39.9</v>
      </c>
      <c r="R1301" s="110">
        <v>375.58999999999992</v>
      </c>
      <c r="S1301" s="110">
        <v>130</v>
      </c>
      <c r="T1301" s="110">
        <v>0</v>
      </c>
      <c r="U1301" s="110">
        <v>34.99</v>
      </c>
      <c r="X1301">
        <v>165.69999999999996</v>
      </c>
      <c r="Y1301">
        <v>44.9</v>
      </c>
      <c r="Z1301">
        <v>44.9</v>
      </c>
      <c r="AA1301">
        <v>0</v>
      </c>
      <c r="AB1301" t="s">
        <v>324</v>
      </c>
      <c r="AF1301" t="s">
        <v>1970</v>
      </c>
      <c r="AG1301" t="s">
        <v>1970</v>
      </c>
      <c r="AH1301" t="s">
        <v>1903</v>
      </c>
      <c r="AI1301">
        <v>99999</v>
      </c>
      <c r="AJ1301">
        <v>99999</v>
      </c>
      <c r="AK1301">
        <v>699</v>
      </c>
      <c r="AL1301" t="b">
        <v>1</v>
      </c>
      <c r="AM1301" t="b">
        <v>1</v>
      </c>
      <c r="AN1301" t="b">
        <v>0</v>
      </c>
      <c r="AO1301">
        <v>99999</v>
      </c>
      <c r="AP1301" t="s">
        <v>64</v>
      </c>
      <c r="AR1301" t="b">
        <v>0</v>
      </c>
      <c r="AS1301">
        <v>12</v>
      </c>
      <c r="AT1301" t="s">
        <v>327</v>
      </c>
      <c r="AV1301" t="s">
        <v>1979</v>
      </c>
    </row>
    <row r="1302" spans="1:48" x14ac:dyDescent="0.25">
      <c r="A1302" t="s">
        <v>3323</v>
      </c>
      <c r="B1302" t="s">
        <v>302</v>
      </c>
      <c r="C1302" t="s">
        <v>62</v>
      </c>
      <c r="D1302">
        <v>99999</v>
      </c>
      <c r="F1302" s="109">
        <v>20000</v>
      </c>
      <c r="G1302" t="b">
        <v>0</v>
      </c>
      <c r="H1302" t="s">
        <v>343</v>
      </c>
      <c r="K1302" t="s">
        <v>61</v>
      </c>
      <c r="L1302" t="s">
        <v>303</v>
      </c>
      <c r="M1302" t="s">
        <v>323</v>
      </c>
      <c r="N1302" t="s">
        <v>63</v>
      </c>
      <c r="O1302" s="110">
        <v>39.9</v>
      </c>
      <c r="R1302" s="110">
        <v>409.89</v>
      </c>
      <c r="S1302" s="110">
        <v>130</v>
      </c>
      <c r="T1302" s="110">
        <v>0</v>
      </c>
      <c r="U1302" s="110">
        <v>42.99</v>
      </c>
      <c r="X1302">
        <v>191.99999999999997</v>
      </c>
      <c r="Y1302">
        <v>44.9</v>
      </c>
      <c r="Z1302">
        <v>44.9</v>
      </c>
      <c r="AA1302">
        <v>0</v>
      </c>
      <c r="AB1302" t="s">
        <v>324</v>
      </c>
      <c r="AF1302" t="s">
        <v>2118</v>
      </c>
      <c r="AG1302" t="s">
        <v>2118</v>
      </c>
      <c r="AH1302" t="s">
        <v>1903</v>
      </c>
      <c r="AI1302">
        <v>99999</v>
      </c>
      <c r="AJ1302">
        <v>99999</v>
      </c>
      <c r="AK1302">
        <v>699</v>
      </c>
      <c r="AL1302" t="b">
        <v>1</v>
      </c>
      <c r="AM1302" t="b">
        <v>1</v>
      </c>
      <c r="AN1302" t="b">
        <v>0</v>
      </c>
      <c r="AO1302">
        <v>99999</v>
      </c>
      <c r="AP1302" t="s">
        <v>64</v>
      </c>
      <c r="AR1302" t="b">
        <v>0</v>
      </c>
      <c r="AS1302">
        <v>12</v>
      </c>
      <c r="AT1302" t="s">
        <v>327</v>
      </c>
      <c r="AV1302" t="s">
        <v>2127</v>
      </c>
    </row>
    <row r="1303" spans="1:48" x14ac:dyDescent="0.25">
      <c r="A1303" t="s">
        <v>3323</v>
      </c>
      <c r="B1303" t="s">
        <v>302</v>
      </c>
      <c r="C1303" t="s">
        <v>62</v>
      </c>
      <c r="D1303">
        <v>99999</v>
      </c>
      <c r="F1303" s="109">
        <v>20000</v>
      </c>
      <c r="G1303" t="b">
        <v>0</v>
      </c>
      <c r="H1303" t="s">
        <v>343</v>
      </c>
      <c r="K1303" t="s">
        <v>61</v>
      </c>
      <c r="L1303" t="s">
        <v>303</v>
      </c>
      <c r="M1303" t="s">
        <v>323</v>
      </c>
      <c r="N1303" t="s">
        <v>63</v>
      </c>
      <c r="O1303" s="110">
        <v>49.9</v>
      </c>
      <c r="R1303" s="110">
        <v>375.58999999999992</v>
      </c>
      <c r="S1303" s="110">
        <v>130</v>
      </c>
      <c r="T1303" s="110">
        <v>0</v>
      </c>
      <c r="U1303" s="110">
        <v>34.99</v>
      </c>
      <c r="X1303">
        <v>165.69999999999996</v>
      </c>
      <c r="Y1303">
        <v>44.9</v>
      </c>
      <c r="Z1303">
        <v>44.9</v>
      </c>
      <c r="AA1303">
        <v>0</v>
      </c>
      <c r="AB1303" t="s">
        <v>324</v>
      </c>
      <c r="AF1303" t="s">
        <v>3181</v>
      </c>
      <c r="AG1303" t="s">
        <v>3181</v>
      </c>
      <c r="AH1303" t="s">
        <v>1903</v>
      </c>
      <c r="AI1303">
        <v>99999</v>
      </c>
      <c r="AJ1303">
        <v>99999</v>
      </c>
      <c r="AK1303">
        <v>699</v>
      </c>
      <c r="AL1303" t="b">
        <v>1</v>
      </c>
      <c r="AM1303" t="b">
        <v>1</v>
      </c>
      <c r="AN1303" t="b">
        <v>0</v>
      </c>
      <c r="AO1303">
        <v>99999</v>
      </c>
      <c r="AP1303" t="s">
        <v>64</v>
      </c>
      <c r="AR1303" t="b">
        <v>0</v>
      </c>
      <c r="AS1303">
        <v>12</v>
      </c>
      <c r="AT1303" t="s">
        <v>327</v>
      </c>
      <c r="AV1303" t="s">
        <v>3190</v>
      </c>
    </row>
    <row r="1304" spans="1:48" x14ac:dyDescent="0.25">
      <c r="A1304" t="s">
        <v>3323</v>
      </c>
      <c r="B1304" t="s">
        <v>302</v>
      </c>
      <c r="C1304" t="s">
        <v>62</v>
      </c>
      <c r="D1304">
        <v>99999</v>
      </c>
      <c r="F1304" s="109">
        <v>20000</v>
      </c>
      <c r="G1304" t="b">
        <v>0</v>
      </c>
      <c r="H1304" t="s">
        <v>343</v>
      </c>
      <c r="K1304" t="s">
        <v>61</v>
      </c>
      <c r="L1304" t="s">
        <v>303</v>
      </c>
      <c r="M1304" t="s">
        <v>323</v>
      </c>
      <c r="N1304" t="s">
        <v>63</v>
      </c>
      <c r="O1304" s="110">
        <v>49.9</v>
      </c>
      <c r="R1304" s="110">
        <v>409.89</v>
      </c>
      <c r="S1304" s="110">
        <v>130</v>
      </c>
      <c r="T1304" s="110">
        <v>0</v>
      </c>
      <c r="U1304" s="110">
        <v>42.99</v>
      </c>
      <c r="X1304">
        <v>191.99999999999997</v>
      </c>
      <c r="Y1304">
        <v>44.9</v>
      </c>
      <c r="Z1304">
        <v>44.9</v>
      </c>
      <c r="AA1304">
        <v>0</v>
      </c>
      <c r="AB1304" t="s">
        <v>324</v>
      </c>
      <c r="AF1304" t="s">
        <v>3255</v>
      </c>
      <c r="AG1304" t="s">
        <v>3255</v>
      </c>
      <c r="AH1304" t="s">
        <v>1903</v>
      </c>
      <c r="AI1304">
        <v>99999</v>
      </c>
      <c r="AJ1304">
        <v>99999</v>
      </c>
      <c r="AK1304">
        <v>699</v>
      </c>
      <c r="AL1304" t="b">
        <v>1</v>
      </c>
      <c r="AM1304" t="b">
        <v>1</v>
      </c>
      <c r="AN1304" t="b">
        <v>0</v>
      </c>
      <c r="AO1304">
        <v>99999</v>
      </c>
      <c r="AP1304" t="s">
        <v>64</v>
      </c>
      <c r="AR1304" t="b">
        <v>0</v>
      </c>
      <c r="AS1304">
        <v>12</v>
      </c>
      <c r="AT1304" t="s">
        <v>327</v>
      </c>
      <c r="AV1304" t="s">
        <v>3264</v>
      </c>
    </row>
    <row r="1305" spans="1:48" x14ac:dyDescent="0.25">
      <c r="A1305" t="s">
        <v>3323</v>
      </c>
      <c r="B1305" t="s">
        <v>302</v>
      </c>
      <c r="C1305" t="s">
        <v>62</v>
      </c>
      <c r="D1305">
        <v>99999</v>
      </c>
      <c r="F1305" s="109">
        <v>20000</v>
      </c>
      <c r="G1305" t="b">
        <v>0</v>
      </c>
      <c r="H1305" t="s">
        <v>339</v>
      </c>
      <c r="K1305" t="s">
        <v>349</v>
      </c>
      <c r="L1305" t="s">
        <v>303</v>
      </c>
      <c r="M1305" t="s">
        <v>323</v>
      </c>
      <c r="N1305" t="s">
        <v>63</v>
      </c>
      <c r="O1305" s="110">
        <v>29.9</v>
      </c>
      <c r="R1305" s="110">
        <v>330.58999999999992</v>
      </c>
      <c r="S1305" s="110">
        <v>130</v>
      </c>
      <c r="T1305" s="110">
        <v>0</v>
      </c>
      <c r="U1305" s="110">
        <v>34.99</v>
      </c>
      <c r="X1305">
        <v>120.69999999999996</v>
      </c>
      <c r="Y1305">
        <v>44.9</v>
      </c>
      <c r="Z1305">
        <v>44.9</v>
      </c>
      <c r="AA1305">
        <v>0</v>
      </c>
      <c r="AB1305" t="s">
        <v>324</v>
      </c>
      <c r="AF1305" t="s">
        <v>1902</v>
      </c>
      <c r="AG1305" t="s">
        <v>1902</v>
      </c>
      <c r="AH1305" t="s">
        <v>1903</v>
      </c>
      <c r="AI1305">
        <v>99999</v>
      </c>
      <c r="AJ1305">
        <v>99999</v>
      </c>
      <c r="AK1305">
        <v>699</v>
      </c>
      <c r="AL1305" t="b">
        <v>1</v>
      </c>
      <c r="AM1305" t="b">
        <v>1</v>
      </c>
      <c r="AN1305" t="b">
        <v>0</v>
      </c>
      <c r="AO1305">
        <v>99999</v>
      </c>
      <c r="AP1305" t="s">
        <v>64</v>
      </c>
      <c r="AR1305" t="b">
        <v>0</v>
      </c>
      <c r="AS1305">
        <v>12</v>
      </c>
      <c r="AT1305" t="s">
        <v>327</v>
      </c>
      <c r="AV1305" t="s">
        <v>1923</v>
      </c>
    </row>
    <row r="1306" spans="1:48" x14ac:dyDescent="0.25">
      <c r="A1306" t="s">
        <v>3323</v>
      </c>
      <c r="B1306" t="s">
        <v>302</v>
      </c>
      <c r="C1306" t="s">
        <v>62</v>
      </c>
      <c r="D1306">
        <v>99999</v>
      </c>
      <c r="F1306" s="109">
        <v>20000</v>
      </c>
      <c r="G1306" t="b">
        <v>0</v>
      </c>
      <c r="H1306" t="s">
        <v>339</v>
      </c>
      <c r="K1306" t="s">
        <v>349</v>
      </c>
      <c r="L1306" t="s">
        <v>303</v>
      </c>
      <c r="M1306" t="s">
        <v>323</v>
      </c>
      <c r="N1306" t="s">
        <v>63</v>
      </c>
      <c r="O1306" s="110">
        <v>29.9</v>
      </c>
      <c r="R1306" s="110">
        <v>364.89</v>
      </c>
      <c r="S1306" s="110">
        <v>130</v>
      </c>
      <c r="T1306" s="110">
        <v>0</v>
      </c>
      <c r="U1306" s="110">
        <v>42.99</v>
      </c>
      <c r="X1306">
        <v>146.99999999999997</v>
      </c>
      <c r="Y1306">
        <v>44.9</v>
      </c>
      <c r="Z1306">
        <v>44.9</v>
      </c>
      <c r="AA1306">
        <v>0</v>
      </c>
      <c r="AB1306" t="s">
        <v>324</v>
      </c>
      <c r="AF1306" t="s">
        <v>2051</v>
      </c>
      <c r="AG1306" t="s">
        <v>2051</v>
      </c>
      <c r="AH1306" t="s">
        <v>1903</v>
      </c>
      <c r="AI1306">
        <v>99999</v>
      </c>
      <c r="AJ1306">
        <v>99999</v>
      </c>
      <c r="AK1306">
        <v>699</v>
      </c>
      <c r="AL1306" t="b">
        <v>1</v>
      </c>
      <c r="AM1306" t="b">
        <v>1</v>
      </c>
      <c r="AN1306" t="b">
        <v>0</v>
      </c>
      <c r="AO1306">
        <v>99999</v>
      </c>
      <c r="AP1306" t="s">
        <v>64</v>
      </c>
      <c r="AR1306" t="b">
        <v>0</v>
      </c>
      <c r="AS1306">
        <v>12</v>
      </c>
      <c r="AT1306" t="s">
        <v>327</v>
      </c>
      <c r="AV1306" t="s">
        <v>2071</v>
      </c>
    </row>
    <row r="1307" spans="1:48" x14ac:dyDescent="0.25">
      <c r="A1307" t="s">
        <v>3323</v>
      </c>
      <c r="B1307" t="s">
        <v>302</v>
      </c>
      <c r="C1307" t="s">
        <v>62</v>
      </c>
      <c r="D1307">
        <v>99999</v>
      </c>
      <c r="F1307" s="109">
        <v>20000</v>
      </c>
      <c r="G1307" t="b">
        <v>0</v>
      </c>
      <c r="H1307" t="s">
        <v>339</v>
      </c>
      <c r="K1307" t="s">
        <v>349</v>
      </c>
      <c r="L1307" t="s">
        <v>303</v>
      </c>
      <c r="M1307" t="s">
        <v>323</v>
      </c>
      <c r="N1307" t="s">
        <v>63</v>
      </c>
      <c r="O1307" s="110">
        <v>39.9</v>
      </c>
      <c r="R1307" s="110">
        <v>330.58999999999992</v>
      </c>
      <c r="S1307" s="110">
        <v>130</v>
      </c>
      <c r="T1307" s="110">
        <v>0</v>
      </c>
      <c r="U1307" s="110">
        <v>34.99</v>
      </c>
      <c r="X1307">
        <v>120.69999999999996</v>
      </c>
      <c r="Y1307">
        <v>44.9</v>
      </c>
      <c r="Z1307">
        <v>44.9</v>
      </c>
      <c r="AA1307">
        <v>0</v>
      </c>
      <c r="AB1307" t="s">
        <v>324</v>
      </c>
      <c r="AF1307" t="s">
        <v>1970</v>
      </c>
      <c r="AG1307" t="s">
        <v>1970</v>
      </c>
      <c r="AH1307" t="s">
        <v>1903</v>
      </c>
      <c r="AI1307">
        <v>99999</v>
      </c>
      <c r="AJ1307">
        <v>99999</v>
      </c>
      <c r="AK1307">
        <v>699</v>
      </c>
      <c r="AL1307" t="b">
        <v>1</v>
      </c>
      <c r="AM1307" t="b">
        <v>1</v>
      </c>
      <c r="AN1307" t="b">
        <v>0</v>
      </c>
      <c r="AO1307">
        <v>99999</v>
      </c>
      <c r="AP1307" t="s">
        <v>64</v>
      </c>
      <c r="AR1307" t="b">
        <v>0</v>
      </c>
      <c r="AS1307">
        <v>12</v>
      </c>
      <c r="AT1307" t="s">
        <v>327</v>
      </c>
      <c r="AV1307" t="s">
        <v>1990</v>
      </c>
    </row>
    <row r="1308" spans="1:48" x14ac:dyDescent="0.25">
      <c r="A1308" t="s">
        <v>3323</v>
      </c>
      <c r="B1308" t="s">
        <v>302</v>
      </c>
      <c r="C1308" t="s">
        <v>62</v>
      </c>
      <c r="D1308">
        <v>99999</v>
      </c>
      <c r="F1308" s="109">
        <v>20000</v>
      </c>
      <c r="G1308" t="b">
        <v>0</v>
      </c>
      <c r="H1308" t="s">
        <v>339</v>
      </c>
      <c r="K1308" t="s">
        <v>349</v>
      </c>
      <c r="L1308" t="s">
        <v>303</v>
      </c>
      <c r="M1308" t="s">
        <v>323</v>
      </c>
      <c r="N1308" t="s">
        <v>63</v>
      </c>
      <c r="O1308" s="110">
        <v>39.9</v>
      </c>
      <c r="R1308" s="110">
        <v>364.89</v>
      </c>
      <c r="S1308" s="110">
        <v>130</v>
      </c>
      <c r="T1308" s="110">
        <v>0</v>
      </c>
      <c r="U1308" s="110">
        <v>42.99</v>
      </c>
      <c r="X1308">
        <v>146.99999999999997</v>
      </c>
      <c r="Y1308">
        <v>44.9</v>
      </c>
      <c r="Z1308">
        <v>44.9</v>
      </c>
      <c r="AA1308">
        <v>0</v>
      </c>
      <c r="AB1308" t="s">
        <v>324</v>
      </c>
      <c r="AF1308" t="s">
        <v>2118</v>
      </c>
      <c r="AG1308" t="s">
        <v>2118</v>
      </c>
      <c r="AH1308" t="s">
        <v>1903</v>
      </c>
      <c r="AI1308">
        <v>99999</v>
      </c>
      <c r="AJ1308">
        <v>99999</v>
      </c>
      <c r="AK1308">
        <v>699</v>
      </c>
      <c r="AL1308" t="b">
        <v>1</v>
      </c>
      <c r="AM1308" t="b">
        <v>1</v>
      </c>
      <c r="AN1308" t="b">
        <v>0</v>
      </c>
      <c r="AO1308">
        <v>99999</v>
      </c>
      <c r="AP1308" t="s">
        <v>64</v>
      </c>
      <c r="AR1308" t="b">
        <v>0</v>
      </c>
      <c r="AS1308">
        <v>12</v>
      </c>
      <c r="AT1308" t="s">
        <v>327</v>
      </c>
      <c r="AV1308" t="s">
        <v>2138</v>
      </c>
    </row>
    <row r="1309" spans="1:48" x14ac:dyDescent="0.25">
      <c r="A1309" t="s">
        <v>3323</v>
      </c>
      <c r="B1309" t="s">
        <v>302</v>
      </c>
      <c r="C1309" t="s">
        <v>62</v>
      </c>
      <c r="D1309">
        <v>99999</v>
      </c>
      <c r="F1309" s="109">
        <v>20000</v>
      </c>
      <c r="G1309" t="b">
        <v>0</v>
      </c>
      <c r="H1309" t="s">
        <v>339</v>
      </c>
      <c r="K1309" t="s">
        <v>349</v>
      </c>
      <c r="L1309" t="s">
        <v>303</v>
      </c>
      <c r="M1309" t="s">
        <v>323</v>
      </c>
      <c r="N1309" t="s">
        <v>63</v>
      </c>
      <c r="O1309" s="110">
        <v>49.9</v>
      </c>
      <c r="R1309" s="110">
        <v>330.58999999999992</v>
      </c>
      <c r="S1309" s="110">
        <v>130</v>
      </c>
      <c r="T1309" s="110">
        <v>0</v>
      </c>
      <c r="U1309" s="110">
        <v>34.99</v>
      </c>
      <c r="X1309">
        <v>120.69999999999996</v>
      </c>
      <c r="Y1309">
        <v>44.9</v>
      </c>
      <c r="Z1309">
        <v>44.9</v>
      </c>
      <c r="AA1309">
        <v>0</v>
      </c>
      <c r="AB1309" t="s">
        <v>324</v>
      </c>
      <c r="AF1309" t="s">
        <v>3181</v>
      </c>
      <c r="AG1309" t="s">
        <v>3181</v>
      </c>
      <c r="AH1309" t="s">
        <v>1903</v>
      </c>
      <c r="AI1309">
        <v>99999</v>
      </c>
      <c r="AJ1309">
        <v>99999</v>
      </c>
      <c r="AK1309">
        <v>699</v>
      </c>
      <c r="AL1309" t="b">
        <v>1</v>
      </c>
      <c r="AM1309" t="b">
        <v>1</v>
      </c>
      <c r="AN1309" t="b">
        <v>0</v>
      </c>
      <c r="AO1309">
        <v>99999</v>
      </c>
      <c r="AP1309" t="s">
        <v>64</v>
      </c>
      <c r="AR1309" t="b">
        <v>0</v>
      </c>
      <c r="AS1309">
        <v>12</v>
      </c>
      <c r="AT1309" t="s">
        <v>327</v>
      </c>
      <c r="AV1309" t="s">
        <v>3201</v>
      </c>
    </row>
    <row r="1310" spans="1:48" x14ac:dyDescent="0.25">
      <c r="A1310" t="s">
        <v>3323</v>
      </c>
      <c r="B1310" t="s">
        <v>302</v>
      </c>
      <c r="C1310" t="s">
        <v>62</v>
      </c>
      <c r="D1310">
        <v>99999</v>
      </c>
      <c r="F1310" s="109">
        <v>20000</v>
      </c>
      <c r="G1310" t="b">
        <v>0</v>
      </c>
      <c r="H1310" t="s">
        <v>339</v>
      </c>
      <c r="K1310" t="s">
        <v>349</v>
      </c>
      <c r="L1310" t="s">
        <v>303</v>
      </c>
      <c r="M1310" t="s">
        <v>323</v>
      </c>
      <c r="N1310" t="s">
        <v>63</v>
      </c>
      <c r="O1310" s="110">
        <v>49.9</v>
      </c>
      <c r="R1310" s="110">
        <v>364.89</v>
      </c>
      <c r="S1310" s="110">
        <v>130</v>
      </c>
      <c r="T1310" s="110">
        <v>0</v>
      </c>
      <c r="U1310" s="110">
        <v>42.99</v>
      </c>
      <c r="X1310">
        <v>146.99999999999997</v>
      </c>
      <c r="Y1310">
        <v>44.9</v>
      </c>
      <c r="Z1310">
        <v>44.9</v>
      </c>
      <c r="AA1310">
        <v>0</v>
      </c>
      <c r="AB1310" t="s">
        <v>324</v>
      </c>
      <c r="AF1310" t="s">
        <v>3255</v>
      </c>
      <c r="AG1310" t="s">
        <v>3255</v>
      </c>
      <c r="AH1310" t="s">
        <v>1903</v>
      </c>
      <c r="AI1310">
        <v>99999</v>
      </c>
      <c r="AJ1310">
        <v>99999</v>
      </c>
      <c r="AK1310">
        <v>699</v>
      </c>
      <c r="AL1310" t="b">
        <v>1</v>
      </c>
      <c r="AM1310" t="b">
        <v>1</v>
      </c>
      <c r="AN1310" t="b">
        <v>0</v>
      </c>
      <c r="AO1310">
        <v>99999</v>
      </c>
      <c r="AP1310" t="s">
        <v>64</v>
      </c>
      <c r="AR1310" t="b">
        <v>0</v>
      </c>
      <c r="AS1310">
        <v>12</v>
      </c>
      <c r="AT1310" t="s">
        <v>327</v>
      </c>
      <c r="AV1310" t="s">
        <v>3275</v>
      </c>
    </row>
    <row r="1311" spans="1:48" x14ac:dyDescent="0.25">
      <c r="A1311" t="s">
        <v>3323</v>
      </c>
      <c r="B1311" t="s">
        <v>302</v>
      </c>
      <c r="C1311" t="s">
        <v>62</v>
      </c>
      <c r="D1311">
        <v>99999</v>
      </c>
      <c r="F1311" s="109">
        <v>20000</v>
      </c>
      <c r="G1311" t="b">
        <v>0</v>
      </c>
      <c r="H1311" t="s">
        <v>339</v>
      </c>
      <c r="K1311" t="s">
        <v>393</v>
      </c>
      <c r="L1311" t="s">
        <v>303</v>
      </c>
      <c r="M1311" t="s">
        <v>323</v>
      </c>
      <c r="N1311" t="s">
        <v>63</v>
      </c>
      <c r="O1311" s="110">
        <v>29.9</v>
      </c>
      <c r="R1311" s="110">
        <v>355.59</v>
      </c>
      <c r="S1311" s="110">
        <v>130</v>
      </c>
      <c r="T1311" s="110">
        <v>0</v>
      </c>
      <c r="U1311" s="110">
        <v>34.99</v>
      </c>
      <c r="X1311">
        <v>120.69999999999996</v>
      </c>
      <c r="Y1311">
        <v>69.900000000000006</v>
      </c>
      <c r="Z1311">
        <v>69.900000000000006</v>
      </c>
      <c r="AA1311">
        <v>0</v>
      </c>
      <c r="AB1311" t="s">
        <v>363</v>
      </c>
      <c r="AF1311" t="s">
        <v>1930</v>
      </c>
      <c r="AG1311" t="s">
        <v>1930</v>
      </c>
      <c r="AH1311" t="s">
        <v>1903</v>
      </c>
      <c r="AI1311">
        <v>99999</v>
      </c>
      <c r="AJ1311">
        <v>99999</v>
      </c>
      <c r="AK1311">
        <v>699</v>
      </c>
      <c r="AL1311" t="b">
        <v>1</v>
      </c>
      <c r="AM1311" t="b">
        <v>1</v>
      </c>
      <c r="AN1311" t="b">
        <v>0</v>
      </c>
      <c r="AO1311">
        <v>99999</v>
      </c>
      <c r="AP1311" t="s">
        <v>64</v>
      </c>
      <c r="AR1311" t="b">
        <v>0</v>
      </c>
      <c r="AS1311">
        <v>12</v>
      </c>
      <c r="AT1311" t="s">
        <v>327</v>
      </c>
      <c r="AV1311" t="s">
        <v>1963</v>
      </c>
    </row>
    <row r="1312" spans="1:48" x14ac:dyDescent="0.25">
      <c r="A1312" t="s">
        <v>3323</v>
      </c>
      <c r="B1312" t="s">
        <v>302</v>
      </c>
      <c r="C1312" t="s">
        <v>62</v>
      </c>
      <c r="D1312">
        <v>99999</v>
      </c>
      <c r="F1312" s="109">
        <v>20000</v>
      </c>
      <c r="G1312" t="b">
        <v>0</v>
      </c>
      <c r="H1312" t="s">
        <v>339</v>
      </c>
      <c r="K1312" t="s">
        <v>393</v>
      </c>
      <c r="L1312" t="s">
        <v>303</v>
      </c>
      <c r="M1312" t="s">
        <v>323</v>
      </c>
      <c r="N1312" t="s">
        <v>63</v>
      </c>
      <c r="O1312" s="110">
        <v>29.9</v>
      </c>
      <c r="R1312" s="110">
        <v>389.89</v>
      </c>
      <c r="S1312" s="110">
        <v>130</v>
      </c>
      <c r="T1312" s="110">
        <v>0</v>
      </c>
      <c r="U1312" s="110">
        <v>42.99</v>
      </c>
      <c r="X1312">
        <v>146.99999999999997</v>
      </c>
      <c r="Y1312">
        <v>69.900000000000006</v>
      </c>
      <c r="Z1312">
        <v>69.900000000000006</v>
      </c>
      <c r="AA1312">
        <v>0</v>
      </c>
      <c r="AB1312" t="s">
        <v>363</v>
      </c>
      <c r="AF1312" t="s">
        <v>2078</v>
      </c>
      <c r="AG1312" t="s">
        <v>2078</v>
      </c>
      <c r="AH1312" t="s">
        <v>1903</v>
      </c>
      <c r="AI1312">
        <v>99999</v>
      </c>
      <c r="AJ1312">
        <v>99999</v>
      </c>
      <c r="AK1312">
        <v>699</v>
      </c>
      <c r="AL1312" t="b">
        <v>1</v>
      </c>
      <c r="AM1312" t="b">
        <v>1</v>
      </c>
      <c r="AN1312" t="b">
        <v>0</v>
      </c>
      <c r="AO1312">
        <v>99999</v>
      </c>
      <c r="AP1312" t="s">
        <v>64</v>
      </c>
      <c r="AR1312" t="b">
        <v>0</v>
      </c>
      <c r="AS1312">
        <v>12</v>
      </c>
      <c r="AT1312" t="s">
        <v>327</v>
      </c>
      <c r="AV1312" t="s">
        <v>2111</v>
      </c>
    </row>
    <row r="1313" spans="1:48" x14ac:dyDescent="0.25">
      <c r="A1313" t="s">
        <v>3323</v>
      </c>
      <c r="B1313" t="s">
        <v>302</v>
      </c>
      <c r="C1313" t="s">
        <v>62</v>
      </c>
      <c r="D1313">
        <v>99999</v>
      </c>
      <c r="F1313" s="109">
        <v>20000</v>
      </c>
      <c r="G1313" t="b">
        <v>0</v>
      </c>
      <c r="H1313" t="s">
        <v>339</v>
      </c>
      <c r="K1313" t="s">
        <v>393</v>
      </c>
      <c r="L1313" t="s">
        <v>303</v>
      </c>
      <c r="M1313" t="s">
        <v>323</v>
      </c>
      <c r="N1313" t="s">
        <v>63</v>
      </c>
      <c r="O1313" s="110">
        <v>39.9</v>
      </c>
      <c r="R1313" s="110">
        <v>355.59</v>
      </c>
      <c r="S1313" s="110">
        <v>130</v>
      </c>
      <c r="T1313" s="110">
        <v>0</v>
      </c>
      <c r="U1313" s="110">
        <v>34.99</v>
      </c>
      <c r="X1313">
        <v>120.69999999999996</v>
      </c>
      <c r="Y1313">
        <v>69.900000000000006</v>
      </c>
      <c r="Z1313">
        <v>69.900000000000006</v>
      </c>
      <c r="AA1313">
        <v>0</v>
      </c>
      <c r="AB1313" t="s">
        <v>363</v>
      </c>
      <c r="AF1313" t="s">
        <v>1997</v>
      </c>
      <c r="AG1313" t="s">
        <v>1997</v>
      </c>
      <c r="AH1313" t="s">
        <v>1903</v>
      </c>
      <c r="AI1313">
        <v>99999</v>
      </c>
      <c r="AJ1313">
        <v>99999</v>
      </c>
      <c r="AK1313">
        <v>699</v>
      </c>
      <c r="AL1313" t="b">
        <v>1</v>
      </c>
      <c r="AM1313" t="b">
        <v>1</v>
      </c>
      <c r="AN1313" t="b">
        <v>0</v>
      </c>
      <c r="AO1313">
        <v>99999</v>
      </c>
      <c r="AP1313" t="s">
        <v>64</v>
      </c>
      <c r="AR1313" t="b">
        <v>0</v>
      </c>
      <c r="AS1313">
        <v>12</v>
      </c>
      <c r="AT1313" t="s">
        <v>327</v>
      </c>
      <c r="AV1313" t="s">
        <v>2030</v>
      </c>
    </row>
    <row r="1314" spans="1:48" x14ac:dyDescent="0.25">
      <c r="A1314" t="s">
        <v>3323</v>
      </c>
      <c r="B1314" t="s">
        <v>302</v>
      </c>
      <c r="C1314" t="s">
        <v>62</v>
      </c>
      <c r="D1314">
        <v>99999</v>
      </c>
      <c r="F1314" s="109">
        <v>20000</v>
      </c>
      <c r="G1314" t="b">
        <v>0</v>
      </c>
      <c r="H1314" t="s">
        <v>339</v>
      </c>
      <c r="K1314" t="s">
        <v>393</v>
      </c>
      <c r="L1314" t="s">
        <v>303</v>
      </c>
      <c r="M1314" t="s">
        <v>323</v>
      </c>
      <c r="N1314" t="s">
        <v>63</v>
      </c>
      <c r="O1314" s="110">
        <v>39.9</v>
      </c>
      <c r="R1314" s="110">
        <v>389.89</v>
      </c>
      <c r="S1314" s="110">
        <v>130</v>
      </c>
      <c r="T1314" s="110">
        <v>0</v>
      </c>
      <c r="U1314" s="110">
        <v>42.99</v>
      </c>
      <c r="X1314">
        <v>146.99999999999997</v>
      </c>
      <c r="Y1314">
        <v>69.900000000000006</v>
      </c>
      <c r="Z1314">
        <v>69.900000000000006</v>
      </c>
      <c r="AA1314">
        <v>0</v>
      </c>
      <c r="AB1314" t="s">
        <v>363</v>
      </c>
      <c r="AF1314" t="s">
        <v>2145</v>
      </c>
      <c r="AG1314" t="s">
        <v>2145</v>
      </c>
      <c r="AH1314" t="s">
        <v>1903</v>
      </c>
      <c r="AI1314">
        <v>99999</v>
      </c>
      <c r="AJ1314">
        <v>99999</v>
      </c>
      <c r="AK1314">
        <v>699</v>
      </c>
      <c r="AL1314" t="b">
        <v>1</v>
      </c>
      <c r="AM1314" t="b">
        <v>1</v>
      </c>
      <c r="AN1314" t="b">
        <v>0</v>
      </c>
      <c r="AO1314">
        <v>99999</v>
      </c>
      <c r="AP1314" t="s">
        <v>64</v>
      </c>
      <c r="AR1314" t="b">
        <v>0</v>
      </c>
      <c r="AS1314">
        <v>12</v>
      </c>
      <c r="AT1314" t="s">
        <v>327</v>
      </c>
      <c r="AV1314" t="s">
        <v>2178</v>
      </c>
    </row>
    <row r="1315" spans="1:48" x14ac:dyDescent="0.25">
      <c r="A1315" t="s">
        <v>3323</v>
      </c>
      <c r="B1315" t="s">
        <v>302</v>
      </c>
      <c r="C1315" t="s">
        <v>62</v>
      </c>
      <c r="D1315">
        <v>99999</v>
      </c>
      <c r="F1315" s="109">
        <v>20000</v>
      </c>
      <c r="G1315" t="b">
        <v>0</v>
      </c>
      <c r="H1315" t="s">
        <v>339</v>
      </c>
      <c r="K1315" t="s">
        <v>393</v>
      </c>
      <c r="L1315" t="s">
        <v>303</v>
      </c>
      <c r="M1315" t="s">
        <v>323</v>
      </c>
      <c r="N1315" t="s">
        <v>63</v>
      </c>
      <c r="O1315" s="110">
        <v>49.9</v>
      </c>
      <c r="R1315" s="110">
        <v>355.59</v>
      </c>
      <c r="S1315" s="110">
        <v>130</v>
      </c>
      <c r="T1315" s="110">
        <v>0</v>
      </c>
      <c r="U1315" s="110">
        <v>34.99</v>
      </c>
      <c r="X1315">
        <v>120.69999999999996</v>
      </c>
      <c r="Y1315">
        <v>69.900000000000006</v>
      </c>
      <c r="Z1315">
        <v>69.900000000000006</v>
      </c>
      <c r="AA1315">
        <v>0</v>
      </c>
      <c r="AB1315" t="s">
        <v>363</v>
      </c>
      <c r="AF1315" t="s">
        <v>3208</v>
      </c>
      <c r="AG1315" t="s">
        <v>3208</v>
      </c>
      <c r="AH1315" t="s">
        <v>1903</v>
      </c>
      <c r="AI1315">
        <v>99999</v>
      </c>
      <c r="AJ1315">
        <v>99999</v>
      </c>
      <c r="AK1315">
        <v>699</v>
      </c>
      <c r="AL1315" t="b">
        <v>1</v>
      </c>
      <c r="AM1315" t="b">
        <v>1</v>
      </c>
      <c r="AN1315" t="b">
        <v>0</v>
      </c>
      <c r="AO1315">
        <v>99999</v>
      </c>
      <c r="AP1315" t="s">
        <v>64</v>
      </c>
      <c r="AR1315" t="b">
        <v>0</v>
      </c>
      <c r="AS1315">
        <v>12</v>
      </c>
      <c r="AT1315" t="s">
        <v>327</v>
      </c>
      <c r="AV1315" t="s">
        <v>3241</v>
      </c>
    </row>
    <row r="1316" spans="1:48" x14ac:dyDescent="0.25">
      <c r="A1316" t="s">
        <v>3323</v>
      </c>
      <c r="B1316" t="s">
        <v>302</v>
      </c>
      <c r="C1316" t="s">
        <v>62</v>
      </c>
      <c r="D1316">
        <v>99999</v>
      </c>
      <c r="F1316" s="109">
        <v>20000</v>
      </c>
      <c r="G1316" t="b">
        <v>0</v>
      </c>
      <c r="H1316" t="s">
        <v>339</v>
      </c>
      <c r="K1316" t="s">
        <v>393</v>
      </c>
      <c r="L1316" t="s">
        <v>303</v>
      </c>
      <c r="M1316" t="s">
        <v>323</v>
      </c>
      <c r="N1316" t="s">
        <v>63</v>
      </c>
      <c r="O1316" s="110">
        <v>49.9</v>
      </c>
      <c r="R1316" s="110">
        <v>389.89</v>
      </c>
      <c r="S1316" s="110">
        <v>130</v>
      </c>
      <c r="T1316" s="110">
        <v>0</v>
      </c>
      <c r="U1316" s="110">
        <v>42.99</v>
      </c>
      <c r="X1316">
        <v>146.99999999999997</v>
      </c>
      <c r="Y1316">
        <v>69.900000000000006</v>
      </c>
      <c r="Z1316">
        <v>69.900000000000006</v>
      </c>
      <c r="AA1316">
        <v>0</v>
      </c>
      <c r="AB1316" t="s">
        <v>363</v>
      </c>
      <c r="AF1316" t="s">
        <v>3282</v>
      </c>
      <c r="AG1316" t="s">
        <v>3282</v>
      </c>
      <c r="AH1316" t="s">
        <v>1903</v>
      </c>
      <c r="AI1316">
        <v>99999</v>
      </c>
      <c r="AJ1316">
        <v>99999</v>
      </c>
      <c r="AK1316">
        <v>699</v>
      </c>
      <c r="AL1316" t="b">
        <v>1</v>
      </c>
      <c r="AM1316" t="b">
        <v>1</v>
      </c>
      <c r="AN1316" t="b">
        <v>0</v>
      </c>
      <c r="AO1316">
        <v>99999</v>
      </c>
      <c r="AP1316" t="s">
        <v>64</v>
      </c>
      <c r="AR1316" t="b">
        <v>0</v>
      </c>
      <c r="AS1316">
        <v>12</v>
      </c>
      <c r="AT1316" t="s">
        <v>327</v>
      </c>
      <c r="AV1316" t="s">
        <v>3315</v>
      </c>
    </row>
    <row r="1317" spans="1:48" x14ac:dyDescent="0.25">
      <c r="A1317" t="s">
        <v>3323</v>
      </c>
      <c r="B1317" t="s">
        <v>302</v>
      </c>
      <c r="C1317" t="s">
        <v>62</v>
      </c>
      <c r="D1317">
        <v>99999</v>
      </c>
      <c r="F1317" s="109">
        <v>20000</v>
      </c>
      <c r="G1317" t="b">
        <v>0</v>
      </c>
      <c r="H1317" t="s">
        <v>339</v>
      </c>
      <c r="K1317" t="s">
        <v>364</v>
      </c>
      <c r="L1317" t="s">
        <v>303</v>
      </c>
      <c r="M1317" t="s">
        <v>323</v>
      </c>
      <c r="N1317" t="s">
        <v>63</v>
      </c>
      <c r="O1317" s="110">
        <v>29.9</v>
      </c>
      <c r="R1317" s="110">
        <v>335.58999999999992</v>
      </c>
      <c r="S1317" s="110">
        <v>130</v>
      </c>
      <c r="T1317" s="110">
        <v>0</v>
      </c>
      <c r="U1317" s="110">
        <v>34.99</v>
      </c>
      <c r="X1317">
        <v>120.69999999999996</v>
      </c>
      <c r="Y1317">
        <v>49.9</v>
      </c>
      <c r="Z1317">
        <v>49.9</v>
      </c>
      <c r="AA1317">
        <v>0</v>
      </c>
      <c r="AB1317" t="s">
        <v>363</v>
      </c>
      <c r="AF1317" t="s">
        <v>1930</v>
      </c>
      <c r="AG1317" t="s">
        <v>1930</v>
      </c>
      <c r="AH1317" t="s">
        <v>1903</v>
      </c>
      <c r="AI1317">
        <v>99999</v>
      </c>
      <c r="AJ1317">
        <v>99999</v>
      </c>
      <c r="AK1317">
        <v>699</v>
      </c>
      <c r="AL1317" t="b">
        <v>1</v>
      </c>
      <c r="AM1317" t="b">
        <v>1</v>
      </c>
      <c r="AN1317" t="b">
        <v>0</v>
      </c>
      <c r="AO1317">
        <v>99999</v>
      </c>
      <c r="AP1317" t="s">
        <v>64</v>
      </c>
      <c r="AR1317" t="b">
        <v>0</v>
      </c>
      <c r="AS1317">
        <v>12</v>
      </c>
      <c r="AT1317" t="s">
        <v>327</v>
      </c>
      <c r="AV1317" t="s">
        <v>1937</v>
      </c>
    </row>
    <row r="1318" spans="1:48" x14ac:dyDescent="0.25">
      <c r="A1318" t="s">
        <v>3323</v>
      </c>
      <c r="B1318" t="s">
        <v>302</v>
      </c>
      <c r="C1318" t="s">
        <v>62</v>
      </c>
      <c r="D1318">
        <v>99999</v>
      </c>
      <c r="F1318" s="109">
        <v>20000</v>
      </c>
      <c r="G1318" t="b">
        <v>0</v>
      </c>
      <c r="H1318" t="s">
        <v>339</v>
      </c>
      <c r="K1318" t="s">
        <v>364</v>
      </c>
      <c r="L1318" t="s">
        <v>303</v>
      </c>
      <c r="M1318" t="s">
        <v>323</v>
      </c>
      <c r="N1318" t="s">
        <v>63</v>
      </c>
      <c r="O1318" s="110">
        <v>29.9</v>
      </c>
      <c r="R1318" s="110">
        <v>369.89</v>
      </c>
      <c r="S1318" s="110">
        <v>130</v>
      </c>
      <c r="T1318" s="110">
        <v>0</v>
      </c>
      <c r="U1318" s="110">
        <v>42.99</v>
      </c>
      <c r="X1318">
        <v>146.99999999999997</v>
      </c>
      <c r="Y1318">
        <v>49.9</v>
      </c>
      <c r="Z1318">
        <v>49.9</v>
      </c>
      <c r="AA1318">
        <v>0</v>
      </c>
      <c r="AB1318" t="s">
        <v>363</v>
      </c>
      <c r="AF1318" t="s">
        <v>2078</v>
      </c>
      <c r="AG1318" t="s">
        <v>2078</v>
      </c>
      <c r="AH1318" t="s">
        <v>1903</v>
      </c>
      <c r="AI1318">
        <v>99999</v>
      </c>
      <c r="AJ1318">
        <v>99999</v>
      </c>
      <c r="AK1318">
        <v>699</v>
      </c>
      <c r="AL1318" t="b">
        <v>1</v>
      </c>
      <c r="AM1318" t="b">
        <v>1</v>
      </c>
      <c r="AN1318" t="b">
        <v>0</v>
      </c>
      <c r="AO1318">
        <v>99999</v>
      </c>
      <c r="AP1318" t="s">
        <v>64</v>
      </c>
      <c r="AR1318" t="b">
        <v>0</v>
      </c>
      <c r="AS1318">
        <v>12</v>
      </c>
      <c r="AT1318" t="s">
        <v>327</v>
      </c>
      <c r="AV1318" t="s">
        <v>2085</v>
      </c>
    </row>
    <row r="1319" spans="1:48" x14ac:dyDescent="0.25">
      <c r="A1319" t="s">
        <v>3323</v>
      </c>
      <c r="B1319" t="s">
        <v>302</v>
      </c>
      <c r="C1319" t="s">
        <v>62</v>
      </c>
      <c r="D1319">
        <v>99999</v>
      </c>
      <c r="F1319" s="109">
        <v>20000</v>
      </c>
      <c r="G1319" t="b">
        <v>0</v>
      </c>
      <c r="H1319" t="s">
        <v>339</v>
      </c>
      <c r="K1319" t="s">
        <v>364</v>
      </c>
      <c r="L1319" t="s">
        <v>303</v>
      </c>
      <c r="M1319" t="s">
        <v>323</v>
      </c>
      <c r="N1319" t="s">
        <v>63</v>
      </c>
      <c r="O1319" s="110">
        <v>39.9</v>
      </c>
      <c r="R1319" s="110">
        <v>335.58999999999992</v>
      </c>
      <c r="S1319" s="110">
        <v>130</v>
      </c>
      <c r="T1319" s="110">
        <v>0</v>
      </c>
      <c r="U1319" s="110">
        <v>34.99</v>
      </c>
      <c r="X1319">
        <v>120.69999999999996</v>
      </c>
      <c r="Y1319">
        <v>49.9</v>
      </c>
      <c r="Z1319">
        <v>49.9</v>
      </c>
      <c r="AA1319">
        <v>0</v>
      </c>
      <c r="AB1319" t="s">
        <v>363</v>
      </c>
      <c r="AF1319" t="s">
        <v>1997</v>
      </c>
      <c r="AG1319" t="s">
        <v>1997</v>
      </c>
      <c r="AH1319" t="s">
        <v>1903</v>
      </c>
      <c r="AI1319">
        <v>99999</v>
      </c>
      <c r="AJ1319">
        <v>99999</v>
      </c>
      <c r="AK1319">
        <v>699</v>
      </c>
      <c r="AL1319" t="b">
        <v>1</v>
      </c>
      <c r="AM1319" t="b">
        <v>1</v>
      </c>
      <c r="AN1319" t="b">
        <v>0</v>
      </c>
      <c r="AO1319">
        <v>99999</v>
      </c>
      <c r="AP1319" t="s">
        <v>64</v>
      </c>
      <c r="AR1319" t="b">
        <v>0</v>
      </c>
      <c r="AS1319">
        <v>12</v>
      </c>
      <c r="AT1319" t="s">
        <v>327</v>
      </c>
      <c r="AV1319" t="s">
        <v>2004</v>
      </c>
    </row>
    <row r="1320" spans="1:48" x14ac:dyDescent="0.25">
      <c r="A1320" t="s">
        <v>3323</v>
      </c>
      <c r="B1320" t="s">
        <v>302</v>
      </c>
      <c r="C1320" t="s">
        <v>62</v>
      </c>
      <c r="D1320">
        <v>99999</v>
      </c>
      <c r="F1320" s="109">
        <v>20000</v>
      </c>
      <c r="G1320" t="b">
        <v>0</v>
      </c>
      <c r="H1320" t="s">
        <v>339</v>
      </c>
      <c r="K1320" t="s">
        <v>364</v>
      </c>
      <c r="L1320" t="s">
        <v>303</v>
      </c>
      <c r="M1320" t="s">
        <v>323</v>
      </c>
      <c r="N1320" t="s">
        <v>63</v>
      </c>
      <c r="O1320" s="110">
        <v>39.9</v>
      </c>
      <c r="R1320" s="110">
        <v>369.89</v>
      </c>
      <c r="S1320" s="110">
        <v>130</v>
      </c>
      <c r="T1320" s="110">
        <v>0</v>
      </c>
      <c r="U1320" s="110">
        <v>42.99</v>
      </c>
      <c r="X1320">
        <v>146.99999999999997</v>
      </c>
      <c r="Y1320">
        <v>49.9</v>
      </c>
      <c r="Z1320">
        <v>49.9</v>
      </c>
      <c r="AA1320">
        <v>0</v>
      </c>
      <c r="AB1320" t="s">
        <v>363</v>
      </c>
      <c r="AF1320" t="s">
        <v>2145</v>
      </c>
      <c r="AG1320" t="s">
        <v>2145</v>
      </c>
      <c r="AH1320" t="s">
        <v>1903</v>
      </c>
      <c r="AI1320">
        <v>99999</v>
      </c>
      <c r="AJ1320">
        <v>99999</v>
      </c>
      <c r="AK1320">
        <v>699</v>
      </c>
      <c r="AL1320" t="b">
        <v>1</v>
      </c>
      <c r="AM1320" t="b">
        <v>1</v>
      </c>
      <c r="AN1320" t="b">
        <v>0</v>
      </c>
      <c r="AO1320">
        <v>99999</v>
      </c>
      <c r="AP1320" t="s">
        <v>64</v>
      </c>
      <c r="AR1320" t="b">
        <v>0</v>
      </c>
      <c r="AS1320">
        <v>12</v>
      </c>
      <c r="AT1320" t="s">
        <v>327</v>
      </c>
      <c r="AV1320" t="s">
        <v>2152</v>
      </c>
    </row>
    <row r="1321" spans="1:48" x14ac:dyDescent="0.25">
      <c r="A1321" t="s">
        <v>3323</v>
      </c>
      <c r="B1321" t="s">
        <v>302</v>
      </c>
      <c r="C1321" t="s">
        <v>62</v>
      </c>
      <c r="D1321">
        <v>99999</v>
      </c>
      <c r="F1321" s="109">
        <v>20000</v>
      </c>
      <c r="G1321" t="b">
        <v>0</v>
      </c>
      <c r="H1321" t="s">
        <v>339</v>
      </c>
      <c r="K1321" t="s">
        <v>364</v>
      </c>
      <c r="L1321" t="s">
        <v>303</v>
      </c>
      <c r="M1321" t="s">
        <v>323</v>
      </c>
      <c r="N1321" t="s">
        <v>63</v>
      </c>
      <c r="O1321" s="110">
        <v>49.9</v>
      </c>
      <c r="R1321" s="110">
        <v>335.58999999999992</v>
      </c>
      <c r="S1321" s="110">
        <v>130</v>
      </c>
      <c r="T1321" s="110">
        <v>0</v>
      </c>
      <c r="U1321" s="110">
        <v>34.99</v>
      </c>
      <c r="X1321">
        <v>120.69999999999996</v>
      </c>
      <c r="Y1321">
        <v>49.9</v>
      </c>
      <c r="Z1321">
        <v>49.9</v>
      </c>
      <c r="AA1321">
        <v>0</v>
      </c>
      <c r="AB1321" t="s">
        <v>363</v>
      </c>
      <c r="AF1321" t="s">
        <v>3208</v>
      </c>
      <c r="AG1321" t="s">
        <v>3208</v>
      </c>
      <c r="AH1321" t="s">
        <v>1903</v>
      </c>
      <c r="AI1321">
        <v>99999</v>
      </c>
      <c r="AJ1321">
        <v>99999</v>
      </c>
      <c r="AK1321">
        <v>699</v>
      </c>
      <c r="AL1321" t="b">
        <v>1</v>
      </c>
      <c r="AM1321" t="b">
        <v>1</v>
      </c>
      <c r="AN1321" t="b">
        <v>0</v>
      </c>
      <c r="AO1321">
        <v>99999</v>
      </c>
      <c r="AP1321" t="s">
        <v>64</v>
      </c>
      <c r="AR1321" t="b">
        <v>0</v>
      </c>
      <c r="AS1321">
        <v>12</v>
      </c>
      <c r="AT1321" t="s">
        <v>327</v>
      </c>
      <c r="AV1321" t="s">
        <v>3215</v>
      </c>
    </row>
    <row r="1322" spans="1:48" x14ac:dyDescent="0.25">
      <c r="A1322" t="s">
        <v>3323</v>
      </c>
      <c r="B1322" t="s">
        <v>302</v>
      </c>
      <c r="C1322" t="s">
        <v>62</v>
      </c>
      <c r="D1322">
        <v>99999</v>
      </c>
      <c r="F1322" s="109">
        <v>20000</v>
      </c>
      <c r="G1322" t="b">
        <v>0</v>
      </c>
      <c r="H1322" t="s">
        <v>339</v>
      </c>
      <c r="K1322" t="s">
        <v>364</v>
      </c>
      <c r="L1322" t="s">
        <v>303</v>
      </c>
      <c r="M1322" t="s">
        <v>323</v>
      </c>
      <c r="N1322" t="s">
        <v>63</v>
      </c>
      <c r="O1322" s="110">
        <v>49.9</v>
      </c>
      <c r="R1322" s="110">
        <v>369.89</v>
      </c>
      <c r="S1322" s="110">
        <v>130</v>
      </c>
      <c r="T1322" s="110">
        <v>0</v>
      </c>
      <c r="U1322" s="110">
        <v>42.99</v>
      </c>
      <c r="X1322">
        <v>146.99999999999997</v>
      </c>
      <c r="Y1322">
        <v>49.9</v>
      </c>
      <c r="Z1322">
        <v>49.9</v>
      </c>
      <c r="AA1322">
        <v>0</v>
      </c>
      <c r="AB1322" t="s">
        <v>363</v>
      </c>
      <c r="AF1322" t="s">
        <v>3282</v>
      </c>
      <c r="AG1322" t="s">
        <v>3282</v>
      </c>
      <c r="AH1322" t="s">
        <v>1903</v>
      </c>
      <c r="AI1322">
        <v>99999</v>
      </c>
      <c r="AJ1322">
        <v>99999</v>
      </c>
      <c r="AK1322">
        <v>699</v>
      </c>
      <c r="AL1322" t="b">
        <v>1</v>
      </c>
      <c r="AM1322" t="b">
        <v>1</v>
      </c>
      <c r="AN1322" t="b">
        <v>0</v>
      </c>
      <c r="AO1322">
        <v>99999</v>
      </c>
      <c r="AP1322" t="s">
        <v>64</v>
      </c>
      <c r="AR1322" t="b">
        <v>0</v>
      </c>
      <c r="AS1322">
        <v>12</v>
      </c>
      <c r="AT1322" t="s">
        <v>327</v>
      </c>
      <c r="AV1322" t="s">
        <v>3289</v>
      </c>
    </row>
    <row r="1323" spans="1:48" x14ac:dyDescent="0.25">
      <c r="A1323" t="s">
        <v>3323</v>
      </c>
      <c r="B1323" t="s">
        <v>302</v>
      </c>
      <c r="C1323" t="s">
        <v>62</v>
      </c>
      <c r="D1323">
        <v>99999</v>
      </c>
      <c r="F1323" s="109">
        <v>20000</v>
      </c>
      <c r="G1323" t="b">
        <v>0</v>
      </c>
      <c r="H1323" t="s">
        <v>339</v>
      </c>
      <c r="K1323" t="s">
        <v>379</v>
      </c>
      <c r="L1323" t="s">
        <v>303</v>
      </c>
      <c r="M1323" t="s">
        <v>323</v>
      </c>
      <c r="N1323" t="s">
        <v>63</v>
      </c>
      <c r="O1323" s="110">
        <v>29.9</v>
      </c>
      <c r="R1323" s="110">
        <v>345.58999999999992</v>
      </c>
      <c r="S1323" s="110">
        <v>130</v>
      </c>
      <c r="T1323" s="110">
        <v>0</v>
      </c>
      <c r="U1323" s="110">
        <v>34.99</v>
      </c>
      <c r="X1323">
        <v>120.69999999999996</v>
      </c>
      <c r="Y1323">
        <v>59.9</v>
      </c>
      <c r="Z1323">
        <v>59.9</v>
      </c>
      <c r="AA1323">
        <v>0</v>
      </c>
      <c r="AB1323" t="s">
        <v>363</v>
      </c>
      <c r="AF1323" t="s">
        <v>1930</v>
      </c>
      <c r="AG1323" t="s">
        <v>1930</v>
      </c>
      <c r="AH1323" t="s">
        <v>1903</v>
      </c>
      <c r="AI1323">
        <v>99999</v>
      </c>
      <c r="AJ1323">
        <v>99999</v>
      </c>
      <c r="AK1323">
        <v>699</v>
      </c>
      <c r="AL1323" t="b">
        <v>1</v>
      </c>
      <c r="AM1323" t="b">
        <v>1</v>
      </c>
      <c r="AN1323" t="b">
        <v>0</v>
      </c>
      <c r="AO1323">
        <v>99999</v>
      </c>
      <c r="AP1323" t="s">
        <v>64</v>
      </c>
      <c r="AR1323" t="b">
        <v>0</v>
      </c>
      <c r="AS1323">
        <v>12</v>
      </c>
      <c r="AT1323" t="s">
        <v>327</v>
      </c>
      <c r="AV1323" t="s">
        <v>1950</v>
      </c>
    </row>
    <row r="1324" spans="1:48" x14ac:dyDescent="0.25">
      <c r="A1324" t="s">
        <v>3323</v>
      </c>
      <c r="B1324" t="s">
        <v>302</v>
      </c>
      <c r="C1324" t="s">
        <v>62</v>
      </c>
      <c r="D1324">
        <v>99999</v>
      </c>
      <c r="F1324" s="109">
        <v>20000</v>
      </c>
      <c r="G1324" t="b">
        <v>0</v>
      </c>
      <c r="H1324" t="s">
        <v>339</v>
      </c>
      <c r="K1324" t="s">
        <v>379</v>
      </c>
      <c r="L1324" t="s">
        <v>303</v>
      </c>
      <c r="M1324" t="s">
        <v>323</v>
      </c>
      <c r="N1324" t="s">
        <v>63</v>
      </c>
      <c r="O1324" s="110">
        <v>29.9</v>
      </c>
      <c r="R1324" s="110">
        <v>379.89</v>
      </c>
      <c r="S1324" s="110">
        <v>130</v>
      </c>
      <c r="T1324" s="110">
        <v>0</v>
      </c>
      <c r="U1324" s="110">
        <v>42.99</v>
      </c>
      <c r="X1324">
        <v>146.99999999999997</v>
      </c>
      <c r="Y1324">
        <v>59.9</v>
      </c>
      <c r="Z1324">
        <v>59.9</v>
      </c>
      <c r="AA1324">
        <v>0</v>
      </c>
      <c r="AB1324" t="s">
        <v>363</v>
      </c>
      <c r="AF1324" t="s">
        <v>2078</v>
      </c>
      <c r="AG1324" t="s">
        <v>2078</v>
      </c>
      <c r="AH1324" t="s">
        <v>1903</v>
      </c>
      <c r="AI1324">
        <v>99999</v>
      </c>
      <c r="AJ1324">
        <v>99999</v>
      </c>
      <c r="AK1324">
        <v>699</v>
      </c>
      <c r="AL1324" t="b">
        <v>1</v>
      </c>
      <c r="AM1324" t="b">
        <v>1</v>
      </c>
      <c r="AN1324" t="b">
        <v>0</v>
      </c>
      <c r="AO1324">
        <v>99999</v>
      </c>
      <c r="AP1324" t="s">
        <v>64</v>
      </c>
      <c r="AR1324" t="b">
        <v>0</v>
      </c>
      <c r="AS1324">
        <v>12</v>
      </c>
      <c r="AT1324" t="s">
        <v>327</v>
      </c>
      <c r="AV1324" t="s">
        <v>2098</v>
      </c>
    </row>
    <row r="1325" spans="1:48" x14ac:dyDescent="0.25">
      <c r="A1325" t="s">
        <v>3323</v>
      </c>
      <c r="B1325" t="s">
        <v>302</v>
      </c>
      <c r="C1325" t="s">
        <v>62</v>
      </c>
      <c r="D1325">
        <v>99999</v>
      </c>
      <c r="F1325" s="109">
        <v>20000</v>
      </c>
      <c r="G1325" t="b">
        <v>0</v>
      </c>
      <c r="H1325" t="s">
        <v>339</v>
      </c>
      <c r="K1325" t="s">
        <v>379</v>
      </c>
      <c r="L1325" t="s">
        <v>303</v>
      </c>
      <c r="M1325" t="s">
        <v>323</v>
      </c>
      <c r="N1325" t="s">
        <v>63</v>
      </c>
      <c r="O1325" s="110">
        <v>39.9</v>
      </c>
      <c r="R1325" s="110">
        <v>345.58999999999992</v>
      </c>
      <c r="S1325" s="110">
        <v>130</v>
      </c>
      <c r="T1325" s="110">
        <v>0</v>
      </c>
      <c r="U1325" s="110">
        <v>34.99</v>
      </c>
      <c r="X1325">
        <v>120.69999999999996</v>
      </c>
      <c r="Y1325">
        <v>59.9</v>
      </c>
      <c r="Z1325">
        <v>59.9</v>
      </c>
      <c r="AA1325">
        <v>0</v>
      </c>
      <c r="AB1325" t="s">
        <v>363</v>
      </c>
      <c r="AF1325" t="s">
        <v>1997</v>
      </c>
      <c r="AG1325" t="s">
        <v>1997</v>
      </c>
      <c r="AH1325" t="s">
        <v>1903</v>
      </c>
      <c r="AI1325">
        <v>99999</v>
      </c>
      <c r="AJ1325">
        <v>99999</v>
      </c>
      <c r="AK1325">
        <v>699</v>
      </c>
      <c r="AL1325" t="b">
        <v>1</v>
      </c>
      <c r="AM1325" t="b">
        <v>1</v>
      </c>
      <c r="AN1325" t="b">
        <v>0</v>
      </c>
      <c r="AO1325">
        <v>99999</v>
      </c>
      <c r="AP1325" t="s">
        <v>64</v>
      </c>
      <c r="AR1325" t="b">
        <v>0</v>
      </c>
      <c r="AS1325">
        <v>12</v>
      </c>
      <c r="AT1325" t="s">
        <v>327</v>
      </c>
      <c r="AV1325" t="s">
        <v>2017</v>
      </c>
    </row>
    <row r="1326" spans="1:48" x14ac:dyDescent="0.25">
      <c r="A1326" t="s">
        <v>3323</v>
      </c>
      <c r="B1326" t="s">
        <v>302</v>
      </c>
      <c r="C1326" t="s">
        <v>62</v>
      </c>
      <c r="D1326">
        <v>99999</v>
      </c>
      <c r="F1326" s="109">
        <v>20000</v>
      </c>
      <c r="G1326" t="b">
        <v>0</v>
      </c>
      <c r="H1326" t="s">
        <v>339</v>
      </c>
      <c r="K1326" t="s">
        <v>379</v>
      </c>
      <c r="L1326" t="s">
        <v>303</v>
      </c>
      <c r="M1326" t="s">
        <v>323</v>
      </c>
      <c r="N1326" t="s">
        <v>63</v>
      </c>
      <c r="O1326" s="110">
        <v>39.9</v>
      </c>
      <c r="R1326" s="110">
        <v>379.89</v>
      </c>
      <c r="S1326" s="110">
        <v>130</v>
      </c>
      <c r="T1326" s="110">
        <v>0</v>
      </c>
      <c r="U1326" s="110">
        <v>42.99</v>
      </c>
      <c r="X1326">
        <v>146.99999999999997</v>
      </c>
      <c r="Y1326">
        <v>59.9</v>
      </c>
      <c r="Z1326">
        <v>59.9</v>
      </c>
      <c r="AA1326">
        <v>0</v>
      </c>
      <c r="AB1326" t="s">
        <v>363</v>
      </c>
      <c r="AF1326" t="s">
        <v>2145</v>
      </c>
      <c r="AG1326" t="s">
        <v>2145</v>
      </c>
      <c r="AH1326" t="s">
        <v>1903</v>
      </c>
      <c r="AI1326">
        <v>99999</v>
      </c>
      <c r="AJ1326">
        <v>99999</v>
      </c>
      <c r="AK1326">
        <v>699</v>
      </c>
      <c r="AL1326" t="b">
        <v>1</v>
      </c>
      <c r="AM1326" t="b">
        <v>1</v>
      </c>
      <c r="AN1326" t="b">
        <v>0</v>
      </c>
      <c r="AO1326">
        <v>99999</v>
      </c>
      <c r="AP1326" t="s">
        <v>64</v>
      </c>
      <c r="AR1326" t="b">
        <v>0</v>
      </c>
      <c r="AS1326">
        <v>12</v>
      </c>
      <c r="AT1326" t="s">
        <v>327</v>
      </c>
      <c r="AV1326" t="s">
        <v>2165</v>
      </c>
    </row>
    <row r="1327" spans="1:48" x14ac:dyDescent="0.25">
      <c r="A1327" t="s">
        <v>3323</v>
      </c>
      <c r="B1327" t="s">
        <v>302</v>
      </c>
      <c r="C1327" t="s">
        <v>62</v>
      </c>
      <c r="D1327">
        <v>99999</v>
      </c>
      <c r="F1327" s="109">
        <v>20000</v>
      </c>
      <c r="G1327" t="b">
        <v>0</v>
      </c>
      <c r="H1327" t="s">
        <v>339</v>
      </c>
      <c r="K1327" t="s">
        <v>379</v>
      </c>
      <c r="L1327" t="s">
        <v>303</v>
      </c>
      <c r="M1327" t="s">
        <v>323</v>
      </c>
      <c r="N1327" t="s">
        <v>63</v>
      </c>
      <c r="O1327" s="110">
        <v>49.9</v>
      </c>
      <c r="R1327" s="110">
        <v>345.58999999999992</v>
      </c>
      <c r="S1327" s="110">
        <v>130</v>
      </c>
      <c r="T1327" s="110">
        <v>0</v>
      </c>
      <c r="U1327" s="110">
        <v>34.99</v>
      </c>
      <c r="X1327">
        <v>120.69999999999996</v>
      </c>
      <c r="Y1327">
        <v>59.9</v>
      </c>
      <c r="Z1327">
        <v>59.9</v>
      </c>
      <c r="AA1327">
        <v>0</v>
      </c>
      <c r="AB1327" t="s">
        <v>363</v>
      </c>
      <c r="AF1327" t="s">
        <v>3208</v>
      </c>
      <c r="AG1327" t="s">
        <v>3208</v>
      </c>
      <c r="AH1327" t="s">
        <v>1903</v>
      </c>
      <c r="AI1327">
        <v>99999</v>
      </c>
      <c r="AJ1327">
        <v>99999</v>
      </c>
      <c r="AK1327">
        <v>699</v>
      </c>
      <c r="AL1327" t="b">
        <v>1</v>
      </c>
      <c r="AM1327" t="b">
        <v>1</v>
      </c>
      <c r="AN1327" t="b">
        <v>0</v>
      </c>
      <c r="AO1327">
        <v>99999</v>
      </c>
      <c r="AP1327" t="s">
        <v>64</v>
      </c>
      <c r="AR1327" t="b">
        <v>0</v>
      </c>
      <c r="AS1327">
        <v>12</v>
      </c>
      <c r="AT1327" t="s">
        <v>327</v>
      </c>
      <c r="AV1327" t="s">
        <v>3228</v>
      </c>
    </row>
    <row r="1328" spans="1:48" x14ac:dyDescent="0.25">
      <c r="A1328" t="s">
        <v>3323</v>
      </c>
      <c r="B1328" t="s">
        <v>302</v>
      </c>
      <c r="C1328" t="s">
        <v>62</v>
      </c>
      <c r="D1328">
        <v>99999</v>
      </c>
      <c r="F1328" s="109">
        <v>20000</v>
      </c>
      <c r="G1328" t="b">
        <v>0</v>
      </c>
      <c r="H1328" t="s">
        <v>339</v>
      </c>
      <c r="K1328" t="s">
        <v>379</v>
      </c>
      <c r="L1328" t="s">
        <v>303</v>
      </c>
      <c r="M1328" t="s">
        <v>323</v>
      </c>
      <c r="N1328" t="s">
        <v>63</v>
      </c>
      <c r="O1328" s="110">
        <v>49.9</v>
      </c>
      <c r="R1328" s="110">
        <v>379.89</v>
      </c>
      <c r="S1328" s="110">
        <v>130</v>
      </c>
      <c r="T1328" s="110">
        <v>0</v>
      </c>
      <c r="U1328" s="110">
        <v>42.99</v>
      </c>
      <c r="X1328">
        <v>146.99999999999997</v>
      </c>
      <c r="Y1328">
        <v>59.9</v>
      </c>
      <c r="Z1328">
        <v>59.9</v>
      </c>
      <c r="AA1328">
        <v>0</v>
      </c>
      <c r="AB1328" t="s">
        <v>363</v>
      </c>
      <c r="AF1328" t="s">
        <v>3282</v>
      </c>
      <c r="AG1328" t="s">
        <v>3282</v>
      </c>
      <c r="AH1328" t="s">
        <v>1903</v>
      </c>
      <c r="AI1328">
        <v>99999</v>
      </c>
      <c r="AJ1328">
        <v>99999</v>
      </c>
      <c r="AK1328">
        <v>699</v>
      </c>
      <c r="AL1328" t="b">
        <v>1</v>
      </c>
      <c r="AM1328" t="b">
        <v>1</v>
      </c>
      <c r="AN1328" t="b">
        <v>0</v>
      </c>
      <c r="AO1328">
        <v>99999</v>
      </c>
      <c r="AP1328" t="s">
        <v>64</v>
      </c>
      <c r="AR1328" t="b">
        <v>0</v>
      </c>
      <c r="AS1328">
        <v>12</v>
      </c>
      <c r="AT1328" t="s">
        <v>327</v>
      </c>
      <c r="AV1328" t="s">
        <v>3302</v>
      </c>
    </row>
    <row r="1329" spans="1:48" x14ac:dyDescent="0.25">
      <c r="A1329" t="s">
        <v>3323</v>
      </c>
      <c r="B1329" t="s">
        <v>302</v>
      </c>
      <c r="C1329" t="s">
        <v>62</v>
      </c>
      <c r="D1329">
        <v>99999</v>
      </c>
      <c r="F1329" s="109">
        <v>20000</v>
      </c>
      <c r="G1329" t="b">
        <v>0</v>
      </c>
      <c r="H1329" t="s">
        <v>339</v>
      </c>
      <c r="K1329" t="s">
        <v>61</v>
      </c>
      <c r="L1329" t="s">
        <v>303</v>
      </c>
      <c r="M1329" t="s">
        <v>323</v>
      </c>
      <c r="N1329" t="s">
        <v>63</v>
      </c>
      <c r="O1329" s="110">
        <v>29.9</v>
      </c>
      <c r="R1329" s="110">
        <v>330.58999999999992</v>
      </c>
      <c r="S1329" s="110">
        <v>130</v>
      </c>
      <c r="T1329" s="110">
        <v>0</v>
      </c>
      <c r="U1329" s="110">
        <v>34.99</v>
      </c>
      <c r="X1329">
        <v>120.69999999999996</v>
      </c>
      <c r="Y1329">
        <v>44.9</v>
      </c>
      <c r="Z1329">
        <v>44.9</v>
      </c>
      <c r="AA1329">
        <v>0</v>
      </c>
      <c r="AB1329" t="s">
        <v>324</v>
      </c>
      <c r="AF1329" t="s">
        <v>1902</v>
      </c>
      <c r="AG1329" t="s">
        <v>1902</v>
      </c>
      <c r="AH1329" t="s">
        <v>1903</v>
      </c>
      <c r="AI1329">
        <v>99999</v>
      </c>
      <c r="AJ1329">
        <v>99999</v>
      </c>
      <c r="AK1329">
        <v>699</v>
      </c>
      <c r="AL1329" t="b">
        <v>1</v>
      </c>
      <c r="AM1329" t="b">
        <v>1</v>
      </c>
      <c r="AN1329" t="b">
        <v>0</v>
      </c>
      <c r="AO1329">
        <v>99999</v>
      </c>
      <c r="AP1329" t="s">
        <v>64</v>
      </c>
      <c r="AR1329" t="b">
        <v>0</v>
      </c>
      <c r="AS1329">
        <v>12</v>
      </c>
      <c r="AT1329" t="s">
        <v>327</v>
      </c>
      <c r="AV1329" t="s">
        <v>1910</v>
      </c>
    </row>
    <row r="1330" spans="1:48" x14ac:dyDescent="0.25">
      <c r="A1330" t="s">
        <v>3323</v>
      </c>
      <c r="B1330" t="s">
        <v>302</v>
      </c>
      <c r="C1330" t="s">
        <v>62</v>
      </c>
      <c r="D1330">
        <v>99999</v>
      </c>
      <c r="F1330" s="109">
        <v>20000</v>
      </c>
      <c r="G1330" t="b">
        <v>0</v>
      </c>
      <c r="H1330" t="s">
        <v>339</v>
      </c>
      <c r="K1330" t="s">
        <v>61</v>
      </c>
      <c r="L1330" t="s">
        <v>303</v>
      </c>
      <c r="M1330" t="s">
        <v>323</v>
      </c>
      <c r="N1330" t="s">
        <v>63</v>
      </c>
      <c r="O1330" s="110">
        <v>29.9</v>
      </c>
      <c r="R1330" s="110">
        <v>364.89</v>
      </c>
      <c r="S1330" s="110">
        <v>130</v>
      </c>
      <c r="T1330" s="110">
        <v>0</v>
      </c>
      <c r="U1330" s="110">
        <v>42.99</v>
      </c>
      <c r="X1330">
        <v>146.99999999999997</v>
      </c>
      <c r="Y1330">
        <v>44.9</v>
      </c>
      <c r="Z1330">
        <v>44.9</v>
      </c>
      <c r="AA1330">
        <v>0</v>
      </c>
      <c r="AB1330" t="s">
        <v>324</v>
      </c>
      <c r="AF1330" t="s">
        <v>2051</v>
      </c>
      <c r="AG1330" t="s">
        <v>2051</v>
      </c>
      <c r="AH1330" t="s">
        <v>1903</v>
      </c>
      <c r="AI1330">
        <v>99999</v>
      </c>
      <c r="AJ1330">
        <v>99999</v>
      </c>
      <c r="AK1330">
        <v>699</v>
      </c>
      <c r="AL1330" t="b">
        <v>1</v>
      </c>
      <c r="AM1330" t="b">
        <v>1</v>
      </c>
      <c r="AN1330" t="b">
        <v>0</v>
      </c>
      <c r="AO1330">
        <v>99999</v>
      </c>
      <c r="AP1330" t="s">
        <v>64</v>
      </c>
      <c r="AR1330" t="b">
        <v>0</v>
      </c>
      <c r="AS1330">
        <v>12</v>
      </c>
      <c r="AT1330" t="s">
        <v>327</v>
      </c>
      <c r="AV1330" t="s">
        <v>2058</v>
      </c>
    </row>
    <row r="1331" spans="1:48" x14ac:dyDescent="0.25">
      <c r="A1331" t="s">
        <v>3323</v>
      </c>
      <c r="B1331" t="s">
        <v>302</v>
      </c>
      <c r="C1331" t="s">
        <v>62</v>
      </c>
      <c r="D1331">
        <v>99999</v>
      </c>
      <c r="F1331" s="109">
        <v>20000</v>
      </c>
      <c r="G1331" t="b">
        <v>0</v>
      </c>
      <c r="H1331" t="s">
        <v>339</v>
      </c>
      <c r="K1331" t="s">
        <v>61</v>
      </c>
      <c r="L1331" t="s">
        <v>303</v>
      </c>
      <c r="M1331" t="s">
        <v>323</v>
      </c>
      <c r="N1331" t="s">
        <v>63</v>
      </c>
      <c r="O1331" s="110">
        <v>39.9</v>
      </c>
      <c r="R1331" s="110">
        <v>330.58999999999992</v>
      </c>
      <c r="S1331" s="110">
        <v>130</v>
      </c>
      <c r="T1331" s="110">
        <v>0</v>
      </c>
      <c r="U1331" s="110">
        <v>34.99</v>
      </c>
      <c r="X1331">
        <v>120.69999999999996</v>
      </c>
      <c r="Y1331">
        <v>44.9</v>
      </c>
      <c r="Z1331">
        <v>44.9</v>
      </c>
      <c r="AA1331">
        <v>0</v>
      </c>
      <c r="AB1331" t="s">
        <v>324</v>
      </c>
      <c r="AF1331" t="s">
        <v>1970</v>
      </c>
      <c r="AG1331" t="s">
        <v>1970</v>
      </c>
      <c r="AH1331" t="s">
        <v>1903</v>
      </c>
      <c r="AI1331">
        <v>99999</v>
      </c>
      <c r="AJ1331">
        <v>99999</v>
      </c>
      <c r="AK1331">
        <v>699</v>
      </c>
      <c r="AL1331" t="b">
        <v>1</v>
      </c>
      <c r="AM1331" t="b">
        <v>1</v>
      </c>
      <c r="AN1331" t="b">
        <v>0</v>
      </c>
      <c r="AO1331">
        <v>99999</v>
      </c>
      <c r="AP1331" t="s">
        <v>64</v>
      </c>
      <c r="AR1331" t="b">
        <v>0</v>
      </c>
      <c r="AS1331">
        <v>12</v>
      </c>
      <c r="AT1331" t="s">
        <v>327</v>
      </c>
      <c r="AV1331" t="s">
        <v>1977</v>
      </c>
    </row>
    <row r="1332" spans="1:48" x14ac:dyDescent="0.25">
      <c r="A1332" t="s">
        <v>3323</v>
      </c>
      <c r="B1332" t="s">
        <v>302</v>
      </c>
      <c r="C1332" t="s">
        <v>62</v>
      </c>
      <c r="D1332">
        <v>99999</v>
      </c>
      <c r="F1332" s="109">
        <v>20000</v>
      </c>
      <c r="G1332" t="b">
        <v>0</v>
      </c>
      <c r="H1332" t="s">
        <v>339</v>
      </c>
      <c r="K1332" t="s">
        <v>61</v>
      </c>
      <c r="L1332" t="s">
        <v>303</v>
      </c>
      <c r="M1332" t="s">
        <v>323</v>
      </c>
      <c r="N1332" t="s">
        <v>63</v>
      </c>
      <c r="O1332" s="110">
        <v>39.9</v>
      </c>
      <c r="R1332" s="110">
        <v>364.89</v>
      </c>
      <c r="S1332" s="110">
        <v>130</v>
      </c>
      <c r="T1332" s="110">
        <v>0</v>
      </c>
      <c r="U1332" s="110">
        <v>42.99</v>
      </c>
      <c r="X1332">
        <v>146.99999999999997</v>
      </c>
      <c r="Y1332">
        <v>44.9</v>
      </c>
      <c r="Z1332">
        <v>44.9</v>
      </c>
      <c r="AA1332">
        <v>0</v>
      </c>
      <c r="AB1332" t="s">
        <v>324</v>
      </c>
      <c r="AF1332" t="s">
        <v>2118</v>
      </c>
      <c r="AG1332" t="s">
        <v>2118</v>
      </c>
      <c r="AH1332" t="s">
        <v>1903</v>
      </c>
      <c r="AI1332">
        <v>99999</v>
      </c>
      <c r="AJ1332">
        <v>99999</v>
      </c>
      <c r="AK1332">
        <v>699</v>
      </c>
      <c r="AL1332" t="b">
        <v>1</v>
      </c>
      <c r="AM1332" t="b">
        <v>1</v>
      </c>
      <c r="AN1332" t="b">
        <v>0</v>
      </c>
      <c r="AO1332">
        <v>99999</v>
      </c>
      <c r="AP1332" t="s">
        <v>64</v>
      </c>
      <c r="AR1332" t="b">
        <v>0</v>
      </c>
      <c r="AS1332">
        <v>12</v>
      </c>
      <c r="AT1332" t="s">
        <v>327</v>
      </c>
      <c r="AV1332" t="s">
        <v>2125</v>
      </c>
    </row>
    <row r="1333" spans="1:48" x14ac:dyDescent="0.25">
      <c r="A1333" t="s">
        <v>3323</v>
      </c>
      <c r="B1333" t="s">
        <v>302</v>
      </c>
      <c r="C1333" t="s">
        <v>62</v>
      </c>
      <c r="D1333">
        <v>99999</v>
      </c>
      <c r="F1333" s="109">
        <v>20000</v>
      </c>
      <c r="G1333" t="b">
        <v>0</v>
      </c>
      <c r="H1333" t="s">
        <v>339</v>
      </c>
      <c r="K1333" t="s">
        <v>61</v>
      </c>
      <c r="L1333" t="s">
        <v>303</v>
      </c>
      <c r="M1333" t="s">
        <v>323</v>
      </c>
      <c r="N1333" t="s">
        <v>63</v>
      </c>
      <c r="O1333" s="110">
        <v>49.9</v>
      </c>
      <c r="R1333" s="110">
        <v>330.58999999999992</v>
      </c>
      <c r="S1333" s="110">
        <v>130</v>
      </c>
      <c r="T1333" s="110">
        <v>0</v>
      </c>
      <c r="U1333" s="110">
        <v>34.99</v>
      </c>
      <c r="X1333">
        <v>120.69999999999996</v>
      </c>
      <c r="Y1333">
        <v>44.9</v>
      </c>
      <c r="Z1333">
        <v>44.9</v>
      </c>
      <c r="AA1333">
        <v>0</v>
      </c>
      <c r="AB1333" t="s">
        <v>324</v>
      </c>
      <c r="AF1333" t="s">
        <v>3181</v>
      </c>
      <c r="AG1333" t="s">
        <v>3181</v>
      </c>
      <c r="AH1333" t="s">
        <v>1903</v>
      </c>
      <c r="AI1333">
        <v>99999</v>
      </c>
      <c r="AJ1333">
        <v>99999</v>
      </c>
      <c r="AK1333">
        <v>699</v>
      </c>
      <c r="AL1333" t="b">
        <v>1</v>
      </c>
      <c r="AM1333" t="b">
        <v>1</v>
      </c>
      <c r="AN1333" t="b">
        <v>0</v>
      </c>
      <c r="AO1333">
        <v>99999</v>
      </c>
      <c r="AP1333" t="s">
        <v>64</v>
      </c>
      <c r="AR1333" t="b">
        <v>0</v>
      </c>
      <c r="AS1333">
        <v>12</v>
      </c>
      <c r="AT1333" t="s">
        <v>327</v>
      </c>
      <c r="AV1333" t="s">
        <v>3188</v>
      </c>
    </row>
    <row r="1334" spans="1:48" x14ac:dyDescent="0.25">
      <c r="A1334" t="s">
        <v>3323</v>
      </c>
      <c r="B1334" t="s">
        <v>302</v>
      </c>
      <c r="C1334" t="s">
        <v>62</v>
      </c>
      <c r="D1334">
        <v>99999</v>
      </c>
      <c r="F1334" s="109">
        <v>20000</v>
      </c>
      <c r="G1334" t="b">
        <v>0</v>
      </c>
      <c r="H1334" t="s">
        <v>339</v>
      </c>
      <c r="K1334" t="s">
        <v>61</v>
      </c>
      <c r="L1334" t="s">
        <v>303</v>
      </c>
      <c r="M1334" t="s">
        <v>323</v>
      </c>
      <c r="N1334" t="s">
        <v>63</v>
      </c>
      <c r="O1334" s="110">
        <v>49.9</v>
      </c>
      <c r="R1334" s="110">
        <v>364.89</v>
      </c>
      <c r="S1334" s="110">
        <v>130</v>
      </c>
      <c r="T1334" s="110">
        <v>0</v>
      </c>
      <c r="U1334" s="110">
        <v>42.99</v>
      </c>
      <c r="X1334">
        <v>146.99999999999997</v>
      </c>
      <c r="Y1334">
        <v>44.9</v>
      </c>
      <c r="Z1334">
        <v>44.9</v>
      </c>
      <c r="AA1334">
        <v>0</v>
      </c>
      <c r="AB1334" t="s">
        <v>324</v>
      </c>
      <c r="AF1334" t="s">
        <v>3255</v>
      </c>
      <c r="AG1334" t="s">
        <v>3255</v>
      </c>
      <c r="AH1334" t="s">
        <v>1903</v>
      </c>
      <c r="AI1334">
        <v>99999</v>
      </c>
      <c r="AJ1334">
        <v>99999</v>
      </c>
      <c r="AK1334">
        <v>699</v>
      </c>
      <c r="AL1334" t="b">
        <v>1</v>
      </c>
      <c r="AM1334" t="b">
        <v>1</v>
      </c>
      <c r="AN1334" t="b">
        <v>0</v>
      </c>
      <c r="AO1334">
        <v>99999</v>
      </c>
      <c r="AP1334" t="s">
        <v>64</v>
      </c>
      <c r="AR1334" t="b">
        <v>0</v>
      </c>
      <c r="AS1334">
        <v>12</v>
      </c>
      <c r="AT1334" t="s">
        <v>327</v>
      </c>
      <c r="AV1334" t="s">
        <v>3262</v>
      </c>
    </row>
    <row r="1335" spans="1:48" x14ac:dyDescent="0.25">
      <c r="A1335" t="s">
        <v>3323</v>
      </c>
      <c r="B1335" t="s">
        <v>302</v>
      </c>
      <c r="C1335" t="s">
        <v>62</v>
      </c>
      <c r="D1335">
        <v>99999</v>
      </c>
      <c r="F1335" s="109">
        <v>20000</v>
      </c>
      <c r="G1335" t="b">
        <v>0</v>
      </c>
      <c r="H1335" t="s">
        <v>337</v>
      </c>
      <c r="K1335" t="s">
        <v>349</v>
      </c>
      <c r="L1335" t="s">
        <v>303</v>
      </c>
      <c r="M1335" t="s">
        <v>323</v>
      </c>
      <c r="N1335" t="s">
        <v>63</v>
      </c>
      <c r="O1335" s="110">
        <v>29.9</v>
      </c>
      <c r="R1335" s="110">
        <v>295.58999999999992</v>
      </c>
      <c r="S1335" s="110">
        <v>130</v>
      </c>
      <c r="T1335" s="110">
        <v>0</v>
      </c>
      <c r="U1335" s="110">
        <v>34.99</v>
      </c>
      <c r="X1335">
        <v>85.69999999999996</v>
      </c>
      <c r="Y1335">
        <v>44.9</v>
      </c>
      <c r="Z1335">
        <v>44.9</v>
      </c>
      <c r="AA1335">
        <v>0</v>
      </c>
      <c r="AB1335" t="s">
        <v>324</v>
      </c>
      <c r="AF1335" t="s">
        <v>1902</v>
      </c>
      <c r="AG1335" t="s">
        <v>1902</v>
      </c>
      <c r="AH1335" t="s">
        <v>1903</v>
      </c>
      <c r="AI1335">
        <v>99999</v>
      </c>
      <c r="AJ1335">
        <v>99999</v>
      </c>
      <c r="AK1335">
        <v>699</v>
      </c>
      <c r="AL1335" t="b">
        <v>1</v>
      </c>
      <c r="AM1335" t="b">
        <v>1</v>
      </c>
      <c r="AN1335" t="b">
        <v>0</v>
      </c>
      <c r="AO1335">
        <v>99999</v>
      </c>
      <c r="AP1335" t="s">
        <v>64</v>
      </c>
      <c r="AR1335" t="b">
        <v>0</v>
      </c>
      <c r="AS1335">
        <v>12</v>
      </c>
      <c r="AT1335" t="s">
        <v>327</v>
      </c>
      <c r="AV1335" t="s">
        <v>1922</v>
      </c>
    </row>
    <row r="1336" spans="1:48" x14ac:dyDescent="0.25">
      <c r="A1336" t="s">
        <v>3323</v>
      </c>
      <c r="B1336" t="s">
        <v>302</v>
      </c>
      <c r="C1336" t="s">
        <v>62</v>
      </c>
      <c r="D1336">
        <v>99999</v>
      </c>
      <c r="F1336" s="109">
        <v>20000</v>
      </c>
      <c r="G1336" t="b">
        <v>0</v>
      </c>
      <c r="H1336" t="s">
        <v>337</v>
      </c>
      <c r="K1336" t="s">
        <v>349</v>
      </c>
      <c r="L1336" t="s">
        <v>303</v>
      </c>
      <c r="M1336" t="s">
        <v>323</v>
      </c>
      <c r="N1336" t="s">
        <v>63</v>
      </c>
      <c r="O1336" s="110">
        <v>29.9</v>
      </c>
      <c r="R1336" s="110">
        <v>329.89</v>
      </c>
      <c r="S1336" s="110">
        <v>130</v>
      </c>
      <c r="T1336" s="110">
        <v>0</v>
      </c>
      <c r="U1336" s="110">
        <v>42.99</v>
      </c>
      <c r="X1336">
        <v>111.99999999999997</v>
      </c>
      <c r="Y1336">
        <v>44.9</v>
      </c>
      <c r="Z1336">
        <v>44.9</v>
      </c>
      <c r="AA1336">
        <v>0</v>
      </c>
      <c r="AB1336" t="s">
        <v>324</v>
      </c>
      <c r="AF1336" t="s">
        <v>2051</v>
      </c>
      <c r="AG1336" t="s">
        <v>2051</v>
      </c>
      <c r="AH1336" t="s">
        <v>1903</v>
      </c>
      <c r="AI1336">
        <v>99999</v>
      </c>
      <c r="AJ1336">
        <v>99999</v>
      </c>
      <c r="AK1336">
        <v>699</v>
      </c>
      <c r="AL1336" t="b">
        <v>1</v>
      </c>
      <c r="AM1336" t="b">
        <v>1</v>
      </c>
      <c r="AN1336" t="b">
        <v>0</v>
      </c>
      <c r="AO1336">
        <v>99999</v>
      </c>
      <c r="AP1336" t="s">
        <v>64</v>
      </c>
      <c r="AR1336" t="b">
        <v>0</v>
      </c>
      <c r="AS1336">
        <v>12</v>
      </c>
      <c r="AT1336" t="s">
        <v>327</v>
      </c>
      <c r="AV1336" t="s">
        <v>2070</v>
      </c>
    </row>
    <row r="1337" spans="1:48" x14ac:dyDescent="0.25">
      <c r="A1337" t="s">
        <v>3323</v>
      </c>
      <c r="B1337" t="s">
        <v>302</v>
      </c>
      <c r="C1337" t="s">
        <v>62</v>
      </c>
      <c r="D1337">
        <v>99999</v>
      </c>
      <c r="F1337" s="109">
        <v>20000</v>
      </c>
      <c r="G1337" t="b">
        <v>0</v>
      </c>
      <c r="H1337" t="s">
        <v>337</v>
      </c>
      <c r="K1337" t="s">
        <v>349</v>
      </c>
      <c r="L1337" t="s">
        <v>303</v>
      </c>
      <c r="M1337" t="s">
        <v>323</v>
      </c>
      <c r="N1337" t="s">
        <v>63</v>
      </c>
      <c r="O1337" s="110">
        <v>39.9</v>
      </c>
      <c r="R1337" s="110">
        <v>295.58999999999992</v>
      </c>
      <c r="S1337" s="110">
        <v>130</v>
      </c>
      <c r="T1337" s="110">
        <v>0</v>
      </c>
      <c r="U1337" s="110">
        <v>34.99</v>
      </c>
      <c r="X1337">
        <v>85.69999999999996</v>
      </c>
      <c r="Y1337">
        <v>44.9</v>
      </c>
      <c r="Z1337">
        <v>44.9</v>
      </c>
      <c r="AA1337">
        <v>0</v>
      </c>
      <c r="AB1337" t="s">
        <v>324</v>
      </c>
      <c r="AF1337" t="s">
        <v>1970</v>
      </c>
      <c r="AG1337" t="s">
        <v>1970</v>
      </c>
      <c r="AH1337" t="s">
        <v>1903</v>
      </c>
      <c r="AI1337">
        <v>99999</v>
      </c>
      <c r="AJ1337">
        <v>99999</v>
      </c>
      <c r="AK1337">
        <v>699</v>
      </c>
      <c r="AL1337" t="b">
        <v>1</v>
      </c>
      <c r="AM1337" t="b">
        <v>1</v>
      </c>
      <c r="AN1337" t="b">
        <v>0</v>
      </c>
      <c r="AO1337">
        <v>99999</v>
      </c>
      <c r="AP1337" t="s">
        <v>64</v>
      </c>
      <c r="AR1337" t="b">
        <v>0</v>
      </c>
      <c r="AS1337">
        <v>12</v>
      </c>
      <c r="AT1337" t="s">
        <v>327</v>
      </c>
      <c r="AV1337" t="s">
        <v>1989</v>
      </c>
    </row>
    <row r="1338" spans="1:48" x14ac:dyDescent="0.25">
      <c r="A1338" t="s">
        <v>3323</v>
      </c>
      <c r="B1338" t="s">
        <v>302</v>
      </c>
      <c r="C1338" t="s">
        <v>62</v>
      </c>
      <c r="D1338">
        <v>99999</v>
      </c>
      <c r="F1338" s="109">
        <v>20000</v>
      </c>
      <c r="G1338" t="b">
        <v>0</v>
      </c>
      <c r="H1338" t="s">
        <v>337</v>
      </c>
      <c r="K1338" t="s">
        <v>349</v>
      </c>
      <c r="L1338" t="s">
        <v>303</v>
      </c>
      <c r="M1338" t="s">
        <v>323</v>
      </c>
      <c r="N1338" t="s">
        <v>63</v>
      </c>
      <c r="O1338" s="110">
        <v>39.9</v>
      </c>
      <c r="R1338" s="110">
        <v>329.89</v>
      </c>
      <c r="S1338" s="110">
        <v>130</v>
      </c>
      <c r="T1338" s="110">
        <v>0</v>
      </c>
      <c r="U1338" s="110">
        <v>42.99</v>
      </c>
      <c r="X1338">
        <v>111.99999999999997</v>
      </c>
      <c r="Y1338">
        <v>44.9</v>
      </c>
      <c r="Z1338">
        <v>44.9</v>
      </c>
      <c r="AA1338">
        <v>0</v>
      </c>
      <c r="AB1338" t="s">
        <v>324</v>
      </c>
      <c r="AF1338" t="s">
        <v>2118</v>
      </c>
      <c r="AG1338" t="s">
        <v>2118</v>
      </c>
      <c r="AH1338" t="s">
        <v>1903</v>
      </c>
      <c r="AI1338">
        <v>99999</v>
      </c>
      <c r="AJ1338">
        <v>99999</v>
      </c>
      <c r="AK1338">
        <v>699</v>
      </c>
      <c r="AL1338" t="b">
        <v>1</v>
      </c>
      <c r="AM1338" t="b">
        <v>1</v>
      </c>
      <c r="AN1338" t="b">
        <v>0</v>
      </c>
      <c r="AO1338">
        <v>99999</v>
      </c>
      <c r="AP1338" t="s">
        <v>64</v>
      </c>
      <c r="AR1338" t="b">
        <v>0</v>
      </c>
      <c r="AS1338">
        <v>12</v>
      </c>
      <c r="AT1338" t="s">
        <v>327</v>
      </c>
      <c r="AV1338" t="s">
        <v>2137</v>
      </c>
    </row>
    <row r="1339" spans="1:48" x14ac:dyDescent="0.25">
      <c r="A1339" t="s">
        <v>3323</v>
      </c>
      <c r="B1339" t="s">
        <v>302</v>
      </c>
      <c r="C1339" t="s">
        <v>62</v>
      </c>
      <c r="D1339">
        <v>99999</v>
      </c>
      <c r="F1339" s="109">
        <v>20000</v>
      </c>
      <c r="G1339" t="b">
        <v>0</v>
      </c>
      <c r="H1339" t="s">
        <v>337</v>
      </c>
      <c r="K1339" t="s">
        <v>349</v>
      </c>
      <c r="L1339" t="s">
        <v>303</v>
      </c>
      <c r="M1339" t="s">
        <v>323</v>
      </c>
      <c r="N1339" t="s">
        <v>63</v>
      </c>
      <c r="O1339" s="110">
        <v>49.9</v>
      </c>
      <c r="R1339" s="110">
        <v>295.58999999999992</v>
      </c>
      <c r="S1339" s="110">
        <v>130</v>
      </c>
      <c r="T1339" s="110">
        <v>0</v>
      </c>
      <c r="U1339" s="110">
        <v>34.99</v>
      </c>
      <c r="X1339">
        <v>85.69999999999996</v>
      </c>
      <c r="Y1339">
        <v>44.9</v>
      </c>
      <c r="Z1339">
        <v>44.9</v>
      </c>
      <c r="AA1339">
        <v>0</v>
      </c>
      <c r="AB1339" t="s">
        <v>324</v>
      </c>
      <c r="AF1339" t="s">
        <v>3181</v>
      </c>
      <c r="AG1339" t="s">
        <v>3181</v>
      </c>
      <c r="AH1339" t="s">
        <v>1903</v>
      </c>
      <c r="AI1339">
        <v>99999</v>
      </c>
      <c r="AJ1339">
        <v>99999</v>
      </c>
      <c r="AK1339">
        <v>699</v>
      </c>
      <c r="AL1339" t="b">
        <v>1</v>
      </c>
      <c r="AM1339" t="b">
        <v>1</v>
      </c>
      <c r="AN1339" t="b">
        <v>0</v>
      </c>
      <c r="AO1339">
        <v>99999</v>
      </c>
      <c r="AP1339" t="s">
        <v>64</v>
      </c>
      <c r="AR1339" t="b">
        <v>0</v>
      </c>
      <c r="AS1339">
        <v>12</v>
      </c>
      <c r="AT1339" t="s">
        <v>327</v>
      </c>
      <c r="AV1339" t="s">
        <v>3200</v>
      </c>
    </row>
    <row r="1340" spans="1:48" x14ac:dyDescent="0.25">
      <c r="A1340" t="s">
        <v>3323</v>
      </c>
      <c r="B1340" t="s">
        <v>302</v>
      </c>
      <c r="C1340" t="s">
        <v>62</v>
      </c>
      <c r="D1340">
        <v>99999</v>
      </c>
      <c r="F1340" s="109">
        <v>20000</v>
      </c>
      <c r="G1340" t="b">
        <v>0</v>
      </c>
      <c r="H1340" t="s">
        <v>337</v>
      </c>
      <c r="K1340" t="s">
        <v>349</v>
      </c>
      <c r="L1340" t="s">
        <v>303</v>
      </c>
      <c r="M1340" t="s">
        <v>323</v>
      </c>
      <c r="N1340" t="s">
        <v>63</v>
      </c>
      <c r="O1340" s="110">
        <v>49.9</v>
      </c>
      <c r="R1340" s="110">
        <v>329.89</v>
      </c>
      <c r="S1340" s="110">
        <v>130</v>
      </c>
      <c r="T1340" s="110">
        <v>0</v>
      </c>
      <c r="U1340" s="110">
        <v>42.99</v>
      </c>
      <c r="X1340">
        <v>111.99999999999997</v>
      </c>
      <c r="Y1340">
        <v>44.9</v>
      </c>
      <c r="Z1340">
        <v>44.9</v>
      </c>
      <c r="AA1340">
        <v>0</v>
      </c>
      <c r="AB1340" t="s">
        <v>324</v>
      </c>
      <c r="AF1340" t="s">
        <v>3255</v>
      </c>
      <c r="AG1340" t="s">
        <v>3255</v>
      </c>
      <c r="AH1340" t="s">
        <v>1903</v>
      </c>
      <c r="AI1340">
        <v>99999</v>
      </c>
      <c r="AJ1340">
        <v>99999</v>
      </c>
      <c r="AK1340">
        <v>699</v>
      </c>
      <c r="AL1340" t="b">
        <v>1</v>
      </c>
      <c r="AM1340" t="b">
        <v>1</v>
      </c>
      <c r="AN1340" t="b">
        <v>0</v>
      </c>
      <c r="AO1340">
        <v>99999</v>
      </c>
      <c r="AP1340" t="s">
        <v>64</v>
      </c>
      <c r="AR1340" t="b">
        <v>0</v>
      </c>
      <c r="AS1340">
        <v>12</v>
      </c>
      <c r="AT1340" t="s">
        <v>327</v>
      </c>
      <c r="AV1340" t="s">
        <v>3274</v>
      </c>
    </row>
    <row r="1341" spans="1:48" x14ac:dyDescent="0.25">
      <c r="A1341" t="s">
        <v>3323</v>
      </c>
      <c r="B1341" t="s">
        <v>302</v>
      </c>
      <c r="C1341" t="s">
        <v>62</v>
      </c>
      <c r="D1341">
        <v>99999</v>
      </c>
      <c r="F1341" s="109">
        <v>20000</v>
      </c>
      <c r="G1341" t="b">
        <v>0</v>
      </c>
      <c r="H1341" t="s">
        <v>337</v>
      </c>
      <c r="K1341" t="s">
        <v>393</v>
      </c>
      <c r="L1341" t="s">
        <v>303</v>
      </c>
      <c r="M1341" t="s">
        <v>323</v>
      </c>
      <c r="N1341" t="s">
        <v>63</v>
      </c>
      <c r="O1341" s="110">
        <v>29.9</v>
      </c>
      <c r="R1341" s="110">
        <v>320.58999999999997</v>
      </c>
      <c r="S1341" s="110">
        <v>130</v>
      </c>
      <c r="T1341" s="110">
        <v>0</v>
      </c>
      <c r="U1341" s="110">
        <v>34.99</v>
      </c>
      <c r="X1341">
        <v>85.69999999999996</v>
      </c>
      <c r="Y1341">
        <v>69.900000000000006</v>
      </c>
      <c r="Z1341">
        <v>69.900000000000006</v>
      </c>
      <c r="AA1341">
        <v>0</v>
      </c>
      <c r="AB1341" t="s">
        <v>363</v>
      </c>
      <c r="AF1341" t="s">
        <v>1930</v>
      </c>
      <c r="AG1341" t="s">
        <v>1930</v>
      </c>
      <c r="AH1341" t="s">
        <v>1903</v>
      </c>
      <c r="AI1341">
        <v>99999</v>
      </c>
      <c r="AJ1341">
        <v>99999</v>
      </c>
      <c r="AK1341">
        <v>699</v>
      </c>
      <c r="AL1341" t="b">
        <v>1</v>
      </c>
      <c r="AM1341" t="b">
        <v>1</v>
      </c>
      <c r="AN1341" t="b">
        <v>0</v>
      </c>
      <c r="AO1341">
        <v>99999</v>
      </c>
      <c r="AP1341" t="s">
        <v>64</v>
      </c>
      <c r="AR1341" t="b">
        <v>0</v>
      </c>
      <c r="AS1341">
        <v>12</v>
      </c>
      <c r="AT1341" t="s">
        <v>327</v>
      </c>
      <c r="AV1341" t="s">
        <v>1962</v>
      </c>
    </row>
    <row r="1342" spans="1:48" x14ac:dyDescent="0.25">
      <c r="A1342" t="s">
        <v>3323</v>
      </c>
      <c r="B1342" t="s">
        <v>302</v>
      </c>
      <c r="C1342" t="s">
        <v>62</v>
      </c>
      <c r="D1342">
        <v>99999</v>
      </c>
      <c r="F1342" s="109">
        <v>20000</v>
      </c>
      <c r="G1342" t="b">
        <v>0</v>
      </c>
      <c r="H1342" t="s">
        <v>337</v>
      </c>
      <c r="K1342" t="s">
        <v>393</v>
      </c>
      <c r="L1342" t="s">
        <v>303</v>
      </c>
      <c r="M1342" t="s">
        <v>323</v>
      </c>
      <c r="N1342" t="s">
        <v>63</v>
      </c>
      <c r="O1342" s="110">
        <v>29.9</v>
      </c>
      <c r="R1342" s="110">
        <v>354.89</v>
      </c>
      <c r="S1342" s="110">
        <v>130</v>
      </c>
      <c r="T1342" s="110">
        <v>0</v>
      </c>
      <c r="U1342" s="110">
        <v>42.99</v>
      </c>
      <c r="X1342">
        <v>111.99999999999997</v>
      </c>
      <c r="Y1342">
        <v>69.900000000000006</v>
      </c>
      <c r="Z1342">
        <v>69.900000000000006</v>
      </c>
      <c r="AA1342">
        <v>0</v>
      </c>
      <c r="AB1342" t="s">
        <v>363</v>
      </c>
      <c r="AF1342" t="s">
        <v>2078</v>
      </c>
      <c r="AG1342" t="s">
        <v>2078</v>
      </c>
      <c r="AH1342" t="s">
        <v>1903</v>
      </c>
      <c r="AI1342">
        <v>99999</v>
      </c>
      <c r="AJ1342">
        <v>99999</v>
      </c>
      <c r="AK1342">
        <v>699</v>
      </c>
      <c r="AL1342" t="b">
        <v>1</v>
      </c>
      <c r="AM1342" t="b">
        <v>1</v>
      </c>
      <c r="AN1342" t="b">
        <v>0</v>
      </c>
      <c r="AO1342">
        <v>99999</v>
      </c>
      <c r="AP1342" t="s">
        <v>64</v>
      </c>
      <c r="AR1342" t="b">
        <v>0</v>
      </c>
      <c r="AS1342">
        <v>12</v>
      </c>
      <c r="AT1342" t="s">
        <v>327</v>
      </c>
      <c r="AV1342" t="s">
        <v>2110</v>
      </c>
    </row>
    <row r="1343" spans="1:48" x14ac:dyDescent="0.25">
      <c r="A1343" t="s">
        <v>3323</v>
      </c>
      <c r="B1343" t="s">
        <v>302</v>
      </c>
      <c r="C1343" t="s">
        <v>62</v>
      </c>
      <c r="D1343">
        <v>99999</v>
      </c>
      <c r="F1343" s="109">
        <v>20000</v>
      </c>
      <c r="G1343" t="b">
        <v>0</v>
      </c>
      <c r="H1343" t="s">
        <v>337</v>
      </c>
      <c r="K1343" t="s">
        <v>393</v>
      </c>
      <c r="L1343" t="s">
        <v>303</v>
      </c>
      <c r="M1343" t="s">
        <v>323</v>
      </c>
      <c r="N1343" t="s">
        <v>63</v>
      </c>
      <c r="O1343" s="110">
        <v>39.9</v>
      </c>
      <c r="R1343" s="110">
        <v>320.58999999999997</v>
      </c>
      <c r="S1343" s="110">
        <v>130</v>
      </c>
      <c r="T1343" s="110">
        <v>0</v>
      </c>
      <c r="U1343" s="110">
        <v>34.99</v>
      </c>
      <c r="X1343">
        <v>85.69999999999996</v>
      </c>
      <c r="Y1343">
        <v>69.900000000000006</v>
      </c>
      <c r="Z1343">
        <v>69.900000000000006</v>
      </c>
      <c r="AA1343">
        <v>0</v>
      </c>
      <c r="AB1343" t="s">
        <v>363</v>
      </c>
      <c r="AF1343" t="s">
        <v>1997</v>
      </c>
      <c r="AG1343" t="s">
        <v>1997</v>
      </c>
      <c r="AH1343" t="s">
        <v>1903</v>
      </c>
      <c r="AI1343">
        <v>99999</v>
      </c>
      <c r="AJ1343">
        <v>99999</v>
      </c>
      <c r="AK1343">
        <v>699</v>
      </c>
      <c r="AL1343" t="b">
        <v>1</v>
      </c>
      <c r="AM1343" t="b">
        <v>1</v>
      </c>
      <c r="AN1343" t="b">
        <v>0</v>
      </c>
      <c r="AO1343">
        <v>99999</v>
      </c>
      <c r="AP1343" t="s">
        <v>64</v>
      </c>
      <c r="AR1343" t="b">
        <v>0</v>
      </c>
      <c r="AS1343">
        <v>12</v>
      </c>
      <c r="AT1343" t="s">
        <v>327</v>
      </c>
      <c r="AV1343" t="s">
        <v>2029</v>
      </c>
    </row>
    <row r="1344" spans="1:48" x14ac:dyDescent="0.25">
      <c r="A1344" t="s">
        <v>3323</v>
      </c>
      <c r="B1344" t="s">
        <v>302</v>
      </c>
      <c r="C1344" t="s">
        <v>62</v>
      </c>
      <c r="D1344">
        <v>99999</v>
      </c>
      <c r="F1344" s="109">
        <v>20000</v>
      </c>
      <c r="G1344" t="b">
        <v>0</v>
      </c>
      <c r="H1344" t="s">
        <v>337</v>
      </c>
      <c r="K1344" t="s">
        <v>393</v>
      </c>
      <c r="L1344" t="s">
        <v>303</v>
      </c>
      <c r="M1344" t="s">
        <v>323</v>
      </c>
      <c r="N1344" t="s">
        <v>63</v>
      </c>
      <c r="O1344" s="110">
        <v>39.9</v>
      </c>
      <c r="R1344" s="110">
        <v>354.89</v>
      </c>
      <c r="S1344" s="110">
        <v>130</v>
      </c>
      <c r="T1344" s="110">
        <v>0</v>
      </c>
      <c r="U1344" s="110">
        <v>42.99</v>
      </c>
      <c r="X1344">
        <v>111.99999999999997</v>
      </c>
      <c r="Y1344">
        <v>69.900000000000006</v>
      </c>
      <c r="Z1344">
        <v>69.900000000000006</v>
      </c>
      <c r="AA1344">
        <v>0</v>
      </c>
      <c r="AB1344" t="s">
        <v>363</v>
      </c>
      <c r="AF1344" t="s">
        <v>2145</v>
      </c>
      <c r="AG1344" t="s">
        <v>2145</v>
      </c>
      <c r="AH1344" t="s">
        <v>1903</v>
      </c>
      <c r="AI1344">
        <v>99999</v>
      </c>
      <c r="AJ1344">
        <v>99999</v>
      </c>
      <c r="AK1344">
        <v>699</v>
      </c>
      <c r="AL1344" t="b">
        <v>1</v>
      </c>
      <c r="AM1344" t="b">
        <v>1</v>
      </c>
      <c r="AN1344" t="b">
        <v>0</v>
      </c>
      <c r="AO1344">
        <v>99999</v>
      </c>
      <c r="AP1344" t="s">
        <v>64</v>
      </c>
      <c r="AR1344" t="b">
        <v>0</v>
      </c>
      <c r="AS1344">
        <v>12</v>
      </c>
      <c r="AT1344" t="s">
        <v>327</v>
      </c>
      <c r="AV1344" t="s">
        <v>2177</v>
      </c>
    </row>
    <row r="1345" spans="1:48" x14ac:dyDescent="0.25">
      <c r="A1345" t="s">
        <v>3323</v>
      </c>
      <c r="B1345" t="s">
        <v>302</v>
      </c>
      <c r="C1345" t="s">
        <v>62</v>
      </c>
      <c r="D1345">
        <v>99999</v>
      </c>
      <c r="F1345" s="109">
        <v>20000</v>
      </c>
      <c r="G1345" t="b">
        <v>0</v>
      </c>
      <c r="H1345" t="s">
        <v>337</v>
      </c>
      <c r="K1345" t="s">
        <v>393</v>
      </c>
      <c r="L1345" t="s">
        <v>303</v>
      </c>
      <c r="M1345" t="s">
        <v>323</v>
      </c>
      <c r="N1345" t="s">
        <v>63</v>
      </c>
      <c r="O1345" s="110">
        <v>49.9</v>
      </c>
      <c r="R1345" s="110">
        <v>320.58999999999997</v>
      </c>
      <c r="S1345" s="110">
        <v>130</v>
      </c>
      <c r="T1345" s="110">
        <v>0</v>
      </c>
      <c r="U1345" s="110">
        <v>34.99</v>
      </c>
      <c r="X1345">
        <v>85.69999999999996</v>
      </c>
      <c r="Y1345">
        <v>69.900000000000006</v>
      </c>
      <c r="Z1345">
        <v>69.900000000000006</v>
      </c>
      <c r="AA1345">
        <v>0</v>
      </c>
      <c r="AB1345" t="s">
        <v>363</v>
      </c>
      <c r="AF1345" t="s">
        <v>3208</v>
      </c>
      <c r="AG1345" t="s">
        <v>3208</v>
      </c>
      <c r="AH1345" t="s">
        <v>1903</v>
      </c>
      <c r="AI1345">
        <v>99999</v>
      </c>
      <c r="AJ1345">
        <v>99999</v>
      </c>
      <c r="AK1345">
        <v>699</v>
      </c>
      <c r="AL1345" t="b">
        <v>1</v>
      </c>
      <c r="AM1345" t="b">
        <v>1</v>
      </c>
      <c r="AN1345" t="b">
        <v>0</v>
      </c>
      <c r="AO1345">
        <v>99999</v>
      </c>
      <c r="AP1345" t="s">
        <v>64</v>
      </c>
      <c r="AR1345" t="b">
        <v>0</v>
      </c>
      <c r="AS1345">
        <v>12</v>
      </c>
      <c r="AT1345" t="s">
        <v>327</v>
      </c>
      <c r="AV1345" t="s">
        <v>3240</v>
      </c>
    </row>
    <row r="1346" spans="1:48" x14ac:dyDescent="0.25">
      <c r="A1346" t="s">
        <v>3323</v>
      </c>
      <c r="B1346" t="s">
        <v>302</v>
      </c>
      <c r="C1346" t="s">
        <v>62</v>
      </c>
      <c r="D1346">
        <v>99999</v>
      </c>
      <c r="F1346" s="109">
        <v>20000</v>
      </c>
      <c r="G1346" t="b">
        <v>0</v>
      </c>
      <c r="H1346" t="s">
        <v>337</v>
      </c>
      <c r="K1346" t="s">
        <v>393</v>
      </c>
      <c r="L1346" t="s">
        <v>303</v>
      </c>
      <c r="M1346" t="s">
        <v>323</v>
      </c>
      <c r="N1346" t="s">
        <v>63</v>
      </c>
      <c r="O1346" s="110">
        <v>49.9</v>
      </c>
      <c r="R1346" s="110">
        <v>354.89</v>
      </c>
      <c r="S1346" s="110">
        <v>130</v>
      </c>
      <c r="T1346" s="110">
        <v>0</v>
      </c>
      <c r="U1346" s="110">
        <v>42.99</v>
      </c>
      <c r="X1346">
        <v>111.99999999999997</v>
      </c>
      <c r="Y1346">
        <v>69.900000000000006</v>
      </c>
      <c r="Z1346">
        <v>69.900000000000006</v>
      </c>
      <c r="AA1346">
        <v>0</v>
      </c>
      <c r="AB1346" t="s">
        <v>363</v>
      </c>
      <c r="AF1346" t="s">
        <v>3282</v>
      </c>
      <c r="AG1346" t="s">
        <v>3282</v>
      </c>
      <c r="AH1346" t="s">
        <v>1903</v>
      </c>
      <c r="AI1346">
        <v>99999</v>
      </c>
      <c r="AJ1346">
        <v>99999</v>
      </c>
      <c r="AK1346">
        <v>699</v>
      </c>
      <c r="AL1346" t="b">
        <v>1</v>
      </c>
      <c r="AM1346" t="b">
        <v>1</v>
      </c>
      <c r="AN1346" t="b">
        <v>0</v>
      </c>
      <c r="AO1346">
        <v>99999</v>
      </c>
      <c r="AP1346" t="s">
        <v>64</v>
      </c>
      <c r="AR1346" t="b">
        <v>0</v>
      </c>
      <c r="AS1346">
        <v>12</v>
      </c>
      <c r="AT1346" t="s">
        <v>327</v>
      </c>
      <c r="AV1346" t="s">
        <v>3314</v>
      </c>
    </row>
    <row r="1347" spans="1:48" x14ac:dyDescent="0.25">
      <c r="A1347" t="s">
        <v>3323</v>
      </c>
      <c r="B1347" t="s">
        <v>302</v>
      </c>
      <c r="C1347" t="s">
        <v>62</v>
      </c>
      <c r="D1347">
        <v>99999</v>
      </c>
      <c r="F1347" s="109">
        <v>20000</v>
      </c>
      <c r="G1347" t="b">
        <v>0</v>
      </c>
      <c r="H1347" t="s">
        <v>337</v>
      </c>
      <c r="K1347" t="s">
        <v>364</v>
      </c>
      <c r="L1347" t="s">
        <v>303</v>
      </c>
      <c r="M1347" t="s">
        <v>323</v>
      </c>
      <c r="N1347" t="s">
        <v>63</v>
      </c>
      <c r="O1347" s="110">
        <v>29.9</v>
      </c>
      <c r="R1347" s="110">
        <v>300.58999999999992</v>
      </c>
      <c r="S1347" s="110">
        <v>130</v>
      </c>
      <c r="T1347" s="110">
        <v>0</v>
      </c>
      <c r="U1347" s="110">
        <v>34.99</v>
      </c>
      <c r="X1347">
        <v>85.69999999999996</v>
      </c>
      <c r="Y1347">
        <v>49.9</v>
      </c>
      <c r="Z1347">
        <v>49.9</v>
      </c>
      <c r="AA1347">
        <v>0</v>
      </c>
      <c r="AB1347" t="s">
        <v>363</v>
      </c>
      <c r="AF1347" t="s">
        <v>1930</v>
      </c>
      <c r="AG1347" t="s">
        <v>1930</v>
      </c>
      <c r="AH1347" t="s">
        <v>1903</v>
      </c>
      <c r="AI1347">
        <v>99999</v>
      </c>
      <c r="AJ1347">
        <v>99999</v>
      </c>
      <c r="AK1347">
        <v>699</v>
      </c>
      <c r="AL1347" t="b">
        <v>1</v>
      </c>
      <c r="AM1347" t="b">
        <v>1</v>
      </c>
      <c r="AN1347" t="b">
        <v>0</v>
      </c>
      <c r="AO1347">
        <v>99999</v>
      </c>
      <c r="AP1347" t="s">
        <v>64</v>
      </c>
      <c r="AR1347" t="b">
        <v>0</v>
      </c>
      <c r="AS1347">
        <v>12</v>
      </c>
      <c r="AT1347" t="s">
        <v>327</v>
      </c>
      <c r="AV1347" t="s">
        <v>1936</v>
      </c>
    </row>
    <row r="1348" spans="1:48" x14ac:dyDescent="0.25">
      <c r="A1348" t="s">
        <v>3323</v>
      </c>
      <c r="B1348" t="s">
        <v>302</v>
      </c>
      <c r="C1348" t="s">
        <v>62</v>
      </c>
      <c r="D1348">
        <v>99999</v>
      </c>
      <c r="F1348" s="109">
        <v>20000</v>
      </c>
      <c r="G1348" t="b">
        <v>0</v>
      </c>
      <c r="H1348" t="s">
        <v>337</v>
      </c>
      <c r="K1348" t="s">
        <v>364</v>
      </c>
      <c r="L1348" t="s">
        <v>303</v>
      </c>
      <c r="M1348" t="s">
        <v>323</v>
      </c>
      <c r="N1348" t="s">
        <v>63</v>
      </c>
      <c r="O1348" s="110">
        <v>29.9</v>
      </c>
      <c r="R1348" s="110">
        <v>334.89</v>
      </c>
      <c r="S1348" s="110">
        <v>130</v>
      </c>
      <c r="T1348" s="110">
        <v>0</v>
      </c>
      <c r="U1348" s="110">
        <v>42.99</v>
      </c>
      <c r="X1348">
        <v>111.99999999999997</v>
      </c>
      <c r="Y1348">
        <v>49.9</v>
      </c>
      <c r="Z1348">
        <v>49.9</v>
      </c>
      <c r="AA1348">
        <v>0</v>
      </c>
      <c r="AB1348" t="s">
        <v>363</v>
      </c>
      <c r="AF1348" t="s">
        <v>2078</v>
      </c>
      <c r="AG1348" t="s">
        <v>2078</v>
      </c>
      <c r="AH1348" t="s">
        <v>1903</v>
      </c>
      <c r="AI1348">
        <v>99999</v>
      </c>
      <c r="AJ1348">
        <v>99999</v>
      </c>
      <c r="AK1348">
        <v>699</v>
      </c>
      <c r="AL1348" t="b">
        <v>1</v>
      </c>
      <c r="AM1348" t="b">
        <v>1</v>
      </c>
      <c r="AN1348" t="b">
        <v>0</v>
      </c>
      <c r="AO1348">
        <v>99999</v>
      </c>
      <c r="AP1348" t="s">
        <v>64</v>
      </c>
      <c r="AR1348" t="b">
        <v>0</v>
      </c>
      <c r="AS1348">
        <v>12</v>
      </c>
      <c r="AT1348" t="s">
        <v>327</v>
      </c>
      <c r="AV1348" t="s">
        <v>2084</v>
      </c>
    </row>
    <row r="1349" spans="1:48" x14ac:dyDescent="0.25">
      <c r="A1349" t="s">
        <v>3323</v>
      </c>
      <c r="B1349" t="s">
        <v>302</v>
      </c>
      <c r="C1349" t="s">
        <v>62</v>
      </c>
      <c r="D1349">
        <v>99999</v>
      </c>
      <c r="F1349" s="109">
        <v>20000</v>
      </c>
      <c r="G1349" t="b">
        <v>0</v>
      </c>
      <c r="H1349" t="s">
        <v>337</v>
      </c>
      <c r="K1349" t="s">
        <v>364</v>
      </c>
      <c r="L1349" t="s">
        <v>303</v>
      </c>
      <c r="M1349" t="s">
        <v>323</v>
      </c>
      <c r="N1349" t="s">
        <v>63</v>
      </c>
      <c r="O1349" s="110">
        <v>39.9</v>
      </c>
      <c r="R1349" s="110">
        <v>300.58999999999992</v>
      </c>
      <c r="S1349" s="110">
        <v>130</v>
      </c>
      <c r="T1349" s="110">
        <v>0</v>
      </c>
      <c r="U1349" s="110">
        <v>34.99</v>
      </c>
      <c r="X1349">
        <v>85.69999999999996</v>
      </c>
      <c r="Y1349">
        <v>49.9</v>
      </c>
      <c r="Z1349">
        <v>49.9</v>
      </c>
      <c r="AA1349">
        <v>0</v>
      </c>
      <c r="AB1349" t="s">
        <v>363</v>
      </c>
      <c r="AF1349" t="s">
        <v>1997</v>
      </c>
      <c r="AG1349" t="s">
        <v>1997</v>
      </c>
      <c r="AH1349" t="s">
        <v>1903</v>
      </c>
      <c r="AI1349">
        <v>99999</v>
      </c>
      <c r="AJ1349">
        <v>99999</v>
      </c>
      <c r="AK1349">
        <v>699</v>
      </c>
      <c r="AL1349" t="b">
        <v>1</v>
      </c>
      <c r="AM1349" t="b">
        <v>1</v>
      </c>
      <c r="AN1349" t="b">
        <v>0</v>
      </c>
      <c r="AO1349">
        <v>99999</v>
      </c>
      <c r="AP1349" t="s">
        <v>64</v>
      </c>
      <c r="AR1349" t="b">
        <v>0</v>
      </c>
      <c r="AS1349">
        <v>12</v>
      </c>
      <c r="AT1349" t="s">
        <v>327</v>
      </c>
      <c r="AV1349" t="s">
        <v>2003</v>
      </c>
    </row>
    <row r="1350" spans="1:48" x14ac:dyDescent="0.25">
      <c r="A1350" t="s">
        <v>3323</v>
      </c>
      <c r="B1350" t="s">
        <v>302</v>
      </c>
      <c r="C1350" t="s">
        <v>62</v>
      </c>
      <c r="D1350">
        <v>99999</v>
      </c>
      <c r="F1350" s="109">
        <v>20000</v>
      </c>
      <c r="G1350" t="b">
        <v>0</v>
      </c>
      <c r="H1350" t="s">
        <v>337</v>
      </c>
      <c r="K1350" t="s">
        <v>364</v>
      </c>
      <c r="L1350" t="s">
        <v>303</v>
      </c>
      <c r="M1350" t="s">
        <v>323</v>
      </c>
      <c r="N1350" t="s">
        <v>63</v>
      </c>
      <c r="O1350" s="110">
        <v>39.9</v>
      </c>
      <c r="R1350" s="110">
        <v>334.89</v>
      </c>
      <c r="S1350" s="110">
        <v>130</v>
      </c>
      <c r="T1350" s="110">
        <v>0</v>
      </c>
      <c r="U1350" s="110">
        <v>42.99</v>
      </c>
      <c r="X1350">
        <v>111.99999999999997</v>
      </c>
      <c r="Y1350">
        <v>49.9</v>
      </c>
      <c r="Z1350">
        <v>49.9</v>
      </c>
      <c r="AA1350">
        <v>0</v>
      </c>
      <c r="AB1350" t="s">
        <v>363</v>
      </c>
      <c r="AF1350" t="s">
        <v>2145</v>
      </c>
      <c r="AG1350" t="s">
        <v>2145</v>
      </c>
      <c r="AH1350" t="s">
        <v>1903</v>
      </c>
      <c r="AI1350">
        <v>99999</v>
      </c>
      <c r="AJ1350">
        <v>99999</v>
      </c>
      <c r="AK1350">
        <v>699</v>
      </c>
      <c r="AL1350" t="b">
        <v>1</v>
      </c>
      <c r="AM1350" t="b">
        <v>1</v>
      </c>
      <c r="AN1350" t="b">
        <v>0</v>
      </c>
      <c r="AO1350">
        <v>99999</v>
      </c>
      <c r="AP1350" t="s">
        <v>64</v>
      </c>
      <c r="AR1350" t="b">
        <v>0</v>
      </c>
      <c r="AS1350">
        <v>12</v>
      </c>
      <c r="AT1350" t="s">
        <v>327</v>
      </c>
      <c r="AV1350" t="s">
        <v>2151</v>
      </c>
    </row>
    <row r="1351" spans="1:48" x14ac:dyDescent="0.25">
      <c r="A1351" t="s">
        <v>3323</v>
      </c>
      <c r="B1351" t="s">
        <v>302</v>
      </c>
      <c r="C1351" t="s">
        <v>62</v>
      </c>
      <c r="D1351">
        <v>99999</v>
      </c>
      <c r="F1351" s="109">
        <v>20000</v>
      </c>
      <c r="G1351" t="b">
        <v>0</v>
      </c>
      <c r="H1351" t="s">
        <v>337</v>
      </c>
      <c r="K1351" t="s">
        <v>364</v>
      </c>
      <c r="L1351" t="s">
        <v>303</v>
      </c>
      <c r="M1351" t="s">
        <v>323</v>
      </c>
      <c r="N1351" t="s">
        <v>63</v>
      </c>
      <c r="O1351" s="110">
        <v>49.9</v>
      </c>
      <c r="R1351" s="110">
        <v>300.58999999999992</v>
      </c>
      <c r="S1351" s="110">
        <v>130</v>
      </c>
      <c r="T1351" s="110">
        <v>0</v>
      </c>
      <c r="U1351" s="110">
        <v>34.99</v>
      </c>
      <c r="X1351">
        <v>85.69999999999996</v>
      </c>
      <c r="Y1351">
        <v>49.9</v>
      </c>
      <c r="Z1351">
        <v>49.9</v>
      </c>
      <c r="AA1351">
        <v>0</v>
      </c>
      <c r="AB1351" t="s">
        <v>363</v>
      </c>
      <c r="AF1351" t="s">
        <v>3208</v>
      </c>
      <c r="AG1351" t="s">
        <v>3208</v>
      </c>
      <c r="AH1351" t="s">
        <v>1903</v>
      </c>
      <c r="AI1351">
        <v>99999</v>
      </c>
      <c r="AJ1351">
        <v>99999</v>
      </c>
      <c r="AK1351">
        <v>699</v>
      </c>
      <c r="AL1351" t="b">
        <v>1</v>
      </c>
      <c r="AM1351" t="b">
        <v>1</v>
      </c>
      <c r="AN1351" t="b">
        <v>0</v>
      </c>
      <c r="AO1351">
        <v>99999</v>
      </c>
      <c r="AP1351" t="s">
        <v>64</v>
      </c>
      <c r="AR1351" t="b">
        <v>0</v>
      </c>
      <c r="AS1351">
        <v>12</v>
      </c>
      <c r="AT1351" t="s">
        <v>327</v>
      </c>
      <c r="AV1351" t="s">
        <v>3214</v>
      </c>
    </row>
    <row r="1352" spans="1:48" x14ac:dyDescent="0.25">
      <c r="A1352" t="s">
        <v>3323</v>
      </c>
      <c r="B1352" t="s">
        <v>302</v>
      </c>
      <c r="C1352" t="s">
        <v>62</v>
      </c>
      <c r="D1352">
        <v>99999</v>
      </c>
      <c r="F1352" s="109">
        <v>20000</v>
      </c>
      <c r="G1352" t="b">
        <v>0</v>
      </c>
      <c r="H1352" t="s">
        <v>337</v>
      </c>
      <c r="K1352" t="s">
        <v>364</v>
      </c>
      <c r="L1352" t="s">
        <v>303</v>
      </c>
      <c r="M1352" t="s">
        <v>323</v>
      </c>
      <c r="N1352" t="s">
        <v>63</v>
      </c>
      <c r="O1352" s="110">
        <v>49.9</v>
      </c>
      <c r="R1352" s="110">
        <v>334.89</v>
      </c>
      <c r="S1352" s="110">
        <v>130</v>
      </c>
      <c r="T1352" s="110">
        <v>0</v>
      </c>
      <c r="U1352" s="110">
        <v>42.99</v>
      </c>
      <c r="X1352">
        <v>111.99999999999997</v>
      </c>
      <c r="Y1352">
        <v>49.9</v>
      </c>
      <c r="Z1352">
        <v>49.9</v>
      </c>
      <c r="AA1352">
        <v>0</v>
      </c>
      <c r="AB1352" t="s">
        <v>363</v>
      </c>
      <c r="AF1352" t="s">
        <v>3282</v>
      </c>
      <c r="AG1352" t="s">
        <v>3282</v>
      </c>
      <c r="AH1352" t="s">
        <v>1903</v>
      </c>
      <c r="AI1352">
        <v>99999</v>
      </c>
      <c r="AJ1352">
        <v>99999</v>
      </c>
      <c r="AK1352">
        <v>699</v>
      </c>
      <c r="AL1352" t="b">
        <v>1</v>
      </c>
      <c r="AM1352" t="b">
        <v>1</v>
      </c>
      <c r="AN1352" t="b">
        <v>0</v>
      </c>
      <c r="AO1352">
        <v>99999</v>
      </c>
      <c r="AP1352" t="s">
        <v>64</v>
      </c>
      <c r="AR1352" t="b">
        <v>0</v>
      </c>
      <c r="AS1352">
        <v>12</v>
      </c>
      <c r="AT1352" t="s">
        <v>327</v>
      </c>
      <c r="AV1352" t="s">
        <v>3288</v>
      </c>
    </row>
    <row r="1353" spans="1:48" x14ac:dyDescent="0.25">
      <c r="A1353" t="s">
        <v>3323</v>
      </c>
      <c r="B1353" t="s">
        <v>302</v>
      </c>
      <c r="C1353" t="s">
        <v>62</v>
      </c>
      <c r="D1353">
        <v>99999</v>
      </c>
      <c r="F1353" s="109">
        <v>20000</v>
      </c>
      <c r="G1353" t="b">
        <v>0</v>
      </c>
      <c r="H1353" t="s">
        <v>337</v>
      </c>
      <c r="K1353" t="s">
        <v>379</v>
      </c>
      <c r="L1353" t="s">
        <v>303</v>
      </c>
      <c r="M1353" t="s">
        <v>323</v>
      </c>
      <c r="N1353" t="s">
        <v>63</v>
      </c>
      <c r="O1353" s="110">
        <v>29.9</v>
      </c>
      <c r="R1353" s="110">
        <v>310.58999999999992</v>
      </c>
      <c r="S1353" s="110">
        <v>130</v>
      </c>
      <c r="T1353" s="110">
        <v>0</v>
      </c>
      <c r="U1353" s="110">
        <v>34.99</v>
      </c>
      <c r="X1353">
        <v>85.69999999999996</v>
      </c>
      <c r="Y1353">
        <v>59.9</v>
      </c>
      <c r="Z1353">
        <v>59.9</v>
      </c>
      <c r="AA1353">
        <v>0</v>
      </c>
      <c r="AB1353" t="s">
        <v>363</v>
      </c>
      <c r="AF1353" t="s">
        <v>1930</v>
      </c>
      <c r="AG1353" t="s">
        <v>1930</v>
      </c>
      <c r="AH1353" t="s">
        <v>1903</v>
      </c>
      <c r="AI1353">
        <v>99999</v>
      </c>
      <c r="AJ1353">
        <v>99999</v>
      </c>
      <c r="AK1353">
        <v>699</v>
      </c>
      <c r="AL1353" t="b">
        <v>1</v>
      </c>
      <c r="AM1353" t="b">
        <v>1</v>
      </c>
      <c r="AN1353" t="b">
        <v>0</v>
      </c>
      <c r="AO1353">
        <v>99999</v>
      </c>
      <c r="AP1353" t="s">
        <v>64</v>
      </c>
      <c r="AR1353" t="b">
        <v>0</v>
      </c>
      <c r="AS1353">
        <v>12</v>
      </c>
      <c r="AT1353" t="s">
        <v>327</v>
      </c>
      <c r="AV1353" t="s">
        <v>1949</v>
      </c>
    </row>
    <row r="1354" spans="1:48" x14ac:dyDescent="0.25">
      <c r="A1354" t="s">
        <v>3323</v>
      </c>
      <c r="B1354" t="s">
        <v>302</v>
      </c>
      <c r="C1354" t="s">
        <v>62</v>
      </c>
      <c r="D1354">
        <v>99999</v>
      </c>
      <c r="F1354" s="109">
        <v>20000</v>
      </c>
      <c r="G1354" t="b">
        <v>0</v>
      </c>
      <c r="H1354" t="s">
        <v>337</v>
      </c>
      <c r="K1354" t="s">
        <v>379</v>
      </c>
      <c r="L1354" t="s">
        <v>303</v>
      </c>
      <c r="M1354" t="s">
        <v>323</v>
      </c>
      <c r="N1354" t="s">
        <v>63</v>
      </c>
      <c r="O1354" s="110">
        <v>29.9</v>
      </c>
      <c r="R1354" s="110">
        <v>344.89</v>
      </c>
      <c r="S1354" s="110">
        <v>130</v>
      </c>
      <c r="T1354" s="110">
        <v>0</v>
      </c>
      <c r="U1354" s="110">
        <v>42.99</v>
      </c>
      <c r="X1354">
        <v>111.99999999999997</v>
      </c>
      <c r="Y1354">
        <v>59.9</v>
      </c>
      <c r="Z1354">
        <v>59.9</v>
      </c>
      <c r="AA1354">
        <v>0</v>
      </c>
      <c r="AB1354" t="s">
        <v>363</v>
      </c>
      <c r="AF1354" t="s">
        <v>2078</v>
      </c>
      <c r="AG1354" t="s">
        <v>2078</v>
      </c>
      <c r="AH1354" t="s">
        <v>1903</v>
      </c>
      <c r="AI1354">
        <v>99999</v>
      </c>
      <c r="AJ1354">
        <v>99999</v>
      </c>
      <c r="AK1354">
        <v>699</v>
      </c>
      <c r="AL1354" t="b">
        <v>1</v>
      </c>
      <c r="AM1354" t="b">
        <v>1</v>
      </c>
      <c r="AN1354" t="b">
        <v>0</v>
      </c>
      <c r="AO1354">
        <v>99999</v>
      </c>
      <c r="AP1354" t="s">
        <v>64</v>
      </c>
      <c r="AR1354" t="b">
        <v>0</v>
      </c>
      <c r="AS1354">
        <v>12</v>
      </c>
      <c r="AT1354" t="s">
        <v>327</v>
      </c>
      <c r="AV1354" t="s">
        <v>2097</v>
      </c>
    </row>
    <row r="1355" spans="1:48" x14ac:dyDescent="0.25">
      <c r="A1355" t="s">
        <v>3323</v>
      </c>
      <c r="B1355" t="s">
        <v>302</v>
      </c>
      <c r="C1355" t="s">
        <v>62</v>
      </c>
      <c r="D1355">
        <v>99999</v>
      </c>
      <c r="F1355" s="109">
        <v>20000</v>
      </c>
      <c r="G1355" t="b">
        <v>0</v>
      </c>
      <c r="H1355" t="s">
        <v>337</v>
      </c>
      <c r="K1355" t="s">
        <v>379</v>
      </c>
      <c r="L1355" t="s">
        <v>303</v>
      </c>
      <c r="M1355" t="s">
        <v>323</v>
      </c>
      <c r="N1355" t="s">
        <v>63</v>
      </c>
      <c r="O1355" s="110">
        <v>39.9</v>
      </c>
      <c r="R1355" s="110">
        <v>310.58999999999992</v>
      </c>
      <c r="S1355" s="110">
        <v>130</v>
      </c>
      <c r="T1355" s="110">
        <v>0</v>
      </c>
      <c r="U1355" s="110">
        <v>34.99</v>
      </c>
      <c r="X1355">
        <v>85.69999999999996</v>
      </c>
      <c r="Y1355">
        <v>59.9</v>
      </c>
      <c r="Z1355">
        <v>59.9</v>
      </c>
      <c r="AA1355">
        <v>0</v>
      </c>
      <c r="AB1355" t="s">
        <v>363</v>
      </c>
      <c r="AF1355" t="s">
        <v>1997</v>
      </c>
      <c r="AG1355" t="s">
        <v>1997</v>
      </c>
      <c r="AH1355" t="s">
        <v>1903</v>
      </c>
      <c r="AI1355">
        <v>99999</v>
      </c>
      <c r="AJ1355">
        <v>99999</v>
      </c>
      <c r="AK1355">
        <v>699</v>
      </c>
      <c r="AL1355" t="b">
        <v>1</v>
      </c>
      <c r="AM1355" t="b">
        <v>1</v>
      </c>
      <c r="AN1355" t="b">
        <v>0</v>
      </c>
      <c r="AO1355">
        <v>99999</v>
      </c>
      <c r="AP1355" t="s">
        <v>64</v>
      </c>
      <c r="AR1355" t="b">
        <v>0</v>
      </c>
      <c r="AS1355">
        <v>12</v>
      </c>
      <c r="AT1355" t="s">
        <v>327</v>
      </c>
      <c r="AV1355" t="s">
        <v>2016</v>
      </c>
    </row>
    <row r="1356" spans="1:48" x14ac:dyDescent="0.25">
      <c r="A1356" t="s">
        <v>3323</v>
      </c>
      <c r="B1356" t="s">
        <v>302</v>
      </c>
      <c r="C1356" t="s">
        <v>62</v>
      </c>
      <c r="D1356">
        <v>99999</v>
      </c>
      <c r="F1356" s="109">
        <v>20000</v>
      </c>
      <c r="G1356" t="b">
        <v>0</v>
      </c>
      <c r="H1356" t="s">
        <v>337</v>
      </c>
      <c r="K1356" t="s">
        <v>379</v>
      </c>
      <c r="L1356" t="s">
        <v>303</v>
      </c>
      <c r="M1356" t="s">
        <v>323</v>
      </c>
      <c r="N1356" t="s">
        <v>63</v>
      </c>
      <c r="O1356" s="110">
        <v>39.9</v>
      </c>
      <c r="R1356" s="110">
        <v>344.89</v>
      </c>
      <c r="S1356" s="110">
        <v>130</v>
      </c>
      <c r="T1356" s="110">
        <v>0</v>
      </c>
      <c r="U1356" s="110">
        <v>42.99</v>
      </c>
      <c r="X1356">
        <v>111.99999999999997</v>
      </c>
      <c r="Y1356">
        <v>59.9</v>
      </c>
      <c r="Z1356">
        <v>59.9</v>
      </c>
      <c r="AA1356">
        <v>0</v>
      </c>
      <c r="AB1356" t="s">
        <v>363</v>
      </c>
      <c r="AF1356" t="s">
        <v>2145</v>
      </c>
      <c r="AG1356" t="s">
        <v>2145</v>
      </c>
      <c r="AH1356" t="s">
        <v>1903</v>
      </c>
      <c r="AI1356">
        <v>99999</v>
      </c>
      <c r="AJ1356">
        <v>99999</v>
      </c>
      <c r="AK1356">
        <v>699</v>
      </c>
      <c r="AL1356" t="b">
        <v>1</v>
      </c>
      <c r="AM1356" t="b">
        <v>1</v>
      </c>
      <c r="AN1356" t="b">
        <v>0</v>
      </c>
      <c r="AO1356">
        <v>99999</v>
      </c>
      <c r="AP1356" t="s">
        <v>64</v>
      </c>
      <c r="AR1356" t="b">
        <v>0</v>
      </c>
      <c r="AS1356">
        <v>12</v>
      </c>
      <c r="AT1356" t="s">
        <v>327</v>
      </c>
      <c r="AV1356" t="s">
        <v>2164</v>
      </c>
    </row>
    <row r="1357" spans="1:48" x14ac:dyDescent="0.25">
      <c r="A1357" t="s">
        <v>3323</v>
      </c>
      <c r="B1357" t="s">
        <v>302</v>
      </c>
      <c r="C1357" t="s">
        <v>62</v>
      </c>
      <c r="D1357">
        <v>99999</v>
      </c>
      <c r="F1357" s="109">
        <v>20000</v>
      </c>
      <c r="G1357" t="b">
        <v>0</v>
      </c>
      <c r="H1357" t="s">
        <v>337</v>
      </c>
      <c r="K1357" t="s">
        <v>379</v>
      </c>
      <c r="L1357" t="s">
        <v>303</v>
      </c>
      <c r="M1357" t="s">
        <v>323</v>
      </c>
      <c r="N1357" t="s">
        <v>63</v>
      </c>
      <c r="O1357" s="110">
        <v>49.9</v>
      </c>
      <c r="R1357" s="110">
        <v>310.58999999999992</v>
      </c>
      <c r="S1357" s="110">
        <v>130</v>
      </c>
      <c r="T1357" s="110">
        <v>0</v>
      </c>
      <c r="U1357" s="110">
        <v>34.99</v>
      </c>
      <c r="X1357">
        <v>85.69999999999996</v>
      </c>
      <c r="Y1357">
        <v>59.9</v>
      </c>
      <c r="Z1357">
        <v>59.9</v>
      </c>
      <c r="AA1357">
        <v>0</v>
      </c>
      <c r="AB1357" t="s">
        <v>363</v>
      </c>
      <c r="AF1357" t="s">
        <v>3208</v>
      </c>
      <c r="AG1357" t="s">
        <v>3208</v>
      </c>
      <c r="AH1357" t="s">
        <v>1903</v>
      </c>
      <c r="AI1357">
        <v>99999</v>
      </c>
      <c r="AJ1357">
        <v>99999</v>
      </c>
      <c r="AK1357">
        <v>699</v>
      </c>
      <c r="AL1357" t="b">
        <v>1</v>
      </c>
      <c r="AM1357" t="b">
        <v>1</v>
      </c>
      <c r="AN1357" t="b">
        <v>0</v>
      </c>
      <c r="AO1357">
        <v>99999</v>
      </c>
      <c r="AP1357" t="s">
        <v>64</v>
      </c>
      <c r="AR1357" t="b">
        <v>0</v>
      </c>
      <c r="AS1357">
        <v>12</v>
      </c>
      <c r="AT1357" t="s">
        <v>327</v>
      </c>
      <c r="AV1357" t="s">
        <v>3227</v>
      </c>
    </row>
    <row r="1358" spans="1:48" x14ac:dyDescent="0.25">
      <c r="A1358" t="s">
        <v>3323</v>
      </c>
      <c r="B1358" t="s">
        <v>302</v>
      </c>
      <c r="C1358" t="s">
        <v>62</v>
      </c>
      <c r="D1358">
        <v>99999</v>
      </c>
      <c r="F1358" s="109">
        <v>20000</v>
      </c>
      <c r="G1358" t="b">
        <v>0</v>
      </c>
      <c r="H1358" t="s">
        <v>337</v>
      </c>
      <c r="K1358" t="s">
        <v>379</v>
      </c>
      <c r="L1358" t="s">
        <v>303</v>
      </c>
      <c r="M1358" t="s">
        <v>323</v>
      </c>
      <c r="N1358" t="s">
        <v>63</v>
      </c>
      <c r="O1358" s="110">
        <v>49.9</v>
      </c>
      <c r="R1358" s="110">
        <v>344.89</v>
      </c>
      <c r="S1358" s="110">
        <v>130</v>
      </c>
      <c r="T1358" s="110">
        <v>0</v>
      </c>
      <c r="U1358" s="110">
        <v>42.99</v>
      </c>
      <c r="X1358">
        <v>111.99999999999997</v>
      </c>
      <c r="Y1358">
        <v>59.9</v>
      </c>
      <c r="Z1358">
        <v>59.9</v>
      </c>
      <c r="AA1358">
        <v>0</v>
      </c>
      <c r="AB1358" t="s">
        <v>363</v>
      </c>
      <c r="AF1358" t="s">
        <v>3282</v>
      </c>
      <c r="AG1358" t="s">
        <v>3282</v>
      </c>
      <c r="AH1358" t="s">
        <v>1903</v>
      </c>
      <c r="AI1358">
        <v>99999</v>
      </c>
      <c r="AJ1358">
        <v>99999</v>
      </c>
      <c r="AK1358">
        <v>699</v>
      </c>
      <c r="AL1358" t="b">
        <v>1</v>
      </c>
      <c r="AM1358" t="b">
        <v>1</v>
      </c>
      <c r="AN1358" t="b">
        <v>0</v>
      </c>
      <c r="AO1358">
        <v>99999</v>
      </c>
      <c r="AP1358" t="s">
        <v>64</v>
      </c>
      <c r="AR1358" t="b">
        <v>0</v>
      </c>
      <c r="AS1358">
        <v>12</v>
      </c>
      <c r="AT1358" t="s">
        <v>327</v>
      </c>
      <c r="AV1358" t="s">
        <v>3301</v>
      </c>
    </row>
    <row r="1359" spans="1:48" x14ac:dyDescent="0.25">
      <c r="A1359" t="s">
        <v>3323</v>
      </c>
      <c r="B1359" t="s">
        <v>302</v>
      </c>
      <c r="C1359" t="s">
        <v>62</v>
      </c>
      <c r="D1359">
        <v>99999</v>
      </c>
      <c r="F1359" s="109">
        <v>20000</v>
      </c>
      <c r="G1359" t="b">
        <v>0</v>
      </c>
      <c r="H1359" t="s">
        <v>337</v>
      </c>
      <c r="K1359" t="s">
        <v>61</v>
      </c>
      <c r="L1359" t="s">
        <v>303</v>
      </c>
      <c r="M1359" t="s">
        <v>323</v>
      </c>
      <c r="N1359" t="s">
        <v>63</v>
      </c>
      <c r="O1359" s="110">
        <v>29.9</v>
      </c>
      <c r="R1359" s="110">
        <v>295.58999999999992</v>
      </c>
      <c r="S1359" s="110">
        <v>130</v>
      </c>
      <c r="T1359" s="110">
        <v>0</v>
      </c>
      <c r="U1359" s="110">
        <v>34.99</v>
      </c>
      <c r="X1359">
        <v>85.69999999999996</v>
      </c>
      <c r="Y1359">
        <v>44.9</v>
      </c>
      <c r="Z1359">
        <v>44.9</v>
      </c>
      <c r="AA1359">
        <v>0</v>
      </c>
      <c r="AB1359" t="s">
        <v>324</v>
      </c>
      <c r="AF1359" t="s">
        <v>1902</v>
      </c>
      <c r="AG1359" t="s">
        <v>1902</v>
      </c>
      <c r="AH1359" t="s">
        <v>1903</v>
      </c>
      <c r="AI1359">
        <v>99999</v>
      </c>
      <c r="AJ1359">
        <v>99999</v>
      </c>
      <c r="AK1359">
        <v>699</v>
      </c>
      <c r="AL1359" t="b">
        <v>1</v>
      </c>
      <c r="AM1359" t="b">
        <v>1</v>
      </c>
      <c r="AN1359" t="b">
        <v>0</v>
      </c>
      <c r="AO1359">
        <v>99999</v>
      </c>
      <c r="AP1359" t="s">
        <v>64</v>
      </c>
      <c r="AR1359" t="b">
        <v>0</v>
      </c>
      <c r="AS1359">
        <v>12</v>
      </c>
      <c r="AT1359" t="s">
        <v>327</v>
      </c>
      <c r="AV1359" t="s">
        <v>1909</v>
      </c>
    </row>
    <row r="1360" spans="1:48" x14ac:dyDescent="0.25">
      <c r="A1360" t="s">
        <v>3323</v>
      </c>
      <c r="B1360" t="s">
        <v>302</v>
      </c>
      <c r="C1360" t="s">
        <v>62</v>
      </c>
      <c r="D1360">
        <v>99999</v>
      </c>
      <c r="F1360" s="109">
        <v>20000</v>
      </c>
      <c r="G1360" t="b">
        <v>0</v>
      </c>
      <c r="H1360" t="s">
        <v>337</v>
      </c>
      <c r="K1360" t="s">
        <v>61</v>
      </c>
      <c r="L1360" t="s">
        <v>303</v>
      </c>
      <c r="M1360" t="s">
        <v>323</v>
      </c>
      <c r="N1360" t="s">
        <v>63</v>
      </c>
      <c r="O1360" s="110">
        <v>29.9</v>
      </c>
      <c r="R1360" s="110">
        <v>329.89</v>
      </c>
      <c r="S1360" s="110">
        <v>130</v>
      </c>
      <c r="T1360" s="110">
        <v>0</v>
      </c>
      <c r="U1360" s="110">
        <v>42.99</v>
      </c>
      <c r="X1360">
        <v>111.99999999999997</v>
      </c>
      <c r="Y1360">
        <v>44.9</v>
      </c>
      <c r="Z1360">
        <v>44.9</v>
      </c>
      <c r="AA1360">
        <v>0</v>
      </c>
      <c r="AB1360" t="s">
        <v>324</v>
      </c>
      <c r="AF1360" t="s">
        <v>2051</v>
      </c>
      <c r="AG1360" t="s">
        <v>2051</v>
      </c>
      <c r="AH1360" t="s">
        <v>1903</v>
      </c>
      <c r="AI1360">
        <v>99999</v>
      </c>
      <c r="AJ1360">
        <v>99999</v>
      </c>
      <c r="AK1360">
        <v>699</v>
      </c>
      <c r="AL1360" t="b">
        <v>1</v>
      </c>
      <c r="AM1360" t="b">
        <v>1</v>
      </c>
      <c r="AN1360" t="b">
        <v>0</v>
      </c>
      <c r="AO1360">
        <v>99999</v>
      </c>
      <c r="AP1360" t="s">
        <v>64</v>
      </c>
      <c r="AR1360" t="b">
        <v>0</v>
      </c>
      <c r="AS1360">
        <v>12</v>
      </c>
      <c r="AT1360" t="s">
        <v>327</v>
      </c>
      <c r="AV1360" t="s">
        <v>2057</v>
      </c>
    </row>
    <row r="1361" spans="1:48" x14ac:dyDescent="0.25">
      <c r="A1361" t="s">
        <v>3323</v>
      </c>
      <c r="B1361" t="s">
        <v>302</v>
      </c>
      <c r="C1361" t="s">
        <v>62</v>
      </c>
      <c r="D1361">
        <v>99999</v>
      </c>
      <c r="F1361" s="109">
        <v>20000</v>
      </c>
      <c r="G1361" t="b">
        <v>0</v>
      </c>
      <c r="H1361" t="s">
        <v>337</v>
      </c>
      <c r="K1361" t="s">
        <v>61</v>
      </c>
      <c r="L1361" t="s">
        <v>303</v>
      </c>
      <c r="M1361" t="s">
        <v>323</v>
      </c>
      <c r="N1361" t="s">
        <v>63</v>
      </c>
      <c r="O1361" s="110">
        <v>39.9</v>
      </c>
      <c r="R1361" s="110">
        <v>295.58999999999992</v>
      </c>
      <c r="S1361" s="110">
        <v>130</v>
      </c>
      <c r="T1361" s="110">
        <v>0</v>
      </c>
      <c r="U1361" s="110">
        <v>34.99</v>
      </c>
      <c r="X1361">
        <v>85.69999999999996</v>
      </c>
      <c r="Y1361">
        <v>44.9</v>
      </c>
      <c r="Z1361">
        <v>44.9</v>
      </c>
      <c r="AA1361">
        <v>0</v>
      </c>
      <c r="AB1361" t="s">
        <v>324</v>
      </c>
      <c r="AF1361" t="s">
        <v>1970</v>
      </c>
      <c r="AG1361" t="s">
        <v>1970</v>
      </c>
      <c r="AH1361" t="s">
        <v>1903</v>
      </c>
      <c r="AI1361">
        <v>99999</v>
      </c>
      <c r="AJ1361">
        <v>99999</v>
      </c>
      <c r="AK1361">
        <v>699</v>
      </c>
      <c r="AL1361" t="b">
        <v>1</v>
      </c>
      <c r="AM1361" t="b">
        <v>1</v>
      </c>
      <c r="AN1361" t="b">
        <v>0</v>
      </c>
      <c r="AO1361">
        <v>99999</v>
      </c>
      <c r="AP1361" t="s">
        <v>64</v>
      </c>
      <c r="AR1361" t="b">
        <v>0</v>
      </c>
      <c r="AS1361">
        <v>12</v>
      </c>
      <c r="AT1361" t="s">
        <v>327</v>
      </c>
      <c r="AV1361" t="s">
        <v>1976</v>
      </c>
    </row>
    <row r="1362" spans="1:48" x14ac:dyDescent="0.25">
      <c r="A1362" t="s">
        <v>3323</v>
      </c>
      <c r="B1362" t="s">
        <v>302</v>
      </c>
      <c r="C1362" t="s">
        <v>62</v>
      </c>
      <c r="D1362">
        <v>99999</v>
      </c>
      <c r="F1362" s="109">
        <v>20000</v>
      </c>
      <c r="G1362" t="b">
        <v>0</v>
      </c>
      <c r="H1362" t="s">
        <v>337</v>
      </c>
      <c r="K1362" t="s">
        <v>61</v>
      </c>
      <c r="L1362" t="s">
        <v>303</v>
      </c>
      <c r="M1362" t="s">
        <v>323</v>
      </c>
      <c r="N1362" t="s">
        <v>63</v>
      </c>
      <c r="O1362" s="110">
        <v>39.9</v>
      </c>
      <c r="R1362" s="110">
        <v>329.89</v>
      </c>
      <c r="S1362" s="110">
        <v>130</v>
      </c>
      <c r="T1362" s="110">
        <v>0</v>
      </c>
      <c r="U1362" s="110">
        <v>42.99</v>
      </c>
      <c r="X1362">
        <v>111.99999999999997</v>
      </c>
      <c r="Y1362">
        <v>44.9</v>
      </c>
      <c r="Z1362">
        <v>44.9</v>
      </c>
      <c r="AA1362">
        <v>0</v>
      </c>
      <c r="AB1362" t="s">
        <v>324</v>
      </c>
      <c r="AF1362" t="s">
        <v>2118</v>
      </c>
      <c r="AG1362" t="s">
        <v>2118</v>
      </c>
      <c r="AH1362" t="s">
        <v>1903</v>
      </c>
      <c r="AI1362">
        <v>99999</v>
      </c>
      <c r="AJ1362">
        <v>99999</v>
      </c>
      <c r="AK1362">
        <v>699</v>
      </c>
      <c r="AL1362" t="b">
        <v>1</v>
      </c>
      <c r="AM1362" t="b">
        <v>1</v>
      </c>
      <c r="AN1362" t="b">
        <v>0</v>
      </c>
      <c r="AO1362">
        <v>99999</v>
      </c>
      <c r="AP1362" t="s">
        <v>64</v>
      </c>
      <c r="AR1362" t="b">
        <v>0</v>
      </c>
      <c r="AS1362">
        <v>12</v>
      </c>
      <c r="AT1362" t="s">
        <v>327</v>
      </c>
      <c r="AV1362" t="s">
        <v>2124</v>
      </c>
    </row>
    <row r="1363" spans="1:48" x14ac:dyDescent="0.25">
      <c r="A1363" t="s">
        <v>3323</v>
      </c>
      <c r="B1363" t="s">
        <v>302</v>
      </c>
      <c r="C1363" t="s">
        <v>62</v>
      </c>
      <c r="D1363">
        <v>99999</v>
      </c>
      <c r="F1363" s="109">
        <v>20000</v>
      </c>
      <c r="G1363" t="b">
        <v>0</v>
      </c>
      <c r="H1363" t="s">
        <v>337</v>
      </c>
      <c r="K1363" t="s">
        <v>61</v>
      </c>
      <c r="L1363" t="s">
        <v>303</v>
      </c>
      <c r="M1363" t="s">
        <v>323</v>
      </c>
      <c r="N1363" t="s">
        <v>63</v>
      </c>
      <c r="O1363" s="110">
        <v>49.9</v>
      </c>
      <c r="R1363" s="110">
        <v>295.58999999999992</v>
      </c>
      <c r="S1363" s="110">
        <v>130</v>
      </c>
      <c r="T1363" s="110">
        <v>0</v>
      </c>
      <c r="U1363" s="110">
        <v>34.99</v>
      </c>
      <c r="X1363">
        <v>85.69999999999996</v>
      </c>
      <c r="Y1363">
        <v>44.9</v>
      </c>
      <c r="Z1363">
        <v>44.9</v>
      </c>
      <c r="AA1363">
        <v>0</v>
      </c>
      <c r="AB1363" t="s">
        <v>324</v>
      </c>
      <c r="AF1363" t="s">
        <v>3181</v>
      </c>
      <c r="AG1363" t="s">
        <v>3181</v>
      </c>
      <c r="AH1363" t="s">
        <v>1903</v>
      </c>
      <c r="AI1363">
        <v>99999</v>
      </c>
      <c r="AJ1363">
        <v>99999</v>
      </c>
      <c r="AK1363">
        <v>699</v>
      </c>
      <c r="AL1363" t="b">
        <v>1</v>
      </c>
      <c r="AM1363" t="b">
        <v>1</v>
      </c>
      <c r="AN1363" t="b">
        <v>0</v>
      </c>
      <c r="AO1363">
        <v>99999</v>
      </c>
      <c r="AP1363" t="s">
        <v>64</v>
      </c>
      <c r="AR1363" t="b">
        <v>0</v>
      </c>
      <c r="AS1363">
        <v>12</v>
      </c>
      <c r="AT1363" t="s">
        <v>327</v>
      </c>
      <c r="AV1363" t="s">
        <v>3187</v>
      </c>
    </row>
    <row r="1364" spans="1:48" x14ac:dyDescent="0.25">
      <c r="A1364" t="s">
        <v>3323</v>
      </c>
      <c r="B1364" t="s">
        <v>302</v>
      </c>
      <c r="C1364" t="s">
        <v>62</v>
      </c>
      <c r="D1364">
        <v>99999</v>
      </c>
      <c r="F1364" s="109">
        <v>20000</v>
      </c>
      <c r="G1364" t="b">
        <v>0</v>
      </c>
      <c r="H1364" t="s">
        <v>337</v>
      </c>
      <c r="K1364" t="s">
        <v>61</v>
      </c>
      <c r="L1364" t="s">
        <v>303</v>
      </c>
      <c r="M1364" t="s">
        <v>323</v>
      </c>
      <c r="N1364" t="s">
        <v>63</v>
      </c>
      <c r="O1364" s="110">
        <v>49.9</v>
      </c>
      <c r="R1364" s="110">
        <v>329.89</v>
      </c>
      <c r="S1364" s="110">
        <v>130</v>
      </c>
      <c r="T1364" s="110">
        <v>0</v>
      </c>
      <c r="U1364" s="110">
        <v>42.99</v>
      </c>
      <c r="X1364">
        <v>111.99999999999997</v>
      </c>
      <c r="Y1364">
        <v>44.9</v>
      </c>
      <c r="Z1364">
        <v>44.9</v>
      </c>
      <c r="AA1364">
        <v>0</v>
      </c>
      <c r="AB1364" t="s">
        <v>324</v>
      </c>
      <c r="AF1364" t="s">
        <v>3255</v>
      </c>
      <c r="AG1364" t="s">
        <v>3255</v>
      </c>
      <c r="AH1364" t="s">
        <v>1903</v>
      </c>
      <c r="AI1364">
        <v>99999</v>
      </c>
      <c r="AJ1364">
        <v>99999</v>
      </c>
      <c r="AK1364">
        <v>699</v>
      </c>
      <c r="AL1364" t="b">
        <v>1</v>
      </c>
      <c r="AM1364" t="b">
        <v>1</v>
      </c>
      <c r="AN1364" t="b">
        <v>0</v>
      </c>
      <c r="AO1364">
        <v>99999</v>
      </c>
      <c r="AP1364" t="s">
        <v>64</v>
      </c>
      <c r="AR1364" t="b">
        <v>0</v>
      </c>
      <c r="AS1364">
        <v>12</v>
      </c>
      <c r="AT1364" t="s">
        <v>327</v>
      </c>
      <c r="AV1364" t="s">
        <v>3261</v>
      </c>
    </row>
    <row r="1365" spans="1:48" x14ac:dyDescent="0.25">
      <c r="A1365" t="s">
        <v>3323</v>
      </c>
      <c r="B1365" t="s">
        <v>302</v>
      </c>
      <c r="C1365" t="s">
        <v>62</v>
      </c>
      <c r="D1365">
        <v>99999</v>
      </c>
      <c r="F1365" s="109">
        <v>20000</v>
      </c>
      <c r="G1365" t="b">
        <v>0</v>
      </c>
      <c r="H1365" t="s">
        <v>341</v>
      </c>
      <c r="K1365" t="s">
        <v>349</v>
      </c>
      <c r="L1365" t="s">
        <v>303</v>
      </c>
      <c r="M1365" t="s">
        <v>323</v>
      </c>
      <c r="N1365" t="s">
        <v>63</v>
      </c>
      <c r="O1365" s="110">
        <v>29.9</v>
      </c>
      <c r="R1365" s="110">
        <v>340.58999999999992</v>
      </c>
      <c r="S1365" s="110">
        <v>130</v>
      </c>
      <c r="T1365" s="110">
        <v>0</v>
      </c>
      <c r="U1365" s="110">
        <v>34.99</v>
      </c>
      <c r="X1365">
        <v>130.69999999999996</v>
      </c>
      <c r="Y1365">
        <v>44.9</v>
      </c>
      <c r="Z1365">
        <v>44.9</v>
      </c>
      <c r="AA1365">
        <v>0</v>
      </c>
      <c r="AB1365" t="s">
        <v>324</v>
      </c>
      <c r="AF1365" t="s">
        <v>1902</v>
      </c>
      <c r="AG1365" t="s">
        <v>1902</v>
      </c>
      <c r="AH1365" t="s">
        <v>1903</v>
      </c>
      <c r="AI1365">
        <v>99999</v>
      </c>
      <c r="AJ1365">
        <v>99999</v>
      </c>
      <c r="AK1365">
        <v>699</v>
      </c>
      <c r="AL1365" t="b">
        <v>1</v>
      </c>
      <c r="AM1365" t="b">
        <v>1</v>
      </c>
      <c r="AN1365" t="b">
        <v>0</v>
      </c>
      <c r="AO1365">
        <v>99999</v>
      </c>
      <c r="AP1365" t="s">
        <v>64</v>
      </c>
      <c r="AR1365" t="b">
        <v>0</v>
      </c>
      <c r="AS1365">
        <v>12</v>
      </c>
      <c r="AT1365" t="s">
        <v>327</v>
      </c>
      <c r="AV1365" t="s">
        <v>1924</v>
      </c>
    </row>
    <row r="1366" spans="1:48" x14ac:dyDescent="0.25">
      <c r="A1366" t="s">
        <v>3323</v>
      </c>
      <c r="B1366" t="s">
        <v>302</v>
      </c>
      <c r="C1366" t="s">
        <v>62</v>
      </c>
      <c r="D1366">
        <v>99999</v>
      </c>
      <c r="F1366" s="109">
        <v>20000</v>
      </c>
      <c r="G1366" t="b">
        <v>0</v>
      </c>
      <c r="H1366" t="s">
        <v>341</v>
      </c>
      <c r="K1366" t="s">
        <v>349</v>
      </c>
      <c r="L1366" t="s">
        <v>303</v>
      </c>
      <c r="M1366" t="s">
        <v>323</v>
      </c>
      <c r="N1366" t="s">
        <v>63</v>
      </c>
      <c r="O1366" s="110">
        <v>29.9</v>
      </c>
      <c r="R1366" s="110">
        <v>374.89</v>
      </c>
      <c r="S1366" s="110">
        <v>130</v>
      </c>
      <c r="T1366" s="110">
        <v>0</v>
      </c>
      <c r="U1366" s="110">
        <v>42.99</v>
      </c>
      <c r="X1366">
        <v>156.99999999999997</v>
      </c>
      <c r="Y1366">
        <v>44.9</v>
      </c>
      <c r="Z1366">
        <v>44.9</v>
      </c>
      <c r="AA1366">
        <v>0</v>
      </c>
      <c r="AB1366" t="s">
        <v>324</v>
      </c>
      <c r="AF1366" t="s">
        <v>2051</v>
      </c>
      <c r="AG1366" t="s">
        <v>2051</v>
      </c>
      <c r="AH1366" t="s">
        <v>1903</v>
      </c>
      <c r="AI1366">
        <v>99999</v>
      </c>
      <c r="AJ1366">
        <v>99999</v>
      </c>
      <c r="AK1366">
        <v>699</v>
      </c>
      <c r="AL1366" t="b">
        <v>1</v>
      </c>
      <c r="AM1366" t="b">
        <v>1</v>
      </c>
      <c r="AN1366" t="b">
        <v>0</v>
      </c>
      <c r="AO1366">
        <v>99999</v>
      </c>
      <c r="AP1366" t="s">
        <v>64</v>
      </c>
      <c r="AR1366" t="b">
        <v>0</v>
      </c>
      <c r="AS1366">
        <v>12</v>
      </c>
      <c r="AT1366" t="s">
        <v>327</v>
      </c>
      <c r="AV1366" t="s">
        <v>2072</v>
      </c>
    </row>
    <row r="1367" spans="1:48" x14ac:dyDescent="0.25">
      <c r="A1367" t="s">
        <v>3323</v>
      </c>
      <c r="B1367" t="s">
        <v>302</v>
      </c>
      <c r="C1367" t="s">
        <v>62</v>
      </c>
      <c r="D1367">
        <v>99999</v>
      </c>
      <c r="F1367" s="109">
        <v>20000</v>
      </c>
      <c r="G1367" t="b">
        <v>0</v>
      </c>
      <c r="H1367" t="s">
        <v>341</v>
      </c>
      <c r="K1367" t="s">
        <v>349</v>
      </c>
      <c r="L1367" t="s">
        <v>303</v>
      </c>
      <c r="M1367" t="s">
        <v>323</v>
      </c>
      <c r="N1367" t="s">
        <v>63</v>
      </c>
      <c r="O1367" s="110">
        <v>39.9</v>
      </c>
      <c r="R1367" s="110">
        <v>340.58999999999992</v>
      </c>
      <c r="S1367" s="110">
        <v>130</v>
      </c>
      <c r="T1367" s="110">
        <v>0</v>
      </c>
      <c r="U1367" s="110">
        <v>34.99</v>
      </c>
      <c r="X1367">
        <v>130.69999999999996</v>
      </c>
      <c r="Y1367">
        <v>44.9</v>
      </c>
      <c r="Z1367">
        <v>44.9</v>
      </c>
      <c r="AA1367">
        <v>0</v>
      </c>
      <c r="AB1367" t="s">
        <v>324</v>
      </c>
      <c r="AF1367" t="s">
        <v>1970</v>
      </c>
      <c r="AG1367" t="s">
        <v>1970</v>
      </c>
      <c r="AH1367" t="s">
        <v>1903</v>
      </c>
      <c r="AI1367">
        <v>99999</v>
      </c>
      <c r="AJ1367">
        <v>99999</v>
      </c>
      <c r="AK1367">
        <v>699</v>
      </c>
      <c r="AL1367" t="b">
        <v>1</v>
      </c>
      <c r="AM1367" t="b">
        <v>1</v>
      </c>
      <c r="AN1367" t="b">
        <v>0</v>
      </c>
      <c r="AO1367">
        <v>99999</v>
      </c>
      <c r="AP1367" t="s">
        <v>64</v>
      </c>
      <c r="AR1367" t="b">
        <v>0</v>
      </c>
      <c r="AS1367">
        <v>12</v>
      </c>
      <c r="AT1367" t="s">
        <v>327</v>
      </c>
      <c r="AV1367" t="s">
        <v>1991</v>
      </c>
    </row>
    <row r="1368" spans="1:48" x14ac:dyDescent="0.25">
      <c r="A1368" t="s">
        <v>3323</v>
      </c>
      <c r="B1368" t="s">
        <v>302</v>
      </c>
      <c r="C1368" t="s">
        <v>62</v>
      </c>
      <c r="D1368">
        <v>99999</v>
      </c>
      <c r="F1368" s="109">
        <v>20000</v>
      </c>
      <c r="G1368" t="b">
        <v>0</v>
      </c>
      <c r="H1368" t="s">
        <v>341</v>
      </c>
      <c r="K1368" t="s">
        <v>349</v>
      </c>
      <c r="L1368" t="s">
        <v>303</v>
      </c>
      <c r="M1368" t="s">
        <v>323</v>
      </c>
      <c r="N1368" t="s">
        <v>63</v>
      </c>
      <c r="O1368" s="110">
        <v>39.9</v>
      </c>
      <c r="R1368" s="110">
        <v>374.89</v>
      </c>
      <c r="S1368" s="110">
        <v>130</v>
      </c>
      <c r="T1368" s="110">
        <v>0</v>
      </c>
      <c r="U1368" s="110">
        <v>42.99</v>
      </c>
      <c r="X1368">
        <v>156.99999999999997</v>
      </c>
      <c r="Y1368">
        <v>44.9</v>
      </c>
      <c r="Z1368">
        <v>44.9</v>
      </c>
      <c r="AA1368">
        <v>0</v>
      </c>
      <c r="AB1368" t="s">
        <v>324</v>
      </c>
      <c r="AF1368" t="s">
        <v>2118</v>
      </c>
      <c r="AG1368" t="s">
        <v>2118</v>
      </c>
      <c r="AH1368" t="s">
        <v>1903</v>
      </c>
      <c r="AI1368">
        <v>99999</v>
      </c>
      <c r="AJ1368">
        <v>99999</v>
      </c>
      <c r="AK1368">
        <v>699</v>
      </c>
      <c r="AL1368" t="b">
        <v>1</v>
      </c>
      <c r="AM1368" t="b">
        <v>1</v>
      </c>
      <c r="AN1368" t="b">
        <v>0</v>
      </c>
      <c r="AO1368">
        <v>99999</v>
      </c>
      <c r="AP1368" t="s">
        <v>64</v>
      </c>
      <c r="AR1368" t="b">
        <v>0</v>
      </c>
      <c r="AS1368">
        <v>12</v>
      </c>
      <c r="AT1368" t="s">
        <v>327</v>
      </c>
      <c r="AV1368" t="s">
        <v>2139</v>
      </c>
    </row>
    <row r="1369" spans="1:48" x14ac:dyDescent="0.25">
      <c r="A1369" t="s">
        <v>3323</v>
      </c>
      <c r="B1369" t="s">
        <v>302</v>
      </c>
      <c r="C1369" t="s">
        <v>62</v>
      </c>
      <c r="D1369">
        <v>99999</v>
      </c>
      <c r="F1369" s="109">
        <v>20000</v>
      </c>
      <c r="G1369" t="b">
        <v>0</v>
      </c>
      <c r="H1369" t="s">
        <v>341</v>
      </c>
      <c r="K1369" t="s">
        <v>349</v>
      </c>
      <c r="L1369" t="s">
        <v>303</v>
      </c>
      <c r="M1369" t="s">
        <v>323</v>
      </c>
      <c r="N1369" t="s">
        <v>63</v>
      </c>
      <c r="O1369" s="110">
        <v>49.9</v>
      </c>
      <c r="R1369" s="110">
        <v>340.58999999999992</v>
      </c>
      <c r="S1369" s="110">
        <v>130</v>
      </c>
      <c r="T1369" s="110">
        <v>0</v>
      </c>
      <c r="U1369" s="110">
        <v>34.99</v>
      </c>
      <c r="X1369">
        <v>130.69999999999996</v>
      </c>
      <c r="Y1369">
        <v>44.9</v>
      </c>
      <c r="Z1369">
        <v>44.9</v>
      </c>
      <c r="AA1369">
        <v>0</v>
      </c>
      <c r="AB1369" t="s">
        <v>324</v>
      </c>
      <c r="AF1369" t="s">
        <v>3181</v>
      </c>
      <c r="AG1369" t="s">
        <v>3181</v>
      </c>
      <c r="AH1369" t="s">
        <v>1903</v>
      </c>
      <c r="AI1369">
        <v>99999</v>
      </c>
      <c r="AJ1369">
        <v>99999</v>
      </c>
      <c r="AK1369">
        <v>699</v>
      </c>
      <c r="AL1369" t="b">
        <v>1</v>
      </c>
      <c r="AM1369" t="b">
        <v>1</v>
      </c>
      <c r="AN1369" t="b">
        <v>0</v>
      </c>
      <c r="AO1369">
        <v>99999</v>
      </c>
      <c r="AP1369" t="s">
        <v>64</v>
      </c>
      <c r="AR1369" t="b">
        <v>0</v>
      </c>
      <c r="AS1369">
        <v>12</v>
      </c>
      <c r="AT1369" t="s">
        <v>327</v>
      </c>
      <c r="AV1369" t="s">
        <v>3202</v>
      </c>
    </row>
    <row r="1370" spans="1:48" x14ac:dyDescent="0.25">
      <c r="A1370" t="s">
        <v>3323</v>
      </c>
      <c r="B1370" t="s">
        <v>302</v>
      </c>
      <c r="C1370" t="s">
        <v>62</v>
      </c>
      <c r="D1370">
        <v>99999</v>
      </c>
      <c r="F1370" s="109">
        <v>20000</v>
      </c>
      <c r="G1370" t="b">
        <v>0</v>
      </c>
      <c r="H1370" t="s">
        <v>341</v>
      </c>
      <c r="K1370" t="s">
        <v>349</v>
      </c>
      <c r="L1370" t="s">
        <v>303</v>
      </c>
      <c r="M1370" t="s">
        <v>323</v>
      </c>
      <c r="N1370" t="s">
        <v>63</v>
      </c>
      <c r="O1370" s="110">
        <v>49.9</v>
      </c>
      <c r="R1370" s="110">
        <v>374.89</v>
      </c>
      <c r="S1370" s="110">
        <v>130</v>
      </c>
      <c r="T1370" s="110">
        <v>0</v>
      </c>
      <c r="U1370" s="110">
        <v>42.99</v>
      </c>
      <c r="X1370">
        <v>156.99999999999997</v>
      </c>
      <c r="Y1370">
        <v>44.9</v>
      </c>
      <c r="Z1370">
        <v>44.9</v>
      </c>
      <c r="AA1370">
        <v>0</v>
      </c>
      <c r="AB1370" t="s">
        <v>324</v>
      </c>
      <c r="AF1370" t="s">
        <v>3255</v>
      </c>
      <c r="AG1370" t="s">
        <v>3255</v>
      </c>
      <c r="AH1370" t="s">
        <v>1903</v>
      </c>
      <c r="AI1370">
        <v>99999</v>
      </c>
      <c r="AJ1370">
        <v>99999</v>
      </c>
      <c r="AK1370">
        <v>699</v>
      </c>
      <c r="AL1370" t="b">
        <v>1</v>
      </c>
      <c r="AM1370" t="b">
        <v>1</v>
      </c>
      <c r="AN1370" t="b">
        <v>0</v>
      </c>
      <c r="AO1370">
        <v>99999</v>
      </c>
      <c r="AP1370" t="s">
        <v>64</v>
      </c>
      <c r="AR1370" t="b">
        <v>0</v>
      </c>
      <c r="AS1370">
        <v>12</v>
      </c>
      <c r="AT1370" t="s">
        <v>327</v>
      </c>
      <c r="AV1370" t="s">
        <v>3276</v>
      </c>
    </row>
    <row r="1371" spans="1:48" x14ac:dyDescent="0.25">
      <c r="A1371" t="s">
        <v>3323</v>
      </c>
      <c r="B1371" t="s">
        <v>302</v>
      </c>
      <c r="C1371" t="s">
        <v>62</v>
      </c>
      <c r="D1371">
        <v>99999</v>
      </c>
      <c r="F1371" s="109">
        <v>20000</v>
      </c>
      <c r="G1371" t="b">
        <v>0</v>
      </c>
      <c r="H1371" t="s">
        <v>341</v>
      </c>
      <c r="K1371" t="s">
        <v>393</v>
      </c>
      <c r="L1371" t="s">
        <v>303</v>
      </c>
      <c r="M1371" t="s">
        <v>323</v>
      </c>
      <c r="N1371" t="s">
        <v>63</v>
      </c>
      <c r="O1371" s="110">
        <v>29.9</v>
      </c>
      <c r="R1371" s="110">
        <v>365.59</v>
      </c>
      <c r="S1371" s="110">
        <v>130</v>
      </c>
      <c r="T1371" s="110">
        <v>0</v>
      </c>
      <c r="U1371" s="110">
        <v>34.99</v>
      </c>
      <c r="X1371">
        <v>130.69999999999996</v>
      </c>
      <c r="Y1371">
        <v>69.900000000000006</v>
      </c>
      <c r="Z1371">
        <v>69.900000000000006</v>
      </c>
      <c r="AA1371">
        <v>0</v>
      </c>
      <c r="AB1371" t="s">
        <v>363</v>
      </c>
      <c r="AF1371" t="s">
        <v>1930</v>
      </c>
      <c r="AG1371" t="s">
        <v>1930</v>
      </c>
      <c r="AH1371" t="s">
        <v>1903</v>
      </c>
      <c r="AI1371">
        <v>99999</v>
      </c>
      <c r="AJ1371">
        <v>99999</v>
      </c>
      <c r="AK1371">
        <v>699</v>
      </c>
      <c r="AL1371" t="b">
        <v>1</v>
      </c>
      <c r="AM1371" t="b">
        <v>1</v>
      </c>
      <c r="AN1371" t="b">
        <v>0</v>
      </c>
      <c r="AO1371">
        <v>99999</v>
      </c>
      <c r="AP1371" t="s">
        <v>64</v>
      </c>
      <c r="AR1371" t="b">
        <v>0</v>
      </c>
      <c r="AS1371">
        <v>12</v>
      </c>
      <c r="AT1371" t="s">
        <v>327</v>
      </c>
      <c r="AV1371" t="s">
        <v>1964</v>
      </c>
    </row>
    <row r="1372" spans="1:48" x14ac:dyDescent="0.25">
      <c r="A1372" t="s">
        <v>3323</v>
      </c>
      <c r="B1372" t="s">
        <v>302</v>
      </c>
      <c r="C1372" t="s">
        <v>62</v>
      </c>
      <c r="D1372">
        <v>99999</v>
      </c>
      <c r="F1372" s="109">
        <v>20000</v>
      </c>
      <c r="G1372" t="b">
        <v>0</v>
      </c>
      <c r="H1372" t="s">
        <v>341</v>
      </c>
      <c r="K1372" t="s">
        <v>393</v>
      </c>
      <c r="L1372" t="s">
        <v>303</v>
      </c>
      <c r="M1372" t="s">
        <v>323</v>
      </c>
      <c r="N1372" t="s">
        <v>63</v>
      </c>
      <c r="O1372" s="110">
        <v>29.9</v>
      </c>
      <c r="R1372" s="110">
        <v>399.89</v>
      </c>
      <c r="S1372" s="110">
        <v>130</v>
      </c>
      <c r="T1372" s="110">
        <v>0</v>
      </c>
      <c r="U1372" s="110">
        <v>42.99</v>
      </c>
      <c r="X1372">
        <v>156.99999999999997</v>
      </c>
      <c r="Y1372">
        <v>69.900000000000006</v>
      </c>
      <c r="Z1372">
        <v>69.900000000000006</v>
      </c>
      <c r="AA1372">
        <v>0</v>
      </c>
      <c r="AB1372" t="s">
        <v>363</v>
      </c>
      <c r="AF1372" t="s">
        <v>2078</v>
      </c>
      <c r="AG1372" t="s">
        <v>2078</v>
      </c>
      <c r="AH1372" t="s">
        <v>1903</v>
      </c>
      <c r="AI1372">
        <v>99999</v>
      </c>
      <c r="AJ1372">
        <v>99999</v>
      </c>
      <c r="AK1372">
        <v>699</v>
      </c>
      <c r="AL1372" t="b">
        <v>1</v>
      </c>
      <c r="AM1372" t="b">
        <v>1</v>
      </c>
      <c r="AN1372" t="b">
        <v>0</v>
      </c>
      <c r="AO1372">
        <v>99999</v>
      </c>
      <c r="AP1372" t="s">
        <v>64</v>
      </c>
      <c r="AR1372" t="b">
        <v>0</v>
      </c>
      <c r="AS1372">
        <v>12</v>
      </c>
      <c r="AT1372" t="s">
        <v>327</v>
      </c>
      <c r="AV1372" t="s">
        <v>2112</v>
      </c>
    </row>
    <row r="1373" spans="1:48" x14ac:dyDescent="0.25">
      <c r="A1373" t="s">
        <v>3323</v>
      </c>
      <c r="B1373" t="s">
        <v>302</v>
      </c>
      <c r="C1373" t="s">
        <v>62</v>
      </c>
      <c r="D1373">
        <v>99999</v>
      </c>
      <c r="F1373" s="109">
        <v>20000</v>
      </c>
      <c r="G1373" t="b">
        <v>0</v>
      </c>
      <c r="H1373" t="s">
        <v>341</v>
      </c>
      <c r="K1373" t="s">
        <v>393</v>
      </c>
      <c r="L1373" t="s">
        <v>303</v>
      </c>
      <c r="M1373" t="s">
        <v>323</v>
      </c>
      <c r="N1373" t="s">
        <v>63</v>
      </c>
      <c r="O1373" s="110">
        <v>39.9</v>
      </c>
      <c r="R1373" s="110">
        <v>365.59</v>
      </c>
      <c r="S1373" s="110">
        <v>130</v>
      </c>
      <c r="T1373" s="110">
        <v>0</v>
      </c>
      <c r="U1373" s="110">
        <v>34.99</v>
      </c>
      <c r="X1373">
        <v>130.69999999999996</v>
      </c>
      <c r="Y1373">
        <v>69.900000000000006</v>
      </c>
      <c r="Z1373">
        <v>69.900000000000006</v>
      </c>
      <c r="AA1373">
        <v>0</v>
      </c>
      <c r="AB1373" t="s">
        <v>363</v>
      </c>
      <c r="AF1373" t="s">
        <v>1997</v>
      </c>
      <c r="AG1373" t="s">
        <v>1997</v>
      </c>
      <c r="AH1373" t="s">
        <v>1903</v>
      </c>
      <c r="AI1373">
        <v>99999</v>
      </c>
      <c r="AJ1373">
        <v>99999</v>
      </c>
      <c r="AK1373">
        <v>699</v>
      </c>
      <c r="AL1373" t="b">
        <v>1</v>
      </c>
      <c r="AM1373" t="b">
        <v>1</v>
      </c>
      <c r="AN1373" t="b">
        <v>0</v>
      </c>
      <c r="AO1373">
        <v>99999</v>
      </c>
      <c r="AP1373" t="s">
        <v>64</v>
      </c>
      <c r="AR1373" t="b">
        <v>0</v>
      </c>
      <c r="AS1373">
        <v>12</v>
      </c>
      <c r="AT1373" t="s">
        <v>327</v>
      </c>
      <c r="AV1373" t="s">
        <v>2031</v>
      </c>
    </row>
    <row r="1374" spans="1:48" x14ac:dyDescent="0.25">
      <c r="A1374" t="s">
        <v>3323</v>
      </c>
      <c r="B1374" t="s">
        <v>302</v>
      </c>
      <c r="C1374" t="s">
        <v>62</v>
      </c>
      <c r="D1374">
        <v>99999</v>
      </c>
      <c r="F1374" s="109">
        <v>20000</v>
      </c>
      <c r="G1374" t="b">
        <v>0</v>
      </c>
      <c r="H1374" t="s">
        <v>341</v>
      </c>
      <c r="K1374" t="s">
        <v>393</v>
      </c>
      <c r="L1374" t="s">
        <v>303</v>
      </c>
      <c r="M1374" t="s">
        <v>323</v>
      </c>
      <c r="N1374" t="s">
        <v>63</v>
      </c>
      <c r="O1374" s="110">
        <v>39.9</v>
      </c>
      <c r="R1374" s="110">
        <v>399.89</v>
      </c>
      <c r="S1374" s="110">
        <v>130</v>
      </c>
      <c r="T1374" s="110">
        <v>0</v>
      </c>
      <c r="U1374" s="110">
        <v>42.99</v>
      </c>
      <c r="X1374">
        <v>156.99999999999997</v>
      </c>
      <c r="Y1374">
        <v>69.900000000000006</v>
      </c>
      <c r="Z1374">
        <v>69.900000000000006</v>
      </c>
      <c r="AA1374">
        <v>0</v>
      </c>
      <c r="AB1374" t="s">
        <v>363</v>
      </c>
      <c r="AF1374" t="s">
        <v>2145</v>
      </c>
      <c r="AG1374" t="s">
        <v>2145</v>
      </c>
      <c r="AH1374" t="s">
        <v>1903</v>
      </c>
      <c r="AI1374">
        <v>99999</v>
      </c>
      <c r="AJ1374">
        <v>99999</v>
      </c>
      <c r="AK1374">
        <v>699</v>
      </c>
      <c r="AL1374" t="b">
        <v>1</v>
      </c>
      <c r="AM1374" t="b">
        <v>1</v>
      </c>
      <c r="AN1374" t="b">
        <v>0</v>
      </c>
      <c r="AO1374">
        <v>99999</v>
      </c>
      <c r="AP1374" t="s">
        <v>64</v>
      </c>
      <c r="AR1374" t="b">
        <v>0</v>
      </c>
      <c r="AS1374">
        <v>12</v>
      </c>
      <c r="AT1374" t="s">
        <v>327</v>
      </c>
      <c r="AV1374" t="s">
        <v>2179</v>
      </c>
    </row>
    <row r="1375" spans="1:48" x14ac:dyDescent="0.25">
      <c r="A1375" t="s">
        <v>3323</v>
      </c>
      <c r="B1375" t="s">
        <v>302</v>
      </c>
      <c r="C1375" t="s">
        <v>62</v>
      </c>
      <c r="D1375">
        <v>99999</v>
      </c>
      <c r="F1375" s="109">
        <v>20000</v>
      </c>
      <c r="G1375" t="b">
        <v>0</v>
      </c>
      <c r="H1375" t="s">
        <v>341</v>
      </c>
      <c r="K1375" t="s">
        <v>393</v>
      </c>
      <c r="L1375" t="s">
        <v>303</v>
      </c>
      <c r="M1375" t="s">
        <v>323</v>
      </c>
      <c r="N1375" t="s">
        <v>63</v>
      </c>
      <c r="O1375" s="110">
        <v>49.9</v>
      </c>
      <c r="R1375" s="110">
        <v>365.59</v>
      </c>
      <c r="S1375" s="110">
        <v>130</v>
      </c>
      <c r="T1375" s="110">
        <v>0</v>
      </c>
      <c r="U1375" s="110">
        <v>34.99</v>
      </c>
      <c r="X1375">
        <v>130.69999999999996</v>
      </c>
      <c r="Y1375">
        <v>69.900000000000006</v>
      </c>
      <c r="Z1375">
        <v>69.900000000000006</v>
      </c>
      <c r="AA1375">
        <v>0</v>
      </c>
      <c r="AB1375" t="s">
        <v>363</v>
      </c>
      <c r="AF1375" t="s">
        <v>3208</v>
      </c>
      <c r="AG1375" t="s">
        <v>3208</v>
      </c>
      <c r="AH1375" t="s">
        <v>1903</v>
      </c>
      <c r="AI1375">
        <v>99999</v>
      </c>
      <c r="AJ1375">
        <v>99999</v>
      </c>
      <c r="AK1375">
        <v>699</v>
      </c>
      <c r="AL1375" t="b">
        <v>1</v>
      </c>
      <c r="AM1375" t="b">
        <v>1</v>
      </c>
      <c r="AN1375" t="b">
        <v>0</v>
      </c>
      <c r="AO1375">
        <v>99999</v>
      </c>
      <c r="AP1375" t="s">
        <v>64</v>
      </c>
      <c r="AR1375" t="b">
        <v>0</v>
      </c>
      <c r="AS1375">
        <v>12</v>
      </c>
      <c r="AT1375" t="s">
        <v>327</v>
      </c>
      <c r="AV1375" t="s">
        <v>3242</v>
      </c>
    </row>
    <row r="1376" spans="1:48" x14ac:dyDescent="0.25">
      <c r="A1376" t="s">
        <v>3323</v>
      </c>
      <c r="B1376" t="s">
        <v>302</v>
      </c>
      <c r="C1376" t="s">
        <v>62</v>
      </c>
      <c r="D1376">
        <v>99999</v>
      </c>
      <c r="F1376" s="109">
        <v>20000</v>
      </c>
      <c r="G1376" t="b">
        <v>0</v>
      </c>
      <c r="H1376" t="s">
        <v>341</v>
      </c>
      <c r="K1376" t="s">
        <v>393</v>
      </c>
      <c r="L1376" t="s">
        <v>303</v>
      </c>
      <c r="M1376" t="s">
        <v>323</v>
      </c>
      <c r="N1376" t="s">
        <v>63</v>
      </c>
      <c r="O1376" s="110">
        <v>49.9</v>
      </c>
      <c r="R1376" s="110">
        <v>399.89</v>
      </c>
      <c r="S1376" s="110">
        <v>130</v>
      </c>
      <c r="T1376" s="110">
        <v>0</v>
      </c>
      <c r="U1376" s="110">
        <v>42.99</v>
      </c>
      <c r="X1376">
        <v>156.99999999999997</v>
      </c>
      <c r="Y1376">
        <v>69.900000000000006</v>
      </c>
      <c r="Z1376">
        <v>69.900000000000006</v>
      </c>
      <c r="AA1376">
        <v>0</v>
      </c>
      <c r="AB1376" t="s">
        <v>363</v>
      </c>
      <c r="AF1376" t="s">
        <v>3282</v>
      </c>
      <c r="AG1376" t="s">
        <v>3282</v>
      </c>
      <c r="AH1376" t="s">
        <v>1903</v>
      </c>
      <c r="AI1376">
        <v>99999</v>
      </c>
      <c r="AJ1376">
        <v>99999</v>
      </c>
      <c r="AK1376">
        <v>699</v>
      </c>
      <c r="AL1376" t="b">
        <v>1</v>
      </c>
      <c r="AM1376" t="b">
        <v>1</v>
      </c>
      <c r="AN1376" t="b">
        <v>0</v>
      </c>
      <c r="AO1376">
        <v>99999</v>
      </c>
      <c r="AP1376" t="s">
        <v>64</v>
      </c>
      <c r="AR1376" t="b">
        <v>0</v>
      </c>
      <c r="AS1376">
        <v>12</v>
      </c>
      <c r="AT1376" t="s">
        <v>327</v>
      </c>
      <c r="AV1376" t="s">
        <v>3316</v>
      </c>
    </row>
    <row r="1377" spans="1:48" x14ac:dyDescent="0.25">
      <c r="A1377" t="s">
        <v>3323</v>
      </c>
      <c r="B1377" t="s">
        <v>302</v>
      </c>
      <c r="C1377" t="s">
        <v>62</v>
      </c>
      <c r="D1377">
        <v>99999</v>
      </c>
      <c r="F1377" s="109">
        <v>20000</v>
      </c>
      <c r="G1377" t="b">
        <v>0</v>
      </c>
      <c r="H1377" t="s">
        <v>341</v>
      </c>
      <c r="K1377" t="s">
        <v>364</v>
      </c>
      <c r="L1377" t="s">
        <v>303</v>
      </c>
      <c r="M1377" t="s">
        <v>323</v>
      </c>
      <c r="N1377" t="s">
        <v>63</v>
      </c>
      <c r="O1377" s="110">
        <v>29.9</v>
      </c>
      <c r="R1377" s="110">
        <v>345.58999999999992</v>
      </c>
      <c r="S1377" s="110">
        <v>130</v>
      </c>
      <c r="T1377" s="110">
        <v>0</v>
      </c>
      <c r="U1377" s="110">
        <v>34.99</v>
      </c>
      <c r="X1377">
        <v>130.69999999999996</v>
      </c>
      <c r="Y1377">
        <v>49.9</v>
      </c>
      <c r="Z1377">
        <v>49.9</v>
      </c>
      <c r="AA1377">
        <v>0</v>
      </c>
      <c r="AB1377" t="s">
        <v>363</v>
      </c>
      <c r="AF1377" t="s">
        <v>1930</v>
      </c>
      <c r="AG1377" t="s">
        <v>1930</v>
      </c>
      <c r="AH1377" t="s">
        <v>1903</v>
      </c>
      <c r="AI1377">
        <v>99999</v>
      </c>
      <c r="AJ1377">
        <v>99999</v>
      </c>
      <c r="AK1377">
        <v>699</v>
      </c>
      <c r="AL1377" t="b">
        <v>1</v>
      </c>
      <c r="AM1377" t="b">
        <v>1</v>
      </c>
      <c r="AN1377" t="b">
        <v>0</v>
      </c>
      <c r="AO1377">
        <v>99999</v>
      </c>
      <c r="AP1377" t="s">
        <v>64</v>
      </c>
      <c r="AR1377" t="b">
        <v>0</v>
      </c>
      <c r="AS1377">
        <v>12</v>
      </c>
      <c r="AT1377" t="s">
        <v>327</v>
      </c>
      <c r="AV1377" t="s">
        <v>1938</v>
      </c>
    </row>
    <row r="1378" spans="1:48" x14ac:dyDescent="0.25">
      <c r="A1378" t="s">
        <v>3323</v>
      </c>
      <c r="B1378" t="s">
        <v>302</v>
      </c>
      <c r="C1378" t="s">
        <v>62</v>
      </c>
      <c r="D1378">
        <v>99999</v>
      </c>
      <c r="F1378" s="109">
        <v>20000</v>
      </c>
      <c r="G1378" t="b">
        <v>0</v>
      </c>
      <c r="H1378" t="s">
        <v>341</v>
      </c>
      <c r="K1378" t="s">
        <v>364</v>
      </c>
      <c r="L1378" t="s">
        <v>303</v>
      </c>
      <c r="M1378" t="s">
        <v>323</v>
      </c>
      <c r="N1378" t="s">
        <v>63</v>
      </c>
      <c r="O1378" s="110">
        <v>29.9</v>
      </c>
      <c r="R1378" s="110">
        <v>379.89</v>
      </c>
      <c r="S1378" s="110">
        <v>130</v>
      </c>
      <c r="T1378" s="110">
        <v>0</v>
      </c>
      <c r="U1378" s="110">
        <v>42.99</v>
      </c>
      <c r="X1378">
        <v>156.99999999999997</v>
      </c>
      <c r="Y1378">
        <v>49.9</v>
      </c>
      <c r="Z1378">
        <v>49.9</v>
      </c>
      <c r="AA1378">
        <v>0</v>
      </c>
      <c r="AB1378" t="s">
        <v>363</v>
      </c>
      <c r="AF1378" t="s">
        <v>2078</v>
      </c>
      <c r="AG1378" t="s">
        <v>2078</v>
      </c>
      <c r="AH1378" t="s">
        <v>1903</v>
      </c>
      <c r="AI1378">
        <v>99999</v>
      </c>
      <c r="AJ1378">
        <v>99999</v>
      </c>
      <c r="AK1378">
        <v>699</v>
      </c>
      <c r="AL1378" t="b">
        <v>1</v>
      </c>
      <c r="AM1378" t="b">
        <v>1</v>
      </c>
      <c r="AN1378" t="b">
        <v>0</v>
      </c>
      <c r="AO1378">
        <v>99999</v>
      </c>
      <c r="AP1378" t="s">
        <v>64</v>
      </c>
      <c r="AR1378" t="b">
        <v>0</v>
      </c>
      <c r="AS1378">
        <v>12</v>
      </c>
      <c r="AT1378" t="s">
        <v>327</v>
      </c>
      <c r="AV1378" t="s">
        <v>2086</v>
      </c>
    </row>
    <row r="1379" spans="1:48" x14ac:dyDescent="0.25">
      <c r="A1379" t="s">
        <v>3323</v>
      </c>
      <c r="B1379" t="s">
        <v>302</v>
      </c>
      <c r="C1379" t="s">
        <v>62</v>
      </c>
      <c r="D1379">
        <v>99999</v>
      </c>
      <c r="F1379" s="109">
        <v>20000</v>
      </c>
      <c r="G1379" t="b">
        <v>0</v>
      </c>
      <c r="H1379" t="s">
        <v>341</v>
      </c>
      <c r="K1379" t="s">
        <v>364</v>
      </c>
      <c r="L1379" t="s">
        <v>303</v>
      </c>
      <c r="M1379" t="s">
        <v>323</v>
      </c>
      <c r="N1379" t="s">
        <v>63</v>
      </c>
      <c r="O1379" s="110">
        <v>39.9</v>
      </c>
      <c r="R1379" s="110">
        <v>345.58999999999992</v>
      </c>
      <c r="S1379" s="110">
        <v>130</v>
      </c>
      <c r="T1379" s="110">
        <v>0</v>
      </c>
      <c r="U1379" s="110">
        <v>34.99</v>
      </c>
      <c r="X1379">
        <v>130.69999999999996</v>
      </c>
      <c r="Y1379">
        <v>49.9</v>
      </c>
      <c r="Z1379">
        <v>49.9</v>
      </c>
      <c r="AA1379">
        <v>0</v>
      </c>
      <c r="AB1379" t="s">
        <v>363</v>
      </c>
      <c r="AF1379" t="s">
        <v>1997</v>
      </c>
      <c r="AG1379" t="s">
        <v>1997</v>
      </c>
      <c r="AH1379" t="s">
        <v>1903</v>
      </c>
      <c r="AI1379">
        <v>99999</v>
      </c>
      <c r="AJ1379">
        <v>99999</v>
      </c>
      <c r="AK1379">
        <v>699</v>
      </c>
      <c r="AL1379" t="b">
        <v>1</v>
      </c>
      <c r="AM1379" t="b">
        <v>1</v>
      </c>
      <c r="AN1379" t="b">
        <v>0</v>
      </c>
      <c r="AO1379">
        <v>99999</v>
      </c>
      <c r="AP1379" t="s">
        <v>64</v>
      </c>
      <c r="AR1379" t="b">
        <v>0</v>
      </c>
      <c r="AS1379">
        <v>12</v>
      </c>
      <c r="AT1379" t="s">
        <v>327</v>
      </c>
      <c r="AV1379" t="s">
        <v>2005</v>
      </c>
    </row>
    <row r="1380" spans="1:48" x14ac:dyDescent="0.25">
      <c r="A1380" t="s">
        <v>3323</v>
      </c>
      <c r="B1380" t="s">
        <v>302</v>
      </c>
      <c r="C1380" t="s">
        <v>62</v>
      </c>
      <c r="D1380">
        <v>99999</v>
      </c>
      <c r="F1380" s="109">
        <v>20000</v>
      </c>
      <c r="G1380" t="b">
        <v>0</v>
      </c>
      <c r="H1380" t="s">
        <v>341</v>
      </c>
      <c r="K1380" t="s">
        <v>364</v>
      </c>
      <c r="L1380" t="s">
        <v>303</v>
      </c>
      <c r="M1380" t="s">
        <v>323</v>
      </c>
      <c r="N1380" t="s">
        <v>63</v>
      </c>
      <c r="O1380" s="110">
        <v>39.9</v>
      </c>
      <c r="R1380" s="110">
        <v>379.89</v>
      </c>
      <c r="S1380" s="110">
        <v>130</v>
      </c>
      <c r="T1380" s="110">
        <v>0</v>
      </c>
      <c r="U1380" s="110">
        <v>42.99</v>
      </c>
      <c r="X1380">
        <v>156.99999999999997</v>
      </c>
      <c r="Y1380">
        <v>49.9</v>
      </c>
      <c r="Z1380">
        <v>49.9</v>
      </c>
      <c r="AA1380">
        <v>0</v>
      </c>
      <c r="AB1380" t="s">
        <v>363</v>
      </c>
      <c r="AF1380" t="s">
        <v>2145</v>
      </c>
      <c r="AG1380" t="s">
        <v>2145</v>
      </c>
      <c r="AH1380" t="s">
        <v>1903</v>
      </c>
      <c r="AI1380">
        <v>99999</v>
      </c>
      <c r="AJ1380">
        <v>99999</v>
      </c>
      <c r="AK1380">
        <v>699</v>
      </c>
      <c r="AL1380" t="b">
        <v>1</v>
      </c>
      <c r="AM1380" t="b">
        <v>1</v>
      </c>
      <c r="AN1380" t="b">
        <v>0</v>
      </c>
      <c r="AO1380">
        <v>99999</v>
      </c>
      <c r="AP1380" t="s">
        <v>64</v>
      </c>
      <c r="AR1380" t="b">
        <v>0</v>
      </c>
      <c r="AS1380">
        <v>12</v>
      </c>
      <c r="AT1380" t="s">
        <v>327</v>
      </c>
      <c r="AV1380" t="s">
        <v>2153</v>
      </c>
    </row>
    <row r="1381" spans="1:48" x14ac:dyDescent="0.25">
      <c r="A1381" t="s">
        <v>3323</v>
      </c>
      <c r="B1381" t="s">
        <v>302</v>
      </c>
      <c r="C1381" t="s">
        <v>62</v>
      </c>
      <c r="D1381">
        <v>99999</v>
      </c>
      <c r="F1381" s="109">
        <v>20000</v>
      </c>
      <c r="G1381" t="b">
        <v>0</v>
      </c>
      <c r="H1381" t="s">
        <v>341</v>
      </c>
      <c r="K1381" t="s">
        <v>364</v>
      </c>
      <c r="L1381" t="s">
        <v>303</v>
      </c>
      <c r="M1381" t="s">
        <v>323</v>
      </c>
      <c r="N1381" t="s">
        <v>63</v>
      </c>
      <c r="O1381" s="110">
        <v>49.9</v>
      </c>
      <c r="R1381" s="110">
        <v>345.58999999999992</v>
      </c>
      <c r="S1381" s="110">
        <v>130</v>
      </c>
      <c r="T1381" s="110">
        <v>0</v>
      </c>
      <c r="U1381" s="110">
        <v>34.99</v>
      </c>
      <c r="X1381">
        <v>130.69999999999996</v>
      </c>
      <c r="Y1381">
        <v>49.9</v>
      </c>
      <c r="Z1381">
        <v>49.9</v>
      </c>
      <c r="AA1381">
        <v>0</v>
      </c>
      <c r="AB1381" t="s">
        <v>363</v>
      </c>
      <c r="AF1381" t="s">
        <v>3208</v>
      </c>
      <c r="AG1381" t="s">
        <v>3208</v>
      </c>
      <c r="AH1381" t="s">
        <v>1903</v>
      </c>
      <c r="AI1381">
        <v>99999</v>
      </c>
      <c r="AJ1381">
        <v>99999</v>
      </c>
      <c r="AK1381">
        <v>699</v>
      </c>
      <c r="AL1381" t="b">
        <v>1</v>
      </c>
      <c r="AM1381" t="b">
        <v>1</v>
      </c>
      <c r="AN1381" t="b">
        <v>0</v>
      </c>
      <c r="AO1381">
        <v>99999</v>
      </c>
      <c r="AP1381" t="s">
        <v>64</v>
      </c>
      <c r="AR1381" t="b">
        <v>0</v>
      </c>
      <c r="AS1381">
        <v>12</v>
      </c>
      <c r="AT1381" t="s">
        <v>327</v>
      </c>
      <c r="AV1381" t="s">
        <v>3216</v>
      </c>
    </row>
    <row r="1382" spans="1:48" x14ac:dyDescent="0.25">
      <c r="A1382" t="s">
        <v>3323</v>
      </c>
      <c r="B1382" t="s">
        <v>302</v>
      </c>
      <c r="C1382" t="s">
        <v>62</v>
      </c>
      <c r="D1382">
        <v>99999</v>
      </c>
      <c r="F1382" s="109">
        <v>20000</v>
      </c>
      <c r="G1382" t="b">
        <v>0</v>
      </c>
      <c r="H1382" t="s">
        <v>341</v>
      </c>
      <c r="K1382" t="s">
        <v>364</v>
      </c>
      <c r="L1382" t="s">
        <v>303</v>
      </c>
      <c r="M1382" t="s">
        <v>323</v>
      </c>
      <c r="N1382" t="s">
        <v>63</v>
      </c>
      <c r="O1382" s="110">
        <v>49.9</v>
      </c>
      <c r="R1382" s="110">
        <v>379.89</v>
      </c>
      <c r="S1382" s="110">
        <v>130</v>
      </c>
      <c r="T1382" s="110">
        <v>0</v>
      </c>
      <c r="U1382" s="110">
        <v>42.99</v>
      </c>
      <c r="X1382">
        <v>156.99999999999997</v>
      </c>
      <c r="Y1382">
        <v>49.9</v>
      </c>
      <c r="Z1382">
        <v>49.9</v>
      </c>
      <c r="AA1382">
        <v>0</v>
      </c>
      <c r="AB1382" t="s">
        <v>363</v>
      </c>
      <c r="AF1382" t="s">
        <v>3282</v>
      </c>
      <c r="AG1382" t="s">
        <v>3282</v>
      </c>
      <c r="AH1382" t="s">
        <v>1903</v>
      </c>
      <c r="AI1382">
        <v>99999</v>
      </c>
      <c r="AJ1382">
        <v>99999</v>
      </c>
      <c r="AK1382">
        <v>699</v>
      </c>
      <c r="AL1382" t="b">
        <v>1</v>
      </c>
      <c r="AM1382" t="b">
        <v>1</v>
      </c>
      <c r="AN1382" t="b">
        <v>0</v>
      </c>
      <c r="AO1382">
        <v>99999</v>
      </c>
      <c r="AP1382" t="s">
        <v>64</v>
      </c>
      <c r="AR1382" t="b">
        <v>0</v>
      </c>
      <c r="AS1382">
        <v>12</v>
      </c>
      <c r="AT1382" t="s">
        <v>327</v>
      </c>
      <c r="AV1382" t="s">
        <v>3290</v>
      </c>
    </row>
    <row r="1383" spans="1:48" x14ac:dyDescent="0.25">
      <c r="A1383" t="s">
        <v>3323</v>
      </c>
      <c r="B1383" t="s">
        <v>302</v>
      </c>
      <c r="C1383" t="s">
        <v>62</v>
      </c>
      <c r="D1383">
        <v>99999</v>
      </c>
      <c r="F1383" s="109">
        <v>20000</v>
      </c>
      <c r="G1383" t="b">
        <v>0</v>
      </c>
      <c r="H1383" t="s">
        <v>341</v>
      </c>
      <c r="K1383" t="s">
        <v>379</v>
      </c>
      <c r="L1383" t="s">
        <v>303</v>
      </c>
      <c r="M1383" t="s">
        <v>323</v>
      </c>
      <c r="N1383" t="s">
        <v>63</v>
      </c>
      <c r="O1383" s="110">
        <v>29.9</v>
      </c>
      <c r="R1383" s="110">
        <v>355.58999999999992</v>
      </c>
      <c r="S1383" s="110">
        <v>130</v>
      </c>
      <c r="T1383" s="110">
        <v>0</v>
      </c>
      <c r="U1383" s="110">
        <v>34.99</v>
      </c>
      <c r="X1383">
        <v>130.69999999999996</v>
      </c>
      <c r="Y1383">
        <v>59.9</v>
      </c>
      <c r="Z1383">
        <v>59.9</v>
      </c>
      <c r="AA1383">
        <v>0</v>
      </c>
      <c r="AB1383" t="s">
        <v>363</v>
      </c>
      <c r="AF1383" t="s">
        <v>1930</v>
      </c>
      <c r="AG1383" t="s">
        <v>1930</v>
      </c>
      <c r="AH1383" t="s">
        <v>1903</v>
      </c>
      <c r="AI1383">
        <v>99999</v>
      </c>
      <c r="AJ1383">
        <v>99999</v>
      </c>
      <c r="AK1383">
        <v>699</v>
      </c>
      <c r="AL1383" t="b">
        <v>1</v>
      </c>
      <c r="AM1383" t="b">
        <v>1</v>
      </c>
      <c r="AN1383" t="b">
        <v>0</v>
      </c>
      <c r="AO1383">
        <v>99999</v>
      </c>
      <c r="AP1383" t="s">
        <v>64</v>
      </c>
      <c r="AR1383" t="b">
        <v>0</v>
      </c>
      <c r="AS1383">
        <v>12</v>
      </c>
      <c r="AT1383" t="s">
        <v>327</v>
      </c>
      <c r="AV1383" t="s">
        <v>1951</v>
      </c>
    </row>
    <row r="1384" spans="1:48" x14ac:dyDescent="0.25">
      <c r="A1384" t="s">
        <v>3323</v>
      </c>
      <c r="B1384" t="s">
        <v>302</v>
      </c>
      <c r="C1384" t="s">
        <v>62</v>
      </c>
      <c r="D1384">
        <v>99999</v>
      </c>
      <c r="F1384" s="109">
        <v>20000</v>
      </c>
      <c r="G1384" t="b">
        <v>0</v>
      </c>
      <c r="H1384" t="s">
        <v>341</v>
      </c>
      <c r="K1384" t="s">
        <v>379</v>
      </c>
      <c r="L1384" t="s">
        <v>303</v>
      </c>
      <c r="M1384" t="s">
        <v>323</v>
      </c>
      <c r="N1384" t="s">
        <v>63</v>
      </c>
      <c r="O1384" s="110">
        <v>29.9</v>
      </c>
      <c r="R1384" s="110">
        <v>389.89</v>
      </c>
      <c r="S1384" s="110">
        <v>130</v>
      </c>
      <c r="T1384" s="110">
        <v>0</v>
      </c>
      <c r="U1384" s="110">
        <v>42.99</v>
      </c>
      <c r="X1384">
        <v>156.99999999999997</v>
      </c>
      <c r="Y1384">
        <v>59.9</v>
      </c>
      <c r="Z1384">
        <v>59.9</v>
      </c>
      <c r="AA1384">
        <v>0</v>
      </c>
      <c r="AB1384" t="s">
        <v>363</v>
      </c>
      <c r="AF1384" t="s">
        <v>2078</v>
      </c>
      <c r="AG1384" t="s">
        <v>2078</v>
      </c>
      <c r="AH1384" t="s">
        <v>1903</v>
      </c>
      <c r="AI1384">
        <v>99999</v>
      </c>
      <c r="AJ1384">
        <v>99999</v>
      </c>
      <c r="AK1384">
        <v>699</v>
      </c>
      <c r="AL1384" t="b">
        <v>1</v>
      </c>
      <c r="AM1384" t="b">
        <v>1</v>
      </c>
      <c r="AN1384" t="b">
        <v>0</v>
      </c>
      <c r="AO1384">
        <v>99999</v>
      </c>
      <c r="AP1384" t="s">
        <v>64</v>
      </c>
      <c r="AR1384" t="b">
        <v>0</v>
      </c>
      <c r="AS1384">
        <v>12</v>
      </c>
      <c r="AT1384" t="s">
        <v>327</v>
      </c>
      <c r="AV1384" t="s">
        <v>2099</v>
      </c>
    </row>
    <row r="1385" spans="1:48" x14ac:dyDescent="0.25">
      <c r="A1385" t="s">
        <v>3323</v>
      </c>
      <c r="B1385" t="s">
        <v>302</v>
      </c>
      <c r="C1385" t="s">
        <v>62</v>
      </c>
      <c r="D1385">
        <v>99999</v>
      </c>
      <c r="F1385" s="109">
        <v>20000</v>
      </c>
      <c r="G1385" t="b">
        <v>0</v>
      </c>
      <c r="H1385" t="s">
        <v>341</v>
      </c>
      <c r="K1385" t="s">
        <v>379</v>
      </c>
      <c r="L1385" t="s">
        <v>303</v>
      </c>
      <c r="M1385" t="s">
        <v>323</v>
      </c>
      <c r="N1385" t="s">
        <v>63</v>
      </c>
      <c r="O1385" s="110">
        <v>39.9</v>
      </c>
      <c r="R1385" s="110">
        <v>355.58999999999992</v>
      </c>
      <c r="S1385" s="110">
        <v>130</v>
      </c>
      <c r="T1385" s="110">
        <v>0</v>
      </c>
      <c r="U1385" s="110">
        <v>34.99</v>
      </c>
      <c r="X1385">
        <v>130.69999999999996</v>
      </c>
      <c r="Y1385">
        <v>59.9</v>
      </c>
      <c r="Z1385">
        <v>59.9</v>
      </c>
      <c r="AA1385">
        <v>0</v>
      </c>
      <c r="AB1385" t="s">
        <v>363</v>
      </c>
      <c r="AF1385" t="s">
        <v>1997</v>
      </c>
      <c r="AG1385" t="s">
        <v>1997</v>
      </c>
      <c r="AH1385" t="s">
        <v>1903</v>
      </c>
      <c r="AI1385">
        <v>99999</v>
      </c>
      <c r="AJ1385">
        <v>99999</v>
      </c>
      <c r="AK1385">
        <v>699</v>
      </c>
      <c r="AL1385" t="b">
        <v>1</v>
      </c>
      <c r="AM1385" t="b">
        <v>1</v>
      </c>
      <c r="AN1385" t="b">
        <v>0</v>
      </c>
      <c r="AO1385">
        <v>99999</v>
      </c>
      <c r="AP1385" t="s">
        <v>64</v>
      </c>
      <c r="AR1385" t="b">
        <v>0</v>
      </c>
      <c r="AS1385">
        <v>12</v>
      </c>
      <c r="AT1385" t="s">
        <v>327</v>
      </c>
      <c r="AV1385" t="s">
        <v>2018</v>
      </c>
    </row>
    <row r="1386" spans="1:48" x14ac:dyDescent="0.25">
      <c r="A1386" t="s">
        <v>3323</v>
      </c>
      <c r="B1386" t="s">
        <v>302</v>
      </c>
      <c r="C1386" t="s">
        <v>62</v>
      </c>
      <c r="D1386">
        <v>99999</v>
      </c>
      <c r="F1386" s="109">
        <v>20000</v>
      </c>
      <c r="G1386" t="b">
        <v>0</v>
      </c>
      <c r="H1386" t="s">
        <v>341</v>
      </c>
      <c r="K1386" t="s">
        <v>379</v>
      </c>
      <c r="L1386" t="s">
        <v>303</v>
      </c>
      <c r="M1386" t="s">
        <v>323</v>
      </c>
      <c r="N1386" t="s">
        <v>63</v>
      </c>
      <c r="O1386" s="110">
        <v>39.9</v>
      </c>
      <c r="R1386" s="110">
        <v>389.89</v>
      </c>
      <c r="S1386" s="110">
        <v>130</v>
      </c>
      <c r="T1386" s="110">
        <v>0</v>
      </c>
      <c r="U1386" s="110">
        <v>42.99</v>
      </c>
      <c r="X1386">
        <v>156.99999999999997</v>
      </c>
      <c r="Y1386">
        <v>59.9</v>
      </c>
      <c r="Z1386">
        <v>59.9</v>
      </c>
      <c r="AA1386">
        <v>0</v>
      </c>
      <c r="AB1386" t="s">
        <v>363</v>
      </c>
      <c r="AF1386" t="s">
        <v>2145</v>
      </c>
      <c r="AG1386" t="s">
        <v>2145</v>
      </c>
      <c r="AH1386" t="s">
        <v>1903</v>
      </c>
      <c r="AI1386">
        <v>99999</v>
      </c>
      <c r="AJ1386">
        <v>99999</v>
      </c>
      <c r="AK1386">
        <v>699</v>
      </c>
      <c r="AL1386" t="b">
        <v>1</v>
      </c>
      <c r="AM1386" t="b">
        <v>1</v>
      </c>
      <c r="AN1386" t="b">
        <v>0</v>
      </c>
      <c r="AO1386">
        <v>99999</v>
      </c>
      <c r="AP1386" t="s">
        <v>64</v>
      </c>
      <c r="AR1386" t="b">
        <v>0</v>
      </c>
      <c r="AS1386">
        <v>12</v>
      </c>
      <c r="AT1386" t="s">
        <v>327</v>
      </c>
      <c r="AV1386" t="s">
        <v>2166</v>
      </c>
    </row>
    <row r="1387" spans="1:48" x14ac:dyDescent="0.25">
      <c r="A1387" t="s">
        <v>3323</v>
      </c>
      <c r="B1387" t="s">
        <v>302</v>
      </c>
      <c r="C1387" t="s">
        <v>62</v>
      </c>
      <c r="D1387">
        <v>99999</v>
      </c>
      <c r="F1387" s="109">
        <v>20000</v>
      </c>
      <c r="G1387" t="b">
        <v>0</v>
      </c>
      <c r="H1387" t="s">
        <v>341</v>
      </c>
      <c r="K1387" t="s">
        <v>379</v>
      </c>
      <c r="L1387" t="s">
        <v>303</v>
      </c>
      <c r="M1387" t="s">
        <v>323</v>
      </c>
      <c r="N1387" t="s">
        <v>63</v>
      </c>
      <c r="O1387" s="110">
        <v>49.9</v>
      </c>
      <c r="R1387" s="110">
        <v>355.58999999999992</v>
      </c>
      <c r="S1387" s="110">
        <v>130</v>
      </c>
      <c r="T1387" s="110">
        <v>0</v>
      </c>
      <c r="U1387" s="110">
        <v>34.99</v>
      </c>
      <c r="X1387">
        <v>130.69999999999996</v>
      </c>
      <c r="Y1387">
        <v>59.9</v>
      </c>
      <c r="Z1387">
        <v>59.9</v>
      </c>
      <c r="AA1387">
        <v>0</v>
      </c>
      <c r="AB1387" t="s">
        <v>363</v>
      </c>
      <c r="AF1387" t="s">
        <v>3208</v>
      </c>
      <c r="AG1387" t="s">
        <v>3208</v>
      </c>
      <c r="AH1387" t="s">
        <v>1903</v>
      </c>
      <c r="AI1387">
        <v>99999</v>
      </c>
      <c r="AJ1387">
        <v>99999</v>
      </c>
      <c r="AK1387">
        <v>699</v>
      </c>
      <c r="AL1387" t="b">
        <v>1</v>
      </c>
      <c r="AM1387" t="b">
        <v>1</v>
      </c>
      <c r="AN1387" t="b">
        <v>0</v>
      </c>
      <c r="AO1387">
        <v>99999</v>
      </c>
      <c r="AP1387" t="s">
        <v>64</v>
      </c>
      <c r="AR1387" t="b">
        <v>0</v>
      </c>
      <c r="AS1387">
        <v>12</v>
      </c>
      <c r="AT1387" t="s">
        <v>327</v>
      </c>
      <c r="AV1387" t="s">
        <v>3229</v>
      </c>
    </row>
    <row r="1388" spans="1:48" x14ac:dyDescent="0.25">
      <c r="A1388" t="s">
        <v>3323</v>
      </c>
      <c r="B1388" t="s">
        <v>302</v>
      </c>
      <c r="C1388" t="s">
        <v>62</v>
      </c>
      <c r="D1388">
        <v>99999</v>
      </c>
      <c r="F1388" s="109">
        <v>20000</v>
      </c>
      <c r="G1388" t="b">
        <v>0</v>
      </c>
      <c r="H1388" t="s">
        <v>341</v>
      </c>
      <c r="K1388" t="s">
        <v>379</v>
      </c>
      <c r="L1388" t="s">
        <v>303</v>
      </c>
      <c r="M1388" t="s">
        <v>323</v>
      </c>
      <c r="N1388" t="s">
        <v>63</v>
      </c>
      <c r="O1388" s="110">
        <v>49.9</v>
      </c>
      <c r="R1388" s="110">
        <v>389.89</v>
      </c>
      <c r="S1388" s="110">
        <v>130</v>
      </c>
      <c r="T1388" s="110">
        <v>0</v>
      </c>
      <c r="U1388" s="110">
        <v>42.99</v>
      </c>
      <c r="X1388">
        <v>156.99999999999997</v>
      </c>
      <c r="Y1388">
        <v>59.9</v>
      </c>
      <c r="Z1388">
        <v>59.9</v>
      </c>
      <c r="AA1388">
        <v>0</v>
      </c>
      <c r="AB1388" t="s">
        <v>363</v>
      </c>
      <c r="AF1388" t="s">
        <v>3282</v>
      </c>
      <c r="AG1388" t="s">
        <v>3282</v>
      </c>
      <c r="AH1388" t="s">
        <v>1903</v>
      </c>
      <c r="AI1388">
        <v>99999</v>
      </c>
      <c r="AJ1388">
        <v>99999</v>
      </c>
      <c r="AK1388">
        <v>699</v>
      </c>
      <c r="AL1388" t="b">
        <v>1</v>
      </c>
      <c r="AM1388" t="b">
        <v>1</v>
      </c>
      <c r="AN1388" t="b">
        <v>0</v>
      </c>
      <c r="AO1388">
        <v>99999</v>
      </c>
      <c r="AP1388" t="s">
        <v>64</v>
      </c>
      <c r="AR1388" t="b">
        <v>0</v>
      </c>
      <c r="AS1388">
        <v>12</v>
      </c>
      <c r="AT1388" t="s">
        <v>327</v>
      </c>
      <c r="AV1388" t="s">
        <v>3303</v>
      </c>
    </row>
    <row r="1389" spans="1:48" x14ac:dyDescent="0.25">
      <c r="A1389" t="s">
        <v>3323</v>
      </c>
      <c r="B1389" t="s">
        <v>302</v>
      </c>
      <c r="C1389" t="s">
        <v>62</v>
      </c>
      <c r="D1389">
        <v>99999</v>
      </c>
      <c r="F1389" s="109">
        <v>20000</v>
      </c>
      <c r="G1389" t="b">
        <v>0</v>
      </c>
      <c r="H1389" t="s">
        <v>341</v>
      </c>
      <c r="K1389" t="s">
        <v>61</v>
      </c>
      <c r="L1389" t="s">
        <v>303</v>
      </c>
      <c r="M1389" t="s">
        <v>323</v>
      </c>
      <c r="N1389" t="s">
        <v>63</v>
      </c>
      <c r="O1389" s="110">
        <v>29.9</v>
      </c>
      <c r="R1389" s="110">
        <v>340.58999999999992</v>
      </c>
      <c r="S1389" s="110">
        <v>130</v>
      </c>
      <c r="T1389" s="110">
        <v>0</v>
      </c>
      <c r="U1389" s="110">
        <v>34.99</v>
      </c>
      <c r="X1389">
        <v>130.69999999999996</v>
      </c>
      <c r="Y1389">
        <v>44.9</v>
      </c>
      <c r="Z1389">
        <v>44.9</v>
      </c>
      <c r="AA1389">
        <v>0</v>
      </c>
      <c r="AB1389" t="s">
        <v>324</v>
      </c>
      <c r="AF1389" t="s">
        <v>1902</v>
      </c>
      <c r="AG1389" t="s">
        <v>1902</v>
      </c>
      <c r="AH1389" t="s">
        <v>1903</v>
      </c>
      <c r="AI1389">
        <v>99999</v>
      </c>
      <c r="AJ1389">
        <v>99999</v>
      </c>
      <c r="AK1389">
        <v>699</v>
      </c>
      <c r="AL1389" t="b">
        <v>1</v>
      </c>
      <c r="AM1389" t="b">
        <v>1</v>
      </c>
      <c r="AN1389" t="b">
        <v>0</v>
      </c>
      <c r="AO1389">
        <v>99999</v>
      </c>
      <c r="AP1389" t="s">
        <v>64</v>
      </c>
      <c r="AR1389" t="b">
        <v>0</v>
      </c>
      <c r="AS1389">
        <v>12</v>
      </c>
      <c r="AT1389" t="s">
        <v>327</v>
      </c>
      <c r="AV1389" t="s">
        <v>1911</v>
      </c>
    </row>
    <row r="1390" spans="1:48" x14ac:dyDescent="0.25">
      <c r="A1390" t="s">
        <v>3323</v>
      </c>
      <c r="B1390" t="s">
        <v>302</v>
      </c>
      <c r="C1390" t="s">
        <v>62</v>
      </c>
      <c r="D1390">
        <v>99999</v>
      </c>
      <c r="F1390" s="109">
        <v>20000</v>
      </c>
      <c r="G1390" t="b">
        <v>0</v>
      </c>
      <c r="H1390" t="s">
        <v>341</v>
      </c>
      <c r="K1390" t="s">
        <v>61</v>
      </c>
      <c r="L1390" t="s">
        <v>303</v>
      </c>
      <c r="M1390" t="s">
        <v>323</v>
      </c>
      <c r="N1390" t="s">
        <v>63</v>
      </c>
      <c r="O1390" s="110">
        <v>29.9</v>
      </c>
      <c r="R1390" s="110">
        <v>374.89</v>
      </c>
      <c r="S1390" s="110">
        <v>130</v>
      </c>
      <c r="T1390" s="110">
        <v>0</v>
      </c>
      <c r="U1390" s="110">
        <v>42.99</v>
      </c>
      <c r="X1390">
        <v>156.99999999999997</v>
      </c>
      <c r="Y1390">
        <v>44.9</v>
      </c>
      <c r="Z1390">
        <v>44.9</v>
      </c>
      <c r="AA1390">
        <v>0</v>
      </c>
      <c r="AB1390" t="s">
        <v>324</v>
      </c>
      <c r="AF1390" t="s">
        <v>2051</v>
      </c>
      <c r="AG1390" t="s">
        <v>2051</v>
      </c>
      <c r="AH1390" t="s">
        <v>1903</v>
      </c>
      <c r="AI1390">
        <v>99999</v>
      </c>
      <c r="AJ1390">
        <v>99999</v>
      </c>
      <c r="AK1390">
        <v>699</v>
      </c>
      <c r="AL1390" t="b">
        <v>1</v>
      </c>
      <c r="AM1390" t="b">
        <v>1</v>
      </c>
      <c r="AN1390" t="b">
        <v>0</v>
      </c>
      <c r="AO1390">
        <v>99999</v>
      </c>
      <c r="AP1390" t="s">
        <v>64</v>
      </c>
      <c r="AR1390" t="b">
        <v>0</v>
      </c>
      <c r="AS1390">
        <v>12</v>
      </c>
      <c r="AT1390" t="s">
        <v>327</v>
      </c>
      <c r="AV1390" t="s">
        <v>2059</v>
      </c>
    </row>
    <row r="1391" spans="1:48" x14ac:dyDescent="0.25">
      <c r="A1391" t="s">
        <v>3323</v>
      </c>
      <c r="B1391" t="s">
        <v>302</v>
      </c>
      <c r="C1391" t="s">
        <v>62</v>
      </c>
      <c r="D1391">
        <v>99999</v>
      </c>
      <c r="F1391" s="109">
        <v>20000</v>
      </c>
      <c r="G1391" t="b">
        <v>0</v>
      </c>
      <c r="H1391" t="s">
        <v>341</v>
      </c>
      <c r="K1391" t="s">
        <v>61</v>
      </c>
      <c r="L1391" t="s">
        <v>303</v>
      </c>
      <c r="M1391" t="s">
        <v>323</v>
      </c>
      <c r="N1391" t="s">
        <v>63</v>
      </c>
      <c r="O1391" s="110">
        <v>39.9</v>
      </c>
      <c r="R1391" s="110">
        <v>340.58999999999992</v>
      </c>
      <c r="S1391" s="110">
        <v>130</v>
      </c>
      <c r="T1391" s="110">
        <v>0</v>
      </c>
      <c r="U1391" s="110">
        <v>34.99</v>
      </c>
      <c r="X1391">
        <v>130.69999999999996</v>
      </c>
      <c r="Y1391">
        <v>44.9</v>
      </c>
      <c r="Z1391">
        <v>44.9</v>
      </c>
      <c r="AA1391">
        <v>0</v>
      </c>
      <c r="AB1391" t="s">
        <v>324</v>
      </c>
      <c r="AF1391" t="s">
        <v>1970</v>
      </c>
      <c r="AG1391" t="s">
        <v>1970</v>
      </c>
      <c r="AH1391" t="s">
        <v>1903</v>
      </c>
      <c r="AI1391">
        <v>99999</v>
      </c>
      <c r="AJ1391">
        <v>99999</v>
      </c>
      <c r="AK1391">
        <v>699</v>
      </c>
      <c r="AL1391" t="b">
        <v>1</v>
      </c>
      <c r="AM1391" t="b">
        <v>1</v>
      </c>
      <c r="AN1391" t="b">
        <v>0</v>
      </c>
      <c r="AO1391">
        <v>99999</v>
      </c>
      <c r="AP1391" t="s">
        <v>64</v>
      </c>
      <c r="AR1391" t="b">
        <v>0</v>
      </c>
      <c r="AS1391">
        <v>12</v>
      </c>
      <c r="AT1391" t="s">
        <v>327</v>
      </c>
      <c r="AV1391" t="s">
        <v>1978</v>
      </c>
    </row>
    <row r="1392" spans="1:48" x14ac:dyDescent="0.25">
      <c r="A1392" t="s">
        <v>3323</v>
      </c>
      <c r="B1392" t="s">
        <v>302</v>
      </c>
      <c r="C1392" t="s">
        <v>62</v>
      </c>
      <c r="D1392">
        <v>99999</v>
      </c>
      <c r="F1392" s="109">
        <v>20000</v>
      </c>
      <c r="G1392" t="b">
        <v>0</v>
      </c>
      <c r="H1392" t="s">
        <v>341</v>
      </c>
      <c r="K1392" t="s">
        <v>61</v>
      </c>
      <c r="L1392" t="s">
        <v>303</v>
      </c>
      <c r="M1392" t="s">
        <v>323</v>
      </c>
      <c r="N1392" t="s">
        <v>63</v>
      </c>
      <c r="O1392" s="110">
        <v>39.9</v>
      </c>
      <c r="R1392" s="110">
        <v>374.89</v>
      </c>
      <c r="S1392" s="110">
        <v>130</v>
      </c>
      <c r="T1392" s="110">
        <v>0</v>
      </c>
      <c r="U1392" s="110">
        <v>42.99</v>
      </c>
      <c r="X1392">
        <v>156.99999999999997</v>
      </c>
      <c r="Y1392">
        <v>44.9</v>
      </c>
      <c r="Z1392">
        <v>44.9</v>
      </c>
      <c r="AA1392">
        <v>0</v>
      </c>
      <c r="AB1392" t="s">
        <v>324</v>
      </c>
      <c r="AF1392" t="s">
        <v>2118</v>
      </c>
      <c r="AG1392" t="s">
        <v>2118</v>
      </c>
      <c r="AH1392" t="s">
        <v>1903</v>
      </c>
      <c r="AI1392">
        <v>99999</v>
      </c>
      <c r="AJ1392">
        <v>99999</v>
      </c>
      <c r="AK1392">
        <v>699</v>
      </c>
      <c r="AL1392" t="b">
        <v>1</v>
      </c>
      <c r="AM1392" t="b">
        <v>1</v>
      </c>
      <c r="AN1392" t="b">
        <v>0</v>
      </c>
      <c r="AO1392">
        <v>99999</v>
      </c>
      <c r="AP1392" t="s">
        <v>64</v>
      </c>
      <c r="AR1392" t="b">
        <v>0</v>
      </c>
      <c r="AS1392">
        <v>12</v>
      </c>
      <c r="AT1392" t="s">
        <v>327</v>
      </c>
      <c r="AV1392" t="s">
        <v>2126</v>
      </c>
    </row>
    <row r="1393" spans="1:48" x14ac:dyDescent="0.25">
      <c r="A1393" t="s">
        <v>3323</v>
      </c>
      <c r="B1393" t="s">
        <v>302</v>
      </c>
      <c r="C1393" t="s">
        <v>62</v>
      </c>
      <c r="D1393">
        <v>99999</v>
      </c>
      <c r="F1393" s="109">
        <v>20000</v>
      </c>
      <c r="G1393" t="b">
        <v>0</v>
      </c>
      <c r="H1393" t="s">
        <v>341</v>
      </c>
      <c r="K1393" t="s">
        <v>61</v>
      </c>
      <c r="L1393" t="s">
        <v>303</v>
      </c>
      <c r="M1393" t="s">
        <v>323</v>
      </c>
      <c r="N1393" t="s">
        <v>63</v>
      </c>
      <c r="O1393" s="110">
        <v>49.9</v>
      </c>
      <c r="R1393" s="110">
        <v>340.58999999999992</v>
      </c>
      <c r="S1393" s="110">
        <v>130</v>
      </c>
      <c r="T1393" s="110">
        <v>0</v>
      </c>
      <c r="U1393" s="110">
        <v>34.99</v>
      </c>
      <c r="X1393">
        <v>130.69999999999996</v>
      </c>
      <c r="Y1393">
        <v>44.9</v>
      </c>
      <c r="Z1393">
        <v>44.9</v>
      </c>
      <c r="AA1393">
        <v>0</v>
      </c>
      <c r="AB1393" t="s">
        <v>324</v>
      </c>
      <c r="AF1393" t="s">
        <v>3181</v>
      </c>
      <c r="AG1393" t="s">
        <v>3181</v>
      </c>
      <c r="AH1393" t="s">
        <v>1903</v>
      </c>
      <c r="AI1393">
        <v>99999</v>
      </c>
      <c r="AJ1393">
        <v>99999</v>
      </c>
      <c r="AK1393">
        <v>699</v>
      </c>
      <c r="AL1393" t="b">
        <v>1</v>
      </c>
      <c r="AM1393" t="b">
        <v>1</v>
      </c>
      <c r="AN1393" t="b">
        <v>0</v>
      </c>
      <c r="AO1393">
        <v>99999</v>
      </c>
      <c r="AP1393" t="s">
        <v>64</v>
      </c>
      <c r="AR1393" t="b">
        <v>0</v>
      </c>
      <c r="AS1393">
        <v>12</v>
      </c>
      <c r="AT1393" t="s">
        <v>327</v>
      </c>
      <c r="AV1393" t="s">
        <v>3189</v>
      </c>
    </row>
    <row r="1394" spans="1:48" x14ac:dyDescent="0.25">
      <c r="A1394" t="s">
        <v>3323</v>
      </c>
      <c r="B1394" t="s">
        <v>302</v>
      </c>
      <c r="C1394" t="s">
        <v>62</v>
      </c>
      <c r="D1394">
        <v>99999</v>
      </c>
      <c r="F1394" s="109">
        <v>20000</v>
      </c>
      <c r="G1394" t="b">
        <v>0</v>
      </c>
      <c r="H1394" t="s">
        <v>341</v>
      </c>
      <c r="K1394" t="s">
        <v>61</v>
      </c>
      <c r="L1394" t="s">
        <v>303</v>
      </c>
      <c r="M1394" t="s">
        <v>323</v>
      </c>
      <c r="N1394" t="s">
        <v>63</v>
      </c>
      <c r="O1394" s="110">
        <v>49.9</v>
      </c>
      <c r="R1394" s="110">
        <v>374.89</v>
      </c>
      <c r="S1394" s="110">
        <v>130</v>
      </c>
      <c r="T1394" s="110">
        <v>0</v>
      </c>
      <c r="U1394" s="110">
        <v>42.99</v>
      </c>
      <c r="X1394">
        <v>156.99999999999997</v>
      </c>
      <c r="Y1394">
        <v>44.9</v>
      </c>
      <c r="Z1394">
        <v>44.9</v>
      </c>
      <c r="AA1394">
        <v>0</v>
      </c>
      <c r="AB1394" t="s">
        <v>324</v>
      </c>
      <c r="AF1394" t="s">
        <v>3255</v>
      </c>
      <c r="AG1394" t="s">
        <v>3255</v>
      </c>
      <c r="AH1394" t="s">
        <v>1903</v>
      </c>
      <c r="AI1394">
        <v>99999</v>
      </c>
      <c r="AJ1394">
        <v>99999</v>
      </c>
      <c r="AK1394">
        <v>699</v>
      </c>
      <c r="AL1394" t="b">
        <v>1</v>
      </c>
      <c r="AM1394" t="b">
        <v>1</v>
      </c>
      <c r="AN1394" t="b">
        <v>0</v>
      </c>
      <c r="AO1394">
        <v>99999</v>
      </c>
      <c r="AP1394" t="s">
        <v>64</v>
      </c>
      <c r="AR1394" t="b">
        <v>0</v>
      </c>
      <c r="AS1394">
        <v>12</v>
      </c>
      <c r="AT1394" t="s">
        <v>327</v>
      </c>
      <c r="AV1394" t="s">
        <v>3263</v>
      </c>
    </row>
    <row r="1395" spans="1:48" x14ac:dyDescent="0.25">
      <c r="A1395" t="s">
        <v>3323</v>
      </c>
      <c r="B1395" t="s">
        <v>302</v>
      </c>
      <c r="C1395" t="s">
        <v>62</v>
      </c>
      <c r="D1395">
        <v>99999</v>
      </c>
      <c r="F1395" s="109">
        <v>20000</v>
      </c>
      <c r="G1395" t="b">
        <v>1</v>
      </c>
      <c r="H1395" t="s">
        <v>343</v>
      </c>
      <c r="K1395" t="s">
        <v>349</v>
      </c>
      <c r="L1395" t="s">
        <v>303</v>
      </c>
      <c r="M1395" t="s">
        <v>323</v>
      </c>
      <c r="N1395" t="s">
        <v>63</v>
      </c>
      <c r="O1395" s="110">
        <v>29.9</v>
      </c>
      <c r="R1395" s="110">
        <v>375.58999999999992</v>
      </c>
      <c r="S1395" s="110">
        <v>130</v>
      </c>
      <c r="T1395" s="110">
        <v>0</v>
      </c>
      <c r="U1395" s="110">
        <v>34.99</v>
      </c>
      <c r="X1395">
        <v>165.69999999999993</v>
      </c>
      <c r="Y1395">
        <v>44.9</v>
      </c>
      <c r="Z1395">
        <v>44.9</v>
      </c>
      <c r="AA1395">
        <v>0</v>
      </c>
      <c r="AB1395" t="s">
        <v>324</v>
      </c>
      <c r="AF1395" t="s">
        <v>1902</v>
      </c>
      <c r="AG1395" t="s">
        <v>1902</v>
      </c>
      <c r="AH1395" t="s">
        <v>1903</v>
      </c>
      <c r="AI1395">
        <v>99999</v>
      </c>
      <c r="AJ1395">
        <v>99999</v>
      </c>
      <c r="AK1395">
        <v>699</v>
      </c>
      <c r="AL1395" t="b">
        <v>1</v>
      </c>
      <c r="AM1395" t="b">
        <v>1</v>
      </c>
      <c r="AN1395" t="b">
        <v>1</v>
      </c>
      <c r="AO1395">
        <v>99999</v>
      </c>
      <c r="AP1395" t="s">
        <v>64</v>
      </c>
      <c r="AR1395" t="b">
        <v>0</v>
      </c>
      <c r="AS1395">
        <v>12</v>
      </c>
      <c r="AT1395" t="s">
        <v>327</v>
      </c>
      <c r="AV1395" t="s">
        <v>1929</v>
      </c>
    </row>
    <row r="1396" spans="1:48" x14ac:dyDescent="0.25">
      <c r="A1396" t="s">
        <v>3323</v>
      </c>
      <c r="B1396" t="s">
        <v>302</v>
      </c>
      <c r="C1396" t="s">
        <v>62</v>
      </c>
      <c r="D1396">
        <v>99999</v>
      </c>
      <c r="F1396" s="109">
        <v>20000</v>
      </c>
      <c r="G1396" t="b">
        <v>1</v>
      </c>
      <c r="H1396" t="s">
        <v>343</v>
      </c>
      <c r="K1396" t="s">
        <v>349</v>
      </c>
      <c r="L1396" t="s">
        <v>303</v>
      </c>
      <c r="M1396" t="s">
        <v>323</v>
      </c>
      <c r="N1396" t="s">
        <v>63</v>
      </c>
      <c r="O1396" s="110">
        <v>29.9</v>
      </c>
      <c r="R1396" s="110">
        <v>409.88999999999993</v>
      </c>
      <c r="S1396" s="110">
        <v>130</v>
      </c>
      <c r="T1396" s="110">
        <v>0</v>
      </c>
      <c r="U1396" s="110">
        <v>42.99</v>
      </c>
      <c r="X1396">
        <v>191.99999999999994</v>
      </c>
      <c r="Y1396">
        <v>44.9</v>
      </c>
      <c r="Z1396">
        <v>44.9</v>
      </c>
      <c r="AA1396">
        <v>0</v>
      </c>
      <c r="AB1396" t="s">
        <v>324</v>
      </c>
      <c r="AF1396" t="s">
        <v>2051</v>
      </c>
      <c r="AG1396" t="s">
        <v>2051</v>
      </c>
      <c r="AH1396" t="s">
        <v>1903</v>
      </c>
      <c r="AI1396">
        <v>99999</v>
      </c>
      <c r="AJ1396">
        <v>99999</v>
      </c>
      <c r="AK1396">
        <v>699</v>
      </c>
      <c r="AL1396" t="b">
        <v>1</v>
      </c>
      <c r="AM1396" t="b">
        <v>1</v>
      </c>
      <c r="AN1396" t="b">
        <v>1</v>
      </c>
      <c r="AO1396">
        <v>99999</v>
      </c>
      <c r="AP1396" t="s">
        <v>64</v>
      </c>
      <c r="AR1396" t="b">
        <v>0</v>
      </c>
      <c r="AS1396">
        <v>12</v>
      </c>
      <c r="AT1396" t="s">
        <v>327</v>
      </c>
      <c r="AV1396" t="s">
        <v>2077</v>
      </c>
    </row>
    <row r="1397" spans="1:48" x14ac:dyDescent="0.25">
      <c r="A1397" t="s">
        <v>3323</v>
      </c>
      <c r="B1397" t="s">
        <v>302</v>
      </c>
      <c r="C1397" t="s">
        <v>62</v>
      </c>
      <c r="D1397">
        <v>99999</v>
      </c>
      <c r="F1397" s="109">
        <v>20000</v>
      </c>
      <c r="G1397" t="b">
        <v>1</v>
      </c>
      <c r="H1397" t="s">
        <v>343</v>
      </c>
      <c r="K1397" t="s">
        <v>349</v>
      </c>
      <c r="L1397" t="s">
        <v>303</v>
      </c>
      <c r="M1397" t="s">
        <v>323</v>
      </c>
      <c r="N1397" t="s">
        <v>63</v>
      </c>
      <c r="O1397" s="110">
        <v>39.9</v>
      </c>
      <c r="R1397" s="110">
        <v>375.58999999999992</v>
      </c>
      <c r="S1397" s="110">
        <v>130</v>
      </c>
      <c r="T1397" s="110">
        <v>0</v>
      </c>
      <c r="U1397" s="110">
        <v>34.99</v>
      </c>
      <c r="X1397">
        <v>165.69999999999993</v>
      </c>
      <c r="Y1397">
        <v>44.9</v>
      </c>
      <c r="Z1397">
        <v>44.9</v>
      </c>
      <c r="AA1397">
        <v>0</v>
      </c>
      <c r="AB1397" t="s">
        <v>324</v>
      </c>
      <c r="AF1397" t="s">
        <v>1970</v>
      </c>
      <c r="AG1397" t="s">
        <v>1970</v>
      </c>
      <c r="AH1397" t="s">
        <v>1903</v>
      </c>
      <c r="AI1397">
        <v>99999</v>
      </c>
      <c r="AJ1397">
        <v>99999</v>
      </c>
      <c r="AK1397">
        <v>699</v>
      </c>
      <c r="AL1397" t="b">
        <v>1</v>
      </c>
      <c r="AM1397" t="b">
        <v>1</v>
      </c>
      <c r="AN1397" t="b">
        <v>1</v>
      </c>
      <c r="AO1397">
        <v>99999</v>
      </c>
      <c r="AP1397" t="s">
        <v>64</v>
      </c>
      <c r="AR1397" t="b">
        <v>0</v>
      </c>
      <c r="AS1397">
        <v>12</v>
      </c>
      <c r="AT1397" t="s">
        <v>327</v>
      </c>
      <c r="AV1397" t="s">
        <v>1996</v>
      </c>
    </row>
    <row r="1398" spans="1:48" x14ac:dyDescent="0.25">
      <c r="A1398" t="s">
        <v>3323</v>
      </c>
      <c r="B1398" t="s">
        <v>302</v>
      </c>
      <c r="C1398" t="s">
        <v>62</v>
      </c>
      <c r="D1398">
        <v>99999</v>
      </c>
      <c r="F1398" s="109">
        <v>20000</v>
      </c>
      <c r="G1398" t="b">
        <v>1</v>
      </c>
      <c r="H1398" t="s">
        <v>343</v>
      </c>
      <c r="K1398" t="s">
        <v>349</v>
      </c>
      <c r="L1398" t="s">
        <v>303</v>
      </c>
      <c r="M1398" t="s">
        <v>323</v>
      </c>
      <c r="N1398" t="s">
        <v>63</v>
      </c>
      <c r="O1398" s="110">
        <v>39.9</v>
      </c>
      <c r="R1398" s="110">
        <v>409.88999999999993</v>
      </c>
      <c r="S1398" s="110">
        <v>130</v>
      </c>
      <c r="T1398" s="110">
        <v>0</v>
      </c>
      <c r="U1398" s="110">
        <v>42.99</v>
      </c>
      <c r="X1398">
        <v>191.99999999999994</v>
      </c>
      <c r="Y1398">
        <v>44.9</v>
      </c>
      <c r="Z1398">
        <v>44.9</v>
      </c>
      <c r="AA1398">
        <v>0</v>
      </c>
      <c r="AB1398" t="s">
        <v>324</v>
      </c>
      <c r="AF1398" t="s">
        <v>2118</v>
      </c>
      <c r="AG1398" t="s">
        <v>2118</v>
      </c>
      <c r="AH1398" t="s">
        <v>1903</v>
      </c>
      <c r="AI1398">
        <v>99999</v>
      </c>
      <c r="AJ1398">
        <v>99999</v>
      </c>
      <c r="AK1398">
        <v>699</v>
      </c>
      <c r="AL1398" t="b">
        <v>1</v>
      </c>
      <c r="AM1398" t="b">
        <v>1</v>
      </c>
      <c r="AN1398" t="b">
        <v>1</v>
      </c>
      <c r="AO1398">
        <v>99999</v>
      </c>
      <c r="AP1398" t="s">
        <v>64</v>
      </c>
      <c r="AR1398" t="b">
        <v>0</v>
      </c>
      <c r="AS1398">
        <v>12</v>
      </c>
      <c r="AT1398" t="s">
        <v>327</v>
      </c>
      <c r="AV1398" t="s">
        <v>2144</v>
      </c>
    </row>
    <row r="1399" spans="1:48" x14ac:dyDescent="0.25">
      <c r="A1399" t="s">
        <v>3323</v>
      </c>
      <c r="B1399" t="s">
        <v>302</v>
      </c>
      <c r="C1399" t="s">
        <v>62</v>
      </c>
      <c r="D1399">
        <v>99999</v>
      </c>
      <c r="F1399" s="109">
        <v>20000</v>
      </c>
      <c r="G1399" t="b">
        <v>1</v>
      </c>
      <c r="H1399" t="s">
        <v>343</v>
      </c>
      <c r="K1399" t="s">
        <v>349</v>
      </c>
      <c r="L1399" t="s">
        <v>303</v>
      </c>
      <c r="M1399" t="s">
        <v>323</v>
      </c>
      <c r="N1399" t="s">
        <v>63</v>
      </c>
      <c r="O1399" s="110">
        <v>49.9</v>
      </c>
      <c r="R1399" s="110">
        <v>375.58999999999992</v>
      </c>
      <c r="S1399" s="110">
        <v>130</v>
      </c>
      <c r="T1399" s="110">
        <v>0</v>
      </c>
      <c r="U1399" s="110">
        <v>34.99</v>
      </c>
      <c r="X1399">
        <v>165.69999999999993</v>
      </c>
      <c r="Y1399">
        <v>44.9</v>
      </c>
      <c r="Z1399">
        <v>44.9</v>
      </c>
      <c r="AA1399">
        <v>0</v>
      </c>
      <c r="AB1399" t="s">
        <v>324</v>
      </c>
      <c r="AF1399" t="s">
        <v>3181</v>
      </c>
      <c r="AG1399" t="s">
        <v>3181</v>
      </c>
      <c r="AH1399" t="s">
        <v>1903</v>
      </c>
      <c r="AI1399">
        <v>99999</v>
      </c>
      <c r="AJ1399">
        <v>99999</v>
      </c>
      <c r="AK1399">
        <v>699</v>
      </c>
      <c r="AL1399" t="b">
        <v>1</v>
      </c>
      <c r="AM1399" t="b">
        <v>1</v>
      </c>
      <c r="AN1399" t="b">
        <v>1</v>
      </c>
      <c r="AO1399">
        <v>99999</v>
      </c>
      <c r="AP1399" t="s">
        <v>64</v>
      </c>
      <c r="AR1399" t="b">
        <v>0</v>
      </c>
      <c r="AS1399">
        <v>12</v>
      </c>
      <c r="AT1399" t="s">
        <v>327</v>
      </c>
      <c r="AV1399" t="s">
        <v>3207</v>
      </c>
    </row>
    <row r="1400" spans="1:48" x14ac:dyDescent="0.25">
      <c r="A1400" t="s">
        <v>3323</v>
      </c>
      <c r="B1400" t="s">
        <v>302</v>
      </c>
      <c r="C1400" t="s">
        <v>62</v>
      </c>
      <c r="D1400">
        <v>99999</v>
      </c>
      <c r="F1400" s="109">
        <v>20000</v>
      </c>
      <c r="G1400" t="b">
        <v>1</v>
      </c>
      <c r="H1400" t="s">
        <v>343</v>
      </c>
      <c r="K1400" t="s">
        <v>349</v>
      </c>
      <c r="L1400" t="s">
        <v>303</v>
      </c>
      <c r="M1400" t="s">
        <v>323</v>
      </c>
      <c r="N1400" t="s">
        <v>63</v>
      </c>
      <c r="O1400" s="110">
        <v>49.9</v>
      </c>
      <c r="R1400" s="110">
        <v>409.88999999999993</v>
      </c>
      <c r="S1400" s="110">
        <v>130</v>
      </c>
      <c r="T1400" s="110">
        <v>0</v>
      </c>
      <c r="U1400" s="110">
        <v>42.99</v>
      </c>
      <c r="X1400">
        <v>191.99999999999994</v>
      </c>
      <c r="Y1400">
        <v>44.9</v>
      </c>
      <c r="Z1400">
        <v>44.9</v>
      </c>
      <c r="AA1400">
        <v>0</v>
      </c>
      <c r="AB1400" t="s">
        <v>324</v>
      </c>
      <c r="AF1400" t="s">
        <v>3255</v>
      </c>
      <c r="AG1400" t="s">
        <v>3255</v>
      </c>
      <c r="AH1400" t="s">
        <v>1903</v>
      </c>
      <c r="AI1400">
        <v>99999</v>
      </c>
      <c r="AJ1400">
        <v>99999</v>
      </c>
      <c r="AK1400">
        <v>699</v>
      </c>
      <c r="AL1400" t="b">
        <v>1</v>
      </c>
      <c r="AM1400" t="b">
        <v>1</v>
      </c>
      <c r="AN1400" t="b">
        <v>1</v>
      </c>
      <c r="AO1400">
        <v>99999</v>
      </c>
      <c r="AP1400" t="s">
        <v>64</v>
      </c>
      <c r="AR1400" t="b">
        <v>0</v>
      </c>
      <c r="AS1400">
        <v>12</v>
      </c>
      <c r="AT1400" t="s">
        <v>327</v>
      </c>
      <c r="AV1400" t="s">
        <v>3281</v>
      </c>
    </row>
    <row r="1401" spans="1:48" x14ac:dyDescent="0.25">
      <c r="A1401" t="s">
        <v>3323</v>
      </c>
      <c r="B1401" t="s">
        <v>302</v>
      </c>
      <c r="C1401" t="s">
        <v>62</v>
      </c>
      <c r="D1401">
        <v>99999</v>
      </c>
      <c r="F1401" s="109">
        <v>20000</v>
      </c>
      <c r="G1401" t="b">
        <v>1</v>
      </c>
      <c r="H1401" t="s">
        <v>343</v>
      </c>
      <c r="K1401" t="s">
        <v>393</v>
      </c>
      <c r="L1401" t="s">
        <v>303</v>
      </c>
      <c r="M1401" t="s">
        <v>323</v>
      </c>
      <c r="N1401" t="s">
        <v>63</v>
      </c>
      <c r="O1401" s="110">
        <v>29.9</v>
      </c>
      <c r="R1401" s="110">
        <v>400.58999999999992</v>
      </c>
      <c r="S1401" s="110">
        <v>130</v>
      </c>
      <c r="T1401" s="110">
        <v>0</v>
      </c>
      <c r="U1401" s="110">
        <v>34.99</v>
      </c>
      <c r="X1401">
        <v>165.69999999999993</v>
      </c>
      <c r="Y1401">
        <v>69.900000000000006</v>
      </c>
      <c r="Z1401">
        <v>69.900000000000006</v>
      </c>
      <c r="AA1401">
        <v>0</v>
      </c>
      <c r="AB1401" t="s">
        <v>363</v>
      </c>
      <c r="AF1401" t="s">
        <v>1930</v>
      </c>
      <c r="AG1401" t="s">
        <v>1930</v>
      </c>
      <c r="AH1401" t="s">
        <v>1903</v>
      </c>
      <c r="AI1401">
        <v>99999</v>
      </c>
      <c r="AJ1401">
        <v>99999</v>
      </c>
      <c r="AK1401">
        <v>699</v>
      </c>
      <c r="AL1401" t="b">
        <v>1</v>
      </c>
      <c r="AM1401" t="b">
        <v>1</v>
      </c>
      <c r="AN1401" t="b">
        <v>1</v>
      </c>
      <c r="AO1401">
        <v>99999</v>
      </c>
      <c r="AP1401" t="s">
        <v>64</v>
      </c>
      <c r="AR1401" t="b">
        <v>0</v>
      </c>
      <c r="AS1401">
        <v>12</v>
      </c>
      <c r="AT1401" t="s">
        <v>327</v>
      </c>
      <c r="AV1401" t="s">
        <v>1969</v>
      </c>
    </row>
    <row r="1402" spans="1:48" x14ac:dyDescent="0.25">
      <c r="A1402" t="s">
        <v>3323</v>
      </c>
      <c r="B1402" t="s">
        <v>302</v>
      </c>
      <c r="C1402" t="s">
        <v>62</v>
      </c>
      <c r="D1402">
        <v>99999</v>
      </c>
      <c r="F1402" s="109">
        <v>20000</v>
      </c>
      <c r="G1402" t="b">
        <v>1</v>
      </c>
      <c r="H1402" t="s">
        <v>343</v>
      </c>
      <c r="K1402" t="s">
        <v>393</v>
      </c>
      <c r="L1402" t="s">
        <v>303</v>
      </c>
      <c r="M1402" t="s">
        <v>323</v>
      </c>
      <c r="N1402" t="s">
        <v>63</v>
      </c>
      <c r="O1402" s="110">
        <v>29.9</v>
      </c>
      <c r="R1402" s="110">
        <v>434.89</v>
      </c>
      <c r="S1402" s="110">
        <v>130</v>
      </c>
      <c r="T1402" s="110">
        <v>0</v>
      </c>
      <c r="U1402" s="110">
        <v>42.99</v>
      </c>
      <c r="X1402">
        <v>191.99999999999994</v>
      </c>
      <c r="Y1402">
        <v>69.900000000000006</v>
      </c>
      <c r="Z1402">
        <v>69.900000000000006</v>
      </c>
      <c r="AA1402">
        <v>0</v>
      </c>
      <c r="AB1402" t="s">
        <v>363</v>
      </c>
      <c r="AF1402" t="s">
        <v>2078</v>
      </c>
      <c r="AG1402" t="s">
        <v>2078</v>
      </c>
      <c r="AH1402" t="s">
        <v>1903</v>
      </c>
      <c r="AI1402">
        <v>99999</v>
      </c>
      <c r="AJ1402">
        <v>99999</v>
      </c>
      <c r="AK1402">
        <v>699</v>
      </c>
      <c r="AL1402" t="b">
        <v>1</v>
      </c>
      <c r="AM1402" t="b">
        <v>1</v>
      </c>
      <c r="AN1402" t="b">
        <v>1</v>
      </c>
      <c r="AO1402">
        <v>99999</v>
      </c>
      <c r="AP1402" t="s">
        <v>64</v>
      </c>
      <c r="AR1402" t="b">
        <v>0</v>
      </c>
      <c r="AS1402">
        <v>12</v>
      </c>
      <c r="AT1402" t="s">
        <v>327</v>
      </c>
      <c r="AV1402" t="s">
        <v>2117</v>
      </c>
    </row>
    <row r="1403" spans="1:48" x14ac:dyDescent="0.25">
      <c r="A1403" t="s">
        <v>3323</v>
      </c>
      <c r="B1403" t="s">
        <v>302</v>
      </c>
      <c r="C1403" t="s">
        <v>62</v>
      </c>
      <c r="D1403">
        <v>99999</v>
      </c>
      <c r="F1403" s="109">
        <v>20000</v>
      </c>
      <c r="G1403" t="b">
        <v>1</v>
      </c>
      <c r="H1403" t="s">
        <v>343</v>
      </c>
      <c r="K1403" t="s">
        <v>393</v>
      </c>
      <c r="L1403" t="s">
        <v>303</v>
      </c>
      <c r="M1403" t="s">
        <v>323</v>
      </c>
      <c r="N1403" t="s">
        <v>63</v>
      </c>
      <c r="O1403" s="110">
        <v>39.9</v>
      </c>
      <c r="R1403" s="110">
        <v>400.58999999999992</v>
      </c>
      <c r="S1403" s="110">
        <v>130</v>
      </c>
      <c r="T1403" s="110">
        <v>0</v>
      </c>
      <c r="U1403" s="110">
        <v>34.99</v>
      </c>
      <c r="X1403">
        <v>165.69999999999993</v>
      </c>
      <c r="Y1403">
        <v>69.900000000000006</v>
      </c>
      <c r="Z1403">
        <v>69.900000000000006</v>
      </c>
      <c r="AA1403">
        <v>0</v>
      </c>
      <c r="AB1403" t="s">
        <v>363</v>
      </c>
      <c r="AF1403" t="s">
        <v>1997</v>
      </c>
      <c r="AG1403" t="s">
        <v>1997</v>
      </c>
      <c r="AH1403" t="s">
        <v>1903</v>
      </c>
      <c r="AI1403">
        <v>99999</v>
      </c>
      <c r="AJ1403">
        <v>99999</v>
      </c>
      <c r="AK1403">
        <v>699</v>
      </c>
      <c r="AL1403" t="b">
        <v>1</v>
      </c>
      <c r="AM1403" t="b">
        <v>1</v>
      </c>
      <c r="AN1403" t="b">
        <v>1</v>
      </c>
      <c r="AO1403">
        <v>99999</v>
      </c>
      <c r="AP1403" t="s">
        <v>64</v>
      </c>
      <c r="AR1403" t="b">
        <v>0</v>
      </c>
      <c r="AS1403">
        <v>12</v>
      </c>
      <c r="AT1403" t="s">
        <v>327</v>
      </c>
      <c r="AV1403" t="s">
        <v>2036</v>
      </c>
    </row>
    <row r="1404" spans="1:48" x14ac:dyDescent="0.25">
      <c r="A1404" t="s">
        <v>3323</v>
      </c>
      <c r="B1404" t="s">
        <v>302</v>
      </c>
      <c r="C1404" t="s">
        <v>62</v>
      </c>
      <c r="D1404">
        <v>99999</v>
      </c>
      <c r="F1404" s="109">
        <v>20000</v>
      </c>
      <c r="G1404" t="b">
        <v>1</v>
      </c>
      <c r="H1404" t="s">
        <v>343</v>
      </c>
      <c r="K1404" t="s">
        <v>393</v>
      </c>
      <c r="L1404" t="s">
        <v>303</v>
      </c>
      <c r="M1404" t="s">
        <v>323</v>
      </c>
      <c r="N1404" t="s">
        <v>63</v>
      </c>
      <c r="O1404" s="110">
        <v>39.9</v>
      </c>
      <c r="R1404" s="110">
        <v>434.89</v>
      </c>
      <c r="S1404" s="110">
        <v>130</v>
      </c>
      <c r="T1404" s="110">
        <v>0</v>
      </c>
      <c r="U1404" s="110">
        <v>42.99</v>
      </c>
      <c r="X1404">
        <v>191.99999999999994</v>
      </c>
      <c r="Y1404">
        <v>69.900000000000006</v>
      </c>
      <c r="Z1404">
        <v>69.900000000000006</v>
      </c>
      <c r="AA1404">
        <v>0</v>
      </c>
      <c r="AB1404" t="s">
        <v>363</v>
      </c>
      <c r="AF1404" t="s">
        <v>2145</v>
      </c>
      <c r="AG1404" t="s">
        <v>2145</v>
      </c>
      <c r="AH1404" t="s">
        <v>1903</v>
      </c>
      <c r="AI1404">
        <v>99999</v>
      </c>
      <c r="AJ1404">
        <v>99999</v>
      </c>
      <c r="AK1404">
        <v>699</v>
      </c>
      <c r="AL1404" t="b">
        <v>1</v>
      </c>
      <c r="AM1404" t="b">
        <v>1</v>
      </c>
      <c r="AN1404" t="b">
        <v>1</v>
      </c>
      <c r="AO1404">
        <v>99999</v>
      </c>
      <c r="AP1404" t="s">
        <v>64</v>
      </c>
      <c r="AR1404" t="b">
        <v>0</v>
      </c>
      <c r="AS1404">
        <v>12</v>
      </c>
      <c r="AT1404" t="s">
        <v>327</v>
      </c>
      <c r="AV1404" t="s">
        <v>2184</v>
      </c>
    </row>
    <row r="1405" spans="1:48" x14ac:dyDescent="0.25">
      <c r="A1405" t="s">
        <v>3323</v>
      </c>
      <c r="B1405" t="s">
        <v>302</v>
      </c>
      <c r="C1405" t="s">
        <v>62</v>
      </c>
      <c r="D1405">
        <v>99999</v>
      </c>
      <c r="F1405" s="109">
        <v>20000</v>
      </c>
      <c r="G1405" t="b">
        <v>1</v>
      </c>
      <c r="H1405" t="s">
        <v>343</v>
      </c>
      <c r="K1405" t="s">
        <v>393</v>
      </c>
      <c r="L1405" t="s">
        <v>303</v>
      </c>
      <c r="M1405" t="s">
        <v>323</v>
      </c>
      <c r="N1405" t="s">
        <v>63</v>
      </c>
      <c r="O1405" s="110">
        <v>49.9</v>
      </c>
      <c r="R1405" s="110">
        <v>400.58999999999992</v>
      </c>
      <c r="S1405" s="110">
        <v>130</v>
      </c>
      <c r="T1405" s="110">
        <v>0</v>
      </c>
      <c r="U1405" s="110">
        <v>34.99</v>
      </c>
      <c r="X1405">
        <v>165.69999999999993</v>
      </c>
      <c r="Y1405">
        <v>69.900000000000006</v>
      </c>
      <c r="Z1405">
        <v>69.900000000000006</v>
      </c>
      <c r="AA1405">
        <v>0</v>
      </c>
      <c r="AB1405" t="s">
        <v>363</v>
      </c>
      <c r="AF1405" t="s">
        <v>3208</v>
      </c>
      <c r="AG1405" t="s">
        <v>3208</v>
      </c>
      <c r="AH1405" t="s">
        <v>1903</v>
      </c>
      <c r="AI1405">
        <v>99999</v>
      </c>
      <c r="AJ1405">
        <v>99999</v>
      </c>
      <c r="AK1405">
        <v>699</v>
      </c>
      <c r="AL1405" t="b">
        <v>1</v>
      </c>
      <c r="AM1405" t="b">
        <v>1</v>
      </c>
      <c r="AN1405" t="b">
        <v>1</v>
      </c>
      <c r="AO1405">
        <v>99999</v>
      </c>
      <c r="AP1405" t="s">
        <v>64</v>
      </c>
      <c r="AR1405" t="b">
        <v>0</v>
      </c>
      <c r="AS1405">
        <v>12</v>
      </c>
      <c r="AT1405" t="s">
        <v>327</v>
      </c>
      <c r="AV1405" t="s">
        <v>3247</v>
      </c>
    </row>
    <row r="1406" spans="1:48" x14ac:dyDescent="0.25">
      <c r="A1406" t="s">
        <v>3323</v>
      </c>
      <c r="B1406" t="s">
        <v>302</v>
      </c>
      <c r="C1406" t="s">
        <v>62</v>
      </c>
      <c r="D1406">
        <v>99999</v>
      </c>
      <c r="F1406" s="109">
        <v>20000</v>
      </c>
      <c r="G1406" t="b">
        <v>1</v>
      </c>
      <c r="H1406" t="s">
        <v>343</v>
      </c>
      <c r="K1406" t="s">
        <v>393</v>
      </c>
      <c r="L1406" t="s">
        <v>303</v>
      </c>
      <c r="M1406" t="s">
        <v>323</v>
      </c>
      <c r="N1406" t="s">
        <v>63</v>
      </c>
      <c r="O1406" s="110">
        <v>49.9</v>
      </c>
      <c r="R1406" s="110">
        <v>434.89</v>
      </c>
      <c r="S1406" s="110">
        <v>130</v>
      </c>
      <c r="T1406" s="110">
        <v>0</v>
      </c>
      <c r="U1406" s="110">
        <v>42.99</v>
      </c>
      <c r="X1406">
        <v>191.99999999999994</v>
      </c>
      <c r="Y1406">
        <v>69.900000000000006</v>
      </c>
      <c r="Z1406">
        <v>69.900000000000006</v>
      </c>
      <c r="AA1406">
        <v>0</v>
      </c>
      <c r="AB1406" t="s">
        <v>363</v>
      </c>
      <c r="AF1406" t="s">
        <v>3282</v>
      </c>
      <c r="AG1406" t="s">
        <v>3282</v>
      </c>
      <c r="AH1406" t="s">
        <v>1903</v>
      </c>
      <c r="AI1406">
        <v>99999</v>
      </c>
      <c r="AJ1406">
        <v>99999</v>
      </c>
      <c r="AK1406">
        <v>699</v>
      </c>
      <c r="AL1406" t="b">
        <v>1</v>
      </c>
      <c r="AM1406" t="b">
        <v>1</v>
      </c>
      <c r="AN1406" t="b">
        <v>1</v>
      </c>
      <c r="AO1406">
        <v>99999</v>
      </c>
      <c r="AP1406" t="s">
        <v>64</v>
      </c>
      <c r="AR1406" t="b">
        <v>0</v>
      </c>
      <c r="AS1406">
        <v>12</v>
      </c>
      <c r="AT1406" t="s">
        <v>327</v>
      </c>
      <c r="AV1406" t="s">
        <v>3321</v>
      </c>
    </row>
    <row r="1407" spans="1:48" x14ac:dyDescent="0.25">
      <c r="A1407" t="s">
        <v>3323</v>
      </c>
      <c r="B1407" t="s">
        <v>302</v>
      </c>
      <c r="C1407" t="s">
        <v>62</v>
      </c>
      <c r="D1407">
        <v>99999</v>
      </c>
      <c r="F1407" s="109">
        <v>20000</v>
      </c>
      <c r="G1407" t="b">
        <v>1</v>
      </c>
      <c r="H1407" t="s">
        <v>343</v>
      </c>
      <c r="K1407" t="s">
        <v>364</v>
      </c>
      <c r="L1407" t="s">
        <v>303</v>
      </c>
      <c r="M1407" t="s">
        <v>323</v>
      </c>
      <c r="N1407" t="s">
        <v>63</v>
      </c>
      <c r="O1407" s="110">
        <v>29.9</v>
      </c>
      <c r="R1407" s="110">
        <v>380.58999999999992</v>
      </c>
      <c r="S1407" s="110">
        <v>130</v>
      </c>
      <c r="T1407" s="110">
        <v>0</v>
      </c>
      <c r="U1407" s="110">
        <v>34.99</v>
      </c>
      <c r="X1407">
        <v>165.69999999999993</v>
      </c>
      <c r="Y1407">
        <v>49.9</v>
      </c>
      <c r="Z1407">
        <v>49.9</v>
      </c>
      <c r="AA1407">
        <v>0</v>
      </c>
      <c r="AB1407" t="s">
        <v>363</v>
      </c>
      <c r="AF1407" t="s">
        <v>1930</v>
      </c>
      <c r="AG1407" t="s">
        <v>1930</v>
      </c>
      <c r="AH1407" t="s">
        <v>1903</v>
      </c>
      <c r="AI1407">
        <v>99999</v>
      </c>
      <c r="AJ1407">
        <v>99999</v>
      </c>
      <c r="AK1407">
        <v>699</v>
      </c>
      <c r="AL1407" t="b">
        <v>1</v>
      </c>
      <c r="AM1407" t="b">
        <v>1</v>
      </c>
      <c r="AN1407" t="b">
        <v>1</v>
      </c>
      <c r="AO1407">
        <v>99999</v>
      </c>
      <c r="AP1407" t="s">
        <v>64</v>
      </c>
      <c r="AR1407" t="b">
        <v>0</v>
      </c>
      <c r="AS1407">
        <v>12</v>
      </c>
      <c r="AT1407" t="s">
        <v>327</v>
      </c>
      <c r="AV1407" t="s">
        <v>1943</v>
      </c>
    </row>
    <row r="1408" spans="1:48" x14ac:dyDescent="0.25">
      <c r="A1408" t="s">
        <v>3323</v>
      </c>
      <c r="B1408" t="s">
        <v>302</v>
      </c>
      <c r="C1408" t="s">
        <v>62</v>
      </c>
      <c r="D1408">
        <v>99999</v>
      </c>
      <c r="F1408" s="109">
        <v>20000</v>
      </c>
      <c r="G1408" t="b">
        <v>1</v>
      </c>
      <c r="H1408" t="s">
        <v>343</v>
      </c>
      <c r="K1408" t="s">
        <v>364</v>
      </c>
      <c r="L1408" t="s">
        <v>303</v>
      </c>
      <c r="M1408" t="s">
        <v>323</v>
      </c>
      <c r="N1408" t="s">
        <v>63</v>
      </c>
      <c r="O1408" s="110">
        <v>29.9</v>
      </c>
      <c r="R1408" s="110">
        <v>414.88999999999993</v>
      </c>
      <c r="S1408" s="110">
        <v>130</v>
      </c>
      <c r="T1408" s="110">
        <v>0</v>
      </c>
      <c r="U1408" s="110">
        <v>42.99</v>
      </c>
      <c r="X1408">
        <v>191.99999999999994</v>
      </c>
      <c r="Y1408">
        <v>49.9</v>
      </c>
      <c r="Z1408">
        <v>49.9</v>
      </c>
      <c r="AA1408">
        <v>0</v>
      </c>
      <c r="AB1408" t="s">
        <v>363</v>
      </c>
      <c r="AF1408" t="s">
        <v>2078</v>
      </c>
      <c r="AG1408" t="s">
        <v>2078</v>
      </c>
      <c r="AH1408" t="s">
        <v>1903</v>
      </c>
      <c r="AI1408">
        <v>99999</v>
      </c>
      <c r="AJ1408">
        <v>99999</v>
      </c>
      <c r="AK1408">
        <v>699</v>
      </c>
      <c r="AL1408" t="b">
        <v>1</v>
      </c>
      <c r="AM1408" t="b">
        <v>1</v>
      </c>
      <c r="AN1408" t="b">
        <v>1</v>
      </c>
      <c r="AO1408">
        <v>99999</v>
      </c>
      <c r="AP1408" t="s">
        <v>64</v>
      </c>
      <c r="AR1408" t="b">
        <v>0</v>
      </c>
      <c r="AS1408">
        <v>12</v>
      </c>
      <c r="AT1408" t="s">
        <v>327</v>
      </c>
      <c r="AV1408" t="s">
        <v>2091</v>
      </c>
    </row>
    <row r="1409" spans="1:48" x14ac:dyDescent="0.25">
      <c r="A1409" t="s">
        <v>3323</v>
      </c>
      <c r="B1409" t="s">
        <v>302</v>
      </c>
      <c r="C1409" t="s">
        <v>62</v>
      </c>
      <c r="D1409">
        <v>99999</v>
      </c>
      <c r="F1409" s="109">
        <v>20000</v>
      </c>
      <c r="G1409" t="b">
        <v>1</v>
      </c>
      <c r="H1409" t="s">
        <v>343</v>
      </c>
      <c r="K1409" t="s">
        <v>364</v>
      </c>
      <c r="L1409" t="s">
        <v>303</v>
      </c>
      <c r="M1409" t="s">
        <v>323</v>
      </c>
      <c r="N1409" t="s">
        <v>63</v>
      </c>
      <c r="O1409" s="110">
        <v>39.9</v>
      </c>
      <c r="R1409" s="110">
        <v>380.58999999999992</v>
      </c>
      <c r="S1409" s="110">
        <v>130</v>
      </c>
      <c r="T1409" s="110">
        <v>0</v>
      </c>
      <c r="U1409" s="110">
        <v>34.99</v>
      </c>
      <c r="X1409">
        <v>165.69999999999993</v>
      </c>
      <c r="Y1409">
        <v>49.9</v>
      </c>
      <c r="Z1409">
        <v>49.9</v>
      </c>
      <c r="AA1409">
        <v>0</v>
      </c>
      <c r="AB1409" t="s">
        <v>363</v>
      </c>
      <c r="AF1409" t="s">
        <v>1997</v>
      </c>
      <c r="AG1409" t="s">
        <v>1997</v>
      </c>
      <c r="AH1409" t="s">
        <v>1903</v>
      </c>
      <c r="AI1409">
        <v>99999</v>
      </c>
      <c r="AJ1409">
        <v>99999</v>
      </c>
      <c r="AK1409">
        <v>699</v>
      </c>
      <c r="AL1409" t="b">
        <v>1</v>
      </c>
      <c r="AM1409" t="b">
        <v>1</v>
      </c>
      <c r="AN1409" t="b">
        <v>1</v>
      </c>
      <c r="AO1409">
        <v>99999</v>
      </c>
      <c r="AP1409" t="s">
        <v>64</v>
      </c>
      <c r="AR1409" t="b">
        <v>0</v>
      </c>
      <c r="AS1409">
        <v>12</v>
      </c>
      <c r="AT1409" t="s">
        <v>327</v>
      </c>
      <c r="AV1409" t="s">
        <v>2010</v>
      </c>
    </row>
    <row r="1410" spans="1:48" x14ac:dyDescent="0.25">
      <c r="A1410" t="s">
        <v>3323</v>
      </c>
      <c r="B1410" t="s">
        <v>302</v>
      </c>
      <c r="C1410" t="s">
        <v>62</v>
      </c>
      <c r="D1410">
        <v>99999</v>
      </c>
      <c r="F1410" s="109">
        <v>20000</v>
      </c>
      <c r="G1410" t="b">
        <v>1</v>
      </c>
      <c r="H1410" t="s">
        <v>343</v>
      </c>
      <c r="K1410" t="s">
        <v>364</v>
      </c>
      <c r="L1410" t="s">
        <v>303</v>
      </c>
      <c r="M1410" t="s">
        <v>323</v>
      </c>
      <c r="N1410" t="s">
        <v>63</v>
      </c>
      <c r="O1410" s="110">
        <v>39.9</v>
      </c>
      <c r="R1410" s="110">
        <v>414.88999999999993</v>
      </c>
      <c r="S1410" s="110">
        <v>130</v>
      </c>
      <c r="T1410" s="110">
        <v>0</v>
      </c>
      <c r="U1410" s="110">
        <v>42.99</v>
      </c>
      <c r="X1410">
        <v>191.99999999999994</v>
      </c>
      <c r="Y1410">
        <v>49.9</v>
      </c>
      <c r="Z1410">
        <v>49.9</v>
      </c>
      <c r="AA1410">
        <v>0</v>
      </c>
      <c r="AB1410" t="s">
        <v>363</v>
      </c>
      <c r="AF1410" t="s">
        <v>2145</v>
      </c>
      <c r="AG1410" t="s">
        <v>2145</v>
      </c>
      <c r="AH1410" t="s">
        <v>1903</v>
      </c>
      <c r="AI1410">
        <v>99999</v>
      </c>
      <c r="AJ1410">
        <v>99999</v>
      </c>
      <c r="AK1410">
        <v>699</v>
      </c>
      <c r="AL1410" t="b">
        <v>1</v>
      </c>
      <c r="AM1410" t="b">
        <v>1</v>
      </c>
      <c r="AN1410" t="b">
        <v>1</v>
      </c>
      <c r="AO1410">
        <v>99999</v>
      </c>
      <c r="AP1410" t="s">
        <v>64</v>
      </c>
      <c r="AR1410" t="b">
        <v>0</v>
      </c>
      <c r="AS1410">
        <v>12</v>
      </c>
      <c r="AT1410" t="s">
        <v>327</v>
      </c>
      <c r="AV1410" t="s">
        <v>2158</v>
      </c>
    </row>
    <row r="1411" spans="1:48" x14ac:dyDescent="0.25">
      <c r="A1411" t="s">
        <v>3323</v>
      </c>
      <c r="B1411" t="s">
        <v>302</v>
      </c>
      <c r="C1411" t="s">
        <v>62</v>
      </c>
      <c r="D1411">
        <v>99999</v>
      </c>
      <c r="F1411" s="109">
        <v>20000</v>
      </c>
      <c r="G1411" t="b">
        <v>1</v>
      </c>
      <c r="H1411" t="s">
        <v>343</v>
      </c>
      <c r="K1411" t="s">
        <v>364</v>
      </c>
      <c r="L1411" t="s">
        <v>303</v>
      </c>
      <c r="M1411" t="s">
        <v>323</v>
      </c>
      <c r="N1411" t="s">
        <v>63</v>
      </c>
      <c r="O1411" s="110">
        <v>49.9</v>
      </c>
      <c r="R1411" s="110">
        <v>380.58999999999992</v>
      </c>
      <c r="S1411" s="110">
        <v>130</v>
      </c>
      <c r="T1411" s="110">
        <v>0</v>
      </c>
      <c r="U1411" s="110">
        <v>34.99</v>
      </c>
      <c r="X1411">
        <v>165.69999999999993</v>
      </c>
      <c r="Y1411">
        <v>49.9</v>
      </c>
      <c r="Z1411">
        <v>49.9</v>
      </c>
      <c r="AA1411">
        <v>0</v>
      </c>
      <c r="AB1411" t="s">
        <v>363</v>
      </c>
      <c r="AF1411" t="s">
        <v>3208</v>
      </c>
      <c r="AG1411" t="s">
        <v>3208</v>
      </c>
      <c r="AH1411" t="s">
        <v>1903</v>
      </c>
      <c r="AI1411">
        <v>99999</v>
      </c>
      <c r="AJ1411">
        <v>99999</v>
      </c>
      <c r="AK1411">
        <v>699</v>
      </c>
      <c r="AL1411" t="b">
        <v>1</v>
      </c>
      <c r="AM1411" t="b">
        <v>1</v>
      </c>
      <c r="AN1411" t="b">
        <v>1</v>
      </c>
      <c r="AO1411">
        <v>99999</v>
      </c>
      <c r="AP1411" t="s">
        <v>64</v>
      </c>
      <c r="AR1411" t="b">
        <v>0</v>
      </c>
      <c r="AS1411">
        <v>12</v>
      </c>
      <c r="AT1411" t="s">
        <v>327</v>
      </c>
      <c r="AV1411" t="s">
        <v>3221</v>
      </c>
    </row>
    <row r="1412" spans="1:48" x14ac:dyDescent="0.25">
      <c r="A1412" t="s">
        <v>3323</v>
      </c>
      <c r="B1412" t="s">
        <v>302</v>
      </c>
      <c r="C1412" t="s">
        <v>62</v>
      </c>
      <c r="D1412">
        <v>99999</v>
      </c>
      <c r="F1412" s="109">
        <v>20000</v>
      </c>
      <c r="G1412" t="b">
        <v>1</v>
      </c>
      <c r="H1412" t="s">
        <v>343</v>
      </c>
      <c r="K1412" t="s">
        <v>364</v>
      </c>
      <c r="L1412" t="s">
        <v>303</v>
      </c>
      <c r="M1412" t="s">
        <v>323</v>
      </c>
      <c r="N1412" t="s">
        <v>63</v>
      </c>
      <c r="O1412" s="110">
        <v>49.9</v>
      </c>
      <c r="R1412" s="110">
        <v>414.88999999999993</v>
      </c>
      <c r="S1412" s="110">
        <v>130</v>
      </c>
      <c r="T1412" s="110">
        <v>0</v>
      </c>
      <c r="U1412" s="110">
        <v>42.99</v>
      </c>
      <c r="X1412">
        <v>191.99999999999994</v>
      </c>
      <c r="Y1412">
        <v>49.9</v>
      </c>
      <c r="Z1412">
        <v>49.9</v>
      </c>
      <c r="AA1412">
        <v>0</v>
      </c>
      <c r="AB1412" t="s">
        <v>363</v>
      </c>
      <c r="AF1412" t="s">
        <v>3282</v>
      </c>
      <c r="AG1412" t="s">
        <v>3282</v>
      </c>
      <c r="AH1412" t="s">
        <v>1903</v>
      </c>
      <c r="AI1412">
        <v>99999</v>
      </c>
      <c r="AJ1412">
        <v>99999</v>
      </c>
      <c r="AK1412">
        <v>699</v>
      </c>
      <c r="AL1412" t="b">
        <v>1</v>
      </c>
      <c r="AM1412" t="b">
        <v>1</v>
      </c>
      <c r="AN1412" t="b">
        <v>1</v>
      </c>
      <c r="AO1412">
        <v>99999</v>
      </c>
      <c r="AP1412" t="s">
        <v>64</v>
      </c>
      <c r="AR1412" t="b">
        <v>0</v>
      </c>
      <c r="AS1412">
        <v>12</v>
      </c>
      <c r="AT1412" t="s">
        <v>327</v>
      </c>
      <c r="AV1412" t="s">
        <v>3295</v>
      </c>
    </row>
    <row r="1413" spans="1:48" x14ac:dyDescent="0.25">
      <c r="A1413" t="s">
        <v>3323</v>
      </c>
      <c r="B1413" t="s">
        <v>302</v>
      </c>
      <c r="C1413" t="s">
        <v>62</v>
      </c>
      <c r="D1413">
        <v>99999</v>
      </c>
      <c r="F1413" s="109">
        <v>20000</v>
      </c>
      <c r="G1413" t="b">
        <v>1</v>
      </c>
      <c r="H1413" t="s">
        <v>343</v>
      </c>
      <c r="K1413" t="s">
        <v>379</v>
      </c>
      <c r="L1413" t="s">
        <v>303</v>
      </c>
      <c r="M1413" t="s">
        <v>323</v>
      </c>
      <c r="N1413" t="s">
        <v>63</v>
      </c>
      <c r="O1413" s="110">
        <v>29.9</v>
      </c>
      <c r="R1413" s="110">
        <v>390.58999999999992</v>
      </c>
      <c r="S1413" s="110">
        <v>130</v>
      </c>
      <c r="T1413" s="110">
        <v>0</v>
      </c>
      <c r="U1413" s="110">
        <v>34.99</v>
      </c>
      <c r="X1413">
        <v>165.69999999999993</v>
      </c>
      <c r="Y1413">
        <v>59.9</v>
      </c>
      <c r="Z1413">
        <v>59.9</v>
      </c>
      <c r="AA1413">
        <v>0</v>
      </c>
      <c r="AB1413" t="s">
        <v>363</v>
      </c>
      <c r="AF1413" t="s">
        <v>1930</v>
      </c>
      <c r="AG1413" t="s">
        <v>1930</v>
      </c>
      <c r="AH1413" t="s">
        <v>1903</v>
      </c>
      <c r="AI1413">
        <v>99999</v>
      </c>
      <c r="AJ1413">
        <v>99999</v>
      </c>
      <c r="AK1413">
        <v>699</v>
      </c>
      <c r="AL1413" t="b">
        <v>1</v>
      </c>
      <c r="AM1413" t="b">
        <v>1</v>
      </c>
      <c r="AN1413" t="b">
        <v>1</v>
      </c>
      <c r="AO1413">
        <v>99999</v>
      </c>
      <c r="AP1413" t="s">
        <v>64</v>
      </c>
      <c r="AR1413" t="b">
        <v>0</v>
      </c>
      <c r="AS1413">
        <v>12</v>
      </c>
      <c r="AT1413" t="s">
        <v>327</v>
      </c>
      <c r="AV1413" t="s">
        <v>1956</v>
      </c>
    </row>
    <row r="1414" spans="1:48" x14ac:dyDescent="0.25">
      <c r="A1414" t="s">
        <v>3323</v>
      </c>
      <c r="B1414" t="s">
        <v>302</v>
      </c>
      <c r="C1414" t="s">
        <v>62</v>
      </c>
      <c r="D1414">
        <v>99999</v>
      </c>
      <c r="F1414" s="109">
        <v>20000</v>
      </c>
      <c r="G1414" t="b">
        <v>1</v>
      </c>
      <c r="H1414" t="s">
        <v>343</v>
      </c>
      <c r="K1414" t="s">
        <v>379</v>
      </c>
      <c r="L1414" t="s">
        <v>303</v>
      </c>
      <c r="M1414" t="s">
        <v>323</v>
      </c>
      <c r="N1414" t="s">
        <v>63</v>
      </c>
      <c r="O1414" s="110">
        <v>29.9</v>
      </c>
      <c r="R1414" s="110">
        <v>424.88999999999993</v>
      </c>
      <c r="S1414" s="110">
        <v>130</v>
      </c>
      <c r="T1414" s="110">
        <v>0</v>
      </c>
      <c r="U1414" s="110">
        <v>42.99</v>
      </c>
      <c r="X1414">
        <v>191.99999999999994</v>
      </c>
      <c r="Y1414">
        <v>59.9</v>
      </c>
      <c r="Z1414">
        <v>59.9</v>
      </c>
      <c r="AA1414">
        <v>0</v>
      </c>
      <c r="AB1414" t="s">
        <v>363</v>
      </c>
      <c r="AF1414" t="s">
        <v>2078</v>
      </c>
      <c r="AG1414" t="s">
        <v>2078</v>
      </c>
      <c r="AH1414" t="s">
        <v>1903</v>
      </c>
      <c r="AI1414">
        <v>99999</v>
      </c>
      <c r="AJ1414">
        <v>99999</v>
      </c>
      <c r="AK1414">
        <v>699</v>
      </c>
      <c r="AL1414" t="b">
        <v>1</v>
      </c>
      <c r="AM1414" t="b">
        <v>1</v>
      </c>
      <c r="AN1414" t="b">
        <v>1</v>
      </c>
      <c r="AO1414">
        <v>99999</v>
      </c>
      <c r="AP1414" t="s">
        <v>64</v>
      </c>
      <c r="AR1414" t="b">
        <v>0</v>
      </c>
      <c r="AS1414">
        <v>12</v>
      </c>
      <c r="AT1414" t="s">
        <v>327</v>
      </c>
      <c r="AV1414" t="s">
        <v>2104</v>
      </c>
    </row>
    <row r="1415" spans="1:48" x14ac:dyDescent="0.25">
      <c r="A1415" t="s">
        <v>3323</v>
      </c>
      <c r="B1415" t="s">
        <v>302</v>
      </c>
      <c r="C1415" t="s">
        <v>62</v>
      </c>
      <c r="D1415">
        <v>99999</v>
      </c>
      <c r="F1415" s="109">
        <v>20000</v>
      </c>
      <c r="G1415" t="b">
        <v>1</v>
      </c>
      <c r="H1415" t="s">
        <v>343</v>
      </c>
      <c r="K1415" t="s">
        <v>379</v>
      </c>
      <c r="L1415" t="s">
        <v>303</v>
      </c>
      <c r="M1415" t="s">
        <v>323</v>
      </c>
      <c r="N1415" t="s">
        <v>63</v>
      </c>
      <c r="O1415" s="110">
        <v>39.9</v>
      </c>
      <c r="R1415" s="110">
        <v>390.58999999999992</v>
      </c>
      <c r="S1415" s="110">
        <v>130</v>
      </c>
      <c r="T1415" s="110">
        <v>0</v>
      </c>
      <c r="U1415" s="110">
        <v>34.99</v>
      </c>
      <c r="X1415">
        <v>165.69999999999993</v>
      </c>
      <c r="Y1415">
        <v>59.9</v>
      </c>
      <c r="Z1415">
        <v>59.9</v>
      </c>
      <c r="AA1415">
        <v>0</v>
      </c>
      <c r="AB1415" t="s">
        <v>363</v>
      </c>
      <c r="AF1415" t="s">
        <v>1997</v>
      </c>
      <c r="AG1415" t="s">
        <v>1997</v>
      </c>
      <c r="AH1415" t="s">
        <v>1903</v>
      </c>
      <c r="AI1415">
        <v>99999</v>
      </c>
      <c r="AJ1415">
        <v>99999</v>
      </c>
      <c r="AK1415">
        <v>699</v>
      </c>
      <c r="AL1415" t="b">
        <v>1</v>
      </c>
      <c r="AM1415" t="b">
        <v>1</v>
      </c>
      <c r="AN1415" t="b">
        <v>1</v>
      </c>
      <c r="AO1415">
        <v>99999</v>
      </c>
      <c r="AP1415" t="s">
        <v>64</v>
      </c>
      <c r="AR1415" t="b">
        <v>0</v>
      </c>
      <c r="AS1415">
        <v>12</v>
      </c>
      <c r="AT1415" t="s">
        <v>327</v>
      </c>
      <c r="AV1415" t="s">
        <v>2023</v>
      </c>
    </row>
    <row r="1416" spans="1:48" x14ac:dyDescent="0.25">
      <c r="A1416" t="s">
        <v>3323</v>
      </c>
      <c r="B1416" t="s">
        <v>302</v>
      </c>
      <c r="C1416" t="s">
        <v>62</v>
      </c>
      <c r="D1416">
        <v>99999</v>
      </c>
      <c r="F1416" s="109">
        <v>20000</v>
      </c>
      <c r="G1416" t="b">
        <v>1</v>
      </c>
      <c r="H1416" t="s">
        <v>343</v>
      </c>
      <c r="K1416" t="s">
        <v>379</v>
      </c>
      <c r="L1416" t="s">
        <v>303</v>
      </c>
      <c r="M1416" t="s">
        <v>323</v>
      </c>
      <c r="N1416" t="s">
        <v>63</v>
      </c>
      <c r="O1416" s="110">
        <v>39.9</v>
      </c>
      <c r="R1416" s="110">
        <v>424.88999999999993</v>
      </c>
      <c r="S1416" s="110">
        <v>130</v>
      </c>
      <c r="T1416" s="110">
        <v>0</v>
      </c>
      <c r="U1416" s="110">
        <v>42.99</v>
      </c>
      <c r="X1416">
        <v>191.99999999999994</v>
      </c>
      <c r="Y1416">
        <v>59.9</v>
      </c>
      <c r="Z1416">
        <v>59.9</v>
      </c>
      <c r="AA1416">
        <v>0</v>
      </c>
      <c r="AB1416" t="s">
        <v>363</v>
      </c>
      <c r="AF1416" t="s">
        <v>2145</v>
      </c>
      <c r="AG1416" t="s">
        <v>2145</v>
      </c>
      <c r="AH1416" t="s">
        <v>1903</v>
      </c>
      <c r="AI1416">
        <v>99999</v>
      </c>
      <c r="AJ1416">
        <v>99999</v>
      </c>
      <c r="AK1416">
        <v>699</v>
      </c>
      <c r="AL1416" t="b">
        <v>1</v>
      </c>
      <c r="AM1416" t="b">
        <v>1</v>
      </c>
      <c r="AN1416" t="b">
        <v>1</v>
      </c>
      <c r="AO1416">
        <v>99999</v>
      </c>
      <c r="AP1416" t="s">
        <v>64</v>
      </c>
      <c r="AR1416" t="b">
        <v>0</v>
      </c>
      <c r="AS1416">
        <v>12</v>
      </c>
      <c r="AT1416" t="s">
        <v>327</v>
      </c>
      <c r="AV1416" t="s">
        <v>2171</v>
      </c>
    </row>
    <row r="1417" spans="1:48" x14ac:dyDescent="0.25">
      <c r="A1417" t="s">
        <v>3323</v>
      </c>
      <c r="B1417" t="s">
        <v>302</v>
      </c>
      <c r="C1417" t="s">
        <v>62</v>
      </c>
      <c r="D1417">
        <v>99999</v>
      </c>
      <c r="F1417" s="109">
        <v>20000</v>
      </c>
      <c r="G1417" t="b">
        <v>1</v>
      </c>
      <c r="H1417" t="s">
        <v>343</v>
      </c>
      <c r="K1417" t="s">
        <v>379</v>
      </c>
      <c r="L1417" t="s">
        <v>303</v>
      </c>
      <c r="M1417" t="s">
        <v>323</v>
      </c>
      <c r="N1417" t="s">
        <v>63</v>
      </c>
      <c r="O1417" s="110">
        <v>49.9</v>
      </c>
      <c r="R1417" s="110">
        <v>390.58999999999992</v>
      </c>
      <c r="S1417" s="110">
        <v>130</v>
      </c>
      <c r="T1417" s="110">
        <v>0</v>
      </c>
      <c r="U1417" s="110">
        <v>34.99</v>
      </c>
      <c r="X1417">
        <v>165.69999999999993</v>
      </c>
      <c r="Y1417">
        <v>59.9</v>
      </c>
      <c r="Z1417">
        <v>59.9</v>
      </c>
      <c r="AA1417">
        <v>0</v>
      </c>
      <c r="AB1417" t="s">
        <v>363</v>
      </c>
      <c r="AF1417" t="s">
        <v>3208</v>
      </c>
      <c r="AG1417" t="s">
        <v>3208</v>
      </c>
      <c r="AH1417" t="s">
        <v>1903</v>
      </c>
      <c r="AI1417">
        <v>99999</v>
      </c>
      <c r="AJ1417">
        <v>99999</v>
      </c>
      <c r="AK1417">
        <v>699</v>
      </c>
      <c r="AL1417" t="b">
        <v>1</v>
      </c>
      <c r="AM1417" t="b">
        <v>1</v>
      </c>
      <c r="AN1417" t="b">
        <v>1</v>
      </c>
      <c r="AO1417">
        <v>99999</v>
      </c>
      <c r="AP1417" t="s">
        <v>64</v>
      </c>
      <c r="AR1417" t="b">
        <v>0</v>
      </c>
      <c r="AS1417">
        <v>12</v>
      </c>
      <c r="AT1417" t="s">
        <v>327</v>
      </c>
      <c r="AV1417" t="s">
        <v>3234</v>
      </c>
    </row>
    <row r="1418" spans="1:48" x14ac:dyDescent="0.25">
      <c r="A1418" t="s">
        <v>3323</v>
      </c>
      <c r="B1418" t="s">
        <v>302</v>
      </c>
      <c r="C1418" t="s">
        <v>62</v>
      </c>
      <c r="D1418">
        <v>99999</v>
      </c>
      <c r="F1418" s="109">
        <v>20000</v>
      </c>
      <c r="G1418" t="b">
        <v>1</v>
      </c>
      <c r="H1418" t="s">
        <v>343</v>
      </c>
      <c r="K1418" t="s">
        <v>379</v>
      </c>
      <c r="L1418" t="s">
        <v>303</v>
      </c>
      <c r="M1418" t="s">
        <v>323</v>
      </c>
      <c r="N1418" t="s">
        <v>63</v>
      </c>
      <c r="O1418" s="110">
        <v>49.9</v>
      </c>
      <c r="R1418" s="110">
        <v>424.88999999999993</v>
      </c>
      <c r="S1418" s="110">
        <v>130</v>
      </c>
      <c r="T1418" s="110">
        <v>0</v>
      </c>
      <c r="U1418" s="110">
        <v>42.99</v>
      </c>
      <c r="X1418">
        <v>191.99999999999994</v>
      </c>
      <c r="Y1418">
        <v>59.9</v>
      </c>
      <c r="Z1418">
        <v>59.9</v>
      </c>
      <c r="AA1418">
        <v>0</v>
      </c>
      <c r="AB1418" t="s">
        <v>363</v>
      </c>
      <c r="AF1418" t="s">
        <v>3282</v>
      </c>
      <c r="AG1418" t="s">
        <v>3282</v>
      </c>
      <c r="AH1418" t="s">
        <v>1903</v>
      </c>
      <c r="AI1418">
        <v>99999</v>
      </c>
      <c r="AJ1418">
        <v>99999</v>
      </c>
      <c r="AK1418">
        <v>699</v>
      </c>
      <c r="AL1418" t="b">
        <v>1</v>
      </c>
      <c r="AM1418" t="b">
        <v>1</v>
      </c>
      <c r="AN1418" t="b">
        <v>1</v>
      </c>
      <c r="AO1418">
        <v>99999</v>
      </c>
      <c r="AP1418" t="s">
        <v>64</v>
      </c>
      <c r="AR1418" t="b">
        <v>0</v>
      </c>
      <c r="AS1418">
        <v>12</v>
      </c>
      <c r="AT1418" t="s">
        <v>327</v>
      </c>
      <c r="AV1418" t="s">
        <v>3308</v>
      </c>
    </row>
    <row r="1419" spans="1:48" x14ac:dyDescent="0.25">
      <c r="A1419" t="s">
        <v>3323</v>
      </c>
      <c r="B1419" t="s">
        <v>302</v>
      </c>
      <c r="C1419" t="s">
        <v>62</v>
      </c>
      <c r="D1419">
        <v>99999</v>
      </c>
      <c r="F1419" s="109">
        <v>20000</v>
      </c>
      <c r="G1419" t="b">
        <v>1</v>
      </c>
      <c r="H1419" t="s">
        <v>343</v>
      </c>
      <c r="K1419" t="s">
        <v>61</v>
      </c>
      <c r="L1419" t="s">
        <v>303</v>
      </c>
      <c r="M1419" t="s">
        <v>323</v>
      </c>
      <c r="N1419" t="s">
        <v>63</v>
      </c>
      <c r="O1419" s="110">
        <v>29.9</v>
      </c>
      <c r="R1419" s="110">
        <v>375.58999999999992</v>
      </c>
      <c r="S1419" s="110">
        <v>130</v>
      </c>
      <c r="T1419" s="110">
        <v>0</v>
      </c>
      <c r="U1419" s="110">
        <v>34.99</v>
      </c>
      <c r="X1419">
        <v>165.69999999999993</v>
      </c>
      <c r="Y1419">
        <v>44.9</v>
      </c>
      <c r="Z1419">
        <v>44.9</v>
      </c>
      <c r="AA1419">
        <v>0</v>
      </c>
      <c r="AB1419" t="s">
        <v>324</v>
      </c>
      <c r="AF1419" t="s">
        <v>1902</v>
      </c>
      <c r="AG1419" t="s">
        <v>1902</v>
      </c>
      <c r="AH1419" t="s">
        <v>1903</v>
      </c>
      <c r="AI1419">
        <v>99999</v>
      </c>
      <c r="AJ1419">
        <v>99999</v>
      </c>
      <c r="AK1419">
        <v>699</v>
      </c>
      <c r="AL1419" t="b">
        <v>1</v>
      </c>
      <c r="AM1419" t="b">
        <v>1</v>
      </c>
      <c r="AN1419" t="b">
        <v>1</v>
      </c>
      <c r="AO1419">
        <v>99999</v>
      </c>
      <c r="AP1419" t="s">
        <v>64</v>
      </c>
      <c r="AR1419" t="b">
        <v>0</v>
      </c>
      <c r="AS1419">
        <v>12</v>
      </c>
      <c r="AT1419" t="s">
        <v>327</v>
      </c>
      <c r="AV1419" t="s">
        <v>1916</v>
      </c>
    </row>
    <row r="1420" spans="1:48" x14ac:dyDescent="0.25">
      <c r="A1420" t="s">
        <v>3323</v>
      </c>
      <c r="B1420" t="s">
        <v>302</v>
      </c>
      <c r="C1420" t="s">
        <v>62</v>
      </c>
      <c r="D1420">
        <v>99999</v>
      </c>
      <c r="F1420" s="109">
        <v>20000</v>
      </c>
      <c r="G1420" t="b">
        <v>1</v>
      </c>
      <c r="H1420" t="s">
        <v>343</v>
      </c>
      <c r="K1420" t="s">
        <v>61</v>
      </c>
      <c r="L1420" t="s">
        <v>303</v>
      </c>
      <c r="M1420" t="s">
        <v>323</v>
      </c>
      <c r="N1420" t="s">
        <v>63</v>
      </c>
      <c r="O1420" s="110">
        <v>29.9</v>
      </c>
      <c r="R1420" s="110">
        <v>409.88999999999993</v>
      </c>
      <c r="S1420" s="110">
        <v>130</v>
      </c>
      <c r="T1420" s="110">
        <v>0</v>
      </c>
      <c r="U1420" s="110">
        <v>42.99</v>
      </c>
      <c r="X1420">
        <v>191.99999999999994</v>
      </c>
      <c r="Y1420">
        <v>44.9</v>
      </c>
      <c r="Z1420">
        <v>44.9</v>
      </c>
      <c r="AA1420">
        <v>0</v>
      </c>
      <c r="AB1420" t="s">
        <v>324</v>
      </c>
      <c r="AF1420" t="s">
        <v>2051</v>
      </c>
      <c r="AG1420" t="s">
        <v>2051</v>
      </c>
      <c r="AH1420" t="s">
        <v>1903</v>
      </c>
      <c r="AI1420">
        <v>99999</v>
      </c>
      <c r="AJ1420">
        <v>99999</v>
      </c>
      <c r="AK1420">
        <v>699</v>
      </c>
      <c r="AL1420" t="b">
        <v>1</v>
      </c>
      <c r="AM1420" t="b">
        <v>1</v>
      </c>
      <c r="AN1420" t="b">
        <v>1</v>
      </c>
      <c r="AO1420">
        <v>99999</v>
      </c>
      <c r="AP1420" t="s">
        <v>64</v>
      </c>
      <c r="AR1420" t="b">
        <v>0</v>
      </c>
      <c r="AS1420">
        <v>12</v>
      </c>
      <c r="AT1420" t="s">
        <v>327</v>
      </c>
      <c r="AV1420" t="s">
        <v>2064</v>
      </c>
    </row>
    <row r="1421" spans="1:48" x14ac:dyDescent="0.25">
      <c r="A1421" t="s">
        <v>3323</v>
      </c>
      <c r="B1421" t="s">
        <v>302</v>
      </c>
      <c r="C1421" t="s">
        <v>62</v>
      </c>
      <c r="D1421">
        <v>99999</v>
      </c>
      <c r="F1421" s="109">
        <v>20000</v>
      </c>
      <c r="G1421" t="b">
        <v>1</v>
      </c>
      <c r="H1421" t="s">
        <v>343</v>
      </c>
      <c r="K1421" t="s">
        <v>61</v>
      </c>
      <c r="L1421" t="s">
        <v>303</v>
      </c>
      <c r="M1421" t="s">
        <v>323</v>
      </c>
      <c r="N1421" t="s">
        <v>63</v>
      </c>
      <c r="O1421" s="110">
        <v>39.9</v>
      </c>
      <c r="R1421" s="110">
        <v>375.58999999999992</v>
      </c>
      <c r="S1421" s="110">
        <v>130</v>
      </c>
      <c r="T1421" s="110">
        <v>0</v>
      </c>
      <c r="U1421" s="110">
        <v>34.99</v>
      </c>
      <c r="X1421">
        <v>165.69999999999993</v>
      </c>
      <c r="Y1421">
        <v>44.9</v>
      </c>
      <c r="Z1421">
        <v>44.9</v>
      </c>
      <c r="AA1421">
        <v>0</v>
      </c>
      <c r="AB1421" t="s">
        <v>324</v>
      </c>
      <c r="AF1421" t="s">
        <v>1970</v>
      </c>
      <c r="AG1421" t="s">
        <v>1970</v>
      </c>
      <c r="AH1421" t="s">
        <v>1903</v>
      </c>
      <c r="AI1421">
        <v>99999</v>
      </c>
      <c r="AJ1421">
        <v>99999</v>
      </c>
      <c r="AK1421">
        <v>699</v>
      </c>
      <c r="AL1421" t="b">
        <v>1</v>
      </c>
      <c r="AM1421" t="b">
        <v>1</v>
      </c>
      <c r="AN1421" t="b">
        <v>1</v>
      </c>
      <c r="AO1421">
        <v>99999</v>
      </c>
      <c r="AP1421" t="s">
        <v>64</v>
      </c>
      <c r="AR1421" t="b">
        <v>0</v>
      </c>
      <c r="AS1421">
        <v>12</v>
      </c>
      <c r="AT1421" t="s">
        <v>327</v>
      </c>
      <c r="AV1421" t="s">
        <v>1983</v>
      </c>
    </row>
    <row r="1422" spans="1:48" x14ac:dyDescent="0.25">
      <c r="A1422" t="s">
        <v>3323</v>
      </c>
      <c r="B1422" t="s">
        <v>302</v>
      </c>
      <c r="C1422" t="s">
        <v>62</v>
      </c>
      <c r="D1422">
        <v>99999</v>
      </c>
      <c r="F1422" s="109">
        <v>20000</v>
      </c>
      <c r="G1422" t="b">
        <v>1</v>
      </c>
      <c r="H1422" t="s">
        <v>343</v>
      </c>
      <c r="K1422" t="s">
        <v>61</v>
      </c>
      <c r="L1422" t="s">
        <v>303</v>
      </c>
      <c r="M1422" t="s">
        <v>323</v>
      </c>
      <c r="N1422" t="s">
        <v>63</v>
      </c>
      <c r="O1422" s="110">
        <v>39.9</v>
      </c>
      <c r="R1422" s="110">
        <v>409.88999999999993</v>
      </c>
      <c r="S1422" s="110">
        <v>130</v>
      </c>
      <c r="T1422" s="110">
        <v>0</v>
      </c>
      <c r="U1422" s="110">
        <v>42.99</v>
      </c>
      <c r="X1422">
        <v>191.99999999999994</v>
      </c>
      <c r="Y1422">
        <v>44.9</v>
      </c>
      <c r="Z1422">
        <v>44.9</v>
      </c>
      <c r="AA1422">
        <v>0</v>
      </c>
      <c r="AB1422" t="s">
        <v>324</v>
      </c>
      <c r="AF1422" t="s">
        <v>2118</v>
      </c>
      <c r="AG1422" t="s">
        <v>2118</v>
      </c>
      <c r="AH1422" t="s">
        <v>1903</v>
      </c>
      <c r="AI1422">
        <v>99999</v>
      </c>
      <c r="AJ1422">
        <v>99999</v>
      </c>
      <c r="AK1422">
        <v>699</v>
      </c>
      <c r="AL1422" t="b">
        <v>1</v>
      </c>
      <c r="AM1422" t="b">
        <v>1</v>
      </c>
      <c r="AN1422" t="b">
        <v>1</v>
      </c>
      <c r="AO1422">
        <v>99999</v>
      </c>
      <c r="AP1422" t="s">
        <v>64</v>
      </c>
      <c r="AR1422" t="b">
        <v>0</v>
      </c>
      <c r="AS1422">
        <v>12</v>
      </c>
      <c r="AT1422" t="s">
        <v>327</v>
      </c>
      <c r="AV1422" t="s">
        <v>2131</v>
      </c>
    </row>
    <row r="1423" spans="1:48" x14ac:dyDescent="0.25">
      <c r="A1423" t="s">
        <v>3323</v>
      </c>
      <c r="B1423" t="s">
        <v>302</v>
      </c>
      <c r="C1423" t="s">
        <v>62</v>
      </c>
      <c r="D1423">
        <v>99999</v>
      </c>
      <c r="F1423" s="109">
        <v>20000</v>
      </c>
      <c r="G1423" t="b">
        <v>1</v>
      </c>
      <c r="H1423" t="s">
        <v>343</v>
      </c>
      <c r="K1423" t="s">
        <v>61</v>
      </c>
      <c r="L1423" t="s">
        <v>303</v>
      </c>
      <c r="M1423" t="s">
        <v>323</v>
      </c>
      <c r="N1423" t="s">
        <v>63</v>
      </c>
      <c r="O1423" s="110">
        <v>49.9</v>
      </c>
      <c r="R1423" s="110">
        <v>375.58999999999992</v>
      </c>
      <c r="S1423" s="110">
        <v>130</v>
      </c>
      <c r="T1423" s="110">
        <v>0</v>
      </c>
      <c r="U1423" s="110">
        <v>34.99</v>
      </c>
      <c r="X1423">
        <v>165.69999999999993</v>
      </c>
      <c r="Y1423">
        <v>44.9</v>
      </c>
      <c r="Z1423">
        <v>44.9</v>
      </c>
      <c r="AA1423">
        <v>0</v>
      </c>
      <c r="AB1423" t="s">
        <v>324</v>
      </c>
      <c r="AF1423" t="s">
        <v>3181</v>
      </c>
      <c r="AG1423" t="s">
        <v>3181</v>
      </c>
      <c r="AH1423" t="s">
        <v>1903</v>
      </c>
      <c r="AI1423">
        <v>99999</v>
      </c>
      <c r="AJ1423">
        <v>99999</v>
      </c>
      <c r="AK1423">
        <v>699</v>
      </c>
      <c r="AL1423" t="b">
        <v>1</v>
      </c>
      <c r="AM1423" t="b">
        <v>1</v>
      </c>
      <c r="AN1423" t="b">
        <v>1</v>
      </c>
      <c r="AO1423">
        <v>99999</v>
      </c>
      <c r="AP1423" t="s">
        <v>64</v>
      </c>
      <c r="AR1423" t="b">
        <v>0</v>
      </c>
      <c r="AS1423">
        <v>12</v>
      </c>
      <c r="AT1423" t="s">
        <v>327</v>
      </c>
      <c r="AV1423" t="s">
        <v>3194</v>
      </c>
    </row>
    <row r="1424" spans="1:48" x14ac:dyDescent="0.25">
      <c r="A1424" t="s">
        <v>3323</v>
      </c>
      <c r="B1424" t="s">
        <v>302</v>
      </c>
      <c r="C1424" t="s">
        <v>62</v>
      </c>
      <c r="D1424">
        <v>99999</v>
      </c>
      <c r="F1424" s="109">
        <v>20000</v>
      </c>
      <c r="G1424" t="b">
        <v>1</v>
      </c>
      <c r="H1424" t="s">
        <v>343</v>
      </c>
      <c r="K1424" t="s">
        <v>61</v>
      </c>
      <c r="L1424" t="s">
        <v>303</v>
      </c>
      <c r="M1424" t="s">
        <v>323</v>
      </c>
      <c r="N1424" t="s">
        <v>63</v>
      </c>
      <c r="O1424" s="110">
        <v>49.9</v>
      </c>
      <c r="R1424" s="110">
        <v>409.88999999999993</v>
      </c>
      <c r="S1424" s="110">
        <v>130</v>
      </c>
      <c r="T1424" s="110">
        <v>0</v>
      </c>
      <c r="U1424" s="110">
        <v>42.99</v>
      </c>
      <c r="X1424">
        <v>191.99999999999994</v>
      </c>
      <c r="Y1424">
        <v>44.9</v>
      </c>
      <c r="Z1424">
        <v>44.9</v>
      </c>
      <c r="AA1424">
        <v>0</v>
      </c>
      <c r="AB1424" t="s">
        <v>324</v>
      </c>
      <c r="AF1424" t="s">
        <v>3255</v>
      </c>
      <c r="AG1424" t="s">
        <v>3255</v>
      </c>
      <c r="AH1424" t="s">
        <v>1903</v>
      </c>
      <c r="AI1424">
        <v>99999</v>
      </c>
      <c r="AJ1424">
        <v>99999</v>
      </c>
      <c r="AK1424">
        <v>699</v>
      </c>
      <c r="AL1424" t="b">
        <v>1</v>
      </c>
      <c r="AM1424" t="b">
        <v>1</v>
      </c>
      <c r="AN1424" t="b">
        <v>1</v>
      </c>
      <c r="AO1424">
        <v>99999</v>
      </c>
      <c r="AP1424" t="s">
        <v>64</v>
      </c>
      <c r="AR1424" t="b">
        <v>0</v>
      </c>
      <c r="AS1424">
        <v>12</v>
      </c>
      <c r="AT1424" t="s">
        <v>327</v>
      </c>
      <c r="AV1424" t="s">
        <v>3268</v>
      </c>
    </row>
    <row r="1425" spans="1:48" x14ac:dyDescent="0.25">
      <c r="A1425" t="s">
        <v>3323</v>
      </c>
      <c r="B1425" t="s">
        <v>302</v>
      </c>
      <c r="C1425" t="s">
        <v>62</v>
      </c>
      <c r="D1425">
        <v>99999</v>
      </c>
      <c r="F1425" s="109">
        <v>20000</v>
      </c>
      <c r="G1425" t="b">
        <v>1</v>
      </c>
      <c r="H1425" t="s">
        <v>339</v>
      </c>
      <c r="K1425" t="s">
        <v>349</v>
      </c>
      <c r="L1425" t="s">
        <v>303</v>
      </c>
      <c r="M1425" t="s">
        <v>323</v>
      </c>
      <c r="N1425" t="s">
        <v>63</v>
      </c>
      <c r="O1425" s="110">
        <v>29.9</v>
      </c>
      <c r="R1425" s="110">
        <v>340.58999999999992</v>
      </c>
      <c r="S1425" s="110">
        <v>130</v>
      </c>
      <c r="T1425" s="110">
        <v>0</v>
      </c>
      <c r="U1425" s="110">
        <v>34.99</v>
      </c>
      <c r="X1425">
        <v>130.69999999999993</v>
      </c>
      <c r="Y1425">
        <v>44.9</v>
      </c>
      <c r="Z1425">
        <v>44.9</v>
      </c>
      <c r="AA1425">
        <v>0</v>
      </c>
      <c r="AB1425" t="s">
        <v>324</v>
      </c>
      <c r="AF1425" t="s">
        <v>1902</v>
      </c>
      <c r="AG1425" t="s">
        <v>1902</v>
      </c>
      <c r="AH1425" t="s">
        <v>1903</v>
      </c>
      <c r="AI1425">
        <v>99999</v>
      </c>
      <c r="AJ1425">
        <v>99999</v>
      </c>
      <c r="AK1425">
        <v>699</v>
      </c>
      <c r="AL1425" t="b">
        <v>1</v>
      </c>
      <c r="AM1425" t="b">
        <v>1</v>
      </c>
      <c r="AN1425" t="b">
        <v>1</v>
      </c>
      <c r="AO1425">
        <v>99999</v>
      </c>
      <c r="AP1425" t="s">
        <v>64</v>
      </c>
      <c r="AR1425" t="b">
        <v>0</v>
      </c>
      <c r="AS1425">
        <v>12</v>
      </c>
      <c r="AT1425" t="s">
        <v>327</v>
      </c>
      <c r="AV1425" t="s">
        <v>1927</v>
      </c>
    </row>
    <row r="1426" spans="1:48" x14ac:dyDescent="0.25">
      <c r="A1426" t="s">
        <v>3323</v>
      </c>
      <c r="B1426" t="s">
        <v>302</v>
      </c>
      <c r="C1426" t="s">
        <v>62</v>
      </c>
      <c r="D1426">
        <v>99999</v>
      </c>
      <c r="F1426" s="109">
        <v>20000</v>
      </c>
      <c r="G1426" t="b">
        <v>1</v>
      </c>
      <c r="H1426" t="s">
        <v>339</v>
      </c>
      <c r="K1426" t="s">
        <v>349</v>
      </c>
      <c r="L1426" t="s">
        <v>303</v>
      </c>
      <c r="M1426" t="s">
        <v>323</v>
      </c>
      <c r="N1426" t="s">
        <v>63</v>
      </c>
      <c r="O1426" s="110">
        <v>29.9</v>
      </c>
      <c r="R1426" s="110">
        <v>374.88999999999993</v>
      </c>
      <c r="S1426" s="110">
        <v>130</v>
      </c>
      <c r="T1426" s="110">
        <v>0</v>
      </c>
      <c r="U1426" s="110">
        <v>42.99</v>
      </c>
      <c r="X1426">
        <v>156.99999999999994</v>
      </c>
      <c r="Y1426">
        <v>44.9</v>
      </c>
      <c r="Z1426">
        <v>44.9</v>
      </c>
      <c r="AA1426">
        <v>0</v>
      </c>
      <c r="AB1426" t="s">
        <v>324</v>
      </c>
      <c r="AF1426" t="s">
        <v>2051</v>
      </c>
      <c r="AG1426" t="s">
        <v>2051</v>
      </c>
      <c r="AH1426" t="s">
        <v>1903</v>
      </c>
      <c r="AI1426">
        <v>99999</v>
      </c>
      <c r="AJ1426">
        <v>99999</v>
      </c>
      <c r="AK1426">
        <v>699</v>
      </c>
      <c r="AL1426" t="b">
        <v>1</v>
      </c>
      <c r="AM1426" t="b">
        <v>1</v>
      </c>
      <c r="AN1426" t="b">
        <v>1</v>
      </c>
      <c r="AO1426">
        <v>99999</v>
      </c>
      <c r="AP1426" t="s">
        <v>64</v>
      </c>
      <c r="AR1426" t="b">
        <v>0</v>
      </c>
      <c r="AS1426">
        <v>12</v>
      </c>
      <c r="AT1426" t="s">
        <v>327</v>
      </c>
      <c r="AV1426" t="s">
        <v>2075</v>
      </c>
    </row>
    <row r="1427" spans="1:48" x14ac:dyDescent="0.25">
      <c r="A1427" t="s">
        <v>3323</v>
      </c>
      <c r="B1427" t="s">
        <v>302</v>
      </c>
      <c r="C1427" t="s">
        <v>62</v>
      </c>
      <c r="D1427">
        <v>99999</v>
      </c>
      <c r="F1427" s="109">
        <v>20000</v>
      </c>
      <c r="G1427" t="b">
        <v>1</v>
      </c>
      <c r="H1427" t="s">
        <v>339</v>
      </c>
      <c r="K1427" t="s">
        <v>349</v>
      </c>
      <c r="L1427" t="s">
        <v>303</v>
      </c>
      <c r="M1427" t="s">
        <v>323</v>
      </c>
      <c r="N1427" t="s">
        <v>63</v>
      </c>
      <c r="O1427" s="110">
        <v>39.9</v>
      </c>
      <c r="R1427" s="110">
        <v>340.58999999999992</v>
      </c>
      <c r="S1427" s="110">
        <v>130</v>
      </c>
      <c r="T1427" s="110">
        <v>0</v>
      </c>
      <c r="U1427" s="110">
        <v>34.99</v>
      </c>
      <c r="X1427">
        <v>130.69999999999993</v>
      </c>
      <c r="Y1427">
        <v>44.9</v>
      </c>
      <c r="Z1427">
        <v>44.9</v>
      </c>
      <c r="AA1427">
        <v>0</v>
      </c>
      <c r="AB1427" t="s">
        <v>324</v>
      </c>
      <c r="AF1427" t="s">
        <v>1970</v>
      </c>
      <c r="AG1427" t="s">
        <v>1970</v>
      </c>
      <c r="AH1427" t="s">
        <v>1903</v>
      </c>
      <c r="AI1427">
        <v>99999</v>
      </c>
      <c r="AJ1427">
        <v>99999</v>
      </c>
      <c r="AK1427">
        <v>699</v>
      </c>
      <c r="AL1427" t="b">
        <v>1</v>
      </c>
      <c r="AM1427" t="b">
        <v>1</v>
      </c>
      <c r="AN1427" t="b">
        <v>1</v>
      </c>
      <c r="AO1427">
        <v>99999</v>
      </c>
      <c r="AP1427" t="s">
        <v>64</v>
      </c>
      <c r="AR1427" t="b">
        <v>0</v>
      </c>
      <c r="AS1427">
        <v>12</v>
      </c>
      <c r="AT1427" t="s">
        <v>327</v>
      </c>
      <c r="AV1427" t="s">
        <v>1994</v>
      </c>
    </row>
    <row r="1428" spans="1:48" x14ac:dyDescent="0.25">
      <c r="A1428" t="s">
        <v>3323</v>
      </c>
      <c r="B1428" t="s">
        <v>302</v>
      </c>
      <c r="C1428" t="s">
        <v>62</v>
      </c>
      <c r="D1428">
        <v>99999</v>
      </c>
      <c r="F1428" s="109">
        <v>20000</v>
      </c>
      <c r="G1428" t="b">
        <v>1</v>
      </c>
      <c r="H1428" t="s">
        <v>339</v>
      </c>
      <c r="K1428" t="s">
        <v>349</v>
      </c>
      <c r="L1428" t="s">
        <v>303</v>
      </c>
      <c r="M1428" t="s">
        <v>323</v>
      </c>
      <c r="N1428" t="s">
        <v>63</v>
      </c>
      <c r="O1428" s="110">
        <v>39.9</v>
      </c>
      <c r="R1428" s="110">
        <v>374.88999999999993</v>
      </c>
      <c r="S1428" s="110">
        <v>130</v>
      </c>
      <c r="T1428" s="110">
        <v>0</v>
      </c>
      <c r="U1428" s="110">
        <v>42.99</v>
      </c>
      <c r="X1428">
        <v>156.99999999999994</v>
      </c>
      <c r="Y1428">
        <v>44.9</v>
      </c>
      <c r="Z1428">
        <v>44.9</v>
      </c>
      <c r="AA1428">
        <v>0</v>
      </c>
      <c r="AB1428" t="s">
        <v>324</v>
      </c>
      <c r="AF1428" t="s">
        <v>2118</v>
      </c>
      <c r="AG1428" t="s">
        <v>2118</v>
      </c>
      <c r="AH1428" t="s">
        <v>1903</v>
      </c>
      <c r="AI1428">
        <v>99999</v>
      </c>
      <c r="AJ1428">
        <v>99999</v>
      </c>
      <c r="AK1428">
        <v>699</v>
      </c>
      <c r="AL1428" t="b">
        <v>1</v>
      </c>
      <c r="AM1428" t="b">
        <v>1</v>
      </c>
      <c r="AN1428" t="b">
        <v>1</v>
      </c>
      <c r="AO1428">
        <v>99999</v>
      </c>
      <c r="AP1428" t="s">
        <v>64</v>
      </c>
      <c r="AR1428" t="b">
        <v>0</v>
      </c>
      <c r="AS1428">
        <v>12</v>
      </c>
      <c r="AT1428" t="s">
        <v>327</v>
      </c>
      <c r="AV1428" t="s">
        <v>2142</v>
      </c>
    </row>
    <row r="1429" spans="1:48" x14ac:dyDescent="0.25">
      <c r="A1429" t="s">
        <v>3323</v>
      </c>
      <c r="B1429" t="s">
        <v>302</v>
      </c>
      <c r="C1429" t="s">
        <v>62</v>
      </c>
      <c r="D1429">
        <v>99999</v>
      </c>
      <c r="F1429" s="109">
        <v>20000</v>
      </c>
      <c r="G1429" t="b">
        <v>1</v>
      </c>
      <c r="H1429" t="s">
        <v>339</v>
      </c>
      <c r="K1429" t="s">
        <v>349</v>
      </c>
      <c r="L1429" t="s">
        <v>303</v>
      </c>
      <c r="M1429" t="s">
        <v>323</v>
      </c>
      <c r="N1429" t="s">
        <v>63</v>
      </c>
      <c r="O1429" s="110">
        <v>49.9</v>
      </c>
      <c r="R1429" s="110">
        <v>340.58999999999992</v>
      </c>
      <c r="S1429" s="110">
        <v>130</v>
      </c>
      <c r="T1429" s="110">
        <v>0</v>
      </c>
      <c r="U1429" s="110">
        <v>34.99</v>
      </c>
      <c r="X1429">
        <v>130.69999999999993</v>
      </c>
      <c r="Y1429">
        <v>44.9</v>
      </c>
      <c r="Z1429">
        <v>44.9</v>
      </c>
      <c r="AA1429">
        <v>0</v>
      </c>
      <c r="AB1429" t="s">
        <v>324</v>
      </c>
      <c r="AF1429" t="s">
        <v>3181</v>
      </c>
      <c r="AG1429" t="s">
        <v>3181</v>
      </c>
      <c r="AH1429" t="s">
        <v>1903</v>
      </c>
      <c r="AI1429">
        <v>99999</v>
      </c>
      <c r="AJ1429">
        <v>99999</v>
      </c>
      <c r="AK1429">
        <v>699</v>
      </c>
      <c r="AL1429" t="b">
        <v>1</v>
      </c>
      <c r="AM1429" t="b">
        <v>1</v>
      </c>
      <c r="AN1429" t="b">
        <v>1</v>
      </c>
      <c r="AO1429">
        <v>99999</v>
      </c>
      <c r="AP1429" t="s">
        <v>64</v>
      </c>
      <c r="AR1429" t="b">
        <v>0</v>
      </c>
      <c r="AS1429">
        <v>12</v>
      </c>
      <c r="AT1429" t="s">
        <v>327</v>
      </c>
      <c r="AV1429" t="s">
        <v>3205</v>
      </c>
    </row>
    <row r="1430" spans="1:48" x14ac:dyDescent="0.25">
      <c r="A1430" t="s">
        <v>3323</v>
      </c>
      <c r="B1430" t="s">
        <v>302</v>
      </c>
      <c r="C1430" t="s">
        <v>62</v>
      </c>
      <c r="D1430">
        <v>99999</v>
      </c>
      <c r="F1430" s="109">
        <v>20000</v>
      </c>
      <c r="G1430" t="b">
        <v>1</v>
      </c>
      <c r="H1430" t="s">
        <v>339</v>
      </c>
      <c r="K1430" t="s">
        <v>349</v>
      </c>
      <c r="L1430" t="s">
        <v>303</v>
      </c>
      <c r="M1430" t="s">
        <v>323</v>
      </c>
      <c r="N1430" t="s">
        <v>63</v>
      </c>
      <c r="O1430" s="110">
        <v>49.9</v>
      </c>
      <c r="R1430" s="110">
        <v>374.88999999999993</v>
      </c>
      <c r="S1430" s="110">
        <v>130</v>
      </c>
      <c r="T1430" s="110">
        <v>0</v>
      </c>
      <c r="U1430" s="110">
        <v>42.99</v>
      </c>
      <c r="X1430">
        <v>156.99999999999994</v>
      </c>
      <c r="Y1430">
        <v>44.9</v>
      </c>
      <c r="Z1430">
        <v>44.9</v>
      </c>
      <c r="AA1430">
        <v>0</v>
      </c>
      <c r="AB1430" t="s">
        <v>324</v>
      </c>
      <c r="AF1430" t="s">
        <v>3255</v>
      </c>
      <c r="AG1430" t="s">
        <v>3255</v>
      </c>
      <c r="AH1430" t="s">
        <v>1903</v>
      </c>
      <c r="AI1430">
        <v>99999</v>
      </c>
      <c r="AJ1430">
        <v>99999</v>
      </c>
      <c r="AK1430">
        <v>699</v>
      </c>
      <c r="AL1430" t="b">
        <v>1</v>
      </c>
      <c r="AM1430" t="b">
        <v>1</v>
      </c>
      <c r="AN1430" t="b">
        <v>1</v>
      </c>
      <c r="AO1430">
        <v>99999</v>
      </c>
      <c r="AP1430" t="s">
        <v>64</v>
      </c>
      <c r="AR1430" t="b">
        <v>0</v>
      </c>
      <c r="AS1430">
        <v>12</v>
      </c>
      <c r="AT1430" t="s">
        <v>327</v>
      </c>
      <c r="AV1430" t="s">
        <v>3279</v>
      </c>
    </row>
    <row r="1431" spans="1:48" x14ac:dyDescent="0.25">
      <c r="A1431" t="s">
        <v>3323</v>
      </c>
      <c r="B1431" t="s">
        <v>302</v>
      </c>
      <c r="C1431" t="s">
        <v>62</v>
      </c>
      <c r="D1431">
        <v>99999</v>
      </c>
      <c r="F1431" s="109">
        <v>20000</v>
      </c>
      <c r="G1431" t="b">
        <v>1</v>
      </c>
      <c r="H1431" t="s">
        <v>339</v>
      </c>
      <c r="K1431" t="s">
        <v>393</v>
      </c>
      <c r="L1431" t="s">
        <v>303</v>
      </c>
      <c r="M1431" t="s">
        <v>323</v>
      </c>
      <c r="N1431" t="s">
        <v>63</v>
      </c>
      <c r="O1431" s="110">
        <v>29.9</v>
      </c>
      <c r="R1431" s="110">
        <v>365.58999999999992</v>
      </c>
      <c r="S1431" s="110">
        <v>130</v>
      </c>
      <c r="T1431" s="110">
        <v>0</v>
      </c>
      <c r="U1431" s="110">
        <v>34.99</v>
      </c>
      <c r="X1431">
        <v>130.69999999999993</v>
      </c>
      <c r="Y1431">
        <v>69.900000000000006</v>
      </c>
      <c r="Z1431">
        <v>69.900000000000006</v>
      </c>
      <c r="AA1431">
        <v>0</v>
      </c>
      <c r="AB1431" t="s">
        <v>363</v>
      </c>
      <c r="AF1431" t="s">
        <v>1930</v>
      </c>
      <c r="AG1431" t="s">
        <v>1930</v>
      </c>
      <c r="AH1431" t="s">
        <v>1903</v>
      </c>
      <c r="AI1431">
        <v>99999</v>
      </c>
      <c r="AJ1431">
        <v>99999</v>
      </c>
      <c r="AK1431">
        <v>699</v>
      </c>
      <c r="AL1431" t="b">
        <v>1</v>
      </c>
      <c r="AM1431" t="b">
        <v>1</v>
      </c>
      <c r="AN1431" t="b">
        <v>1</v>
      </c>
      <c r="AO1431">
        <v>99999</v>
      </c>
      <c r="AP1431" t="s">
        <v>64</v>
      </c>
      <c r="AR1431" t="b">
        <v>0</v>
      </c>
      <c r="AS1431">
        <v>12</v>
      </c>
      <c r="AT1431" t="s">
        <v>327</v>
      </c>
      <c r="AV1431" t="s">
        <v>1967</v>
      </c>
    </row>
    <row r="1432" spans="1:48" x14ac:dyDescent="0.25">
      <c r="A1432" t="s">
        <v>3323</v>
      </c>
      <c r="B1432" t="s">
        <v>302</v>
      </c>
      <c r="C1432" t="s">
        <v>62</v>
      </c>
      <c r="D1432">
        <v>99999</v>
      </c>
      <c r="F1432" s="109">
        <v>20000</v>
      </c>
      <c r="G1432" t="b">
        <v>1</v>
      </c>
      <c r="H1432" t="s">
        <v>339</v>
      </c>
      <c r="K1432" t="s">
        <v>393</v>
      </c>
      <c r="L1432" t="s">
        <v>303</v>
      </c>
      <c r="M1432" t="s">
        <v>323</v>
      </c>
      <c r="N1432" t="s">
        <v>63</v>
      </c>
      <c r="O1432" s="110">
        <v>29.9</v>
      </c>
      <c r="R1432" s="110">
        <v>399.89</v>
      </c>
      <c r="S1432" s="110">
        <v>130</v>
      </c>
      <c r="T1432" s="110">
        <v>0</v>
      </c>
      <c r="U1432" s="110">
        <v>42.99</v>
      </c>
      <c r="X1432">
        <v>156.99999999999994</v>
      </c>
      <c r="Y1432">
        <v>69.900000000000006</v>
      </c>
      <c r="Z1432">
        <v>69.900000000000006</v>
      </c>
      <c r="AA1432">
        <v>0</v>
      </c>
      <c r="AB1432" t="s">
        <v>363</v>
      </c>
      <c r="AF1432" t="s">
        <v>2078</v>
      </c>
      <c r="AG1432" t="s">
        <v>2078</v>
      </c>
      <c r="AH1432" t="s">
        <v>1903</v>
      </c>
      <c r="AI1432">
        <v>99999</v>
      </c>
      <c r="AJ1432">
        <v>99999</v>
      </c>
      <c r="AK1432">
        <v>699</v>
      </c>
      <c r="AL1432" t="b">
        <v>1</v>
      </c>
      <c r="AM1432" t="b">
        <v>1</v>
      </c>
      <c r="AN1432" t="b">
        <v>1</v>
      </c>
      <c r="AO1432">
        <v>99999</v>
      </c>
      <c r="AP1432" t="s">
        <v>64</v>
      </c>
      <c r="AR1432" t="b">
        <v>0</v>
      </c>
      <c r="AS1432">
        <v>12</v>
      </c>
      <c r="AT1432" t="s">
        <v>327</v>
      </c>
      <c r="AV1432" t="s">
        <v>2115</v>
      </c>
    </row>
    <row r="1433" spans="1:48" x14ac:dyDescent="0.25">
      <c r="A1433" t="s">
        <v>3323</v>
      </c>
      <c r="B1433" t="s">
        <v>302</v>
      </c>
      <c r="C1433" t="s">
        <v>62</v>
      </c>
      <c r="D1433">
        <v>99999</v>
      </c>
      <c r="F1433" s="109">
        <v>20000</v>
      </c>
      <c r="G1433" t="b">
        <v>1</v>
      </c>
      <c r="H1433" t="s">
        <v>339</v>
      </c>
      <c r="K1433" t="s">
        <v>393</v>
      </c>
      <c r="L1433" t="s">
        <v>303</v>
      </c>
      <c r="M1433" t="s">
        <v>323</v>
      </c>
      <c r="N1433" t="s">
        <v>63</v>
      </c>
      <c r="O1433" s="110">
        <v>39.9</v>
      </c>
      <c r="R1433" s="110">
        <v>365.58999999999992</v>
      </c>
      <c r="S1433" s="110">
        <v>130</v>
      </c>
      <c r="T1433" s="110">
        <v>0</v>
      </c>
      <c r="U1433" s="110">
        <v>34.99</v>
      </c>
      <c r="X1433">
        <v>130.69999999999993</v>
      </c>
      <c r="Y1433">
        <v>69.900000000000006</v>
      </c>
      <c r="Z1433">
        <v>69.900000000000006</v>
      </c>
      <c r="AA1433">
        <v>0</v>
      </c>
      <c r="AB1433" t="s">
        <v>363</v>
      </c>
      <c r="AF1433" t="s">
        <v>1997</v>
      </c>
      <c r="AG1433" t="s">
        <v>1997</v>
      </c>
      <c r="AH1433" t="s">
        <v>1903</v>
      </c>
      <c r="AI1433">
        <v>99999</v>
      </c>
      <c r="AJ1433">
        <v>99999</v>
      </c>
      <c r="AK1433">
        <v>699</v>
      </c>
      <c r="AL1433" t="b">
        <v>1</v>
      </c>
      <c r="AM1433" t="b">
        <v>1</v>
      </c>
      <c r="AN1433" t="b">
        <v>1</v>
      </c>
      <c r="AO1433">
        <v>99999</v>
      </c>
      <c r="AP1433" t="s">
        <v>64</v>
      </c>
      <c r="AR1433" t="b">
        <v>0</v>
      </c>
      <c r="AS1433">
        <v>12</v>
      </c>
      <c r="AT1433" t="s">
        <v>327</v>
      </c>
      <c r="AV1433" t="s">
        <v>2034</v>
      </c>
    </row>
    <row r="1434" spans="1:48" x14ac:dyDescent="0.25">
      <c r="A1434" t="s">
        <v>3323</v>
      </c>
      <c r="B1434" t="s">
        <v>302</v>
      </c>
      <c r="C1434" t="s">
        <v>62</v>
      </c>
      <c r="D1434">
        <v>99999</v>
      </c>
      <c r="F1434" s="109">
        <v>20000</v>
      </c>
      <c r="G1434" t="b">
        <v>1</v>
      </c>
      <c r="H1434" t="s">
        <v>339</v>
      </c>
      <c r="K1434" t="s">
        <v>393</v>
      </c>
      <c r="L1434" t="s">
        <v>303</v>
      </c>
      <c r="M1434" t="s">
        <v>323</v>
      </c>
      <c r="N1434" t="s">
        <v>63</v>
      </c>
      <c r="O1434" s="110">
        <v>39.9</v>
      </c>
      <c r="R1434" s="110">
        <v>399.89</v>
      </c>
      <c r="S1434" s="110">
        <v>130</v>
      </c>
      <c r="T1434" s="110">
        <v>0</v>
      </c>
      <c r="U1434" s="110">
        <v>42.99</v>
      </c>
      <c r="X1434">
        <v>156.99999999999994</v>
      </c>
      <c r="Y1434">
        <v>69.900000000000006</v>
      </c>
      <c r="Z1434">
        <v>69.900000000000006</v>
      </c>
      <c r="AA1434">
        <v>0</v>
      </c>
      <c r="AB1434" t="s">
        <v>363</v>
      </c>
      <c r="AF1434" t="s">
        <v>2145</v>
      </c>
      <c r="AG1434" t="s">
        <v>2145</v>
      </c>
      <c r="AH1434" t="s">
        <v>1903</v>
      </c>
      <c r="AI1434">
        <v>99999</v>
      </c>
      <c r="AJ1434">
        <v>99999</v>
      </c>
      <c r="AK1434">
        <v>699</v>
      </c>
      <c r="AL1434" t="b">
        <v>1</v>
      </c>
      <c r="AM1434" t="b">
        <v>1</v>
      </c>
      <c r="AN1434" t="b">
        <v>1</v>
      </c>
      <c r="AO1434">
        <v>99999</v>
      </c>
      <c r="AP1434" t="s">
        <v>64</v>
      </c>
      <c r="AR1434" t="b">
        <v>0</v>
      </c>
      <c r="AS1434">
        <v>12</v>
      </c>
      <c r="AT1434" t="s">
        <v>327</v>
      </c>
      <c r="AV1434" t="s">
        <v>2182</v>
      </c>
    </row>
    <row r="1435" spans="1:48" x14ac:dyDescent="0.25">
      <c r="A1435" t="s">
        <v>3323</v>
      </c>
      <c r="B1435" t="s">
        <v>302</v>
      </c>
      <c r="C1435" t="s">
        <v>62</v>
      </c>
      <c r="D1435">
        <v>99999</v>
      </c>
      <c r="F1435" s="109">
        <v>20000</v>
      </c>
      <c r="G1435" t="b">
        <v>1</v>
      </c>
      <c r="H1435" t="s">
        <v>339</v>
      </c>
      <c r="K1435" t="s">
        <v>393</v>
      </c>
      <c r="L1435" t="s">
        <v>303</v>
      </c>
      <c r="M1435" t="s">
        <v>323</v>
      </c>
      <c r="N1435" t="s">
        <v>63</v>
      </c>
      <c r="O1435" s="110">
        <v>49.9</v>
      </c>
      <c r="R1435" s="110">
        <v>365.58999999999992</v>
      </c>
      <c r="S1435" s="110">
        <v>130</v>
      </c>
      <c r="T1435" s="110">
        <v>0</v>
      </c>
      <c r="U1435" s="110">
        <v>34.99</v>
      </c>
      <c r="X1435">
        <v>130.69999999999993</v>
      </c>
      <c r="Y1435">
        <v>69.900000000000006</v>
      </c>
      <c r="Z1435">
        <v>69.900000000000006</v>
      </c>
      <c r="AA1435">
        <v>0</v>
      </c>
      <c r="AB1435" t="s">
        <v>363</v>
      </c>
      <c r="AF1435" t="s">
        <v>3208</v>
      </c>
      <c r="AG1435" t="s">
        <v>3208</v>
      </c>
      <c r="AH1435" t="s">
        <v>1903</v>
      </c>
      <c r="AI1435">
        <v>99999</v>
      </c>
      <c r="AJ1435">
        <v>99999</v>
      </c>
      <c r="AK1435">
        <v>699</v>
      </c>
      <c r="AL1435" t="b">
        <v>1</v>
      </c>
      <c r="AM1435" t="b">
        <v>1</v>
      </c>
      <c r="AN1435" t="b">
        <v>1</v>
      </c>
      <c r="AO1435">
        <v>99999</v>
      </c>
      <c r="AP1435" t="s">
        <v>64</v>
      </c>
      <c r="AR1435" t="b">
        <v>0</v>
      </c>
      <c r="AS1435">
        <v>12</v>
      </c>
      <c r="AT1435" t="s">
        <v>327</v>
      </c>
      <c r="AV1435" t="s">
        <v>3245</v>
      </c>
    </row>
    <row r="1436" spans="1:48" x14ac:dyDescent="0.25">
      <c r="A1436" t="s">
        <v>3323</v>
      </c>
      <c r="B1436" t="s">
        <v>302</v>
      </c>
      <c r="C1436" t="s">
        <v>62</v>
      </c>
      <c r="D1436">
        <v>99999</v>
      </c>
      <c r="F1436" s="109">
        <v>20000</v>
      </c>
      <c r="G1436" t="b">
        <v>1</v>
      </c>
      <c r="H1436" t="s">
        <v>339</v>
      </c>
      <c r="K1436" t="s">
        <v>393</v>
      </c>
      <c r="L1436" t="s">
        <v>303</v>
      </c>
      <c r="M1436" t="s">
        <v>323</v>
      </c>
      <c r="N1436" t="s">
        <v>63</v>
      </c>
      <c r="O1436" s="110">
        <v>49.9</v>
      </c>
      <c r="R1436" s="110">
        <v>399.89</v>
      </c>
      <c r="S1436" s="110">
        <v>130</v>
      </c>
      <c r="T1436" s="110">
        <v>0</v>
      </c>
      <c r="U1436" s="110">
        <v>42.99</v>
      </c>
      <c r="X1436">
        <v>156.99999999999994</v>
      </c>
      <c r="Y1436">
        <v>69.900000000000006</v>
      </c>
      <c r="Z1436">
        <v>69.900000000000006</v>
      </c>
      <c r="AA1436">
        <v>0</v>
      </c>
      <c r="AB1436" t="s">
        <v>363</v>
      </c>
      <c r="AF1436" t="s">
        <v>3282</v>
      </c>
      <c r="AG1436" t="s">
        <v>3282</v>
      </c>
      <c r="AH1436" t="s">
        <v>1903</v>
      </c>
      <c r="AI1436">
        <v>99999</v>
      </c>
      <c r="AJ1436">
        <v>99999</v>
      </c>
      <c r="AK1436">
        <v>699</v>
      </c>
      <c r="AL1436" t="b">
        <v>1</v>
      </c>
      <c r="AM1436" t="b">
        <v>1</v>
      </c>
      <c r="AN1436" t="b">
        <v>1</v>
      </c>
      <c r="AO1436">
        <v>99999</v>
      </c>
      <c r="AP1436" t="s">
        <v>64</v>
      </c>
      <c r="AR1436" t="b">
        <v>0</v>
      </c>
      <c r="AS1436">
        <v>12</v>
      </c>
      <c r="AT1436" t="s">
        <v>327</v>
      </c>
      <c r="AV1436" t="s">
        <v>3319</v>
      </c>
    </row>
    <row r="1437" spans="1:48" x14ac:dyDescent="0.25">
      <c r="A1437" t="s">
        <v>3323</v>
      </c>
      <c r="B1437" t="s">
        <v>302</v>
      </c>
      <c r="C1437" t="s">
        <v>62</v>
      </c>
      <c r="D1437">
        <v>99999</v>
      </c>
      <c r="F1437" s="109">
        <v>20000</v>
      </c>
      <c r="G1437" t="b">
        <v>1</v>
      </c>
      <c r="H1437" t="s">
        <v>339</v>
      </c>
      <c r="K1437" t="s">
        <v>364</v>
      </c>
      <c r="L1437" t="s">
        <v>303</v>
      </c>
      <c r="M1437" t="s">
        <v>323</v>
      </c>
      <c r="N1437" t="s">
        <v>63</v>
      </c>
      <c r="O1437" s="110">
        <v>29.9</v>
      </c>
      <c r="R1437" s="110">
        <v>345.58999999999992</v>
      </c>
      <c r="S1437" s="110">
        <v>130</v>
      </c>
      <c r="T1437" s="110">
        <v>0</v>
      </c>
      <c r="U1437" s="110">
        <v>34.99</v>
      </c>
      <c r="X1437">
        <v>130.69999999999993</v>
      </c>
      <c r="Y1437">
        <v>49.9</v>
      </c>
      <c r="Z1437">
        <v>49.9</v>
      </c>
      <c r="AA1437">
        <v>0</v>
      </c>
      <c r="AB1437" t="s">
        <v>363</v>
      </c>
      <c r="AF1437" t="s">
        <v>1930</v>
      </c>
      <c r="AG1437" t="s">
        <v>1930</v>
      </c>
      <c r="AH1437" t="s">
        <v>1903</v>
      </c>
      <c r="AI1437">
        <v>99999</v>
      </c>
      <c r="AJ1437">
        <v>99999</v>
      </c>
      <c r="AK1437">
        <v>699</v>
      </c>
      <c r="AL1437" t="b">
        <v>1</v>
      </c>
      <c r="AM1437" t="b">
        <v>1</v>
      </c>
      <c r="AN1437" t="b">
        <v>1</v>
      </c>
      <c r="AO1437">
        <v>99999</v>
      </c>
      <c r="AP1437" t="s">
        <v>64</v>
      </c>
      <c r="AR1437" t="b">
        <v>0</v>
      </c>
      <c r="AS1437">
        <v>12</v>
      </c>
      <c r="AT1437" t="s">
        <v>327</v>
      </c>
      <c r="AV1437" t="s">
        <v>1941</v>
      </c>
    </row>
    <row r="1438" spans="1:48" x14ac:dyDescent="0.25">
      <c r="A1438" t="s">
        <v>3323</v>
      </c>
      <c r="B1438" t="s">
        <v>302</v>
      </c>
      <c r="C1438" t="s">
        <v>62</v>
      </c>
      <c r="D1438">
        <v>99999</v>
      </c>
      <c r="F1438" s="109">
        <v>20000</v>
      </c>
      <c r="G1438" t="b">
        <v>1</v>
      </c>
      <c r="H1438" t="s">
        <v>339</v>
      </c>
      <c r="K1438" t="s">
        <v>364</v>
      </c>
      <c r="L1438" t="s">
        <v>303</v>
      </c>
      <c r="M1438" t="s">
        <v>323</v>
      </c>
      <c r="N1438" t="s">
        <v>63</v>
      </c>
      <c r="O1438" s="110">
        <v>29.9</v>
      </c>
      <c r="R1438" s="110">
        <v>379.88999999999993</v>
      </c>
      <c r="S1438" s="110">
        <v>130</v>
      </c>
      <c r="T1438" s="110">
        <v>0</v>
      </c>
      <c r="U1438" s="110">
        <v>42.99</v>
      </c>
      <c r="X1438">
        <v>156.99999999999994</v>
      </c>
      <c r="Y1438">
        <v>49.9</v>
      </c>
      <c r="Z1438">
        <v>49.9</v>
      </c>
      <c r="AA1438">
        <v>0</v>
      </c>
      <c r="AB1438" t="s">
        <v>363</v>
      </c>
      <c r="AF1438" t="s">
        <v>2078</v>
      </c>
      <c r="AG1438" t="s">
        <v>2078</v>
      </c>
      <c r="AH1438" t="s">
        <v>1903</v>
      </c>
      <c r="AI1438">
        <v>99999</v>
      </c>
      <c r="AJ1438">
        <v>99999</v>
      </c>
      <c r="AK1438">
        <v>699</v>
      </c>
      <c r="AL1438" t="b">
        <v>1</v>
      </c>
      <c r="AM1438" t="b">
        <v>1</v>
      </c>
      <c r="AN1438" t="b">
        <v>1</v>
      </c>
      <c r="AO1438">
        <v>99999</v>
      </c>
      <c r="AP1438" t="s">
        <v>64</v>
      </c>
      <c r="AR1438" t="b">
        <v>0</v>
      </c>
      <c r="AS1438">
        <v>12</v>
      </c>
      <c r="AT1438" t="s">
        <v>327</v>
      </c>
      <c r="AV1438" t="s">
        <v>2089</v>
      </c>
    </row>
    <row r="1439" spans="1:48" x14ac:dyDescent="0.25">
      <c r="A1439" t="s">
        <v>3323</v>
      </c>
      <c r="B1439" t="s">
        <v>302</v>
      </c>
      <c r="C1439" t="s">
        <v>62</v>
      </c>
      <c r="D1439">
        <v>99999</v>
      </c>
      <c r="F1439" s="109">
        <v>20000</v>
      </c>
      <c r="G1439" t="b">
        <v>1</v>
      </c>
      <c r="H1439" t="s">
        <v>339</v>
      </c>
      <c r="K1439" t="s">
        <v>364</v>
      </c>
      <c r="L1439" t="s">
        <v>303</v>
      </c>
      <c r="M1439" t="s">
        <v>323</v>
      </c>
      <c r="N1439" t="s">
        <v>63</v>
      </c>
      <c r="O1439" s="110">
        <v>39.9</v>
      </c>
      <c r="R1439" s="110">
        <v>345.58999999999992</v>
      </c>
      <c r="S1439" s="110">
        <v>130</v>
      </c>
      <c r="T1439" s="110">
        <v>0</v>
      </c>
      <c r="U1439" s="110">
        <v>34.99</v>
      </c>
      <c r="X1439">
        <v>130.69999999999993</v>
      </c>
      <c r="Y1439">
        <v>49.9</v>
      </c>
      <c r="Z1439">
        <v>49.9</v>
      </c>
      <c r="AA1439">
        <v>0</v>
      </c>
      <c r="AB1439" t="s">
        <v>363</v>
      </c>
      <c r="AF1439" t="s">
        <v>1997</v>
      </c>
      <c r="AG1439" t="s">
        <v>1997</v>
      </c>
      <c r="AH1439" t="s">
        <v>1903</v>
      </c>
      <c r="AI1439">
        <v>99999</v>
      </c>
      <c r="AJ1439">
        <v>99999</v>
      </c>
      <c r="AK1439">
        <v>699</v>
      </c>
      <c r="AL1439" t="b">
        <v>1</v>
      </c>
      <c r="AM1439" t="b">
        <v>1</v>
      </c>
      <c r="AN1439" t="b">
        <v>1</v>
      </c>
      <c r="AO1439">
        <v>99999</v>
      </c>
      <c r="AP1439" t="s">
        <v>64</v>
      </c>
      <c r="AR1439" t="b">
        <v>0</v>
      </c>
      <c r="AS1439">
        <v>12</v>
      </c>
      <c r="AT1439" t="s">
        <v>327</v>
      </c>
      <c r="AV1439" t="s">
        <v>2008</v>
      </c>
    </row>
    <row r="1440" spans="1:48" x14ac:dyDescent="0.25">
      <c r="A1440" t="s">
        <v>3323</v>
      </c>
      <c r="B1440" t="s">
        <v>302</v>
      </c>
      <c r="C1440" t="s">
        <v>62</v>
      </c>
      <c r="D1440">
        <v>99999</v>
      </c>
      <c r="F1440" s="109">
        <v>20000</v>
      </c>
      <c r="G1440" t="b">
        <v>1</v>
      </c>
      <c r="H1440" t="s">
        <v>339</v>
      </c>
      <c r="K1440" t="s">
        <v>364</v>
      </c>
      <c r="L1440" t="s">
        <v>303</v>
      </c>
      <c r="M1440" t="s">
        <v>323</v>
      </c>
      <c r="N1440" t="s">
        <v>63</v>
      </c>
      <c r="O1440" s="110">
        <v>39.9</v>
      </c>
      <c r="R1440" s="110">
        <v>379.88999999999993</v>
      </c>
      <c r="S1440" s="110">
        <v>130</v>
      </c>
      <c r="T1440" s="110">
        <v>0</v>
      </c>
      <c r="U1440" s="110">
        <v>42.99</v>
      </c>
      <c r="X1440">
        <v>156.99999999999994</v>
      </c>
      <c r="Y1440">
        <v>49.9</v>
      </c>
      <c r="Z1440">
        <v>49.9</v>
      </c>
      <c r="AA1440">
        <v>0</v>
      </c>
      <c r="AB1440" t="s">
        <v>363</v>
      </c>
      <c r="AF1440" t="s">
        <v>2145</v>
      </c>
      <c r="AG1440" t="s">
        <v>2145</v>
      </c>
      <c r="AH1440" t="s">
        <v>1903</v>
      </c>
      <c r="AI1440">
        <v>99999</v>
      </c>
      <c r="AJ1440">
        <v>99999</v>
      </c>
      <c r="AK1440">
        <v>699</v>
      </c>
      <c r="AL1440" t="b">
        <v>1</v>
      </c>
      <c r="AM1440" t="b">
        <v>1</v>
      </c>
      <c r="AN1440" t="b">
        <v>1</v>
      </c>
      <c r="AO1440">
        <v>99999</v>
      </c>
      <c r="AP1440" t="s">
        <v>64</v>
      </c>
      <c r="AR1440" t="b">
        <v>0</v>
      </c>
      <c r="AS1440">
        <v>12</v>
      </c>
      <c r="AT1440" t="s">
        <v>327</v>
      </c>
      <c r="AV1440" t="s">
        <v>2156</v>
      </c>
    </row>
    <row r="1441" spans="1:48" x14ac:dyDescent="0.25">
      <c r="A1441" t="s">
        <v>3323</v>
      </c>
      <c r="B1441" t="s">
        <v>302</v>
      </c>
      <c r="C1441" t="s">
        <v>62</v>
      </c>
      <c r="D1441">
        <v>99999</v>
      </c>
      <c r="F1441" s="109">
        <v>20000</v>
      </c>
      <c r="G1441" t="b">
        <v>1</v>
      </c>
      <c r="H1441" t="s">
        <v>339</v>
      </c>
      <c r="K1441" t="s">
        <v>364</v>
      </c>
      <c r="L1441" t="s">
        <v>303</v>
      </c>
      <c r="M1441" t="s">
        <v>323</v>
      </c>
      <c r="N1441" t="s">
        <v>63</v>
      </c>
      <c r="O1441" s="110">
        <v>49.9</v>
      </c>
      <c r="R1441" s="110">
        <v>345.58999999999992</v>
      </c>
      <c r="S1441" s="110">
        <v>130</v>
      </c>
      <c r="T1441" s="110">
        <v>0</v>
      </c>
      <c r="U1441" s="110">
        <v>34.99</v>
      </c>
      <c r="X1441">
        <v>130.69999999999993</v>
      </c>
      <c r="Y1441">
        <v>49.9</v>
      </c>
      <c r="Z1441">
        <v>49.9</v>
      </c>
      <c r="AA1441">
        <v>0</v>
      </c>
      <c r="AB1441" t="s">
        <v>363</v>
      </c>
      <c r="AF1441" t="s">
        <v>3208</v>
      </c>
      <c r="AG1441" t="s">
        <v>3208</v>
      </c>
      <c r="AH1441" t="s">
        <v>1903</v>
      </c>
      <c r="AI1441">
        <v>99999</v>
      </c>
      <c r="AJ1441">
        <v>99999</v>
      </c>
      <c r="AK1441">
        <v>699</v>
      </c>
      <c r="AL1441" t="b">
        <v>1</v>
      </c>
      <c r="AM1441" t="b">
        <v>1</v>
      </c>
      <c r="AN1441" t="b">
        <v>1</v>
      </c>
      <c r="AO1441">
        <v>99999</v>
      </c>
      <c r="AP1441" t="s">
        <v>64</v>
      </c>
      <c r="AR1441" t="b">
        <v>0</v>
      </c>
      <c r="AS1441">
        <v>12</v>
      </c>
      <c r="AT1441" t="s">
        <v>327</v>
      </c>
      <c r="AV1441" t="s">
        <v>3219</v>
      </c>
    </row>
    <row r="1442" spans="1:48" x14ac:dyDescent="0.25">
      <c r="A1442" t="s">
        <v>3323</v>
      </c>
      <c r="B1442" t="s">
        <v>302</v>
      </c>
      <c r="C1442" t="s">
        <v>62</v>
      </c>
      <c r="D1442">
        <v>99999</v>
      </c>
      <c r="F1442" s="109">
        <v>20000</v>
      </c>
      <c r="G1442" t="b">
        <v>1</v>
      </c>
      <c r="H1442" t="s">
        <v>339</v>
      </c>
      <c r="K1442" t="s">
        <v>364</v>
      </c>
      <c r="L1442" t="s">
        <v>303</v>
      </c>
      <c r="M1442" t="s">
        <v>323</v>
      </c>
      <c r="N1442" t="s">
        <v>63</v>
      </c>
      <c r="O1442" s="110">
        <v>49.9</v>
      </c>
      <c r="R1442" s="110">
        <v>379.88999999999993</v>
      </c>
      <c r="S1442" s="110">
        <v>130</v>
      </c>
      <c r="T1442" s="110">
        <v>0</v>
      </c>
      <c r="U1442" s="110">
        <v>42.99</v>
      </c>
      <c r="X1442">
        <v>156.99999999999994</v>
      </c>
      <c r="Y1442">
        <v>49.9</v>
      </c>
      <c r="Z1442">
        <v>49.9</v>
      </c>
      <c r="AA1442">
        <v>0</v>
      </c>
      <c r="AB1442" t="s">
        <v>363</v>
      </c>
      <c r="AF1442" t="s">
        <v>3282</v>
      </c>
      <c r="AG1442" t="s">
        <v>3282</v>
      </c>
      <c r="AH1442" t="s">
        <v>1903</v>
      </c>
      <c r="AI1442">
        <v>99999</v>
      </c>
      <c r="AJ1442">
        <v>99999</v>
      </c>
      <c r="AK1442">
        <v>699</v>
      </c>
      <c r="AL1442" t="b">
        <v>1</v>
      </c>
      <c r="AM1442" t="b">
        <v>1</v>
      </c>
      <c r="AN1442" t="b">
        <v>1</v>
      </c>
      <c r="AO1442">
        <v>99999</v>
      </c>
      <c r="AP1442" t="s">
        <v>64</v>
      </c>
      <c r="AR1442" t="b">
        <v>0</v>
      </c>
      <c r="AS1442">
        <v>12</v>
      </c>
      <c r="AT1442" t="s">
        <v>327</v>
      </c>
      <c r="AV1442" t="s">
        <v>3293</v>
      </c>
    </row>
    <row r="1443" spans="1:48" x14ac:dyDescent="0.25">
      <c r="A1443" t="s">
        <v>3323</v>
      </c>
      <c r="B1443" t="s">
        <v>302</v>
      </c>
      <c r="C1443" t="s">
        <v>62</v>
      </c>
      <c r="D1443">
        <v>99999</v>
      </c>
      <c r="F1443" s="109">
        <v>20000</v>
      </c>
      <c r="G1443" t="b">
        <v>1</v>
      </c>
      <c r="H1443" t="s">
        <v>339</v>
      </c>
      <c r="K1443" t="s">
        <v>379</v>
      </c>
      <c r="L1443" t="s">
        <v>303</v>
      </c>
      <c r="M1443" t="s">
        <v>323</v>
      </c>
      <c r="N1443" t="s">
        <v>63</v>
      </c>
      <c r="O1443" s="110">
        <v>29.9</v>
      </c>
      <c r="R1443" s="110">
        <v>355.58999999999992</v>
      </c>
      <c r="S1443" s="110">
        <v>130</v>
      </c>
      <c r="T1443" s="110">
        <v>0</v>
      </c>
      <c r="U1443" s="110">
        <v>34.99</v>
      </c>
      <c r="X1443">
        <v>130.69999999999993</v>
      </c>
      <c r="Y1443">
        <v>59.9</v>
      </c>
      <c r="Z1443">
        <v>59.9</v>
      </c>
      <c r="AA1443">
        <v>0</v>
      </c>
      <c r="AB1443" t="s">
        <v>363</v>
      </c>
      <c r="AF1443" t="s">
        <v>1930</v>
      </c>
      <c r="AG1443" t="s">
        <v>1930</v>
      </c>
      <c r="AH1443" t="s">
        <v>1903</v>
      </c>
      <c r="AI1443">
        <v>99999</v>
      </c>
      <c r="AJ1443">
        <v>99999</v>
      </c>
      <c r="AK1443">
        <v>699</v>
      </c>
      <c r="AL1443" t="b">
        <v>1</v>
      </c>
      <c r="AM1443" t="b">
        <v>1</v>
      </c>
      <c r="AN1443" t="b">
        <v>1</v>
      </c>
      <c r="AO1443">
        <v>99999</v>
      </c>
      <c r="AP1443" t="s">
        <v>64</v>
      </c>
      <c r="AR1443" t="b">
        <v>0</v>
      </c>
      <c r="AS1443">
        <v>12</v>
      </c>
      <c r="AT1443" t="s">
        <v>327</v>
      </c>
      <c r="AV1443" t="s">
        <v>1954</v>
      </c>
    </row>
    <row r="1444" spans="1:48" x14ac:dyDescent="0.25">
      <c r="A1444" t="s">
        <v>3323</v>
      </c>
      <c r="B1444" t="s">
        <v>302</v>
      </c>
      <c r="C1444" t="s">
        <v>62</v>
      </c>
      <c r="D1444">
        <v>99999</v>
      </c>
      <c r="F1444" s="109">
        <v>20000</v>
      </c>
      <c r="G1444" t="b">
        <v>1</v>
      </c>
      <c r="H1444" t="s">
        <v>339</v>
      </c>
      <c r="K1444" t="s">
        <v>379</v>
      </c>
      <c r="L1444" t="s">
        <v>303</v>
      </c>
      <c r="M1444" t="s">
        <v>323</v>
      </c>
      <c r="N1444" t="s">
        <v>63</v>
      </c>
      <c r="O1444" s="110">
        <v>29.9</v>
      </c>
      <c r="R1444" s="110">
        <v>389.88999999999993</v>
      </c>
      <c r="S1444" s="110">
        <v>130</v>
      </c>
      <c r="T1444" s="110">
        <v>0</v>
      </c>
      <c r="U1444" s="110">
        <v>42.99</v>
      </c>
      <c r="X1444">
        <v>156.99999999999994</v>
      </c>
      <c r="Y1444">
        <v>59.9</v>
      </c>
      <c r="Z1444">
        <v>59.9</v>
      </c>
      <c r="AA1444">
        <v>0</v>
      </c>
      <c r="AB1444" t="s">
        <v>363</v>
      </c>
      <c r="AF1444" t="s">
        <v>2078</v>
      </c>
      <c r="AG1444" t="s">
        <v>2078</v>
      </c>
      <c r="AH1444" t="s">
        <v>1903</v>
      </c>
      <c r="AI1444">
        <v>99999</v>
      </c>
      <c r="AJ1444">
        <v>99999</v>
      </c>
      <c r="AK1444">
        <v>699</v>
      </c>
      <c r="AL1444" t="b">
        <v>1</v>
      </c>
      <c r="AM1444" t="b">
        <v>1</v>
      </c>
      <c r="AN1444" t="b">
        <v>1</v>
      </c>
      <c r="AO1444">
        <v>99999</v>
      </c>
      <c r="AP1444" t="s">
        <v>64</v>
      </c>
      <c r="AR1444" t="b">
        <v>0</v>
      </c>
      <c r="AS1444">
        <v>12</v>
      </c>
      <c r="AT1444" t="s">
        <v>327</v>
      </c>
      <c r="AV1444" t="s">
        <v>2102</v>
      </c>
    </row>
    <row r="1445" spans="1:48" x14ac:dyDescent="0.25">
      <c r="A1445" t="s">
        <v>3323</v>
      </c>
      <c r="B1445" t="s">
        <v>302</v>
      </c>
      <c r="C1445" t="s">
        <v>62</v>
      </c>
      <c r="D1445">
        <v>99999</v>
      </c>
      <c r="F1445" s="109">
        <v>20000</v>
      </c>
      <c r="G1445" t="b">
        <v>1</v>
      </c>
      <c r="H1445" t="s">
        <v>339</v>
      </c>
      <c r="K1445" t="s">
        <v>379</v>
      </c>
      <c r="L1445" t="s">
        <v>303</v>
      </c>
      <c r="M1445" t="s">
        <v>323</v>
      </c>
      <c r="N1445" t="s">
        <v>63</v>
      </c>
      <c r="O1445" s="110">
        <v>39.9</v>
      </c>
      <c r="R1445" s="110">
        <v>355.58999999999992</v>
      </c>
      <c r="S1445" s="110">
        <v>130</v>
      </c>
      <c r="T1445" s="110">
        <v>0</v>
      </c>
      <c r="U1445" s="110">
        <v>34.99</v>
      </c>
      <c r="X1445">
        <v>130.69999999999993</v>
      </c>
      <c r="Y1445">
        <v>59.9</v>
      </c>
      <c r="Z1445">
        <v>59.9</v>
      </c>
      <c r="AA1445">
        <v>0</v>
      </c>
      <c r="AB1445" t="s">
        <v>363</v>
      </c>
      <c r="AF1445" t="s">
        <v>1997</v>
      </c>
      <c r="AG1445" t="s">
        <v>1997</v>
      </c>
      <c r="AH1445" t="s">
        <v>1903</v>
      </c>
      <c r="AI1445">
        <v>99999</v>
      </c>
      <c r="AJ1445">
        <v>99999</v>
      </c>
      <c r="AK1445">
        <v>699</v>
      </c>
      <c r="AL1445" t="b">
        <v>1</v>
      </c>
      <c r="AM1445" t="b">
        <v>1</v>
      </c>
      <c r="AN1445" t="b">
        <v>1</v>
      </c>
      <c r="AO1445">
        <v>99999</v>
      </c>
      <c r="AP1445" t="s">
        <v>64</v>
      </c>
      <c r="AR1445" t="b">
        <v>0</v>
      </c>
      <c r="AS1445">
        <v>12</v>
      </c>
      <c r="AT1445" t="s">
        <v>327</v>
      </c>
      <c r="AV1445" t="s">
        <v>2021</v>
      </c>
    </row>
    <row r="1446" spans="1:48" x14ac:dyDescent="0.25">
      <c r="A1446" t="s">
        <v>3323</v>
      </c>
      <c r="B1446" t="s">
        <v>302</v>
      </c>
      <c r="C1446" t="s">
        <v>62</v>
      </c>
      <c r="D1446">
        <v>99999</v>
      </c>
      <c r="F1446" s="109">
        <v>20000</v>
      </c>
      <c r="G1446" t="b">
        <v>1</v>
      </c>
      <c r="H1446" t="s">
        <v>339</v>
      </c>
      <c r="K1446" t="s">
        <v>379</v>
      </c>
      <c r="L1446" t="s">
        <v>303</v>
      </c>
      <c r="M1446" t="s">
        <v>323</v>
      </c>
      <c r="N1446" t="s">
        <v>63</v>
      </c>
      <c r="O1446" s="110">
        <v>39.9</v>
      </c>
      <c r="R1446" s="110">
        <v>389.88999999999993</v>
      </c>
      <c r="S1446" s="110">
        <v>130</v>
      </c>
      <c r="T1446" s="110">
        <v>0</v>
      </c>
      <c r="U1446" s="110">
        <v>42.99</v>
      </c>
      <c r="X1446">
        <v>156.99999999999994</v>
      </c>
      <c r="Y1446">
        <v>59.9</v>
      </c>
      <c r="Z1446">
        <v>59.9</v>
      </c>
      <c r="AA1446">
        <v>0</v>
      </c>
      <c r="AB1446" t="s">
        <v>363</v>
      </c>
      <c r="AF1446" t="s">
        <v>2145</v>
      </c>
      <c r="AG1446" t="s">
        <v>2145</v>
      </c>
      <c r="AH1446" t="s">
        <v>1903</v>
      </c>
      <c r="AI1446">
        <v>99999</v>
      </c>
      <c r="AJ1446">
        <v>99999</v>
      </c>
      <c r="AK1446">
        <v>699</v>
      </c>
      <c r="AL1446" t="b">
        <v>1</v>
      </c>
      <c r="AM1446" t="b">
        <v>1</v>
      </c>
      <c r="AN1446" t="b">
        <v>1</v>
      </c>
      <c r="AO1446">
        <v>99999</v>
      </c>
      <c r="AP1446" t="s">
        <v>64</v>
      </c>
      <c r="AR1446" t="b">
        <v>0</v>
      </c>
      <c r="AS1446">
        <v>12</v>
      </c>
      <c r="AT1446" t="s">
        <v>327</v>
      </c>
      <c r="AV1446" t="s">
        <v>2169</v>
      </c>
    </row>
    <row r="1447" spans="1:48" x14ac:dyDescent="0.25">
      <c r="A1447" t="s">
        <v>3323</v>
      </c>
      <c r="B1447" t="s">
        <v>302</v>
      </c>
      <c r="C1447" t="s">
        <v>62</v>
      </c>
      <c r="D1447">
        <v>99999</v>
      </c>
      <c r="F1447" s="109">
        <v>20000</v>
      </c>
      <c r="G1447" t="b">
        <v>1</v>
      </c>
      <c r="H1447" t="s">
        <v>339</v>
      </c>
      <c r="K1447" t="s">
        <v>379</v>
      </c>
      <c r="L1447" t="s">
        <v>303</v>
      </c>
      <c r="M1447" t="s">
        <v>323</v>
      </c>
      <c r="N1447" t="s">
        <v>63</v>
      </c>
      <c r="O1447" s="110">
        <v>49.9</v>
      </c>
      <c r="R1447" s="110">
        <v>355.58999999999992</v>
      </c>
      <c r="S1447" s="110">
        <v>130</v>
      </c>
      <c r="T1447" s="110">
        <v>0</v>
      </c>
      <c r="U1447" s="110">
        <v>34.99</v>
      </c>
      <c r="X1447">
        <v>130.69999999999993</v>
      </c>
      <c r="Y1447">
        <v>59.9</v>
      </c>
      <c r="Z1447">
        <v>59.9</v>
      </c>
      <c r="AA1447">
        <v>0</v>
      </c>
      <c r="AB1447" t="s">
        <v>363</v>
      </c>
      <c r="AF1447" t="s">
        <v>3208</v>
      </c>
      <c r="AG1447" t="s">
        <v>3208</v>
      </c>
      <c r="AH1447" t="s">
        <v>1903</v>
      </c>
      <c r="AI1447">
        <v>99999</v>
      </c>
      <c r="AJ1447">
        <v>99999</v>
      </c>
      <c r="AK1447">
        <v>699</v>
      </c>
      <c r="AL1447" t="b">
        <v>1</v>
      </c>
      <c r="AM1447" t="b">
        <v>1</v>
      </c>
      <c r="AN1447" t="b">
        <v>1</v>
      </c>
      <c r="AO1447">
        <v>99999</v>
      </c>
      <c r="AP1447" t="s">
        <v>64</v>
      </c>
      <c r="AR1447" t="b">
        <v>0</v>
      </c>
      <c r="AS1447">
        <v>12</v>
      </c>
      <c r="AT1447" t="s">
        <v>327</v>
      </c>
      <c r="AV1447" t="s">
        <v>3232</v>
      </c>
    </row>
    <row r="1448" spans="1:48" x14ac:dyDescent="0.25">
      <c r="A1448" t="s">
        <v>3323</v>
      </c>
      <c r="B1448" t="s">
        <v>302</v>
      </c>
      <c r="C1448" t="s">
        <v>62</v>
      </c>
      <c r="D1448">
        <v>99999</v>
      </c>
      <c r="F1448" s="109">
        <v>20000</v>
      </c>
      <c r="G1448" t="b">
        <v>1</v>
      </c>
      <c r="H1448" t="s">
        <v>339</v>
      </c>
      <c r="K1448" t="s">
        <v>379</v>
      </c>
      <c r="L1448" t="s">
        <v>303</v>
      </c>
      <c r="M1448" t="s">
        <v>323</v>
      </c>
      <c r="N1448" t="s">
        <v>63</v>
      </c>
      <c r="O1448" s="110">
        <v>49.9</v>
      </c>
      <c r="R1448" s="110">
        <v>389.88999999999993</v>
      </c>
      <c r="S1448" s="110">
        <v>130</v>
      </c>
      <c r="T1448" s="110">
        <v>0</v>
      </c>
      <c r="U1448" s="110">
        <v>42.99</v>
      </c>
      <c r="X1448">
        <v>156.99999999999994</v>
      </c>
      <c r="Y1448">
        <v>59.9</v>
      </c>
      <c r="Z1448">
        <v>59.9</v>
      </c>
      <c r="AA1448">
        <v>0</v>
      </c>
      <c r="AB1448" t="s">
        <v>363</v>
      </c>
      <c r="AF1448" t="s">
        <v>3282</v>
      </c>
      <c r="AG1448" t="s">
        <v>3282</v>
      </c>
      <c r="AH1448" t="s">
        <v>1903</v>
      </c>
      <c r="AI1448">
        <v>99999</v>
      </c>
      <c r="AJ1448">
        <v>99999</v>
      </c>
      <c r="AK1448">
        <v>699</v>
      </c>
      <c r="AL1448" t="b">
        <v>1</v>
      </c>
      <c r="AM1448" t="b">
        <v>1</v>
      </c>
      <c r="AN1448" t="b">
        <v>1</v>
      </c>
      <c r="AO1448">
        <v>99999</v>
      </c>
      <c r="AP1448" t="s">
        <v>64</v>
      </c>
      <c r="AR1448" t="b">
        <v>0</v>
      </c>
      <c r="AS1448">
        <v>12</v>
      </c>
      <c r="AT1448" t="s">
        <v>327</v>
      </c>
      <c r="AV1448" t="s">
        <v>3306</v>
      </c>
    </row>
    <row r="1449" spans="1:48" x14ac:dyDescent="0.25">
      <c r="A1449" t="s">
        <v>3323</v>
      </c>
      <c r="B1449" t="s">
        <v>302</v>
      </c>
      <c r="C1449" t="s">
        <v>62</v>
      </c>
      <c r="D1449">
        <v>99999</v>
      </c>
      <c r="F1449" s="109">
        <v>20000</v>
      </c>
      <c r="G1449" t="b">
        <v>1</v>
      </c>
      <c r="H1449" t="s">
        <v>339</v>
      </c>
      <c r="K1449" t="s">
        <v>61</v>
      </c>
      <c r="L1449" t="s">
        <v>303</v>
      </c>
      <c r="M1449" t="s">
        <v>323</v>
      </c>
      <c r="N1449" t="s">
        <v>63</v>
      </c>
      <c r="O1449" s="110">
        <v>29.9</v>
      </c>
      <c r="R1449" s="110">
        <v>340.58999999999992</v>
      </c>
      <c r="S1449" s="110">
        <v>130</v>
      </c>
      <c r="T1449" s="110">
        <v>0</v>
      </c>
      <c r="U1449" s="110">
        <v>34.99</v>
      </c>
      <c r="X1449">
        <v>130.69999999999993</v>
      </c>
      <c r="Y1449">
        <v>44.9</v>
      </c>
      <c r="Z1449">
        <v>44.9</v>
      </c>
      <c r="AA1449">
        <v>0</v>
      </c>
      <c r="AB1449" t="s">
        <v>324</v>
      </c>
      <c r="AF1449" t="s">
        <v>1902</v>
      </c>
      <c r="AG1449" t="s">
        <v>1902</v>
      </c>
      <c r="AH1449" t="s">
        <v>1903</v>
      </c>
      <c r="AI1449">
        <v>99999</v>
      </c>
      <c r="AJ1449">
        <v>99999</v>
      </c>
      <c r="AK1449">
        <v>699</v>
      </c>
      <c r="AL1449" t="b">
        <v>1</v>
      </c>
      <c r="AM1449" t="b">
        <v>1</v>
      </c>
      <c r="AN1449" t="b">
        <v>1</v>
      </c>
      <c r="AO1449">
        <v>99999</v>
      </c>
      <c r="AP1449" t="s">
        <v>64</v>
      </c>
      <c r="AR1449" t="b">
        <v>0</v>
      </c>
      <c r="AS1449">
        <v>12</v>
      </c>
      <c r="AT1449" t="s">
        <v>327</v>
      </c>
      <c r="AV1449" t="s">
        <v>1914</v>
      </c>
    </row>
    <row r="1450" spans="1:48" x14ac:dyDescent="0.25">
      <c r="A1450" t="s">
        <v>3323</v>
      </c>
      <c r="B1450" t="s">
        <v>302</v>
      </c>
      <c r="C1450" t="s">
        <v>62</v>
      </c>
      <c r="D1450">
        <v>99999</v>
      </c>
      <c r="F1450" s="109">
        <v>20000</v>
      </c>
      <c r="G1450" t="b">
        <v>1</v>
      </c>
      <c r="H1450" t="s">
        <v>339</v>
      </c>
      <c r="K1450" t="s">
        <v>61</v>
      </c>
      <c r="L1450" t="s">
        <v>303</v>
      </c>
      <c r="M1450" t="s">
        <v>323</v>
      </c>
      <c r="N1450" t="s">
        <v>63</v>
      </c>
      <c r="O1450" s="110">
        <v>29.9</v>
      </c>
      <c r="R1450" s="110">
        <v>374.88999999999993</v>
      </c>
      <c r="S1450" s="110">
        <v>130</v>
      </c>
      <c r="T1450" s="110">
        <v>0</v>
      </c>
      <c r="U1450" s="110">
        <v>42.99</v>
      </c>
      <c r="X1450">
        <v>156.99999999999994</v>
      </c>
      <c r="Y1450">
        <v>44.9</v>
      </c>
      <c r="Z1450">
        <v>44.9</v>
      </c>
      <c r="AA1450">
        <v>0</v>
      </c>
      <c r="AB1450" t="s">
        <v>324</v>
      </c>
      <c r="AF1450" t="s">
        <v>2051</v>
      </c>
      <c r="AG1450" t="s">
        <v>2051</v>
      </c>
      <c r="AH1450" t="s">
        <v>1903</v>
      </c>
      <c r="AI1450">
        <v>99999</v>
      </c>
      <c r="AJ1450">
        <v>99999</v>
      </c>
      <c r="AK1450">
        <v>699</v>
      </c>
      <c r="AL1450" t="b">
        <v>1</v>
      </c>
      <c r="AM1450" t="b">
        <v>1</v>
      </c>
      <c r="AN1450" t="b">
        <v>1</v>
      </c>
      <c r="AO1450">
        <v>99999</v>
      </c>
      <c r="AP1450" t="s">
        <v>64</v>
      </c>
      <c r="AR1450" t="b">
        <v>0</v>
      </c>
      <c r="AS1450">
        <v>12</v>
      </c>
      <c r="AT1450" t="s">
        <v>327</v>
      </c>
      <c r="AV1450" t="s">
        <v>2062</v>
      </c>
    </row>
    <row r="1451" spans="1:48" x14ac:dyDescent="0.25">
      <c r="A1451" t="s">
        <v>3323</v>
      </c>
      <c r="B1451" t="s">
        <v>302</v>
      </c>
      <c r="C1451" t="s">
        <v>62</v>
      </c>
      <c r="D1451">
        <v>99999</v>
      </c>
      <c r="F1451" s="109">
        <v>20000</v>
      </c>
      <c r="G1451" t="b">
        <v>1</v>
      </c>
      <c r="H1451" t="s">
        <v>339</v>
      </c>
      <c r="K1451" t="s">
        <v>61</v>
      </c>
      <c r="L1451" t="s">
        <v>303</v>
      </c>
      <c r="M1451" t="s">
        <v>323</v>
      </c>
      <c r="N1451" t="s">
        <v>63</v>
      </c>
      <c r="O1451" s="110">
        <v>39.9</v>
      </c>
      <c r="R1451" s="110">
        <v>340.58999999999992</v>
      </c>
      <c r="S1451" s="110">
        <v>130</v>
      </c>
      <c r="T1451" s="110">
        <v>0</v>
      </c>
      <c r="U1451" s="110">
        <v>34.99</v>
      </c>
      <c r="X1451">
        <v>130.69999999999993</v>
      </c>
      <c r="Y1451">
        <v>44.9</v>
      </c>
      <c r="Z1451">
        <v>44.9</v>
      </c>
      <c r="AA1451">
        <v>0</v>
      </c>
      <c r="AB1451" t="s">
        <v>324</v>
      </c>
      <c r="AF1451" t="s">
        <v>1970</v>
      </c>
      <c r="AG1451" t="s">
        <v>1970</v>
      </c>
      <c r="AH1451" t="s">
        <v>1903</v>
      </c>
      <c r="AI1451">
        <v>99999</v>
      </c>
      <c r="AJ1451">
        <v>99999</v>
      </c>
      <c r="AK1451">
        <v>699</v>
      </c>
      <c r="AL1451" t="b">
        <v>1</v>
      </c>
      <c r="AM1451" t="b">
        <v>1</v>
      </c>
      <c r="AN1451" t="b">
        <v>1</v>
      </c>
      <c r="AO1451">
        <v>99999</v>
      </c>
      <c r="AP1451" t="s">
        <v>64</v>
      </c>
      <c r="AR1451" t="b">
        <v>0</v>
      </c>
      <c r="AS1451">
        <v>12</v>
      </c>
      <c r="AT1451" t="s">
        <v>327</v>
      </c>
      <c r="AV1451" t="s">
        <v>1981</v>
      </c>
    </row>
    <row r="1452" spans="1:48" x14ac:dyDescent="0.25">
      <c r="A1452" t="s">
        <v>3323</v>
      </c>
      <c r="B1452" t="s">
        <v>302</v>
      </c>
      <c r="C1452" t="s">
        <v>62</v>
      </c>
      <c r="D1452">
        <v>99999</v>
      </c>
      <c r="F1452" s="109">
        <v>20000</v>
      </c>
      <c r="G1452" t="b">
        <v>1</v>
      </c>
      <c r="H1452" t="s">
        <v>339</v>
      </c>
      <c r="K1452" t="s">
        <v>61</v>
      </c>
      <c r="L1452" t="s">
        <v>303</v>
      </c>
      <c r="M1452" t="s">
        <v>323</v>
      </c>
      <c r="N1452" t="s">
        <v>63</v>
      </c>
      <c r="O1452" s="110">
        <v>39.9</v>
      </c>
      <c r="R1452" s="110">
        <v>374.88999999999993</v>
      </c>
      <c r="S1452" s="110">
        <v>130</v>
      </c>
      <c r="T1452" s="110">
        <v>0</v>
      </c>
      <c r="U1452" s="110">
        <v>42.99</v>
      </c>
      <c r="X1452">
        <v>156.99999999999994</v>
      </c>
      <c r="Y1452">
        <v>44.9</v>
      </c>
      <c r="Z1452">
        <v>44.9</v>
      </c>
      <c r="AA1452">
        <v>0</v>
      </c>
      <c r="AB1452" t="s">
        <v>324</v>
      </c>
      <c r="AF1452" t="s">
        <v>2118</v>
      </c>
      <c r="AG1452" t="s">
        <v>2118</v>
      </c>
      <c r="AH1452" t="s">
        <v>1903</v>
      </c>
      <c r="AI1452">
        <v>99999</v>
      </c>
      <c r="AJ1452">
        <v>99999</v>
      </c>
      <c r="AK1452">
        <v>699</v>
      </c>
      <c r="AL1452" t="b">
        <v>1</v>
      </c>
      <c r="AM1452" t="b">
        <v>1</v>
      </c>
      <c r="AN1452" t="b">
        <v>1</v>
      </c>
      <c r="AO1452">
        <v>99999</v>
      </c>
      <c r="AP1452" t="s">
        <v>64</v>
      </c>
      <c r="AR1452" t="b">
        <v>0</v>
      </c>
      <c r="AS1452">
        <v>12</v>
      </c>
      <c r="AT1452" t="s">
        <v>327</v>
      </c>
      <c r="AV1452" t="s">
        <v>2129</v>
      </c>
    </row>
    <row r="1453" spans="1:48" x14ac:dyDescent="0.25">
      <c r="A1453" t="s">
        <v>3323</v>
      </c>
      <c r="B1453" t="s">
        <v>302</v>
      </c>
      <c r="C1453" t="s">
        <v>62</v>
      </c>
      <c r="D1453">
        <v>99999</v>
      </c>
      <c r="F1453" s="109">
        <v>20000</v>
      </c>
      <c r="G1453" t="b">
        <v>1</v>
      </c>
      <c r="H1453" t="s">
        <v>339</v>
      </c>
      <c r="K1453" t="s">
        <v>61</v>
      </c>
      <c r="L1453" t="s">
        <v>303</v>
      </c>
      <c r="M1453" t="s">
        <v>323</v>
      </c>
      <c r="N1453" t="s">
        <v>63</v>
      </c>
      <c r="O1453" s="110">
        <v>49.9</v>
      </c>
      <c r="R1453" s="110">
        <v>340.58999999999992</v>
      </c>
      <c r="S1453" s="110">
        <v>130</v>
      </c>
      <c r="T1453" s="110">
        <v>0</v>
      </c>
      <c r="U1453" s="110">
        <v>34.99</v>
      </c>
      <c r="X1453">
        <v>130.69999999999993</v>
      </c>
      <c r="Y1453">
        <v>44.9</v>
      </c>
      <c r="Z1453">
        <v>44.9</v>
      </c>
      <c r="AA1453">
        <v>0</v>
      </c>
      <c r="AB1453" t="s">
        <v>324</v>
      </c>
      <c r="AF1453" t="s">
        <v>3181</v>
      </c>
      <c r="AG1453" t="s">
        <v>3181</v>
      </c>
      <c r="AH1453" t="s">
        <v>1903</v>
      </c>
      <c r="AI1453">
        <v>99999</v>
      </c>
      <c r="AJ1453">
        <v>99999</v>
      </c>
      <c r="AK1453">
        <v>699</v>
      </c>
      <c r="AL1453" t="b">
        <v>1</v>
      </c>
      <c r="AM1453" t="b">
        <v>1</v>
      </c>
      <c r="AN1453" t="b">
        <v>1</v>
      </c>
      <c r="AO1453">
        <v>99999</v>
      </c>
      <c r="AP1453" t="s">
        <v>64</v>
      </c>
      <c r="AR1453" t="b">
        <v>0</v>
      </c>
      <c r="AS1453">
        <v>12</v>
      </c>
      <c r="AT1453" t="s">
        <v>327</v>
      </c>
      <c r="AV1453" t="s">
        <v>3192</v>
      </c>
    </row>
    <row r="1454" spans="1:48" x14ac:dyDescent="0.25">
      <c r="A1454" t="s">
        <v>3323</v>
      </c>
      <c r="B1454" t="s">
        <v>302</v>
      </c>
      <c r="C1454" t="s">
        <v>62</v>
      </c>
      <c r="D1454">
        <v>99999</v>
      </c>
      <c r="F1454" s="109">
        <v>20000</v>
      </c>
      <c r="G1454" t="b">
        <v>1</v>
      </c>
      <c r="H1454" t="s">
        <v>339</v>
      </c>
      <c r="K1454" t="s">
        <v>61</v>
      </c>
      <c r="L1454" t="s">
        <v>303</v>
      </c>
      <c r="M1454" t="s">
        <v>323</v>
      </c>
      <c r="N1454" t="s">
        <v>63</v>
      </c>
      <c r="O1454" s="110">
        <v>49.9</v>
      </c>
      <c r="R1454" s="110">
        <v>374.88999999999993</v>
      </c>
      <c r="S1454" s="110">
        <v>130</v>
      </c>
      <c r="T1454" s="110">
        <v>0</v>
      </c>
      <c r="U1454" s="110">
        <v>42.99</v>
      </c>
      <c r="X1454">
        <v>156.99999999999994</v>
      </c>
      <c r="Y1454">
        <v>44.9</v>
      </c>
      <c r="Z1454">
        <v>44.9</v>
      </c>
      <c r="AA1454">
        <v>0</v>
      </c>
      <c r="AB1454" t="s">
        <v>324</v>
      </c>
      <c r="AF1454" t="s">
        <v>3255</v>
      </c>
      <c r="AG1454" t="s">
        <v>3255</v>
      </c>
      <c r="AH1454" t="s">
        <v>1903</v>
      </c>
      <c r="AI1454">
        <v>99999</v>
      </c>
      <c r="AJ1454">
        <v>99999</v>
      </c>
      <c r="AK1454">
        <v>699</v>
      </c>
      <c r="AL1454" t="b">
        <v>1</v>
      </c>
      <c r="AM1454" t="b">
        <v>1</v>
      </c>
      <c r="AN1454" t="b">
        <v>1</v>
      </c>
      <c r="AO1454">
        <v>99999</v>
      </c>
      <c r="AP1454" t="s">
        <v>64</v>
      </c>
      <c r="AR1454" t="b">
        <v>0</v>
      </c>
      <c r="AS1454">
        <v>12</v>
      </c>
      <c r="AT1454" t="s">
        <v>327</v>
      </c>
      <c r="AV1454" t="s">
        <v>3266</v>
      </c>
    </row>
    <row r="1455" spans="1:48" x14ac:dyDescent="0.25">
      <c r="A1455" t="s">
        <v>3323</v>
      </c>
      <c r="B1455" t="s">
        <v>302</v>
      </c>
      <c r="C1455" t="s">
        <v>62</v>
      </c>
      <c r="D1455">
        <v>99999</v>
      </c>
      <c r="F1455" s="109">
        <v>20000</v>
      </c>
      <c r="G1455" t="b">
        <v>1</v>
      </c>
      <c r="H1455" t="s">
        <v>337</v>
      </c>
      <c r="K1455" t="s">
        <v>349</v>
      </c>
      <c r="L1455" t="s">
        <v>303</v>
      </c>
      <c r="M1455" t="s">
        <v>323</v>
      </c>
      <c r="N1455" t="s">
        <v>63</v>
      </c>
      <c r="O1455" s="110">
        <v>29.9</v>
      </c>
      <c r="R1455" s="110">
        <v>315.58999999999992</v>
      </c>
      <c r="S1455" s="110">
        <v>130</v>
      </c>
      <c r="T1455" s="110">
        <v>0</v>
      </c>
      <c r="U1455" s="110">
        <v>34.99</v>
      </c>
      <c r="X1455">
        <v>105.69999999999996</v>
      </c>
      <c r="Y1455">
        <v>44.9</v>
      </c>
      <c r="Z1455">
        <v>44.9</v>
      </c>
      <c r="AA1455">
        <v>0</v>
      </c>
      <c r="AB1455" t="s">
        <v>324</v>
      </c>
      <c r="AF1455" t="s">
        <v>1902</v>
      </c>
      <c r="AG1455" t="s">
        <v>1902</v>
      </c>
      <c r="AH1455" t="s">
        <v>1903</v>
      </c>
      <c r="AI1455">
        <v>99999</v>
      </c>
      <c r="AJ1455">
        <v>99999</v>
      </c>
      <c r="AK1455">
        <v>699</v>
      </c>
      <c r="AL1455" t="b">
        <v>1</v>
      </c>
      <c r="AM1455" t="b">
        <v>1</v>
      </c>
      <c r="AN1455" t="b">
        <v>1</v>
      </c>
      <c r="AO1455">
        <v>99999</v>
      </c>
      <c r="AP1455" t="s">
        <v>64</v>
      </c>
      <c r="AR1455" t="b">
        <v>0</v>
      </c>
      <c r="AS1455">
        <v>12</v>
      </c>
      <c r="AT1455" t="s">
        <v>327</v>
      </c>
      <c r="AV1455" t="s">
        <v>1926</v>
      </c>
    </row>
    <row r="1456" spans="1:48" x14ac:dyDescent="0.25">
      <c r="A1456" t="s">
        <v>3323</v>
      </c>
      <c r="B1456" t="s">
        <v>302</v>
      </c>
      <c r="C1456" t="s">
        <v>62</v>
      </c>
      <c r="D1456">
        <v>99999</v>
      </c>
      <c r="F1456" s="109">
        <v>20000</v>
      </c>
      <c r="G1456" t="b">
        <v>1</v>
      </c>
      <c r="H1456" t="s">
        <v>337</v>
      </c>
      <c r="K1456" t="s">
        <v>349</v>
      </c>
      <c r="L1456" t="s">
        <v>303</v>
      </c>
      <c r="M1456" t="s">
        <v>323</v>
      </c>
      <c r="N1456" t="s">
        <v>63</v>
      </c>
      <c r="O1456" s="110">
        <v>29.9</v>
      </c>
      <c r="R1456" s="110">
        <v>349.89</v>
      </c>
      <c r="S1456" s="110">
        <v>130</v>
      </c>
      <c r="T1456" s="110">
        <v>0</v>
      </c>
      <c r="U1456" s="110">
        <v>42.99</v>
      </c>
      <c r="X1456">
        <v>131.99999999999997</v>
      </c>
      <c r="Y1456">
        <v>44.9</v>
      </c>
      <c r="Z1456">
        <v>44.9</v>
      </c>
      <c r="AA1456">
        <v>0</v>
      </c>
      <c r="AB1456" t="s">
        <v>324</v>
      </c>
      <c r="AF1456" t="s">
        <v>2051</v>
      </c>
      <c r="AG1456" t="s">
        <v>2051</v>
      </c>
      <c r="AH1456" t="s">
        <v>1903</v>
      </c>
      <c r="AI1456">
        <v>99999</v>
      </c>
      <c r="AJ1456">
        <v>99999</v>
      </c>
      <c r="AK1456">
        <v>699</v>
      </c>
      <c r="AL1456" t="b">
        <v>1</v>
      </c>
      <c r="AM1456" t="b">
        <v>1</v>
      </c>
      <c r="AN1456" t="b">
        <v>1</v>
      </c>
      <c r="AO1456">
        <v>99999</v>
      </c>
      <c r="AP1456" t="s">
        <v>64</v>
      </c>
      <c r="AR1456" t="b">
        <v>0</v>
      </c>
      <c r="AS1456">
        <v>12</v>
      </c>
      <c r="AT1456" t="s">
        <v>327</v>
      </c>
      <c r="AV1456" t="s">
        <v>2074</v>
      </c>
    </row>
    <row r="1457" spans="1:48" x14ac:dyDescent="0.25">
      <c r="A1457" t="s">
        <v>3323</v>
      </c>
      <c r="B1457" t="s">
        <v>302</v>
      </c>
      <c r="C1457" t="s">
        <v>62</v>
      </c>
      <c r="D1457">
        <v>99999</v>
      </c>
      <c r="F1457" s="109">
        <v>20000</v>
      </c>
      <c r="G1457" t="b">
        <v>1</v>
      </c>
      <c r="H1457" t="s">
        <v>337</v>
      </c>
      <c r="K1457" t="s">
        <v>349</v>
      </c>
      <c r="L1457" t="s">
        <v>303</v>
      </c>
      <c r="M1457" t="s">
        <v>323</v>
      </c>
      <c r="N1457" t="s">
        <v>63</v>
      </c>
      <c r="O1457" s="110">
        <v>39.9</v>
      </c>
      <c r="R1457" s="110">
        <v>315.58999999999992</v>
      </c>
      <c r="S1457" s="110">
        <v>130</v>
      </c>
      <c r="T1457" s="110">
        <v>0</v>
      </c>
      <c r="U1457" s="110">
        <v>34.99</v>
      </c>
      <c r="X1457">
        <v>105.69999999999996</v>
      </c>
      <c r="Y1457">
        <v>44.9</v>
      </c>
      <c r="Z1457">
        <v>44.9</v>
      </c>
      <c r="AA1457">
        <v>0</v>
      </c>
      <c r="AB1457" t="s">
        <v>324</v>
      </c>
      <c r="AF1457" t="s">
        <v>1970</v>
      </c>
      <c r="AG1457" t="s">
        <v>1970</v>
      </c>
      <c r="AH1457" t="s">
        <v>1903</v>
      </c>
      <c r="AI1457">
        <v>99999</v>
      </c>
      <c r="AJ1457">
        <v>99999</v>
      </c>
      <c r="AK1457">
        <v>699</v>
      </c>
      <c r="AL1457" t="b">
        <v>1</v>
      </c>
      <c r="AM1457" t="b">
        <v>1</v>
      </c>
      <c r="AN1457" t="b">
        <v>1</v>
      </c>
      <c r="AO1457">
        <v>99999</v>
      </c>
      <c r="AP1457" t="s">
        <v>64</v>
      </c>
      <c r="AR1457" t="b">
        <v>0</v>
      </c>
      <c r="AS1457">
        <v>12</v>
      </c>
      <c r="AT1457" t="s">
        <v>327</v>
      </c>
      <c r="AV1457" t="s">
        <v>1993</v>
      </c>
    </row>
    <row r="1458" spans="1:48" x14ac:dyDescent="0.25">
      <c r="A1458" t="s">
        <v>3323</v>
      </c>
      <c r="B1458" t="s">
        <v>302</v>
      </c>
      <c r="C1458" t="s">
        <v>62</v>
      </c>
      <c r="D1458">
        <v>99999</v>
      </c>
      <c r="F1458" s="109">
        <v>20000</v>
      </c>
      <c r="G1458" t="b">
        <v>1</v>
      </c>
      <c r="H1458" t="s">
        <v>337</v>
      </c>
      <c r="K1458" t="s">
        <v>349</v>
      </c>
      <c r="L1458" t="s">
        <v>303</v>
      </c>
      <c r="M1458" t="s">
        <v>323</v>
      </c>
      <c r="N1458" t="s">
        <v>63</v>
      </c>
      <c r="O1458" s="110">
        <v>39.9</v>
      </c>
      <c r="R1458" s="110">
        <v>349.89</v>
      </c>
      <c r="S1458" s="110">
        <v>130</v>
      </c>
      <c r="T1458" s="110">
        <v>0</v>
      </c>
      <c r="U1458" s="110">
        <v>42.99</v>
      </c>
      <c r="X1458">
        <v>131.99999999999997</v>
      </c>
      <c r="Y1458">
        <v>44.9</v>
      </c>
      <c r="Z1458">
        <v>44.9</v>
      </c>
      <c r="AA1458">
        <v>0</v>
      </c>
      <c r="AB1458" t="s">
        <v>324</v>
      </c>
      <c r="AF1458" t="s">
        <v>2118</v>
      </c>
      <c r="AG1458" t="s">
        <v>2118</v>
      </c>
      <c r="AH1458" t="s">
        <v>1903</v>
      </c>
      <c r="AI1458">
        <v>99999</v>
      </c>
      <c r="AJ1458">
        <v>99999</v>
      </c>
      <c r="AK1458">
        <v>699</v>
      </c>
      <c r="AL1458" t="b">
        <v>1</v>
      </c>
      <c r="AM1458" t="b">
        <v>1</v>
      </c>
      <c r="AN1458" t="b">
        <v>1</v>
      </c>
      <c r="AO1458">
        <v>99999</v>
      </c>
      <c r="AP1458" t="s">
        <v>64</v>
      </c>
      <c r="AR1458" t="b">
        <v>0</v>
      </c>
      <c r="AS1458">
        <v>12</v>
      </c>
      <c r="AT1458" t="s">
        <v>327</v>
      </c>
      <c r="AV1458" t="s">
        <v>2141</v>
      </c>
    </row>
    <row r="1459" spans="1:48" x14ac:dyDescent="0.25">
      <c r="A1459" t="s">
        <v>3323</v>
      </c>
      <c r="B1459" t="s">
        <v>302</v>
      </c>
      <c r="C1459" t="s">
        <v>62</v>
      </c>
      <c r="D1459">
        <v>99999</v>
      </c>
      <c r="F1459" s="109">
        <v>20000</v>
      </c>
      <c r="G1459" t="b">
        <v>1</v>
      </c>
      <c r="H1459" t="s">
        <v>337</v>
      </c>
      <c r="K1459" t="s">
        <v>349</v>
      </c>
      <c r="L1459" t="s">
        <v>303</v>
      </c>
      <c r="M1459" t="s">
        <v>323</v>
      </c>
      <c r="N1459" t="s">
        <v>63</v>
      </c>
      <c r="O1459" s="110">
        <v>49.9</v>
      </c>
      <c r="R1459" s="110">
        <v>315.58999999999992</v>
      </c>
      <c r="S1459" s="110">
        <v>130</v>
      </c>
      <c r="T1459" s="110">
        <v>0</v>
      </c>
      <c r="U1459" s="110">
        <v>34.99</v>
      </c>
      <c r="X1459">
        <v>105.69999999999996</v>
      </c>
      <c r="Y1459">
        <v>44.9</v>
      </c>
      <c r="Z1459">
        <v>44.9</v>
      </c>
      <c r="AA1459">
        <v>0</v>
      </c>
      <c r="AB1459" t="s">
        <v>324</v>
      </c>
      <c r="AF1459" t="s">
        <v>3181</v>
      </c>
      <c r="AG1459" t="s">
        <v>3181</v>
      </c>
      <c r="AH1459" t="s">
        <v>1903</v>
      </c>
      <c r="AI1459">
        <v>99999</v>
      </c>
      <c r="AJ1459">
        <v>99999</v>
      </c>
      <c r="AK1459">
        <v>699</v>
      </c>
      <c r="AL1459" t="b">
        <v>1</v>
      </c>
      <c r="AM1459" t="b">
        <v>1</v>
      </c>
      <c r="AN1459" t="b">
        <v>1</v>
      </c>
      <c r="AO1459">
        <v>99999</v>
      </c>
      <c r="AP1459" t="s">
        <v>64</v>
      </c>
      <c r="AR1459" t="b">
        <v>0</v>
      </c>
      <c r="AS1459">
        <v>12</v>
      </c>
      <c r="AT1459" t="s">
        <v>327</v>
      </c>
      <c r="AV1459" t="s">
        <v>3204</v>
      </c>
    </row>
    <row r="1460" spans="1:48" x14ac:dyDescent="0.25">
      <c r="A1460" t="s">
        <v>3323</v>
      </c>
      <c r="B1460" t="s">
        <v>302</v>
      </c>
      <c r="C1460" t="s">
        <v>62</v>
      </c>
      <c r="D1460">
        <v>99999</v>
      </c>
      <c r="F1460" s="109">
        <v>20000</v>
      </c>
      <c r="G1460" t="b">
        <v>1</v>
      </c>
      <c r="H1460" t="s">
        <v>337</v>
      </c>
      <c r="K1460" t="s">
        <v>349</v>
      </c>
      <c r="L1460" t="s">
        <v>303</v>
      </c>
      <c r="M1460" t="s">
        <v>323</v>
      </c>
      <c r="N1460" t="s">
        <v>63</v>
      </c>
      <c r="O1460" s="110">
        <v>49.9</v>
      </c>
      <c r="R1460" s="110">
        <v>349.89</v>
      </c>
      <c r="S1460" s="110">
        <v>130</v>
      </c>
      <c r="T1460" s="110">
        <v>0</v>
      </c>
      <c r="U1460" s="110">
        <v>42.99</v>
      </c>
      <c r="X1460">
        <v>131.99999999999997</v>
      </c>
      <c r="Y1460">
        <v>44.9</v>
      </c>
      <c r="Z1460">
        <v>44.9</v>
      </c>
      <c r="AA1460">
        <v>0</v>
      </c>
      <c r="AB1460" t="s">
        <v>324</v>
      </c>
      <c r="AF1460" t="s">
        <v>3255</v>
      </c>
      <c r="AG1460" t="s">
        <v>3255</v>
      </c>
      <c r="AH1460" t="s">
        <v>1903</v>
      </c>
      <c r="AI1460">
        <v>99999</v>
      </c>
      <c r="AJ1460">
        <v>99999</v>
      </c>
      <c r="AK1460">
        <v>699</v>
      </c>
      <c r="AL1460" t="b">
        <v>1</v>
      </c>
      <c r="AM1460" t="b">
        <v>1</v>
      </c>
      <c r="AN1460" t="b">
        <v>1</v>
      </c>
      <c r="AO1460">
        <v>99999</v>
      </c>
      <c r="AP1460" t="s">
        <v>64</v>
      </c>
      <c r="AR1460" t="b">
        <v>0</v>
      </c>
      <c r="AS1460">
        <v>12</v>
      </c>
      <c r="AT1460" t="s">
        <v>327</v>
      </c>
      <c r="AV1460" t="s">
        <v>3278</v>
      </c>
    </row>
    <row r="1461" spans="1:48" x14ac:dyDescent="0.25">
      <c r="A1461" t="s">
        <v>3323</v>
      </c>
      <c r="B1461" t="s">
        <v>302</v>
      </c>
      <c r="C1461" t="s">
        <v>62</v>
      </c>
      <c r="D1461">
        <v>99999</v>
      </c>
      <c r="F1461" s="109">
        <v>20000</v>
      </c>
      <c r="G1461" t="b">
        <v>1</v>
      </c>
      <c r="H1461" t="s">
        <v>337</v>
      </c>
      <c r="K1461" t="s">
        <v>393</v>
      </c>
      <c r="L1461" t="s">
        <v>303</v>
      </c>
      <c r="M1461" t="s">
        <v>323</v>
      </c>
      <c r="N1461" t="s">
        <v>63</v>
      </c>
      <c r="O1461" s="110">
        <v>29.9</v>
      </c>
      <c r="R1461" s="110">
        <v>340.59</v>
      </c>
      <c r="S1461" s="110">
        <v>130</v>
      </c>
      <c r="T1461" s="110">
        <v>0</v>
      </c>
      <c r="U1461" s="110">
        <v>34.99</v>
      </c>
      <c r="X1461">
        <v>105.69999999999996</v>
      </c>
      <c r="Y1461">
        <v>69.900000000000006</v>
      </c>
      <c r="Z1461">
        <v>69.900000000000006</v>
      </c>
      <c r="AA1461">
        <v>0</v>
      </c>
      <c r="AB1461" t="s">
        <v>363</v>
      </c>
      <c r="AF1461" t="s">
        <v>1930</v>
      </c>
      <c r="AG1461" t="s">
        <v>1930</v>
      </c>
      <c r="AH1461" t="s">
        <v>1903</v>
      </c>
      <c r="AI1461">
        <v>99999</v>
      </c>
      <c r="AJ1461">
        <v>99999</v>
      </c>
      <c r="AK1461">
        <v>699</v>
      </c>
      <c r="AL1461" t="b">
        <v>1</v>
      </c>
      <c r="AM1461" t="b">
        <v>1</v>
      </c>
      <c r="AN1461" t="b">
        <v>1</v>
      </c>
      <c r="AO1461">
        <v>99999</v>
      </c>
      <c r="AP1461" t="s">
        <v>64</v>
      </c>
      <c r="AR1461" t="b">
        <v>0</v>
      </c>
      <c r="AS1461">
        <v>12</v>
      </c>
      <c r="AT1461" t="s">
        <v>327</v>
      </c>
      <c r="AV1461" t="s">
        <v>1966</v>
      </c>
    </row>
    <row r="1462" spans="1:48" x14ac:dyDescent="0.25">
      <c r="A1462" t="s">
        <v>3323</v>
      </c>
      <c r="B1462" t="s">
        <v>302</v>
      </c>
      <c r="C1462" t="s">
        <v>62</v>
      </c>
      <c r="D1462">
        <v>99999</v>
      </c>
      <c r="F1462" s="109">
        <v>20000</v>
      </c>
      <c r="G1462" t="b">
        <v>1</v>
      </c>
      <c r="H1462" t="s">
        <v>337</v>
      </c>
      <c r="K1462" t="s">
        <v>393</v>
      </c>
      <c r="L1462" t="s">
        <v>303</v>
      </c>
      <c r="M1462" t="s">
        <v>323</v>
      </c>
      <c r="N1462" t="s">
        <v>63</v>
      </c>
      <c r="O1462" s="110">
        <v>29.9</v>
      </c>
      <c r="R1462" s="110">
        <v>374.89</v>
      </c>
      <c r="S1462" s="110">
        <v>130</v>
      </c>
      <c r="T1462" s="110">
        <v>0</v>
      </c>
      <c r="U1462" s="110">
        <v>42.99</v>
      </c>
      <c r="X1462">
        <v>131.99999999999997</v>
      </c>
      <c r="Y1462">
        <v>69.900000000000006</v>
      </c>
      <c r="Z1462">
        <v>69.900000000000006</v>
      </c>
      <c r="AA1462">
        <v>0</v>
      </c>
      <c r="AB1462" t="s">
        <v>363</v>
      </c>
      <c r="AF1462" t="s">
        <v>2078</v>
      </c>
      <c r="AG1462" t="s">
        <v>2078</v>
      </c>
      <c r="AH1462" t="s">
        <v>1903</v>
      </c>
      <c r="AI1462">
        <v>99999</v>
      </c>
      <c r="AJ1462">
        <v>99999</v>
      </c>
      <c r="AK1462">
        <v>699</v>
      </c>
      <c r="AL1462" t="b">
        <v>1</v>
      </c>
      <c r="AM1462" t="b">
        <v>1</v>
      </c>
      <c r="AN1462" t="b">
        <v>1</v>
      </c>
      <c r="AO1462">
        <v>99999</v>
      </c>
      <c r="AP1462" t="s">
        <v>64</v>
      </c>
      <c r="AR1462" t="b">
        <v>0</v>
      </c>
      <c r="AS1462">
        <v>12</v>
      </c>
      <c r="AT1462" t="s">
        <v>327</v>
      </c>
      <c r="AV1462" t="s">
        <v>2114</v>
      </c>
    </row>
    <row r="1463" spans="1:48" x14ac:dyDescent="0.25">
      <c r="A1463" t="s">
        <v>3323</v>
      </c>
      <c r="B1463" t="s">
        <v>302</v>
      </c>
      <c r="C1463" t="s">
        <v>62</v>
      </c>
      <c r="D1463">
        <v>99999</v>
      </c>
      <c r="F1463" s="109">
        <v>20000</v>
      </c>
      <c r="G1463" t="b">
        <v>1</v>
      </c>
      <c r="H1463" t="s">
        <v>337</v>
      </c>
      <c r="K1463" t="s">
        <v>393</v>
      </c>
      <c r="L1463" t="s">
        <v>303</v>
      </c>
      <c r="M1463" t="s">
        <v>323</v>
      </c>
      <c r="N1463" t="s">
        <v>63</v>
      </c>
      <c r="O1463" s="110">
        <v>39.9</v>
      </c>
      <c r="R1463" s="110">
        <v>340.59</v>
      </c>
      <c r="S1463" s="110">
        <v>130</v>
      </c>
      <c r="T1463" s="110">
        <v>0</v>
      </c>
      <c r="U1463" s="110">
        <v>34.99</v>
      </c>
      <c r="X1463">
        <v>105.69999999999996</v>
      </c>
      <c r="Y1463">
        <v>69.900000000000006</v>
      </c>
      <c r="Z1463">
        <v>69.900000000000006</v>
      </c>
      <c r="AA1463">
        <v>0</v>
      </c>
      <c r="AB1463" t="s">
        <v>363</v>
      </c>
      <c r="AF1463" t="s">
        <v>1997</v>
      </c>
      <c r="AG1463" t="s">
        <v>1997</v>
      </c>
      <c r="AH1463" t="s">
        <v>1903</v>
      </c>
      <c r="AI1463">
        <v>99999</v>
      </c>
      <c r="AJ1463">
        <v>99999</v>
      </c>
      <c r="AK1463">
        <v>699</v>
      </c>
      <c r="AL1463" t="b">
        <v>1</v>
      </c>
      <c r="AM1463" t="b">
        <v>1</v>
      </c>
      <c r="AN1463" t="b">
        <v>1</v>
      </c>
      <c r="AO1463">
        <v>99999</v>
      </c>
      <c r="AP1463" t="s">
        <v>64</v>
      </c>
      <c r="AR1463" t="b">
        <v>0</v>
      </c>
      <c r="AS1463">
        <v>12</v>
      </c>
      <c r="AT1463" t="s">
        <v>327</v>
      </c>
      <c r="AV1463" t="s">
        <v>2033</v>
      </c>
    </row>
    <row r="1464" spans="1:48" x14ac:dyDescent="0.25">
      <c r="A1464" t="s">
        <v>3323</v>
      </c>
      <c r="B1464" t="s">
        <v>302</v>
      </c>
      <c r="C1464" t="s">
        <v>62</v>
      </c>
      <c r="D1464">
        <v>99999</v>
      </c>
      <c r="F1464" s="109">
        <v>20000</v>
      </c>
      <c r="G1464" t="b">
        <v>1</v>
      </c>
      <c r="H1464" t="s">
        <v>337</v>
      </c>
      <c r="K1464" t="s">
        <v>393</v>
      </c>
      <c r="L1464" t="s">
        <v>303</v>
      </c>
      <c r="M1464" t="s">
        <v>323</v>
      </c>
      <c r="N1464" t="s">
        <v>63</v>
      </c>
      <c r="O1464" s="110">
        <v>39.9</v>
      </c>
      <c r="R1464" s="110">
        <v>374.89</v>
      </c>
      <c r="S1464" s="110">
        <v>130</v>
      </c>
      <c r="T1464" s="110">
        <v>0</v>
      </c>
      <c r="U1464" s="110">
        <v>42.99</v>
      </c>
      <c r="X1464">
        <v>131.99999999999997</v>
      </c>
      <c r="Y1464">
        <v>69.900000000000006</v>
      </c>
      <c r="Z1464">
        <v>69.900000000000006</v>
      </c>
      <c r="AA1464">
        <v>0</v>
      </c>
      <c r="AB1464" t="s">
        <v>363</v>
      </c>
      <c r="AF1464" t="s">
        <v>2145</v>
      </c>
      <c r="AG1464" t="s">
        <v>2145</v>
      </c>
      <c r="AH1464" t="s">
        <v>1903</v>
      </c>
      <c r="AI1464">
        <v>99999</v>
      </c>
      <c r="AJ1464">
        <v>99999</v>
      </c>
      <c r="AK1464">
        <v>699</v>
      </c>
      <c r="AL1464" t="b">
        <v>1</v>
      </c>
      <c r="AM1464" t="b">
        <v>1</v>
      </c>
      <c r="AN1464" t="b">
        <v>1</v>
      </c>
      <c r="AO1464">
        <v>99999</v>
      </c>
      <c r="AP1464" t="s">
        <v>64</v>
      </c>
      <c r="AR1464" t="b">
        <v>0</v>
      </c>
      <c r="AS1464">
        <v>12</v>
      </c>
      <c r="AT1464" t="s">
        <v>327</v>
      </c>
      <c r="AV1464" t="s">
        <v>2181</v>
      </c>
    </row>
    <row r="1465" spans="1:48" x14ac:dyDescent="0.25">
      <c r="A1465" t="s">
        <v>3323</v>
      </c>
      <c r="B1465" t="s">
        <v>302</v>
      </c>
      <c r="C1465" t="s">
        <v>62</v>
      </c>
      <c r="D1465">
        <v>99999</v>
      </c>
      <c r="F1465" s="109">
        <v>20000</v>
      </c>
      <c r="G1465" t="b">
        <v>1</v>
      </c>
      <c r="H1465" t="s">
        <v>337</v>
      </c>
      <c r="K1465" t="s">
        <v>393</v>
      </c>
      <c r="L1465" t="s">
        <v>303</v>
      </c>
      <c r="M1465" t="s">
        <v>323</v>
      </c>
      <c r="N1465" t="s">
        <v>63</v>
      </c>
      <c r="O1465" s="110">
        <v>49.9</v>
      </c>
      <c r="R1465" s="110">
        <v>340.59</v>
      </c>
      <c r="S1465" s="110">
        <v>130</v>
      </c>
      <c r="T1465" s="110">
        <v>0</v>
      </c>
      <c r="U1465" s="110">
        <v>34.99</v>
      </c>
      <c r="X1465">
        <v>105.69999999999996</v>
      </c>
      <c r="Y1465">
        <v>69.900000000000006</v>
      </c>
      <c r="Z1465">
        <v>69.900000000000006</v>
      </c>
      <c r="AA1465">
        <v>0</v>
      </c>
      <c r="AB1465" t="s">
        <v>363</v>
      </c>
      <c r="AF1465" t="s">
        <v>3208</v>
      </c>
      <c r="AG1465" t="s">
        <v>3208</v>
      </c>
      <c r="AH1465" t="s">
        <v>1903</v>
      </c>
      <c r="AI1465">
        <v>99999</v>
      </c>
      <c r="AJ1465">
        <v>99999</v>
      </c>
      <c r="AK1465">
        <v>699</v>
      </c>
      <c r="AL1465" t="b">
        <v>1</v>
      </c>
      <c r="AM1465" t="b">
        <v>1</v>
      </c>
      <c r="AN1465" t="b">
        <v>1</v>
      </c>
      <c r="AO1465">
        <v>99999</v>
      </c>
      <c r="AP1465" t="s">
        <v>64</v>
      </c>
      <c r="AR1465" t="b">
        <v>0</v>
      </c>
      <c r="AS1465">
        <v>12</v>
      </c>
      <c r="AT1465" t="s">
        <v>327</v>
      </c>
      <c r="AV1465" t="s">
        <v>3244</v>
      </c>
    </row>
    <row r="1466" spans="1:48" x14ac:dyDescent="0.25">
      <c r="A1466" t="s">
        <v>3323</v>
      </c>
      <c r="B1466" t="s">
        <v>302</v>
      </c>
      <c r="C1466" t="s">
        <v>62</v>
      </c>
      <c r="D1466">
        <v>99999</v>
      </c>
      <c r="F1466" s="109">
        <v>20000</v>
      </c>
      <c r="G1466" t="b">
        <v>1</v>
      </c>
      <c r="H1466" t="s">
        <v>337</v>
      </c>
      <c r="K1466" t="s">
        <v>393</v>
      </c>
      <c r="L1466" t="s">
        <v>303</v>
      </c>
      <c r="M1466" t="s">
        <v>323</v>
      </c>
      <c r="N1466" t="s">
        <v>63</v>
      </c>
      <c r="O1466" s="110">
        <v>49.9</v>
      </c>
      <c r="R1466" s="110">
        <v>374.89</v>
      </c>
      <c r="S1466" s="110">
        <v>130</v>
      </c>
      <c r="T1466" s="110">
        <v>0</v>
      </c>
      <c r="U1466" s="110">
        <v>42.99</v>
      </c>
      <c r="X1466">
        <v>131.99999999999997</v>
      </c>
      <c r="Y1466">
        <v>69.900000000000006</v>
      </c>
      <c r="Z1466">
        <v>69.900000000000006</v>
      </c>
      <c r="AA1466">
        <v>0</v>
      </c>
      <c r="AB1466" t="s">
        <v>363</v>
      </c>
      <c r="AF1466" t="s">
        <v>3282</v>
      </c>
      <c r="AG1466" t="s">
        <v>3282</v>
      </c>
      <c r="AH1466" t="s">
        <v>1903</v>
      </c>
      <c r="AI1466">
        <v>99999</v>
      </c>
      <c r="AJ1466">
        <v>99999</v>
      </c>
      <c r="AK1466">
        <v>699</v>
      </c>
      <c r="AL1466" t="b">
        <v>1</v>
      </c>
      <c r="AM1466" t="b">
        <v>1</v>
      </c>
      <c r="AN1466" t="b">
        <v>1</v>
      </c>
      <c r="AO1466">
        <v>99999</v>
      </c>
      <c r="AP1466" t="s">
        <v>64</v>
      </c>
      <c r="AR1466" t="b">
        <v>0</v>
      </c>
      <c r="AS1466">
        <v>12</v>
      </c>
      <c r="AT1466" t="s">
        <v>327</v>
      </c>
      <c r="AV1466" t="s">
        <v>3318</v>
      </c>
    </row>
    <row r="1467" spans="1:48" x14ac:dyDescent="0.25">
      <c r="A1467" t="s">
        <v>3323</v>
      </c>
      <c r="B1467" t="s">
        <v>302</v>
      </c>
      <c r="C1467" t="s">
        <v>62</v>
      </c>
      <c r="D1467">
        <v>99999</v>
      </c>
      <c r="F1467" s="109">
        <v>20000</v>
      </c>
      <c r="G1467" t="b">
        <v>1</v>
      </c>
      <c r="H1467" t="s">
        <v>337</v>
      </c>
      <c r="K1467" t="s">
        <v>364</v>
      </c>
      <c r="L1467" t="s">
        <v>303</v>
      </c>
      <c r="M1467" t="s">
        <v>323</v>
      </c>
      <c r="N1467" t="s">
        <v>63</v>
      </c>
      <c r="O1467" s="110">
        <v>29.9</v>
      </c>
      <c r="R1467" s="110">
        <v>320.58999999999992</v>
      </c>
      <c r="S1467" s="110">
        <v>130</v>
      </c>
      <c r="T1467" s="110">
        <v>0</v>
      </c>
      <c r="U1467" s="110">
        <v>34.99</v>
      </c>
      <c r="X1467">
        <v>105.69999999999996</v>
      </c>
      <c r="Y1467">
        <v>49.9</v>
      </c>
      <c r="Z1467">
        <v>49.9</v>
      </c>
      <c r="AA1467">
        <v>0</v>
      </c>
      <c r="AB1467" t="s">
        <v>363</v>
      </c>
      <c r="AF1467" t="s">
        <v>1930</v>
      </c>
      <c r="AG1467" t="s">
        <v>1930</v>
      </c>
      <c r="AH1467" t="s">
        <v>1903</v>
      </c>
      <c r="AI1467">
        <v>99999</v>
      </c>
      <c r="AJ1467">
        <v>99999</v>
      </c>
      <c r="AK1467">
        <v>699</v>
      </c>
      <c r="AL1467" t="b">
        <v>1</v>
      </c>
      <c r="AM1467" t="b">
        <v>1</v>
      </c>
      <c r="AN1467" t="b">
        <v>1</v>
      </c>
      <c r="AO1467">
        <v>99999</v>
      </c>
      <c r="AP1467" t="s">
        <v>64</v>
      </c>
      <c r="AR1467" t="b">
        <v>0</v>
      </c>
      <c r="AS1467">
        <v>12</v>
      </c>
      <c r="AT1467" t="s">
        <v>327</v>
      </c>
      <c r="AV1467" t="s">
        <v>1940</v>
      </c>
    </row>
    <row r="1468" spans="1:48" x14ac:dyDescent="0.25">
      <c r="A1468" t="s">
        <v>3323</v>
      </c>
      <c r="B1468" t="s">
        <v>302</v>
      </c>
      <c r="C1468" t="s">
        <v>62</v>
      </c>
      <c r="D1468">
        <v>99999</v>
      </c>
      <c r="F1468" s="109">
        <v>20000</v>
      </c>
      <c r="G1468" t="b">
        <v>1</v>
      </c>
      <c r="H1468" t="s">
        <v>337</v>
      </c>
      <c r="K1468" t="s">
        <v>364</v>
      </c>
      <c r="L1468" t="s">
        <v>303</v>
      </c>
      <c r="M1468" t="s">
        <v>323</v>
      </c>
      <c r="N1468" t="s">
        <v>63</v>
      </c>
      <c r="O1468" s="110">
        <v>29.9</v>
      </c>
      <c r="R1468" s="110">
        <v>354.89</v>
      </c>
      <c r="S1468" s="110">
        <v>130</v>
      </c>
      <c r="T1468" s="110">
        <v>0</v>
      </c>
      <c r="U1468" s="110">
        <v>42.99</v>
      </c>
      <c r="X1468">
        <v>131.99999999999997</v>
      </c>
      <c r="Y1468">
        <v>49.9</v>
      </c>
      <c r="Z1468">
        <v>49.9</v>
      </c>
      <c r="AA1468">
        <v>0</v>
      </c>
      <c r="AB1468" t="s">
        <v>363</v>
      </c>
      <c r="AF1468" t="s">
        <v>2078</v>
      </c>
      <c r="AG1468" t="s">
        <v>2078</v>
      </c>
      <c r="AH1468" t="s">
        <v>1903</v>
      </c>
      <c r="AI1468">
        <v>99999</v>
      </c>
      <c r="AJ1468">
        <v>99999</v>
      </c>
      <c r="AK1468">
        <v>699</v>
      </c>
      <c r="AL1468" t="b">
        <v>1</v>
      </c>
      <c r="AM1468" t="b">
        <v>1</v>
      </c>
      <c r="AN1468" t="b">
        <v>1</v>
      </c>
      <c r="AO1468">
        <v>99999</v>
      </c>
      <c r="AP1468" t="s">
        <v>64</v>
      </c>
      <c r="AR1468" t="b">
        <v>0</v>
      </c>
      <c r="AS1468">
        <v>12</v>
      </c>
      <c r="AT1468" t="s">
        <v>327</v>
      </c>
      <c r="AV1468" t="s">
        <v>2088</v>
      </c>
    </row>
    <row r="1469" spans="1:48" x14ac:dyDescent="0.25">
      <c r="A1469" t="s">
        <v>3323</v>
      </c>
      <c r="B1469" t="s">
        <v>302</v>
      </c>
      <c r="C1469" t="s">
        <v>62</v>
      </c>
      <c r="D1469">
        <v>99999</v>
      </c>
      <c r="F1469" s="109">
        <v>20000</v>
      </c>
      <c r="G1469" t="b">
        <v>1</v>
      </c>
      <c r="H1469" t="s">
        <v>337</v>
      </c>
      <c r="K1469" t="s">
        <v>364</v>
      </c>
      <c r="L1469" t="s">
        <v>303</v>
      </c>
      <c r="M1469" t="s">
        <v>323</v>
      </c>
      <c r="N1469" t="s">
        <v>63</v>
      </c>
      <c r="O1469" s="110">
        <v>39.9</v>
      </c>
      <c r="R1469" s="110">
        <v>320.58999999999992</v>
      </c>
      <c r="S1469" s="110">
        <v>130</v>
      </c>
      <c r="T1469" s="110">
        <v>0</v>
      </c>
      <c r="U1469" s="110">
        <v>34.99</v>
      </c>
      <c r="X1469">
        <v>105.69999999999996</v>
      </c>
      <c r="Y1469">
        <v>49.9</v>
      </c>
      <c r="Z1469">
        <v>49.9</v>
      </c>
      <c r="AA1469">
        <v>0</v>
      </c>
      <c r="AB1469" t="s">
        <v>363</v>
      </c>
      <c r="AF1469" t="s">
        <v>1997</v>
      </c>
      <c r="AG1469" t="s">
        <v>1997</v>
      </c>
      <c r="AH1469" t="s">
        <v>1903</v>
      </c>
      <c r="AI1469">
        <v>99999</v>
      </c>
      <c r="AJ1469">
        <v>99999</v>
      </c>
      <c r="AK1469">
        <v>699</v>
      </c>
      <c r="AL1469" t="b">
        <v>1</v>
      </c>
      <c r="AM1469" t="b">
        <v>1</v>
      </c>
      <c r="AN1469" t="b">
        <v>1</v>
      </c>
      <c r="AO1469">
        <v>99999</v>
      </c>
      <c r="AP1469" t="s">
        <v>64</v>
      </c>
      <c r="AR1469" t="b">
        <v>0</v>
      </c>
      <c r="AS1469">
        <v>12</v>
      </c>
      <c r="AT1469" t="s">
        <v>327</v>
      </c>
      <c r="AV1469" t="s">
        <v>2007</v>
      </c>
    </row>
    <row r="1470" spans="1:48" x14ac:dyDescent="0.25">
      <c r="A1470" t="s">
        <v>3323</v>
      </c>
      <c r="B1470" t="s">
        <v>302</v>
      </c>
      <c r="C1470" t="s">
        <v>62</v>
      </c>
      <c r="D1470">
        <v>99999</v>
      </c>
      <c r="F1470" s="109">
        <v>20000</v>
      </c>
      <c r="G1470" t="b">
        <v>1</v>
      </c>
      <c r="H1470" t="s">
        <v>337</v>
      </c>
      <c r="K1470" t="s">
        <v>364</v>
      </c>
      <c r="L1470" t="s">
        <v>303</v>
      </c>
      <c r="M1470" t="s">
        <v>323</v>
      </c>
      <c r="N1470" t="s">
        <v>63</v>
      </c>
      <c r="O1470" s="110">
        <v>39.9</v>
      </c>
      <c r="R1470" s="110">
        <v>354.89</v>
      </c>
      <c r="S1470" s="110">
        <v>130</v>
      </c>
      <c r="T1470" s="110">
        <v>0</v>
      </c>
      <c r="U1470" s="110">
        <v>42.99</v>
      </c>
      <c r="X1470">
        <v>131.99999999999997</v>
      </c>
      <c r="Y1470">
        <v>49.9</v>
      </c>
      <c r="Z1470">
        <v>49.9</v>
      </c>
      <c r="AA1470">
        <v>0</v>
      </c>
      <c r="AB1470" t="s">
        <v>363</v>
      </c>
      <c r="AF1470" t="s">
        <v>2145</v>
      </c>
      <c r="AG1470" t="s">
        <v>2145</v>
      </c>
      <c r="AH1470" t="s">
        <v>1903</v>
      </c>
      <c r="AI1470">
        <v>99999</v>
      </c>
      <c r="AJ1470">
        <v>99999</v>
      </c>
      <c r="AK1470">
        <v>699</v>
      </c>
      <c r="AL1470" t="b">
        <v>1</v>
      </c>
      <c r="AM1470" t="b">
        <v>1</v>
      </c>
      <c r="AN1470" t="b">
        <v>1</v>
      </c>
      <c r="AO1470">
        <v>99999</v>
      </c>
      <c r="AP1470" t="s">
        <v>64</v>
      </c>
      <c r="AR1470" t="b">
        <v>0</v>
      </c>
      <c r="AS1470">
        <v>12</v>
      </c>
      <c r="AT1470" t="s">
        <v>327</v>
      </c>
      <c r="AV1470" t="s">
        <v>2155</v>
      </c>
    </row>
    <row r="1471" spans="1:48" x14ac:dyDescent="0.25">
      <c r="A1471" t="s">
        <v>3323</v>
      </c>
      <c r="B1471" t="s">
        <v>302</v>
      </c>
      <c r="C1471" t="s">
        <v>62</v>
      </c>
      <c r="D1471">
        <v>99999</v>
      </c>
      <c r="F1471" s="109">
        <v>20000</v>
      </c>
      <c r="G1471" t="b">
        <v>1</v>
      </c>
      <c r="H1471" t="s">
        <v>337</v>
      </c>
      <c r="K1471" t="s">
        <v>364</v>
      </c>
      <c r="L1471" t="s">
        <v>303</v>
      </c>
      <c r="M1471" t="s">
        <v>323</v>
      </c>
      <c r="N1471" t="s">
        <v>63</v>
      </c>
      <c r="O1471" s="110">
        <v>49.9</v>
      </c>
      <c r="R1471" s="110">
        <v>320.58999999999992</v>
      </c>
      <c r="S1471" s="110">
        <v>130</v>
      </c>
      <c r="T1471" s="110">
        <v>0</v>
      </c>
      <c r="U1471" s="110">
        <v>34.99</v>
      </c>
      <c r="X1471">
        <v>105.69999999999996</v>
      </c>
      <c r="Y1471">
        <v>49.9</v>
      </c>
      <c r="Z1471">
        <v>49.9</v>
      </c>
      <c r="AA1471">
        <v>0</v>
      </c>
      <c r="AB1471" t="s">
        <v>363</v>
      </c>
      <c r="AF1471" t="s">
        <v>3208</v>
      </c>
      <c r="AG1471" t="s">
        <v>3208</v>
      </c>
      <c r="AH1471" t="s">
        <v>1903</v>
      </c>
      <c r="AI1471">
        <v>99999</v>
      </c>
      <c r="AJ1471">
        <v>99999</v>
      </c>
      <c r="AK1471">
        <v>699</v>
      </c>
      <c r="AL1471" t="b">
        <v>1</v>
      </c>
      <c r="AM1471" t="b">
        <v>1</v>
      </c>
      <c r="AN1471" t="b">
        <v>1</v>
      </c>
      <c r="AO1471">
        <v>99999</v>
      </c>
      <c r="AP1471" t="s">
        <v>64</v>
      </c>
      <c r="AR1471" t="b">
        <v>0</v>
      </c>
      <c r="AS1471">
        <v>12</v>
      </c>
      <c r="AT1471" t="s">
        <v>327</v>
      </c>
      <c r="AV1471" t="s">
        <v>3218</v>
      </c>
    </row>
    <row r="1472" spans="1:48" x14ac:dyDescent="0.25">
      <c r="A1472" t="s">
        <v>3323</v>
      </c>
      <c r="B1472" t="s">
        <v>302</v>
      </c>
      <c r="C1472" t="s">
        <v>62</v>
      </c>
      <c r="D1472">
        <v>99999</v>
      </c>
      <c r="F1472" s="109">
        <v>20000</v>
      </c>
      <c r="G1472" t="b">
        <v>1</v>
      </c>
      <c r="H1472" t="s">
        <v>337</v>
      </c>
      <c r="K1472" t="s">
        <v>364</v>
      </c>
      <c r="L1472" t="s">
        <v>303</v>
      </c>
      <c r="M1472" t="s">
        <v>323</v>
      </c>
      <c r="N1472" t="s">
        <v>63</v>
      </c>
      <c r="O1472" s="110">
        <v>49.9</v>
      </c>
      <c r="R1472" s="110">
        <v>354.89</v>
      </c>
      <c r="S1472" s="110">
        <v>130</v>
      </c>
      <c r="T1472" s="110">
        <v>0</v>
      </c>
      <c r="U1472" s="110">
        <v>42.99</v>
      </c>
      <c r="X1472">
        <v>131.99999999999997</v>
      </c>
      <c r="Y1472">
        <v>49.9</v>
      </c>
      <c r="Z1472">
        <v>49.9</v>
      </c>
      <c r="AA1472">
        <v>0</v>
      </c>
      <c r="AB1472" t="s">
        <v>363</v>
      </c>
      <c r="AF1472" t="s">
        <v>3282</v>
      </c>
      <c r="AG1472" t="s">
        <v>3282</v>
      </c>
      <c r="AH1472" t="s">
        <v>1903</v>
      </c>
      <c r="AI1472">
        <v>99999</v>
      </c>
      <c r="AJ1472">
        <v>99999</v>
      </c>
      <c r="AK1472">
        <v>699</v>
      </c>
      <c r="AL1472" t="b">
        <v>1</v>
      </c>
      <c r="AM1472" t="b">
        <v>1</v>
      </c>
      <c r="AN1472" t="b">
        <v>1</v>
      </c>
      <c r="AO1472">
        <v>99999</v>
      </c>
      <c r="AP1472" t="s">
        <v>64</v>
      </c>
      <c r="AR1472" t="b">
        <v>0</v>
      </c>
      <c r="AS1472">
        <v>12</v>
      </c>
      <c r="AT1472" t="s">
        <v>327</v>
      </c>
      <c r="AV1472" t="s">
        <v>3292</v>
      </c>
    </row>
    <row r="1473" spans="1:48" x14ac:dyDescent="0.25">
      <c r="A1473" t="s">
        <v>3323</v>
      </c>
      <c r="B1473" t="s">
        <v>302</v>
      </c>
      <c r="C1473" t="s">
        <v>62</v>
      </c>
      <c r="D1473">
        <v>99999</v>
      </c>
      <c r="F1473" s="109">
        <v>20000</v>
      </c>
      <c r="G1473" t="b">
        <v>1</v>
      </c>
      <c r="H1473" t="s">
        <v>337</v>
      </c>
      <c r="K1473" t="s">
        <v>379</v>
      </c>
      <c r="L1473" t="s">
        <v>303</v>
      </c>
      <c r="M1473" t="s">
        <v>323</v>
      </c>
      <c r="N1473" t="s">
        <v>63</v>
      </c>
      <c r="O1473" s="110">
        <v>29.9</v>
      </c>
      <c r="R1473" s="110">
        <v>330.58999999999992</v>
      </c>
      <c r="S1473" s="110">
        <v>130</v>
      </c>
      <c r="T1473" s="110">
        <v>0</v>
      </c>
      <c r="U1473" s="110">
        <v>34.99</v>
      </c>
      <c r="X1473">
        <v>105.69999999999996</v>
      </c>
      <c r="Y1473">
        <v>59.9</v>
      </c>
      <c r="Z1473">
        <v>59.9</v>
      </c>
      <c r="AA1473">
        <v>0</v>
      </c>
      <c r="AB1473" t="s">
        <v>363</v>
      </c>
      <c r="AF1473" t="s">
        <v>1930</v>
      </c>
      <c r="AG1473" t="s">
        <v>1930</v>
      </c>
      <c r="AH1473" t="s">
        <v>1903</v>
      </c>
      <c r="AI1473">
        <v>99999</v>
      </c>
      <c r="AJ1473">
        <v>99999</v>
      </c>
      <c r="AK1473">
        <v>699</v>
      </c>
      <c r="AL1473" t="b">
        <v>1</v>
      </c>
      <c r="AM1473" t="b">
        <v>1</v>
      </c>
      <c r="AN1473" t="b">
        <v>1</v>
      </c>
      <c r="AO1473">
        <v>99999</v>
      </c>
      <c r="AP1473" t="s">
        <v>64</v>
      </c>
      <c r="AR1473" t="b">
        <v>0</v>
      </c>
      <c r="AS1473">
        <v>12</v>
      </c>
      <c r="AT1473" t="s">
        <v>327</v>
      </c>
      <c r="AV1473" t="s">
        <v>1953</v>
      </c>
    </row>
    <row r="1474" spans="1:48" x14ac:dyDescent="0.25">
      <c r="A1474" t="s">
        <v>3323</v>
      </c>
      <c r="B1474" t="s">
        <v>302</v>
      </c>
      <c r="C1474" t="s">
        <v>62</v>
      </c>
      <c r="D1474">
        <v>99999</v>
      </c>
      <c r="F1474" s="109">
        <v>20000</v>
      </c>
      <c r="G1474" t="b">
        <v>1</v>
      </c>
      <c r="H1474" t="s">
        <v>337</v>
      </c>
      <c r="K1474" t="s">
        <v>379</v>
      </c>
      <c r="L1474" t="s">
        <v>303</v>
      </c>
      <c r="M1474" t="s">
        <v>323</v>
      </c>
      <c r="N1474" t="s">
        <v>63</v>
      </c>
      <c r="O1474" s="110">
        <v>29.9</v>
      </c>
      <c r="R1474" s="110">
        <v>364.89</v>
      </c>
      <c r="S1474" s="110">
        <v>130</v>
      </c>
      <c r="T1474" s="110">
        <v>0</v>
      </c>
      <c r="U1474" s="110">
        <v>42.99</v>
      </c>
      <c r="X1474">
        <v>131.99999999999997</v>
      </c>
      <c r="Y1474">
        <v>59.9</v>
      </c>
      <c r="Z1474">
        <v>59.9</v>
      </c>
      <c r="AA1474">
        <v>0</v>
      </c>
      <c r="AB1474" t="s">
        <v>363</v>
      </c>
      <c r="AF1474" t="s">
        <v>2078</v>
      </c>
      <c r="AG1474" t="s">
        <v>2078</v>
      </c>
      <c r="AH1474" t="s">
        <v>1903</v>
      </c>
      <c r="AI1474">
        <v>99999</v>
      </c>
      <c r="AJ1474">
        <v>99999</v>
      </c>
      <c r="AK1474">
        <v>699</v>
      </c>
      <c r="AL1474" t="b">
        <v>1</v>
      </c>
      <c r="AM1474" t="b">
        <v>1</v>
      </c>
      <c r="AN1474" t="b">
        <v>1</v>
      </c>
      <c r="AO1474">
        <v>99999</v>
      </c>
      <c r="AP1474" t="s">
        <v>64</v>
      </c>
      <c r="AR1474" t="b">
        <v>0</v>
      </c>
      <c r="AS1474">
        <v>12</v>
      </c>
      <c r="AT1474" t="s">
        <v>327</v>
      </c>
      <c r="AV1474" t="s">
        <v>2101</v>
      </c>
    </row>
    <row r="1475" spans="1:48" x14ac:dyDescent="0.25">
      <c r="A1475" t="s">
        <v>3323</v>
      </c>
      <c r="B1475" t="s">
        <v>302</v>
      </c>
      <c r="C1475" t="s">
        <v>62</v>
      </c>
      <c r="D1475">
        <v>99999</v>
      </c>
      <c r="F1475" s="109">
        <v>20000</v>
      </c>
      <c r="G1475" t="b">
        <v>1</v>
      </c>
      <c r="H1475" t="s">
        <v>337</v>
      </c>
      <c r="K1475" t="s">
        <v>379</v>
      </c>
      <c r="L1475" t="s">
        <v>303</v>
      </c>
      <c r="M1475" t="s">
        <v>323</v>
      </c>
      <c r="N1475" t="s">
        <v>63</v>
      </c>
      <c r="O1475" s="110">
        <v>39.9</v>
      </c>
      <c r="R1475" s="110">
        <v>330.58999999999992</v>
      </c>
      <c r="S1475" s="110">
        <v>130</v>
      </c>
      <c r="T1475" s="110">
        <v>0</v>
      </c>
      <c r="U1475" s="110">
        <v>34.99</v>
      </c>
      <c r="X1475">
        <v>105.69999999999996</v>
      </c>
      <c r="Y1475">
        <v>59.9</v>
      </c>
      <c r="Z1475">
        <v>59.9</v>
      </c>
      <c r="AA1475">
        <v>0</v>
      </c>
      <c r="AB1475" t="s">
        <v>363</v>
      </c>
      <c r="AF1475" t="s">
        <v>1997</v>
      </c>
      <c r="AG1475" t="s">
        <v>1997</v>
      </c>
      <c r="AH1475" t="s">
        <v>1903</v>
      </c>
      <c r="AI1475">
        <v>99999</v>
      </c>
      <c r="AJ1475">
        <v>99999</v>
      </c>
      <c r="AK1475">
        <v>699</v>
      </c>
      <c r="AL1475" t="b">
        <v>1</v>
      </c>
      <c r="AM1475" t="b">
        <v>1</v>
      </c>
      <c r="AN1475" t="b">
        <v>1</v>
      </c>
      <c r="AO1475">
        <v>99999</v>
      </c>
      <c r="AP1475" t="s">
        <v>64</v>
      </c>
      <c r="AR1475" t="b">
        <v>0</v>
      </c>
      <c r="AS1475">
        <v>12</v>
      </c>
      <c r="AT1475" t="s">
        <v>327</v>
      </c>
      <c r="AV1475" t="s">
        <v>2020</v>
      </c>
    </row>
    <row r="1476" spans="1:48" x14ac:dyDescent="0.25">
      <c r="A1476" t="s">
        <v>3323</v>
      </c>
      <c r="B1476" t="s">
        <v>302</v>
      </c>
      <c r="C1476" t="s">
        <v>62</v>
      </c>
      <c r="D1476">
        <v>99999</v>
      </c>
      <c r="F1476" s="109">
        <v>20000</v>
      </c>
      <c r="G1476" t="b">
        <v>1</v>
      </c>
      <c r="H1476" t="s">
        <v>337</v>
      </c>
      <c r="K1476" t="s">
        <v>379</v>
      </c>
      <c r="L1476" t="s">
        <v>303</v>
      </c>
      <c r="M1476" t="s">
        <v>323</v>
      </c>
      <c r="N1476" t="s">
        <v>63</v>
      </c>
      <c r="O1476" s="110">
        <v>39.9</v>
      </c>
      <c r="R1476" s="110">
        <v>364.89</v>
      </c>
      <c r="S1476" s="110">
        <v>130</v>
      </c>
      <c r="T1476" s="110">
        <v>0</v>
      </c>
      <c r="U1476" s="110">
        <v>42.99</v>
      </c>
      <c r="X1476">
        <v>131.99999999999997</v>
      </c>
      <c r="Y1476">
        <v>59.9</v>
      </c>
      <c r="Z1476">
        <v>59.9</v>
      </c>
      <c r="AA1476">
        <v>0</v>
      </c>
      <c r="AB1476" t="s">
        <v>363</v>
      </c>
      <c r="AF1476" t="s">
        <v>2145</v>
      </c>
      <c r="AG1476" t="s">
        <v>2145</v>
      </c>
      <c r="AH1476" t="s">
        <v>1903</v>
      </c>
      <c r="AI1476">
        <v>99999</v>
      </c>
      <c r="AJ1476">
        <v>99999</v>
      </c>
      <c r="AK1476">
        <v>699</v>
      </c>
      <c r="AL1476" t="b">
        <v>1</v>
      </c>
      <c r="AM1476" t="b">
        <v>1</v>
      </c>
      <c r="AN1476" t="b">
        <v>1</v>
      </c>
      <c r="AO1476">
        <v>99999</v>
      </c>
      <c r="AP1476" t="s">
        <v>64</v>
      </c>
      <c r="AR1476" t="b">
        <v>0</v>
      </c>
      <c r="AS1476">
        <v>12</v>
      </c>
      <c r="AT1476" t="s">
        <v>327</v>
      </c>
      <c r="AV1476" t="s">
        <v>2168</v>
      </c>
    </row>
    <row r="1477" spans="1:48" x14ac:dyDescent="0.25">
      <c r="A1477" t="s">
        <v>3323</v>
      </c>
      <c r="B1477" t="s">
        <v>302</v>
      </c>
      <c r="C1477" t="s">
        <v>62</v>
      </c>
      <c r="D1477">
        <v>99999</v>
      </c>
      <c r="F1477" s="109">
        <v>20000</v>
      </c>
      <c r="G1477" t="b">
        <v>1</v>
      </c>
      <c r="H1477" t="s">
        <v>337</v>
      </c>
      <c r="K1477" t="s">
        <v>379</v>
      </c>
      <c r="L1477" t="s">
        <v>303</v>
      </c>
      <c r="M1477" t="s">
        <v>323</v>
      </c>
      <c r="N1477" t="s">
        <v>63</v>
      </c>
      <c r="O1477" s="110">
        <v>49.9</v>
      </c>
      <c r="R1477" s="110">
        <v>330.58999999999992</v>
      </c>
      <c r="S1477" s="110">
        <v>130</v>
      </c>
      <c r="T1477" s="110">
        <v>0</v>
      </c>
      <c r="U1477" s="110">
        <v>34.99</v>
      </c>
      <c r="X1477">
        <v>105.69999999999996</v>
      </c>
      <c r="Y1477">
        <v>59.9</v>
      </c>
      <c r="Z1477">
        <v>59.9</v>
      </c>
      <c r="AA1477">
        <v>0</v>
      </c>
      <c r="AB1477" t="s">
        <v>363</v>
      </c>
      <c r="AF1477" t="s">
        <v>3208</v>
      </c>
      <c r="AG1477" t="s">
        <v>3208</v>
      </c>
      <c r="AH1477" t="s">
        <v>1903</v>
      </c>
      <c r="AI1477">
        <v>99999</v>
      </c>
      <c r="AJ1477">
        <v>99999</v>
      </c>
      <c r="AK1477">
        <v>699</v>
      </c>
      <c r="AL1477" t="b">
        <v>1</v>
      </c>
      <c r="AM1477" t="b">
        <v>1</v>
      </c>
      <c r="AN1477" t="b">
        <v>1</v>
      </c>
      <c r="AO1477">
        <v>99999</v>
      </c>
      <c r="AP1477" t="s">
        <v>64</v>
      </c>
      <c r="AR1477" t="b">
        <v>0</v>
      </c>
      <c r="AS1477">
        <v>12</v>
      </c>
      <c r="AT1477" t="s">
        <v>327</v>
      </c>
      <c r="AV1477" t="s">
        <v>3231</v>
      </c>
    </row>
    <row r="1478" spans="1:48" x14ac:dyDescent="0.25">
      <c r="A1478" t="s">
        <v>3323</v>
      </c>
      <c r="B1478" t="s">
        <v>302</v>
      </c>
      <c r="C1478" t="s">
        <v>62</v>
      </c>
      <c r="D1478">
        <v>99999</v>
      </c>
      <c r="F1478" s="109">
        <v>20000</v>
      </c>
      <c r="G1478" t="b">
        <v>1</v>
      </c>
      <c r="H1478" t="s">
        <v>337</v>
      </c>
      <c r="K1478" t="s">
        <v>379</v>
      </c>
      <c r="L1478" t="s">
        <v>303</v>
      </c>
      <c r="M1478" t="s">
        <v>323</v>
      </c>
      <c r="N1478" t="s">
        <v>63</v>
      </c>
      <c r="O1478" s="110">
        <v>49.9</v>
      </c>
      <c r="R1478" s="110">
        <v>364.89</v>
      </c>
      <c r="S1478" s="110">
        <v>130</v>
      </c>
      <c r="T1478" s="110">
        <v>0</v>
      </c>
      <c r="U1478" s="110">
        <v>42.99</v>
      </c>
      <c r="X1478">
        <v>131.99999999999997</v>
      </c>
      <c r="Y1478">
        <v>59.9</v>
      </c>
      <c r="Z1478">
        <v>59.9</v>
      </c>
      <c r="AA1478">
        <v>0</v>
      </c>
      <c r="AB1478" t="s">
        <v>363</v>
      </c>
      <c r="AF1478" t="s">
        <v>3282</v>
      </c>
      <c r="AG1478" t="s">
        <v>3282</v>
      </c>
      <c r="AH1478" t="s">
        <v>1903</v>
      </c>
      <c r="AI1478">
        <v>99999</v>
      </c>
      <c r="AJ1478">
        <v>99999</v>
      </c>
      <c r="AK1478">
        <v>699</v>
      </c>
      <c r="AL1478" t="b">
        <v>1</v>
      </c>
      <c r="AM1478" t="b">
        <v>1</v>
      </c>
      <c r="AN1478" t="b">
        <v>1</v>
      </c>
      <c r="AO1478">
        <v>99999</v>
      </c>
      <c r="AP1478" t="s">
        <v>64</v>
      </c>
      <c r="AR1478" t="b">
        <v>0</v>
      </c>
      <c r="AS1478">
        <v>12</v>
      </c>
      <c r="AT1478" t="s">
        <v>327</v>
      </c>
      <c r="AV1478" t="s">
        <v>3305</v>
      </c>
    </row>
    <row r="1479" spans="1:48" x14ac:dyDescent="0.25">
      <c r="A1479" t="s">
        <v>3323</v>
      </c>
      <c r="B1479" t="s">
        <v>302</v>
      </c>
      <c r="C1479" t="s">
        <v>62</v>
      </c>
      <c r="D1479">
        <v>99999</v>
      </c>
      <c r="F1479" s="109">
        <v>20000</v>
      </c>
      <c r="G1479" t="b">
        <v>1</v>
      </c>
      <c r="H1479" t="s">
        <v>337</v>
      </c>
      <c r="K1479" t="s">
        <v>61</v>
      </c>
      <c r="L1479" t="s">
        <v>303</v>
      </c>
      <c r="M1479" t="s">
        <v>323</v>
      </c>
      <c r="N1479" t="s">
        <v>63</v>
      </c>
      <c r="O1479" s="110">
        <v>29.9</v>
      </c>
      <c r="R1479" s="110">
        <v>315.58999999999992</v>
      </c>
      <c r="S1479" s="110">
        <v>130</v>
      </c>
      <c r="T1479" s="110">
        <v>0</v>
      </c>
      <c r="U1479" s="110">
        <v>34.99</v>
      </c>
      <c r="X1479">
        <v>105.69999999999996</v>
      </c>
      <c r="Y1479">
        <v>44.9</v>
      </c>
      <c r="Z1479">
        <v>44.9</v>
      </c>
      <c r="AA1479">
        <v>0</v>
      </c>
      <c r="AB1479" t="s">
        <v>324</v>
      </c>
      <c r="AF1479" t="s">
        <v>1902</v>
      </c>
      <c r="AG1479" t="s">
        <v>1902</v>
      </c>
      <c r="AH1479" t="s">
        <v>1903</v>
      </c>
      <c r="AI1479">
        <v>99999</v>
      </c>
      <c r="AJ1479">
        <v>99999</v>
      </c>
      <c r="AK1479">
        <v>699</v>
      </c>
      <c r="AL1479" t="b">
        <v>1</v>
      </c>
      <c r="AM1479" t="b">
        <v>1</v>
      </c>
      <c r="AN1479" t="b">
        <v>1</v>
      </c>
      <c r="AO1479">
        <v>99999</v>
      </c>
      <c r="AP1479" t="s">
        <v>64</v>
      </c>
      <c r="AR1479" t="b">
        <v>0</v>
      </c>
      <c r="AS1479">
        <v>12</v>
      </c>
      <c r="AT1479" t="s">
        <v>327</v>
      </c>
      <c r="AV1479" t="s">
        <v>1913</v>
      </c>
    </row>
    <row r="1480" spans="1:48" x14ac:dyDescent="0.25">
      <c r="A1480" t="s">
        <v>3323</v>
      </c>
      <c r="B1480" t="s">
        <v>302</v>
      </c>
      <c r="C1480" t="s">
        <v>62</v>
      </c>
      <c r="D1480">
        <v>99999</v>
      </c>
      <c r="F1480" s="109">
        <v>20000</v>
      </c>
      <c r="G1480" t="b">
        <v>1</v>
      </c>
      <c r="H1480" t="s">
        <v>337</v>
      </c>
      <c r="K1480" t="s">
        <v>61</v>
      </c>
      <c r="L1480" t="s">
        <v>303</v>
      </c>
      <c r="M1480" t="s">
        <v>323</v>
      </c>
      <c r="N1480" t="s">
        <v>63</v>
      </c>
      <c r="O1480" s="110">
        <v>29.9</v>
      </c>
      <c r="R1480" s="110">
        <v>349.89</v>
      </c>
      <c r="S1480" s="110">
        <v>130</v>
      </c>
      <c r="T1480" s="110">
        <v>0</v>
      </c>
      <c r="U1480" s="110">
        <v>42.99</v>
      </c>
      <c r="X1480">
        <v>131.99999999999997</v>
      </c>
      <c r="Y1480">
        <v>44.9</v>
      </c>
      <c r="Z1480">
        <v>44.9</v>
      </c>
      <c r="AA1480">
        <v>0</v>
      </c>
      <c r="AB1480" t="s">
        <v>324</v>
      </c>
      <c r="AF1480" t="s">
        <v>2051</v>
      </c>
      <c r="AG1480" t="s">
        <v>2051</v>
      </c>
      <c r="AH1480" t="s">
        <v>1903</v>
      </c>
      <c r="AI1480">
        <v>99999</v>
      </c>
      <c r="AJ1480">
        <v>99999</v>
      </c>
      <c r="AK1480">
        <v>699</v>
      </c>
      <c r="AL1480" t="b">
        <v>1</v>
      </c>
      <c r="AM1480" t="b">
        <v>1</v>
      </c>
      <c r="AN1480" t="b">
        <v>1</v>
      </c>
      <c r="AO1480">
        <v>99999</v>
      </c>
      <c r="AP1480" t="s">
        <v>64</v>
      </c>
      <c r="AR1480" t="b">
        <v>0</v>
      </c>
      <c r="AS1480">
        <v>12</v>
      </c>
      <c r="AT1480" t="s">
        <v>327</v>
      </c>
      <c r="AV1480" t="s">
        <v>2061</v>
      </c>
    </row>
    <row r="1481" spans="1:48" x14ac:dyDescent="0.25">
      <c r="A1481" t="s">
        <v>3323</v>
      </c>
      <c r="B1481" t="s">
        <v>302</v>
      </c>
      <c r="C1481" t="s">
        <v>62</v>
      </c>
      <c r="D1481">
        <v>99999</v>
      </c>
      <c r="F1481" s="109">
        <v>20000</v>
      </c>
      <c r="G1481" t="b">
        <v>1</v>
      </c>
      <c r="H1481" t="s">
        <v>337</v>
      </c>
      <c r="K1481" t="s">
        <v>61</v>
      </c>
      <c r="L1481" t="s">
        <v>303</v>
      </c>
      <c r="M1481" t="s">
        <v>323</v>
      </c>
      <c r="N1481" t="s">
        <v>63</v>
      </c>
      <c r="O1481" s="110">
        <v>39.9</v>
      </c>
      <c r="R1481" s="110">
        <v>315.58999999999992</v>
      </c>
      <c r="S1481" s="110">
        <v>130</v>
      </c>
      <c r="T1481" s="110">
        <v>0</v>
      </c>
      <c r="U1481" s="110">
        <v>34.99</v>
      </c>
      <c r="X1481">
        <v>105.69999999999996</v>
      </c>
      <c r="Y1481">
        <v>44.9</v>
      </c>
      <c r="Z1481">
        <v>44.9</v>
      </c>
      <c r="AA1481">
        <v>0</v>
      </c>
      <c r="AB1481" t="s">
        <v>324</v>
      </c>
      <c r="AF1481" t="s">
        <v>1970</v>
      </c>
      <c r="AG1481" t="s">
        <v>1970</v>
      </c>
      <c r="AH1481" t="s">
        <v>1903</v>
      </c>
      <c r="AI1481">
        <v>99999</v>
      </c>
      <c r="AJ1481">
        <v>99999</v>
      </c>
      <c r="AK1481">
        <v>699</v>
      </c>
      <c r="AL1481" t="b">
        <v>1</v>
      </c>
      <c r="AM1481" t="b">
        <v>1</v>
      </c>
      <c r="AN1481" t="b">
        <v>1</v>
      </c>
      <c r="AO1481">
        <v>99999</v>
      </c>
      <c r="AP1481" t="s">
        <v>64</v>
      </c>
      <c r="AR1481" t="b">
        <v>0</v>
      </c>
      <c r="AS1481">
        <v>12</v>
      </c>
      <c r="AT1481" t="s">
        <v>327</v>
      </c>
      <c r="AV1481" t="s">
        <v>1980</v>
      </c>
    </row>
    <row r="1482" spans="1:48" x14ac:dyDescent="0.25">
      <c r="A1482" t="s">
        <v>3323</v>
      </c>
      <c r="B1482" t="s">
        <v>302</v>
      </c>
      <c r="C1482" t="s">
        <v>62</v>
      </c>
      <c r="D1482">
        <v>99999</v>
      </c>
      <c r="F1482" s="109">
        <v>20000</v>
      </c>
      <c r="G1482" t="b">
        <v>1</v>
      </c>
      <c r="H1482" t="s">
        <v>337</v>
      </c>
      <c r="K1482" t="s">
        <v>61</v>
      </c>
      <c r="L1482" t="s">
        <v>303</v>
      </c>
      <c r="M1482" t="s">
        <v>323</v>
      </c>
      <c r="N1482" t="s">
        <v>63</v>
      </c>
      <c r="O1482" s="110">
        <v>39.9</v>
      </c>
      <c r="R1482" s="110">
        <v>349.89</v>
      </c>
      <c r="S1482" s="110">
        <v>130</v>
      </c>
      <c r="T1482" s="110">
        <v>0</v>
      </c>
      <c r="U1482" s="110">
        <v>42.99</v>
      </c>
      <c r="X1482">
        <v>131.99999999999997</v>
      </c>
      <c r="Y1482">
        <v>44.9</v>
      </c>
      <c r="Z1482">
        <v>44.9</v>
      </c>
      <c r="AA1482">
        <v>0</v>
      </c>
      <c r="AB1482" t="s">
        <v>324</v>
      </c>
      <c r="AF1482" t="s">
        <v>2118</v>
      </c>
      <c r="AG1482" t="s">
        <v>2118</v>
      </c>
      <c r="AH1482" t="s">
        <v>1903</v>
      </c>
      <c r="AI1482">
        <v>99999</v>
      </c>
      <c r="AJ1482">
        <v>99999</v>
      </c>
      <c r="AK1482">
        <v>699</v>
      </c>
      <c r="AL1482" t="b">
        <v>1</v>
      </c>
      <c r="AM1482" t="b">
        <v>1</v>
      </c>
      <c r="AN1482" t="b">
        <v>1</v>
      </c>
      <c r="AO1482">
        <v>99999</v>
      </c>
      <c r="AP1482" t="s">
        <v>64</v>
      </c>
      <c r="AR1482" t="b">
        <v>0</v>
      </c>
      <c r="AS1482">
        <v>12</v>
      </c>
      <c r="AT1482" t="s">
        <v>327</v>
      </c>
      <c r="AV1482" t="s">
        <v>2128</v>
      </c>
    </row>
    <row r="1483" spans="1:48" x14ac:dyDescent="0.25">
      <c r="A1483" t="s">
        <v>3323</v>
      </c>
      <c r="B1483" t="s">
        <v>302</v>
      </c>
      <c r="C1483" t="s">
        <v>62</v>
      </c>
      <c r="D1483">
        <v>99999</v>
      </c>
      <c r="F1483" s="109">
        <v>20000</v>
      </c>
      <c r="G1483" t="b">
        <v>1</v>
      </c>
      <c r="H1483" t="s">
        <v>337</v>
      </c>
      <c r="K1483" t="s">
        <v>61</v>
      </c>
      <c r="L1483" t="s">
        <v>303</v>
      </c>
      <c r="M1483" t="s">
        <v>323</v>
      </c>
      <c r="N1483" t="s">
        <v>63</v>
      </c>
      <c r="O1483" s="110">
        <v>49.9</v>
      </c>
      <c r="R1483" s="110">
        <v>315.58999999999992</v>
      </c>
      <c r="S1483" s="110">
        <v>130</v>
      </c>
      <c r="T1483" s="110">
        <v>0</v>
      </c>
      <c r="U1483" s="110">
        <v>34.99</v>
      </c>
      <c r="X1483">
        <v>105.69999999999996</v>
      </c>
      <c r="Y1483">
        <v>44.9</v>
      </c>
      <c r="Z1483">
        <v>44.9</v>
      </c>
      <c r="AA1483">
        <v>0</v>
      </c>
      <c r="AB1483" t="s">
        <v>324</v>
      </c>
      <c r="AF1483" t="s">
        <v>3181</v>
      </c>
      <c r="AG1483" t="s">
        <v>3181</v>
      </c>
      <c r="AH1483" t="s">
        <v>1903</v>
      </c>
      <c r="AI1483">
        <v>99999</v>
      </c>
      <c r="AJ1483">
        <v>99999</v>
      </c>
      <c r="AK1483">
        <v>699</v>
      </c>
      <c r="AL1483" t="b">
        <v>1</v>
      </c>
      <c r="AM1483" t="b">
        <v>1</v>
      </c>
      <c r="AN1483" t="b">
        <v>1</v>
      </c>
      <c r="AO1483">
        <v>99999</v>
      </c>
      <c r="AP1483" t="s">
        <v>64</v>
      </c>
      <c r="AR1483" t="b">
        <v>0</v>
      </c>
      <c r="AS1483">
        <v>12</v>
      </c>
      <c r="AT1483" t="s">
        <v>327</v>
      </c>
      <c r="AV1483" t="s">
        <v>3191</v>
      </c>
    </row>
    <row r="1484" spans="1:48" x14ac:dyDescent="0.25">
      <c r="A1484" t="s">
        <v>3323</v>
      </c>
      <c r="B1484" t="s">
        <v>302</v>
      </c>
      <c r="C1484" t="s">
        <v>62</v>
      </c>
      <c r="D1484">
        <v>99999</v>
      </c>
      <c r="F1484" s="109">
        <v>20000</v>
      </c>
      <c r="G1484" t="b">
        <v>1</v>
      </c>
      <c r="H1484" t="s">
        <v>337</v>
      </c>
      <c r="K1484" t="s">
        <v>61</v>
      </c>
      <c r="L1484" t="s">
        <v>303</v>
      </c>
      <c r="M1484" t="s">
        <v>323</v>
      </c>
      <c r="N1484" t="s">
        <v>63</v>
      </c>
      <c r="O1484" s="110">
        <v>49.9</v>
      </c>
      <c r="R1484" s="110">
        <v>349.89</v>
      </c>
      <c r="S1484" s="110">
        <v>130</v>
      </c>
      <c r="T1484" s="110">
        <v>0</v>
      </c>
      <c r="U1484" s="110">
        <v>42.99</v>
      </c>
      <c r="X1484">
        <v>131.99999999999997</v>
      </c>
      <c r="Y1484">
        <v>44.9</v>
      </c>
      <c r="Z1484">
        <v>44.9</v>
      </c>
      <c r="AA1484">
        <v>0</v>
      </c>
      <c r="AB1484" t="s">
        <v>324</v>
      </c>
      <c r="AF1484" t="s">
        <v>3255</v>
      </c>
      <c r="AG1484" t="s">
        <v>3255</v>
      </c>
      <c r="AH1484" t="s">
        <v>1903</v>
      </c>
      <c r="AI1484">
        <v>99999</v>
      </c>
      <c r="AJ1484">
        <v>99999</v>
      </c>
      <c r="AK1484">
        <v>699</v>
      </c>
      <c r="AL1484" t="b">
        <v>1</v>
      </c>
      <c r="AM1484" t="b">
        <v>1</v>
      </c>
      <c r="AN1484" t="b">
        <v>1</v>
      </c>
      <c r="AO1484">
        <v>99999</v>
      </c>
      <c r="AP1484" t="s">
        <v>64</v>
      </c>
      <c r="AR1484" t="b">
        <v>0</v>
      </c>
      <c r="AS1484">
        <v>12</v>
      </c>
      <c r="AT1484" t="s">
        <v>327</v>
      </c>
      <c r="AV1484" t="s">
        <v>3265</v>
      </c>
    </row>
    <row r="1485" spans="1:48" x14ac:dyDescent="0.25">
      <c r="A1485" t="s">
        <v>3323</v>
      </c>
      <c r="B1485" t="s">
        <v>302</v>
      </c>
      <c r="C1485" t="s">
        <v>62</v>
      </c>
      <c r="D1485">
        <v>99999</v>
      </c>
      <c r="F1485" s="109">
        <v>20000</v>
      </c>
      <c r="G1485" t="b">
        <v>1</v>
      </c>
      <c r="H1485" t="s">
        <v>341</v>
      </c>
      <c r="K1485" t="s">
        <v>349</v>
      </c>
      <c r="L1485" t="s">
        <v>303</v>
      </c>
      <c r="M1485" t="s">
        <v>323</v>
      </c>
      <c r="N1485" t="s">
        <v>63</v>
      </c>
      <c r="O1485" s="110">
        <v>29.9</v>
      </c>
      <c r="R1485" s="110">
        <v>340.58999999999992</v>
      </c>
      <c r="S1485" s="110">
        <v>130</v>
      </c>
      <c r="T1485" s="110">
        <v>0</v>
      </c>
      <c r="U1485" s="110">
        <v>34.99</v>
      </c>
      <c r="X1485">
        <v>130.69999999999993</v>
      </c>
      <c r="Y1485">
        <v>44.9</v>
      </c>
      <c r="Z1485">
        <v>44.9</v>
      </c>
      <c r="AA1485">
        <v>0</v>
      </c>
      <c r="AB1485" t="s">
        <v>324</v>
      </c>
      <c r="AF1485" t="s">
        <v>1902</v>
      </c>
      <c r="AG1485" t="s">
        <v>1902</v>
      </c>
      <c r="AH1485" t="s">
        <v>1903</v>
      </c>
      <c r="AI1485">
        <v>99999</v>
      </c>
      <c r="AJ1485">
        <v>99999</v>
      </c>
      <c r="AK1485">
        <v>699</v>
      </c>
      <c r="AL1485" t="b">
        <v>1</v>
      </c>
      <c r="AM1485" t="b">
        <v>1</v>
      </c>
      <c r="AN1485" t="b">
        <v>1</v>
      </c>
      <c r="AO1485">
        <v>99999</v>
      </c>
      <c r="AP1485" t="s">
        <v>64</v>
      </c>
      <c r="AR1485" t="b">
        <v>0</v>
      </c>
      <c r="AS1485">
        <v>12</v>
      </c>
      <c r="AT1485" t="s">
        <v>327</v>
      </c>
      <c r="AV1485" t="s">
        <v>1928</v>
      </c>
    </row>
    <row r="1486" spans="1:48" x14ac:dyDescent="0.25">
      <c r="A1486" t="s">
        <v>3323</v>
      </c>
      <c r="B1486" t="s">
        <v>302</v>
      </c>
      <c r="C1486" t="s">
        <v>62</v>
      </c>
      <c r="D1486">
        <v>99999</v>
      </c>
      <c r="F1486" s="109">
        <v>20000</v>
      </c>
      <c r="G1486" t="b">
        <v>1</v>
      </c>
      <c r="H1486" t="s">
        <v>341</v>
      </c>
      <c r="K1486" t="s">
        <v>349</v>
      </c>
      <c r="L1486" t="s">
        <v>303</v>
      </c>
      <c r="M1486" t="s">
        <v>323</v>
      </c>
      <c r="N1486" t="s">
        <v>63</v>
      </c>
      <c r="O1486" s="110">
        <v>29.9</v>
      </c>
      <c r="R1486" s="110">
        <v>374.88999999999993</v>
      </c>
      <c r="S1486" s="110">
        <v>130</v>
      </c>
      <c r="T1486" s="110">
        <v>0</v>
      </c>
      <c r="U1486" s="110">
        <v>42.99</v>
      </c>
      <c r="X1486">
        <v>156.99999999999994</v>
      </c>
      <c r="Y1486">
        <v>44.9</v>
      </c>
      <c r="Z1486">
        <v>44.9</v>
      </c>
      <c r="AA1486">
        <v>0</v>
      </c>
      <c r="AB1486" t="s">
        <v>324</v>
      </c>
      <c r="AF1486" t="s">
        <v>2051</v>
      </c>
      <c r="AG1486" t="s">
        <v>2051</v>
      </c>
      <c r="AH1486" t="s">
        <v>1903</v>
      </c>
      <c r="AI1486">
        <v>99999</v>
      </c>
      <c r="AJ1486">
        <v>99999</v>
      </c>
      <c r="AK1486">
        <v>699</v>
      </c>
      <c r="AL1486" t="b">
        <v>1</v>
      </c>
      <c r="AM1486" t="b">
        <v>1</v>
      </c>
      <c r="AN1486" t="b">
        <v>1</v>
      </c>
      <c r="AO1486">
        <v>99999</v>
      </c>
      <c r="AP1486" t="s">
        <v>64</v>
      </c>
      <c r="AR1486" t="b">
        <v>0</v>
      </c>
      <c r="AS1486">
        <v>12</v>
      </c>
      <c r="AT1486" t="s">
        <v>327</v>
      </c>
      <c r="AV1486" t="s">
        <v>2076</v>
      </c>
    </row>
    <row r="1487" spans="1:48" x14ac:dyDescent="0.25">
      <c r="A1487" t="s">
        <v>3323</v>
      </c>
      <c r="B1487" t="s">
        <v>302</v>
      </c>
      <c r="C1487" t="s">
        <v>62</v>
      </c>
      <c r="D1487">
        <v>99999</v>
      </c>
      <c r="F1487" s="109">
        <v>20000</v>
      </c>
      <c r="G1487" t="b">
        <v>1</v>
      </c>
      <c r="H1487" t="s">
        <v>341</v>
      </c>
      <c r="K1487" t="s">
        <v>349</v>
      </c>
      <c r="L1487" t="s">
        <v>303</v>
      </c>
      <c r="M1487" t="s">
        <v>323</v>
      </c>
      <c r="N1487" t="s">
        <v>63</v>
      </c>
      <c r="O1487" s="110">
        <v>39.9</v>
      </c>
      <c r="R1487" s="110">
        <v>340.58999999999992</v>
      </c>
      <c r="S1487" s="110">
        <v>130</v>
      </c>
      <c r="T1487" s="110">
        <v>0</v>
      </c>
      <c r="U1487" s="110">
        <v>34.99</v>
      </c>
      <c r="X1487">
        <v>130.69999999999993</v>
      </c>
      <c r="Y1487">
        <v>44.9</v>
      </c>
      <c r="Z1487">
        <v>44.9</v>
      </c>
      <c r="AA1487">
        <v>0</v>
      </c>
      <c r="AB1487" t="s">
        <v>324</v>
      </c>
      <c r="AF1487" t="s">
        <v>1970</v>
      </c>
      <c r="AG1487" t="s">
        <v>1970</v>
      </c>
      <c r="AH1487" t="s">
        <v>1903</v>
      </c>
      <c r="AI1487">
        <v>99999</v>
      </c>
      <c r="AJ1487">
        <v>99999</v>
      </c>
      <c r="AK1487">
        <v>699</v>
      </c>
      <c r="AL1487" t="b">
        <v>1</v>
      </c>
      <c r="AM1487" t="b">
        <v>1</v>
      </c>
      <c r="AN1487" t="b">
        <v>1</v>
      </c>
      <c r="AO1487">
        <v>99999</v>
      </c>
      <c r="AP1487" t="s">
        <v>64</v>
      </c>
      <c r="AR1487" t="b">
        <v>0</v>
      </c>
      <c r="AS1487">
        <v>12</v>
      </c>
      <c r="AT1487" t="s">
        <v>327</v>
      </c>
      <c r="AV1487" t="s">
        <v>1995</v>
      </c>
    </row>
    <row r="1488" spans="1:48" x14ac:dyDescent="0.25">
      <c r="A1488" t="s">
        <v>3323</v>
      </c>
      <c r="B1488" t="s">
        <v>302</v>
      </c>
      <c r="C1488" t="s">
        <v>62</v>
      </c>
      <c r="D1488">
        <v>99999</v>
      </c>
      <c r="F1488" s="109">
        <v>20000</v>
      </c>
      <c r="G1488" t="b">
        <v>1</v>
      </c>
      <c r="H1488" t="s">
        <v>341</v>
      </c>
      <c r="K1488" t="s">
        <v>349</v>
      </c>
      <c r="L1488" t="s">
        <v>303</v>
      </c>
      <c r="M1488" t="s">
        <v>323</v>
      </c>
      <c r="N1488" t="s">
        <v>63</v>
      </c>
      <c r="O1488" s="110">
        <v>39.9</v>
      </c>
      <c r="R1488" s="110">
        <v>374.88999999999993</v>
      </c>
      <c r="S1488" s="110">
        <v>130</v>
      </c>
      <c r="T1488" s="110">
        <v>0</v>
      </c>
      <c r="U1488" s="110">
        <v>42.99</v>
      </c>
      <c r="X1488">
        <v>156.99999999999994</v>
      </c>
      <c r="Y1488">
        <v>44.9</v>
      </c>
      <c r="Z1488">
        <v>44.9</v>
      </c>
      <c r="AA1488">
        <v>0</v>
      </c>
      <c r="AB1488" t="s">
        <v>324</v>
      </c>
      <c r="AF1488" t="s">
        <v>2118</v>
      </c>
      <c r="AG1488" t="s">
        <v>2118</v>
      </c>
      <c r="AH1488" t="s">
        <v>1903</v>
      </c>
      <c r="AI1488">
        <v>99999</v>
      </c>
      <c r="AJ1488">
        <v>99999</v>
      </c>
      <c r="AK1488">
        <v>699</v>
      </c>
      <c r="AL1488" t="b">
        <v>1</v>
      </c>
      <c r="AM1488" t="b">
        <v>1</v>
      </c>
      <c r="AN1488" t="b">
        <v>1</v>
      </c>
      <c r="AO1488">
        <v>99999</v>
      </c>
      <c r="AP1488" t="s">
        <v>64</v>
      </c>
      <c r="AR1488" t="b">
        <v>0</v>
      </c>
      <c r="AS1488">
        <v>12</v>
      </c>
      <c r="AT1488" t="s">
        <v>327</v>
      </c>
      <c r="AV1488" t="s">
        <v>2143</v>
      </c>
    </row>
    <row r="1489" spans="1:48" x14ac:dyDescent="0.25">
      <c r="A1489" t="s">
        <v>3323</v>
      </c>
      <c r="B1489" t="s">
        <v>302</v>
      </c>
      <c r="C1489" t="s">
        <v>62</v>
      </c>
      <c r="D1489">
        <v>99999</v>
      </c>
      <c r="F1489" s="109">
        <v>20000</v>
      </c>
      <c r="G1489" t="b">
        <v>1</v>
      </c>
      <c r="H1489" t="s">
        <v>341</v>
      </c>
      <c r="K1489" t="s">
        <v>349</v>
      </c>
      <c r="L1489" t="s">
        <v>303</v>
      </c>
      <c r="M1489" t="s">
        <v>323</v>
      </c>
      <c r="N1489" t="s">
        <v>63</v>
      </c>
      <c r="O1489" s="110">
        <v>49.9</v>
      </c>
      <c r="R1489" s="110">
        <v>340.58999999999992</v>
      </c>
      <c r="S1489" s="110">
        <v>130</v>
      </c>
      <c r="T1489" s="110">
        <v>0</v>
      </c>
      <c r="U1489" s="110">
        <v>34.99</v>
      </c>
      <c r="X1489">
        <v>130.69999999999993</v>
      </c>
      <c r="Y1489">
        <v>44.9</v>
      </c>
      <c r="Z1489">
        <v>44.9</v>
      </c>
      <c r="AA1489">
        <v>0</v>
      </c>
      <c r="AB1489" t="s">
        <v>324</v>
      </c>
      <c r="AF1489" t="s">
        <v>3181</v>
      </c>
      <c r="AG1489" t="s">
        <v>3181</v>
      </c>
      <c r="AH1489" t="s">
        <v>1903</v>
      </c>
      <c r="AI1489">
        <v>99999</v>
      </c>
      <c r="AJ1489">
        <v>99999</v>
      </c>
      <c r="AK1489">
        <v>699</v>
      </c>
      <c r="AL1489" t="b">
        <v>1</v>
      </c>
      <c r="AM1489" t="b">
        <v>1</v>
      </c>
      <c r="AN1489" t="b">
        <v>1</v>
      </c>
      <c r="AO1489">
        <v>99999</v>
      </c>
      <c r="AP1489" t="s">
        <v>64</v>
      </c>
      <c r="AR1489" t="b">
        <v>0</v>
      </c>
      <c r="AS1489">
        <v>12</v>
      </c>
      <c r="AT1489" t="s">
        <v>327</v>
      </c>
      <c r="AV1489" t="s">
        <v>3206</v>
      </c>
    </row>
    <row r="1490" spans="1:48" x14ac:dyDescent="0.25">
      <c r="A1490" t="s">
        <v>3323</v>
      </c>
      <c r="B1490" t="s">
        <v>302</v>
      </c>
      <c r="C1490" t="s">
        <v>62</v>
      </c>
      <c r="D1490">
        <v>99999</v>
      </c>
      <c r="F1490" s="109">
        <v>20000</v>
      </c>
      <c r="G1490" t="b">
        <v>1</v>
      </c>
      <c r="H1490" t="s">
        <v>341</v>
      </c>
      <c r="K1490" t="s">
        <v>349</v>
      </c>
      <c r="L1490" t="s">
        <v>303</v>
      </c>
      <c r="M1490" t="s">
        <v>323</v>
      </c>
      <c r="N1490" t="s">
        <v>63</v>
      </c>
      <c r="O1490" s="110">
        <v>49.9</v>
      </c>
      <c r="R1490" s="110">
        <v>374.88999999999993</v>
      </c>
      <c r="S1490" s="110">
        <v>130</v>
      </c>
      <c r="T1490" s="110">
        <v>0</v>
      </c>
      <c r="U1490" s="110">
        <v>42.99</v>
      </c>
      <c r="X1490">
        <v>156.99999999999994</v>
      </c>
      <c r="Y1490">
        <v>44.9</v>
      </c>
      <c r="Z1490">
        <v>44.9</v>
      </c>
      <c r="AA1490">
        <v>0</v>
      </c>
      <c r="AB1490" t="s">
        <v>324</v>
      </c>
      <c r="AF1490" t="s">
        <v>3255</v>
      </c>
      <c r="AG1490" t="s">
        <v>3255</v>
      </c>
      <c r="AH1490" t="s">
        <v>1903</v>
      </c>
      <c r="AI1490">
        <v>99999</v>
      </c>
      <c r="AJ1490">
        <v>99999</v>
      </c>
      <c r="AK1490">
        <v>699</v>
      </c>
      <c r="AL1490" t="b">
        <v>1</v>
      </c>
      <c r="AM1490" t="b">
        <v>1</v>
      </c>
      <c r="AN1490" t="b">
        <v>1</v>
      </c>
      <c r="AO1490">
        <v>99999</v>
      </c>
      <c r="AP1490" t="s">
        <v>64</v>
      </c>
      <c r="AR1490" t="b">
        <v>0</v>
      </c>
      <c r="AS1490">
        <v>12</v>
      </c>
      <c r="AT1490" t="s">
        <v>327</v>
      </c>
      <c r="AV1490" t="s">
        <v>3280</v>
      </c>
    </row>
    <row r="1491" spans="1:48" x14ac:dyDescent="0.25">
      <c r="A1491" t="s">
        <v>3323</v>
      </c>
      <c r="B1491" t="s">
        <v>302</v>
      </c>
      <c r="C1491" t="s">
        <v>62</v>
      </c>
      <c r="D1491">
        <v>99999</v>
      </c>
      <c r="F1491" s="109">
        <v>20000</v>
      </c>
      <c r="G1491" t="b">
        <v>1</v>
      </c>
      <c r="H1491" t="s">
        <v>341</v>
      </c>
      <c r="K1491" t="s">
        <v>393</v>
      </c>
      <c r="L1491" t="s">
        <v>303</v>
      </c>
      <c r="M1491" t="s">
        <v>323</v>
      </c>
      <c r="N1491" t="s">
        <v>63</v>
      </c>
      <c r="O1491" s="110">
        <v>29.9</v>
      </c>
      <c r="R1491" s="110">
        <v>365.58999999999992</v>
      </c>
      <c r="S1491" s="110">
        <v>130</v>
      </c>
      <c r="T1491" s="110">
        <v>0</v>
      </c>
      <c r="U1491" s="110">
        <v>34.99</v>
      </c>
      <c r="X1491">
        <v>130.69999999999993</v>
      </c>
      <c r="Y1491">
        <v>69.900000000000006</v>
      </c>
      <c r="Z1491">
        <v>69.900000000000006</v>
      </c>
      <c r="AA1491">
        <v>0</v>
      </c>
      <c r="AB1491" t="s">
        <v>363</v>
      </c>
      <c r="AF1491" t="s">
        <v>1930</v>
      </c>
      <c r="AG1491" t="s">
        <v>1930</v>
      </c>
      <c r="AH1491" t="s">
        <v>1903</v>
      </c>
      <c r="AI1491">
        <v>99999</v>
      </c>
      <c r="AJ1491">
        <v>99999</v>
      </c>
      <c r="AK1491">
        <v>699</v>
      </c>
      <c r="AL1491" t="b">
        <v>1</v>
      </c>
      <c r="AM1491" t="b">
        <v>1</v>
      </c>
      <c r="AN1491" t="b">
        <v>1</v>
      </c>
      <c r="AO1491">
        <v>99999</v>
      </c>
      <c r="AP1491" t="s">
        <v>64</v>
      </c>
      <c r="AR1491" t="b">
        <v>0</v>
      </c>
      <c r="AS1491">
        <v>12</v>
      </c>
      <c r="AT1491" t="s">
        <v>327</v>
      </c>
      <c r="AV1491" t="s">
        <v>1968</v>
      </c>
    </row>
    <row r="1492" spans="1:48" x14ac:dyDescent="0.25">
      <c r="A1492" t="s">
        <v>3323</v>
      </c>
      <c r="B1492" t="s">
        <v>302</v>
      </c>
      <c r="C1492" t="s">
        <v>62</v>
      </c>
      <c r="D1492">
        <v>99999</v>
      </c>
      <c r="F1492" s="109">
        <v>20000</v>
      </c>
      <c r="G1492" t="b">
        <v>1</v>
      </c>
      <c r="H1492" t="s">
        <v>341</v>
      </c>
      <c r="K1492" t="s">
        <v>393</v>
      </c>
      <c r="L1492" t="s">
        <v>303</v>
      </c>
      <c r="M1492" t="s">
        <v>323</v>
      </c>
      <c r="N1492" t="s">
        <v>63</v>
      </c>
      <c r="O1492" s="110">
        <v>29.9</v>
      </c>
      <c r="R1492" s="110">
        <v>399.89</v>
      </c>
      <c r="S1492" s="110">
        <v>130</v>
      </c>
      <c r="T1492" s="110">
        <v>0</v>
      </c>
      <c r="U1492" s="110">
        <v>42.99</v>
      </c>
      <c r="X1492">
        <v>156.99999999999994</v>
      </c>
      <c r="Y1492">
        <v>69.900000000000006</v>
      </c>
      <c r="Z1492">
        <v>69.900000000000006</v>
      </c>
      <c r="AA1492">
        <v>0</v>
      </c>
      <c r="AB1492" t="s">
        <v>363</v>
      </c>
      <c r="AF1492" t="s">
        <v>2078</v>
      </c>
      <c r="AG1492" t="s">
        <v>2078</v>
      </c>
      <c r="AH1492" t="s">
        <v>1903</v>
      </c>
      <c r="AI1492">
        <v>99999</v>
      </c>
      <c r="AJ1492">
        <v>99999</v>
      </c>
      <c r="AK1492">
        <v>699</v>
      </c>
      <c r="AL1492" t="b">
        <v>1</v>
      </c>
      <c r="AM1492" t="b">
        <v>1</v>
      </c>
      <c r="AN1492" t="b">
        <v>1</v>
      </c>
      <c r="AO1492">
        <v>99999</v>
      </c>
      <c r="AP1492" t="s">
        <v>64</v>
      </c>
      <c r="AR1492" t="b">
        <v>0</v>
      </c>
      <c r="AS1492">
        <v>12</v>
      </c>
      <c r="AT1492" t="s">
        <v>327</v>
      </c>
      <c r="AV1492" t="s">
        <v>2116</v>
      </c>
    </row>
    <row r="1493" spans="1:48" x14ac:dyDescent="0.25">
      <c r="A1493" t="s">
        <v>3323</v>
      </c>
      <c r="B1493" t="s">
        <v>302</v>
      </c>
      <c r="C1493" t="s">
        <v>62</v>
      </c>
      <c r="D1493">
        <v>99999</v>
      </c>
      <c r="F1493" s="109">
        <v>20000</v>
      </c>
      <c r="G1493" t="b">
        <v>1</v>
      </c>
      <c r="H1493" t="s">
        <v>341</v>
      </c>
      <c r="K1493" t="s">
        <v>393</v>
      </c>
      <c r="L1493" t="s">
        <v>303</v>
      </c>
      <c r="M1493" t="s">
        <v>323</v>
      </c>
      <c r="N1493" t="s">
        <v>63</v>
      </c>
      <c r="O1493" s="110">
        <v>39.9</v>
      </c>
      <c r="R1493" s="110">
        <v>365.58999999999992</v>
      </c>
      <c r="S1493" s="110">
        <v>130</v>
      </c>
      <c r="T1493" s="110">
        <v>0</v>
      </c>
      <c r="U1493" s="110">
        <v>34.99</v>
      </c>
      <c r="X1493">
        <v>130.69999999999993</v>
      </c>
      <c r="Y1493">
        <v>69.900000000000006</v>
      </c>
      <c r="Z1493">
        <v>69.900000000000006</v>
      </c>
      <c r="AA1493">
        <v>0</v>
      </c>
      <c r="AB1493" t="s">
        <v>363</v>
      </c>
      <c r="AF1493" t="s">
        <v>1997</v>
      </c>
      <c r="AG1493" t="s">
        <v>1997</v>
      </c>
      <c r="AH1493" t="s">
        <v>1903</v>
      </c>
      <c r="AI1493">
        <v>99999</v>
      </c>
      <c r="AJ1493">
        <v>99999</v>
      </c>
      <c r="AK1493">
        <v>699</v>
      </c>
      <c r="AL1493" t="b">
        <v>1</v>
      </c>
      <c r="AM1493" t="b">
        <v>1</v>
      </c>
      <c r="AN1493" t="b">
        <v>1</v>
      </c>
      <c r="AO1493">
        <v>99999</v>
      </c>
      <c r="AP1493" t="s">
        <v>64</v>
      </c>
      <c r="AR1493" t="b">
        <v>0</v>
      </c>
      <c r="AS1493">
        <v>12</v>
      </c>
      <c r="AT1493" t="s">
        <v>327</v>
      </c>
      <c r="AV1493" t="s">
        <v>2035</v>
      </c>
    </row>
    <row r="1494" spans="1:48" x14ac:dyDescent="0.25">
      <c r="A1494" t="s">
        <v>3323</v>
      </c>
      <c r="B1494" t="s">
        <v>302</v>
      </c>
      <c r="C1494" t="s">
        <v>62</v>
      </c>
      <c r="D1494">
        <v>99999</v>
      </c>
      <c r="F1494" s="109">
        <v>20000</v>
      </c>
      <c r="G1494" t="b">
        <v>1</v>
      </c>
      <c r="H1494" t="s">
        <v>341</v>
      </c>
      <c r="K1494" t="s">
        <v>393</v>
      </c>
      <c r="L1494" t="s">
        <v>303</v>
      </c>
      <c r="M1494" t="s">
        <v>323</v>
      </c>
      <c r="N1494" t="s">
        <v>63</v>
      </c>
      <c r="O1494" s="110">
        <v>39.9</v>
      </c>
      <c r="R1494" s="110">
        <v>399.89</v>
      </c>
      <c r="S1494" s="110">
        <v>130</v>
      </c>
      <c r="T1494" s="110">
        <v>0</v>
      </c>
      <c r="U1494" s="110">
        <v>42.99</v>
      </c>
      <c r="X1494">
        <v>156.99999999999994</v>
      </c>
      <c r="Y1494">
        <v>69.900000000000006</v>
      </c>
      <c r="Z1494">
        <v>69.900000000000006</v>
      </c>
      <c r="AA1494">
        <v>0</v>
      </c>
      <c r="AB1494" t="s">
        <v>363</v>
      </c>
      <c r="AF1494" t="s">
        <v>2145</v>
      </c>
      <c r="AG1494" t="s">
        <v>2145</v>
      </c>
      <c r="AH1494" t="s">
        <v>1903</v>
      </c>
      <c r="AI1494">
        <v>99999</v>
      </c>
      <c r="AJ1494">
        <v>99999</v>
      </c>
      <c r="AK1494">
        <v>699</v>
      </c>
      <c r="AL1494" t="b">
        <v>1</v>
      </c>
      <c r="AM1494" t="b">
        <v>1</v>
      </c>
      <c r="AN1494" t="b">
        <v>1</v>
      </c>
      <c r="AO1494">
        <v>99999</v>
      </c>
      <c r="AP1494" t="s">
        <v>64</v>
      </c>
      <c r="AR1494" t="b">
        <v>0</v>
      </c>
      <c r="AS1494">
        <v>12</v>
      </c>
      <c r="AT1494" t="s">
        <v>327</v>
      </c>
      <c r="AV1494" t="s">
        <v>2183</v>
      </c>
    </row>
    <row r="1495" spans="1:48" x14ac:dyDescent="0.25">
      <c r="A1495" t="s">
        <v>3323</v>
      </c>
      <c r="B1495" t="s">
        <v>302</v>
      </c>
      <c r="C1495" t="s">
        <v>62</v>
      </c>
      <c r="D1495">
        <v>99999</v>
      </c>
      <c r="F1495" s="109">
        <v>20000</v>
      </c>
      <c r="G1495" t="b">
        <v>1</v>
      </c>
      <c r="H1495" t="s">
        <v>341</v>
      </c>
      <c r="K1495" t="s">
        <v>393</v>
      </c>
      <c r="L1495" t="s">
        <v>303</v>
      </c>
      <c r="M1495" t="s">
        <v>323</v>
      </c>
      <c r="N1495" t="s">
        <v>63</v>
      </c>
      <c r="O1495" s="110">
        <v>49.9</v>
      </c>
      <c r="R1495" s="110">
        <v>365.58999999999992</v>
      </c>
      <c r="S1495" s="110">
        <v>130</v>
      </c>
      <c r="T1495" s="110">
        <v>0</v>
      </c>
      <c r="U1495" s="110">
        <v>34.99</v>
      </c>
      <c r="X1495">
        <v>130.69999999999993</v>
      </c>
      <c r="Y1495">
        <v>69.900000000000006</v>
      </c>
      <c r="Z1495">
        <v>69.900000000000006</v>
      </c>
      <c r="AA1495">
        <v>0</v>
      </c>
      <c r="AB1495" t="s">
        <v>363</v>
      </c>
      <c r="AF1495" t="s">
        <v>3208</v>
      </c>
      <c r="AG1495" t="s">
        <v>3208</v>
      </c>
      <c r="AH1495" t="s">
        <v>1903</v>
      </c>
      <c r="AI1495">
        <v>99999</v>
      </c>
      <c r="AJ1495">
        <v>99999</v>
      </c>
      <c r="AK1495">
        <v>699</v>
      </c>
      <c r="AL1495" t="b">
        <v>1</v>
      </c>
      <c r="AM1495" t="b">
        <v>1</v>
      </c>
      <c r="AN1495" t="b">
        <v>1</v>
      </c>
      <c r="AO1495">
        <v>99999</v>
      </c>
      <c r="AP1495" t="s">
        <v>64</v>
      </c>
      <c r="AR1495" t="b">
        <v>0</v>
      </c>
      <c r="AS1495">
        <v>12</v>
      </c>
      <c r="AT1495" t="s">
        <v>327</v>
      </c>
      <c r="AV1495" t="s">
        <v>3246</v>
      </c>
    </row>
    <row r="1496" spans="1:48" x14ac:dyDescent="0.25">
      <c r="A1496" t="s">
        <v>3323</v>
      </c>
      <c r="B1496" t="s">
        <v>302</v>
      </c>
      <c r="C1496" t="s">
        <v>62</v>
      </c>
      <c r="D1496">
        <v>99999</v>
      </c>
      <c r="F1496" s="109">
        <v>20000</v>
      </c>
      <c r="G1496" t="b">
        <v>1</v>
      </c>
      <c r="H1496" t="s">
        <v>341</v>
      </c>
      <c r="K1496" t="s">
        <v>393</v>
      </c>
      <c r="L1496" t="s">
        <v>303</v>
      </c>
      <c r="M1496" t="s">
        <v>323</v>
      </c>
      <c r="N1496" t="s">
        <v>63</v>
      </c>
      <c r="O1496" s="110">
        <v>49.9</v>
      </c>
      <c r="R1496" s="110">
        <v>399.89</v>
      </c>
      <c r="S1496" s="110">
        <v>130</v>
      </c>
      <c r="T1496" s="110">
        <v>0</v>
      </c>
      <c r="U1496" s="110">
        <v>42.99</v>
      </c>
      <c r="X1496">
        <v>156.99999999999994</v>
      </c>
      <c r="Y1496">
        <v>69.900000000000006</v>
      </c>
      <c r="Z1496">
        <v>69.900000000000006</v>
      </c>
      <c r="AA1496">
        <v>0</v>
      </c>
      <c r="AB1496" t="s">
        <v>363</v>
      </c>
      <c r="AF1496" t="s">
        <v>3282</v>
      </c>
      <c r="AG1496" t="s">
        <v>3282</v>
      </c>
      <c r="AH1496" t="s">
        <v>1903</v>
      </c>
      <c r="AI1496">
        <v>99999</v>
      </c>
      <c r="AJ1496">
        <v>99999</v>
      </c>
      <c r="AK1496">
        <v>699</v>
      </c>
      <c r="AL1496" t="b">
        <v>1</v>
      </c>
      <c r="AM1496" t="b">
        <v>1</v>
      </c>
      <c r="AN1496" t="b">
        <v>1</v>
      </c>
      <c r="AO1496">
        <v>99999</v>
      </c>
      <c r="AP1496" t="s">
        <v>64</v>
      </c>
      <c r="AR1496" t="b">
        <v>0</v>
      </c>
      <c r="AS1496">
        <v>12</v>
      </c>
      <c r="AT1496" t="s">
        <v>327</v>
      </c>
      <c r="AV1496" t="s">
        <v>3320</v>
      </c>
    </row>
    <row r="1497" spans="1:48" x14ac:dyDescent="0.25">
      <c r="A1497" t="s">
        <v>3323</v>
      </c>
      <c r="B1497" t="s">
        <v>302</v>
      </c>
      <c r="C1497" t="s">
        <v>62</v>
      </c>
      <c r="D1497">
        <v>99999</v>
      </c>
      <c r="F1497" s="109">
        <v>20000</v>
      </c>
      <c r="G1497" t="b">
        <v>1</v>
      </c>
      <c r="H1497" t="s">
        <v>341</v>
      </c>
      <c r="K1497" t="s">
        <v>364</v>
      </c>
      <c r="L1497" t="s">
        <v>303</v>
      </c>
      <c r="M1497" t="s">
        <v>323</v>
      </c>
      <c r="N1497" t="s">
        <v>63</v>
      </c>
      <c r="O1497" s="110">
        <v>29.9</v>
      </c>
      <c r="R1497" s="110">
        <v>345.58999999999992</v>
      </c>
      <c r="S1497" s="110">
        <v>130</v>
      </c>
      <c r="T1497" s="110">
        <v>0</v>
      </c>
      <c r="U1497" s="110">
        <v>34.99</v>
      </c>
      <c r="X1497">
        <v>130.69999999999993</v>
      </c>
      <c r="Y1497">
        <v>49.9</v>
      </c>
      <c r="Z1497">
        <v>49.9</v>
      </c>
      <c r="AA1497">
        <v>0</v>
      </c>
      <c r="AB1497" t="s">
        <v>363</v>
      </c>
      <c r="AF1497" t="s">
        <v>1930</v>
      </c>
      <c r="AG1497" t="s">
        <v>1930</v>
      </c>
      <c r="AH1497" t="s">
        <v>1903</v>
      </c>
      <c r="AI1497">
        <v>99999</v>
      </c>
      <c r="AJ1497">
        <v>99999</v>
      </c>
      <c r="AK1497">
        <v>699</v>
      </c>
      <c r="AL1497" t="b">
        <v>1</v>
      </c>
      <c r="AM1497" t="b">
        <v>1</v>
      </c>
      <c r="AN1497" t="b">
        <v>1</v>
      </c>
      <c r="AO1497">
        <v>99999</v>
      </c>
      <c r="AP1497" t="s">
        <v>64</v>
      </c>
      <c r="AR1497" t="b">
        <v>0</v>
      </c>
      <c r="AS1497">
        <v>12</v>
      </c>
      <c r="AT1497" t="s">
        <v>327</v>
      </c>
      <c r="AV1497" t="s">
        <v>1942</v>
      </c>
    </row>
    <row r="1498" spans="1:48" x14ac:dyDescent="0.25">
      <c r="A1498" t="s">
        <v>3323</v>
      </c>
      <c r="B1498" t="s">
        <v>302</v>
      </c>
      <c r="C1498" t="s">
        <v>62</v>
      </c>
      <c r="D1498">
        <v>99999</v>
      </c>
      <c r="F1498" s="109">
        <v>20000</v>
      </c>
      <c r="G1498" t="b">
        <v>1</v>
      </c>
      <c r="H1498" t="s">
        <v>341</v>
      </c>
      <c r="K1498" t="s">
        <v>364</v>
      </c>
      <c r="L1498" t="s">
        <v>303</v>
      </c>
      <c r="M1498" t="s">
        <v>323</v>
      </c>
      <c r="N1498" t="s">
        <v>63</v>
      </c>
      <c r="O1498" s="110">
        <v>29.9</v>
      </c>
      <c r="R1498" s="110">
        <v>379.88999999999993</v>
      </c>
      <c r="S1498" s="110">
        <v>130</v>
      </c>
      <c r="T1498" s="110">
        <v>0</v>
      </c>
      <c r="U1498" s="110">
        <v>42.99</v>
      </c>
      <c r="X1498">
        <v>156.99999999999994</v>
      </c>
      <c r="Y1498">
        <v>49.9</v>
      </c>
      <c r="Z1498">
        <v>49.9</v>
      </c>
      <c r="AA1498">
        <v>0</v>
      </c>
      <c r="AB1498" t="s">
        <v>363</v>
      </c>
      <c r="AF1498" t="s">
        <v>2078</v>
      </c>
      <c r="AG1498" t="s">
        <v>2078</v>
      </c>
      <c r="AH1498" t="s">
        <v>1903</v>
      </c>
      <c r="AI1498">
        <v>99999</v>
      </c>
      <c r="AJ1498">
        <v>99999</v>
      </c>
      <c r="AK1498">
        <v>699</v>
      </c>
      <c r="AL1498" t="b">
        <v>1</v>
      </c>
      <c r="AM1498" t="b">
        <v>1</v>
      </c>
      <c r="AN1498" t="b">
        <v>1</v>
      </c>
      <c r="AO1498">
        <v>99999</v>
      </c>
      <c r="AP1498" t="s">
        <v>64</v>
      </c>
      <c r="AR1498" t="b">
        <v>0</v>
      </c>
      <c r="AS1498">
        <v>12</v>
      </c>
      <c r="AT1498" t="s">
        <v>327</v>
      </c>
      <c r="AV1498" t="s">
        <v>2090</v>
      </c>
    </row>
    <row r="1499" spans="1:48" x14ac:dyDescent="0.25">
      <c r="A1499" t="s">
        <v>3323</v>
      </c>
      <c r="B1499" t="s">
        <v>302</v>
      </c>
      <c r="C1499" t="s">
        <v>62</v>
      </c>
      <c r="D1499">
        <v>99999</v>
      </c>
      <c r="F1499" s="109">
        <v>20000</v>
      </c>
      <c r="G1499" t="b">
        <v>1</v>
      </c>
      <c r="H1499" t="s">
        <v>341</v>
      </c>
      <c r="K1499" t="s">
        <v>364</v>
      </c>
      <c r="L1499" t="s">
        <v>303</v>
      </c>
      <c r="M1499" t="s">
        <v>323</v>
      </c>
      <c r="N1499" t="s">
        <v>63</v>
      </c>
      <c r="O1499" s="110">
        <v>39.9</v>
      </c>
      <c r="R1499" s="110">
        <v>345.58999999999992</v>
      </c>
      <c r="S1499" s="110">
        <v>130</v>
      </c>
      <c r="T1499" s="110">
        <v>0</v>
      </c>
      <c r="U1499" s="110">
        <v>34.99</v>
      </c>
      <c r="X1499">
        <v>130.69999999999993</v>
      </c>
      <c r="Y1499">
        <v>49.9</v>
      </c>
      <c r="Z1499">
        <v>49.9</v>
      </c>
      <c r="AA1499">
        <v>0</v>
      </c>
      <c r="AB1499" t="s">
        <v>363</v>
      </c>
      <c r="AF1499" t="s">
        <v>1997</v>
      </c>
      <c r="AG1499" t="s">
        <v>1997</v>
      </c>
      <c r="AH1499" t="s">
        <v>1903</v>
      </c>
      <c r="AI1499">
        <v>99999</v>
      </c>
      <c r="AJ1499">
        <v>99999</v>
      </c>
      <c r="AK1499">
        <v>699</v>
      </c>
      <c r="AL1499" t="b">
        <v>1</v>
      </c>
      <c r="AM1499" t="b">
        <v>1</v>
      </c>
      <c r="AN1499" t="b">
        <v>1</v>
      </c>
      <c r="AO1499">
        <v>99999</v>
      </c>
      <c r="AP1499" t="s">
        <v>64</v>
      </c>
      <c r="AR1499" t="b">
        <v>0</v>
      </c>
      <c r="AS1499">
        <v>12</v>
      </c>
      <c r="AT1499" t="s">
        <v>327</v>
      </c>
      <c r="AV1499" t="s">
        <v>2009</v>
      </c>
    </row>
    <row r="1500" spans="1:48" x14ac:dyDescent="0.25">
      <c r="A1500" t="s">
        <v>3323</v>
      </c>
      <c r="B1500" t="s">
        <v>302</v>
      </c>
      <c r="C1500" t="s">
        <v>62</v>
      </c>
      <c r="D1500">
        <v>99999</v>
      </c>
      <c r="F1500" s="109">
        <v>20000</v>
      </c>
      <c r="G1500" t="b">
        <v>1</v>
      </c>
      <c r="H1500" t="s">
        <v>341</v>
      </c>
      <c r="K1500" t="s">
        <v>364</v>
      </c>
      <c r="L1500" t="s">
        <v>303</v>
      </c>
      <c r="M1500" t="s">
        <v>323</v>
      </c>
      <c r="N1500" t="s">
        <v>63</v>
      </c>
      <c r="O1500" s="110">
        <v>39.9</v>
      </c>
      <c r="R1500" s="110">
        <v>379.88999999999993</v>
      </c>
      <c r="S1500" s="110">
        <v>130</v>
      </c>
      <c r="T1500" s="110">
        <v>0</v>
      </c>
      <c r="U1500" s="110">
        <v>42.99</v>
      </c>
      <c r="X1500">
        <v>156.99999999999994</v>
      </c>
      <c r="Y1500">
        <v>49.9</v>
      </c>
      <c r="Z1500">
        <v>49.9</v>
      </c>
      <c r="AA1500">
        <v>0</v>
      </c>
      <c r="AB1500" t="s">
        <v>363</v>
      </c>
      <c r="AF1500" t="s">
        <v>2145</v>
      </c>
      <c r="AG1500" t="s">
        <v>2145</v>
      </c>
      <c r="AH1500" t="s">
        <v>1903</v>
      </c>
      <c r="AI1500">
        <v>99999</v>
      </c>
      <c r="AJ1500">
        <v>99999</v>
      </c>
      <c r="AK1500">
        <v>699</v>
      </c>
      <c r="AL1500" t="b">
        <v>1</v>
      </c>
      <c r="AM1500" t="b">
        <v>1</v>
      </c>
      <c r="AN1500" t="b">
        <v>1</v>
      </c>
      <c r="AO1500">
        <v>99999</v>
      </c>
      <c r="AP1500" t="s">
        <v>64</v>
      </c>
      <c r="AR1500" t="b">
        <v>0</v>
      </c>
      <c r="AS1500">
        <v>12</v>
      </c>
      <c r="AT1500" t="s">
        <v>327</v>
      </c>
      <c r="AV1500" t="s">
        <v>2157</v>
      </c>
    </row>
    <row r="1501" spans="1:48" x14ac:dyDescent="0.25">
      <c r="A1501" t="s">
        <v>3323</v>
      </c>
      <c r="B1501" t="s">
        <v>302</v>
      </c>
      <c r="C1501" t="s">
        <v>62</v>
      </c>
      <c r="D1501">
        <v>99999</v>
      </c>
      <c r="F1501" s="109">
        <v>20000</v>
      </c>
      <c r="G1501" t="b">
        <v>1</v>
      </c>
      <c r="H1501" t="s">
        <v>341</v>
      </c>
      <c r="K1501" t="s">
        <v>364</v>
      </c>
      <c r="L1501" t="s">
        <v>303</v>
      </c>
      <c r="M1501" t="s">
        <v>323</v>
      </c>
      <c r="N1501" t="s">
        <v>63</v>
      </c>
      <c r="O1501" s="110">
        <v>49.9</v>
      </c>
      <c r="R1501" s="110">
        <v>345.58999999999992</v>
      </c>
      <c r="S1501" s="110">
        <v>130</v>
      </c>
      <c r="T1501" s="110">
        <v>0</v>
      </c>
      <c r="U1501" s="110">
        <v>34.99</v>
      </c>
      <c r="X1501">
        <v>130.69999999999993</v>
      </c>
      <c r="Y1501">
        <v>49.9</v>
      </c>
      <c r="Z1501">
        <v>49.9</v>
      </c>
      <c r="AA1501">
        <v>0</v>
      </c>
      <c r="AB1501" t="s">
        <v>363</v>
      </c>
      <c r="AF1501" t="s">
        <v>3208</v>
      </c>
      <c r="AG1501" t="s">
        <v>3208</v>
      </c>
      <c r="AH1501" t="s">
        <v>1903</v>
      </c>
      <c r="AI1501">
        <v>99999</v>
      </c>
      <c r="AJ1501">
        <v>99999</v>
      </c>
      <c r="AK1501">
        <v>699</v>
      </c>
      <c r="AL1501" t="b">
        <v>1</v>
      </c>
      <c r="AM1501" t="b">
        <v>1</v>
      </c>
      <c r="AN1501" t="b">
        <v>1</v>
      </c>
      <c r="AO1501">
        <v>99999</v>
      </c>
      <c r="AP1501" t="s">
        <v>64</v>
      </c>
      <c r="AR1501" t="b">
        <v>0</v>
      </c>
      <c r="AS1501">
        <v>12</v>
      </c>
      <c r="AT1501" t="s">
        <v>327</v>
      </c>
      <c r="AV1501" t="s">
        <v>3220</v>
      </c>
    </row>
    <row r="1502" spans="1:48" x14ac:dyDescent="0.25">
      <c r="A1502" t="s">
        <v>3323</v>
      </c>
      <c r="B1502" t="s">
        <v>302</v>
      </c>
      <c r="C1502" t="s">
        <v>62</v>
      </c>
      <c r="D1502">
        <v>99999</v>
      </c>
      <c r="F1502" s="109">
        <v>20000</v>
      </c>
      <c r="G1502" t="b">
        <v>1</v>
      </c>
      <c r="H1502" t="s">
        <v>341</v>
      </c>
      <c r="K1502" t="s">
        <v>364</v>
      </c>
      <c r="L1502" t="s">
        <v>303</v>
      </c>
      <c r="M1502" t="s">
        <v>323</v>
      </c>
      <c r="N1502" t="s">
        <v>63</v>
      </c>
      <c r="O1502" s="110">
        <v>49.9</v>
      </c>
      <c r="R1502" s="110">
        <v>379.88999999999993</v>
      </c>
      <c r="S1502" s="110">
        <v>130</v>
      </c>
      <c r="T1502" s="110">
        <v>0</v>
      </c>
      <c r="U1502" s="110">
        <v>42.99</v>
      </c>
      <c r="X1502">
        <v>156.99999999999994</v>
      </c>
      <c r="Y1502">
        <v>49.9</v>
      </c>
      <c r="Z1502">
        <v>49.9</v>
      </c>
      <c r="AA1502">
        <v>0</v>
      </c>
      <c r="AB1502" t="s">
        <v>363</v>
      </c>
      <c r="AF1502" t="s">
        <v>3282</v>
      </c>
      <c r="AG1502" t="s">
        <v>3282</v>
      </c>
      <c r="AH1502" t="s">
        <v>1903</v>
      </c>
      <c r="AI1502">
        <v>99999</v>
      </c>
      <c r="AJ1502">
        <v>99999</v>
      </c>
      <c r="AK1502">
        <v>699</v>
      </c>
      <c r="AL1502" t="b">
        <v>1</v>
      </c>
      <c r="AM1502" t="b">
        <v>1</v>
      </c>
      <c r="AN1502" t="b">
        <v>1</v>
      </c>
      <c r="AO1502">
        <v>99999</v>
      </c>
      <c r="AP1502" t="s">
        <v>64</v>
      </c>
      <c r="AR1502" t="b">
        <v>0</v>
      </c>
      <c r="AS1502">
        <v>12</v>
      </c>
      <c r="AT1502" t="s">
        <v>327</v>
      </c>
      <c r="AV1502" t="s">
        <v>3294</v>
      </c>
    </row>
    <row r="1503" spans="1:48" x14ac:dyDescent="0.25">
      <c r="A1503" t="s">
        <v>3323</v>
      </c>
      <c r="B1503" t="s">
        <v>302</v>
      </c>
      <c r="C1503" t="s">
        <v>62</v>
      </c>
      <c r="D1503">
        <v>99999</v>
      </c>
      <c r="F1503" s="109">
        <v>20000</v>
      </c>
      <c r="G1503" t="b">
        <v>1</v>
      </c>
      <c r="H1503" t="s">
        <v>341</v>
      </c>
      <c r="K1503" t="s">
        <v>379</v>
      </c>
      <c r="L1503" t="s">
        <v>303</v>
      </c>
      <c r="M1503" t="s">
        <v>323</v>
      </c>
      <c r="N1503" t="s">
        <v>63</v>
      </c>
      <c r="O1503" s="110">
        <v>29.9</v>
      </c>
      <c r="R1503" s="110">
        <v>355.58999999999992</v>
      </c>
      <c r="S1503" s="110">
        <v>130</v>
      </c>
      <c r="T1503" s="110">
        <v>0</v>
      </c>
      <c r="U1503" s="110">
        <v>34.99</v>
      </c>
      <c r="X1503">
        <v>130.69999999999993</v>
      </c>
      <c r="Y1503">
        <v>59.9</v>
      </c>
      <c r="Z1503">
        <v>59.9</v>
      </c>
      <c r="AA1503">
        <v>0</v>
      </c>
      <c r="AB1503" t="s">
        <v>363</v>
      </c>
      <c r="AF1503" t="s">
        <v>1930</v>
      </c>
      <c r="AG1503" t="s">
        <v>1930</v>
      </c>
      <c r="AH1503" t="s">
        <v>1903</v>
      </c>
      <c r="AI1503">
        <v>99999</v>
      </c>
      <c r="AJ1503">
        <v>99999</v>
      </c>
      <c r="AK1503">
        <v>699</v>
      </c>
      <c r="AL1503" t="b">
        <v>1</v>
      </c>
      <c r="AM1503" t="b">
        <v>1</v>
      </c>
      <c r="AN1503" t="b">
        <v>1</v>
      </c>
      <c r="AO1503">
        <v>99999</v>
      </c>
      <c r="AP1503" t="s">
        <v>64</v>
      </c>
      <c r="AR1503" t="b">
        <v>0</v>
      </c>
      <c r="AS1503">
        <v>12</v>
      </c>
      <c r="AT1503" t="s">
        <v>327</v>
      </c>
      <c r="AV1503" t="s">
        <v>1955</v>
      </c>
    </row>
    <row r="1504" spans="1:48" x14ac:dyDescent="0.25">
      <c r="A1504" t="s">
        <v>3323</v>
      </c>
      <c r="B1504" t="s">
        <v>302</v>
      </c>
      <c r="C1504" t="s">
        <v>62</v>
      </c>
      <c r="D1504">
        <v>99999</v>
      </c>
      <c r="F1504" s="109">
        <v>20000</v>
      </c>
      <c r="G1504" t="b">
        <v>1</v>
      </c>
      <c r="H1504" t="s">
        <v>341</v>
      </c>
      <c r="K1504" t="s">
        <v>379</v>
      </c>
      <c r="L1504" t="s">
        <v>303</v>
      </c>
      <c r="M1504" t="s">
        <v>323</v>
      </c>
      <c r="N1504" t="s">
        <v>63</v>
      </c>
      <c r="O1504" s="110">
        <v>29.9</v>
      </c>
      <c r="R1504" s="110">
        <v>389.88999999999993</v>
      </c>
      <c r="S1504" s="110">
        <v>130</v>
      </c>
      <c r="T1504" s="110">
        <v>0</v>
      </c>
      <c r="U1504" s="110">
        <v>42.99</v>
      </c>
      <c r="X1504">
        <v>156.99999999999994</v>
      </c>
      <c r="Y1504">
        <v>59.9</v>
      </c>
      <c r="Z1504">
        <v>59.9</v>
      </c>
      <c r="AA1504">
        <v>0</v>
      </c>
      <c r="AB1504" t="s">
        <v>363</v>
      </c>
      <c r="AF1504" t="s">
        <v>2078</v>
      </c>
      <c r="AG1504" t="s">
        <v>2078</v>
      </c>
      <c r="AH1504" t="s">
        <v>1903</v>
      </c>
      <c r="AI1504">
        <v>99999</v>
      </c>
      <c r="AJ1504">
        <v>99999</v>
      </c>
      <c r="AK1504">
        <v>699</v>
      </c>
      <c r="AL1504" t="b">
        <v>1</v>
      </c>
      <c r="AM1504" t="b">
        <v>1</v>
      </c>
      <c r="AN1504" t="b">
        <v>1</v>
      </c>
      <c r="AO1504">
        <v>99999</v>
      </c>
      <c r="AP1504" t="s">
        <v>64</v>
      </c>
      <c r="AR1504" t="b">
        <v>0</v>
      </c>
      <c r="AS1504">
        <v>12</v>
      </c>
      <c r="AT1504" t="s">
        <v>327</v>
      </c>
      <c r="AV1504" t="s">
        <v>2103</v>
      </c>
    </row>
    <row r="1505" spans="1:48" x14ac:dyDescent="0.25">
      <c r="A1505" t="s">
        <v>3323</v>
      </c>
      <c r="B1505" t="s">
        <v>302</v>
      </c>
      <c r="C1505" t="s">
        <v>62</v>
      </c>
      <c r="D1505">
        <v>99999</v>
      </c>
      <c r="F1505" s="109">
        <v>20000</v>
      </c>
      <c r="G1505" t="b">
        <v>1</v>
      </c>
      <c r="H1505" t="s">
        <v>341</v>
      </c>
      <c r="K1505" t="s">
        <v>379</v>
      </c>
      <c r="L1505" t="s">
        <v>303</v>
      </c>
      <c r="M1505" t="s">
        <v>323</v>
      </c>
      <c r="N1505" t="s">
        <v>63</v>
      </c>
      <c r="O1505" s="110">
        <v>39.9</v>
      </c>
      <c r="R1505" s="110">
        <v>355.58999999999992</v>
      </c>
      <c r="S1505" s="110">
        <v>130</v>
      </c>
      <c r="T1505" s="110">
        <v>0</v>
      </c>
      <c r="U1505" s="110">
        <v>34.99</v>
      </c>
      <c r="X1505">
        <v>130.69999999999993</v>
      </c>
      <c r="Y1505">
        <v>59.9</v>
      </c>
      <c r="Z1505">
        <v>59.9</v>
      </c>
      <c r="AA1505">
        <v>0</v>
      </c>
      <c r="AB1505" t="s">
        <v>363</v>
      </c>
      <c r="AF1505" t="s">
        <v>1997</v>
      </c>
      <c r="AG1505" t="s">
        <v>1997</v>
      </c>
      <c r="AH1505" t="s">
        <v>1903</v>
      </c>
      <c r="AI1505">
        <v>99999</v>
      </c>
      <c r="AJ1505">
        <v>99999</v>
      </c>
      <c r="AK1505">
        <v>699</v>
      </c>
      <c r="AL1505" t="b">
        <v>1</v>
      </c>
      <c r="AM1505" t="b">
        <v>1</v>
      </c>
      <c r="AN1505" t="b">
        <v>1</v>
      </c>
      <c r="AO1505">
        <v>99999</v>
      </c>
      <c r="AP1505" t="s">
        <v>64</v>
      </c>
      <c r="AR1505" t="b">
        <v>0</v>
      </c>
      <c r="AS1505">
        <v>12</v>
      </c>
      <c r="AT1505" t="s">
        <v>327</v>
      </c>
      <c r="AV1505" t="s">
        <v>2022</v>
      </c>
    </row>
    <row r="1506" spans="1:48" x14ac:dyDescent="0.25">
      <c r="A1506" t="s">
        <v>3323</v>
      </c>
      <c r="B1506" t="s">
        <v>302</v>
      </c>
      <c r="C1506" t="s">
        <v>62</v>
      </c>
      <c r="D1506">
        <v>99999</v>
      </c>
      <c r="F1506" s="109">
        <v>20000</v>
      </c>
      <c r="G1506" t="b">
        <v>1</v>
      </c>
      <c r="H1506" t="s">
        <v>341</v>
      </c>
      <c r="K1506" t="s">
        <v>379</v>
      </c>
      <c r="L1506" t="s">
        <v>303</v>
      </c>
      <c r="M1506" t="s">
        <v>323</v>
      </c>
      <c r="N1506" t="s">
        <v>63</v>
      </c>
      <c r="O1506" s="110">
        <v>39.9</v>
      </c>
      <c r="R1506" s="110">
        <v>389.88999999999993</v>
      </c>
      <c r="S1506" s="110">
        <v>130</v>
      </c>
      <c r="T1506" s="110">
        <v>0</v>
      </c>
      <c r="U1506" s="110">
        <v>42.99</v>
      </c>
      <c r="X1506">
        <v>156.99999999999994</v>
      </c>
      <c r="Y1506">
        <v>59.9</v>
      </c>
      <c r="Z1506">
        <v>59.9</v>
      </c>
      <c r="AA1506">
        <v>0</v>
      </c>
      <c r="AB1506" t="s">
        <v>363</v>
      </c>
      <c r="AF1506" t="s">
        <v>2145</v>
      </c>
      <c r="AG1506" t="s">
        <v>2145</v>
      </c>
      <c r="AH1506" t="s">
        <v>1903</v>
      </c>
      <c r="AI1506">
        <v>99999</v>
      </c>
      <c r="AJ1506">
        <v>99999</v>
      </c>
      <c r="AK1506">
        <v>699</v>
      </c>
      <c r="AL1506" t="b">
        <v>1</v>
      </c>
      <c r="AM1506" t="b">
        <v>1</v>
      </c>
      <c r="AN1506" t="b">
        <v>1</v>
      </c>
      <c r="AO1506">
        <v>99999</v>
      </c>
      <c r="AP1506" t="s">
        <v>64</v>
      </c>
      <c r="AR1506" t="b">
        <v>0</v>
      </c>
      <c r="AS1506">
        <v>12</v>
      </c>
      <c r="AT1506" t="s">
        <v>327</v>
      </c>
      <c r="AV1506" t="s">
        <v>2170</v>
      </c>
    </row>
    <row r="1507" spans="1:48" x14ac:dyDescent="0.25">
      <c r="A1507" t="s">
        <v>3323</v>
      </c>
      <c r="B1507" t="s">
        <v>302</v>
      </c>
      <c r="C1507" t="s">
        <v>62</v>
      </c>
      <c r="D1507">
        <v>99999</v>
      </c>
      <c r="F1507" s="109">
        <v>20000</v>
      </c>
      <c r="G1507" t="b">
        <v>1</v>
      </c>
      <c r="H1507" t="s">
        <v>341</v>
      </c>
      <c r="K1507" t="s">
        <v>379</v>
      </c>
      <c r="L1507" t="s">
        <v>303</v>
      </c>
      <c r="M1507" t="s">
        <v>323</v>
      </c>
      <c r="N1507" t="s">
        <v>63</v>
      </c>
      <c r="O1507" s="110">
        <v>49.9</v>
      </c>
      <c r="R1507" s="110">
        <v>355.58999999999992</v>
      </c>
      <c r="S1507" s="110">
        <v>130</v>
      </c>
      <c r="T1507" s="110">
        <v>0</v>
      </c>
      <c r="U1507" s="110">
        <v>34.99</v>
      </c>
      <c r="X1507">
        <v>130.69999999999993</v>
      </c>
      <c r="Y1507">
        <v>59.9</v>
      </c>
      <c r="Z1507">
        <v>59.9</v>
      </c>
      <c r="AA1507">
        <v>0</v>
      </c>
      <c r="AB1507" t="s">
        <v>363</v>
      </c>
      <c r="AF1507" t="s">
        <v>3208</v>
      </c>
      <c r="AG1507" t="s">
        <v>3208</v>
      </c>
      <c r="AH1507" t="s">
        <v>1903</v>
      </c>
      <c r="AI1507">
        <v>99999</v>
      </c>
      <c r="AJ1507">
        <v>99999</v>
      </c>
      <c r="AK1507">
        <v>699</v>
      </c>
      <c r="AL1507" t="b">
        <v>1</v>
      </c>
      <c r="AM1507" t="b">
        <v>1</v>
      </c>
      <c r="AN1507" t="b">
        <v>1</v>
      </c>
      <c r="AO1507">
        <v>99999</v>
      </c>
      <c r="AP1507" t="s">
        <v>64</v>
      </c>
      <c r="AR1507" t="b">
        <v>0</v>
      </c>
      <c r="AS1507">
        <v>12</v>
      </c>
      <c r="AT1507" t="s">
        <v>327</v>
      </c>
      <c r="AV1507" t="s">
        <v>3233</v>
      </c>
    </row>
    <row r="1508" spans="1:48" x14ac:dyDescent="0.25">
      <c r="A1508" t="s">
        <v>3323</v>
      </c>
      <c r="B1508" t="s">
        <v>302</v>
      </c>
      <c r="C1508" t="s">
        <v>62</v>
      </c>
      <c r="D1508">
        <v>99999</v>
      </c>
      <c r="F1508" s="109">
        <v>20000</v>
      </c>
      <c r="G1508" t="b">
        <v>1</v>
      </c>
      <c r="H1508" t="s">
        <v>341</v>
      </c>
      <c r="K1508" t="s">
        <v>379</v>
      </c>
      <c r="L1508" t="s">
        <v>303</v>
      </c>
      <c r="M1508" t="s">
        <v>323</v>
      </c>
      <c r="N1508" t="s">
        <v>63</v>
      </c>
      <c r="O1508" s="110">
        <v>49.9</v>
      </c>
      <c r="R1508" s="110">
        <v>389.88999999999993</v>
      </c>
      <c r="S1508" s="110">
        <v>130</v>
      </c>
      <c r="T1508" s="110">
        <v>0</v>
      </c>
      <c r="U1508" s="110">
        <v>42.99</v>
      </c>
      <c r="X1508">
        <v>156.99999999999994</v>
      </c>
      <c r="Y1508">
        <v>59.9</v>
      </c>
      <c r="Z1508">
        <v>59.9</v>
      </c>
      <c r="AA1508">
        <v>0</v>
      </c>
      <c r="AB1508" t="s">
        <v>363</v>
      </c>
      <c r="AF1508" t="s">
        <v>3282</v>
      </c>
      <c r="AG1508" t="s">
        <v>3282</v>
      </c>
      <c r="AH1508" t="s">
        <v>1903</v>
      </c>
      <c r="AI1508">
        <v>99999</v>
      </c>
      <c r="AJ1508">
        <v>99999</v>
      </c>
      <c r="AK1508">
        <v>699</v>
      </c>
      <c r="AL1508" t="b">
        <v>1</v>
      </c>
      <c r="AM1508" t="b">
        <v>1</v>
      </c>
      <c r="AN1508" t="b">
        <v>1</v>
      </c>
      <c r="AO1508">
        <v>99999</v>
      </c>
      <c r="AP1508" t="s">
        <v>64</v>
      </c>
      <c r="AR1508" t="b">
        <v>0</v>
      </c>
      <c r="AS1508">
        <v>12</v>
      </c>
      <c r="AT1508" t="s">
        <v>327</v>
      </c>
      <c r="AV1508" t="s">
        <v>3307</v>
      </c>
    </row>
    <row r="1509" spans="1:48" x14ac:dyDescent="0.25">
      <c r="A1509" t="s">
        <v>3323</v>
      </c>
      <c r="B1509" t="s">
        <v>302</v>
      </c>
      <c r="C1509" t="s">
        <v>62</v>
      </c>
      <c r="D1509">
        <v>99999</v>
      </c>
      <c r="F1509" s="109">
        <v>20000</v>
      </c>
      <c r="G1509" t="b">
        <v>1</v>
      </c>
      <c r="H1509" t="s">
        <v>341</v>
      </c>
      <c r="K1509" t="s">
        <v>61</v>
      </c>
      <c r="L1509" t="s">
        <v>303</v>
      </c>
      <c r="M1509" t="s">
        <v>323</v>
      </c>
      <c r="N1509" t="s">
        <v>63</v>
      </c>
      <c r="O1509" s="110">
        <v>29.9</v>
      </c>
      <c r="R1509" s="110">
        <v>340.58999999999992</v>
      </c>
      <c r="S1509" s="110">
        <v>130</v>
      </c>
      <c r="T1509" s="110">
        <v>0</v>
      </c>
      <c r="U1509" s="110">
        <v>34.99</v>
      </c>
      <c r="X1509">
        <v>130.69999999999993</v>
      </c>
      <c r="Y1509">
        <v>44.9</v>
      </c>
      <c r="Z1509">
        <v>44.9</v>
      </c>
      <c r="AA1509">
        <v>0</v>
      </c>
      <c r="AB1509" t="s">
        <v>324</v>
      </c>
      <c r="AF1509" t="s">
        <v>1902</v>
      </c>
      <c r="AG1509" t="s">
        <v>1902</v>
      </c>
      <c r="AH1509" t="s">
        <v>1903</v>
      </c>
      <c r="AI1509">
        <v>99999</v>
      </c>
      <c r="AJ1509">
        <v>99999</v>
      </c>
      <c r="AK1509">
        <v>699</v>
      </c>
      <c r="AL1509" t="b">
        <v>1</v>
      </c>
      <c r="AM1509" t="b">
        <v>1</v>
      </c>
      <c r="AN1509" t="b">
        <v>1</v>
      </c>
      <c r="AO1509">
        <v>99999</v>
      </c>
      <c r="AP1509" t="s">
        <v>64</v>
      </c>
      <c r="AR1509" t="b">
        <v>0</v>
      </c>
      <c r="AS1509">
        <v>12</v>
      </c>
      <c r="AT1509" t="s">
        <v>327</v>
      </c>
      <c r="AV1509" t="s">
        <v>1915</v>
      </c>
    </row>
    <row r="1510" spans="1:48" x14ac:dyDescent="0.25">
      <c r="A1510" t="s">
        <v>3323</v>
      </c>
      <c r="B1510" t="s">
        <v>302</v>
      </c>
      <c r="C1510" t="s">
        <v>62</v>
      </c>
      <c r="D1510">
        <v>99999</v>
      </c>
      <c r="F1510" s="109">
        <v>20000</v>
      </c>
      <c r="G1510" t="b">
        <v>1</v>
      </c>
      <c r="H1510" t="s">
        <v>341</v>
      </c>
      <c r="K1510" t="s">
        <v>61</v>
      </c>
      <c r="L1510" t="s">
        <v>303</v>
      </c>
      <c r="M1510" t="s">
        <v>323</v>
      </c>
      <c r="N1510" t="s">
        <v>63</v>
      </c>
      <c r="O1510" s="110">
        <v>29.9</v>
      </c>
      <c r="R1510" s="110">
        <v>374.88999999999993</v>
      </c>
      <c r="S1510" s="110">
        <v>130</v>
      </c>
      <c r="T1510" s="110">
        <v>0</v>
      </c>
      <c r="U1510" s="110">
        <v>42.99</v>
      </c>
      <c r="X1510">
        <v>156.99999999999994</v>
      </c>
      <c r="Y1510">
        <v>44.9</v>
      </c>
      <c r="Z1510">
        <v>44.9</v>
      </c>
      <c r="AA1510">
        <v>0</v>
      </c>
      <c r="AB1510" t="s">
        <v>324</v>
      </c>
      <c r="AF1510" t="s">
        <v>2051</v>
      </c>
      <c r="AG1510" t="s">
        <v>2051</v>
      </c>
      <c r="AH1510" t="s">
        <v>1903</v>
      </c>
      <c r="AI1510">
        <v>99999</v>
      </c>
      <c r="AJ1510">
        <v>99999</v>
      </c>
      <c r="AK1510">
        <v>699</v>
      </c>
      <c r="AL1510" t="b">
        <v>1</v>
      </c>
      <c r="AM1510" t="b">
        <v>1</v>
      </c>
      <c r="AN1510" t="b">
        <v>1</v>
      </c>
      <c r="AO1510">
        <v>99999</v>
      </c>
      <c r="AP1510" t="s">
        <v>64</v>
      </c>
      <c r="AR1510" t="b">
        <v>0</v>
      </c>
      <c r="AS1510">
        <v>12</v>
      </c>
      <c r="AT1510" t="s">
        <v>327</v>
      </c>
      <c r="AV1510" t="s">
        <v>2063</v>
      </c>
    </row>
    <row r="1511" spans="1:48" x14ac:dyDescent="0.25">
      <c r="A1511" t="s">
        <v>3323</v>
      </c>
      <c r="B1511" t="s">
        <v>302</v>
      </c>
      <c r="C1511" t="s">
        <v>62</v>
      </c>
      <c r="D1511">
        <v>99999</v>
      </c>
      <c r="F1511" s="109">
        <v>20000</v>
      </c>
      <c r="G1511" t="b">
        <v>1</v>
      </c>
      <c r="H1511" t="s">
        <v>341</v>
      </c>
      <c r="K1511" t="s">
        <v>61</v>
      </c>
      <c r="L1511" t="s">
        <v>303</v>
      </c>
      <c r="M1511" t="s">
        <v>323</v>
      </c>
      <c r="N1511" t="s">
        <v>63</v>
      </c>
      <c r="O1511" s="110">
        <v>39.9</v>
      </c>
      <c r="R1511" s="110">
        <v>340.58999999999992</v>
      </c>
      <c r="S1511" s="110">
        <v>130</v>
      </c>
      <c r="T1511" s="110">
        <v>0</v>
      </c>
      <c r="U1511" s="110">
        <v>34.99</v>
      </c>
      <c r="X1511">
        <v>130.69999999999993</v>
      </c>
      <c r="Y1511">
        <v>44.9</v>
      </c>
      <c r="Z1511">
        <v>44.9</v>
      </c>
      <c r="AA1511">
        <v>0</v>
      </c>
      <c r="AB1511" t="s">
        <v>324</v>
      </c>
      <c r="AF1511" t="s">
        <v>1970</v>
      </c>
      <c r="AG1511" t="s">
        <v>1970</v>
      </c>
      <c r="AH1511" t="s">
        <v>1903</v>
      </c>
      <c r="AI1511">
        <v>99999</v>
      </c>
      <c r="AJ1511">
        <v>99999</v>
      </c>
      <c r="AK1511">
        <v>699</v>
      </c>
      <c r="AL1511" t="b">
        <v>1</v>
      </c>
      <c r="AM1511" t="b">
        <v>1</v>
      </c>
      <c r="AN1511" t="b">
        <v>1</v>
      </c>
      <c r="AO1511">
        <v>99999</v>
      </c>
      <c r="AP1511" t="s">
        <v>64</v>
      </c>
      <c r="AR1511" t="b">
        <v>0</v>
      </c>
      <c r="AS1511">
        <v>12</v>
      </c>
      <c r="AT1511" t="s">
        <v>327</v>
      </c>
      <c r="AV1511" t="s">
        <v>1982</v>
      </c>
    </row>
    <row r="1512" spans="1:48" x14ac:dyDescent="0.25">
      <c r="A1512" t="s">
        <v>3323</v>
      </c>
      <c r="B1512" t="s">
        <v>302</v>
      </c>
      <c r="C1512" t="s">
        <v>62</v>
      </c>
      <c r="D1512">
        <v>99999</v>
      </c>
      <c r="F1512" s="109">
        <v>20000</v>
      </c>
      <c r="G1512" t="b">
        <v>1</v>
      </c>
      <c r="H1512" t="s">
        <v>341</v>
      </c>
      <c r="K1512" t="s">
        <v>61</v>
      </c>
      <c r="L1512" t="s">
        <v>303</v>
      </c>
      <c r="M1512" t="s">
        <v>323</v>
      </c>
      <c r="N1512" t="s">
        <v>63</v>
      </c>
      <c r="O1512" s="110">
        <v>39.9</v>
      </c>
      <c r="R1512" s="110">
        <v>374.88999999999993</v>
      </c>
      <c r="S1512" s="110">
        <v>130</v>
      </c>
      <c r="T1512" s="110">
        <v>0</v>
      </c>
      <c r="U1512" s="110">
        <v>42.99</v>
      </c>
      <c r="X1512">
        <v>156.99999999999994</v>
      </c>
      <c r="Y1512">
        <v>44.9</v>
      </c>
      <c r="Z1512">
        <v>44.9</v>
      </c>
      <c r="AA1512">
        <v>0</v>
      </c>
      <c r="AB1512" t="s">
        <v>324</v>
      </c>
      <c r="AF1512" t="s">
        <v>2118</v>
      </c>
      <c r="AG1512" t="s">
        <v>2118</v>
      </c>
      <c r="AH1512" t="s">
        <v>1903</v>
      </c>
      <c r="AI1512">
        <v>99999</v>
      </c>
      <c r="AJ1512">
        <v>99999</v>
      </c>
      <c r="AK1512">
        <v>699</v>
      </c>
      <c r="AL1512" t="b">
        <v>1</v>
      </c>
      <c r="AM1512" t="b">
        <v>1</v>
      </c>
      <c r="AN1512" t="b">
        <v>1</v>
      </c>
      <c r="AO1512">
        <v>99999</v>
      </c>
      <c r="AP1512" t="s">
        <v>64</v>
      </c>
      <c r="AR1512" t="b">
        <v>0</v>
      </c>
      <c r="AS1512">
        <v>12</v>
      </c>
      <c r="AT1512" t="s">
        <v>327</v>
      </c>
      <c r="AV1512" t="s">
        <v>2130</v>
      </c>
    </row>
    <row r="1513" spans="1:48" x14ac:dyDescent="0.25">
      <c r="A1513" t="s">
        <v>3323</v>
      </c>
      <c r="B1513" t="s">
        <v>302</v>
      </c>
      <c r="C1513" t="s">
        <v>62</v>
      </c>
      <c r="D1513">
        <v>99999</v>
      </c>
      <c r="F1513" s="109">
        <v>20000</v>
      </c>
      <c r="G1513" t="b">
        <v>1</v>
      </c>
      <c r="H1513" t="s">
        <v>341</v>
      </c>
      <c r="K1513" t="s">
        <v>61</v>
      </c>
      <c r="L1513" t="s">
        <v>303</v>
      </c>
      <c r="M1513" t="s">
        <v>323</v>
      </c>
      <c r="N1513" t="s">
        <v>63</v>
      </c>
      <c r="O1513" s="110">
        <v>49.9</v>
      </c>
      <c r="R1513" s="110">
        <v>340.58999999999992</v>
      </c>
      <c r="S1513" s="110">
        <v>130</v>
      </c>
      <c r="T1513" s="110">
        <v>0</v>
      </c>
      <c r="U1513" s="110">
        <v>34.99</v>
      </c>
      <c r="X1513">
        <v>130.69999999999993</v>
      </c>
      <c r="Y1513">
        <v>44.9</v>
      </c>
      <c r="Z1513">
        <v>44.9</v>
      </c>
      <c r="AA1513">
        <v>0</v>
      </c>
      <c r="AB1513" t="s">
        <v>324</v>
      </c>
      <c r="AF1513" t="s">
        <v>3181</v>
      </c>
      <c r="AG1513" t="s">
        <v>3181</v>
      </c>
      <c r="AH1513" t="s">
        <v>1903</v>
      </c>
      <c r="AI1513">
        <v>99999</v>
      </c>
      <c r="AJ1513">
        <v>99999</v>
      </c>
      <c r="AK1513">
        <v>699</v>
      </c>
      <c r="AL1513" t="b">
        <v>1</v>
      </c>
      <c r="AM1513" t="b">
        <v>1</v>
      </c>
      <c r="AN1513" t="b">
        <v>1</v>
      </c>
      <c r="AO1513">
        <v>99999</v>
      </c>
      <c r="AP1513" t="s">
        <v>64</v>
      </c>
      <c r="AR1513" t="b">
        <v>0</v>
      </c>
      <c r="AS1513">
        <v>12</v>
      </c>
      <c r="AT1513" t="s">
        <v>327</v>
      </c>
      <c r="AV1513" t="s">
        <v>3193</v>
      </c>
    </row>
    <row r="1514" spans="1:48" x14ac:dyDescent="0.25">
      <c r="A1514" t="s">
        <v>3323</v>
      </c>
      <c r="B1514" t="s">
        <v>302</v>
      </c>
      <c r="C1514" t="s">
        <v>62</v>
      </c>
      <c r="D1514">
        <v>99999</v>
      </c>
      <c r="F1514" s="109">
        <v>20000</v>
      </c>
      <c r="G1514" t="b">
        <v>1</v>
      </c>
      <c r="H1514" t="s">
        <v>341</v>
      </c>
      <c r="K1514" t="s">
        <v>61</v>
      </c>
      <c r="L1514" t="s">
        <v>303</v>
      </c>
      <c r="M1514" t="s">
        <v>323</v>
      </c>
      <c r="N1514" t="s">
        <v>63</v>
      </c>
      <c r="O1514" s="110">
        <v>49.9</v>
      </c>
      <c r="R1514" s="110">
        <v>374.88999999999993</v>
      </c>
      <c r="S1514" s="110">
        <v>130</v>
      </c>
      <c r="T1514" s="110">
        <v>0</v>
      </c>
      <c r="U1514" s="110">
        <v>42.99</v>
      </c>
      <c r="X1514">
        <v>156.99999999999994</v>
      </c>
      <c r="Y1514">
        <v>44.9</v>
      </c>
      <c r="Z1514">
        <v>44.9</v>
      </c>
      <c r="AA1514">
        <v>0</v>
      </c>
      <c r="AB1514" t="s">
        <v>324</v>
      </c>
      <c r="AF1514" t="s">
        <v>3255</v>
      </c>
      <c r="AG1514" t="s">
        <v>3255</v>
      </c>
      <c r="AH1514" t="s">
        <v>1903</v>
      </c>
      <c r="AI1514">
        <v>99999</v>
      </c>
      <c r="AJ1514">
        <v>99999</v>
      </c>
      <c r="AK1514">
        <v>699</v>
      </c>
      <c r="AL1514" t="b">
        <v>1</v>
      </c>
      <c r="AM1514" t="b">
        <v>1</v>
      </c>
      <c r="AN1514" t="b">
        <v>1</v>
      </c>
      <c r="AO1514">
        <v>99999</v>
      </c>
      <c r="AP1514" t="s">
        <v>64</v>
      </c>
      <c r="AR1514" t="b">
        <v>0</v>
      </c>
      <c r="AS1514">
        <v>12</v>
      </c>
      <c r="AT1514" t="s">
        <v>327</v>
      </c>
      <c r="AV1514" t="s">
        <v>3267</v>
      </c>
    </row>
    <row r="1515" spans="1:48" x14ac:dyDescent="0.25">
      <c r="A1515" t="s">
        <v>3323</v>
      </c>
      <c r="B1515" t="s">
        <v>302</v>
      </c>
      <c r="C1515" t="s">
        <v>62</v>
      </c>
      <c r="D1515">
        <v>99999</v>
      </c>
      <c r="F1515" s="109">
        <v>4000</v>
      </c>
      <c r="G1515" t="b">
        <v>0</v>
      </c>
      <c r="H1515" t="s">
        <v>742</v>
      </c>
      <c r="K1515" t="s">
        <v>349</v>
      </c>
      <c r="L1515" t="s">
        <v>303</v>
      </c>
      <c r="M1515" t="s">
        <v>323</v>
      </c>
      <c r="N1515" t="s">
        <v>63</v>
      </c>
      <c r="O1515">
        <v>29.9</v>
      </c>
      <c r="R1515">
        <v>177.69</v>
      </c>
      <c r="S1515">
        <v>59.9</v>
      </c>
      <c r="T1515" s="110">
        <v>0</v>
      </c>
      <c r="U1515">
        <v>42.99</v>
      </c>
      <c r="X1515">
        <v>29.9</v>
      </c>
      <c r="Y1515">
        <v>44.9</v>
      </c>
      <c r="Z1515">
        <v>44.9</v>
      </c>
      <c r="AA1515">
        <v>0</v>
      </c>
      <c r="AB1515" t="s">
        <v>324</v>
      </c>
      <c r="AF1515" t="s">
        <v>743</v>
      </c>
      <c r="AG1515" t="s">
        <v>743</v>
      </c>
      <c r="AH1515" t="s">
        <v>325</v>
      </c>
      <c r="AI1515">
        <v>99999</v>
      </c>
      <c r="AJ1515">
        <v>99999</v>
      </c>
      <c r="AK1515">
        <v>699</v>
      </c>
      <c r="AL1515" t="b">
        <v>1</v>
      </c>
      <c r="AM1515" t="b">
        <v>1</v>
      </c>
      <c r="AN1515" t="b">
        <v>0</v>
      </c>
      <c r="AO1515">
        <v>99999</v>
      </c>
      <c r="AP1515" t="s">
        <v>64</v>
      </c>
      <c r="AR1515" t="b">
        <v>0</v>
      </c>
      <c r="AS1515">
        <v>12</v>
      </c>
      <c r="AT1515" t="s">
        <v>327</v>
      </c>
      <c r="AV1515" t="s">
        <v>745</v>
      </c>
    </row>
    <row r="1516" spans="1:48" x14ac:dyDescent="0.25">
      <c r="A1516" t="s">
        <v>3323</v>
      </c>
      <c r="B1516" t="s">
        <v>302</v>
      </c>
      <c r="C1516" t="s">
        <v>62</v>
      </c>
      <c r="D1516">
        <v>99999</v>
      </c>
      <c r="F1516" s="109">
        <v>4000</v>
      </c>
      <c r="G1516" t="b">
        <v>0</v>
      </c>
      <c r="H1516" t="s">
        <v>742</v>
      </c>
      <c r="K1516" t="s">
        <v>349</v>
      </c>
      <c r="L1516" t="s">
        <v>303</v>
      </c>
      <c r="M1516" t="s">
        <v>323</v>
      </c>
      <c r="N1516" t="s">
        <v>63</v>
      </c>
      <c r="O1516">
        <v>39.9</v>
      </c>
      <c r="R1516">
        <v>177.69</v>
      </c>
      <c r="S1516">
        <v>59.9</v>
      </c>
      <c r="T1516" s="110">
        <v>0</v>
      </c>
      <c r="U1516">
        <v>42.99</v>
      </c>
      <c r="X1516">
        <v>29.9</v>
      </c>
      <c r="Y1516">
        <v>44.9</v>
      </c>
      <c r="Z1516">
        <v>44.9</v>
      </c>
      <c r="AA1516">
        <v>0</v>
      </c>
      <c r="AB1516" t="s">
        <v>324</v>
      </c>
      <c r="AF1516" t="s">
        <v>750</v>
      </c>
      <c r="AG1516" t="s">
        <v>750</v>
      </c>
      <c r="AH1516" t="s">
        <v>325</v>
      </c>
      <c r="AI1516">
        <v>99999</v>
      </c>
      <c r="AJ1516">
        <v>99999</v>
      </c>
      <c r="AK1516">
        <v>699</v>
      </c>
      <c r="AL1516" t="b">
        <v>1</v>
      </c>
      <c r="AM1516" t="b">
        <v>1</v>
      </c>
      <c r="AN1516" t="b">
        <v>0</v>
      </c>
      <c r="AO1516">
        <v>99999</v>
      </c>
      <c r="AP1516" t="s">
        <v>64</v>
      </c>
      <c r="AR1516" t="b">
        <v>0</v>
      </c>
      <c r="AS1516">
        <v>12</v>
      </c>
      <c r="AT1516" t="s">
        <v>327</v>
      </c>
      <c r="AV1516" t="s">
        <v>752</v>
      </c>
    </row>
    <row r="1517" spans="1:48" x14ac:dyDescent="0.25">
      <c r="A1517" t="s">
        <v>3323</v>
      </c>
      <c r="B1517" t="s">
        <v>302</v>
      </c>
      <c r="C1517" t="s">
        <v>62</v>
      </c>
      <c r="D1517">
        <v>99999</v>
      </c>
      <c r="F1517" s="109">
        <v>4000</v>
      </c>
      <c r="G1517" t="b">
        <v>0</v>
      </c>
      <c r="H1517" t="s">
        <v>742</v>
      </c>
      <c r="K1517" t="s">
        <v>349</v>
      </c>
      <c r="L1517" t="s">
        <v>303</v>
      </c>
      <c r="M1517" t="s">
        <v>323</v>
      </c>
      <c r="N1517" t="s">
        <v>63</v>
      </c>
      <c r="O1517" s="110">
        <v>49.9</v>
      </c>
      <c r="R1517" s="110">
        <v>239.79</v>
      </c>
      <c r="S1517" s="110">
        <v>130</v>
      </c>
      <c r="T1517" s="110">
        <v>0</v>
      </c>
      <c r="U1517" s="110">
        <v>34.99</v>
      </c>
      <c r="X1517">
        <v>29.9</v>
      </c>
      <c r="Y1517">
        <v>44.9</v>
      </c>
      <c r="Z1517">
        <v>44.9</v>
      </c>
      <c r="AA1517">
        <v>0</v>
      </c>
      <c r="AB1517" t="s">
        <v>324</v>
      </c>
      <c r="AF1517" t="s">
        <v>2252</v>
      </c>
      <c r="AG1517" t="s">
        <v>2252</v>
      </c>
      <c r="AH1517" t="s">
        <v>325</v>
      </c>
      <c r="AI1517">
        <v>99999</v>
      </c>
      <c r="AJ1517">
        <v>99999</v>
      </c>
      <c r="AK1517">
        <v>699</v>
      </c>
      <c r="AL1517" t="b">
        <v>1</v>
      </c>
      <c r="AM1517" t="b">
        <v>1</v>
      </c>
      <c r="AN1517" t="b">
        <v>0</v>
      </c>
      <c r="AO1517">
        <v>99999</v>
      </c>
      <c r="AP1517" t="s">
        <v>64</v>
      </c>
      <c r="AR1517" t="b">
        <v>0</v>
      </c>
      <c r="AS1517">
        <v>12</v>
      </c>
      <c r="AT1517" t="s">
        <v>327</v>
      </c>
      <c r="AV1517" t="s">
        <v>2254</v>
      </c>
    </row>
    <row r="1518" spans="1:48" x14ac:dyDescent="0.25">
      <c r="A1518" t="s">
        <v>3323</v>
      </c>
      <c r="B1518" t="s">
        <v>302</v>
      </c>
      <c r="C1518" t="s">
        <v>62</v>
      </c>
      <c r="D1518">
        <v>99999</v>
      </c>
      <c r="F1518" s="109">
        <v>4000</v>
      </c>
      <c r="G1518" t="b">
        <v>0</v>
      </c>
      <c r="H1518" t="s">
        <v>742</v>
      </c>
      <c r="K1518" t="s">
        <v>349</v>
      </c>
      <c r="L1518" t="s">
        <v>303</v>
      </c>
      <c r="M1518" t="s">
        <v>323</v>
      </c>
      <c r="N1518" t="s">
        <v>63</v>
      </c>
      <c r="O1518" s="110">
        <v>49.9</v>
      </c>
      <c r="R1518" s="110">
        <v>247.79</v>
      </c>
      <c r="S1518" s="110">
        <v>130</v>
      </c>
      <c r="T1518" s="110">
        <v>0</v>
      </c>
      <c r="U1518" s="110">
        <v>42.99</v>
      </c>
      <c r="X1518">
        <v>29.9</v>
      </c>
      <c r="Y1518">
        <v>44.9</v>
      </c>
      <c r="Z1518">
        <v>44.9</v>
      </c>
      <c r="AA1518">
        <v>0</v>
      </c>
      <c r="AB1518" t="s">
        <v>324</v>
      </c>
      <c r="AF1518" t="s">
        <v>2460</v>
      </c>
      <c r="AG1518" t="s">
        <v>2460</v>
      </c>
      <c r="AH1518" t="s">
        <v>325</v>
      </c>
      <c r="AI1518">
        <v>99999</v>
      </c>
      <c r="AJ1518">
        <v>99999</v>
      </c>
      <c r="AK1518">
        <v>699</v>
      </c>
      <c r="AL1518" t="b">
        <v>1</v>
      </c>
      <c r="AM1518" t="b">
        <v>1</v>
      </c>
      <c r="AN1518" t="b">
        <v>0</v>
      </c>
      <c r="AO1518">
        <v>99999</v>
      </c>
      <c r="AP1518" t="s">
        <v>64</v>
      </c>
      <c r="AR1518" t="b">
        <v>0</v>
      </c>
      <c r="AS1518">
        <v>12</v>
      </c>
      <c r="AT1518" t="s">
        <v>327</v>
      </c>
      <c r="AV1518" t="s">
        <v>2462</v>
      </c>
    </row>
    <row r="1519" spans="1:48" x14ac:dyDescent="0.25">
      <c r="A1519" t="s">
        <v>3323</v>
      </c>
      <c r="B1519" t="s">
        <v>302</v>
      </c>
      <c r="C1519" t="s">
        <v>62</v>
      </c>
      <c r="D1519">
        <v>99999</v>
      </c>
      <c r="F1519" s="109">
        <v>4000</v>
      </c>
      <c r="G1519" t="b">
        <v>0</v>
      </c>
      <c r="H1519" t="s">
        <v>742</v>
      </c>
      <c r="K1519" t="s">
        <v>393</v>
      </c>
      <c r="L1519" t="s">
        <v>303</v>
      </c>
      <c r="M1519" t="s">
        <v>323</v>
      </c>
      <c r="N1519" t="s">
        <v>63</v>
      </c>
      <c r="O1519">
        <v>29.9</v>
      </c>
      <c r="R1519">
        <v>202.69000000000003</v>
      </c>
      <c r="S1519">
        <v>59.9</v>
      </c>
      <c r="T1519" s="110">
        <v>0</v>
      </c>
      <c r="U1519">
        <v>42.99</v>
      </c>
      <c r="X1519">
        <v>29.9</v>
      </c>
      <c r="Y1519">
        <v>69.900000000000006</v>
      </c>
      <c r="Z1519">
        <v>69.900000000000006</v>
      </c>
      <c r="AA1519">
        <v>0</v>
      </c>
      <c r="AB1519" t="s">
        <v>363</v>
      </c>
      <c r="AF1519" t="s">
        <v>746</v>
      </c>
      <c r="AG1519" t="s">
        <v>746</v>
      </c>
      <c r="AH1519" t="s">
        <v>325</v>
      </c>
      <c r="AI1519">
        <v>99999</v>
      </c>
      <c r="AJ1519">
        <v>99999</v>
      </c>
      <c r="AK1519">
        <v>699</v>
      </c>
      <c r="AL1519" t="b">
        <v>1</v>
      </c>
      <c r="AM1519" t="b">
        <v>1</v>
      </c>
      <c r="AN1519" t="b">
        <v>0</v>
      </c>
      <c r="AO1519">
        <v>99999</v>
      </c>
      <c r="AP1519" t="s">
        <v>64</v>
      </c>
      <c r="AR1519" t="b">
        <v>0</v>
      </c>
      <c r="AS1519">
        <v>12</v>
      </c>
      <c r="AT1519" t="s">
        <v>327</v>
      </c>
      <c r="AV1519" t="s">
        <v>749</v>
      </c>
    </row>
    <row r="1520" spans="1:48" x14ac:dyDescent="0.25">
      <c r="A1520" t="s">
        <v>3323</v>
      </c>
      <c r="B1520" t="s">
        <v>302</v>
      </c>
      <c r="C1520" t="s">
        <v>62</v>
      </c>
      <c r="D1520">
        <v>99999</v>
      </c>
      <c r="F1520" s="109">
        <v>4000</v>
      </c>
      <c r="G1520" t="b">
        <v>0</v>
      </c>
      <c r="H1520" t="s">
        <v>742</v>
      </c>
      <c r="K1520" t="s">
        <v>393</v>
      </c>
      <c r="L1520" t="s">
        <v>303</v>
      </c>
      <c r="M1520" t="s">
        <v>323</v>
      </c>
      <c r="N1520" t="s">
        <v>63</v>
      </c>
      <c r="O1520">
        <v>39.9</v>
      </c>
      <c r="R1520">
        <v>202.69000000000003</v>
      </c>
      <c r="S1520">
        <v>59.9</v>
      </c>
      <c r="T1520" s="110">
        <v>0</v>
      </c>
      <c r="U1520">
        <v>42.99</v>
      </c>
      <c r="X1520">
        <v>29.9</v>
      </c>
      <c r="Y1520">
        <v>69.900000000000006</v>
      </c>
      <c r="Z1520">
        <v>69.900000000000006</v>
      </c>
      <c r="AA1520">
        <v>0</v>
      </c>
      <c r="AB1520" t="s">
        <v>363</v>
      </c>
      <c r="AF1520" t="s">
        <v>753</v>
      </c>
      <c r="AG1520" t="s">
        <v>753</v>
      </c>
      <c r="AH1520" t="s">
        <v>325</v>
      </c>
      <c r="AI1520">
        <v>99999</v>
      </c>
      <c r="AJ1520">
        <v>99999</v>
      </c>
      <c r="AK1520">
        <v>699</v>
      </c>
      <c r="AL1520" t="b">
        <v>1</v>
      </c>
      <c r="AM1520" t="b">
        <v>1</v>
      </c>
      <c r="AN1520" t="b">
        <v>0</v>
      </c>
      <c r="AO1520">
        <v>99999</v>
      </c>
      <c r="AP1520" t="s">
        <v>64</v>
      </c>
      <c r="AR1520" t="b">
        <v>0</v>
      </c>
      <c r="AS1520">
        <v>12</v>
      </c>
      <c r="AT1520" t="s">
        <v>327</v>
      </c>
      <c r="AV1520" t="s">
        <v>756</v>
      </c>
    </row>
    <row r="1521" spans="1:48" x14ac:dyDescent="0.25">
      <c r="A1521" t="s">
        <v>3323</v>
      </c>
      <c r="B1521" t="s">
        <v>302</v>
      </c>
      <c r="C1521" t="s">
        <v>62</v>
      </c>
      <c r="D1521">
        <v>99999</v>
      </c>
      <c r="F1521" s="109">
        <v>4000</v>
      </c>
      <c r="G1521" t="b">
        <v>0</v>
      </c>
      <c r="H1521" t="s">
        <v>742</v>
      </c>
      <c r="K1521" t="s">
        <v>393</v>
      </c>
      <c r="L1521" t="s">
        <v>303</v>
      </c>
      <c r="M1521" t="s">
        <v>323</v>
      </c>
      <c r="N1521" t="s">
        <v>63</v>
      </c>
      <c r="O1521" s="110">
        <v>49.9</v>
      </c>
      <c r="R1521" s="110">
        <v>264.79000000000002</v>
      </c>
      <c r="S1521" s="110">
        <v>130</v>
      </c>
      <c r="T1521" s="110">
        <v>0</v>
      </c>
      <c r="U1521" s="110">
        <v>34.99</v>
      </c>
      <c r="X1521">
        <v>29.9</v>
      </c>
      <c r="Y1521">
        <v>69.900000000000006</v>
      </c>
      <c r="Z1521">
        <v>69.900000000000006</v>
      </c>
      <c r="AA1521">
        <v>0</v>
      </c>
      <c r="AB1521" t="s">
        <v>363</v>
      </c>
      <c r="AF1521" t="s">
        <v>2255</v>
      </c>
      <c r="AG1521" t="s">
        <v>2255</v>
      </c>
      <c r="AH1521" t="s">
        <v>325</v>
      </c>
      <c r="AI1521">
        <v>99999</v>
      </c>
      <c r="AJ1521">
        <v>99999</v>
      </c>
      <c r="AK1521">
        <v>699</v>
      </c>
      <c r="AL1521" t="b">
        <v>1</v>
      </c>
      <c r="AM1521" t="b">
        <v>1</v>
      </c>
      <c r="AN1521" t="b">
        <v>0</v>
      </c>
      <c r="AO1521">
        <v>99999</v>
      </c>
      <c r="AP1521" t="s">
        <v>64</v>
      </c>
      <c r="AR1521" t="b">
        <v>0</v>
      </c>
      <c r="AS1521">
        <v>12</v>
      </c>
      <c r="AT1521" t="s">
        <v>327</v>
      </c>
      <c r="AV1521" t="s">
        <v>2258</v>
      </c>
    </row>
    <row r="1522" spans="1:48" x14ac:dyDescent="0.25">
      <c r="A1522" t="s">
        <v>3323</v>
      </c>
      <c r="B1522" t="s">
        <v>302</v>
      </c>
      <c r="C1522" t="s">
        <v>62</v>
      </c>
      <c r="D1522">
        <v>99999</v>
      </c>
      <c r="F1522" s="109">
        <v>4000</v>
      </c>
      <c r="G1522" t="b">
        <v>0</v>
      </c>
      <c r="H1522" t="s">
        <v>742</v>
      </c>
      <c r="K1522" t="s">
        <v>393</v>
      </c>
      <c r="L1522" t="s">
        <v>303</v>
      </c>
      <c r="M1522" t="s">
        <v>323</v>
      </c>
      <c r="N1522" t="s">
        <v>63</v>
      </c>
      <c r="O1522" s="110">
        <v>49.9</v>
      </c>
      <c r="R1522" s="110">
        <v>272.79000000000002</v>
      </c>
      <c r="S1522" s="110">
        <v>130</v>
      </c>
      <c r="T1522" s="110">
        <v>0</v>
      </c>
      <c r="U1522" s="110">
        <v>42.99</v>
      </c>
      <c r="X1522">
        <v>29.9</v>
      </c>
      <c r="Y1522">
        <v>69.900000000000006</v>
      </c>
      <c r="Z1522">
        <v>69.900000000000006</v>
      </c>
      <c r="AA1522">
        <v>0</v>
      </c>
      <c r="AB1522" t="s">
        <v>363</v>
      </c>
      <c r="AF1522" t="s">
        <v>2463</v>
      </c>
      <c r="AG1522" t="s">
        <v>2463</v>
      </c>
      <c r="AH1522" t="s">
        <v>325</v>
      </c>
      <c r="AI1522">
        <v>99999</v>
      </c>
      <c r="AJ1522">
        <v>99999</v>
      </c>
      <c r="AK1522">
        <v>699</v>
      </c>
      <c r="AL1522" t="b">
        <v>1</v>
      </c>
      <c r="AM1522" t="b">
        <v>1</v>
      </c>
      <c r="AN1522" t="b">
        <v>0</v>
      </c>
      <c r="AO1522">
        <v>99999</v>
      </c>
      <c r="AP1522" t="s">
        <v>64</v>
      </c>
      <c r="AR1522" t="b">
        <v>0</v>
      </c>
      <c r="AS1522">
        <v>12</v>
      </c>
      <c r="AT1522" t="s">
        <v>327</v>
      </c>
      <c r="AV1522" t="s">
        <v>2466</v>
      </c>
    </row>
    <row r="1523" spans="1:48" x14ac:dyDescent="0.25">
      <c r="A1523" t="s">
        <v>3323</v>
      </c>
      <c r="B1523" t="s">
        <v>302</v>
      </c>
      <c r="C1523" t="s">
        <v>62</v>
      </c>
      <c r="D1523">
        <v>99999</v>
      </c>
      <c r="F1523" s="109">
        <v>4000</v>
      </c>
      <c r="G1523" t="b">
        <v>0</v>
      </c>
      <c r="H1523" t="s">
        <v>742</v>
      </c>
      <c r="K1523" t="s">
        <v>364</v>
      </c>
      <c r="L1523" t="s">
        <v>303</v>
      </c>
      <c r="M1523" t="s">
        <v>323</v>
      </c>
      <c r="N1523" t="s">
        <v>63</v>
      </c>
      <c r="O1523">
        <v>29.9</v>
      </c>
      <c r="R1523">
        <v>182.69</v>
      </c>
      <c r="S1523">
        <v>59.9</v>
      </c>
      <c r="T1523" s="110">
        <v>0</v>
      </c>
      <c r="U1523">
        <v>42.99</v>
      </c>
      <c r="X1523">
        <v>29.9</v>
      </c>
      <c r="Y1523">
        <v>49.9</v>
      </c>
      <c r="Z1523">
        <v>49.9</v>
      </c>
      <c r="AA1523">
        <v>0</v>
      </c>
      <c r="AB1523" t="s">
        <v>363</v>
      </c>
      <c r="AF1523" t="s">
        <v>746</v>
      </c>
      <c r="AG1523" t="s">
        <v>746</v>
      </c>
      <c r="AH1523" t="s">
        <v>325</v>
      </c>
      <c r="AI1523">
        <v>99999</v>
      </c>
      <c r="AJ1523">
        <v>99999</v>
      </c>
      <c r="AK1523">
        <v>699</v>
      </c>
      <c r="AL1523" t="b">
        <v>1</v>
      </c>
      <c r="AM1523" t="b">
        <v>1</v>
      </c>
      <c r="AN1523" t="b">
        <v>0</v>
      </c>
      <c r="AO1523">
        <v>99999</v>
      </c>
      <c r="AP1523" t="s">
        <v>64</v>
      </c>
      <c r="AR1523" t="b">
        <v>0</v>
      </c>
      <c r="AS1523">
        <v>12</v>
      </c>
      <c r="AT1523" t="s">
        <v>327</v>
      </c>
      <c r="AV1523" t="s">
        <v>747</v>
      </c>
    </row>
    <row r="1524" spans="1:48" x14ac:dyDescent="0.25">
      <c r="A1524" t="s">
        <v>3323</v>
      </c>
      <c r="B1524" t="s">
        <v>302</v>
      </c>
      <c r="C1524" t="s">
        <v>62</v>
      </c>
      <c r="D1524">
        <v>99999</v>
      </c>
      <c r="F1524" s="109">
        <v>4000</v>
      </c>
      <c r="G1524" t="b">
        <v>0</v>
      </c>
      <c r="H1524" t="s">
        <v>742</v>
      </c>
      <c r="K1524" t="s">
        <v>364</v>
      </c>
      <c r="L1524" t="s">
        <v>303</v>
      </c>
      <c r="M1524" t="s">
        <v>323</v>
      </c>
      <c r="N1524" t="s">
        <v>63</v>
      </c>
      <c r="O1524">
        <v>39.9</v>
      </c>
      <c r="R1524">
        <v>182.69</v>
      </c>
      <c r="S1524">
        <v>59.9</v>
      </c>
      <c r="T1524" s="110">
        <v>0</v>
      </c>
      <c r="U1524">
        <v>42.99</v>
      </c>
      <c r="X1524">
        <v>29.9</v>
      </c>
      <c r="Y1524">
        <v>49.9</v>
      </c>
      <c r="Z1524">
        <v>49.9</v>
      </c>
      <c r="AA1524">
        <v>0</v>
      </c>
      <c r="AB1524" t="s">
        <v>363</v>
      </c>
      <c r="AF1524" t="s">
        <v>753</v>
      </c>
      <c r="AG1524" t="s">
        <v>753</v>
      </c>
      <c r="AH1524" t="s">
        <v>325</v>
      </c>
      <c r="AI1524">
        <v>99999</v>
      </c>
      <c r="AJ1524">
        <v>99999</v>
      </c>
      <c r="AK1524">
        <v>699</v>
      </c>
      <c r="AL1524" t="b">
        <v>1</v>
      </c>
      <c r="AM1524" t="b">
        <v>1</v>
      </c>
      <c r="AN1524" t="b">
        <v>0</v>
      </c>
      <c r="AO1524">
        <v>99999</v>
      </c>
      <c r="AP1524" t="s">
        <v>64</v>
      </c>
      <c r="AR1524" t="b">
        <v>0</v>
      </c>
      <c r="AS1524">
        <v>12</v>
      </c>
      <c r="AT1524" t="s">
        <v>327</v>
      </c>
      <c r="AV1524" t="s">
        <v>754</v>
      </c>
    </row>
    <row r="1525" spans="1:48" x14ac:dyDescent="0.25">
      <c r="A1525" t="s">
        <v>3323</v>
      </c>
      <c r="B1525" t="s">
        <v>302</v>
      </c>
      <c r="C1525" t="s">
        <v>62</v>
      </c>
      <c r="D1525">
        <v>99999</v>
      </c>
      <c r="F1525" s="109">
        <v>4000</v>
      </c>
      <c r="G1525" t="b">
        <v>0</v>
      </c>
      <c r="H1525" t="s">
        <v>742</v>
      </c>
      <c r="K1525" t="s">
        <v>364</v>
      </c>
      <c r="L1525" t="s">
        <v>303</v>
      </c>
      <c r="M1525" t="s">
        <v>323</v>
      </c>
      <c r="N1525" t="s">
        <v>63</v>
      </c>
      <c r="O1525" s="110">
        <v>49.9</v>
      </c>
      <c r="R1525" s="110">
        <v>244.79</v>
      </c>
      <c r="S1525" s="110">
        <v>130</v>
      </c>
      <c r="T1525" s="110">
        <v>0</v>
      </c>
      <c r="U1525" s="110">
        <v>34.99</v>
      </c>
      <c r="X1525">
        <v>29.9</v>
      </c>
      <c r="Y1525">
        <v>49.9</v>
      </c>
      <c r="Z1525">
        <v>49.9</v>
      </c>
      <c r="AA1525">
        <v>0</v>
      </c>
      <c r="AB1525" t="s">
        <v>363</v>
      </c>
      <c r="AF1525" t="s">
        <v>2255</v>
      </c>
      <c r="AG1525" t="s">
        <v>2255</v>
      </c>
      <c r="AH1525" t="s">
        <v>325</v>
      </c>
      <c r="AI1525">
        <v>99999</v>
      </c>
      <c r="AJ1525">
        <v>99999</v>
      </c>
      <c r="AK1525">
        <v>699</v>
      </c>
      <c r="AL1525" t="b">
        <v>1</v>
      </c>
      <c r="AM1525" t="b">
        <v>1</v>
      </c>
      <c r="AN1525" t="b">
        <v>0</v>
      </c>
      <c r="AO1525">
        <v>99999</v>
      </c>
      <c r="AP1525" t="s">
        <v>64</v>
      </c>
      <c r="AR1525" t="b">
        <v>0</v>
      </c>
      <c r="AS1525">
        <v>12</v>
      </c>
      <c r="AT1525" t="s">
        <v>327</v>
      </c>
      <c r="AV1525" t="s">
        <v>2256</v>
      </c>
    </row>
    <row r="1526" spans="1:48" x14ac:dyDescent="0.25">
      <c r="A1526" t="s">
        <v>3323</v>
      </c>
      <c r="B1526" t="s">
        <v>302</v>
      </c>
      <c r="C1526" t="s">
        <v>62</v>
      </c>
      <c r="D1526">
        <v>99999</v>
      </c>
      <c r="F1526" s="109">
        <v>4000</v>
      </c>
      <c r="G1526" t="b">
        <v>0</v>
      </c>
      <c r="H1526" t="s">
        <v>742</v>
      </c>
      <c r="K1526" t="s">
        <v>364</v>
      </c>
      <c r="L1526" t="s">
        <v>303</v>
      </c>
      <c r="M1526" t="s">
        <v>323</v>
      </c>
      <c r="N1526" t="s">
        <v>63</v>
      </c>
      <c r="O1526" s="110">
        <v>49.9</v>
      </c>
      <c r="R1526" s="110">
        <v>252.79</v>
      </c>
      <c r="S1526" s="110">
        <v>130</v>
      </c>
      <c r="T1526" s="110">
        <v>0</v>
      </c>
      <c r="U1526" s="110">
        <v>42.99</v>
      </c>
      <c r="X1526">
        <v>29.9</v>
      </c>
      <c r="Y1526">
        <v>49.9</v>
      </c>
      <c r="Z1526">
        <v>49.9</v>
      </c>
      <c r="AA1526">
        <v>0</v>
      </c>
      <c r="AB1526" t="s">
        <v>363</v>
      </c>
      <c r="AF1526" t="s">
        <v>2463</v>
      </c>
      <c r="AG1526" t="s">
        <v>2463</v>
      </c>
      <c r="AH1526" t="s">
        <v>325</v>
      </c>
      <c r="AI1526">
        <v>99999</v>
      </c>
      <c r="AJ1526">
        <v>99999</v>
      </c>
      <c r="AK1526">
        <v>699</v>
      </c>
      <c r="AL1526" t="b">
        <v>1</v>
      </c>
      <c r="AM1526" t="b">
        <v>1</v>
      </c>
      <c r="AN1526" t="b">
        <v>0</v>
      </c>
      <c r="AO1526">
        <v>99999</v>
      </c>
      <c r="AP1526" t="s">
        <v>64</v>
      </c>
      <c r="AR1526" t="b">
        <v>0</v>
      </c>
      <c r="AS1526">
        <v>12</v>
      </c>
      <c r="AT1526" t="s">
        <v>327</v>
      </c>
      <c r="AV1526" t="s">
        <v>2464</v>
      </c>
    </row>
    <row r="1527" spans="1:48" x14ac:dyDescent="0.25">
      <c r="A1527" t="s">
        <v>3323</v>
      </c>
      <c r="B1527" t="s">
        <v>302</v>
      </c>
      <c r="C1527" t="s">
        <v>62</v>
      </c>
      <c r="D1527">
        <v>99999</v>
      </c>
      <c r="F1527" s="109">
        <v>4000</v>
      </c>
      <c r="G1527" t="b">
        <v>0</v>
      </c>
      <c r="H1527" t="s">
        <v>742</v>
      </c>
      <c r="K1527" t="s">
        <v>379</v>
      </c>
      <c r="L1527" t="s">
        <v>303</v>
      </c>
      <c r="M1527" t="s">
        <v>323</v>
      </c>
      <c r="N1527" t="s">
        <v>63</v>
      </c>
      <c r="O1527">
        <v>29.9</v>
      </c>
      <c r="R1527">
        <v>192.69</v>
      </c>
      <c r="S1527">
        <v>59.9</v>
      </c>
      <c r="T1527" s="110">
        <v>0</v>
      </c>
      <c r="U1527">
        <v>42.99</v>
      </c>
      <c r="X1527">
        <v>29.9</v>
      </c>
      <c r="Y1527">
        <v>59.9</v>
      </c>
      <c r="Z1527">
        <v>59.9</v>
      </c>
      <c r="AA1527">
        <v>0</v>
      </c>
      <c r="AB1527" t="s">
        <v>363</v>
      </c>
      <c r="AF1527" t="s">
        <v>746</v>
      </c>
      <c r="AG1527" t="s">
        <v>746</v>
      </c>
      <c r="AH1527" t="s">
        <v>325</v>
      </c>
      <c r="AI1527">
        <v>99999</v>
      </c>
      <c r="AJ1527">
        <v>99999</v>
      </c>
      <c r="AK1527">
        <v>699</v>
      </c>
      <c r="AL1527" t="b">
        <v>1</v>
      </c>
      <c r="AM1527" t="b">
        <v>1</v>
      </c>
      <c r="AN1527" t="b">
        <v>0</v>
      </c>
      <c r="AO1527">
        <v>99999</v>
      </c>
      <c r="AP1527" t="s">
        <v>64</v>
      </c>
      <c r="AR1527" t="b">
        <v>0</v>
      </c>
      <c r="AS1527">
        <v>12</v>
      </c>
      <c r="AT1527" t="s">
        <v>327</v>
      </c>
      <c r="AV1527" t="s">
        <v>748</v>
      </c>
    </row>
    <row r="1528" spans="1:48" x14ac:dyDescent="0.25">
      <c r="A1528" t="s">
        <v>3323</v>
      </c>
      <c r="B1528" t="s">
        <v>302</v>
      </c>
      <c r="C1528" t="s">
        <v>62</v>
      </c>
      <c r="D1528">
        <v>99999</v>
      </c>
      <c r="F1528" s="109">
        <v>4000</v>
      </c>
      <c r="G1528" t="b">
        <v>0</v>
      </c>
      <c r="H1528" t="s">
        <v>742</v>
      </c>
      <c r="K1528" t="s">
        <v>379</v>
      </c>
      <c r="L1528" t="s">
        <v>303</v>
      </c>
      <c r="M1528" t="s">
        <v>323</v>
      </c>
      <c r="N1528" t="s">
        <v>63</v>
      </c>
      <c r="O1528">
        <v>39.9</v>
      </c>
      <c r="R1528">
        <v>192.69</v>
      </c>
      <c r="S1528">
        <v>59.9</v>
      </c>
      <c r="T1528" s="110">
        <v>0</v>
      </c>
      <c r="U1528">
        <v>42.99</v>
      </c>
      <c r="X1528">
        <v>29.9</v>
      </c>
      <c r="Y1528">
        <v>59.9</v>
      </c>
      <c r="Z1528">
        <v>59.9</v>
      </c>
      <c r="AA1528">
        <v>0</v>
      </c>
      <c r="AB1528" t="s">
        <v>363</v>
      </c>
      <c r="AF1528" t="s">
        <v>753</v>
      </c>
      <c r="AG1528" t="s">
        <v>753</v>
      </c>
      <c r="AH1528" t="s">
        <v>325</v>
      </c>
      <c r="AI1528">
        <v>99999</v>
      </c>
      <c r="AJ1528">
        <v>99999</v>
      </c>
      <c r="AK1528">
        <v>699</v>
      </c>
      <c r="AL1528" t="b">
        <v>1</v>
      </c>
      <c r="AM1528" t="b">
        <v>1</v>
      </c>
      <c r="AN1528" t="b">
        <v>0</v>
      </c>
      <c r="AO1528">
        <v>99999</v>
      </c>
      <c r="AP1528" t="s">
        <v>64</v>
      </c>
      <c r="AR1528" t="b">
        <v>0</v>
      </c>
      <c r="AS1528">
        <v>12</v>
      </c>
      <c r="AT1528" t="s">
        <v>327</v>
      </c>
      <c r="AV1528" t="s">
        <v>755</v>
      </c>
    </row>
    <row r="1529" spans="1:48" x14ac:dyDescent="0.25">
      <c r="A1529" t="s">
        <v>3323</v>
      </c>
      <c r="B1529" t="s">
        <v>302</v>
      </c>
      <c r="C1529" t="s">
        <v>62</v>
      </c>
      <c r="D1529">
        <v>99999</v>
      </c>
      <c r="F1529" s="109">
        <v>4000</v>
      </c>
      <c r="G1529" t="b">
        <v>0</v>
      </c>
      <c r="H1529" t="s">
        <v>742</v>
      </c>
      <c r="K1529" t="s">
        <v>379</v>
      </c>
      <c r="L1529" t="s">
        <v>303</v>
      </c>
      <c r="M1529" t="s">
        <v>323</v>
      </c>
      <c r="N1529" t="s">
        <v>63</v>
      </c>
      <c r="O1529" s="110">
        <v>49.9</v>
      </c>
      <c r="R1529" s="110">
        <v>254.79</v>
      </c>
      <c r="S1529" s="110">
        <v>130</v>
      </c>
      <c r="T1529" s="110">
        <v>0</v>
      </c>
      <c r="U1529" s="110">
        <v>34.99</v>
      </c>
      <c r="X1529">
        <v>29.9</v>
      </c>
      <c r="Y1529">
        <v>59.9</v>
      </c>
      <c r="Z1529">
        <v>59.9</v>
      </c>
      <c r="AA1529">
        <v>0</v>
      </c>
      <c r="AB1529" t="s">
        <v>363</v>
      </c>
      <c r="AF1529" t="s">
        <v>2255</v>
      </c>
      <c r="AG1529" t="s">
        <v>2255</v>
      </c>
      <c r="AH1529" t="s">
        <v>325</v>
      </c>
      <c r="AI1529">
        <v>99999</v>
      </c>
      <c r="AJ1529">
        <v>99999</v>
      </c>
      <c r="AK1529">
        <v>699</v>
      </c>
      <c r="AL1529" t="b">
        <v>1</v>
      </c>
      <c r="AM1529" t="b">
        <v>1</v>
      </c>
      <c r="AN1529" t="b">
        <v>0</v>
      </c>
      <c r="AO1529">
        <v>99999</v>
      </c>
      <c r="AP1529" t="s">
        <v>64</v>
      </c>
      <c r="AR1529" t="b">
        <v>0</v>
      </c>
      <c r="AS1529">
        <v>12</v>
      </c>
      <c r="AT1529" t="s">
        <v>327</v>
      </c>
      <c r="AV1529" t="s">
        <v>2257</v>
      </c>
    </row>
    <row r="1530" spans="1:48" x14ac:dyDescent="0.25">
      <c r="A1530" t="s">
        <v>3323</v>
      </c>
      <c r="B1530" t="s">
        <v>302</v>
      </c>
      <c r="C1530" t="s">
        <v>62</v>
      </c>
      <c r="D1530">
        <v>99999</v>
      </c>
      <c r="F1530" s="109">
        <v>4000</v>
      </c>
      <c r="G1530" t="b">
        <v>0</v>
      </c>
      <c r="H1530" t="s">
        <v>742</v>
      </c>
      <c r="K1530" t="s">
        <v>379</v>
      </c>
      <c r="L1530" t="s">
        <v>303</v>
      </c>
      <c r="M1530" t="s">
        <v>323</v>
      </c>
      <c r="N1530" t="s">
        <v>63</v>
      </c>
      <c r="O1530" s="110">
        <v>49.9</v>
      </c>
      <c r="R1530" s="110">
        <v>262.78999999999996</v>
      </c>
      <c r="S1530" s="110">
        <v>130</v>
      </c>
      <c r="T1530" s="110">
        <v>0</v>
      </c>
      <c r="U1530" s="110">
        <v>42.99</v>
      </c>
      <c r="X1530">
        <v>29.9</v>
      </c>
      <c r="Y1530">
        <v>59.9</v>
      </c>
      <c r="Z1530">
        <v>59.9</v>
      </c>
      <c r="AA1530">
        <v>0</v>
      </c>
      <c r="AB1530" t="s">
        <v>363</v>
      </c>
      <c r="AF1530" t="s">
        <v>2463</v>
      </c>
      <c r="AG1530" t="s">
        <v>2463</v>
      </c>
      <c r="AH1530" t="s">
        <v>325</v>
      </c>
      <c r="AI1530">
        <v>99999</v>
      </c>
      <c r="AJ1530">
        <v>99999</v>
      </c>
      <c r="AK1530">
        <v>699</v>
      </c>
      <c r="AL1530" t="b">
        <v>1</v>
      </c>
      <c r="AM1530" t="b">
        <v>1</v>
      </c>
      <c r="AN1530" t="b">
        <v>0</v>
      </c>
      <c r="AO1530">
        <v>99999</v>
      </c>
      <c r="AP1530" t="s">
        <v>64</v>
      </c>
      <c r="AR1530" t="b">
        <v>0</v>
      </c>
      <c r="AS1530">
        <v>12</v>
      </c>
      <c r="AT1530" t="s">
        <v>327</v>
      </c>
      <c r="AV1530" t="s">
        <v>2465</v>
      </c>
    </row>
    <row r="1531" spans="1:48" x14ac:dyDescent="0.25">
      <c r="A1531" t="s">
        <v>3323</v>
      </c>
      <c r="B1531" t="s">
        <v>302</v>
      </c>
      <c r="C1531" t="s">
        <v>62</v>
      </c>
      <c r="D1531">
        <v>99999</v>
      </c>
      <c r="F1531" s="109">
        <v>4000</v>
      </c>
      <c r="G1531" t="b">
        <v>0</v>
      </c>
      <c r="H1531" t="s">
        <v>742</v>
      </c>
      <c r="K1531" t="s">
        <v>61</v>
      </c>
      <c r="L1531" t="s">
        <v>303</v>
      </c>
      <c r="M1531" t="s">
        <v>323</v>
      </c>
      <c r="N1531" t="s">
        <v>63</v>
      </c>
      <c r="O1531">
        <v>29.9</v>
      </c>
      <c r="R1531">
        <v>177.69</v>
      </c>
      <c r="S1531">
        <v>59.9</v>
      </c>
      <c r="T1531" s="110">
        <v>0</v>
      </c>
      <c r="U1531">
        <v>42.99</v>
      </c>
      <c r="X1531">
        <v>29.9</v>
      </c>
      <c r="Y1531">
        <v>44.9</v>
      </c>
      <c r="Z1531">
        <v>44.9</v>
      </c>
      <c r="AA1531">
        <v>0</v>
      </c>
      <c r="AB1531" t="s">
        <v>324</v>
      </c>
      <c r="AF1531" t="s">
        <v>743</v>
      </c>
      <c r="AG1531" t="s">
        <v>743</v>
      </c>
      <c r="AH1531" t="s">
        <v>325</v>
      </c>
      <c r="AI1531">
        <v>99999</v>
      </c>
      <c r="AJ1531">
        <v>99999</v>
      </c>
      <c r="AK1531">
        <v>699</v>
      </c>
      <c r="AL1531" t="b">
        <v>1</v>
      </c>
      <c r="AM1531" t="b">
        <v>1</v>
      </c>
      <c r="AN1531" t="b">
        <v>0</v>
      </c>
      <c r="AO1531">
        <v>99999</v>
      </c>
      <c r="AP1531" t="s">
        <v>64</v>
      </c>
      <c r="AR1531" t="b">
        <v>0</v>
      </c>
      <c r="AS1531">
        <v>12</v>
      </c>
      <c r="AT1531" t="s">
        <v>327</v>
      </c>
      <c r="AV1531" t="s">
        <v>744</v>
      </c>
    </row>
    <row r="1532" spans="1:48" x14ac:dyDescent="0.25">
      <c r="A1532" t="s">
        <v>3323</v>
      </c>
      <c r="B1532" t="s">
        <v>302</v>
      </c>
      <c r="C1532" t="s">
        <v>62</v>
      </c>
      <c r="D1532">
        <v>99999</v>
      </c>
      <c r="F1532" s="109">
        <v>4000</v>
      </c>
      <c r="G1532" t="b">
        <v>0</v>
      </c>
      <c r="H1532" t="s">
        <v>742</v>
      </c>
      <c r="K1532" t="s">
        <v>61</v>
      </c>
      <c r="L1532" t="s">
        <v>303</v>
      </c>
      <c r="M1532" t="s">
        <v>323</v>
      </c>
      <c r="N1532" t="s">
        <v>63</v>
      </c>
      <c r="O1532">
        <v>39.9</v>
      </c>
      <c r="R1532">
        <v>177.69</v>
      </c>
      <c r="S1532">
        <v>59.9</v>
      </c>
      <c r="T1532" s="110">
        <v>0</v>
      </c>
      <c r="U1532">
        <v>42.99</v>
      </c>
      <c r="X1532">
        <v>29.9</v>
      </c>
      <c r="Y1532">
        <v>44.9</v>
      </c>
      <c r="Z1532">
        <v>44.9</v>
      </c>
      <c r="AA1532">
        <v>0</v>
      </c>
      <c r="AB1532" t="s">
        <v>324</v>
      </c>
      <c r="AF1532" t="s">
        <v>750</v>
      </c>
      <c r="AG1532" t="s">
        <v>750</v>
      </c>
      <c r="AH1532" t="s">
        <v>325</v>
      </c>
      <c r="AI1532">
        <v>99999</v>
      </c>
      <c r="AJ1532">
        <v>99999</v>
      </c>
      <c r="AK1532">
        <v>699</v>
      </c>
      <c r="AL1532" t="b">
        <v>1</v>
      </c>
      <c r="AM1532" t="b">
        <v>1</v>
      </c>
      <c r="AN1532" t="b">
        <v>0</v>
      </c>
      <c r="AO1532">
        <v>99999</v>
      </c>
      <c r="AP1532" t="s">
        <v>64</v>
      </c>
      <c r="AR1532" t="b">
        <v>0</v>
      </c>
      <c r="AS1532">
        <v>12</v>
      </c>
      <c r="AT1532" t="s">
        <v>327</v>
      </c>
      <c r="AV1532" t="s">
        <v>751</v>
      </c>
    </row>
    <row r="1533" spans="1:48" x14ac:dyDescent="0.25">
      <c r="A1533" t="s">
        <v>3323</v>
      </c>
      <c r="B1533" t="s">
        <v>302</v>
      </c>
      <c r="C1533" t="s">
        <v>62</v>
      </c>
      <c r="D1533">
        <v>99999</v>
      </c>
      <c r="F1533" s="109">
        <v>4000</v>
      </c>
      <c r="G1533" t="b">
        <v>0</v>
      </c>
      <c r="H1533" t="s">
        <v>742</v>
      </c>
      <c r="K1533" t="s">
        <v>61</v>
      </c>
      <c r="L1533" t="s">
        <v>303</v>
      </c>
      <c r="M1533" t="s">
        <v>323</v>
      </c>
      <c r="N1533" t="s">
        <v>63</v>
      </c>
      <c r="O1533" s="110">
        <v>49.9</v>
      </c>
      <c r="R1533" s="110">
        <v>239.79</v>
      </c>
      <c r="S1533" s="110">
        <v>130</v>
      </c>
      <c r="T1533" s="110">
        <v>0</v>
      </c>
      <c r="U1533" s="110">
        <v>34.99</v>
      </c>
      <c r="X1533">
        <v>29.9</v>
      </c>
      <c r="Y1533">
        <v>44.9</v>
      </c>
      <c r="Z1533">
        <v>44.9</v>
      </c>
      <c r="AA1533">
        <v>0</v>
      </c>
      <c r="AB1533" t="s">
        <v>324</v>
      </c>
      <c r="AF1533" t="s">
        <v>2252</v>
      </c>
      <c r="AG1533" t="s">
        <v>2252</v>
      </c>
      <c r="AH1533" t="s">
        <v>325</v>
      </c>
      <c r="AI1533">
        <v>99999</v>
      </c>
      <c r="AJ1533">
        <v>99999</v>
      </c>
      <c r="AK1533">
        <v>699</v>
      </c>
      <c r="AL1533" t="b">
        <v>1</v>
      </c>
      <c r="AM1533" t="b">
        <v>1</v>
      </c>
      <c r="AN1533" t="b">
        <v>0</v>
      </c>
      <c r="AO1533">
        <v>99999</v>
      </c>
      <c r="AP1533" t="s">
        <v>64</v>
      </c>
      <c r="AR1533" t="b">
        <v>0</v>
      </c>
      <c r="AS1533">
        <v>12</v>
      </c>
      <c r="AT1533" t="s">
        <v>327</v>
      </c>
      <c r="AV1533" t="s">
        <v>2253</v>
      </c>
    </row>
    <row r="1534" spans="1:48" x14ac:dyDescent="0.25">
      <c r="A1534" t="s">
        <v>3323</v>
      </c>
      <c r="B1534" t="s">
        <v>302</v>
      </c>
      <c r="C1534" t="s">
        <v>62</v>
      </c>
      <c r="D1534">
        <v>99999</v>
      </c>
      <c r="F1534" s="109">
        <v>4000</v>
      </c>
      <c r="G1534" t="b">
        <v>0</v>
      </c>
      <c r="H1534" t="s">
        <v>742</v>
      </c>
      <c r="K1534" t="s">
        <v>61</v>
      </c>
      <c r="L1534" t="s">
        <v>303</v>
      </c>
      <c r="M1534" t="s">
        <v>323</v>
      </c>
      <c r="N1534" t="s">
        <v>63</v>
      </c>
      <c r="O1534" s="110">
        <v>49.9</v>
      </c>
      <c r="R1534" s="110">
        <v>247.79</v>
      </c>
      <c r="S1534" s="110">
        <v>130</v>
      </c>
      <c r="T1534" s="110">
        <v>0</v>
      </c>
      <c r="U1534" s="110">
        <v>42.99</v>
      </c>
      <c r="X1534">
        <v>29.9</v>
      </c>
      <c r="Y1534">
        <v>44.9</v>
      </c>
      <c r="Z1534">
        <v>44.9</v>
      </c>
      <c r="AA1534">
        <v>0</v>
      </c>
      <c r="AB1534" t="s">
        <v>324</v>
      </c>
      <c r="AF1534" t="s">
        <v>2460</v>
      </c>
      <c r="AG1534" t="s">
        <v>2460</v>
      </c>
      <c r="AH1534" t="s">
        <v>325</v>
      </c>
      <c r="AI1534">
        <v>99999</v>
      </c>
      <c r="AJ1534">
        <v>99999</v>
      </c>
      <c r="AK1534">
        <v>699</v>
      </c>
      <c r="AL1534" t="b">
        <v>1</v>
      </c>
      <c r="AM1534" t="b">
        <v>1</v>
      </c>
      <c r="AN1534" t="b">
        <v>0</v>
      </c>
      <c r="AO1534">
        <v>99999</v>
      </c>
      <c r="AP1534" t="s">
        <v>64</v>
      </c>
      <c r="AR1534" t="b">
        <v>0</v>
      </c>
      <c r="AS1534">
        <v>12</v>
      </c>
      <c r="AT1534" t="s">
        <v>327</v>
      </c>
      <c r="AV1534" t="s">
        <v>2461</v>
      </c>
    </row>
    <row r="1535" spans="1:48" x14ac:dyDescent="0.25">
      <c r="A1535" t="s">
        <v>3323</v>
      </c>
      <c r="B1535" t="s">
        <v>302</v>
      </c>
      <c r="C1535" t="s">
        <v>62</v>
      </c>
      <c r="D1535">
        <v>99999</v>
      </c>
      <c r="F1535" s="109">
        <v>4000</v>
      </c>
      <c r="G1535" t="b">
        <v>0</v>
      </c>
      <c r="H1535" t="s">
        <v>335</v>
      </c>
      <c r="K1535" t="s">
        <v>349</v>
      </c>
      <c r="L1535" t="s">
        <v>303</v>
      </c>
      <c r="M1535" t="s">
        <v>323</v>
      </c>
      <c r="N1535" t="s">
        <v>63</v>
      </c>
      <c r="O1535">
        <v>29.9</v>
      </c>
      <c r="R1535">
        <v>269.89</v>
      </c>
      <c r="S1535">
        <v>39.9</v>
      </c>
      <c r="T1535" s="110">
        <v>0</v>
      </c>
      <c r="U1535">
        <v>42.99</v>
      </c>
      <c r="X1535">
        <v>142.09999999999997</v>
      </c>
      <c r="Y1535">
        <v>44.9</v>
      </c>
      <c r="Z1535">
        <v>44.9</v>
      </c>
      <c r="AA1535">
        <v>0</v>
      </c>
      <c r="AB1535" t="s">
        <v>324</v>
      </c>
      <c r="AF1535" t="s">
        <v>326</v>
      </c>
      <c r="AG1535" t="s">
        <v>326</v>
      </c>
      <c r="AH1535" t="s">
        <v>325</v>
      </c>
      <c r="AI1535">
        <v>99999</v>
      </c>
      <c r="AJ1535">
        <v>99999</v>
      </c>
      <c r="AK1535">
        <v>699</v>
      </c>
      <c r="AL1535" t="b">
        <v>1</v>
      </c>
      <c r="AM1535" t="b">
        <v>1</v>
      </c>
      <c r="AN1535" t="b">
        <v>0</v>
      </c>
      <c r="AO1535">
        <v>99999</v>
      </c>
      <c r="AP1535" t="s">
        <v>64</v>
      </c>
      <c r="AR1535" t="b">
        <v>0</v>
      </c>
      <c r="AS1535">
        <v>12</v>
      </c>
      <c r="AT1535" t="s">
        <v>327</v>
      </c>
      <c r="AV1535" t="s">
        <v>354</v>
      </c>
    </row>
    <row r="1536" spans="1:48" x14ac:dyDescent="0.25">
      <c r="A1536" t="s">
        <v>3323</v>
      </c>
      <c r="B1536" t="s">
        <v>302</v>
      </c>
      <c r="C1536" t="s">
        <v>62</v>
      </c>
      <c r="D1536">
        <v>99999</v>
      </c>
      <c r="F1536" s="109">
        <v>4000</v>
      </c>
      <c r="G1536" t="b">
        <v>0</v>
      </c>
      <c r="H1536" t="s">
        <v>335</v>
      </c>
      <c r="K1536" t="s">
        <v>349</v>
      </c>
      <c r="L1536" t="s">
        <v>303</v>
      </c>
      <c r="M1536" t="s">
        <v>323</v>
      </c>
      <c r="N1536" t="s">
        <v>63</v>
      </c>
      <c r="O1536">
        <v>29.9</v>
      </c>
      <c r="R1536">
        <v>284.89</v>
      </c>
      <c r="S1536">
        <v>39.9</v>
      </c>
      <c r="T1536" s="110">
        <v>0</v>
      </c>
      <c r="U1536">
        <v>42.99</v>
      </c>
      <c r="X1536">
        <v>157.09999999999997</v>
      </c>
      <c r="Y1536">
        <v>44.9</v>
      </c>
      <c r="Z1536">
        <v>44.9</v>
      </c>
      <c r="AA1536">
        <v>0</v>
      </c>
      <c r="AB1536" t="s">
        <v>324</v>
      </c>
      <c r="AF1536" t="s">
        <v>474</v>
      </c>
      <c r="AG1536" t="s">
        <v>474</v>
      </c>
      <c r="AH1536" t="s">
        <v>325</v>
      </c>
      <c r="AI1536">
        <v>99999</v>
      </c>
      <c r="AJ1536">
        <v>99999</v>
      </c>
      <c r="AK1536">
        <v>699</v>
      </c>
      <c r="AL1536" t="b">
        <v>1</v>
      </c>
      <c r="AM1536" t="b">
        <v>1</v>
      </c>
      <c r="AN1536" t="b">
        <v>0</v>
      </c>
      <c r="AO1536">
        <v>99999</v>
      </c>
      <c r="AP1536" t="s">
        <v>64</v>
      </c>
      <c r="AR1536" t="b">
        <v>0</v>
      </c>
      <c r="AS1536">
        <v>12</v>
      </c>
      <c r="AT1536" t="s">
        <v>327</v>
      </c>
      <c r="AV1536" t="s">
        <v>492</v>
      </c>
    </row>
    <row r="1537" spans="1:48" x14ac:dyDescent="0.25">
      <c r="A1537" t="s">
        <v>3323</v>
      </c>
      <c r="B1537" t="s">
        <v>302</v>
      </c>
      <c r="C1537" t="s">
        <v>62</v>
      </c>
      <c r="D1537">
        <v>99999</v>
      </c>
      <c r="F1537" s="109">
        <v>4000</v>
      </c>
      <c r="G1537" t="b">
        <v>0</v>
      </c>
      <c r="H1537" t="s">
        <v>335</v>
      </c>
      <c r="K1537" t="s">
        <v>349</v>
      </c>
      <c r="L1537" t="s">
        <v>303</v>
      </c>
      <c r="M1537" t="s">
        <v>323</v>
      </c>
      <c r="N1537" t="s">
        <v>63</v>
      </c>
      <c r="O1537">
        <v>29.9</v>
      </c>
      <c r="R1537">
        <v>299.89</v>
      </c>
      <c r="S1537">
        <v>59.9</v>
      </c>
      <c r="T1537" s="110">
        <v>0</v>
      </c>
      <c r="U1537">
        <v>42.99</v>
      </c>
      <c r="X1537">
        <v>152.09999999999997</v>
      </c>
      <c r="Y1537">
        <v>44.9</v>
      </c>
      <c r="Z1537">
        <v>44.9</v>
      </c>
      <c r="AA1537">
        <v>0</v>
      </c>
      <c r="AB1537" t="s">
        <v>324</v>
      </c>
      <c r="AF1537" t="s">
        <v>608</v>
      </c>
      <c r="AG1537" t="s">
        <v>608</v>
      </c>
      <c r="AH1537" t="s">
        <v>325</v>
      </c>
      <c r="AI1537">
        <v>99999</v>
      </c>
      <c r="AJ1537">
        <v>99999</v>
      </c>
      <c r="AK1537">
        <v>699</v>
      </c>
      <c r="AL1537" t="b">
        <v>1</v>
      </c>
      <c r="AM1537" t="b">
        <v>1</v>
      </c>
      <c r="AN1537" t="b">
        <v>0</v>
      </c>
      <c r="AO1537">
        <v>99999</v>
      </c>
      <c r="AP1537" t="s">
        <v>64</v>
      </c>
      <c r="AR1537" t="b">
        <v>0</v>
      </c>
      <c r="AS1537">
        <v>12</v>
      </c>
      <c r="AT1537" t="s">
        <v>327</v>
      </c>
      <c r="AV1537" t="s">
        <v>626</v>
      </c>
    </row>
    <row r="1538" spans="1:48" x14ac:dyDescent="0.25">
      <c r="A1538" t="s">
        <v>3323</v>
      </c>
      <c r="B1538" t="s">
        <v>302</v>
      </c>
      <c r="C1538" t="s">
        <v>62</v>
      </c>
      <c r="D1538">
        <v>99999</v>
      </c>
      <c r="F1538" s="109">
        <v>4000</v>
      </c>
      <c r="G1538" t="b">
        <v>0</v>
      </c>
      <c r="H1538" t="s">
        <v>335</v>
      </c>
      <c r="K1538" t="s">
        <v>349</v>
      </c>
      <c r="L1538" t="s">
        <v>303</v>
      </c>
      <c r="M1538" t="s">
        <v>323</v>
      </c>
      <c r="N1538" t="s">
        <v>63</v>
      </c>
      <c r="O1538" s="110">
        <v>39.9</v>
      </c>
      <c r="R1538" s="110">
        <v>269.89</v>
      </c>
      <c r="S1538" s="110">
        <v>39.9</v>
      </c>
      <c r="T1538" s="110">
        <v>0</v>
      </c>
      <c r="U1538" s="110">
        <v>42.99</v>
      </c>
      <c r="X1538">
        <v>142.09999999999997</v>
      </c>
      <c r="Y1538">
        <v>44.9</v>
      </c>
      <c r="Z1538">
        <v>44.9</v>
      </c>
      <c r="AA1538">
        <v>0</v>
      </c>
      <c r="AB1538" t="s">
        <v>324</v>
      </c>
      <c r="AF1538" t="s">
        <v>407</v>
      </c>
      <c r="AG1538" t="s">
        <v>407</v>
      </c>
      <c r="AH1538" t="s">
        <v>325</v>
      </c>
      <c r="AI1538">
        <v>99999</v>
      </c>
      <c r="AJ1538">
        <v>99999</v>
      </c>
      <c r="AK1538">
        <v>699</v>
      </c>
      <c r="AL1538" t="b">
        <v>1</v>
      </c>
      <c r="AM1538" t="b">
        <v>1</v>
      </c>
      <c r="AN1538" t="b">
        <v>0</v>
      </c>
      <c r="AO1538">
        <v>99999</v>
      </c>
      <c r="AP1538" t="s">
        <v>64</v>
      </c>
      <c r="AR1538" t="b">
        <v>0</v>
      </c>
      <c r="AS1538">
        <v>12</v>
      </c>
      <c r="AT1538" t="s">
        <v>327</v>
      </c>
      <c r="AV1538" t="s">
        <v>425</v>
      </c>
    </row>
    <row r="1539" spans="1:48" x14ac:dyDescent="0.25">
      <c r="A1539" t="s">
        <v>3323</v>
      </c>
      <c r="B1539" t="s">
        <v>302</v>
      </c>
      <c r="C1539" t="s">
        <v>62</v>
      </c>
      <c r="D1539">
        <v>99999</v>
      </c>
      <c r="F1539" s="109">
        <v>4000</v>
      </c>
      <c r="G1539" t="b">
        <v>0</v>
      </c>
      <c r="H1539" t="s">
        <v>335</v>
      </c>
      <c r="K1539" t="s">
        <v>349</v>
      </c>
      <c r="L1539" t="s">
        <v>303</v>
      </c>
      <c r="M1539" t="s">
        <v>323</v>
      </c>
      <c r="N1539" t="s">
        <v>63</v>
      </c>
      <c r="O1539">
        <v>39.9</v>
      </c>
      <c r="R1539">
        <v>284.89</v>
      </c>
      <c r="S1539">
        <v>39.9</v>
      </c>
      <c r="T1539" s="110">
        <v>0</v>
      </c>
      <c r="U1539">
        <v>42.99</v>
      </c>
      <c r="X1539">
        <v>157.09999999999997</v>
      </c>
      <c r="Y1539">
        <v>44.9</v>
      </c>
      <c r="Z1539">
        <v>44.9</v>
      </c>
      <c r="AA1539">
        <v>0</v>
      </c>
      <c r="AB1539" t="s">
        <v>324</v>
      </c>
      <c r="AF1539" t="s">
        <v>541</v>
      </c>
      <c r="AG1539" t="s">
        <v>541</v>
      </c>
      <c r="AH1539" t="s">
        <v>325</v>
      </c>
      <c r="AI1539">
        <v>99999</v>
      </c>
      <c r="AJ1539">
        <v>99999</v>
      </c>
      <c r="AK1539">
        <v>699</v>
      </c>
      <c r="AL1539" t="b">
        <v>1</v>
      </c>
      <c r="AM1539" t="b">
        <v>1</v>
      </c>
      <c r="AN1539" t="b">
        <v>0</v>
      </c>
      <c r="AO1539">
        <v>99999</v>
      </c>
      <c r="AP1539" t="s">
        <v>64</v>
      </c>
      <c r="AR1539" t="b">
        <v>0</v>
      </c>
      <c r="AS1539">
        <v>12</v>
      </c>
      <c r="AT1539" t="s">
        <v>327</v>
      </c>
      <c r="AV1539" t="s">
        <v>559</v>
      </c>
    </row>
    <row r="1540" spans="1:48" x14ac:dyDescent="0.25">
      <c r="A1540" t="s">
        <v>3323</v>
      </c>
      <c r="B1540" t="s">
        <v>302</v>
      </c>
      <c r="C1540" t="s">
        <v>62</v>
      </c>
      <c r="D1540">
        <v>99999</v>
      </c>
      <c r="F1540" s="109">
        <v>4000</v>
      </c>
      <c r="G1540" t="b">
        <v>0</v>
      </c>
      <c r="H1540" t="s">
        <v>335</v>
      </c>
      <c r="K1540" t="s">
        <v>349</v>
      </c>
      <c r="L1540" t="s">
        <v>303</v>
      </c>
      <c r="M1540" t="s">
        <v>323</v>
      </c>
      <c r="N1540" t="s">
        <v>63</v>
      </c>
      <c r="O1540">
        <v>39.9</v>
      </c>
      <c r="R1540">
        <v>299.89</v>
      </c>
      <c r="S1540">
        <v>59.9</v>
      </c>
      <c r="T1540" s="110">
        <v>0</v>
      </c>
      <c r="U1540">
        <v>42.99</v>
      </c>
      <c r="X1540">
        <v>152.09999999999997</v>
      </c>
      <c r="Y1540">
        <v>44.9</v>
      </c>
      <c r="Z1540">
        <v>44.9</v>
      </c>
      <c r="AA1540">
        <v>0</v>
      </c>
      <c r="AB1540" t="s">
        <v>324</v>
      </c>
      <c r="AF1540" t="s">
        <v>675</v>
      </c>
      <c r="AG1540" t="s">
        <v>675</v>
      </c>
      <c r="AH1540" t="s">
        <v>325</v>
      </c>
      <c r="AI1540">
        <v>99999</v>
      </c>
      <c r="AJ1540">
        <v>99999</v>
      </c>
      <c r="AK1540">
        <v>699</v>
      </c>
      <c r="AL1540" t="b">
        <v>1</v>
      </c>
      <c r="AM1540" t="b">
        <v>1</v>
      </c>
      <c r="AN1540" t="b">
        <v>0</v>
      </c>
      <c r="AO1540">
        <v>99999</v>
      </c>
      <c r="AP1540" t="s">
        <v>64</v>
      </c>
      <c r="AR1540" t="b">
        <v>0</v>
      </c>
      <c r="AS1540">
        <v>12</v>
      </c>
      <c r="AT1540" t="s">
        <v>327</v>
      </c>
      <c r="AV1540" t="s">
        <v>693</v>
      </c>
    </row>
    <row r="1541" spans="1:48" x14ac:dyDescent="0.25">
      <c r="A1541" t="s">
        <v>3323</v>
      </c>
      <c r="B1541" t="s">
        <v>302</v>
      </c>
      <c r="C1541" t="s">
        <v>62</v>
      </c>
      <c r="D1541">
        <v>99999</v>
      </c>
      <c r="F1541" s="109">
        <v>4000</v>
      </c>
      <c r="G1541" t="b">
        <v>0</v>
      </c>
      <c r="H1541" t="s">
        <v>335</v>
      </c>
      <c r="K1541" t="s">
        <v>349</v>
      </c>
      <c r="L1541" t="s">
        <v>303</v>
      </c>
      <c r="M1541" t="s">
        <v>323</v>
      </c>
      <c r="N1541" t="s">
        <v>63</v>
      </c>
      <c r="O1541" s="110">
        <v>49.9</v>
      </c>
      <c r="R1541" s="110">
        <v>345.68999999999994</v>
      </c>
      <c r="S1541" s="110">
        <v>130</v>
      </c>
      <c r="T1541" s="110">
        <v>0</v>
      </c>
      <c r="U1541" s="110">
        <v>34.99</v>
      </c>
      <c r="X1541">
        <v>135.79999999999995</v>
      </c>
      <c r="Y1541">
        <v>44.9</v>
      </c>
      <c r="Z1541">
        <v>44.9</v>
      </c>
      <c r="AA1541">
        <v>0</v>
      </c>
      <c r="AB1541" t="s">
        <v>324</v>
      </c>
      <c r="AF1541" t="s">
        <v>2185</v>
      </c>
      <c r="AG1541" t="s">
        <v>2185</v>
      </c>
      <c r="AH1541" t="s">
        <v>325</v>
      </c>
      <c r="AI1541">
        <v>99999</v>
      </c>
      <c r="AJ1541">
        <v>99999</v>
      </c>
      <c r="AK1541">
        <v>699</v>
      </c>
      <c r="AL1541" t="b">
        <v>1</v>
      </c>
      <c r="AM1541" t="b">
        <v>1</v>
      </c>
      <c r="AN1541" t="b">
        <v>0</v>
      </c>
      <c r="AO1541">
        <v>99999</v>
      </c>
      <c r="AP1541" t="s">
        <v>64</v>
      </c>
      <c r="AR1541" t="b">
        <v>0</v>
      </c>
      <c r="AS1541">
        <v>12</v>
      </c>
      <c r="AT1541" t="s">
        <v>327</v>
      </c>
      <c r="AV1541" t="s">
        <v>2203</v>
      </c>
    </row>
    <row r="1542" spans="1:48" x14ac:dyDescent="0.25">
      <c r="A1542" t="s">
        <v>3323</v>
      </c>
      <c r="B1542" t="s">
        <v>302</v>
      </c>
      <c r="C1542" t="s">
        <v>62</v>
      </c>
      <c r="D1542">
        <v>99999</v>
      </c>
      <c r="F1542" s="109">
        <v>4000</v>
      </c>
      <c r="G1542" t="b">
        <v>0</v>
      </c>
      <c r="H1542" t="s">
        <v>335</v>
      </c>
      <c r="K1542" t="s">
        <v>349</v>
      </c>
      <c r="L1542" t="s">
        <v>303</v>
      </c>
      <c r="M1542" t="s">
        <v>323</v>
      </c>
      <c r="N1542" t="s">
        <v>63</v>
      </c>
      <c r="O1542" s="110">
        <v>49.9</v>
      </c>
      <c r="R1542" s="110">
        <v>359.98999999999995</v>
      </c>
      <c r="S1542" s="110">
        <v>130</v>
      </c>
      <c r="T1542" s="110">
        <v>0</v>
      </c>
      <c r="U1542" s="110">
        <v>42.99</v>
      </c>
      <c r="X1542">
        <v>142.09999999999997</v>
      </c>
      <c r="Y1542">
        <v>44.9</v>
      </c>
      <c r="Z1542">
        <v>44.9</v>
      </c>
      <c r="AA1542">
        <v>0</v>
      </c>
      <c r="AB1542" t="s">
        <v>324</v>
      </c>
      <c r="AF1542" t="s">
        <v>2259</v>
      </c>
      <c r="AG1542" t="s">
        <v>2259</v>
      </c>
      <c r="AH1542" t="s">
        <v>325</v>
      </c>
      <c r="AI1542">
        <v>99999</v>
      </c>
      <c r="AJ1542">
        <v>99999</v>
      </c>
      <c r="AK1542">
        <v>699</v>
      </c>
      <c r="AL1542" t="b">
        <v>1</v>
      </c>
      <c r="AM1542" t="b">
        <v>1</v>
      </c>
      <c r="AN1542" t="b">
        <v>0</v>
      </c>
      <c r="AO1542">
        <v>99999</v>
      </c>
      <c r="AP1542" t="s">
        <v>64</v>
      </c>
      <c r="AR1542" t="b">
        <v>0</v>
      </c>
      <c r="AS1542">
        <v>12</v>
      </c>
      <c r="AT1542" t="s">
        <v>327</v>
      </c>
      <c r="AV1542" t="s">
        <v>2277</v>
      </c>
    </row>
    <row r="1543" spans="1:48" x14ac:dyDescent="0.25">
      <c r="A1543" t="s">
        <v>3323</v>
      </c>
      <c r="B1543" t="s">
        <v>302</v>
      </c>
      <c r="C1543" t="s">
        <v>62</v>
      </c>
      <c r="D1543">
        <v>99999</v>
      </c>
      <c r="F1543" s="109">
        <v>4000</v>
      </c>
      <c r="G1543" t="b">
        <v>0</v>
      </c>
      <c r="H1543" t="s">
        <v>335</v>
      </c>
      <c r="K1543" t="s">
        <v>349</v>
      </c>
      <c r="L1543" t="s">
        <v>303</v>
      </c>
      <c r="M1543" t="s">
        <v>323</v>
      </c>
      <c r="N1543" t="s">
        <v>63</v>
      </c>
      <c r="O1543" s="110">
        <v>49.9</v>
      </c>
      <c r="R1543" s="110">
        <v>374.98999999999995</v>
      </c>
      <c r="S1543" s="110">
        <v>130</v>
      </c>
      <c r="T1543" s="110">
        <v>0</v>
      </c>
      <c r="U1543" s="110">
        <v>42.99</v>
      </c>
      <c r="X1543">
        <v>157.09999999999997</v>
      </c>
      <c r="Y1543">
        <v>44.9</v>
      </c>
      <c r="Z1543">
        <v>44.9</v>
      </c>
      <c r="AA1543">
        <v>0</v>
      </c>
      <c r="AB1543" t="s">
        <v>324</v>
      </c>
      <c r="AF1543" t="s">
        <v>2326</v>
      </c>
      <c r="AG1543" t="s">
        <v>2326</v>
      </c>
      <c r="AH1543" t="s">
        <v>325</v>
      </c>
      <c r="AI1543">
        <v>99999</v>
      </c>
      <c r="AJ1543">
        <v>99999</v>
      </c>
      <c r="AK1543">
        <v>699</v>
      </c>
      <c r="AL1543" t="b">
        <v>1</v>
      </c>
      <c r="AM1543" t="b">
        <v>1</v>
      </c>
      <c r="AN1543" t="b">
        <v>0</v>
      </c>
      <c r="AO1543">
        <v>99999</v>
      </c>
      <c r="AP1543" t="s">
        <v>64</v>
      </c>
      <c r="AR1543" t="b">
        <v>0</v>
      </c>
      <c r="AS1543">
        <v>12</v>
      </c>
      <c r="AT1543" t="s">
        <v>327</v>
      </c>
      <c r="AV1543" t="s">
        <v>2344</v>
      </c>
    </row>
    <row r="1544" spans="1:48" x14ac:dyDescent="0.25">
      <c r="A1544" t="s">
        <v>3323</v>
      </c>
      <c r="B1544" t="s">
        <v>302</v>
      </c>
      <c r="C1544" t="s">
        <v>62</v>
      </c>
      <c r="D1544">
        <v>99999</v>
      </c>
      <c r="F1544" s="109">
        <v>4000</v>
      </c>
      <c r="G1544" t="b">
        <v>0</v>
      </c>
      <c r="H1544" t="s">
        <v>335</v>
      </c>
      <c r="K1544" t="s">
        <v>349</v>
      </c>
      <c r="L1544" t="s">
        <v>303</v>
      </c>
      <c r="M1544" t="s">
        <v>323</v>
      </c>
      <c r="N1544" t="s">
        <v>63</v>
      </c>
      <c r="O1544" s="110">
        <v>49.9</v>
      </c>
      <c r="R1544" s="110">
        <v>369.98999999999995</v>
      </c>
      <c r="S1544" s="110">
        <v>130</v>
      </c>
      <c r="T1544" s="110">
        <v>0</v>
      </c>
      <c r="U1544" s="110">
        <v>42.99</v>
      </c>
      <c r="X1544">
        <v>152.09999999999997</v>
      </c>
      <c r="Y1544">
        <v>44.9</v>
      </c>
      <c r="Z1544">
        <v>44.9</v>
      </c>
      <c r="AA1544">
        <v>0</v>
      </c>
      <c r="AB1544" t="s">
        <v>324</v>
      </c>
      <c r="AF1544" t="s">
        <v>2393</v>
      </c>
      <c r="AG1544" t="s">
        <v>2393</v>
      </c>
      <c r="AH1544" t="s">
        <v>325</v>
      </c>
      <c r="AI1544">
        <v>99999</v>
      </c>
      <c r="AJ1544">
        <v>99999</v>
      </c>
      <c r="AK1544">
        <v>699</v>
      </c>
      <c r="AL1544" t="b">
        <v>1</v>
      </c>
      <c r="AM1544" t="b">
        <v>1</v>
      </c>
      <c r="AN1544" t="b">
        <v>0</v>
      </c>
      <c r="AO1544">
        <v>99999</v>
      </c>
      <c r="AP1544" t="s">
        <v>64</v>
      </c>
      <c r="AR1544" t="b">
        <v>0</v>
      </c>
      <c r="AS1544">
        <v>12</v>
      </c>
      <c r="AT1544" t="s">
        <v>327</v>
      </c>
      <c r="AV1544" t="s">
        <v>2411</v>
      </c>
    </row>
    <row r="1545" spans="1:48" x14ac:dyDescent="0.25">
      <c r="A1545" t="s">
        <v>3323</v>
      </c>
      <c r="B1545" t="s">
        <v>302</v>
      </c>
      <c r="C1545" t="s">
        <v>62</v>
      </c>
      <c r="D1545">
        <v>99999</v>
      </c>
      <c r="F1545" s="109">
        <v>4000</v>
      </c>
      <c r="G1545" t="b">
        <v>0</v>
      </c>
      <c r="H1545" t="s">
        <v>335</v>
      </c>
      <c r="K1545" t="s">
        <v>393</v>
      </c>
      <c r="L1545" t="s">
        <v>303</v>
      </c>
      <c r="M1545" t="s">
        <v>323</v>
      </c>
      <c r="N1545" t="s">
        <v>63</v>
      </c>
      <c r="O1545">
        <v>29.9</v>
      </c>
      <c r="R1545">
        <v>294.89</v>
      </c>
      <c r="S1545">
        <v>39.9</v>
      </c>
      <c r="T1545" s="110">
        <v>0</v>
      </c>
      <c r="U1545">
        <v>42.99</v>
      </c>
      <c r="X1545">
        <v>142.09999999999997</v>
      </c>
      <c r="Y1545">
        <v>69.900000000000006</v>
      </c>
      <c r="Z1545">
        <v>69.900000000000006</v>
      </c>
      <c r="AA1545">
        <v>0</v>
      </c>
      <c r="AB1545" t="s">
        <v>363</v>
      </c>
      <c r="AF1545" t="s">
        <v>365</v>
      </c>
      <c r="AG1545" t="s">
        <v>365</v>
      </c>
      <c r="AH1545" t="s">
        <v>325</v>
      </c>
      <c r="AI1545">
        <v>99999</v>
      </c>
      <c r="AJ1545">
        <v>99999</v>
      </c>
      <c r="AK1545">
        <v>699</v>
      </c>
      <c r="AL1545" t="b">
        <v>1</v>
      </c>
      <c r="AM1545" t="b">
        <v>1</v>
      </c>
      <c r="AN1545" t="b">
        <v>0</v>
      </c>
      <c r="AO1545">
        <v>99999</v>
      </c>
      <c r="AP1545" t="s">
        <v>64</v>
      </c>
      <c r="AR1545" t="b">
        <v>0</v>
      </c>
      <c r="AS1545">
        <v>12</v>
      </c>
      <c r="AT1545" t="s">
        <v>327</v>
      </c>
      <c r="AV1545" t="s">
        <v>398</v>
      </c>
    </row>
    <row r="1546" spans="1:48" x14ac:dyDescent="0.25">
      <c r="A1546" t="s">
        <v>3323</v>
      </c>
      <c r="B1546" t="s">
        <v>302</v>
      </c>
      <c r="C1546" t="s">
        <v>62</v>
      </c>
      <c r="D1546">
        <v>99999</v>
      </c>
      <c r="F1546" s="109">
        <v>4000</v>
      </c>
      <c r="G1546" t="b">
        <v>0</v>
      </c>
      <c r="H1546" t="s">
        <v>335</v>
      </c>
      <c r="K1546" t="s">
        <v>393</v>
      </c>
      <c r="L1546" t="s">
        <v>303</v>
      </c>
      <c r="M1546" t="s">
        <v>323</v>
      </c>
      <c r="N1546" t="s">
        <v>63</v>
      </c>
      <c r="O1546">
        <v>29.9</v>
      </c>
      <c r="R1546">
        <v>309.89</v>
      </c>
      <c r="S1546">
        <v>39.9</v>
      </c>
      <c r="T1546" s="110">
        <v>0</v>
      </c>
      <c r="U1546">
        <v>42.99</v>
      </c>
      <c r="X1546">
        <v>157.09999999999997</v>
      </c>
      <c r="Y1546">
        <v>69.900000000000006</v>
      </c>
      <c r="Z1546">
        <v>69.900000000000006</v>
      </c>
      <c r="AA1546">
        <v>0</v>
      </c>
      <c r="AB1546" t="s">
        <v>363</v>
      </c>
      <c r="AF1546" t="s">
        <v>501</v>
      </c>
      <c r="AG1546" t="s">
        <v>501</v>
      </c>
      <c r="AH1546" t="s">
        <v>325</v>
      </c>
      <c r="AI1546">
        <v>99999</v>
      </c>
      <c r="AJ1546">
        <v>99999</v>
      </c>
      <c r="AK1546">
        <v>699</v>
      </c>
      <c r="AL1546" t="b">
        <v>1</v>
      </c>
      <c r="AM1546" t="b">
        <v>1</v>
      </c>
      <c r="AN1546" t="b">
        <v>0</v>
      </c>
      <c r="AO1546">
        <v>99999</v>
      </c>
      <c r="AP1546" t="s">
        <v>64</v>
      </c>
      <c r="AR1546" t="b">
        <v>0</v>
      </c>
      <c r="AS1546">
        <v>12</v>
      </c>
      <c r="AT1546" t="s">
        <v>327</v>
      </c>
      <c r="AV1546" t="s">
        <v>532</v>
      </c>
    </row>
    <row r="1547" spans="1:48" x14ac:dyDescent="0.25">
      <c r="A1547" t="s">
        <v>3323</v>
      </c>
      <c r="B1547" t="s">
        <v>302</v>
      </c>
      <c r="C1547" t="s">
        <v>62</v>
      </c>
      <c r="D1547">
        <v>99999</v>
      </c>
      <c r="F1547" s="109">
        <v>4000</v>
      </c>
      <c r="G1547" t="b">
        <v>0</v>
      </c>
      <c r="H1547" t="s">
        <v>335</v>
      </c>
      <c r="K1547" t="s">
        <v>393</v>
      </c>
      <c r="L1547" t="s">
        <v>303</v>
      </c>
      <c r="M1547" t="s">
        <v>323</v>
      </c>
      <c r="N1547" t="s">
        <v>63</v>
      </c>
      <c r="O1547">
        <v>29.9</v>
      </c>
      <c r="R1547">
        <v>324.89</v>
      </c>
      <c r="S1547">
        <v>59.9</v>
      </c>
      <c r="T1547" s="110">
        <v>0</v>
      </c>
      <c r="U1547">
        <v>42.99</v>
      </c>
      <c r="X1547">
        <v>152.09999999999997</v>
      </c>
      <c r="Y1547">
        <v>69.900000000000006</v>
      </c>
      <c r="Z1547">
        <v>69.900000000000006</v>
      </c>
      <c r="AA1547">
        <v>0</v>
      </c>
      <c r="AB1547" t="s">
        <v>363</v>
      </c>
      <c r="AF1547" t="s">
        <v>635</v>
      </c>
      <c r="AG1547" t="s">
        <v>635</v>
      </c>
      <c r="AH1547" t="s">
        <v>325</v>
      </c>
      <c r="AI1547">
        <v>99999</v>
      </c>
      <c r="AJ1547">
        <v>99999</v>
      </c>
      <c r="AK1547">
        <v>699</v>
      </c>
      <c r="AL1547" t="b">
        <v>1</v>
      </c>
      <c r="AM1547" t="b">
        <v>1</v>
      </c>
      <c r="AN1547" t="b">
        <v>0</v>
      </c>
      <c r="AO1547">
        <v>99999</v>
      </c>
      <c r="AP1547" t="s">
        <v>64</v>
      </c>
      <c r="AR1547" t="b">
        <v>0</v>
      </c>
      <c r="AS1547">
        <v>12</v>
      </c>
      <c r="AT1547" t="s">
        <v>327</v>
      </c>
      <c r="AV1547" t="s">
        <v>666</v>
      </c>
    </row>
    <row r="1548" spans="1:48" x14ac:dyDescent="0.25">
      <c r="A1548" t="s">
        <v>3323</v>
      </c>
      <c r="B1548" t="s">
        <v>302</v>
      </c>
      <c r="C1548" t="s">
        <v>62</v>
      </c>
      <c r="D1548">
        <v>99999</v>
      </c>
      <c r="F1548" s="109">
        <v>4000</v>
      </c>
      <c r="G1548" t="b">
        <v>0</v>
      </c>
      <c r="H1548" t="s">
        <v>335</v>
      </c>
      <c r="K1548" t="s">
        <v>393</v>
      </c>
      <c r="L1548" t="s">
        <v>303</v>
      </c>
      <c r="M1548" t="s">
        <v>323</v>
      </c>
      <c r="N1548" t="s">
        <v>63</v>
      </c>
      <c r="O1548" s="110">
        <v>39.9</v>
      </c>
      <c r="R1548" s="110">
        <v>294.89</v>
      </c>
      <c r="S1548" s="110">
        <v>39.9</v>
      </c>
      <c r="T1548" s="110">
        <v>0</v>
      </c>
      <c r="U1548" s="110">
        <v>42.99</v>
      </c>
      <c r="X1548">
        <v>142.09999999999997</v>
      </c>
      <c r="Y1548">
        <v>69.900000000000006</v>
      </c>
      <c r="Z1548">
        <v>69.900000000000006</v>
      </c>
      <c r="AA1548">
        <v>0</v>
      </c>
      <c r="AB1548" t="s">
        <v>363</v>
      </c>
      <c r="AF1548" t="s">
        <v>434</v>
      </c>
      <c r="AG1548" t="s">
        <v>434</v>
      </c>
      <c r="AH1548" t="s">
        <v>325</v>
      </c>
      <c r="AI1548">
        <v>99999</v>
      </c>
      <c r="AJ1548">
        <v>99999</v>
      </c>
      <c r="AK1548">
        <v>699</v>
      </c>
      <c r="AL1548" t="b">
        <v>1</v>
      </c>
      <c r="AM1548" t="b">
        <v>1</v>
      </c>
      <c r="AN1548" t="b">
        <v>0</v>
      </c>
      <c r="AO1548">
        <v>99999</v>
      </c>
      <c r="AP1548" t="s">
        <v>64</v>
      </c>
      <c r="AR1548" t="b">
        <v>0</v>
      </c>
      <c r="AS1548">
        <v>12</v>
      </c>
      <c r="AT1548" t="s">
        <v>327</v>
      </c>
      <c r="AV1548" t="s">
        <v>465</v>
      </c>
    </row>
    <row r="1549" spans="1:48" x14ac:dyDescent="0.25">
      <c r="A1549" t="s">
        <v>3323</v>
      </c>
      <c r="B1549" t="s">
        <v>302</v>
      </c>
      <c r="C1549" t="s">
        <v>62</v>
      </c>
      <c r="D1549">
        <v>99999</v>
      </c>
      <c r="F1549" s="109">
        <v>4000</v>
      </c>
      <c r="G1549" t="b">
        <v>0</v>
      </c>
      <c r="H1549" t="s">
        <v>335</v>
      </c>
      <c r="K1549" t="s">
        <v>393</v>
      </c>
      <c r="L1549" t="s">
        <v>303</v>
      </c>
      <c r="M1549" t="s">
        <v>323</v>
      </c>
      <c r="N1549" t="s">
        <v>63</v>
      </c>
      <c r="O1549">
        <v>39.9</v>
      </c>
      <c r="R1549">
        <v>309.89</v>
      </c>
      <c r="S1549">
        <v>39.9</v>
      </c>
      <c r="T1549" s="110">
        <v>0</v>
      </c>
      <c r="U1549">
        <v>42.99</v>
      </c>
      <c r="X1549">
        <v>157.09999999999997</v>
      </c>
      <c r="Y1549">
        <v>69.900000000000006</v>
      </c>
      <c r="Z1549">
        <v>69.900000000000006</v>
      </c>
      <c r="AA1549">
        <v>0</v>
      </c>
      <c r="AB1549" t="s">
        <v>363</v>
      </c>
      <c r="AF1549" t="s">
        <v>568</v>
      </c>
      <c r="AG1549" t="s">
        <v>568</v>
      </c>
      <c r="AH1549" t="s">
        <v>325</v>
      </c>
      <c r="AI1549">
        <v>99999</v>
      </c>
      <c r="AJ1549">
        <v>99999</v>
      </c>
      <c r="AK1549">
        <v>699</v>
      </c>
      <c r="AL1549" t="b">
        <v>1</v>
      </c>
      <c r="AM1549" t="b">
        <v>1</v>
      </c>
      <c r="AN1549" t="b">
        <v>0</v>
      </c>
      <c r="AO1549">
        <v>99999</v>
      </c>
      <c r="AP1549" t="s">
        <v>64</v>
      </c>
      <c r="AR1549" t="b">
        <v>0</v>
      </c>
      <c r="AS1549">
        <v>12</v>
      </c>
      <c r="AT1549" t="s">
        <v>327</v>
      </c>
      <c r="AV1549" t="s">
        <v>599</v>
      </c>
    </row>
    <row r="1550" spans="1:48" x14ac:dyDescent="0.25">
      <c r="A1550" t="s">
        <v>3323</v>
      </c>
      <c r="B1550" t="s">
        <v>302</v>
      </c>
      <c r="C1550" t="s">
        <v>62</v>
      </c>
      <c r="D1550">
        <v>99999</v>
      </c>
      <c r="F1550" s="109">
        <v>4000</v>
      </c>
      <c r="G1550" t="b">
        <v>0</v>
      </c>
      <c r="H1550" t="s">
        <v>335</v>
      </c>
      <c r="K1550" t="s">
        <v>393</v>
      </c>
      <c r="L1550" t="s">
        <v>303</v>
      </c>
      <c r="M1550" t="s">
        <v>323</v>
      </c>
      <c r="N1550" t="s">
        <v>63</v>
      </c>
      <c r="O1550">
        <v>39.9</v>
      </c>
      <c r="R1550">
        <v>324.89</v>
      </c>
      <c r="S1550">
        <v>59.9</v>
      </c>
      <c r="T1550" s="110">
        <v>0</v>
      </c>
      <c r="U1550">
        <v>42.99</v>
      </c>
      <c r="X1550">
        <v>152.09999999999997</v>
      </c>
      <c r="Y1550">
        <v>69.900000000000006</v>
      </c>
      <c r="Z1550">
        <v>69.900000000000006</v>
      </c>
      <c r="AA1550">
        <v>0</v>
      </c>
      <c r="AB1550" t="s">
        <v>363</v>
      </c>
      <c r="AF1550" t="s">
        <v>702</v>
      </c>
      <c r="AG1550" t="s">
        <v>702</v>
      </c>
      <c r="AH1550" t="s">
        <v>325</v>
      </c>
      <c r="AI1550">
        <v>99999</v>
      </c>
      <c r="AJ1550">
        <v>99999</v>
      </c>
      <c r="AK1550">
        <v>699</v>
      </c>
      <c r="AL1550" t="b">
        <v>1</v>
      </c>
      <c r="AM1550" t="b">
        <v>1</v>
      </c>
      <c r="AN1550" t="b">
        <v>0</v>
      </c>
      <c r="AO1550">
        <v>99999</v>
      </c>
      <c r="AP1550" t="s">
        <v>64</v>
      </c>
      <c r="AR1550" t="b">
        <v>0</v>
      </c>
      <c r="AS1550">
        <v>12</v>
      </c>
      <c r="AT1550" t="s">
        <v>327</v>
      </c>
      <c r="AV1550" t="s">
        <v>733</v>
      </c>
    </row>
    <row r="1551" spans="1:48" x14ac:dyDescent="0.25">
      <c r="A1551" t="s">
        <v>3323</v>
      </c>
      <c r="B1551" t="s">
        <v>302</v>
      </c>
      <c r="C1551" t="s">
        <v>62</v>
      </c>
      <c r="D1551">
        <v>99999</v>
      </c>
      <c r="F1551" s="109">
        <v>4000</v>
      </c>
      <c r="G1551" t="b">
        <v>0</v>
      </c>
      <c r="H1551" t="s">
        <v>335</v>
      </c>
      <c r="K1551" t="s">
        <v>393</v>
      </c>
      <c r="L1551" t="s">
        <v>303</v>
      </c>
      <c r="M1551" t="s">
        <v>323</v>
      </c>
      <c r="N1551" t="s">
        <v>63</v>
      </c>
      <c r="O1551" s="110">
        <v>49.9</v>
      </c>
      <c r="R1551" s="110">
        <v>370.68999999999994</v>
      </c>
      <c r="S1551" s="110">
        <v>130</v>
      </c>
      <c r="T1551" s="110">
        <v>0</v>
      </c>
      <c r="U1551" s="110">
        <v>34.99</v>
      </c>
      <c r="X1551">
        <v>135.79999999999995</v>
      </c>
      <c r="Y1551">
        <v>69.900000000000006</v>
      </c>
      <c r="Z1551">
        <v>69.900000000000006</v>
      </c>
      <c r="AA1551">
        <v>0</v>
      </c>
      <c r="AB1551" t="s">
        <v>363</v>
      </c>
      <c r="AF1551" t="s">
        <v>2212</v>
      </c>
      <c r="AG1551" t="s">
        <v>2212</v>
      </c>
      <c r="AH1551" t="s">
        <v>325</v>
      </c>
      <c r="AI1551">
        <v>99999</v>
      </c>
      <c r="AJ1551">
        <v>99999</v>
      </c>
      <c r="AK1551">
        <v>699</v>
      </c>
      <c r="AL1551" t="b">
        <v>1</v>
      </c>
      <c r="AM1551" t="b">
        <v>1</v>
      </c>
      <c r="AN1551" t="b">
        <v>0</v>
      </c>
      <c r="AO1551">
        <v>99999</v>
      </c>
      <c r="AP1551" t="s">
        <v>64</v>
      </c>
      <c r="AR1551" t="b">
        <v>0</v>
      </c>
      <c r="AS1551">
        <v>12</v>
      </c>
      <c r="AT1551" t="s">
        <v>327</v>
      </c>
      <c r="AV1551" t="s">
        <v>2243</v>
      </c>
    </row>
    <row r="1552" spans="1:48" x14ac:dyDescent="0.25">
      <c r="A1552" t="s">
        <v>3323</v>
      </c>
      <c r="B1552" t="s">
        <v>302</v>
      </c>
      <c r="C1552" t="s">
        <v>62</v>
      </c>
      <c r="D1552">
        <v>99999</v>
      </c>
      <c r="F1552" s="109">
        <v>4000</v>
      </c>
      <c r="G1552" t="b">
        <v>0</v>
      </c>
      <c r="H1552" t="s">
        <v>335</v>
      </c>
      <c r="K1552" t="s">
        <v>393</v>
      </c>
      <c r="L1552" t="s">
        <v>303</v>
      </c>
      <c r="M1552" t="s">
        <v>323</v>
      </c>
      <c r="N1552" t="s">
        <v>63</v>
      </c>
      <c r="O1552" s="110">
        <v>49.9</v>
      </c>
      <c r="R1552" s="110">
        <v>384.99</v>
      </c>
      <c r="S1552" s="110">
        <v>130</v>
      </c>
      <c r="T1552" s="110">
        <v>0</v>
      </c>
      <c r="U1552" s="110">
        <v>42.99</v>
      </c>
      <c r="X1552">
        <v>142.09999999999997</v>
      </c>
      <c r="Y1552">
        <v>69.900000000000006</v>
      </c>
      <c r="Z1552">
        <v>69.900000000000006</v>
      </c>
      <c r="AA1552">
        <v>0</v>
      </c>
      <c r="AB1552" t="s">
        <v>363</v>
      </c>
      <c r="AF1552" t="s">
        <v>2286</v>
      </c>
      <c r="AG1552" t="s">
        <v>2286</v>
      </c>
      <c r="AH1552" t="s">
        <v>325</v>
      </c>
      <c r="AI1552">
        <v>99999</v>
      </c>
      <c r="AJ1552">
        <v>99999</v>
      </c>
      <c r="AK1552">
        <v>699</v>
      </c>
      <c r="AL1552" t="b">
        <v>1</v>
      </c>
      <c r="AM1552" t="b">
        <v>1</v>
      </c>
      <c r="AN1552" t="b">
        <v>0</v>
      </c>
      <c r="AO1552">
        <v>99999</v>
      </c>
      <c r="AP1552" t="s">
        <v>64</v>
      </c>
      <c r="AR1552" t="b">
        <v>0</v>
      </c>
      <c r="AS1552">
        <v>12</v>
      </c>
      <c r="AT1552" t="s">
        <v>327</v>
      </c>
      <c r="AV1552" t="s">
        <v>2317</v>
      </c>
    </row>
    <row r="1553" spans="1:48" x14ac:dyDescent="0.25">
      <c r="A1553" t="s">
        <v>3323</v>
      </c>
      <c r="B1553" t="s">
        <v>302</v>
      </c>
      <c r="C1553" t="s">
        <v>62</v>
      </c>
      <c r="D1553">
        <v>99999</v>
      </c>
      <c r="F1553" s="109">
        <v>4000</v>
      </c>
      <c r="G1553" t="b">
        <v>0</v>
      </c>
      <c r="H1553" t="s">
        <v>335</v>
      </c>
      <c r="K1553" t="s">
        <v>393</v>
      </c>
      <c r="L1553" t="s">
        <v>303</v>
      </c>
      <c r="M1553" t="s">
        <v>323</v>
      </c>
      <c r="N1553" t="s">
        <v>63</v>
      </c>
      <c r="O1553" s="110">
        <v>49.9</v>
      </c>
      <c r="R1553" s="110">
        <v>399.99</v>
      </c>
      <c r="S1553" s="110">
        <v>130</v>
      </c>
      <c r="T1553" s="110">
        <v>0</v>
      </c>
      <c r="U1553" s="110">
        <v>42.99</v>
      </c>
      <c r="X1553">
        <v>157.09999999999997</v>
      </c>
      <c r="Y1553">
        <v>69.900000000000006</v>
      </c>
      <c r="Z1553">
        <v>69.900000000000006</v>
      </c>
      <c r="AA1553">
        <v>0</v>
      </c>
      <c r="AB1553" t="s">
        <v>363</v>
      </c>
      <c r="AF1553" t="s">
        <v>2353</v>
      </c>
      <c r="AG1553" t="s">
        <v>2353</v>
      </c>
      <c r="AH1553" t="s">
        <v>325</v>
      </c>
      <c r="AI1553">
        <v>99999</v>
      </c>
      <c r="AJ1553">
        <v>99999</v>
      </c>
      <c r="AK1553">
        <v>699</v>
      </c>
      <c r="AL1553" t="b">
        <v>1</v>
      </c>
      <c r="AM1553" t="b">
        <v>1</v>
      </c>
      <c r="AN1553" t="b">
        <v>0</v>
      </c>
      <c r="AO1553">
        <v>99999</v>
      </c>
      <c r="AP1553" t="s">
        <v>64</v>
      </c>
      <c r="AR1553" t="b">
        <v>0</v>
      </c>
      <c r="AS1553">
        <v>12</v>
      </c>
      <c r="AT1553" t="s">
        <v>327</v>
      </c>
      <c r="AV1553" t="s">
        <v>2384</v>
      </c>
    </row>
    <row r="1554" spans="1:48" x14ac:dyDescent="0.25">
      <c r="A1554" t="s">
        <v>3323</v>
      </c>
      <c r="B1554" t="s">
        <v>302</v>
      </c>
      <c r="C1554" t="s">
        <v>62</v>
      </c>
      <c r="D1554">
        <v>99999</v>
      </c>
      <c r="F1554" s="109">
        <v>4000</v>
      </c>
      <c r="G1554" t="b">
        <v>0</v>
      </c>
      <c r="H1554" t="s">
        <v>335</v>
      </c>
      <c r="K1554" t="s">
        <v>393</v>
      </c>
      <c r="L1554" t="s">
        <v>303</v>
      </c>
      <c r="M1554" t="s">
        <v>323</v>
      </c>
      <c r="N1554" t="s">
        <v>63</v>
      </c>
      <c r="O1554" s="110">
        <v>49.9</v>
      </c>
      <c r="R1554" s="110">
        <v>394.99</v>
      </c>
      <c r="S1554" s="110">
        <v>130</v>
      </c>
      <c r="T1554" s="110">
        <v>0</v>
      </c>
      <c r="U1554" s="110">
        <v>42.99</v>
      </c>
      <c r="X1554">
        <v>152.09999999999997</v>
      </c>
      <c r="Y1554">
        <v>69.900000000000006</v>
      </c>
      <c r="Z1554">
        <v>69.900000000000006</v>
      </c>
      <c r="AA1554">
        <v>0</v>
      </c>
      <c r="AB1554" t="s">
        <v>363</v>
      </c>
      <c r="AF1554" t="s">
        <v>2420</v>
      </c>
      <c r="AG1554" t="s">
        <v>2420</v>
      </c>
      <c r="AH1554" t="s">
        <v>325</v>
      </c>
      <c r="AI1554">
        <v>99999</v>
      </c>
      <c r="AJ1554">
        <v>99999</v>
      </c>
      <c r="AK1554">
        <v>699</v>
      </c>
      <c r="AL1554" t="b">
        <v>1</v>
      </c>
      <c r="AM1554" t="b">
        <v>1</v>
      </c>
      <c r="AN1554" t="b">
        <v>0</v>
      </c>
      <c r="AO1554">
        <v>99999</v>
      </c>
      <c r="AP1554" t="s">
        <v>64</v>
      </c>
      <c r="AR1554" t="b">
        <v>0</v>
      </c>
      <c r="AS1554">
        <v>12</v>
      </c>
      <c r="AT1554" t="s">
        <v>327</v>
      </c>
      <c r="AV1554" t="s">
        <v>2451</v>
      </c>
    </row>
    <row r="1555" spans="1:48" x14ac:dyDescent="0.25">
      <c r="A1555" t="s">
        <v>3323</v>
      </c>
      <c r="B1555" t="s">
        <v>302</v>
      </c>
      <c r="C1555" t="s">
        <v>62</v>
      </c>
      <c r="D1555">
        <v>99999</v>
      </c>
      <c r="F1555" s="109">
        <v>4000</v>
      </c>
      <c r="G1555" t="b">
        <v>0</v>
      </c>
      <c r="H1555" t="s">
        <v>335</v>
      </c>
      <c r="K1555" t="s">
        <v>364</v>
      </c>
      <c r="L1555" t="s">
        <v>303</v>
      </c>
      <c r="M1555" t="s">
        <v>323</v>
      </c>
      <c r="N1555" t="s">
        <v>63</v>
      </c>
      <c r="O1555">
        <v>29.9</v>
      </c>
      <c r="R1555">
        <v>274.89</v>
      </c>
      <c r="S1555">
        <v>39.9</v>
      </c>
      <c r="T1555" s="110">
        <v>0</v>
      </c>
      <c r="U1555">
        <v>42.99</v>
      </c>
      <c r="X1555">
        <v>142.09999999999997</v>
      </c>
      <c r="Y1555">
        <v>49.9</v>
      </c>
      <c r="Z1555">
        <v>49.9</v>
      </c>
      <c r="AA1555">
        <v>0</v>
      </c>
      <c r="AB1555" t="s">
        <v>363</v>
      </c>
      <c r="AF1555" t="s">
        <v>365</v>
      </c>
      <c r="AG1555" t="s">
        <v>365</v>
      </c>
      <c r="AH1555" t="s">
        <v>325</v>
      </c>
      <c r="AI1555">
        <v>99999</v>
      </c>
      <c r="AJ1555">
        <v>99999</v>
      </c>
      <c r="AK1555">
        <v>699</v>
      </c>
      <c r="AL1555" t="b">
        <v>1</v>
      </c>
      <c r="AM1555" t="b">
        <v>1</v>
      </c>
      <c r="AN1555" t="b">
        <v>0</v>
      </c>
      <c r="AO1555">
        <v>99999</v>
      </c>
      <c r="AP1555" t="s">
        <v>64</v>
      </c>
      <c r="AR1555" t="b">
        <v>0</v>
      </c>
      <c r="AS1555">
        <v>12</v>
      </c>
      <c r="AT1555" t="s">
        <v>327</v>
      </c>
      <c r="AV1555" t="s">
        <v>370</v>
      </c>
    </row>
    <row r="1556" spans="1:48" x14ac:dyDescent="0.25">
      <c r="A1556" t="s">
        <v>3323</v>
      </c>
      <c r="B1556" t="s">
        <v>302</v>
      </c>
      <c r="C1556" t="s">
        <v>62</v>
      </c>
      <c r="D1556">
        <v>99999</v>
      </c>
      <c r="F1556" s="109">
        <v>4000</v>
      </c>
      <c r="G1556" t="b">
        <v>0</v>
      </c>
      <c r="H1556" t="s">
        <v>335</v>
      </c>
      <c r="K1556" t="s">
        <v>364</v>
      </c>
      <c r="L1556" t="s">
        <v>303</v>
      </c>
      <c r="M1556" t="s">
        <v>323</v>
      </c>
      <c r="N1556" t="s">
        <v>63</v>
      </c>
      <c r="O1556">
        <v>29.9</v>
      </c>
      <c r="R1556">
        <v>289.89</v>
      </c>
      <c r="S1556">
        <v>39.9</v>
      </c>
      <c r="T1556" s="110">
        <v>0</v>
      </c>
      <c r="U1556">
        <v>42.99</v>
      </c>
      <c r="X1556">
        <v>157.09999999999997</v>
      </c>
      <c r="Y1556">
        <v>49.9</v>
      </c>
      <c r="Z1556">
        <v>49.9</v>
      </c>
      <c r="AA1556">
        <v>0</v>
      </c>
      <c r="AB1556" t="s">
        <v>363</v>
      </c>
      <c r="AF1556" t="s">
        <v>501</v>
      </c>
      <c r="AG1556" t="s">
        <v>501</v>
      </c>
      <c r="AH1556" t="s">
        <v>325</v>
      </c>
      <c r="AI1556">
        <v>99999</v>
      </c>
      <c r="AJ1556">
        <v>99999</v>
      </c>
      <c r="AK1556">
        <v>699</v>
      </c>
      <c r="AL1556" t="b">
        <v>1</v>
      </c>
      <c r="AM1556" t="b">
        <v>1</v>
      </c>
      <c r="AN1556" t="b">
        <v>0</v>
      </c>
      <c r="AO1556">
        <v>99999</v>
      </c>
      <c r="AP1556" t="s">
        <v>64</v>
      </c>
      <c r="AR1556" t="b">
        <v>0</v>
      </c>
      <c r="AS1556">
        <v>12</v>
      </c>
      <c r="AT1556" t="s">
        <v>327</v>
      </c>
      <c r="AV1556" t="s">
        <v>506</v>
      </c>
    </row>
    <row r="1557" spans="1:48" x14ac:dyDescent="0.25">
      <c r="A1557" t="s">
        <v>3323</v>
      </c>
      <c r="B1557" t="s">
        <v>302</v>
      </c>
      <c r="C1557" t="s">
        <v>62</v>
      </c>
      <c r="D1557">
        <v>99999</v>
      </c>
      <c r="F1557" s="109">
        <v>4000</v>
      </c>
      <c r="G1557" t="b">
        <v>0</v>
      </c>
      <c r="H1557" t="s">
        <v>335</v>
      </c>
      <c r="K1557" t="s">
        <v>364</v>
      </c>
      <c r="L1557" t="s">
        <v>303</v>
      </c>
      <c r="M1557" t="s">
        <v>323</v>
      </c>
      <c r="N1557" t="s">
        <v>63</v>
      </c>
      <c r="O1557">
        <v>29.9</v>
      </c>
      <c r="R1557">
        <v>304.89</v>
      </c>
      <c r="S1557">
        <v>59.9</v>
      </c>
      <c r="T1557" s="110">
        <v>0</v>
      </c>
      <c r="U1557">
        <v>42.99</v>
      </c>
      <c r="X1557">
        <v>152.09999999999997</v>
      </c>
      <c r="Y1557">
        <v>49.9</v>
      </c>
      <c r="Z1557">
        <v>49.9</v>
      </c>
      <c r="AA1557">
        <v>0</v>
      </c>
      <c r="AB1557" t="s">
        <v>363</v>
      </c>
      <c r="AF1557" t="s">
        <v>635</v>
      </c>
      <c r="AG1557" t="s">
        <v>635</v>
      </c>
      <c r="AH1557" t="s">
        <v>325</v>
      </c>
      <c r="AI1557">
        <v>99999</v>
      </c>
      <c r="AJ1557">
        <v>99999</v>
      </c>
      <c r="AK1557">
        <v>699</v>
      </c>
      <c r="AL1557" t="b">
        <v>1</v>
      </c>
      <c r="AM1557" t="b">
        <v>1</v>
      </c>
      <c r="AN1557" t="b">
        <v>0</v>
      </c>
      <c r="AO1557">
        <v>99999</v>
      </c>
      <c r="AP1557" t="s">
        <v>64</v>
      </c>
      <c r="AR1557" t="b">
        <v>0</v>
      </c>
      <c r="AS1557">
        <v>12</v>
      </c>
      <c r="AT1557" t="s">
        <v>327</v>
      </c>
      <c r="AV1557" t="s">
        <v>640</v>
      </c>
    </row>
    <row r="1558" spans="1:48" x14ac:dyDescent="0.25">
      <c r="A1558" t="s">
        <v>3323</v>
      </c>
      <c r="B1558" t="s">
        <v>302</v>
      </c>
      <c r="C1558" t="s">
        <v>62</v>
      </c>
      <c r="D1558">
        <v>99999</v>
      </c>
      <c r="F1558" s="109">
        <v>4000</v>
      </c>
      <c r="G1558" t="b">
        <v>0</v>
      </c>
      <c r="H1558" t="s">
        <v>335</v>
      </c>
      <c r="K1558" t="s">
        <v>364</v>
      </c>
      <c r="L1558" t="s">
        <v>303</v>
      </c>
      <c r="M1558" t="s">
        <v>323</v>
      </c>
      <c r="N1558" t="s">
        <v>63</v>
      </c>
      <c r="O1558" s="110">
        <v>39.9</v>
      </c>
      <c r="R1558" s="110">
        <v>274.89</v>
      </c>
      <c r="S1558" s="110">
        <v>39.9</v>
      </c>
      <c r="T1558" s="110">
        <v>0</v>
      </c>
      <c r="U1558" s="110">
        <v>42.99</v>
      </c>
      <c r="X1558">
        <v>142.09999999999997</v>
      </c>
      <c r="Y1558">
        <v>49.9</v>
      </c>
      <c r="Z1558">
        <v>49.9</v>
      </c>
      <c r="AA1558">
        <v>0</v>
      </c>
      <c r="AB1558" t="s">
        <v>363</v>
      </c>
      <c r="AF1558" t="s">
        <v>434</v>
      </c>
      <c r="AG1558" t="s">
        <v>434</v>
      </c>
      <c r="AH1558" t="s">
        <v>325</v>
      </c>
      <c r="AI1558">
        <v>99999</v>
      </c>
      <c r="AJ1558">
        <v>99999</v>
      </c>
      <c r="AK1558">
        <v>699</v>
      </c>
      <c r="AL1558" t="b">
        <v>1</v>
      </c>
      <c r="AM1558" t="b">
        <v>1</v>
      </c>
      <c r="AN1558" t="b">
        <v>0</v>
      </c>
      <c r="AO1558">
        <v>99999</v>
      </c>
      <c r="AP1558" t="s">
        <v>64</v>
      </c>
      <c r="AR1558" t="b">
        <v>0</v>
      </c>
      <c r="AS1558">
        <v>12</v>
      </c>
      <c r="AT1558" t="s">
        <v>327</v>
      </c>
      <c r="AV1558" t="s">
        <v>439</v>
      </c>
    </row>
    <row r="1559" spans="1:48" x14ac:dyDescent="0.25">
      <c r="A1559" t="s">
        <v>3323</v>
      </c>
      <c r="B1559" t="s">
        <v>302</v>
      </c>
      <c r="C1559" t="s">
        <v>62</v>
      </c>
      <c r="D1559">
        <v>99999</v>
      </c>
      <c r="F1559" s="109">
        <v>4000</v>
      </c>
      <c r="G1559" t="b">
        <v>0</v>
      </c>
      <c r="H1559" t="s">
        <v>335</v>
      </c>
      <c r="K1559" t="s">
        <v>364</v>
      </c>
      <c r="L1559" t="s">
        <v>303</v>
      </c>
      <c r="M1559" t="s">
        <v>323</v>
      </c>
      <c r="N1559" t="s">
        <v>63</v>
      </c>
      <c r="O1559">
        <v>39.9</v>
      </c>
      <c r="R1559">
        <v>289.89</v>
      </c>
      <c r="S1559">
        <v>39.9</v>
      </c>
      <c r="T1559" s="110">
        <v>0</v>
      </c>
      <c r="U1559">
        <v>42.99</v>
      </c>
      <c r="X1559">
        <v>157.09999999999997</v>
      </c>
      <c r="Y1559">
        <v>49.9</v>
      </c>
      <c r="Z1559">
        <v>49.9</v>
      </c>
      <c r="AA1559">
        <v>0</v>
      </c>
      <c r="AB1559" t="s">
        <v>363</v>
      </c>
      <c r="AF1559" t="s">
        <v>568</v>
      </c>
      <c r="AG1559" t="s">
        <v>568</v>
      </c>
      <c r="AH1559" t="s">
        <v>325</v>
      </c>
      <c r="AI1559">
        <v>99999</v>
      </c>
      <c r="AJ1559">
        <v>99999</v>
      </c>
      <c r="AK1559">
        <v>699</v>
      </c>
      <c r="AL1559" t="b">
        <v>1</v>
      </c>
      <c r="AM1559" t="b">
        <v>1</v>
      </c>
      <c r="AN1559" t="b">
        <v>0</v>
      </c>
      <c r="AO1559">
        <v>99999</v>
      </c>
      <c r="AP1559" t="s">
        <v>64</v>
      </c>
      <c r="AR1559" t="b">
        <v>0</v>
      </c>
      <c r="AS1559">
        <v>12</v>
      </c>
      <c r="AT1559" t="s">
        <v>327</v>
      </c>
      <c r="AV1559" t="s">
        <v>573</v>
      </c>
    </row>
    <row r="1560" spans="1:48" x14ac:dyDescent="0.25">
      <c r="A1560" t="s">
        <v>3323</v>
      </c>
      <c r="B1560" t="s">
        <v>302</v>
      </c>
      <c r="C1560" t="s">
        <v>62</v>
      </c>
      <c r="D1560">
        <v>99999</v>
      </c>
      <c r="F1560" s="109">
        <v>4000</v>
      </c>
      <c r="G1560" t="b">
        <v>0</v>
      </c>
      <c r="H1560" t="s">
        <v>335</v>
      </c>
      <c r="K1560" t="s">
        <v>364</v>
      </c>
      <c r="L1560" t="s">
        <v>303</v>
      </c>
      <c r="M1560" t="s">
        <v>323</v>
      </c>
      <c r="N1560" t="s">
        <v>63</v>
      </c>
      <c r="O1560">
        <v>39.9</v>
      </c>
      <c r="R1560">
        <v>304.89</v>
      </c>
      <c r="S1560">
        <v>59.9</v>
      </c>
      <c r="T1560" s="110">
        <v>0</v>
      </c>
      <c r="U1560">
        <v>42.99</v>
      </c>
      <c r="X1560">
        <v>152.09999999999997</v>
      </c>
      <c r="Y1560">
        <v>49.9</v>
      </c>
      <c r="Z1560">
        <v>49.9</v>
      </c>
      <c r="AA1560">
        <v>0</v>
      </c>
      <c r="AB1560" t="s">
        <v>363</v>
      </c>
      <c r="AF1560" t="s">
        <v>702</v>
      </c>
      <c r="AG1560" t="s">
        <v>702</v>
      </c>
      <c r="AH1560" t="s">
        <v>325</v>
      </c>
      <c r="AI1560">
        <v>99999</v>
      </c>
      <c r="AJ1560">
        <v>99999</v>
      </c>
      <c r="AK1560">
        <v>699</v>
      </c>
      <c r="AL1560" t="b">
        <v>1</v>
      </c>
      <c r="AM1560" t="b">
        <v>1</v>
      </c>
      <c r="AN1560" t="b">
        <v>0</v>
      </c>
      <c r="AO1560">
        <v>99999</v>
      </c>
      <c r="AP1560" t="s">
        <v>64</v>
      </c>
      <c r="AR1560" t="b">
        <v>0</v>
      </c>
      <c r="AS1560">
        <v>12</v>
      </c>
      <c r="AT1560" t="s">
        <v>327</v>
      </c>
      <c r="AV1560" t="s">
        <v>707</v>
      </c>
    </row>
    <row r="1561" spans="1:48" x14ac:dyDescent="0.25">
      <c r="A1561" t="s">
        <v>3323</v>
      </c>
      <c r="B1561" t="s">
        <v>302</v>
      </c>
      <c r="C1561" t="s">
        <v>62</v>
      </c>
      <c r="D1561">
        <v>99999</v>
      </c>
      <c r="F1561" s="109">
        <v>4000</v>
      </c>
      <c r="G1561" t="b">
        <v>0</v>
      </c>
      <c r="H1561" t="s">
        <v>335</v>
      </c>
      <c r="K1561" t="s">
        <v>364</v>
      </c>
      <c r="L1561" t="s">
        <v>303</v>
      </c>
      <c r="M1561" t="s">
        <v>323</v>
      </c>
      <c r="N1561" t="s">
        <v>63</v>
      </c>
      <c r="O1561" s="110">
        <v>49.9</v>
      </c>
      <c r="R1561" s="110">
        <v>350.68999999999994</v>
      </c>
      <c r="S1561" s="110">
        <v>130</v>
      </c>
      <c r="T1561" s="110">
        <v>0</v>
      </c>
      <c r="U1561" s="110">
        <v>34.99</v>
      </c>
      <c r="X1561">
        <v>135.79999999999995</v>
      </c>
      <c r="Y1561">
        <v>49.9</v>
      </c>
      <c r="Z1561">
        <v>49.9</v>
      </c>
      <c r="AA1561">
        <v>0</v>
      </c>
      <c r="AB1561" t="s">
        <v>363</v>
      </c>
      <c r="AF1561" t="s">
        <v>2212</v>
      </c>
      <c r="AG1561" t="s">
        <v>2212</v>
      </c>
      <c r="AH1561" t="s">
        <v>325</v>
      </c>
      <c r="AI1561">
        <v>99999</v>
      </c>
      <c r="AJ1561">
        <v>99999</v>
      </c>
      <c r="AK1561">
        <v>699</v>
      </c>
      <c r="AL1561" t="b">
        <v>1</v>
      </c>
      <c r="AM1561" t="b">
        <v>1</v>
      </c>
      <c r="AN1561" t="b">
        <v>0</v>
      </c>
      <c r="AO1561">
        <v>99999</v>
      </c>
      <c r="AP1561" t="s">
        <v>64</v>
      </c>
      <c r="AR1561" t="b">
        <v>0</v>
      </c>
      <c r="AS1561">
        <v>12</v>
      </c>
      <c r="AT1561" t="s">
        <v>327</v>
      </c>
      <c r="AV1561" t="s">
        <v>2217</v>
      </c>
    </row>
    <row r="1562" spans="1:48" x14ac:dyDescent="0.25">
      <c r="A1562" t="s">
        <v>3323</v>
      </c>
      <c r="B1562" t="s">
        <v>302</v>
      </c>
      <c r="C1562" t="s">
        <v>62</v>
      </c>
      <c r="D1562">
        <v>99999</v>
      </c>
      <c r="F1562" s="109">
        <v>4000</v>
      </c>
      <c r="G1562" t="b">
        <v>0</v>
      </c>
      <c r="H1562" t="s">
        <v>335</v>
      </c>
      <c r="K1562" t="s">
        <v>364</v>
      </c>
      <c r="L1562" t="s">
        <v>303</v>
      </c>
      <c r="M1562" t="s">
        <v>323</v>
      </c>
      <c r="N1562" t="s">
        <v>63</v>
      </c>
      <c r="O1562" s="110">
        <v>49.9</v>
      </c>
      <c r="R1562" s="110">
        <v>364.98999999999995</v>
      </c>
      <c r="S1562" s="110">
        <v>130</v>
      </c>
      <c r="T1562" s="110">
        <v>0</v>
      </c>
      <c r="U1562" s="110">
        <v>42.99</v>
      </c>
      <c r="X1562">
        <v>142.09999999999997</v>
      </c>
      <c r="Y1562">
        <v>49.9</v>
      </c>
      <c r="Z1562">
        <v>49.9</v>
      </c>
      <c r="AA1562">
        <v>0</v>
      </c>
      <c r="AB1562" t="s">
        <v>363</v>
      </c>
      <c r="AF1562" t="s">
        <v>2286</v>
      </c>
      <c r="AG1562" t="s">
        <v>2286</v>
      </c>
      <c r="AH1562" t="s">
        <v>325</v>
      </c>
      <c r="AI1562">
        <v>99999</v>
      </c>
      <c r="AJ1562">
        <v>99999</v>
      </c>
      <c r="AK1562">
        <v>699</v>
      </c>
      <c r="AL1562" t="b">
        <v>1</v>
      </c>
      <c r="AM1562" t="b">
        <v>1</v>
      </c>
      <c r="AN1562" t="b">
        <v>0</v>
      </c>
      <c r="AO1562">
        <v>99999</v>
      </c>
      <c r="AP1562" t="s">
        <v>64</v>
      </c>
      <c r="AR1562" t="b">
        <v>0</v>
      </c>
      <c r="AS1562">
        <v>12</v>
      </c>
      <c r="AT1562" t="s">
        <v>327</v>
      </c>
      <c r="AV1562" t="s">
        <v>2291</v>
      </c>
    </row>
    <row r="1563" spans="1:48" x14ac:dyDescent="0.25">
      <c r="A1563" t="s">
        <v>3323</v>
      </c>
      <c r="B1563" t="s">
        <v>302</v>
      </c>
      <c r="C1563" t="s">
        <v>62</v>
      </c>
      <c r="D1563">
        <v>99999</v>
      </c>
      <c r="F1563" s="109">
        <v>4000</v>
      </c>
      <c r="G1563" t="b">
        <v>0</v>
      </c>
      <c r="H1563" t="s">
        <v>335</v>
      </c>
      <c r="K1563" t="s">
        <v>364</v>
      </c>
      <c r="L1563" t="s">
        <v>303</v>
      </c>
      <c r="M1563" t="s">
        <v>323</v>
      </c>
      <c r="N1563" t="s">
        <v>63</v>
      </c>
      <c r="O1563" s="110">
        <v>49.9</v>
      </c>
      <c r="R1563" s="110">
        <v>379.98999999999995</v>
      </c>
      <c r="S1563" s="110">
        <v>130</v>
      </c>
      <c r="T1563" s="110">
        <v>0</v>
      </c>
      <c r="U1563" s="110">
        <v>42.99</v>
      </c>
      <c r="X1563">
        <v>157.09999999999997</v>
      </c>
      <c r="Y1563">
        <v>49.9</v>
      </c>
      <c r="Z1563">
        <v>49.9</v>
      </c>
      <c r="AA1563">
        <v>0</v>
      </c>
      <c r="AB1563" t="s">
        <v>363</v>
      </c>
      <c r="AF1563" t="s">
        <v>2353</v>
      </c>
      <c r="AG1563" t="s">
        <v>2353</v>
      </c>
      <c r="AH1563" t="s">
        <v>325</v>
      </c>
      <c r="AI1563">
        <v>99999</v>
      </c>
      <c r="AJ1563">
        <v>99999</v>
      </c>
      <c r="AK1563">
        <v>699</v>
      </c>
      <c r="AL1563" t="b">
        <v>1</v>
      </c>
      <c r="AM1563" t="b">
        <v>1</v>
      </c>
      <c r="AN1563" t="b">
        <v>0</v>
      </c>
      <c r="AO1563">
        <v>99999</v>
      </c>
      <c r="AP1563" t="s">
        <v>64</v>
      </c>
      <c r="AR1563" t="b">
        <v>0</v>
      </c>
      <c r="AS1563">
        <v>12</v>
      </c>
      <c r="AT1563" t="s">
        <v>327</v>
      </c>
      <c r="AV1563" t="s">
        <v>2358</v>
      </c>
    </row>
    <row r="1564" spans="1:48" x14ac:dyDescent="0.25">
      <c r="A1564" t="s">
        <v>3323</v>
      </c>
      <c r="B1564" t="s">
        <v>302</v>
      </c>
      <c r="C1564" t="s">
        <v>62</v>
      </c>
      <c r="D1564">
        <v>99999</v>
      </c>
      <c r="F1564" s="109">
        <v>4000</v>
      </c>
      <c r="G1564" t="b">
        <v>0</v>
      </c>
      <c r="H1564" t="s">
        <v>335</v>
      </c>
      <c r="K1564" t="s">
        <v>364</v>
      </c>
      <c r="L1564" t="s">
        <v>303</v>
      </c>
      <c r="M1564" t="s">
        <v>323</v>
      </c>
      <c r="N1564" t="s">
        <v>63</v>
      </c>
      <c r="O1564" s="110">
        <v>49.9</v>
      </c>
      <c r="R1564" s="110">
        <v>374.98999999999995</v>
      </c>
      <c r="S1564" s="110">
        <v>130</v>
      </c>
      <c r="T1564" s="110">
        <v>0</v>
      </c>
      <c r="U1564" s="110">
        <v>42.99</v>
      </c>
      <c r="X1564">
        <v>152.09999999999997</v>
      </c>
      <c r="Y1564">
        <v>49.9</v>
      </c>
      <c r="Z1564">
        <v>49.9</v>
      </c>
      <c r="AA1564">
        <v>0</v>
      </c>
      <c r="AB1564" t="s">
        <v>363</v>
      </c>
      <c r="AF1564" t="s">
        <v>2420</v>
      </c>
      <c r="AG1564" t="s">
        <v>2420</v>
      </c>
      <c r="AH1564" t="s">
        <v>325</v>
      </c>
      <c r="AI1564">
        <v>99999</v>
      </c>
      <c r="AJ1564">
        <v>99999</v>
      </c>
      <c r="AK1564">
        <v>699</v>
      </c>
      <c r="AL1564" t="b">
        <v>1</v>
      </c>
      <c r="AM1564" t="b">
        <v>1</v>
      </c>
      <c r="AN1564" t="b">
        <v>0</v>
      </c>
      <c r="AO1564">
        <v>99999</v>
      </c>
      <c r="AP1564" t="s">
        <v>64</v>
      </c>
      <c r="AR1564" t="b">
        <v>0</v>
      </c>
      <c r="AS1564">
        <v>12</v>
      </c>
      <c r="AT1564" t="s">
        <v>327</v>
      </c>
      <c r="AV1564" t="s">
        <v>2425</v>
      </c>
    </row>
    <row r="1565" spans="1:48" x14ac:dyDescent="0.25">
      <c r="A1565" t="s">
        <v>3323</v>
      </c>
      <c r="B1565" t="s">
        <v>302</v>
      </c>
      <c r="C1565" t="s">
        <v>62</v>
      </c>
      <c r="D1565">
        <v>99999</v>
      </c>
      <c r="F1565" s="109">
        <v>4000</v>
      </c>
      <c r="G1565" t="b">
        <v>0</v>
      </c>
      <c r="H1565" t="s">
        <v>335</v>
      </c>
      <c r="K1565" t="s">
        <v>379</v>
      </c>
      <c r="L1565" t="s">
        <v>303</v>
      </c>
      <c r="M1565" t="s">
        <v>323</v>
      </c>
      <c r="N1565" t="s">
        <v>63</v>
      </c>
      <c r="O1565">
        <v>29.9</v>
      </c>
      <c r="R1565">
        <v>284.89</v>
      </c>
      <c r="S1565">
        <v>39.9</v>
      </c>
      <c r="T1565" s="110">
        <v>0</v>
      </c>
      <c r="U1565">
        <v>42.99</v>
      </c>
      <c r="X1565">
        <v>142.09999999999997</v>
      </c>
      <c r="Y1565">
        <v>59.9</v>
      </c>
      <c r="Z1565">
        <v>59.9</v>
      </c>
      <c r="AA1565">
        <v>0</v>
      </c>
      <c r="AB1565" t="s">
        <v>363</v>
      </c>
      <c r="AF1565" t="s">
        <v>365</v>
      </c>
      <c r="AG1565" t="s">
        <v>365</v>
      </c>
      <c r="AH1565" t="s">
        <v>325</v>
      </c>
      <c r="AI1565">
        <v>99999</v>
      </c>
      <c r="AJ1565">
        <v>99999</v>
      </c>
      <c r="AK1565">
        <v>699</v>
      </c>
      <c r="AL1565" t="b">
        <v>1</v>
      </c>
      <c r="AM1565" t="b">
        <v>1</v>
      </c>
      <c r="AN1565" t="b">
        <v>0</v>
      </c>
      <c r="AO1565">
        <v>99999</v>
      </c>
      <c r="AP1565" t="s">
        <v>64</v>
      </c>
      <c r="AR1565" t="b">
        <v>0</v>
      </c>
      <c r="AS1565">
        <v>12</v>
      </c>
      <c r="AT1565" t="s">
        <v>327</v>
      </c>
      <c r="AV1565" t="s">
        <v>384</v>
      </c>
    </row>
    <row r="1566" spans="1:48" x14ac:dyDescent="0.25">
      <c r="A1566" t="s">
        <v>3323</v>
      </c>
      <c r="B1566" t="s">
        <v>302</v>
      </c>
      <c r="C1566" t="s">
        <v>62</v>
      </c>
      <c r="D1566">
        <v>99999</v>
      </c>
      <c r="F1566" s="109">
        <v>4000</v>
      </c>
      <c r="G1566" t="b">
        <v>0</v>
      </c>
      <c r="H1566" t="s">
        <v>335</v>
      </c>
      <c r="K1566" t="s">
        <v>379</v>
      </c>
      <c r="L1566" t="s">
        <v>303</v>
      </c>
      <c r="M1566" t="s">
        <v>323</v>
      </c>
      <c r="N1566" t="s">
        <v>63</v>
      </c>
      <c r="O1566" s="110">
        <v>29.9</v>
      </c>
      <c r="R1566" s="110">
        <v>299.89</v>
      </c>
      <c r="S1566" s="110">
        <v>39.9</v>
      </c>
      <c r="T1566" s="110">
        <v>0</v>
      </c>
      <c r="U1566" s="110">
        <v>42.99</v>
      </c>
      <c r="X1566">
        <v>157.09999999999997</v>
      </c>
      <c r="Y1566">
        <v>59.9</v>
      </c>
      <c r="Z1566">
        <v>59.9</v>
      </c>
      <c r="AA1566">
        <v>0</v>
      </c>
      <c r="AB1566" t="s">
        <v>363</v>
      </c>
      <c r="AF1566" t="s">
        <v>501</v>
      </c>
      <c r="AG1566" t="s">
        <v>501</v>
      </c>
      <c r="AH1566" t="s">
        <v>325</v>
      </c>
      <c r="AI1566">
        <v>99999</v>
      </c>
      <c r="AJ1566">
        <v>99999</v>
      </c>
      <c r="AK1566">
        <v>699</v>
      </c>
      <c r="AL1566" t="b">
        <v>1</v>
      </c>
      <c r="AM1566" t="b">
        <v>1</v>
      </c>
      <c r="AN1566" t="b">
        <v>0</v>
      </c>
      <c r="AO1566">
        <v>99999</v>
      </c>
      <c r="AP1566" t="s">
        <v>64</v>
      </c>
      <c r="AR1566" t="b">
        <v>0</v>
      </c>
      <c r="AS1566">
        <v>12</v>
      </c>
      <c r="AT1566" t="s">
        <v>327</v>
      </c>
      <c r="AV1566" t="s">
        <v>519</v>
      </c>
    </row>
    <row r="1567" spans="1:48" x14ac:dyDescent="0.25">
      <c r="A1567" t="s">
        <v>3323</v>
      </c>
      <c r="B1567" t="s">
        <v>302</v>
      </c>
      <c r="C1567" t="s">
        <v>62</v>
      </c>
      <c r="D1567">
        <v>99999</v>
      </c>
      <c r="F1567" s="109">
        <v>4000</v>
      </c>
      <c r="G1567" t="b">
        <v>0</v>
      </c>
      <c r="H1567" t="s">
        <v>335</v>
      </c>
      <c r="K1567" t="s">
        <v>379</v>
      </c>
      <c r="L1567" t="s">
        <v>303</v>
      </c>
      <c r="M1567" t="s">
        <v>323</v>
      </c>
      <c r="N1567" t="s">
        <v>63</v>
      </c>
      <c r="O1567">
        <v>29.9</v>
      </c>
      <c r="R1567">
        <v>314.89</v>
      </c>
      <c r="S1567">
        <v>59.9</v>
      </c>
      <c r="T1567" s="110">
        <v>0</v>
      </c>
      <c r="U1567">
        <v>42.99</v>
      </c>
      <c r="X1567">
        <v>152.09999999999997</v>
      </c>
      <c r="Y1567">
        <v>59.9</v>
      </c>
      <c r="Z1567">
        <v>59.9</v>
      </c>
      <c r="AA1567">
        <v>0</v>
      </c>
      <c r="AB1567" t="s">
        <v>363</v>
      </c>
      <c r="AF1567" t="s">
        <v>635</v>
      </c>
      <c r="AG1567" t="s">
        <v>635</v>
      </c>
      <c r="AH1567" t="s">
        <v>325</v>
      </c>
      <c r="AI1567">
        <v>99999</v>
      </c>
      <c r="AJ1567">
        <v>99999</v>
      </c>
      <c r="AK1567">
        <v>699</v>
      </c>
      <c r="AL1567" t="b">
        <v>1</v>
      </c>
      <c r="AM1567" t="b">
        <v>1</v>
      </c>
      <c r="AN1567" t="b">
        <v>0</v>
      </c>
      <c r="AO1567">
        <v>99999</v>
      </c>
      <c r="AP1567" t="s">
        <v>64</v>
      </c>
      <c r="AR1567" t="b">
        <v>0</v>
      </c>
      <c r="AS1567">
        <v>12</v>
      </c>
      <c r="AT1567" t="s">
        <v>327</v>
      </c>
      <c r="AV1567" t="s">
        <v>653</v>
      </c>
    </row>
    <row r="1568" spans="1:48" x14ac:dyDescent="0.25">
      <c r="A1568" t="s">
        <v>3323</v>
      </c>
      <c r="B1568" t="s">
        <v>302</v>
      </c>
      <c r="C1568" t="s">
        <v>62</v>
      </c>
      <c r="D1568">
        <v>99999</v>
      </c>
      <c r="F1568" s="109">
        <v>4000</v>
      </c>
      <c r="G1568" t="b">
        <v>0</v>
      </c>
      <c r="H1568" t="s">
        <v>335</v>
      </c>
      <c r="K1568" t="s">
        <v>379</v>
      </c>
      <c r="L1568" t="s">
        <v>303</v>
      </c>
      <c r="M1568" t="s">
        <v>323</v>
      </c>
      <c r="N1568" t="s">
        <v>63</v>
      </c>
      <c r="O1568" s="110">
        <v>39.9</v>
      </c>
      <c r="R1568" s="110">
        <v>284.89</v>
      </c>
      <c r="S1568" s="110">
        <v>39.9</v>
      </c>
      <c r="T1568" s="110">
        <v>0</v>
      </c>
      <c r="U1568" s="110">
        <v>42.99</v>
      </c>
      <c r="X1568">
        <v>142.09999999999997</v>
      </c>
      <c r="Y1568">
        <v>59.9</v>
      </c>
      <c r="Z1568">
        <v>59.9</v>
      </c>
      <c r="AA1568">
        <v>0</v>
      </c>
      <c r="AB1568" t="s">
        <v>363</v>
      </c>
      <c r="AF1568" t="s">
        <v>434</v>
      </c>
      <c r="AG1568" t="s">
        <v>434</v>
      </c>
      <c r="AH1568" t="s">
        <v>325</v>
      </c>
      <c r="AI1568">
        <v>99999</v>
      </c>
      <c r="AJ1568">
        <v>99999</v>
      </c>
      <c r="AK1568">
        <v>699</v>
      </c>
      <c r="AL1568" t="b">
        <v>1</v>
      </c>
      <c r="AM1568" t="b">
        <v>1</v>
      </c>
      <c r="AN1568" t="b">
        <v>0</v>
      </c>
      <c r="AO1568">
        <v>99999</v>
      </c>
      <c r="AP1568" t="s">
        <v>64</v>
      </c>
      <c r="AR1568" t="b">
        <v>0</v>
      </c>
      <c r="AS1568">
        <v>12</v>
      </c>
      <c r="AT1568" t="s">
        <v>327</v>
      </c>
      <c r="AV1568" t="s">
        <v>452</v>
      </c>
    </row>
    <row r="1569" spans="1:48" x14ac:dyDescent="0.25">
      <c r="A1569" t="s">
        <v>3323</v>
      </c>
      <c r="B1569" t="s">
        <v>302</v>
      </c>
      <c r="C1569" t="s">
        <v>62</v>
      </c>
      <c r="D1569">
        <v>99999</v>
      </c>
      <c r="F1569" s="109">
        <v>4000</v>
      </c>
      <c r="G1569" t="b">
        <v>0</v>
      </c>
      <c r="H1569" t="s">
        <v>335</v>
      </c>
      <c r="K1569" t="s">
        <v>379</v>
      </c>
      <c r="L1569" t="s">
        <v>303</v>
      </c>
      <c r="M1569" t="s">
        <v>323</v>
      </c>
      <c r="N1569" t="s">
        <v>63</v>
      </c>
      <c r="O1569">
        <v>39.9</v>
      </c>
      <c r="R1569">
        <v>299.89</v>
      </c>
      <c r="S1569">
        <v>39.9</v>
      </c>
      <c r="T1569" s="110">
        <v>0</v>
      </c>
      <c r="U1569">
        <v>42.99</v>
      </c>
      <c r="X1569">
        <v>157.09999999999997</v>
      </c>
      <c r="Y1569">
        <v>59.9</v>
      </c>
      <c r="Z1569">
        <v>59.9</v>
      </c>
      <c r="AA1569">
        <v>0</v>
      </c>
      <c r="AB1569" t="s">
        <v>363</v>
      </c>
      <c r="AF1569" t="s">
        <v>568</v>
      </c>
      <c r="AG1569" t="s">
        <v>568</v>
      </c>
      <c r="AH1569" t="s">
        <v>325</v>
      </c>
      <c r="AI1569">
        <v>99999</v>
      </c>
      <c r="AJ1569">
        <v>99999</v>
      </c>
      <c r="AK1569">
        <v>699</v>
      </c>
      <c r="AL1569" t="b">
        <v>1</v>
      </c>
      <c r="AM1569" t="b">
        <v>1</v>
      </c>
      <c r="AN1569" t="b">
        <v>0</v>
      </c>
      <c r="AO1569">
        <v>99999</v>
      </c>
      <c r="AP1569" t="s">
        <v>64</v>
      </c>
      <c r="AR1569" t="b">
        <v>0</v>
      </c>
      <c r="AS1569">
        <v>12</v>
      </c>
      <c r="AT1569" t="s">
        <v>327</v>
      </c>
      <c r="AV1569" t="s">
        <v>586</v>
      </c>
    </row>
    <row r="1570" spans="1:48" x14ac:dyDescent="0.25">
      <c r="A1570" t="s">
        <v>3323</v>
      </c>
      <c r="B1570" t="s">
        <v>302</v>
      </c>
      <c r="C1570" t="s">
        <v>62</v>
      </c>
      <c r="D1570">
        <v>99999</v>
      </c>
      <c r="F1570" s="109">
        <v>4000</v>
      </c>
      <c r="G1570" t="b">
        <v>0</v>
      </c>
      <c r="H1570" t="s">
        <v>335</v>
      </c>
      <c r="K1570" t="s">
        <v>379</v>
      </c>
      <c r="L1570" t="s">
        <v>303</v>
      </c>
      <c r="M1570" t="s">
        <v>323</v>
      </c>
      <c r="N1570" t="s">
        <v>63</v>
      </c>
      <c r="O1570">
        <v>39.9</v>
      </c>
      <c r="R1570">
        <v>314.89</v>
      </c>
      <c r="S1570">
        <v>59.9</v>
      </c>
      <c r="T1570" s="110">
        <v>0</v>
      </c>
      <c r="U1570">
        <v>42.99</v>
      </c>
      <c r="X1570">
        <v>152.09999999999997</v>
      </c>
      <c r="Y1570">
        <v>59.9</v>
      </c>
      <c r="Z1570">
        <v>59.9</v>
      </c>
      <c r="AA1570">
        <v>0</v>
      </c>
      <c r="AB1570" t="s">
        <v>363</v>
      </c>
      <c r="AF1570" t="s">
        <v>702</v>
      </c>
      <c r="AG1570" t="s">
        <v>702</v>
      </c>
      <c r="AH1570" t="s">
        <v>325</v>
      </c>
      <c r="AI1570">
        <v>99999</v>
      </c>
      <c r="AJ1570">
        <v>99999</v>
      </c>
      <c r="AK1570">
        <v>699</v>
      </c>
      <c r="AL1570" t="b">
        <v>1</v>
      </c>
      <c r="AM1570" t="b">
        <v>1</v>
      </c>
      <c r="AN1570" t="b">
        <v>0</v>
      </c>
      <c r="AO1570">
        <v>99999</v>
      </c>
      <c r="AP1570" t="s">
        <v>64</v>
      </c>
      <c r="AR1570" t="b">
        <v>0</v>
      </c>
      <c r="AS1570">
        <v>12</v>
      </c>
      <c r="AT1570" t="s">
        <v>327</v>
      </c>
      <c r="AV1570" t="s">
        <v>720</v>
      </c>
    </row>
    <row r="1571" spans="1:48" x14ac:dyDescent="0.25">
      <c r="A1571" t="s">
        <v>3323</v>
      </c>
      <c r="B1571" t="s">
        <v>302</v>
      </c>
      <c r="C1571" t="s">
        <v>62</v>
      </c>
      <c r="D1571">
        <v>99999</v>
      </c>
      <c r="F1571" s="109">
        <v>4000</v>
      </c>
      <c r="G1571" t="b">
        <v>0</v>
      </c>
      <c r="H1571" t="s">
        <v>335</v>
      </c>
      <c r="K1571" t="s">
        <v>379</v>
      </c>
      <c r="L1571" t="s">
        <v>303</v>
      </c>
      <c r="M1571" t="s">
        <v>323</v>
      </c>
      <c r="N1571" t="s">
        <v>63</v>
      </c>
      <c r="O1571" s="110">
        <v>49.9</v>
      </c>
      <c r="R1571" s="110">
        <v>360.68999999999994</v>
      </c>
      <c r="S1571" s="110">
        <v>130</v>
      </c>
      <c r="T1571" s="110">
        <v>0</v>
      </c>
      <c r="U1571" s="110">
        <v>34.99</v>
      </c>
      <c r="X1571">
        <v>135.79999999999995</v>
      </c>
      <c r="Y1571">
        <v>59.9</v>
      </c>
      <c r="Z1571">
        <v>59.9</v>
      </c>
      <c r="AA1571">
        <v>0</v>
      </c>
      <c r="AB1571" t="s">
        <v>363</v>
      </c>
      <c r="AF1571" t="s">
        <v>2212</v>
      </c>
      <c r="AG1571" t="s">
        <v>2212</v>
      </c>
      <c r="AH1571" t="s">
        <v>325</v>
      </c>
      <c r="AI1571">
        <v>99999</v>
      </c>
      <c r="AJ1571">
        <v>99999</v>
      </c>
      <c r="AK1571">
        <v>699</v>
      </c>
      <c r="AL1571" t="b">
        <v>1</v>
      </c>
      <c r="AM1571" t="b">
        <v>1</v>
      </c>
      <c r="AN1571" t="b">
        <v>0</v>
      </c>
      <c r="AO1571">
        <v>99999</v>
      </c>
      <c r="AP1571" t="s">
        <v>64</v>
      </c>
      <c r="AR1571" t="b">
        <v>0</v>
      </c>
      <c r="AS1571">
        <v>12</v>
      </c>
      <c r="AT1571" t="s">
        <v>327</v>
      </c>
      <c r="AV1571" t="s">
        <v>2230</v>
      </c>
    </row>
    <row r="1572" spans="1:48" x14ac:dyDescent="0.25">
      <c r="A1572" t="s">
        <v>3323</v>
      </c>
      <c r="B1572" t="s">
        <v>302</v>
      </c>
      <c r="C1572" t="s">
        <v>62</v>
      </c>
      <c r="D1572">
        <v>99999</v>
      </c>
      <c r="F1572" s="109">
        <v>4000</v>
      </c>
      <c r="G1572" t="b">
        <v>0</v>
      </c>
      <c r="H1572" t="s">
        <v>335</v>
      </c>
      <c r="K1572" t="s">
        <v>379</v>
      </c>
      <c r="L1572" t="s">
        <v>303</v>
      </c>
      <c r="M1572" t="s">
        <v>323</v>
      </c>
      <c r="N1572" t="s">
        <v>63</v>
      </c>
      <c r="O1572" s="110">
        <v>49.9</v>
      </c>
      <c r="R1572" s="110">
        <v>374.98999999999995</v>
      </c>
      <c r="S1572" s="110">
        <v>130</v>
      </c>
      <c r="T1572" s="110">
        <v>0</v>
      </c>
      <c r="U1572" s="110">
        <v>42.99</v>
      </c>
      <c r="X1572">
        <v>142.09999999999997</v>
      </c>
      <c r="Y1572">
        <v>59.9</v>
      </c>
      <c r="Z1572">
        <v>59.9</v>
      </c>
      <c r="AA1572">
        <v>0</v>
      </c>
      <c r="AB1572" t="s">
        <v>363</v>
      </c>
      <c r="AF1572" t="s">
        <v>2286</v>
      </c>
      <c r="AG1572" t="s">
        <v>2286</v>
      </c>
      <c r="AH1572" t="s">
        <v>325</v>
      </c>
      <c r="AI1572">
        <v>99999</v>
      </c>
      <c r="AJ1572">
        <v>99999</v>
      </c>
      <c r="AK1572">
        <v>699</v>
      </c>
      <c r="AL1572" t="b">
        <v>1</v>
      </c>
      <c r="AM1572" t="b">
        <v>1</v>
      </c>
      <c r="AN1572" t="b">
        <v>0</v>
      </c>
      <c r="AO1572">
        <v>99999</v>
      </c>
      <c r="AP1572" t="s">
        <v>64</v>
      </c>
      <c r="AR1572" t="b">
        <v>0</v>
      </c>
      <c r="AS1572">
        <v>12</v>
      </c>
      <c r="AT1572" t="s">
        <v>327</v>
      </c>
      <c r="AV1572" t="s">
        <v>2304</v>
      </c>
    </row>
    <row r="1573" spans="1:48" x14ac:dyDescent="0.25">
      <c r="A1573" t="s">
        <v>3323</v>
      </c>
      <c r="B1573" t="s">
        <v>302</v>
      </c>
      <c r="C1573" t="s">
        <v>62</v>
      </c>
      <c r="D1573">
        <v>99999</v>
      </c>
      <c r="F1573" s="109">
        <v>4000</v>
      </c>
      <c r="G1573" t="b">
        <v>0</v>
      </c>
      <c r="H1573" t="s">
        <v>335</v>
      </c>
      <c r="K1573" t="s">
        <v>379</v>
      </c>
      <c r="L1573" t="s">
        <v>303</v>
      </c>
      <c r="M1573" t="s">
        <v>323</v>
      </c>
      <c r="N1573" t="s">
        <v>63</v>
      </c>
      <c r="O1573" s="110">
        <v>49.9</v>
      </c>
      <c r="R1573" s="110">
        <v>389.98999999999995</v>
      </c>
      <c r="S1573" s="110">
        <v>130</v>
      </c>
      <c r="T1573" s="110">
        <v>0</v>
      </c>
      <c r="U1573" s="110">
        <v>42.99</v>
      </c>
      <c r="X1573">
        <v>157.09999999999997</v>
      </c>
      <c r="Y1573">
        <v>59.9</v>
      </c>
      <c r="Z1573">
        <v>59.9</v>
      </c>
      <c r="AA1573">
        <v>0</v>
      </c>
      <c r="AB1573" t="s">
        <v>363</v>
      </c>
      <c r="AF1573" t="s">
        <v>2353</v>
      </c>
      <c r="AG1573" t="s">
        <v>2353</v>
      </c>
      <c r="AH1573" t="s">
        <v>325</v>
      </c>
      <c r="AI1573">
        <v>99999</v>
      </c>
      <c r="AJ1573">
        <v>99999</v>
      </c>
      <c r="AK1573">
        <v>699</v>
      </c>
      <c r="AL1573" t="b">
        <v>1</v>
      </c>
      <c r="AM1573" t="b">
        <v>1</v>
      </c>
      <c r="AN1573" t="b">
        <v>0</v>
      </c>
      <c r="AO1573">
        <v>99999</v>
      </c>
      <c r="AP1573" t="s">
        <v>64</v>
      </c>
      <c r="AR1573" t="b">
        <v>0</v>
      </c>
      <c r="AS1573">
        <v>12</v>
      </c>
      <c r="AT1573" t="s">
        <v>327</v>
      </c>
      <c r="AV1573" t="s">
        <v>2371</v>
      </c>
    </row>
    <row r="1574" spans="1:48" x14ac:dyDescent="0.25">
      <c r="A1574" t="s">
        <v>3323</v>
      </c>
      <c r="B1574" t="s">
        <v>302</v>
      </c>
      <c r="C1574" t="s">
        <v>62</v>
      </c>
      <c r="D1574">
        <v>99999</v>
      </c>
      <c r="F1574" s="109">
        <v>4000</v>
      </c>
      <c r="G1574" t="b">
        <v>0</v>
      </c>
      <c r="H1574" t="s">
        <v>335</v>
      </c>
      <c r="K1574" t="s">
        <v>379</v>
      </c>
      <c r="L1574" t="s">
        <v>303</v>
      </c>
      <c r="M1574" t="s">
        <v>323</v>
      </c>
      <c r="N1574" t="s">
        <v>63</v>
      </c>
      <c r="O1574" s="110">
        <v>49.9</v>
      </c>
      <c r="R1574" s="110">
        <v>384.98999999999995</v>
      </c>
      <c r="S1574" s="110">
        <v>130</v>
      </c>
      <c r="T1574" s="110">
        <v>0</v>
      </c>
      <c r="U1574" s="110">
        <v>42.99</v>
      </c>
      <c r="X1574">
        <v>152.09999999999997</v>
      </c>
      <c r="Y1574">
        <v>59.9</v>
      </c>
      <c r="Z1574">
        <v>59.9</v>
      </c>
      <c r="AA1574">
        <v>0</v>
      </c>
      <c r="AB1574" t="s">
        <v>363</v>
      </c>
      <c r="AF1574" t="s">
        <v>2420</v>
      </c>
      <c r="AG1574" t="s">
        <v>2420</v>
      </c>
      <c r="AH1574" t="s">
        <v>325</v>
      </c>
      <c r="AI1574">
        <v>99999</v>
      </c>
      <c r="AJ1574">
        <v>99999</v>
      </c>
      <c r="AK1574">
        <v>699</v>
      </c>
      <c r="AL1574" t="b">
        <v>1</v>
      </c>
      <c r="AM1574" t="b">
        <v>1</v>
      </c>
      <c r="AN1574" t="b">
        <v>0</v>
      </c>
      <c r="AO1574">
        <v>99999</v>
      </c>
      <c r="AP1574" t="s">
        <v>64</v>
      </c>
      <c r="AR1574" t="b">
        <v>0</v>
      </c>
      <c r="AS1574">
        <v>12</v>
      </c>
      <c r="AT1574" t="s">
        <v>327</v>
      </c>
      <c r="AV1574" t="s">
        <v>2438</v>
      </c>
    </row>
    <row r="1575" spans="1:48" x14ac:dyDescent="0.25">
      <c r="A1575" t="s">
        <v>3323</v>
      </c>
      <c r="B1575" t="s">
        <v>302</v>
      </c>
      <c r="C1575" t="s">
        <v>62</v>
      </c>
      <c r="D1575">
        <v>99999</v>
      </c>
      <c r="F1575" s="109">
        <v>4000</v>
      </c>
      <c r="G1575" t="b">
        <v>0</v>
      </c>
      <c r="H1575" t="s">
        <v>335</v>
      </c>
      <c r="K1575" t="s">
        <v>61</v>
      </c>
      <c r="L1575" t="s">
        <v>303</v>
      </c>
      <c r="M1575" t="s">
        <v>323</v>
      </c>
      <c r="N1575" t="s">
        <v>63</v>
      </c>
      <c r="O1575">
        <v>29.9</v>
      </c>
      <c r="R1575">
        <v>269.89</v>
      </c>
      <c r="S1575">
        <v>39.9</v>
      </c>
      <c r="T1575" s="110">
        <v>0</v>
      </c>
      <c r="U1575">
        <v>42.99</v>
      </c>
      <c r="X1575">
        <v>142.09999999999997</v>
      </c>
      <c r="Y1575">
        <v>44.9</v>
      </c>
      <c r="Z1575">
        <v>44.9</v>
      </c>
      <c r="AA1575">
        <v>0</v>
      </c>
      <c r="AB1575" t="s">
        <v>324</v>
      </c>
      <c r="AF1575" t="s">
        <v>326</v>
      </c>
      <c r="AG1575" t="s">
        <v>326</v>
      </c>
      <c r="AH1575" t="s">
        <v>325</v>
      </c>
      <c r="AI1575">
        <v>99999</v>
      </c>
      <c r="AJ1575">
        <v>99999</v>
      </c>
      <c r="AK1575">
        <v>699</v>
      </c>
      <c r="AL1575" t="b">
        <v>1</v>
      </c>
      <c r="AM1575" t="b">
        <v>1</v>
      </c>
      <c r="AN1575" t="b">
        <v>0</v>
      </c>
      <c r="AO1575">
        <v>99999</v>
      </c>
      <c r="AP1575" t="s">
        <v>64</v>
      </c>
      <c r="AR1575" t="b">
        <v>0</v>
      </c>
      <c r="AS1575">
        <v>12</v>
      </c>
      <c r="AT1575" t="s">
        <v>327</v>
      </c>
      <c r="AV1575" t="s">
        <v>336</v>
      </c>
    </row>
    <row r="1576" spans="1:48" x14ac:dyDescent="0.25">
      <c r="A1576" t="s">
        <v>3323</v>
      </c>
      <c r="B1576" t="s">
        <v>302</v>
      </c>
      <c r="C1576" t="s">
        <v>62</v>
      </c>
      <c r="D1576">
        <v>99999</v>
      </c>
      <c r="F1576" s="109">
        <v>4000</v>
      </c>
      <c r="G1576" t="b">
        <v>0</v>
      </c>
      <c r="H1576" t="s">
        <v>335</v>
      </c>
      <c r="K1576" t="s">
        <v>61</v>
      </c>
      <c r="L1576" t="s">
        <v>303</v>
      </c>
      <c r="M1576" t="s">
        <v>323</v>
      </c>
      <c r="N1576" t="s">
        <v>63</v>
      </c>
      <c r="O1576" s="110">
        <v>29.9</v>
      </c>
      <c r="R1576" s="110">
        <v>284.89</v>
      </c>
      <c r="S1576" s="110">
        <v>39.9</v>
      </c>
      <c r="T1576" s="110">
        <v>0</v>
      </c>
      <c r="U1576" s="110">
        <v>42.99</v>
      </c>
      <c r="X1576">
        <v>157.09999999999997</v>
      </c>
      <c r="Y1576">
        <v>44.9</v>
      </c>
      <c r="Z1576">
        <v>44.9</v>
      </c>
      <c r="AA1576">
        <v>0</v>
      </c>
      <c r="AB1576" t="s">
        <v>324</v>
      </c>
      <c r="AF1576" t="s">
        <v>474</v>
      </c>
      <c r="AG1576" t="s">
        <v>474</v>
      </c>
      <c r="AH1576" t="s">
        <v>325</v>
      </c>
      <c r="AI1576">
        <v>99999</v>
      </c>
      <c r="AJ1576">
        <v>99999</v>
      </c>
      <c r="AK1576">
        <v>699</v>
      </c>
      <c r="AL1576" t="b">
        <v>1</v>
      </c>
      <c r="AM1576" t="b">
        <v>1</v>
      </c>
      <c r="AN1576" t="b">
        <v>0</v>
      </c>
      <c r="AO1576">
        <v>99999</v>
      </c>
      <c r="AP1576" t="s">
        <v>64</v>
      </c>
      <c r="AR1576" t="b">
        <v>0</v>
      </c>
      <c r="AS1576">
        <v>12</v>
      </c>
      <c r="AT1576" t="s">
        <v>327</v>
      </c>
      <c r="AV1576" t="s">
        <v>479</v>
      </c>
    </row>
    <row r="1577" spans="1:48" x14ac:dyDescent="0.25">
      <c r="A1577" t="s">
        <v>3323</v>
      </c>
      <c r="B1577" t="s">
        <v>302</v>
      </c>
      <c r="C1577" t="s">
        <v>62</v>
      </c>
      <c r="D1577">
        <v>99999</v>
      </c>
      <c r="F1577" s="109">
        <v>4000</v>
      </c>
      <c r="G1577" t="b">
        <v>0</v>
      </c>
      <c r="H1577" t="s">
        <v>335</v>
      </c>
      <c r="K1577" t="s">
        <v>61</v>
      </c>
      <c r="L1577" t="s">
        <v>303</v>
      </c>
      <c r="M1577" t="s">
        <v>323</v>
      </c>
      <c r="N1577" t="s">
        <v>63</v>
      </c>
      <c r="O1577">
        <v>29.9</v>
      </c>
      <c r="R1577">
        <v>299.89</v>
      </c>
      <c r="S1577">
        <v>59.9</v>
      </c>
      <c r="T1577" s="110">
        <v>0</v>
      </c>
      <c r="U1577">
        <v>42.99</v>
      </c>
      <c r="X1577">
        <v>152.09999999999997</v>
      </c>
      <c r="Y1577">
        <v>44.9</v>
      </c>
      <c r="Z1577">
        <v>44.9</v>
      </c>
      <c r="AA1577">
        <v>0</v>
      </c>
      <c r="AB1577" t="s">
        <v>324</v>
      </c>
      <c r="AF1577" t="s">
        <v>608</v>
      </c>
      <c r="AG1577" t="s">
        <v>608</v>
      </c>
      <c r="AH1577" t="s">
        <v>325</v>
      </c>
      <c r="AI1577">
        <v>99999</v>
      </c>
      <c r="AJ1577">
        <v>99999</v>
      </c>
      <c r="AK1577">
        <v>699</v>
      </c>
      <c r="AL1577" t="b">
        <v>1</v>
      </c>
      <c r="AM1577" t="b">
        <v>1</v>
      </c>
      <c r="AN1577" t="b">
        <v>0</v>
      </c>
      <c r="AO1577">
        <v>99999</v>
      </c>
      <c r="AP1577" t="s">
        <v>64</v>
      </c>
      <c r="AR1577" t="b">
        <v>0</v>
      </c>
      <c r="AS1577">
        <v>12</v>
      </c>
      <c r="AT1577" t="s">
        <v>327</v>
      </c>
      <c r="AV1577" t="s">
        <v>613</v>
      </c>
    </row>
    <row r="1578" spans="1:48" x14ac:dyDescent="0.25">
      <c r="A1578" t="s">
        <v>3323</v>
      </c>
      <c r="B1578" t="s">
        <v>302</v>
      </c>
      <c r="C1578" t="s">
        <v>62</v>
      </c>
      <c r="D1578">
        <v>99999</v>
      </c>
      <c r="F1578" s="109">
        <v>4000</v>
      </c>
      <c r="G1578" t="b">
        <v>0</v>
      </c>
      <c r="H1578" t="s">
        <v>335</v>
      </c>
      <c r="K1578" t="s">
        <v>61</v>
      </c>
      <c r="L1578" t="s">
        <v>303</v>
      </c>
      <c r="M1578" t="s">
        <v>323</v>
      </c>
      <c r="N1578" t="s">
        <v>63</v>
      </c>
      <c r="O1578" s="110">
        <v>39.9</v>
      </c>
      <c r="R1578" s="110">
        <v>269.89</v>
      </c>
      <c r="S1578" s="110">
        <v>39.9</v>
      </c>
      <c r="T1578" s="110">
        <v>0</v>
      </c>
      <c r="U1578" s="110">
        <v>42.99</v>
      </c>
      <c r="X1578">
        <v>142.09999999999997</v>
      </c>
      <c r="Y1578">
        <v>44.9</v>
      </c>
      <c r="Z1578">
        <v>44.9</v>
      </c>
      <c r="AA1578">
        <v>0</v>
      </c>
      <c r="AB1578" t="s">
        <v>324</v>
      </c>
      <c r="AF1578" t="s">
        <v>407</v>
      </c>
      <c r="AG1578" t="s">
        <v>407</v>
      </c>
      <c r="AH1578" t="s">
        <v>325</v>
      </c>
      <c r="AI1578">
        <v>99999</v>
      </c>
      <c r="AJ1578">
        <v>99999</v>
      </c>
      <c r="AK1578">
        <v>699</v>
      </c>
      <c r="AL1578" t="b">
        <v>1</v>
      </c>
      <c r="AM1578" t="b">
        <v>1</v>
      </c>
      <c r="AN1578" t="b">
        <v>0</v>
      </c>
      <c r="AO1578">
        <v>99999</v>
      </c>
      <c r="AP1578" t="s">
        <v>64</v>
      </c>
      <c r="AR1578" t="b">
        <v>0</v>
      </c>
      <c r="AS1578">
        <v>12</v>
      </c>
      <c r="AT1578" t="s">
        <v>327</v>
      </c>
      <c r="AV1578" t="s">
        <v>412</v>
      </c>
    </row>
    <row r="1579" spans="1:48" x14ac:dyDescent="0.25">
      <c r="A1579" t="s">
        <v>3323</v>
      </c>
      <c r="B1579" t="s">
        <v>302</v>
      </c>
      <c r="C1579" t="s">
        <v>62</v>
      </c>
      <c r="D1579">
        <v>99999</v>
      </c>
      <c r="F1579" s="109">
        <v>4000</v>
      </c>
      <c r="G1579" t="b">
        <v>0</v>
      </c>
      <c r="H1579" t="s">
        <v>335</v>
      </c>
      <c r="K1579" t="s">
        <v>61</v>
      </c>
      <c r="L1579" t="s">
        <v>303</v>
      </c>
      <c r="M1579" t="s">
        <v>323</v>
      </c>
      <c r="N1579" t="s">
        <v>63</v>
      </c>
      <c r="O1579">
        <v>39.9</v>
      </c>
      <c r="R1579">
        <v>284.89</v>
      </c>
      <c r="S1579">
        <v>39.9</v>
      </c>
      <c r="T1579" s="110">
        <v>0</v>
      </c>
      <c r="U1579">
        <v>42.99</v>
      </c>
      <c r="X1579">
        <v>157.09999999999997</v>
      </c>
      <c r="Y1579">
        <v>44.9</v>
      </c>
      <c r="Z1579">
        <v>44.9</v>
      </c>
      <c r="AA1579">
        <v>0</v>
      </c>
      <c r="AB1579" t="s">
        <v>324</v>
      </c>
      <c r="AF1579" t="s">
        <v>541</v>
      </c>
      <c r="AG1579" t="s">
        <v>541</v>
      </c>
      <c r="AH1579" t="s">
        <v>325</v>
      </c>
      <c r="AI1579">
        <v>99999</v>
      </c>
      <c r="AJ1579">
        <v>99999</v>
      </c>
      <c r="AK1579">
        <v>699</v>
      </c>
      <c r="AL1579" t="b">
        <v>1</v>
      </c>
      <c r="AM1579" t="b">
        <v>1</v>
      </c>
      <c r="AN1579" t="b">
        <v>0</v>
      </c>
      <c r="AO1579">
        <v>99999</v>
      </c>
      <c r="AP1579" t="s">
        <v>64</v>
      </c>
      <c r="AR1579" t="b">
        <v>0</v>
      </c>
      <c r="AS1579">
        <v>12</v>
      </c>
      <c r="AT1579" t="s">
        <v>327</v>
      </c>
      <c r="AV1579" t="s">
        <v>546</v>
      </c>
    </row>
    <row r="1580" spans="1:48" x14ac:dyDescent="0.25">
      <c r="A1580" t="s">
        <v>3323</v>
      </c>
      <c r="B1580" t="s">
        <v>302</v>
      </c>
      <c r="C1580" t="s">
        <v>62</v>
      </c>
      <c r="D1580">
        <v>99999</v>
      </c>
      <c r="F1580" s="109">
        <v>4000</v>
      </c>
      <c r="G1580" t="b">
        <v>0</v>
      </c>
      <c r="H1580" t="s">
        <v>335</v>
      </c>
      <c r="K1580" t="s">
        <v>61</v>
      </c>
      <c r="L1580" t="s">
        <v>303</v>
      </c>
      <c r="M1580" t="s">
        <v>323</v>
      </c>
      <c r="N1580" t="s">
        <v>63</v>
      </c>
      <c r="O1580">
        <v>39.9</v>
      </c>
      <c r="R1580">
        <v>299.89</v>
      </c>
      <c r="S1580">
        <v>59.9</v>
      </c>
      <c r="T1580" s="110">
        <v>0</v>
      </c>
      <c r="U1580">
        <v>42.99</v>
      </c>
      <c r="X1580">
        <v>152.09999999999997</v>
      </c>
      <c r="Y1580">
        <v>44.9</v>
      </c>
      <c r="Z1580">
        <v>44.9</v>
      </c>
      <c r="AA1580">
        <v>0</v>
      </c>
      <c r="AB1580" t="s">
        <v>324</v>
      </c>
      <c r="AF1580" t="s">
        <v>675</v>
      </c>
      <c r="AG1580" t="s">
        <v>675</v>
      </c>
      <c r="AH1580" t="s">
        <v>325</v>
      </c>
      <c r="AI1580">
        <v>99999</v>
      </c>
      <c r="AJ1580">
        <v>99999</v>
      </c>
      <c r="AK1580">
        <v>699</v>
      </c>
      <c r="AL1580" t="b">
        <v>1</v>
      </c>
      <c r="AM1580" t="b">
        <v>1</v>
      </c>
      <c r="AN1580" t="b">
        <v>0</v>
      </c>
      <c r="AO1580">
        <v>99999</v>
      </c>
      <c r="AP1580" t="s">
        <v>64</v>
      </c>
      <c r="AR1580" t="b">
        <v>0</v>
      </c>
      <c r="AS1580">
        <v>12</v>
      </c>
      <c r="AT1580" t="s">
        <v>327</v>
      </c>
      <c r="AV1580" t="s">
        <v>680</v>
      </c>
    </row>
    <row r="1581" spans="1:48" x14ac:dyDescent="0.25">
      <c r="A1581" t="s">
        <v>3323</v>
      </c>
      <c r="B1581" t="s">
        <v>302</v>
      </c>
      <c r="C1581" t="s">
        <v>62</v>
      </c>
      <c r="D1581">
        <v>99999</v>
      </c>
      <c r="F1581" s="109">
        <v>4000</v>
      </c>
      <c r="G1581" t="b">
        <v>0</v>
      </c>
      <c r="H1581" t="s">
        <v>335</v>
      </c>
      <c r="K1581" t="s">
        <v>61</v>
      </c>
      <c r="L1581" t="s">
        <v>303</v>
      </c>
      <c r="M1581" t="s">
        <v>323</v>
      </c>
      <c r="N1581" t="s">
        <v>63</v>
      </c>
      <c r="O1581" s="110">
        <v>49.9</v>
      </c>
      <c r="R1581" s="110">
        <v>345.68999999999994</v>
      </c>
      <c r="S1581" s="110">
        <v>130</v>
      </c>
      <c r="T1581" s="110">
        <v>0</v>
      </c>
      <c r="U1581" s="110">
        <v>34.99</v>
      </c>
      <c r="X1581">
        <v>135.79999999999995</v>
      </c>
      <c r="Y1581">
        <v>44.9</v>
      </c>
      <c r="Z1581">
        <v>44.9</v>
      </c>
      <c r="AA1581">
        <v>0</v>
      </c>
      <c r="AB1581" t="s">
        <v>324</v>
      </c>
      <c r="AF1581" t="s">
        <v>2185</v>
      </c>
      <c r="AG1581" t="s">
        <v>2185</v>
      </c>
      <c r="AH1581" t="s">
        <v>325</v>
      </c>
      <c r="AI1581">
        <v>99999</v>
      </c>
      <c r="AJ1581">
        <v>99999</v>
      </c>
      <c r="AK1581">
        <v>699</v>
      </c>
      <c r="AL1581" t="b">
        <v>1</v>
      </c>
      <c r="AM1581" t="b">
        <v>1</v>
      </c>
      <c r="AN1581" t="b">
        <v>0</v>
      </c>
      <c r="AO1581">
        <v>99999</v>
      </c>
      <c r="AP1581" t="s">
        <v>64</v>
      </c>
      <c r="AR1581" t="b">
        <v>0</v>
      </c>
      <c r="AS1581">
        <v>12</v>
      </c>
      <c r="AT1581" t="s">
        <v>327</v>
      </c>
      <c r="AV1581" t="s">
        <v>2190</v>
      </c>
    </row>
    <row r="1582" spans="1:48" x14ac:dyDescent="0.25">
      <c r="A1582" t="s">
        <v>3323</v>
      </c>
      <c r="B1582" t="s">
        <v>302</v>
      </c>
      <c r="C1582" t="s">
        <v>62</v>
      </c>
      <c r="D1582">
        <v>99999</v>
      </c>
      <c r="F1582" s="109">
        <v>4000</v>
      </c>
      <c r="G1582" t="b">
        <v>0</v>
      </c>
      <c r="H1582" t="s">
        <v>335</v>
      </c>
      <c r="K1582" t="s">
        <v>61</v>
      </c>
      <c r="L1582" t="s">
        <v>303</v>
      </c>
      <c r="M1582" t="s">
        <v>323</v>
      </c>
      <c r="N1582" t="s">
        <v>63</v>
      </c>
      <c r="O1582" s="110">
        <v>49.9</v>
      </c>
      <c r="R1582" s="110">
        <v>359.98999999999995</v>
      </c>
      <c r="S1582" s="110">
        <v>130</v>
      </c>
      <c r="T1582" s="110">
        <v>0</v>
      </c>
      <c r="U1582" s="110">
        <v>42.99</v>
      </c>
      <c r="X1582">
        <v>142.09999999999997</v>
      </c>
      <c r="Y1582">
        <v>44.9</v>
      </c>
      <c r="Z1582">
        <v>44.9</v>
      </c>
      <c r="AA1582">
        <v>0</v>
      </c>
      <c r="AB1582" t="s">
        <v>324</v>
      </c>
      <c r="AF1582" t="s">
        <v>2259</v>
      </c>
      <c r="AG1582" t="s">
        <v>2259</v>
      </c>
      <c r="AH1582" t="s">
        <v>325</v>
      </c>
      <c r="AI1582">
        <v>99999</v>
      </c>
      <c r="AJ1582">
        <v>99999</v>
      </c>
      <c r="AK1582">
        <v>699</v>
      </c>
      <c r="AL1582" t="b">
        <v>1</v>
      </c>
      <c r="AM1582" t="b">
        <v>1</v>
      </c>
      <c r="AN1582" t="b">
        <v>0</v>
      </c>
      <c r="AO1582">
        <v>99999</v>
      </c>
      <c r="AP1582" t="s">
        <v>64</v>
      </c>
      <c r="AR1582" t="b">
        <v>0</v>
      </c>
      <c r="AS1582">
        <v>12</v>
      </c>
      <c r="AT1582" t="s">
        <v>327</v>
      </c>
      <c r="AV1582" t="s">
        <v>2264</v>
      </c>
    </row>
    <row r="1583" spans="1:48" x14ac:dyDescent="0.25">
      <c r="A1583" t="s">
        <v>3323</v>
      </c>
      <c r="B1583" t="s">
        <v>302</v>
      </c>
      <c r="C1583" t="s">
        <v>62</v>
      </c>
      <c r="D1583">
        <v>99999</v>
      </c>
      <c r="F1583" s="109">
        <v>4000</v>
      </c>
      <c r="G1583" t="b">
        <v>0</v>
      </c>
      <c r="H1583" t="s">
        <v>335</v>
      </c>
      <c r="K1583" t="s">
        <v>61</v>
      </c>
      <c r="L1583" t="s">
        <v>303</v>
      </c>
      <c r="M1583" t="s">
        <v>323</v>
      </c>
      <c r="N1583" t="s">
        <v>63</v>
      </c>
      <c r="O1583" s="110">
        <v>49.9</v>
      </c>
      <c r="R1583" s="110">
        <v>374.98999999999995</v>
      </c>
      <c r="S1583" s="110">
        <v>130</v>
      </c>
      <c r="T1583" s="110">
        <v>0</v>
      </c>
      <c r="U1583" s="110">
        <v>42.99</v>
      </c>
      <c r="X1583">
        <v>157.09999999999997</v>
      </c>
      <c r="Y1583">
        <v>44.9</v>
      </c>
      <c r="Z1583">
        <v>44.9</v>
      </c>
      <c r="AA1583">
        <v>0</v>
      </c>
      <c r="AB1583" t="s">
        <v>324</v>
      </c>
      <c r="AF1583" t="s">
        <v>2326</v>
      </c>
      <c r="AG1583" t="s">
        <v>2326</v>
      </c>
      <c r="AH1583" t="s">
        <v>325</v>
      </c>
      <c r="AI1583">
        <v>99999</v>
      </c>
      <c r="AJ1583">
        <v>99999</v>
      </c>
      <c r="AK1583">
        <v>699</v>
      </c>
      <c r="AL1583" t="b">
        <v>1</v>
      </c>
      <c r="AM1583" t="b">
        <v>1</v>
      </c>
      <c r="AN1583" t="b">
        <v>0</v>
      </c>
      <c r="AO1583">
        <v>99999</v>
      </c>
      <c r="AP1583" t="s">
        <v>64</v>
      </c>
      <c r="AR1583" t="b">
        <v>0</v>
      </c>
      <c r="AS1583">
        <v>12</v>
      </c>
      <c r="AT1583" t="s">
        <v>327</v>
      </c>
      <c r="AV1583" t="s">
        <v>2331</v>
      </c>
    </row>
    <row r="1584" spans="1:48" x14ac:dyDescent="0.25">
      <c r="A1584" t="s">
        <v>3323</v>
      </c>
      <c r="B1584" t="s">
        <v>302</v>
      </c>
      <c r="C1584" t="s">
        <v>62</v>
      </c>
      <c r="D1584">
        <v>99999</v>
      </c>
      <c r="F1584" s="109">
        <v>4000</v>
      </c>
      <c r="G1584" t="b">
        <v>0</v>
      </c>
      <c r="H1584" t="s">
        <v>335</v>
      </c>
      <c r="K1584" t="s">
        <v>61</v>
      </c>
      <c r="L1584" t="s">
        <v>303</v>
      </c>
      <c r="M1584" t="s">
        <v>323</v>
      </c>
      <c r="N1584" t="s">
        <v>63</v>
      </c>
      <c r="O1584" s="110">
        <v>49.9</v>
      </c>
      <c r="R1584" s="110">
        <v>369.98999999999995</v>
      </c>
      <c r="S1584" s="110">
        <v>130</v>
      </c>
      <c r="T1584" s="110">
        <v>0</v>
      </c>
      <c r="U1584" s="110">
        <v>42.99</v>
      </c>
      <c r="X1584">
        <v>152.09999999999997</v>
      </c>
      <c r="Y1584">
        <v>44.9</v>
      </c>
      <c r="Z1584">
        <v>44.9</v>
      </c>
      <c r="AA1584">
        <v>0</v>
      </c>
      <c r="AB1584" t="s">
        <v>324</v>
      </c>
      <c r="AF1584" t="s">
        <v>2393</v>
      </c>
      <c r="AG1584" t="s">
        <v>2393</v>
      </c>
      <c r="AH1584" t="s">
        <v>325</v>
      </c>
      <c r="AI1584">
        <v>99999</v>
      </c>
      <c r="AJ1584">
        <v>99999</v>
      </c>
      <c r="AK1584">
        <v>699</v>
      </c>
      <c r="AL1584" t="b">
        <v>1</v>
      </c>
      <c r="AM1584" t="b">
        <v>1</v>
      </c>
      <c r="AN1584" t="b">
        <v>0</v>
      </c>
      <c r="AO1584">
        <v>99999</v>
      </c>
      <c r="AP1584" t="s">
        <v>64</v>
      </c>
      <c r="AR1584" t="b">
        <v>0</v>
      </c>
      <c r="AS1584">
        <v>12</v>
      </c>
      <c r="AT1584" t="s">
        <v>327</v>
      </c>
      <c r="AV1584" t="s">
        <v>2398</v>
      </c>
    </row>
    <row r="1585" spans="1:48" x14ac:dyDescent="0.25">
      <c r="A1585" t="s">
        <v>3323</v>
      </c>
      <c r="B1585" t="s">
        <v>302</v>
      </c>
      <c r="C1585" t="s">
        <v>62</v>
      </c>
      <c r="D1585">
        <v>99999</v>
      </c>
      <c r="F1585" s="109">
        <v>4000</v>
      </c>
      <c r="G1585" t="b">
        <v>0</v>
      </c>
      <c r="H1585" t="s">
        <v>331</v>
      </c>
      <c r="K1585" t="s">
        <v>349</v>
      </c>
      <c r="L1585" t="s">
        <v>303</v>
      </c>
      <c r="M1585" t="s">
        <v>323</v>
      </c>
      <c r="N1585" t="s">
        <v>63</v>
      </c>
      <c r="O1585">
        <v>29.9</v>
      </c>
      <c r="R1585">
        <v>224.89</v>
      </c>
      <c r="S1585">
        <v>39.9</v>
      </c>
      <c r="T1585" s="110">
        <v>0</v>
      </c>
      <c r="U1585">
        <v>42.99</v>
      </c>
      <c r="X1585">
        <v>97.1</v>
      </c>
      <c r="Y1585">
        <v>44.9</v>
      </c>
      <c r="Z1585">
        <v>44.9</v>
      </c>
      <c r="AA1585">
        <v>0</v>
      </c>
      <c r="AB1585" t="s">
        <v>324</v>
      </c>
      <c r="AF1585" t="s">
        <v>326</v>
      </c>
      <c r="AG1585" t="s">
        <v>326</v>
      </c>
      <c r="AH1585" t="s">
        <v>325</v>
      </c>
      <c r="AI1585">
        <v>99999</v>
      </c>
      <c r="AJ1585">
        <v>99999</v>
      </c>
      <c r="AK1585">
        <v>699</v>
      </c>
      <c r="AL1585" t="b">
        <v>1</v>
      </c>
      <c r="AM1585" t="b">
        <v>1</v>
      </c>
      <c r="AN1585" t="b">
        <v>0</v>
      </c>
      <c r="AO1585">
        <v>99999</v>
      </c>
      <c r="AP1585" t="s">
        <v>64</v>
      </c>
      <c r="AR1585" t="b">
        <v>0</v>
      </c>
      <c r="AS1585">
        <v>12</v>
      </c>
      <c r="AT1585" t="s">
        <v>327</v>
      </c>
      <c r="AV1585" t="s">
        <v>352</v>
      </c>
    </row>
    <row r="1586" spans="1:48" x14ac:dyDescent="0.25">
      <c r="A1586" t="s">
        <v>3323</v>
      </c>
      <c r="B1586" t="s">
        <v>302</v>
      </c>
      <c r="C1586" t="s">
        <v>62</v>
      </c>
      <c r="D1586">
        <v>99999</v>
      </c>
      <c r="F1586" s="109">
        <v>4000</v>
      </c>
      <c r="G1586" t="b">
        <v>0</v>
      </c>
      <c r="H1586" t="s">
        <v>331</v>
      </c>
      <c r="K1586" t="s">
        <v>349</v>
      </c>
      <c r="L1586" t="s">
        <v>303</v>
      </c>
      <c r="M1586" t="s">
        <v>323</v>
      </c>
      <c r="N1586" t="s">
        <v>63</v>
      </c>
      <c r="O1586" s="110">
        <v>29.9</v>
      </c>
      <c r="R1586" s="110">
        <v>239.89</v>
      </c>
      <c r="S1586" s="110">
        <v>39.9</v>
      </c>
      <c r="T1586" s="110">
        <v>0</v>
      </c>
      <c r="U1586" s="110">
        <v>42.99</v>
      </c>
      <c r="X1586">
        <v>112.1</v>
      </c>
      <c r="Y1586">
        <v>44.9</v>
      </c>
      <c r="Z1586">
        <v>44.9</v>
      </c>
      <c r="AA1586">
        <v>0</v>
      </c>
      <c r="AB1586" t="s">
        <v>324</v>
      </c>
      <c r="AF1586" t="s">
        <v>474</v>
      </c>
      <c r="AG1586" t="s">
        <v>474</v>
      </c>
      <c r="AH1586" t="s">
        <v>325</v>
      </c>
      <c r="AI1586">
        <v>99999</v>
      </c>
      <c r="AJ1586">
        <v>99999</v>
      </c>
      <c r="AK1586">
        <v>699</v>
      </c>
      <c r="AL1586" t="b">
        <v>1</v>
      </c>
      <c r="AM1586" t="b">
        <v>1</v>
      </c>
      <c r="AN1586" t="b">
        <v>0</v>
      </c>
      <c r="AO1586">
        <v>99999</v>
      </c>
      <c r="AP1586" t="s">
        <v>64</v>
      </c>
      <c r="AR1586" t="b">
        <v>0</v>
      </c>
      <c r="AS1586">
        <v>12</v>
      </c>
      <c r="AT1586" t="s">
        <v>327</v>
      </c>
      <c r="AV1586" t="s">
        <v>490</v>
      </c>
    </row>
    <row r="1587" spans="1:48" x14ac:dyDescent="0.25">
      <c r="A1587" t="s">
        <v>3323</v>
      </c>
      <c r="B1587" t="s">
        <v>302</v>
      </c>
      <c r="C1587" t="s">
        <v>62</v>
      </c>
      <c r="D1587">
        <v>99999</v>
      </c>
      <c r="F1587" s="109">
        <v>4000</v>
      </c>
      <c r="G1587" t="b">
        <v>0</v>
      </c>
      <c r="H1587" t="s">
        <v>331</v>
      </c>
      <c r="K1587" t="s">
        <v>349</v>
      </c>
      <c r="L1587" t="s">
        <v>303</v>
      </c>
      <c r="M1587" t="s">
        <v>323</v>
      </c>
      <c r="N1587" t="s">
        <v>63</v>
      </c>
      <c r="O1587">
        <v>29.9</v>
      </c>
      <c r="R1587">
        <v>254.89</v>
      </c>
      <c r="S1587">
        <v>59.9</v>
      </c>
      <c r="T1587" s="110">
        <v>0</v>
      </c>
      <c r="U1587">
        <v>42.99</v>
      </c>
      <c r="X1587">
        <v>107.1</v>
      </c>
      <c r="Y1587">
        <v>44.9</v>
      </c>
      <c r="Z1587">
        <v>44.9</v>
      </c>
      <c r="AA1587">
        <v>0</v>
      </c>
      <c r="AB1587" t="s">
        <v>324</v>
      </c>
      <c r="AF1587" t="s">
        <v>608</v>
      </c>
      <c r="AG1587" t="s">
        <v>608</v>
      </c>
      <c r="AH1587" t="s">
        <v>325</v>
      </c>
      <c r="AI1587">
        <v>99999</v>
      </c>
      <c r="AJ1587">
        <v>99999</v>
      </c>
      <c r="AK1587">
        <v>699</v>
      </c>
      <c r="AL1587" t="b">
        <v>1</v>
      </c>
      <c r="AM1587" t="b">
        <v>1</v>
      </c>
      <c r="AN1587" t="b">
        <v>0</v>
      </c>
      <c r="AO1587">
        <v>99999</v>
      </c>
      <c r="AP1587" t="s">
        <v>64</v>
      </c>
      <c r="AR1587" t="b">
        <v>0</v>
      </c>
      <c r="AS1587">
        <v>12</v>
      </c>
      <c r="AT1587" t="s">
        <v>327</v>
      </c>
      <c r="AV1587" t="s">
        <v>624</v>
      </c>
    </row>
    <row r="1588" spans="1:48" x14ac:dyDescent="0.25">
      <c r="A1588" t="s">
        <v>3323</v>
      </c>
      <c r="B1588" t="s">
        <v>302</v>
      </c>
      <c r="C1588" t="s">
        <v>62</v>
      </c>
      <c r="D1588">
        <v>99999</v>
      </c>
      <c r="F1588" s="109">
        <v>4000</v>
      </c>
      <c r="G1588" t="b">
        <v>0</v>
      </c>
      <c r="H1588" t="s">
        <v>331</v>
      </c>
      <c r="K1588" t="s">
        <v>349</v>
      </c>
      <c r="L1588" t="s">
        <v>303</v>
      </c>
      <c r="M1588" t="s">
        <v>323</v>
      </c>
      <c r="N1588" t="s">
        <v>63</v>
      </c>
      <c r="O1588" s="110">
        <v>39.9</v>
      </c>
      <c r="R1588" s="110">
        <v>224.89</v>
      </c>
      <c r="S1588" s="110">
        <v>39.9</v>
      </c>
      <c r="T1588" s="110">
        <v>0</v>
      </c>
      <c r="U1588" s="110">
        <v>42.99</v>
      </c>
      <c r="X1588">
        <v>97.1</v>
      </c>
      <c r="Y1588">
        <v>44.9</v>
      </c>
      <c r="Z1588">
        <v>44.9</v>
      </c>
      <c r="AA1588">
        <v>0</v>
      </c>
      <c r="AB1588" t="s">
        <v>324</v>
      </c>
      <c r="AF1588" t="s">
        <v>407</v>
      </c>
      <c r="AG1588" t="s">
        <v>407</v>
      </c>
      <c r="AH1588" t="s">
        <v>325</v>
      </c>
      <c r="AI1588">
        <v>99999</v>
      </c>
      <c r="AJ1588">
        <v>99999</v>
      </c>
      <c r="AK1588">
        <v>699</v>
      </c>
      <c r="AL1588" t="b">
        <v>1</v>
      </c>
      <c r="AM1588" t="b">
        <v>1</v>
      </c>
      <c r="AN1588" t="b">
        <v>0</v>
      </c>
      <c r="AO1588">
        <v>99999</v>
      </c>
      <c r="AP1588" t="s">
        <v>64</v>
      </c>
      <c r="AR1588" t="b">
        <v>0</v>
      </c>
      <c r="AS1588">
        <v>12</v>
      </c>
      <c r="AT1588" t="s">
        <v>327</v>
      </c>
      <c r="AV1588" t="s">
        <v>423</v>
      </c>
    </row>
    <row r="1589" spans="1:48" x14ac:dyDescent="0.25">
      <c r="A1589" t="s">
        <v>3323</v>
      </c>
      <c r="B1589" t="s">
        <v>302</v>
      </c>
      <c r="C1589" t="s">
        <v>62</v>
      </c>
      <c r="D1589">
        <v>99999</v>
      </c>
      <c r="F1589" s="109">
        <v>4000</v>
      </c>
      <c r="G1589" t="b">
        <v>0</v>
      </c>
      <c r="H1589" t="s">
        <v>331</v>
      </c>
      <c r="K1589" t="s">
        <v>349</v>
      </c>
      <c r="L1589" t="s">
        <v>303</v>
      </c>
      <c r="M1589" t="s">
        <v>323</v>
      </c>
      <c r="N1589" t="s">
        <v>63</v>
      </c>
      <c r="O1589">
        <v>39.9</v>
      </c>
      <c r="R1589">
        <v>239.89</v>
      </c>
      <c r="S1589">
        <v>39.9</v>
      </c>
      <c r="T1589" s="110">
        <v>0</v>
      </c>
      <c r="U1589">
        <v>42.99</v>
      </c>
      <c r="X1589">
        <v>112.1</v>
      </c>
      <c r="Y1589">
        <v>44.9</v>
      </c>
      <c r="Z1589">
        <v>44.9</v>
      </c>
      <c r="AA1589">
        <v>0</v>
      </c>
      <c r="AB1589" t="s">
        <v>324</v>
      </c>
      <c r="AF1589" t="s">
        <v>541</v>
      </c>
      <c r="AG1589" t="s">
        <v>541</v>
      </c>
      <c r="AH1589" t="s">
        <v>325</v>
      </c>
      <c r="AI1589">
        <v>99999</v>
      </c>
      <c r="AJ1589">
        <v>99999</v>
      </c>
      <c r="AK1589">
        <v>699</v>
      </c>
      <c r="AL1589" t="b">
        <v>1</v>
      </c>
      <c r="AM1589" t="b">
        <v>1</v>
      </c>
      <c r="AN1589" t="b">
        <v>0</v>
      </c>
      <c r="AO1589">
        <v>99999</v>
      </c>
      <c r="AP1589" t="s">
        <v>64</v>
      </c>
      <c r="AR1589" t="b">
        <v>0</v>
      </c>
      <c r="AS1589">
        <v>12</v>
      </c>
      <c r="AT1589" t="s">
        <v>327</v>
      </c>
      <c r="AV1589" t="s">
        <v>557</v>
      </c>
    </row>
    <row r="1590" spans="1:48" x14ac:dyDescent="0.25">
      <c r="A1590" t="s">
        <v>3323</v>
      </c>
      <c r="B1590" t="s">
        <v>302</v>
      </c>
      <c r="C1590" t="s">
        <v>62</v>
      </c>
      <c r="D1590">
        <v>99999</v>
      </c>
      <c r="F1590" s="109">
        <v>4000</v>
      </c>
      <c r="G1590" t="b">
        <v>0</v>
      </c>
      <c r="H1590" t="s">
        <v>331</v>
      </c>
      <c r="K1590" t="s">
        <v>349</v>
      </c>
      <c r="L1590" t="s">
        <v>303</v>
      </c>
      <c r="M1590" t="s">
        <v>323</v>
      </c>
      <c r="N1590" t="s">
        <v>63</v>
      </c>
      <c r="O1590">
        <v>39.9</v>
      </c>
      <c r="R1590">
        <v>254.89</v>
      </c>
      <c r="S1590">
        <v>59.9</v>
      </c>
      <c r="T1590" s="110">
        <v>0</v>
      </c>
      <c r="U1590">
        <v>42.99</v>
      </c>
      <c r="X1590">
        <v>107.1</v>
      </c>
      <c r="Y1590">
        <v>44.9</v>
      </c>
      <c r="Z1590">
        <v>44.9</v>
      </c>
      <c r="AA1590">
        <v>0</v>
      </c>
      <c r="AB1590" t="s">
        <v>324</v>
      </c>
      <c r="AF1590" t="s">
        <v>675</v>
      </c>
      <c r="AG1590" t="s">
        <v>675</v>
      </c>
      <c r="AH1590" t="s">
        <v>325</v>
      </c>
      <c r="AI1590">
        <v>99999</v>
      </c>
      <c r="AJ1590">
        <v>99999</v>
      </c>
      <c r="AK1590">
        <v>699</v>
      </c>
      <c r="AL1590" t="b">
        <v>1</v>
      </c>
      <c r="AM1590" t="b">
        <v>1</v>
      </c>
      <c r="AN1590" t="b">
        <v>0</v>
      </c>
      <c r="AO1590">
        <v>99999</v>
      </c>
      <c r="AP1590" t="s">
        <v>64</v>
      </c>
      <c r="AR1590" t="b">
        <v>0</v>
      </c>
      <c r="AS1590">
        <v>12</v>
      </c>
      <c r="AT1590" t="s">
        <v>327</v>
      </c>
      <c r="AV1590" t="s">
        <v>691</v>
      </c>
    </row>
    <row r="1591" spans="1:48" x14ac:dyDescent="0.25">
      <c r="A1591" t="s">
        <v>3323</v>
      </c>
      <c r="B1591" t="s">
        <v>302</v>
      </c>
      <c r="C1591" t="s">
        <v>62</v>
      </c>
      <c r="D1591">
        <v>99999</v>
      </c>
      <c r="F1591" s="109">
        <v>4000</v>
      </c>
      <c r="G1591" t="b">
        <v>0</v>
      </c>
      <c r="H1591" t="s">
        <v>331</v>
      </c>
      <c r="K1591" t="s">
        <v>349</v>
      </c>
      <c r="L1591" t="s">
        <v>303</v>
      </c>
      <c r="M1591" t="s">
        <v>323</v>
      </c>
      <c r="N1591" t="s">
        <v>63</v>
      </c>
      <c r="O1591" s="110">
        <v>49.9</v>
      </c>
      <c r="R1591" s="110">
        <v>300.68999999999994</v>
      </c>
      <c r="S1591" s="110">
        <v>130</v>
      </c>
      <c r="T1591" s="110">
        <v>0</v>
      </c>
      <c r="U1591" s="110">
        <v>34.99</v>
      </c>
      <c r="X1591">
        <v>90.799999999999983</v>
      </c>
      <c r="Y1591">
        <v>44.9</v>
      </c>
      <c r="Z1591">
        <v>44.9</v>
      </c>
      <c r="AA1591">
        <v>0</v>
      </c>
      <c r="AB1591" t="s">
        <v>324</v>
      </c>
      <c r="AF1591" t="s">
        <v>2185</v>
      </c>
      <c r="AG1591" t="s">
        <v>2185</v>
      </c>
      <c r="AH1591" t="s">
        <v>325</v>
      </c>
      <c r="AI1591">
        <v>99999</v>
      </c>
      <c r="AJ1591">
        <v>99999</v>
      </c>
      <c r="AK1591">
        <v>699</v>
      </c>
      <c r="AL1591" t="b">
        <v>1</v>
      </c>
      <c r="AM1591" t="b">
        <v>1</v>
      </c>
      <c r="AN1591" t="b">
        <v>0</v>
      </c>
      <c r="AO1591">
        <v>99999</v>
      </c>
      <c r="AP1591" t="s">
        <v>64</v>
      </c>
      <c r="AR1591" t="b">
        <v>0</v>
      </c>
      <c r="AS1591">
        <v>12</v>
      </c>
      <c r="AT1591" t="s">
        <v>327</v>
      </c>
      <c r="AV1591" t="s">
        <v>2201</v>
      </c>
    </row>
    <row r="1592" spans="1:48" x14ac:dyDescent="0.25">
      <c r="A1592" t="s">
        <v>3323</v>
      </c>
      <c r="B1592" t="s">
        <v>302</v>
      </c>
      <c r="C1592" t="s">
        <v>62</v>
      </c>
      <c r="D1592">
        <v>99999</v>
      </c>
      <c r="F1592" s="109">
        <v>4000</v>
      </c>
      <c r="G1592" t="b">
        <v>0</v>
      </c>
      <c r="H1592" t="s">
        <v>331</v>
      </c>
      <c r="K1592" t="s">
        <v>349</v>
      </c>
      <c r="L1592" t="s">
        <v>303</v>
      </c>
      <c r="M1592" t="s">
        <v>323</v>
      </c>
      <c r="N1592" t="s">
        <v>63</v>
      </c>
      <c r="O1592" s="110">
        <v>49.9</v>
      </c>
      <c r="R1592" s="110">
        <v>314.99</v>
      </c>
      <c r="S1592" s="110">
        <v>130</v>
      </c>
      <c r="T1592" s="110">
        <v>0</v>
      </c>
      <c r="U1592" s="110">
        <v>42.99</v>
      </c>
      <c r="X1592">
        <v>97.1</v>
      </c>
      <c r="Y1592">
        <v>44.9</v>
      </c>
      <c r="Z1592">
        <v>44.9</v>
      </c>
      <c r="AA1592">
        <v>0</v>
      </c>
      <c r="AB1592" t="s">
        <v>324</v>
      </c>
      <c r="AF1592" t="s">
        <v>2259</v>
      </c>
      <c r="AG1592" t="s">
        <v>2259</v>
      </c>
      <c r="AH1592" t="s">
        <v>325</v>
      </c>
      <c r="AI1592">
        <v>99999</v>
      </c>
      <c r="AJ1592">
        <v>99999</v>
      </c>
      <c r="AK1592">
        <v>699</v>
      </c>
      <c r="AL1592" t="b">
        <v>1</v>
      </c>
      <c r="AM1592" t="b">
        <v>1</v>
      </c>
      <c r="AN1592" t="b">
        <v>0</v>
      </c>
      <c r="AO1592">
        <v>99999</v>
      </c>
      <c r="AP1592" t="s">
        <v>64</v>
      </c>
      <c r="AR1592" t="b">
        <v>0</v>
      </c>
      <c r="AS1592">
        <v>12</v>
      </c>
      <c r="AT1592" t="s">
        <v>327</v>
      </c>
      <c r="AV1592" t="s">
        <v>2275</v>
      </c>
    </row>
    <row r="1593" spans="1:48" x14ac:dyDescent="0.25">
      <c r="A1593" t="s">
        <v>3323</v>
      </c>
      <c r="B1593" t="s">
        <v>302</v>
      </c>
      <c r="C1593" t="s">
        <v>62</v>
      </c>
      <c r="D1593">
        <v>99999</v>
      </c>
      <c r="F1593" s="109">
        <v>4000</v>
      </c>
      <c r="G1593" t="b">
        <v>0</v>
      </c>
      <c r="H1593" t="s">
        <v>331</v>
      </c>
      <c r="K1593" t="s">
        <v>349</v>
      </c>
      <c r="L1593" t="s">
        <v>303</v>
      </c>
      <c r="M1593" t="s">
        <v>323</v>
      </c>
      <c r="N1593" t="s">
        <v>63</v>
      </c>
      <c r="O1593" s="110">
        <v>49.9</v>
      </c>
      <c r="R1593" s="110">
        <v>329.99</v>
      </c>
      <c r="S1593" s="110">
        <v>130</v>
      </c>
      <c r="T1593" s="110">
        <v>0</v>
      </c>
      <c r="U1593" s="110">
        <v>42.99</v>
      </c>
      <c r="X1593">
        <v>112.1</v>
      </c>
      <c r="Y1593">
        <v>44.9</v>
      </c>
      <c r="Z1593">
        <v>44.9</v>
      </c>
      <c r="AA1593">
        <v>0</v>
      </c>
      <c r="AB1593" t="s">
        <v>324</v>
      </c>
      <c r="AF1593" t="s">
        <v>2326</v>
      </c>
      <c r="AG1593" t="s">
        <v>2326</v>
      </c>
      <c r="AH1593" t="s">
        <v>325</v>
      </c>
      <c r="AI1593">
        <v>99999</v>
      </c>
      <c r="AJ1593">
        <v>99999</v>
      </c>
      <c r="AK1593">
        <v>699</v>
      </c>
      <c r="AL1593" t="b">
        <v>1</v>
      </c>
      <c r="AM1593" t="b">
        <v>1</v>
      </c>
      <c r="AN1593" t="b">
        <v>0</v>
      </c>
      <c r="AO1593">
        <v>99999</v>
      </c>
      <c r="AP1593" t="s">
        <v>64</v>
      </c>
      <c r="AR1593" t="b">
        <v>0</v>
      </c>
      <c r="AS1593">
        <v>12</v>
      </c>
      <c r="AT1593" t="s">
        <v>327</v>
      </c>
      <c r="AV1593" t="s">
        <v>2342</v>
      </c>
    </row>
    <row r="1594" spans="1:48" x14ac:dyDescent="0.25">
      <c r="A1594" t="s">
        <v>3323</v>
      </c>
      <c r="B1594" t="s">
        <v>302</v>
      </c>
      <c r="C1594" t="s">
        <v>62</v>
      </c>
      <c r="D1594">
        <v>99999</v>
      </c>
      <c r="F1594" s="109">
        <v>4000</v>
      </c>
      <c r="G1594" t="b">
        <v>0</v>
      </c>
      <c r="H1594" t="s">
        <v>331</v>
      </c>
      <c r="K1594" t="s">
        <v>349</v>
      </c>
      <c r="L1594" t="s">
        <v>303</v>
      </c>
      <c r="M1594" t="s">
        <v>323</v>
      </c>
      <c r="N1594" t="s">
        <v>63</v>
      </c>
      <c r="O1594" s="110">
        <v>49.9</v>
      </c>
      <c r="R1594" s="110">
        <v>324.99</v>
      </c>
      <c r="S1594" s="110">
        <v>130</v>
      </c>
      <c r="T1594" s="110">
        <v>0</v>
      </c>
      <c r="U1594" s="110">
        <v>42.99</v>
      </c>
      <c r="X1594">
        <v>107.1</v>
      </c>
      <c r="Y1594">
        <v>44.9</v>
      </c>
      <c r="Z1594">
        <v>44.9</v>
      </c>
      <c r="AA1594">
        <v>0</v>
      </c>
      <c r="AB1594" t="s">
        <v>324</v>
      </c>
      <c r="AF1594" t="s">
        <v>2393</v>
      </c>
      <c r="AG1594" t="s">
        <v>2393</v>
      </c>
      <c r="AH1594" t="s">
        <v>325</v>
      </c>
      <c r="AI1594">
        <v>99999</v>
      </c>
      <c r="AJ1594">
        <v>99999</v>
      </c>
      <c r="AK1594">
        <v>699</v>
      </c>
      <c r="AL1594" t="b">
        <v>1</v>
      </c>
      <c r="AM1594" t="b">
        <v>1</v>
      </c>
      <c r="AN1594" t="b">
        <v>0</v>
      </c>
      <c r="AO1594">
        <v>99999</v>
      </c>
      <c r="AP1594" t="s">
        <v>64</v>
      </c>
      <c r="AR1594" t="b">
        <v>0</v>
      </c>
      <c r="AS1594">
        <v>12</v>
      </c>
      <c r="AT1594" t="s">
        <v>327</v>
      </c>
      <c r="AV1594" t="s">
        <v>2409</v>
      </c>
    </row>
    <row r="1595" spans="1:48" x14ac:dyDescent="0.25">
      <c r="A1595" t="s">
        <v>3323</v>
      </c>
      <c r="B1595" t="s">
        <v>302</v>
      </c>
      <c r="C1595" t="s">
        <v>62</v>
      </c>
      <c r="D1595">
        <v>99999</v>
      </c>
      <c r="F1595" s="109">
        <v>4000</v>
      </c>
      <c r="G1595" t="b">
        <v>0</v>
      </c>
      <c r="H1595" t="s">
        <v>331</v>
      </c>
      <c r="K1595" t="s">
        <v>393</v>
      </c>
      <c r="L1595" t="s">
        <v>303</v>
      </c>
      <c r="M1595" t="s">
        <v>323</v>
      </c>
      <c r="N1595" t="s">
        <v>63</v>
      </c>
      <c r="O1595">
        <v>29.9</v>
      </c>
      <c r="R1595">
        <v>249.89000000000001</v>
      </c>
      <c r="S1595">
        <v>39.9</v>
      </c>
      <c r="T1595" s="110">
        <v>0</v>
      </c>
      <c r="U1595">
        <v>42.99</v>
      </c>
      <c r="X1595">
        <v>97.1</v>
      </c>
      <c r="Y1595">
        <v>69.900000000000006</v>
      </c>
      <c r="Z1595">
        <v>69.900000000000006</v>
      </c>
      <c r="AA1595">
        <v>0</v>
      </c>
      <c r="AB1595" t="s">
        <v>363</v>
      </c>
      <c r="AF1595" t="s">
        <v>365</v>
      </c>
      <c r="AG1595" t="s">
        <v>365</v>
      </c>
      <c r="AH1595" t="s">
        <v>325</v>
      </c>
      <c r="AI1595">
        <v>99999</v>
      </c>
      <c r="AJ1595">
        <v>99999</v>
      </c>
      <c r="AK1595">
        <v>699</v>
      </c>
      <c r="AL1595" t="b">
        <v>1</v>
      </c>
      <c r="AM1595" t="b">
        <v>1</v>
      </c>
      <c r="AN1595" t="b">
        <v>0</v>
      </c>
      <c r="AO1595">
        <v>99999</v>
      </c>
      <c r="AP1595" t="s">
        <v>64</v>
      </c>
      <c r="AR1595" t="b">
        <v>0</v>
      </c>
      <c r="AS1595">
        <v>12</v>
      </c>
      <c r="AT1595" t="s">
        <v>327</v>
      </c>
      <c r="AV1595" t="s">
        <v>396</v>
      </c>
    </row>
    <row r="1596" spans="1:48" x14ac:dyDescent="0.25">
      <c r="A1596" t="s">
        <v>3323</v>
      </c>
      <c r="B1596" t="s">
        <v>302</v>
      </c>
      <c r="C1596" t="s">
        <v>62</v>
      </c>
      <c r="D1596">
        <v>99999</v>
      </c>
      <c r="F1596" s="109">
        <v>4000</v>
      </c>
      <c r="G1596" t="b">
        <v>0</v>
      </c>
      <c r="H1596" t="s">
        <v>331</v>
      </c>
      <c r="K1596" t="s">
        <v>393</v>
      </c>
      <c r="L1596" t="s">
        <v>303</v>
      </c>
      <c r="M1596" t="s">
        <v>323</v>
      </c>
      <c r="N1596" t="s">
        <v>63</v>
      </c>
      <c r="O1596" s="110">
        <v>29.9</v>
      </c>
      <c r="R1596" s="110">
        <v>264.89</v>
      </c>
      <c r="S1596" s="110">
        <v>39.9</v>
      </c>
      <c r="T1596" s="110">
        <v>0</v>
      </c>
      <c r="U1596" s="110">
        <v>42.99</v>
      </c>
      <c r="X1596">
        <v>112.1</v>
      </c>
      <c r="Y1596">
        <v>69.900000000000006</v>
      </c>
      <c r="Z1596">
        <v>69.900000000000006</v>
      </c>
      <c r="AA1596">
        <v>0</v>
      </c>
      <c r="AB1596" t="s">
        <v>363</v>
      </c>
      <c r="AF1596" t="s">
        <v>501</v>
      </c>
      <c r="AG1596" t="s">
        <v>501</v>
      </c>
      <c r="AH1596" t="s">
        <v>325</v>
      </c>
      <c r="AI1596">
        <v>99999</v>
      </c>
      <c r="AJ1596">
        <v>99999</v>
      </c>
      <c r="AK1596">
        <v>699</v>
      </c>
      <c r="AL1596" t="b">
        <v>1</v>
      </c>
      <c r="AM1596" t="b">
        <v>1</v>
      </c>
      <c r="AN1596" t="b">
        <v>0</v>
      </c>
      <c r="AO1596">
        <v>99999</v>
      </c>
      <c r="AP1596" t="s">
        <v>64</v>
      </c>
      <c r="AR1596" t="b">
        <v>0</v>
      </c>
      <c r="AS1596">
        <v>12</v>
      </c>
      <c r="AT1596" t="s">
        <v>327</v>
      </c>
      <c r="AV1596" t="s">
        <v>530</v>
      </c>
    </row>
    <row r="1597" spans="1:48" x14ac:dyDescent="0.25">
      <c r="A1597" t="s">
        <v>3323</v>
      </c>
      <c r="B1597" t="s">
        <v>302</v>
      </c>
      <c r="C1597" t="s">
        <v>62</v>
      </c>
      <c r="D1597">
        <v>99999</v>
      </c>
      <c r="F1597" s="109">
        <v>4000</v>
      </c>
      <c r="G1597" t="b">
        <v>0</v>
      </c>
      <c r="H1597" t="s">
        <v>331</v>
      </c>
      <c r="K1597" t="s">
        <v>393</v>
      </c>
      <c r="L1597" t="s">
        <v>303</v>
      </c>
      <c r="M1597" t="s">
        <v>323</v>
      </c>
      <c r="N1597" t="s">
        <v>63</v>
      </c>
      <c r="O1597">
        <v>29.9</v>
      </c>
      <c r="R1597">
        <v>279.89</v>
      </c>
      <c r="S1597">
        <v>59.9</v>
      </c>
      <c r="T1597" s="110">
        <v>0</v>
      </c>
      <c r="U1597">
        <v>42.99</v>
      </c>
      <c r="X1597">
        <v>107.1</v>
      </c>
      <c r="Y1597">
        <v>69.900000000000006</v>
      </c>
      <c r="Z1597">
        <v>69.900000000000006</v>
      </c>
      <c r="AA1597">
        <v>0</v>
      </c>
      <c r="AB1597" t="s">
        <v>363</v>
      </c>
      <c r="AF1597" t="s">
        <v>635</v>
      </c>
      <c r="AG1597" t="s">
        <v>635</v>
      </c>
      <c r="AH1597" t="s">
        <v>325</v>
      </c>
      <c r="AI1597">
        <v>99999</v>
      </c>
      <c r="AJ1597">
        <v>99999</v>
      </c>
      <c r="AK1597">
        <v>699</v>
      </c>
      <c r="AL1597" t="b">
        <v>1</v>
      </c>
      <c r="AM1597" t="b">
        <v>1</v>
      </c>
      <c r="AN1597" t="b">
        <v>0</v>
      </c>
      <c r="AO1597">
        <v>99999</v>
      </c>
      <c r="AP1597" t="s">
        <v>64</v>
      </c>
      <c r="AR1597" t="b">
        <v>0</v>
      </c>
      <c r="AS1597">
        <v>12</v>
      </c>
      <c r="AT1597" t="s">
        <v>327</v>
      </c>
      <c r="AV1597" t="s">
        <v>664</v>
      </c>
    </row>
    <row r="1598" spans="1:48" x14ac:dyDescent="0.25">
      <c r="A1598" t="s">
        <v>3323</v>
      </c>
      <c r="B1598" t="s">
        <v>302</v>
      </c>
      <c r="C1598" t="s">
        <v>62</v>
      </c>
      <c r="D1598">
        <v>99999</v>
      </c>
      <c r="F1598" s="109">
        <v>4000</v>
      </c>
      <c r="G1598" t="b">
        <v>0</v>
      </c>
      <c r="H1598" t="s">
        <v>331</v>
      </c>
      <c r="K1598" t="s">
        <v>393</v>
      </c>
      <c r="L1598" t="s">
        <v>303</v>
      </c>
      <c r="M1598" t="s">
        <v>323</v>
      </c>
      <c r="N1598" t="s">
        <v>63</v>
      </c>
      <c r="O1598" s="110">
        <v>39.9</v>
      </c>
      <c r="R1598" s="110">
        <v>249.89000000000001</v>
      </c>
      <c r="S1598" s="110">
        <v>39.9</v>
      </c>
      <c r="T1598" s="110">
        <v>0</v>
      </c>
      <c r="U1598" s="110">
        <v>42.99</v>
      </c>
      <c r="X1598">
        <v>97.1</v>
      </c>
      <c r="Y1598">
        <v>69.900000000000006</v>
      </c>
      <c r="Z1598">
        <v>69.900000000000006</v>
      </c>
      <c r="AA1598">
        <v>0</v>
      </c>
      <c r="AB1598" t="s">
        <v>363</v>
      </c>
      <c r="AF1598" t="s">
        <v>434</v>
      </c>
      <c r="AG1598" t="s">
        <v>434</v>
      </c>
      <c r="AH1598" t="s">
        <v>325</v>
      </c>
      <c r="AI1598">
        <v>99999</v>
      </c>
      <c r="AJ1598">
        <v>99999</v>
      </c>
      <c r="AK1598">
        <v>699</v>
      </c>
      <c r="AL1598" t="b">
        <v>1</v>
      </c>
      <c r="AM1598" t="b">
        <v>1</v>
      </c>
      <c r="AN1598" t="b">
        <v>0</v>
      </c>
      <c r="AO1598">
        <v>99999</v>
      </c>
      <c r="AP1598" t="s">
        <v>64</v>
      </c>
      <c r="AR1598" t="b">
        <v>0</v>
      </c>
      <c r="AS1598">
        <v>12</v>
      </c>
      <c r="AT1598" t="s">
        <v>327</v>
      </c>
      <c r="AV1598" t="s">
        <v>463</v>
      </c>
    </row>
    <row r="1599" spans="1:48" x14ac:dyDescent="0.25">
      <c r="A1599" t="s">
        <v>3323</v>
      </c>
      <c r="B1599" t="s">
        <v>302</v>
      </c>
      <c r="C1599" t="s">
        <v>62</v>
      </c>
      <c r="D1599">
        <v>99999</v>
      </c>
      <c r="F1599" s="109">
        <v>4000</v>
      </c>
      <c r="G1599" t="b">
        <v>0</v>
      </c>
      <c r="H1599" t="s">
        <v>331</v>
      </c>
      <c r="K1599" t="s">
        <v>393</v>
      </c>
      <c r="L1599" t="s">
        <v>303</v>
      </c>
      <c r="M1599" t="s">
        <v>323</v>
      </c>
      <c r="N1599" t="s">
        <v>63</v>
      </c>
      <c r="O1599">
        <v>39.9</v>
      </c>
      <c r="R1599">
        <v>264.89</v>
      </c>
      <c r="S1599">
        <v>39.9</v>
      </c>
      <c r="T1599" s="110">
        <v>0</v>
      </c>
      <c r="U1599">
        <v>42.99</v>
      </c>
      <c r="X1599">
        <v>112.1</v>
      </c>
      <c r="Y1599">
        <v>69.900000000000006</v>
      </c>
      <c r="Z1599">
        <v>69.900000000000006</v>
      </c>
      <c r="AA1599">
        <v>0</v>
      </c>
      <c r="AB1599" t="s">
        <v>363</v>
      </c>
      <c r="AF1599" t="s">
        <v>568</v>
      </c>
      <c r="AG1599" t="s">
        <v>568</v>
      </c>
      <c r="AH1599" t="s">
        <v>325</v>
      </c>
      <c r="AI1599">
        <v>99999</v>
      </c>
      <c r="AJ1599">
        <v>99999</v>
      </c>
      <c r="AK1599">
        <v>699</v>
      </c>
      <c r="AL1599" t="b">
        <v>1</v>
      </c>
      <c r="AM1599" t="b">
        <v>1</v>
      </c>
      <c r="AN1599" t="b">
        <v>0</v>
      </c>
      <c r="AO1599">
        <v>99999</v>
      </c>
      <c r="AP1599" t="s">
        <v>64</v>
      </c>
      <c r="AR1599" t="b">
        <v>0</v>
      </c>
      <c r="AS1599">
        <v>12</v>
      </c>
      <c r="AT1599" t="s">
        <v>327</v>
      </c>
      <c r="AV1599" t="s">
        <v>597</v>
      </c>
    </row>
    <row r="1600" spans="1:48" x14ac:dyDescent="0.25">
      <c r="A1600" t="s">
        <v>3323</v>
      </c>
      <c r="B1600" t="s">
        <v>302</v>
      </c>
      <c r="C1600" t="s">
        <v>62</v>
      </c>
      <c r="D1600">
        <v>99999</v>
      </c>
      <c r="F1600" s="109">
        <v>4000</v>
      </c>
      <c r="G1600" t="b">
        <v>0</v>
      </c>
      <c r="H1600" t="s">
        <v>331</v>
      </c>
      <c r="K1600" t="s">
        <v>393</v>
      </c>
      <c r="L1600" t="s">
        <v>303</v>
      </c>
      <c r="M1600" t="s">
        <v>323</v>
      </c>
      <c r="N1600" t="s">
        <v>63</v>
      </c>
      <c r="O1600">
        <v>39.9</v>
      </c>
      <c r="R1600">
        <v>279.89</v>
      </c>
      <c r="S1600">
        <v>59.9</v>
      </c>
      <c r="T1600" s="110">
        <v>0</v>
      </c>
      <c r="U1600">
        <v>42.99</v>
      </c>
      <c r="X1600">
        <v>107.1</v>
      </c>
      <c r="Y1600">
        <v>69.900000000000006</v>
      </c>
      <c r="Z1600">
        <v>69.900000000000006</v>
      </c>
      <c r="AA1600">
        <v>0</v>
      </c>
      <c r="AB1600" t="s">
        <v>363</v>
      </c>
      <c r="AF1600" t="s">
        <v>702</v>
      </c>
      <c r="AG1600" t="s">
        <v>702</v>
      </c>
      <c r="AH1600" t="s">
        <v>325</v>
      </c>
      <c r="AI1600">
        <v>99999</v>
      </c>
      <c r="AJ1600">
        <v>99999</v>
      </c>
      <c r="AK1600">
        <v>699</v>
      </c>
      <c r="AL1600" t="b">
        <v>1</v>
      </c>
      <c r="AM1600" t="b">
        <v>1</v>
      </c>
      <c r="AN1600" t="b">
        <v>0</v>
      </c>
      <c r="AO1600">
        <v>99999</v>
      </c>
      <c r="AP1600" t="s">
        <v>64</v>
      </c>
      <c r="AR1600" t="b">
        <v>0</v>
      </c>
      <c r="AS1600">
        <v>12</v>
      </c>
      <c r="AT1600" t="s">
        <v>327</v>
      </c>
      <c r="AV1600" t="s">
        <v>731</v>
      </c>
    </row>
    <row r="1601" spans="1:48" x14ac:dyDescent="0.25">
      <c r="A1601" t="s">
        <v>3323</v>
      </c>
      <c r="B1601" t="s">
        <v>302</v>
      </c>
      <c r="C1601" t="s">
        <v>62</v>
      </c>
      <c r="D1601">
        <v>99999</v>
      </c>
      <c r="F1601" s="109">
        <v>4000</v>
      </c>
      <c r="G1601" t="b">
        <v>0</v>
      </c>
      <c r="H1601" t="s">
        <v>331</v>
      </c>
      <c r="K1601" t="s">
        <v>393</v>
      </c>
      <c r="L1601" t="s">
        <v>303</v>
      </c>
      <c r="M1601" t="s">
        <v>323</v>
      </c>
      <c r="N1601" t="s">
        <v>63</v>
      </c>
      <c r="O1601" s="110">
        <v>49.9</v>
      </c>
      <c r="R1601" s="110">
        <v>325.69</v>
      </c>
      <c r="S1601" s="110">
        <v>130</v>
      </c>
      <c r="T1601" s="110">
        <v>0</v>
      </c>
      <c r="U1601" s="110">
        <v>34.99</v>
      </c>
      <c r="X1601">
        <v>90.799999999999983</v>
      </c>
      <c r="Y1601">
        <v>69.900000000000006</v>
      </c>
      <c r="Z1601">
        <v>69.900000000000006</v>
      </c>
      <c r="AA1601">
        <v>0</v>
      </c>
      <c r="AB1601" t="s">
        <v>363</v>
      </c>
      <c r="AF1601" t="s">
        <v>2212</v>
      </c>
      <c r="AG1601" t="s">
        <v>2212</v>
      </c>
      <c r="AH1601" t="s">
        <v>325</v>
      </c>
      <c r="AI1601">
        <v>99999</v>
      </c>
      <c r="AJ1601">
        <v>99999</v>
      </c>
      <c r="AK1601">
        <v>699</v>
      </c>
      <c r="AL1601" t="b">
        <v>1</v>
      </c>
      <c r="AM1601" t="b">
        <v>1</v>
      </c>
      <c r="AN1601" t="b">
        <v>0</v>
      </c>
      <c r="AO1601">
        <v>99999</v>
      </c>
      <c r="AP1601" t="s">
        <v>64</v>
      </c>
      <c r="AR1601" t="b">
        <v>0</v>
      </c>
      <c r="AS1601">
        <v>12</v>
      </c>
      <c r="AT1601" t="s">
        <v>327</v>
      </c>
      <c r="AV1601" t="s">
        <v>2241</v>
      </c>
    </row>
    <row r="1602" spans="1:48" x14ac:dyDescent="0.25">
      <c r="A1602" t="s">
        <v>3323</v>
      </c>
      <c r="B1602" t="s">
        <v>302</v>
      </c>
      <c r="C1602" t="s">
        <v>62</v>
      </c>
      <c r="D1602">
        <v>99999</v>
      </c>
      <c r="F1602" s="109">
        <v>4000</v>
      </c>
      <c r="G1602" t="b">
        <v>0</v>
      </c>
      <c r="H1602" t="s">
        <v>331</v>
      </c>
      <c r="K1602" t="s">
        <v>393</v>
      </c>
      <c r="L1602" t="s">
        <v>303</v>
      </c>
      <c r="M1602" t="s">
        <v>323</v>
      </c>
      <c r="N1602" t="s">
        <v>63</v>
      </c>
      <c r="O1602" s="110">
        <v>49.9</v>
      </c>
      <c r="R1602" s="110">
        <v>339.99</v>
      </c>
      <c r="S1602" s="110">
        <v>130</v>
      </c>
      <c r="T1602" s="110">
        <v>0</v>
      </c>
      <c r="U1602" s="110">
        <v>42.99</v>
      </c>
      <c r="X1602">
        <v>97.1</v>
      </c>
      <c r="Y1602">
        <v>69.900000000000006</v>
      </c>
      <c r="Z1602">
        <v>69.900000000000006</v>
      </c>
      <c r="AA1602">
        <v>0</v>
      </c>
      <c r="AB1602" t="s">
        <v>363</v>
      </c>
      <c r="AF1602" t="s">
        <v>2286</v>
      </c>
      <c r="AG1602" t="s">
        <v>2286</v>
      </c>
      <c r="AH1602" t="s">
        <v>325</v>
      </c>
      <c r="AI1602">
        <v>99999</v>
      </c>
      <c r="AJ1602">
        <v>99999</v>
      </c>
      <c r="AK1602">
        <v>699</v>
      </c>
      <c r="AL1602" t="b">
        <v>1</v>
      </c>
      <c r="AM1602" t="b">
        <v>1</v>
      </c>
      <c r="AN1602" t="b">
        <v>0</v>
      </c>
      <c r="AO1602">
        <v>99999</v>
      </c>
      <c r="AP1602" t="s">
        <v>64</v>
      </c>
      <c r="AR1602" t="b">
        <v>0</v>
      </c>
      <c r="AS1602">
        <v>12</v>
      </c>
      <c r="AT1602" t="s">
        <v>327</v>
      </c>
      <c r="AV1602" t="s">
        <v>2315</v>
      </c>
    </row>
    <row r="1603" spans="1:48" x14ac:dyDescent="0.25">
      <c r="A1603" t="s">
        <v>3323</v>
      </c>
      <c r="B1603" t="s">
        <v>302</v>
      </c>
      <c r="C1603" t="s">
        <v>62</v>
      </c>
      <c r="D1603">
        <v>99999</v>
      </c>
      <c r="F1603" s="109">
        <v>4000</v>
      </c>
      <c r="G1603" t="b">
        <v>0</v>
      </c>
      <c r="H1603" t="s">
        <v>331</v>
      </c>
      <c r="K1603" t="s">
        <v>393</v>
      </c>
      <c r="L1603" t="s">
        <v>303</v>
      </c>
      <c r="M1603" t="s">
        <v>323</v>
      </c>
      <c r="N1603" t="s">
        <v>63</v>
      </c>
      <c r="O1603" s="110">
        <v>49.9</v>
      </c>
      <c r="R1603" s="110">
        <v>354.99</v>
      </c>
      <c r="S1603" s="110">
        <v>130</v>
      </c>
      <c r="T1603" s="110">
        <v>0</v>
      </c>
      <c r="U1603" s="110">
        <v>42.99</v>
      </c>
      <c r="X1603">
        <v>112.1</v>
      </c>
      <c r="Y1603">
        <v>69.900000000000006</v>
      </c>
      <c r="Z1603">
        <v>69.900000000000006</v>
      </c>
      <c r="AA1603">
        <v>0</v>
      </c>
      <c r="AB1603" t="s">
        <v>363</v>
      </c>
      <c r="AF1603" t="s">
        <v>2353</v>
      </c>
      <c r="AG1603" t="s">
        <v>2353</v>
      </c>
      <c r="AH1603" t="s">
        <v>325</v>
      </c>
      <c r="AI1603">
        <v>99999</v>
      </c>
      <c r="AJ1603">
        <v>99999</v>
      </c>
      <c r="AK1603">
        <v>699</v>
      </c>
      <c r="AL1603" t="b">
        <v>1</v>
      </c>
      <c r="AM1603" t="b">
        <v>1</v>
      </c>
      <c r="AN1603" t="b">
        <v>0</v>
      </c>
      <c r="AO1603">
        <v>99999</v>
      </c>
      <c r="AP1603" t="s">
        <v>64</v>
      </c>
      <c r="AR1603" t="b">
        <v>0</v>
      </c>
      <c r="AS1603">
        <v>12</v>
      </c>
      <c r="AT1603" t="s">
        <v>327</v>
      </c>
      <c r="AV1603" t="s">
        <v>2382</v>
      </c>
    </row>
    <row r="1604" spans="1:48" x14ac:dyDescent="0.25">
      <c r="A1604" t="s">
        <v>3323</v>
      </c>
      <c r="B1604" t="s">
        <v>302</v>
      </c>
      <c r="C1604" t="s">
        <v>62</v>
      </c>
      <c r="D1604">
        <v>99999</v>
      </c>
      <c r="F1604" s="109">
        <v>4000</v>
      </c>
      <c r="G1604" t="b">
        <v>0</v>
      </c>
      <c r="H1604" t="s">
        <v>331</v>
      </c>
      <c r="K1604" t="s">
        <v>393</v>
      </c>
      <c r="L1604" t="s">
        <v>303</v>
      </c>
      <c r="M1604" t="s">
        <v>323</v>
      </c>
      <c r="N1604" t="s">
        <v>63</v>
      </c>
      <c r="O1604" s="110">
        <v>49.9</v>
      </c>
      <c r="R1604" s="110">
        <v>349.99</v>
      </c>
      <c r="S1604" s="110">
        <v>130</v>
      </c>
      <c r="T1604" s="110">
        <v>0</v>
      </c>
      <c r="U1604" s="110">
        <v>42.99</v>
      </c>
      <c r="X1604">
        <v>107.1</v>
      </c>
      <c r="Y1604">
        <v>69.900000000000006</v>
      </c>
      <c r="Z1604">
        <v>69.900000000000006</v>
      </c>
      <c r="AA1604">
        <v>0</v>
      </c>
      <c r="AB1604" t="s">
        <v>363</v>
      </c>
      <c r="AF1604" t="s">
        <v>2420</v>
      </c>
      <c r="AG1604" t="s">
        <v>2420</v>
      </c>
      <c r="AH1604" t="s">
        <v>325</v>
      </c>
      <c r="AI1604">
        <v>99999</v>
      </c>
      <c r="AJ1604">
        <v>99999</v>
      </c>
      <c r="AK1604">
        <v>699</v>
      </c>
      <c r="AL1604" t="b">
        <v>1</v>
      </c>
      <c r="AM1604" t="b">
        <v>1</v>
      </c>
      <c r="AN1604" t="b">
        <v>0</v>
      </c>
      <c r="AO1604">
        <v>99999</v>
      </c>
      <c r="AP1604" t="s">
        <v>64</v>
      </c>
      <c r="AR1604" t="b">
        <v>0</v>
      </c>
      <c r="AS1604">
        <v>12</v>
      </c>
      <c r="AT1604" t="s">
        <v>327</v>
      </c>
      <c r="AV1604" t="s">
        <v>2449</v>
      </c>
    </row>
    <row r="1605" spans="1:48" x14ac:dyDescent="0.25">
      <c r="A1605" t="s">
        <v>3323</v>
      </c>
      <c r="B1605" t="s">
        <v>302</v>
      </c>
      <c r="C1605" t="s">
        <v>62</v>
      </c>
      <c r="D1605">
        <v>99999</v>
      </c>
      <c r="F1605" s="109">
        <v>4000</v>
      </c>
      <c r="G1605" t="b">
        <v>0</v>
      </c>
      <c r="H1605" t="s">
        <v>331</v>
      </c>
      <c r="K1605" t="s">
        <v>364</v>
      </c>
      <c r="L1605" t="s">
        <v>303</v>
      </c>
      <c r="M1605" t="s">
        <v>323</v>
      </c>
      <c r="N1605" t="s">
        <v>63</v>
      </c>
      <c r="O1605">
        <v>29.9</v>
      </c>
      <c r="R1605">
        <v>229.89</v>
      </c>
      <c r="S1605">
        <v>39.9</v>
      </c>
      <c r="T1605" s="110">
        <v>0</v>
      </c>
      <c r="U1605">
        <v>42.99</v>
      </c>
      <c r="X1605">
        <v>97.1</v>
      </c>
      <c r="Y1605">
        <v>49.9</v>
      </c>
      <c r="Z1605">
        <v>49.9</v>
      </c>
      <c r="AA1605">
        <v>0</v>
      </c>
      <c r="AB1605" t="s">
        <v>363</v>
      </c>
      <c r="AF1605" t="s">
        <v>365</v>
      </c>
      <c r="AG1605" t="s">
        <v>365</v>
      </c>
      <c r="AH1605" t="s">
        <v>325</v>
      </c>
      <c r="AI1605">
        <v>99999</v>
      </c>
      <c r="AJ1605">
        <v>99999</v>
      </c>
      <c r="AK1605">
        <v>699</v>
      </c>
      <c r="AL1605" t="b">
        <v>1</v>
      </c>
      <c r="AM1605" t="b">
        <v>1</v>
      </c>
      <c r="AN1605" t="b">
        <v>0</v>
      </c>
      <c r="AO1605">
        <v>99999</v>
      </c>
      <c r="AP1605" t="s">
        <v>64</v>
      </c>
      <c r="AR1605" t="b">
        <v>0</v>
      </c>
      <c r="AS1605">
        <v>12</v>
      </c>
      <c r="AT1605" t="s">
        <v>327</v>
      </c>
      <c r="AV1605" t="s">
        <v>368</v>
      </c>
    </row>
    <row r="1606" spans="1:48" x14ac:dyDescent="0.25">
      <c r="A1606" t="s">
        <v>3323</v>
      </c>
      <c r="B1606" t="s">
        <v>302</v>
      </c>
      <c r="C1606" t="s">
        <v>62</v>
      </c>
      <c r="D1606">
        <v>99999</v>
      </c>
      <c r="F1606" s="109">
        <v>4000</v>
      </c>
      <c r="G1606" t="b">
        <v>0</v>
      </c>
      <c r="H1606" t="s">
        <v>331</v>
      </c>
      <c r="K1606" t="s">
        <v>364</v>
      </c>
      <c r="L1606" t="s">
        <v>303</v>
      </c>
      <c r="M1606" t="s">
        <v>323</v>
      </c>
      <c r="N1606" t="s">
        <v>63</v>
      </c>
      <c r="O1606">
        <v>29.9</v>
      </c>
      <c r="R1606">
        <v>244.89</v>
      </c>
      <c r="S1606">
        <v>39.9</v>
      </c>
      <c r="T1606" s="110">
        <v>0</v>
      </c>
      <c r="U1606">
        <v>42.99</v>
      </c>
      <c r="X1606">
        <v>112.1</v>
      </c>
      <c r="Y1606">
        <v>49.9</v>
      </c>
      <c r="Z1606">
        <v>49.9</v>
      </c>
      <c r="AA1606">
        <v>0</v>
      </c>
      <c r="AB1606" t="s">
        <v>363</v>
      </c>
      <c r="AF1606" t="s">
        <v>501</v>
      </c>
      <c r="AG1606" t="s">
        <v>501</v>
      </c>
      <c r="AH1606" t="s">
        <v>325</v>
      </c>
      <c r="AI1606">
        <v>99999</v>
      </c>
      <c r="AJ1606">
        <v>99999</v>
      </c>
      <c r="AK1606">
        <v>699</v>
      </c>
      <c r="AL1606" t="b">
        <v>1</v>
      </c>
      <c r="AM1606" t="b">
        <v>1</v>
      </c>
      <c r="AN1606" t="b">
        <v>0</v>
      </c>
      <c r="AO1606">
        <v>99999</v>
      </c>
      <c r="AP1606" t="s">
        <v>64</v>
      </c>
      <c r="AR1606" t="b">
        <v>0</v>
      </c>
      <c r="AS1606">
        <v>12</v>
      </c>
      <c r="AT1606" t="s">
        <v>327</v>
      </c>
      <c r="AV1606" t="s">
        <v>504</v>
      </c>
    </row>
    <row r="1607" spans="1:48" x14ac:dyDescent="0.25">
      <c r="A1607" t="s">
        <v>3323</v>
      </c>
      <c r="B1607" t="s">
        <v>302</v>
      </c>
      <c r="C1607" t="s">
        <v>62</v>
      </c>
      <c r="D1607">
        <v>99999</v>
      </c>
      <c r="F1607" s="109">
        <v>4000</v>
      </c>
      <c r="G1607" t="b">
        <v>0</v>
      </c>
      <c r="H1607" t="s">
        <v>331</v>
      </c>
      <c r="K1607" t="s">
        <v>364</v>
      </c>
      <c r="L1607" t="s">
        <v>303</v>
      </c>
      <c r="M1607" t="s">
        <v>323</v>
      </c>
      <c r="N1607" t="s">
        <v>63</v>
      </c>
      <c r="O1607">
        <v>29.9</v>
      </c>
      <c r="R1607">
        <v>259.89</v>
      </c>
      <c r="S1607">
        <v>59.9</v>
      </c>
      <c r="T1607" s="110">
        <v>0</v>
      </c>
      <c r="U1607">
        <v>42.99</v>
      </c>
      <c r="X1607">
        <v>107.1</v>
      </c>
      <c r="Y1607">
        <v>49.9</v>
      </c>
      <c r="Z1607">
        <v>49.9</v>
      </c>
      <c r="AA1607">
        <v>0</v>
      </c>
      <c r="AB1607" t="s">
        <v>363</v>
      </c>
      <c r="AF1607" t="s">
        <v>635</v>
      </c>
      <c r="AG1607" t="s">
        <v>635</v>
      </c>
      <c r="AH1607" t="s">
        <v>325</v>
      </c>
      <c r="AI1607">
        <v>99999</v>
      </c>
      <c r="AJ1607">
        <v>99999</v>
      </c>
      <c r="AK1607">
        <v>699</v>
      </c>
      <c r="AL1607" t="b">
        <v>1</v>
      </c>
      <c r="AM1607" t="b">
        <v>1</v>
      </c>
      <c r="AN1607" t="b">
        <v>0</v>
      </c>
      <c r="AO1607">
        <v>99999</v>
      </c>
      <c r="AP1607" t="s">
        <v>64</v>
      </c>
      <c r="AR1607" t="b">
        <v>0</v>
      </c>
      <c r="AS1607">
        <v>12</v>
      </c>
      <c r="AT1607" t="s">
        <v>327</v>
      </c>
      <c r="AV1607" t="s">
        <v>638</v>
      </c>
    </row>
    <row r="1608" spans="1:48" x14ac:dyDescent="0.25">
      <c r="A1608" t="s">
        <v>3323</v>
      </c>
      <c r="B1608" t="s">
        <v>302</v>
      </c>
      <c r="C1608" t="s">
        <v>62</v>
      </c>
      <c r="D1608">
        <v>99999</v>
      </c>
      <c r="F1608" s="109">
        <v>4000</v>
      </c>
      <c r="G1608" t="b">
        <v>0</v>
      </c>
      <c r="H1608" t="s">
        <v>331</v>
      </c>
      <c r="K1608" t="s">
        <v>364</v>
      </c>
      <c r="L1608" t="s">
        <v>303</v>
      </c>
      <c r="M1608" t="s">
        <v>323</v>
      </c>
      <c r="N1608" t="s">
        <v>63</v>
      </c>
      <c r="O1608" s="110">
        <v>39.9</v>
      </c>
      <c r="R1608" s="110">
        <v>229.89</v>
      </c>
      <c r="S1608" s="110">
        <v>39.9</v>
      </c>
      <c r="T1608" s="110">
        <v>0</v>
      </c>
      <c r="U1608" s="110">
        <v>42.99</v>
      </c>
      <c r="X1608">
        <v>97.1</v>
      </c>
      <c r="Y1608">
        <v>49.9</v>
      </c>
      <c r="Z1608">
        <v>49.9</v>
      </c>
      <c r="AA1608">
        <v>0</v>
      </c>
      <c r="AB1608" t="s">
        <v>363</v>
      </c>
      <c r="AF1608" t="s">
        <v>434</v>
      </c>
      <c r="AG1608" t="s">
        <v>434</v>
      </c>
      <c r="AH1608" t="s">
        <v>325</v>
      </c>
      <c r="AI1608">
        <v>99999</v>
      </c>
      <c r="AJ1608">
        <v>99999</v>
      </c>
      <c r="AK1608">
        <v>699</v>
      </c>
      <c r="AL1608" t="b">
        <v>1</v>
      </c>
      <c r="AM1608" t="b">
        <v>1</v>
      </c>
      <c r="AN1608" t="b">
        <v>0</v>
      </c>
      <c r="AO1608">
        <v>99999</v>
      </c>
      <c r="AP1608" t="s">
        <v>64</v>
      </c>
      <c r="AR1608" t="b">
        <v>0</v>
      </c>
      <c r="AS1608">
        <v>12</v>
      </c>
      <c r="AT1608" t="s">
        <v>327</v>
      </c>
      <c r="AV1608" t="s">
        <v>437</v>
      </c>
    </row>
    <row r="1609" spans="1:48" x14ac:dyDescent="0.25">
      <c r="A1609" t="s">
        <v>3323</v>
      </c>
      <c r="B1609" t="s">
        <v>302</v>
      </c>
      <c r="C1609" t="s">
        <v>62</v>
      </c>
      <c r="D1609">
        <v>99999</v>
      </c>
      <c r="F1609" s="109">
        <v>4000</v>
      </c>
      <c r="G1609" t="b">
        <v>0</v>
      </c>
      <c r="H1609" t="s">
        <v>331</v>
      </c>
      <c r="K1609" t="s">
        <v>364</v>
      </c>
      <c r="L1609" t="s">
        <v>303</v>
      </c>
      <c r="M1609" t="s">
        <v>323</v>
      </c>
      <c r="N1609" t="s">
        <v>63</v>
      </c>
      <c r="O1609">
        <v>39.9</v>
      </c>
      <c r="R1609">
        <v>244.89</v>
      </c>
      <c r="S1609">
        <v>39.9</v>
      </c>
      <c r="T1609" s="110">
        <v>0</v>
      </c>
      <c r="U1609">
        <v>42.99</v>
      </c>
      <c r="X1609">
        <v>112.1</v>
      </c>
      <c r="Y1609">
        <v>49.9</v>
      </c>
      <c r="Z1609">
        <v>49.9</v>
      </c>
      <c r="AA1609">
        <v>0</v>
      </c>
      <c r="AB1609" t="s">
        <v>363</v>
      </c>
      <c r="AF1609" t="s">
        <v>568</v>
      </c>
      <c r="AG1609" t="s">
        <v>568</v>
      </c>
      <c r="AH1609" t="s">
        <v>325</v>
      </c>
      <c r="AI1609">
        <v>99999</v>
      </c>
      <c r="AJ1609">
        <v>99999</v>
      </c>
      <c r="AK1609">
        <v>699</v>
      </c>
      <c r="AL1609" t="b">
        <v>1</v>
      </c>
      <c r="AM1609" t="b">
        <v>1</v>
      </c>
      <c r="AN1609" t="b">
        <v>0</v>
      </c>
      <c r="AO1609">
        <v>99999</v>
      </c>
      <c r="AP1609" t="s">
        <v>64</v>
      </c>
      <c r="AR1609" t="b">
        <v>0</v>
      </c>
      <c r="AS1609">
        <v>12</v>
      </c>
      <c r="AT1609" t="s">
        <v>327</v>
      </c>
      <c r="AV1609" t="s">
        <v>571</v>
      </c>
    </row>
    <row r="1610" spans="1:48" x14ac:dyDescent="0.25">
      <c r="A1610" t="s">
        <v>3323</v>
      </c>
      <c r="B1610" t="s">
        <v>302</v>
      </c>
      <c r="C1610" t="s">
        <v>62</v>
      </c>
      <c r="D1610">
        <v>99999</v>
      </c>
      <c r="F1610" s="109">
        <v>4000</v>
      </c>
      <c r="G1610" t="b">
        <v>0</v>
      </c>
      <c r="H1610" t="s">
        <v>331</v>
      </c>
      <c r="K1610" t="s">
        <v>364</v>
      </c>
      <c r="L1610" t="s">
        <v>303</v>
      </c>
      <c r="M1610" t="s">
        <v>323</v>
      </c>
      <c r="N1610" t="s">
        <v>63</v>
      </c>
      <c r="O1610">
        <v>39.9</v>
      </c>
      <c r="R1610">
        <v>259.89</v>
      </c>
      <c r="S1610">
        <v>59.9</v>
      </c>
      <c r="T1610" s="110">
        <v>0</v>
      </c>
      <c r="U1610">
        <v>42.99</v>
      </c>
      <c r="X1610">
        <v>107.1</v>
      </c>
      <c r="Y1610">
        <v>49.9</v>
      </c>
      <c r="Z1610">
        <v>49.9</v>
      </c>
      <c r="AA1610">
        <v>0</v>
      </c>
      <c r="AB1610" t="s">
        <v>363</v>
      </c>
      <c r="AF1610" t="s">
        <v>702</v>
      </c>
      <c r="AG1610" t="s">
        <v>702</v>
      </c>
      <c r="AH1610" t="s">
        <v>325</v>
      </c>
      <c r="AI1610">
        <v>99999</v>
      </c>
      <c r="AJ1610">
        <v>99999</v>
      </c>
      <c r="AK1610">
        <v>699</v>
      </c>
      <c r="AL1610" t="b">
        <v>1</v>
      </c>
      <c r="AM1610" t="b">
        <v>1</v>
      </c>
      <c r="AN1610" t="b">
        <v>0</v>
      </c>
      <c r="AO1610">
        <v>99999</v>
      </c>
      <c r="AP1610" t="s">
        <v>64</v>
      </c>
      <c r="AR1610" t="b">
        <v>0</v>
      </c>
      <c r="AS1610">
        <v>12</v>
      </c>
      <c r="AT1610" t="s">
        <v>327</v>
      </c>
      <c r="AV1610" t="s">
        <v>705</v>
      </c>
    </row>
    <row r="1611" spans="1:48" x14ac:dyDescent="0.25">
      <c r="A1611" t="s">
        <v>3323</v>
      </c>
      <c r="B1611" t="s">
        <v>302</v>
      </c>
      <c r="C1611" t="s">
        <v>62</v>
      </c>
      <c r="D1611">
        <v>99999</v>
      </c>
      <c r="F1611" s="109">
        <v>4000</v>
      </c>
      <c r="G1611" t="b">
        <v>0</v>
      </c>
      <c r="H1611" t="s">
        <v>331</v>
      </c>
      <c r="K1611" t="s">
        <v>364</v>
      </c>
      <c r="L1611" t="s">
        <v>303</v>
      </c>
      <c r="M1611" t="s">
        <v>323</v>
      </c>
      <c r="N1611" t="s">
        <v>63</v>
      </c>
      <c r="O1611" s="110">
        <v>49.9</v>
      </c>
      <c r="R1611" s="110">
        <v>305.68999999999994</v>
      </c>
      <c r="S1611" s="110">
        <v>130</v>
      </c>
      <c r="T1611" s="110">
        <v>0</v>
      </c>
      <c r="U1611" s="110">
        <v>34.99</v>
      </c>
      <c r="X1611">
        <v>90.799999999999983</v>
      </c>
      <c r="Y1611">
        <v>49.9</v>
      </c>
      <c r="Z1611">
        <v>49.9</v>
      </c>
      <c r="AA1611">
        <v>0</v>
      </c>
      <c r="AB1611" t="s">
        <v>363</v>
      </c>
      <c r="AF1611" t="s">
        <v>2212</v>
      </c>
      <c r="AG1611" t="s">
        <v>2212</v>
      </c>
      <c r="AH1611" t="s">
        <v>325</v>
      </c>
      <c r="AI1611">
        <v>99999</v>
      </c>
      <c r="AJ1611">
        <v>99999</v>
      </c>
      <c r="AK1611">
        <v>699</v>
      </c>
      <c r="AL1611" t="b">
        <v>1</v>
      </c>
      <c r="AM1611" t="b">
        <v>1</v>
      </c>
      <c r="AN1611" t="b">
        <v>0</v>
      </c>
      <c r="AO1611">
        <v>99999</v>
      </c>
      <c r="AP1611" t="s">
        <v>64</v>
      </c>
      <c r="AR1611" t="b">
        <v>0</v>
      </c>
      <c r="AS1611">
        <v>12</v>
      </c>
      <c r="AT1611" t="s">
        <v>327</v>
      </c>
      <c r="AV1611" t="s">
        <v>2215</v>
      </c>
    </row>
    <row r="1612" spans="1:48" x14ac:dyDescent="0.25">
      <c r="A1612" t="s">
        <v>3323</v>
      </c>
      <c r="B1612" t="s">
        <v>302</v>
      </c>
      <c r="C1612" t="s">
        <v>62</v>
      </c>
      <c r="D1612">
        <v>99999</v>
      </c>
      <c r="F1612" s="109">
        <v>4000</v>
      </c>
      <c r="G1612" t="b">
        <v>0</v>
      </c>
      <c r="H1612" t="s">
        <v>331</v>
      </c>
      <c r="K1612" t="s">
        <v>364</v>
      </c>
      <c r="L1612" t="s">
        <v>303</v>
      </c>
      <c r="M1612" t="s">
        <v>323</v>
      </c>
      <c r="N1612" t="s">
        <v>63</v>
      </c>
      <c r="O1612" s="110">
        <v>49.9</v>
      </c>
      <c r="R1612" s="110">
        <v>319.99</v>
      </c>
      <c r="S1612" s="110">
        <v>130</v>
      </c>
      <c r="T1612" s="110">
        <v>0</v>
      </c>
      <c r="U1612" s="110">
        <v>42.99</v>
      </c>
      <c r="X1612">
        <v>97.1</v>
      </c>
      <c r="Y1612">
        <v>49.9</v>
      </c>
      <c r="Z1612">
        <v>49.9</v>
      </c>
      <c r="AA1612">
        <v>0</v>
      </c>
      <c r="AB1612" t="s">
        <v>363</v>
      </c>
      <c r="AF1612" t="s">
        <v>2286</v>
      </c>
      <c r="AG1612" t="s">
        <v>2286</v>
      </c>
      <c r="AH1612" t="s">
        <v>325</v>
      </c>
      <c r="AI1612">
        <v>99999</v>
      </c>
      <c r="AJ1612">
        <v>99999</v>
      </c>
      <c r="AK1612">
        <v>699</v>
      </c>
      <c r="AL1612" t="b">
        <v>1</v>
      </c>
      <c r="AM1612" t="b">
        <v>1</v>
      </c>
      <c r="AN1612" t="b">
        <v>0</v>
      </c>
      <c r="AO1612">
        <v>99999</v>
      </c>
      <c r="AP1612" t="s">
        <v>64</v>
      </c>
      <c r="AR1612" t="b">
        <v>0</v>
      </c>
      <c r="AS1612">
        <v>12</v>
      </c>
      <c r="AT1612" t="s">
        <v>327</v>
      </c>
      <c r="AV1612" t="s">
        <v>2289</v>
      </c>
    </row>
    <row r="1613" spans="1:48" x14ac:dyDescent="0.25">
      <c r="A1613" t="s">
        <v>3323</v>
      </c>
      <c r="B1613" t="s">
        <v>302</v>
      </c>
      <c r="C1613" t="s">
        <v>62</v>
      </c>
      <c r="D1613">
        <v>99999</v>
      </c>
      <c r="F1613" s="109">
        <v>4000</v>
      </c>
      <c r="G1613" t="b">
        <v>0</v>
      </c>
      <c r="H1613" t="s">
        <v>331</v>
      </c>
      <c r="K1613" t="s">
        <v>364</v>
      </c>
      <c r="L1613" t="s">
        <v>303</v>
      </c>
      <c r="M1613" t="s">
        <v>323</v>
      </c>
      <c r="N1613" t="s">
        <v>63</v>
      </c>
      <c r="O1613" s="110">
        <v>49.9</v>
      </c>
      <c r="R1613" s="110">
        <v>334.99</v>
      </c>
      <c r="S1613" s="110">
        <v>130</v>
      </c>
      <c r="T1613" s="110">
        <v>0</v>
      </c>
      <c r="U1613" s="110">
        <v>42.99</v>
      </c>
      <c r="X1613">
        <v>112.1</v>
      </c>
      <c r="Y1613">
        <v>49.9</v>
      </c>
      <c r="Z1613">
        <v>49.9</v>
      </c>
      <c r="AA1613">
        <v>0</v>
      </c>
      <c r="AB1613" t="s">
        <v>363</v>
      </c>
      <c r="AF1613" t="s">
        <v>2353</v>
      </c>
      <c r="AG1613" t="s">
        <v>2353</v>
      </c>
      <c r="AH1613" t="s">
        <v>325</v>
      </c>
      <c r="AI1613">
        <v>99999</v>
      </c>
      <c r="AJ1613">
        <v>99999</v>
      </c>
      <c r="AK1613">
        <v>699</v>
      </c>
      <c r="AL1613" t="b">
        <v>1</v>
      </c>
      <c r="AM1613" t="b">
        <v>1</v>
      </c>
      <c r="AN1613" t="b">
        <v>0</v>
      </c>
      <c r="AO1613">
        <v>99999</v>
      </c>
      <c r="AP1613" t="s">
        <v>64</v>
      </c>
      <c r="AR1613" t="b">
        <v>0</v>
      </c>
      <c r="AS1613">
        <v>12</v>
      </c>
      <c r="AT1613" t="s">
        <v>327</v>
      </c>
      <c r="AV1613" t="s">
        <v>2356</v>
      </c>
    </row>
    <row r="1614" spans="1:48" x14ac:dyDescent="0.25">
      <c r="A1614" t="s">
        <v>3323</v>
      </c>
      <c r="B1614" t="s">
        <v>302</v>
      </c>
      <c r="C1614" t="s">
        <v>62</v>
      </c>
      <c r="D1614">
        <v>99999</v>
      </c>
      <c r="F1614" s="109">
        <v>4000</v>
      </c>
      <c r="G1614" t="b">
        <v>0</v>
      </c>
      <c r="H1614" t="s">
        <v>331</v>
      </c>
      <c r="K1614" t="s">
        <v>364</v>
      </c>
      <c r="L1614" t="s">
        <v>303</v>
      </c>
      <c r="M1614" t="s">
        <v>323</v>
      </c>
      <c r="N1614" t="s">
        <v>63</v>
      </c>
      <c r="O1614" s="110">
        <v>49.9</v>
      </c>
      <c r="R1614" s="110">
        <v>329.99</v>
      </c>
      <c r="S1614" s="110">
        <v>130</v>
      </c>
      <c r="T1614" s="110">
        <v>0</v>
      </c>
      <c r="U1614" s="110">
        <v>42.99</v>
      </c>
      <c r="X1614">
        <v>107.1</v>
      </c>
      <c r="Y1614">
        <v>49.9</v>
      </c>
      <c r="Z1614">
        <v>49.9</v>
      </c>
      <c r="AA1614">
        <v>0</v>
      </c>
      <c r="AB1614" t="s">
        <v>363</v>
      </c>
      <c r="AF1614" t="s">
        <v>2420</v>
      </c>
      <c r="AG1614" t="s">
        <v>2420</v>
      </c>
      <c r="AH1614" t="s">
        <v>325</v>
      </c>
      <c r="AI1614">
        <v>99999</v>
      </c>
      <c r="AJ1614">
        <v>99999</v>
      </c>
      <c r="AK1614">
        <v>699</v>
      </c>
      <c r="AL1614" t="b">
        <v>1</v>
      </c>
      <c r="AM1614" t="b">
        <v>1</v>
      </c>
      <c r="AN1614" t="b">
        <v>0</v>
      </c>
      <c r="AO1614">
        <v>99999</v>
      </c>
      <c r="AP1614" t="s">
        <v>64</v>
      </c>
      <c r="AR1614" t="b">
        <v>0</v>
      </c>
      <c r="AS1614">
        <v>12</v>
      </c>
      <c r="AT1614" t="s">
        <v>327</v>
      </c>
      <c r="AV1614" t="s">
        <v>2423</v>
      </c>
    </row>
    <row r="1615" spans="1:48" x14ac:dyDescent="0.25">
      <c r="A1615" t="s">
        <v>3323</v>
      </c>
      <c r="B1615" t="s">
        <v>302</v>
      </c>
      <c r="C1615" t="s">
        <v>62</v>
      </c>
      <c r="D1615">
        <v>99999</v>
      </c>
      <c r="F1615" s="109">
        <v>4000</v>
      </c>
      <c r="G1615" t="b">
        <v>0</v>
      </c>
      <c r="H1615" t="s">
        <v>331</v>
      </c>
      <c r="K1615" t="s">
        <v>379</v>
      </c>
      <c r="L1615" t="s">
        <v>303</v>
      </c>
      <c r="M1615" t="s">
        <v>323</v>
      </c>
      <c r="N1615" t="s">
        <v>63</v>
      </c>
      <c r="O1615">
        <v>29.9</v>
      </c>
      <c r="R1615">
        <v>239.89</v>
      </c>
      <c r="S1615">
        <v>39.9</v>
      </c>
      <c r="T1615" s="110">
        <v>0</v>
      </c>
      <c r="U1615">
        <v>42.99</v>
      </c>
      <c r="X1615">
        <v>97.1</v>
      </c>
      <c r="Y1615">
        <v>59.9</v>
      </c>
      <c r="Z1615">
        <v>59.9</v>
      </c>
      <c r="AA1615">
        <v>0</v>
      </c>
      <c r="AB1615" t="s">
        <v>363</v>
      </c>
      <c r="AF1615" t="s">
        <v>365</v>
      </c>
      <c r="AG1615" t="s">
        <v>365</v>
      </c>
      <c r="AH1615" t="s">
        <v>325</v>
      </c>
      <c r="AI1615">
        <v>99999</v>
      </c>
      <c r="AJ1615">
        <v>99999</v>
      </c>
      <c r="AK1615">
        <v>699</v>
      </c>
      <c r="AL1615" t="b">
        <v>1</v>
      </c>
      <c r="AM1615" t="b">
        <v>1</v>
      </c>
      <c r="AN1615" t="b">
        <v>0</v>
      </c>
      <c r="AO1615">
        <v>99999</v>
      </c>
      <c r="AP1615" t="s">
        <v>64</v>
      </c>
      <c r="AR1615" t="b">
        <v>0</v>
      </c>
      <c r="AS1615">
        <v>12</v>
      </c>
      <c r="AT1615" t="s">
        <v>327</v>
      </c>
      <c r="AV1615" t="s">
        <v>382</v>
      </c>
    </row>
    <row r="1616" spans="1:48" x14ac:dyDescent="0.25">
      <c r="A1616" t="s">
        <v>3323</v>
      </c>
      <c r="B1616" t="s">
        <v>302</v>
      </c>
      <c r="C1616" t="s">
        <v>62</v>
      </c>
      <c r="D1616">
        <v>99999</v>
      </c>
      <c r="F1616" s="109">
        <v>4000</v>
      </c>
      <c r="G1616" t="b">
        <v>0</v>
      </c>
      <c r="H1616" t="s">
        <v>331</v>
      </c>
      <c r="K1616" t="s">
        <v>379</v>
      </c>
      <c r="L1616" t="s">
        <v>303</v>
      </c>
      <c r="M1616" t="s">
        <v>323</v>
      </c>
      <c r="N1616" t="s">
        <v>63</v>
      </c>
      <c r="O1616">
        <v>29.9</v>
      </c>
      <c r="R1616">
        <v>254.89</v>
      </c>
      <c r="S1616">
        <v>39.9</v>
      </c>
      <c r="T1616" s="110">
        <v>0</v>
      </c>
      <c r="U1616">
        <v>42.99</v>
      </c>
      <c r="X1616">
        <v>112.1</v>
      </c>
      <c r="Y1616">
        <v>59.9</v>
      </c>
      <c r="Z1616">
        <v>59.9</v>
      </c>
      <c r="AA1616">
        <v>0</v>
      </c>
      <c r="AB1616" t="s">
        <v>363</v>
      </c>
      <c r="AF1616" t="s">
        <v>501</v>
      </c>
      <c r="AG1616" t="s">
        <v>501</v>
      </c>
      <c r="AH1616" t="s">
        <v>325</v>
      </c>
      <c r="AI1616">
        <v>99999</v>
      </c>
      <c r="AJ1616">
        <v>99999</v>
      </c>
      <c r="AK1616">
        <v>699</v>
      </c>
      <c r="AL1616" t="b">
        <v>1</v>
      </c>
      <c r="AM1616" t="b">
        <v>1</v>
      </c>
      <c r="AN1616" t="b">
        <v>0</v>
      </c>
      <c r="AO1616">
        <v>99999</v>
      </c>
      <c r="AP1616" t="s">
        <v>64</v>
      </c>
      <c r="AR1616" t="b">
        <v>0</v>
      </c>
      <c r="AS1616">
        <v>12</v>
      </c>
      <c r="AT1616" t="s">
        <v>327</v>
      </c>
      <c r="AV1616" t="s">
        <v>517</v>
      </c>
    </row>
    <row r="1617" spans="1:48" x14ac:dyDescent="0.25">
      <c r="A1617" t="s">
        <v>3323</v>
      </c>
      <c r="B1617" t="s">
        <v>302</v>
      </c>
      <c r="C1617" t="s">
        <v>62</v>
      </c>
      <c r="D1617">
        <v>99999</v>
      </c>
      <c r="F1617" s="109">
        <v>4000</v>
      </c>
      <c r="G1617" t="b">
        <v>0</v>
      </c>
      <c r="H1617" t="s">
        <v>331</v>
      </c>
      <c r="K1617" t="s">
        <v>379</v>
      </c>
      <c r="L1617" t="s">
        <v>303</v>
      </c>
      <c r="M1617" t="s">
        <v>323</v>
      </c>
      <c r="N1617" t="s">
        <v>63</v>
      </c>
      <c r="O1617">
        <v>29.9</v>
      </c>
      <c r="R1617">
        <v>269.89</v>
      </c>
      <c r="S1617">
        <v>59.9</v>
      </c>
      <c r="T1617" s="110">
        <v>0</v>
      </c>
      <c r="U1617">
        <v>42.99</v>
      </c>
      <c r="X1617">
        <v>107.1</v>
      </c>
      <c r="Y1617">
        <v>59.9</v>
      </c>
      <c r="Z1617">
        <v>59.9</v>
      </c>
      <c r="AA1617">
        <v>0</v>
      </c>
      <c r="AB1617" t="s">
        <v>363</v>
      </c>
      <c r="AF1617" t="s">
        <v>635</v>
      </c>
      <c r="AG1617" t="s">
        <v>635</v>
      </c>
      <c r="AH1617" t="s">
        <v>325</v>
      </c>
      <c r="AI1617">
        <v>99999</v>
      </c>
      <c r="AJ1617">
        <v>99999</v>
      </c>
      <c r="AK1617">
        <v>699</v>
      </c>
      <c r="AL1617" t="b">
        <v>1</v>
      </c>
      <c r="AM1617" t="b">
        <v>1</v>
      </c>
      <c r="AN1617" t="b">
        <v>0</v>
      </c>
      <c r="AO1617">
        <v>99999</v>
      </c>
      <c r="AP1617" t="s">
        <v>64</v>
      </c>
      <c r="AR1617" t="b">
        <v>0</v>
      </c>
      <c r="AS1617">
        <v>12</v>
      </c>
      <c r="AT1617" t="s">
        <v>327</v>
      </c>
      <c r="AV1617" t="s">
        <v>651</v>
      </c>
    </row>
    <row r="1618" spans="1:48" x14ac:dyDescent="0.25">
      <c r="A1618" t="s">
        <v>3323</v>
      </c>
      <c r="B1618" t="s">
        <v>302</v>
      </c>
      <c r="C1618" t="s">
        <v>62</v>
      </c>
      <c r="D1618">
        <v>99999</v>
      </c>
      <c r="F1618" s="109">
        <v>4000</v>
      </c>
      <c r="G1618" t="b">
        <v>0</v>
      </c>
      <c r="H1618" t="s">
        <v>331</v>
      </c>
      <c r="K1618" t="s">
        <v>379</v>
      </c>
      <c r="L1618" t="s">
        <v>303</v>
      </c>
      <c r="M1618" t="s">
        <v>323</v>
      </c>
      <c r="N1618" t="s">
        <v>63</v>
      </c>
      <c r="O1618" s="110">
        <v>39.9</v>
      </c>
      <c r="R1618" s="110">
        <v>239.89</v>
      </c>
      <c r="S1618" s="110">
        <v>39.9</v>
      </c>
      <c r="T1618" s="110">
        <v>0</v>
      </c>
      <c r="U1618" s="110">
        <v>42.99</v>
      </c>
      <c r="X1618">
        <v>97.1</v>
      </c>
      <c r="Y1618">
        <v>59.9</v>
      </c>
      <c r="Z1618">
        <v>59.9</v>
      </c>
      <c r="AA1618">
        <v>0</v>
      </c>
      <c r="AB1618" t="s">
        <v>363</v>
      </c>
      <c r="AF1618" t="s">
        <v>434</v>
      </c>
      <c r="AG1618" t="s">
        <v>434</v>
      </c>
      <c r="AH1618" t="s">
        <v>325</v>
      </c>
      <c r="AI1618">
        <v>99999</v>
      </c>
      <c r="AJ1618">
        <v>99999</v>
      </c>
      <c r="AK1618">
        <v>699</v>
      </c>
      <c r="AL1618" t="b">
        <v>1</v>
      </c>
      <c r="AM1618" t="b">
        <v>1</v>
      </c>
      <c r="AN1618" t="b">
        <v>0</v>
      </c>
      <c r="AO1618">
        <v>99999</v>
      </c>
      <c r="AP1618" t="s">
        <v>64</v>
      </c>
      <c r="AR1618" t="b">
        <v>0</v>
      </c>
      <c r="AS1618">
        <v>12</v>
      </c>
      <c r="AT1618" t="s">
        <v>327</v>
      </c>
      <c r="AV1618" t="s">
        <v>450</v>
      </c>
    </row>
    <row r="1619" spans="1:48" x14ac:dyDescent="0.25">
      <c r="A1619" t="s">
        <v>3323</v>
      </c>
      <c r="B1619" t="s">
        <v>302</v>
      </c>
      <c r="C1619" t="s">
        <v>62</v>
      </c>
      <c r="D1619">
        <v>99999</v>
      </c>
      <c r="F1619" s="109">
        <v>4000</v>
      </c>
      <c r="G1619" t="b">
        <v>0</v>
      </c>
      <c r="H1619" t="s">
        <v>331</v>
      </c>
      <c r="K1619" t="s">
        <v>379</v>
      </c>
      <c r="L1619" t="s">
        <v>303</v>
      </c>
      <c r="M1619" t="s">
        <v>323</v>
      </c>
      <c r="N1619" t="s">
        <v>63</v>
      </c>
      <c r="O1619">
        <v>39.9</v>
      </c>
      <c r="R1619">
        <v>254.89</v>
      </c>
      <c r="S1619">
        <v>39.9</v>
      </c>
      <c r="T1619" s="110">
        <v>0</v>
      </c>
      <c r="U1619">
        <v>42.99</v>
      </c>
      <c r="X1619">
        <v>112.1</v>
      </c>
      <c r="Y1619">
        <v>59.9</v>
      </c>
      <c r="Z1619">
        <v>59.9</v>
      </c>
      <c r="AA1619">
        <v>0</v>
      </c>
      <c r="AB1619" t="s">
        <v>363</v>
      </c>
      <c r="AF1619" t="s">
        <v>568</v>
      </c>
      <c r="AG1619" t="s">
        <v>568</v>
      </c>
      <c r="AH1619" t="s">
        <v>325</v>
      </c>
      <c r="AI1619">
        <v>99999</v>
      </c>
      <c r="AJ1619">
        <v>99999</v>
      </c>
      <c r="AK1619">
        <v>699</v>
      </c>
      <c r="AL1619" t="b">
        <v>1</v>
      </c>
      <c r="AM1619" t="b">
        <v>1</v>
      </c>
      <c r="AN1619" t="b">
        <v>0</v>
      </c>
      <c r="AO1619">
        <v>99999</v>
      </c>
      <c r="AP1619" t="s">
        <v>64</v>
      </c>
      <c r="AR1619" t="b">
        <v>0</v>
      </c>
      <c r="AS1619">
        <v>12</v>
      </c>
      <c r="AT1619" t="s">
        <v>327</v>
      </c>
      <c r="AV1619" t="s">
        <v>584</v>
      </c>
    </row>
    <row r="1620" spans="1:48" x14ac:dyDescent="0.25">
      <c r="A1620" t="s">
        <v>3323</v>
      </c>
      <c r="B1620" t="s">
        <v>302</v>
      </c>
      <c r="C1620" t="s">
        <v>62</v>
      </c>
      <c r="D1620">
        <v>99999</v>
      </c>
      <c r="F1620" s="109">
        <v>4000</v>
      </c>
      <c r="G1620" t="b">
        <v>0</v>
      </c>
      <c r="H1620" t="s">
        <v>331</v>
      </c>
      <c r="K1620" t="s">
        <v>379</v>
      </c>
      <c r="L1620" t="s">
        <v>303</v>
      </c>
      <c r="M1620" t="s">
        <v>323</v>
      </c>
      <c r="N1620" t="s">
        <v>63</v>
      </c>
      <c r="O1620">
        <v>39.9</v>
      </c>
      <c r="R1620">
        <v>269.89</v>
      </c>
      <c r="S1620">
        <v>59.9</v>
      </c>
      <c r="T1620" s="110">
        <v>0</v>
      </c>
      <c r="U1620">
        <v>42.99</v>
      </c>
      <c r="X1620">
        <v>107.1</v>
      </c>
      <c r="Y1620">
        <v>59.9</v>
      </c>
      <c r="Z1620">
        <v>59.9</v>
      </c>
      <c r="AA1620">
        <v>0</v>
      </c>
      <c r="AB1620" t="s">
        <v>363</v>
      </c>
      <c r="AF1620" t="s">
        <v>702</v>
      </c>
      <c r="AG1620" t="s">
        <v>702</v>
      </c>
      <c r="AH1620" t="s">
        <v>325</v>
      </c>
      <c r="AI1620">
        <v>99999</v>
      </c>
      <c r="AJ1620">
        <v>99999</v>
      </c>
      <c r="AK1620">
        <v>699</v>
      </c>
      <c r="AL1620" t="b">
        <v>1</v>
      </c>
      <c r="AM1620" t="b">
        <v>1</v>
      </c>
      <c r="AN1620" t="b">
        <v>0</v>
      </c>
      <c r="AO1620">
        <v>99999</v>
      </c>
      <c r="AP1620" t="s">
        <v>64</v>
      </c>
      <c r="AR1620" t="b">
        <v>0</v>
      </c>
      <c r="AS1620">
        <v>12</v>
      </c>
      <c r="AT1620" t="s">
        <v>327</v>
      </c>
      <c r="AV1620" t="s">
        <v>718</v>
      </c>
    </row>
    <row r="1621" spans="1:48" x14ac:dyDescent="0.25">
      <c r="A1621" t="s">
        <v>3323</v>
      </c>
      <c r="B1621" t="s">
        <v>302</v>
      </c>
      <c r="C1621" t="s">
        <v>62</v>
      </c>
      <c r="D1621">
        <v>99999</v>
      </c>
      <c r="F1621" s="109">
        <v>4000</v>
      </c>
      <c r="G1621" t="b">
        <v>0</v>
      </c>
      <c r="H1621" t="s">
        <v>331</v>
      </c>
      <c r="K1621" t="s">
        <v>379</v>
      </c>
      <c r="L1621" t="s">
        <v>303</v>
      </c>
      <c r="M1621" t="s">
        <v>323</v>
      </c>
      <c r="N1621" t="s">
        <v>63</v>
      </c>
      <c r="O1621" s="110">
        <v>49.9</v>
      </c>
      <c r="R1621" s="110">
        <v>315.68999999999994</v>
      </c>
      <c r="S1621" s="110">
        <v>130</v>
      </c>
      <c r="T1621" s="110">
        <v>0</v>
      </c>
      <c r="U1621" s="110">
        <v>34.99</v>
      </c>
      <c r="X1621">
        <v>90.799999999999983</v>
      </c>
      <c r="Y1621">
        <v>59.9</v>
      </c>
      <c r="Z1621">
        <v>59.9</v>
      </c>
      <c r="AA1621">
        <v>0</v>
      </c>
      <c r="AB1621" t="s">
        <v>363</v>
      </c>
      <c r="AF1621" t="s">
        <v>2212</v>
      </c>
      <c r="AG1621" t="s">
        <v>2212</v>
      </c>
      <c r="AH1621" t="s">
        <v>325</v>
      </c>
      <c r="AI1621">
        <v>99999</v>
      </c>
      <c r="AJ1621">
        <v>99999</v>
      </c>
      <c r="AK1621">
        <v>699</v>
      </c>
      <c r="AL1621" t="b">
        <v>1</v>
      </c>
      <c r="AM1621" t="b">
        <v>1</v>
      </c>
      <c r="AN1621" t="b">
        <v>0</v>
      </c>
      <c r="AO1621">
        <v>99999</v>
      </c>
      <c r="AP1621" t="s">
        <v>64</v>
      </c>
      <c r="AR1621" t="b">
        <v>0</v>
      </c>
      <c r="AS1621">
        <v>12</v>
      </c>
      <c r="AT1621" t="s">
        <v>327</v>
      </c>
      <c r="AV1621" t="s">
        <v>2228</v>
      </c>
    </row>
    <row r="1622" spans="1:48" x14ac:dyDescent="0.25">
      <c r="A1622" t="s">
        <v>3323</v>
      </c>
      <c r="B1622" t="s">
        <v>302</v>
      </c>
      <c r="C1622" t="s">
        <v>62</v>
      </c>
      <c r="D1622">
        <v>99999</v>
      </c>
      <c r="F1622" s="109">
        <v>4000</v>
      </c>
      <c r="G1622" t="b">
        <v>0</v>
      </c>
      <c r="H1622" t="s">
        <v>331</v>
      </c>
      <c r="K1622" t="s">
        <v>379</v>
      </c>
      <c r="L1622" t="s">
        <v>303</v>
      </c>
      <c r="M1622" t="s">
        <v>323</v>
      </c>
      <c r="N1622" t="s">
        <v>63</v>
      </c>
      <c r="O1622" s="110">
        <v>49.9</v>
      </c>
      <c r="R1622" s="110">
        <v>329.99</v>
      </c>
      <c r="S1622" s="110">
        <v>130</v>
      </c>
      <c r="T1622" s="110">
        <v>0</v>
      </c>
      <c r="U1622" s="110">
        <v>42.99</v>
      </c>
      <c r="X1622">
        <v>97.1</v>
      </c>
      <c r="Y1622">
        <v>59.9</v>
      </c>
      <c r="Z1622">
        <v>59.9</v>
      </c>
      <c r="AA1622">
        <v>0</v>
      </c>
      <c r="AB1622" t="s">
        <v>363</v>
      </c>
      <c r="AF1622" t="s">
        <v>2286</v>
      </c>
      <c r="AG1622" t="s">
        <v>2286</v>
      </c>
      <c r="AH1622" t="s">
        <v>325</v>
      </c>
      <c r="AI1622">
        <v>99999</v>
      </c>
      <c r="AJ1622">
        <v>99999</v>
      </c>
      <c r="AK1622">
        <v>699</v>
      </c>
      <c r="AL1622" t="b">
        <v>1</v>
      </c>
      <c r="AM1622" t="b">
        <v>1</v>
      </c>
      <c r="AN1622" t="b">
        <v>0</v>
      </c>
      <c r="AO1622">
        <v>99999</v>
      </c>
      <c r="AP1622" t="s">
        <v>64</v>
      </c>
      <c r="AR1622" t="b">
        <v>0</v>
      </c>
      <c r="AS1622">
        <v>12</v>
      </c>
      <c r="AT1622" t="s">
        <v>327</v>
      </c>
      <c r="AV1622" t="s">
        <v>2302</v>
      </c>
    </row>
    <row r="1623" spans="1:48" x14ac:dyDescent="0.25">
      <c r="A1623" t="s">
        <v>3323</v>
      </c>
      <c r="B1623" t="s">
        <v>302</v>
      </c>
      <c r="C1623" t="s">
        <v>62</v>
      </c>
      <c r="D1623">
        <v>99999</v>
      </c>
      <c r="F1623" s="109">
        <v>4000</v>
      </c>
      <c r="G1623" t="b">
        <v>0</v>
      </c>
      <c r="H1623" t="s">
        <v>331</v>
      </c>
      <c r="K1623" t="s">
        <v>379</v>
      </c>
      <c r="L1623" t="s">
        <v>303</v>
      </c>
      <c r="M1623" t="s">
        <v>323</v>
      </c>
      <c r="N1623" t="s">
        <v>63</v>
      </c>
      <c r="O1623" s="110">
        <v>49.9</v>
      </c>
      <c r="R1623" s="110">
        <v>344.99</v>
      </c>
      <c r="S1623" s="110">
        <v>130</v>
      </c>
      <c r="T1623" s="110">
        <v>0</v>
      </c>
      <c r="U1623" s="110">
        <v>42.99</v>
      </c>
      <c r="X1623">
        <v>112.1</v>
      </c>
      <c r="Y1623">
        <v>59.9</v>
      </c>
      <c r="Z1623">
        <v>59.9</v>
      </c>
      <c r="AA1623">
        <v>0</v>
      </c>
      <c r="AB1623" t="s">
        <v>363</v>
      </c>
      <c r="AF1623" t="s">
        <v>2353</v>
      </c>
      <c r="AG1623" t="s">
        <v>2353</v>
      </c>
      <c r="AH1623" t="s">
        <v>325</v>
      </c>
      <c r="AI1623">
        <v>99999</v>
      </c>
      <c r="AJ1623">
        <v>99999</v>
      </c>
      <c r="AK1623">
        <v>699</v>
      </c>
      <c r="AL1623" t="b">
        <v>1</v>
      </c>
      <c r="AM1623" t="b">
        <v>1</v>
      </c>
      <c r="AN1623" t="b">
        <v>0</v>
      </c>
      <c r="AO1623">
        <v>99999</v>
      </c>
      <c r="AP1623" t="s">
        <v>64</v>
      </c>
      <c r="AR1623" t="b">
        <v>0</v>
      </c>
      <c r="AS1623">
        <v>12</v>
      </c>
      <c r="AT1623" t="s">
        <v>327</v>
      </c>
      <c r="AV1623" t="s">
        <v>2369</v>
      </c>
    </row>
    <row r="1624" spans="1:48" x14ac:dyDescent="0.25">
      <c r="A1624" t="s">
        <v>3323</v>
      </c>
      <c r="B1624" t="s">
        <v>302</v>
      </c>
      <c r="C1624" t="s">
        <v>62</v>
      </c>
      <c r="D1624">
        <v>99999</v>
      </c>
      <c r="F1624" s="109">
        <v>4000</v>
      </c>
      <c r="G1624" t="b">
        <v>0</v>
      </c>
      <c r="H1624" t="s">
        <v>331</v>
      </c>
      <c r="K1624" t="s">
        <v>379</v>
      </c>
      <c r="L1624" t="s">
        <v>303</v>
      </c>
      <c r="M1624" t="s">
        <v>323</v>
      </c>
      <c r="N1624" t="s">
        <v>63</v>
      </c>
      <c r="O1624" s="110">
        <v>49.9</v>
      </c>
      <c r="R1624" s="110">
        <v>339.99</v>
      </c>
      <c r="S1624" s="110">
        <v>130</v>
      </c>
      <c r="T1624" s="110">
        <v>0</v>
      </c>
      <c r="U1624" s="110">
        <v>42.99</v>
      </c>
      <c r="X1624">
        <v>107.1</v>
      </c>
      <c r="Y1624">
        <v>59.9</v>
      </c>
      <c r="Z1624">
        <v>59.9</v>
      </c>
      <c r="AA1624">
        <v>0</v>
      </c>
      <c r="AB1624" t="s">
        <v>363</v>
      </c>
      <c r="AF1624" t="s">
        <v>2420</v>
      </c>
      <c r="AG1624" t="s">
        <v>2420</v>
      </c>
      <c r="AH1624" t="s">
        <v>325</v>
      </c>
      <c r="AI1624">
        <v>99999</v>
      </c>
      <c r="AJ1624">
        <v>99999</v>
      </c>
      <c r="AK1624">
        <v>699</v>
      </c>
      <c r="AL1624" t="b">
        <v>1</v>
      </c>
      <c r="AM1624" t="b">
        <v>1</v>
      </c>
      <c r="AN1624" t="b">
        <v>0</v>
      </c>
      <c r="AO1624">
        <v>99999</v>
      </c>
      <c r="AP1624" t="s">
        <v>64</v>
      </c>
      <c r="AR1624" t="b">
        <v>0</v>
      </c>
      <c r="AS1624">
        <v>12</v>
      </c>
      <c r="AT1624" t="s">
        <v>327</v>
      </c>
      <c r="AV1624" t="s">
        <v>2436</v>
      </c>
    </row>
    <row r="1625" spans="1:48" x14ac:dyDescent="0.25">
      <c r="A1625" t="s">
        <v>3323</v>
      </c>
      <c r="B1625" t="s">
        <v>302</v>
      </c>
      <c r="C1625" t="s">
        <v>62</v>
      </c>
      <c r="D1625">
        <v>99999</v>
      </c>
      <c r="F1625" s="109">
        <v>4000</v>
      </c>
      <c r="G1625" t="b">
        <v>0</v>
      </c>
      <c r="H1625" t="s">
        <v>331</v>
      </c>
      <c r="K1625" t="s">
        <v>61</v>
      </c>
      <c r="L1625" t="s">
        <v>303</v>
      </c>
      <c r="M1625" t="s">
        <v>323</v>
      </c>
      <c r="N1625" t="s">
        <v>63</v>
      </c>
      <c r="O1625">
        <v>29.9</v>
      </c>
      <c r="R1625">
        <v>224.89</v>
      </c>
      <c r="S1625">
        <v>39.9</v>
      </c>
      <c r="T1625" s="110">
        <v>0</v>
      </c>
      <c r="U1625">
        <v>42.99</v>
      </c>
      <c r="X1625">
        <v>97.1</v>
      </c>
      <c r="Y1625">
        <v>44.9</v>
      </c>
      <c r="Z1625">
        <v>44.9</v>
      </c>
      <c r="AA1625">
        <v>0</v>
      </c>
      <c r="AB1625" t="s">
        <v>324</v>
      </c>
      <c r="AF1625" t="s">
        <v>326</v>
      </c>
      <c r="AG1625" t="s">
        <v>326</v>
      </c>
      <c r="AH1625" t="s">
        <v>325</v>
      </c>
      <c r="AI1625">
        <v>99999</v>
      </c>
      <c r="AJ1625">
        <v>99999</v>
      </c>
      <c r="AK1625">
        <v>699</v>
      </c>
      <c r="AL1625" t="b">
        <v>1</v>
      </c>
      <c r="AM1625" t="b">
        <v>1</v>
      </c>
      <c r="AN1625" t="b">
        <v>0</v>
      </c>
      <c r="AO1625">
        <v>99999</v>
      </c>
      <c r="AP1625" t="s">
        <v>64</v>
      </c>
      <c r="AR1625" t="b">
        <v>0</v>
      </c>
      <c r="AS1625">
        <v>12</v>
      </c>
      <c r="AT1625" t="s">
        <v>327</v>
      </c>
      <c r="AV1625" t="s">
        <v>332</v>
      </c>
    </row>
    <row r="1626" spans="1:48" x14ac:dyDescent="0.25">
      <c r="A1626" t="s">
        <v>3323</v>
      </c>
      <c r="B1626" t="s">
        <v>302</v>
      </c>
      <c r="C1626" t="s">
        <v>62</v>
      </c>
      <c r="D1626">
        <v>99999</v>
      </c>
      <c r="F1626" s="109">
        <v>4000</v>
      </c>
      <c r="G1626" t="b">
        <v>0</v>
      </c>
      <c r="H1626" t="s">
        <v>331</v>
      </c>
      <c r="K1626" t="s">
        <v>61</v>
      </c>
      <c r="L1626" t="s">
        <v>303</v>
      </c>
      <c r="M1626" t="s">
        <v>323</v>
      </c>
      <c r="N1626" t="s">
        <v>63</v>
      </c>
      <c r="O1626">
        <v>29.9</v>
      </c>
      <c r="R1626">
        <v>239.89</v>
      </c>
      <c r="S1626">
        <v>39.9</v>
      </c>
      <c r="T1626" s="110">
        <v>0</v>
      </c>
      <c r="U1626">
        <v>42.99</v>
      </c>
      <c r="X1626">
        <v>112.1</v>
      </c>
      <c r="Y1626">
        <v>44.9</v>
      </c>
      <c r="Z1626">
        <v>44.9</v>
      </c>
      <c r="AA1626">
        <v>0</v>
      </c>
      <c r="AB1626" t="s">
        <v>324</v>
      </c>
      <c r="AF1626" t="s">
        <v>474</v>
      </c>
      <c r="AG1626" t="s">
        <v>474</v>
      </c>
      <c r="AH1626" t="s">
        <v>325</v>
      </c>
      <c r="AI1626">
        <v>99999</v>
      </c>
      <c r="AJ1626">
        <v>99999</v>
      </c>
      <c r="AK1626">
        <v>699</v>
      </c>
      <c r="AL1626" t="b">
        <v>1</v>
      </c>
      <c r="AM1626" t="b">
        <v>1</v>
      </c>
      <c r="AN1626" t="b">
        <v>0</v>
      </c>
      <c r="AO1626">
        <v>99999</v>
      </c>
      <c r="AP1626" t="s">
        <v>64</v>
      </c>
      <c r="AR1626" t="b">
        <v>0</v>
      </c>
      <c r="AS1626">
        <v>12</v>
      </c>
      <c r="AT1626" t="s">
        <v>327</v>
      </c>
      <c r="AV1626" t="s">
        <v>477</v>
      </c>
    </row>
    <row r="1627" spans="1:48" x14ac:dyDescent="0.25">
      <c r="A1627" t="s">
        <v>3323</v>
      </c>
      <c r="B1627" t="s">
        <v>302</v>
      </c>
      <c r="C1627" t="s">
        <v>62</v>
      </c>
      <c r="D1627">
        <v>99999</v>
      </c>
      <c r="F1627" s="109">
        <v>4000</v>
      </c>
      <c r="G1627" t="b">
        <v>0</v>
      </c>
      <c r="H1627" t="s">
        <v>331</v>
      </c>
      <c r="K1627" t="s">
        <v>61</v>
      </c>
      <c r="L1627" t="s">
        <v>303</v>
      </c>
      <c r="M1627" t="s">
        <v>323</v>
      </c>
      <c r="N1627" t="s">
        <v>63</v>
      </c>
      <c r="O1627">
        <v>29.9</v>
      </c>
      <c r="R1627">
        <v>254.89</v>
      </c>
      <c r="S1627">
        <v>59.9</v>
      </c>
      <c r="T1627" s="110">
        <v>0</v>
      </c>
      <c r="U1627">
        <v>42.99</v>
      </c>
      <c r="X1627">
        <v>107.1</v>
      </c>
      <c r="Y1627">
        <v>44.9</v>
      </c>
      <c r="Z1627">
        <v>44.9</v>
      </c>
      <c r="AA1627">
        <v>0</v>
      </c>
      <c r="AB1627" t="s">
        <v>324</v>
      </c>
      <c r="AF1627" t="s">
        <v>608</v>
      </c>
      <c r="AG1627" t="s">
        <v>608</v>
      </c>
      <c r="AH1627" t="s">
        <v>325</v>
      </c>
      <c r="AI1627">
        <v>99999</v>
      </c>
      <c r="AJ1627">
        <v>99999</v>
      </c>
      <c r="AK1627">
        <v>699</v>
      </c>
      <c r="AL1627" t="b">
        <v>1</v>
      </c>
      <c r="AM1627" t="b">
        <v>1</v>
      </c>
      <c r="AN1627" t="b">
        <v>0</v>
      </c>
      <c r="AO1627">
        <v>99999</v>
      </c>
      <c r="AP1627" t="s">
        <v>64</v>
      </c>
      <c r="AR1627" t="b">
        <v>0</v>
      </c>
      <c r="AS1627">
        <v>12</v>
      </c>
      <c r="AT1627" t="s">
        <v>327</v>
      </c>
      <c r="AV1627" t="s">
        <v>611</v>
      </c>
    </row>
    <row r="1628" spans="1:48" x14ac:dyDescent="0.25">
      <c r="A1628" t="s">
        <v>3323</v>
      </c>
      <c r="B1628" t="s">
        <v>302</v>
      </c>
      <c r="C1628" t="s">
        <v>62</v>
      </c>
      <c r="D1628">
        <v>99999</v>
      </c>
      <c r="F1628" s="109">
        <v>4000</v>
      </c>
      <c r="G1628" t="b">
        <v>0</v>
      </c>
      <c r="H1628" t="s">
        <v>331</v>
      </c>
      <c r="K1628" t="s">
        <v>61</v>
      </c>
      <c r="L1628" t="s">
        <v>303</v>
      </c>
      <c r="M1628" t="s">
        <v>323</v>
      </c>
      <c r="N1628" t="s">
        <v>63</v>
      </c>
      <c r="O1628" s="110">
        <v>39.9</v>
      </c>
      <c r="R1628" s="110">
        <v>224.89</v>
      </c>
      <c r="S1628" s="110">
        <v>39.9</v>
      </c>
      <c r="T1628" s="110">
        <v>0</v>
      </c>
      <c r="U1628" s="110">
        <v>42.99</v>
      </c>
      <c r="X1628">
        <v>97.1</v>
      </c>
      <c r="Y1628">
        <v>44.9</v>
      </c>
      <c r="Z1628">
        <v>44.9</v>
      </c>
      <c r="AA1628">
        <v>0</v>
      </c>
      <c r="AB1628" t="s">
        <v>324</v>
      </c>
      <c r="AF1628" t="s">
        <v>407</v>
      </c>
      <c r="AG1628" t="s">
        <v>407</v>
      </c>
      <c r="AH1628" t="s">
        <v>325</v>
      </c>
      <c r="AI1628">
        <v>99999</v>
      </c>
      <c r="AJ1628">
        <v>99999</v>
      </c>
      <c r="AK1628">
        <v>699</v>
      </c>
      <c r="AL1628" t="b">
        <v>1</v>
      </c>
      <c r="AM1628" t="b">
        <v>1</v>
      </c>
      <c r="AN1628" t="b">
        <v>0</v>
      </c>
      <c r="AO1628">
        <v>99999</v>
      </c>
      <c r="AP1628" t="s">
        <v>64</v>
      </c>
      <c r="AR1628" t="b">
        <v>0</v>
      </c>
      <c r="AS1628">
        <v>12</v>
      </c>
      <c r="AT1628" t="s">
        <v>327</v>
      </c>
      <c r="AV1628" t="s">
        <v>410</v>
      </c>
    </row>
    <row r="1629" spans="1:48" x14ac:dyDescent="0.25">
      <c r="A1629" t="s">
        <v>3323</v>
      </c>
      <c r="B1629" t="s">
        <v>302</v>
      </c>
      <c r="C1629" t="s">
        <v>62</v>
      </c>
      <c r="D1629">
        <v>99999</v>
      </c>
      <c r="F1629" s="109">
        <v>4000</v>
      </c>
      <c r="G1629" t="b">
        <v>0</v>
      </c>
      <c r="H1629" t="s">
        <v>331</v>
      </c>
      <c r="K1629" t="s">
        <v>61</v>
      </c>
      <c r="L1629" t="s">
        <v>303</v>
      </c>
      <c r="M1629" t="s">
        <v>323</v>
      </c>
      <c r="N1629" t="s">
        <v>63</v>
      </c>
      <c r="O1629">
        <v>39.9</v>
      </c>
      <c r="R1629">
        <v>239.89</v>
      </c>
      <c r="S1629">
        <v>39.9</v>
      </c>
      <c r="T1629" s="110">
        <v>0</v>
      </c>
      <c r="U1629">
        <v>42.99</v>
      </c>
      <c r="X1629">
        <v>112.1</v>
      </c>
      <c r="Y1629">
        <v>44.9</v>
      </c>
      <c r="Z1629">
        <v>44.9</v>
      </c>
      <c r="AA1629">
        <v>0</v>
      </c>
      <c r="AB1629" t="s">
        <v>324</v>
      </c>
      <c r="AF1629" t="s">
        <v>541</v>
      </c>
      <c r="AG1629" t="s">
        <v>541</v>
      </c>
      <c r="AH1629" t="s">
        <v>325</v>
      </c>
      <c r="AI1629">
        <v>99999</v>
      </c>
      <c r="AJ1629">
        <v>99999</v>
      </c>
      <c r="AK1629">
        <v>699</v>
      </c>
      <c r="AL1629" t="b">
        <v>1</v>
      </c>
      <c r="AM1629" t="b">
        <v>1</v>
      </c>
      <c r="AN1629" t="b">
        <v>0</v>
      </c>
      <c r="AO1629">
        <v>99999</v>
      </c>
      <c r="AP1629" t="s">
        <v>64</v>
      </c>
      <c r="AR1629" t="b">
        <v>0</v>
      </c>
      <c r="AS1629">
        <v>12</v>
      </c>
      <c r="AT1629" t="s">
        <v>327</v>
      </c>
      <c r="AV1629" t="s">
        <v>544</v>
      </c>
    </row>
    <row r="1630" spans="1:48" x14ac:dyDescent="0.25">
      <c r="A1630" t="s">
        <v>3323</v>
      </c>
      <c r="B1630" t="s">
        <v>302</v>
      </c>
      <c r="C1630" t="s">
        <v>62</v>
      </c>
      <c r="D1630">
        <v>99999</v>
      </c>
      <c r="F1630" s="109">
        <v>4000</v>
      </c>
      <c r="G1630" t="b">
        <v>0</v>
      </c>
      <c r="H1630" t="s">
        <v>331</v>
      </c>
      <c r="K1630" t="s">
        <v>61</v>
      </c>
      <c r="L1630" t="s">
        <v>303</v>
      </c>
      <c r="M1630" t="s">
        <v>323</v>
      </c>
      <c r="N1630" t="s">
        <v>63</v>
      </c>
      <c r="O1630">
        <v>39.9</v>
      </c>
      <c r="R1630">
        <v>254.89</v>
      </c>
      <c r="S1630">
        <v>59.9</v>
      </c>
      <c r="T1630" s="110">
        <v>0</v>
      </c>
      <c r="U1630">
        <v>42.99</v>
      </c>
      <c r="X1630">
        <v>107.1</v>
      </c>
      <c r="Y1630">
        <v>44.9</v>
      </c>
      <c r="Z1630">
        <v>44.9</v>
      </c>
      <c r="AA1630">
        <v>0</v>
      </c>
      <c r="AB1630" t="s">
        <v>324</v>
      </c>
      <c r="AF1630" t="s">
        <v>675</v>
      </c>
      <c r="AG1630" t="s">
        <v>675</v>
      </c>
      <c r="AH1630" t="s">
        <v>325</v>
      </c>
      <c r="AI1630">
        <v>99999</v>
      </c>
      <c r="AJ1630">
        <v>99999</v>
      </c>
      <c r="AK1630">
        <v>699</v>
      </c>
      <c r="AL1630" t="b">
        <v>1</v>
      </c>
      <c r="AM1630" t="b">
        <v>1</v>
      </c>
      <c r="AN1630" t="b">
        <v>0</v>
      </c>
      <c r="AO1630">
        <v>99999</v>
      </c>
      <c r="AP1630" t="s">
        <v>64</v>
      </c>
      <c r="AR1630" t="b">
        <v>0</v>
      </c>
      <c r="AS1630">
        <v>12</v>
      </c>
      <c r="AT1630" t="s">
        <v>327</v>
      </c>
      <c r="AV1630" t="s">
        <v>678</v>
      </c>
    </row>
    <row r="1631" spans="1:48" x14ac:dyDescent="0.25">
      <c r="A1631" t="s">
        <v>3323</v>
      </c>
      <c r="B1631" t="s">
        <v>302</v>
      </c>
      <c r="C1631" t="s">
        <v>62</v>
      </c>
      <c r="D1631">
        <v>99999</v>
      </c>
      <c r="F1631" s="109">
        <v>4000</v>
      </c>
      <c r="G1631" t="b">
        <v>0</v>
      </c>
      <c r="H1631" t="s">
        <v>331</v>
      </c>
      <c r="K1631" t="s">
        <v>61</v>
      </c>
      <c r="L1631" t="s">
        <v>303</v>
      </c>
      <c r="M1631" t="s">
        <v>323</v>
      </c>
      <c r="N1631" t="s">
        <v>63</v>
      </c>
      <c r="O1631" s="110">
        <v>49.9</v>
      </c>
      <c r="R1631" s="110">
        <v>300.68999999999994</v>
      </c>
      <c r="S1631" s="110">
        <v>130</v>
      </c>
      <c r="T1631" s="110">
        <v>0</v>
      </c>
      <c r="U1631" s="110">
        <v>34.99</v>
      </c>
      <c r="X1631">
        <v>90.799999999999983</v>
      </c>
      <c r="Y1631">
        <v>44.9</v>
      </c>
      <c r="Z1631">
        <v>44.9</v>
      </c>
      <c r="AA1631">
        <v>0</v>
      </c>
      <c r="AB1631" t="s">
        <v>324</v>
      </c>
      <c r="AF1631" t="s">
        <v>2185</v>
      </c>
      <c r="AG1631" t="s">
        <v>2185</v>
      </c>
      <c r="AH1631" t="s">
        <v>325</v>
      </c>
      <c r="AI1631">
        <v>99999</v>
      </c>
      <c r="AJ1631">
        <v>99999</v>
      </c>
      <c r="AK1631">
        <v>699</v>
      </c>
      <c r="AL1631" t="b">
        <v>1</v>
      </c>
      <c r="AM1631" t="b">
        <v>1</v>
      </c>
      <c r="AN1631" t="b">
        <v>0</v>
      </c>
      <c r="AO1631">
        <v>99999</v>
      </c>
      <c r="AP1631" t="s">
        <v>64</v>
      </c>
      <c r="AR1631" t="b">
        <v>0</v>
      </c>
      <c r="AS1631">
        <v>12</v>
      </c>
      <c r="AT1631" t="s">
        <v>327</v>
      </c>
      <c r="AV1631" t="s">
        <v>2188</v>
      </c>
    </row>
    <row r="1632" spans="1:48" x14ac:dyDescent="0.25">
      <c r="A1632" t="s">
        <v>3323</v>
      </c>
      <c r="B1632" t="s">
        <v>302</v>
      </c>
      <c r="C1632" t="s">
        <v>62</v>
      </c>
      <c r="D1632">
        <v>99999</v>
      </c>
      <c r="F1632" s="109">
        <v>4000</v>
      </c>
      <c r="G1632" t="b">
        <v>0</v>
      </c>
      <c r="H1632" t="s">
        <v>331</v>
      </c>
      <c r="K1632" t="s">
        <v>61</v>
      </c>
      <c r="L1632" t="s">
        <v>303</v>
      </c>
      <c r="M1632" t="s">
        <v>323</v>
      </c>
      <c r="N1632" t="s">
        <v>63</v>
      </c>
      <c r="O1632" s="110">
        <v>49.9</v>
      </c>
      <c r="R1632" s="110">
        <v>314.99</v>
      </c>
      <c r="S1632" s="110">
        <v>130</v>
      </c>
      <c r="T1632" s="110">
        <v>0</v>
      </c>
      <c r="U1632" s="110">
        <v>42.99</v>
      </c>
      <c r="X1632">
        <v>97.1</v>
      </c>
      <c r="Y1632">
        <v>44.9</v>
      </c>
      <c r="Z1632">
        <v>44.9</v>
      </c>
      <c r="AA1632">
        <v>0</v>
      </c>
      <c r="AB1632" t="s">
        <v>324</v>
      </c>
      <c r="AF1632" t="s">
        <v>2259</v>
      </c>
      <c r="AG1632" t="s">
        <v>2259</v>
      </c>
      <c r="AH1632" t="s">
        <v>325</v>
      </c>
      <c r="AI1632">
        <v>99999</v>
      </c>
      <c r="AJ1632">
        <v>99999</v>
      </c>
      <c r="AK1632">
        <v>699</v>
      </c>
      <c r="AL1632" t="b">
        <v>1</v>
      </c>
      <c r="AM1632" t="b">
        <v>1</v>
      </c>
      <c r="AN1632" t="b">
        <v>0</v>
      </c>
      <c r="AO1632">
        <v>99999</v>
      </c>
      <c r="AP1632" t="s">
        <v>64</v>
      </c>
      <c r="AR1632" t="b">
        <v>0</v>
      </c>
      <c r="AS1632">
        <v>12</v>
      </c>
      <c r="AT1632" t="s">
        <v>327</v>
      </c>
      <c r="AV1632" t="s">
        <v>2262</v>
      </c>
    </row>
    <row r="1633" spans="1:48" x14ac:dyDescent="0.25">
      <c r="A1633" t="s">
        <v>3323</v>
      </c>
      <c r="B1633" t="s">
        <v>302</v>
      </c>
      <c r="C1633" t="s">
        <v>62</v>
      </c>
      <c r="D1633">
        <v>99999</v>
      </c>
      <c r="F1633" s="109">
        <v>4000</v>
      </c>
      <c r="G1633" t="b">
        <v>0</v>
      </c>
      <c r="H1633" t="s">
        <v>331</v>
      </c>
      <c r="K1633" t="s">
        <v>61</v>
      </c>
      <c r="L1633" t="s">
        <v>303</v>
      </c>
      <c r="M1633" t="s">
        <v>323</v>
      </c>
      <c r="N1633" t="s">
        <v>63</v>
      </c>
      <c r="O1633" s="110">
        <v>49.9</v>
      </c>
      <c r="R1633" s="110">
        <v>329.99</v>
      </c>
      <c r="S1633" s="110">
        <v>130</v>
      </c>
      <c r="T1633" s="110">
        <v>0</v>
      </c>
      <c r="U1633" s="110">
        <v>42.99</v>
      </c>
      <c r="X1633">
        <v>112.1</v>
      </c>
      <c r="Y1633">
        <v>44.9</v>
      </c>
      <c r="Z1633">
        <v>44.9</v>
      </c>
      <c r="AA1633">
        <v>0</v>
      </c>
      <c r="AB1633" t="s">
        <v>324</v>
      </c>
      <c r="AF1633" t="s">
        <v>2326</v>
      </c>
      <c r="AG1633" t="s">
        <v>2326</v>
      </c>
      <c r="AH1633" t="s">
        <v>325</v>
      </c>
      <c r="AI1633">
        <v>99999</v>
      </c>
      <c r="AJ1633">
        <v>99999</v>
      </c>
      <c r="AK1633">
        <v>699</v>
      </c>
      <c r="AL1633" t="b">
        <v>1</v>
      </c>
      <c r="AM1633" t="b">
        <v>1</v>
      </c>
      <c r="AN1633" t="b">
        <v>0</v>
      </c>
      <c r="AO1633">
        <v>99999</v>
      </c>
      <c r="AP1633" t="s">
        <v>64</v>
      </c>
      <c r="AR1633" t="b">
        <v>0</v>
      </c>
      <c r="AS1633">
        <v>12</v>
      </c>
      <c r="AT1633" t="s">
        <v>327</v>
      </c>
      <c r="AV1633" t="s">
        <v>2329</v>
      </c>
    </row>
    <row r="1634" spans="1:48" x14ac:dyDescent="0.25">
      <c r="A1634" t="s">
        <v>3323</v>
      </c>
      <c r="B1634" t="s">
        <v>302</v>
      </c>
      <c r="C1634" t="s">
        <v>62</v>
      </c>
      <c r="D1634">
        <v>99999</v>
      </c>
      <c r="F1634" s="109">
        <v>4000</v>
      </c>
      <c r="G1634" t="b">
        <v>0</v>
      </c>
      <c r="H1634" t="s">
        <v>331</v>
      </c>
      <c r="K1634" t="s">
        <v>61</v>
      </c>
      <c r="L1634" t="s">
        <v>303</v>
      </c>
      <c r="M1634" t="s">
        <v>323</v>
      </c>
      <c r="N1634" t="s">
        <v>63</v>
      </c>
      <c r="O1634" s="110">
        <v>49.9</v>
      </c>
      <c r="R1634" s="110">
        <v>324.99</v>
      </c>
      <c r="S1634" s="110">
        <v>130</v>
      </c>
      <c r="T1634" s="110">
        <v>0</v>
      </c>
      <c r="U1634" s="110">
        <v>42.99</v>
      </c>
      <c r="X1634">
        <v>107.1</v>
      </c>
      <c r="Y1634">
        <v>44.9</v>
      </c>
      <c r="Z1634">
        <v>44.9</v>
      </c>
      <c r="AA1634">
        <v>0</v>
      </c>
      <c r="AB1634" t="s">
        <v>324</v>
      </c>
      <c r="AF1634" t="s">
        <v>2393</v>
      </c>
      <c r="AG1634" t="s">
        <v>2393</v>
      </c>
      <c r="AH1634" t="s">
        <v>325</v>
      </c>
      <c r="AI1634">
        <v>99999</v>
      </c>
      <c r="AJ1634">
        <v>99999</v>
      </c>
      <c r="AK1634">
        <v>699</v>
      </c>
      <c r="AL1634" t="b">
        <v>1</v>
      </c>
      <c r="AM1634" t="b">
        <v>1</v>
      </c>
      <c r="AN1634" t="b">
        <v>0</v>
      </c>
      <c r="AO1634">
        <v>99999</v>
      </c>
      <c r="AP1634" t="s">
        <v>64</v>
      </c>
      <c r="AR1634" t="b">
        <v>0</v>
      </c>
      <c r="AS1634">
        <v>12</v>
      </c>
      <c r="AT1634" t="s">
        <v>327</v>
      </c>
      <c r="AV1634" t="s">
        <v>2396</v>
      </c>
    </row>
    <row r="1635" spans="1:48" x14ac:dyDescent="0.25">
      <c r="A1635" t="s">
        <v>3323</v>
      </c>
      <c r="B1635" t="s">
        <v>302</v>
      </c>
      <c r="C1635" t="s">
        <v>62</v>
      </c>
      <c r="D1635">
        <v>99999</v>
      </c>
      <c r="F1635" s="109">
        <v>4000</v>
      </c>
      <c r="G1635" t="b">
        <v>0</v>
      </c>
      <c r="H1635" t="s">
        <v>329</v>
      </c>
      <c r="K1635" t="s">
        <v>349</v>
      </c>
      <c r="L1635" t="s">
        <v>303</v>
      </c>
      <c r="M1635" t="s">
        <v>323</v>
      </c>
      <c r="N1635" t="s">
        <v>63</v>
      </c>
      <c r="O1635">
        <v>29.9</v>
      </c>
      <c r="R1635">
        <v>189.89</v>
      </c>
      <c r="S1635">
        <v>39.9</v>
      </c>
      <c r="T1635" s="110">
        <v>0</v>
      </c>
      <c r="U1635">
        <v>42.99</v>
      </c>
      <c r="X1635">
        <v>62.099999999999994</v>
      </c>
      <c r="Y1635">
        <v>44.9</v>
      </c>
      <c r="Z1635">
        <v>44.9</v>
      </c>
      <c r="AA1635">
        <v>0</v>
      </c>
      <c r="AB1635" t="s">
        <v>324</v>
      </c>
      <c r="AF1635" t="s">
        <v>326</v>
      </c>
      <c r="AG1635" t="s">
        <v>326</v>
      </c>
      <c r="AH1635" t="s">
        <v>325</v>
      </c>
      <c r="AI1635">
        <v>99999</v>
      </c>
      <c r="AJ1635">
        <v>99999</v>
      </c>
      <c r="AK1635">
        <v>699</v>
      </c>
      <c r="AL1635" t="b">
        <v>1</v>
      </c>
      <c r="AM1635" t="b">
        <v>1</v>
      </c>
      <c r="AN1635" t="b">
        <v>0</v>
      </c>
      <c r="AO1635">
        <v>99999</v>
      </c>
      <c r="AP1635" t="s">
        <v>64</v>
      </c>
      <c r="AR1635" t="b">
        <v>0</v>
      </c>
      <c r="AS1635">
        <v>12</v>
      </c>
      <c r="AT1635" t="s">
        <v>327</v>
      </c>
      <c r="AV1635" t="s">
        <v>351</v>
      </c>
    </row>
    <row r="1636" spans="1:48" x14ac:dyDescent="0.25">
      <c r="A1636" t="s">
        <v>3323</v>
      </c>
      <c r="B1636" t="s">
        <v>302</v>
      </c>
      <c r="C1636" t="s">
        <v>62</v>
      </c>
      <c r="D1636">
        <v>99999</v>
      </c>
      <c r="F1636" s="109">
        <v>4000</v>
      </c>
      <c r="G1636" t="b">
        <v>0</v>
      </c>
      <c r="H1636" t="s">
        <v>329</v>
      </c>
      <c r="K1636" t="s">
        <v>349</v>
      </c>
      <c r="L1636" t="s">
        <v>303</v>
      </c>
      <c r="M1636" t="s">
        <v>323</v>
      </c>
      <c r="N1636" t="s">
        <v>63</v>
      </c>
      <c r="O1636">
        <v>29.9</v>
      </c>
      <c r="R1636">
        <v>204.89</v>
      </c>
      <c r="S1636">
        <v>39.9</v>
      </c>
      <c r="T1636" s="110">
        <v>0</v>
      </c>
      <c r="U1636">
        <v>42.99</v>
      </c>
      <c r="X1636">
        <v>77.099999999999994</v>
      </c>
      <c r="Y1636">
        <v>44.9</v>
      </c>
      <c r="Z1636">
        <v>44.9</v>
      </c>
      <c r="AA1636">
        <v>0</v>
      </c>
      <c r="AB1636" t="s">
        <v>324</v>
      </c>
      <c r="AF1636" t="s">
        <v>474</v>
      </c>
      <c r="AG1636" t="s">
        <v>474</v>
      </c>
      <c r="AH1636" t="s">
        <v>325</v>
      </c>
      <c r="AI1636">
        <v>99999</v>
      </c>
      <c r="AJ1636">
        <v>99999</v>
      </c>
      <c r="AK1636">
        <v>699</v>
      </c>
      <c r="AL1636" t="b">
        <v>1</v>
      </c>
      <c r="AM1636" t="b">
        <v>1</v>
      </c>
      <c r="AN1636" t="b">
        <v>0</v>
      </c>
      <c r="AO1636">
        <v>99999</v>
      </c>
      <c r="AP1636" t="s">
        <v>64</v>
      </c>
      <c r="AR1636" t="b">
        <v>0</v>
      </c>
      <c r="AS1636">
        <v>12</v>
      </c>
      <c r="AT1636" t="s">
        <v>327</v>
      </c>
      <c r="AV1636" t="s">
        <v>489</v>
      </c>
    </row>
    <row r="1637" spans="1:48" x14ac:dyDescent="0.25">
      <c r="A1637" t="s">
        <v>3323</v>
      </c>
      <c r="B1637" t="s">
        <v>302</v>
      </c>
      <c r="C1637" t="s">
        <v>62</v>
      </c>
      <c r="D1637">
        <v>99999</v>
      </c>
      <c r="F1637" s="109">
        <v>4000</v>
      </c>
      <c r="G1637" t="b">
        <v>0</v>
      </c>
      <c r="H1637" t="s">
        <v>329</v>
      </c>
      <c r="K1637" t="s">
        <v>349</v>
      </c>
      <c r="L1637" t="s">
        <v>303</v>
      </c>
      <c r="M1637" t="s">
        <v>323</v>
      </c>
      <c r="N1637" t="s">
        <v>63</v>
      </c>
      <c r="O1637">
        <v>29.9</v>
      </c>
      <c r="R1637">
        <v>219.89</v>
      </c>
      <c r="S1637">
        <v>59.9</v>
      </c>
      <c r="T1637" s="110">
        <v>0</v>
      </c>
      <c r="U1637">
        <v>42.99</v>
      </c>
      <c r="X1637">
        <v>72.099999999999994</v>
      </c>
      <c r="Y1637">
        <v>44.9</v>
      </c>
      <c r="Z1637">
        <v>44.9</v>
      </c>
      <c r="AA1637">
        <v>0</v>
      </c>
      <c r="AB1637" t="s">
        <v>324</v>
      </c>
      <c r="AF1637" t="s">
        <v>608</v>
      </c>
      <c r="AG1637" t="s">
        <v>608</v>
      </c>
      <c r="AH1637" t="s">
        <v>325</v>
      </c>
      <c r="AI1637">
        <v>99999</v>
      </c>
      <c r="AJ1637">
        <v>99999</v>
      </c>
      <c r="AK1637">
        <v>699</v>
      </c>
      <c r="AL1637" t="b">
        <v>1</v>
      </c>
      <c r="AM1637" t="b">
        <v>1</v>
      </c>
      <c r="AN1637" t="b">
        <v>0</v>
      </c>
      <c r="AO1637">
        <v>99999</v>
      </c>
      <c r="AP1637" t="s">
        <v>64</v>
      </c>
      <c r="AR1637" t="b">
        <v>0</v>
      </c>
      <c r="AS1637">
        <v>12</v>
      </c>
      <c r="AT1637" t="s">
        <v>327</v>
      </c>
      <c r="AV1637" t="s">
        <v>623</v>
      </c>
    </row>
    <row r="1638" spans="1:48" x14ac:dyDescent="0.25">
      <c r="A1638" t="s">
        <v>3323</v>
      </c>
      <c r="B1638" t="s">
        <v>302</v>
      </c>
      <c r="C1638" t="s">
        <v>62</v>
      </c>
      <c r="D1638">
        <v>99999</v>
      </c>
      <c r="F1638" s="109">
        <v>4000</v>
      </c>
      <c r="G1638" t="b">
        <v>0</v>
      </c>
      <c r="H1638" t="s">
        <v>329</v>
      </c>
      <c r="K1638" t="s">
        <v>349</v>
      </c>
      <c r="L1638" t="s">
        <v>303</v>
      </c>
      <c r="M1638" t="s">
        <v>323</v>
      </c>
      <c r="N1638" t="s">
        <v>63</v>
      </c>
      <c r="O1638" s="110">
        <v>39.9</v>
      </c>
      <c r="R1638" s="110">
        <v>189.89</v>
      </c>
      <c r="S1638" s="110">
        <v>39.9</v>
      </c>
      <c r="T1638" s="110">
        <v>0</v>
      </c>
      <c r="U1638" s="110">
        <v>42.99</v>
      </c>
      <c r="X1638">
        <v>62.099999999999994</v>
      </c>
      <c r="Y1638">
        <v>44.9</v>
      </c>
      <c r="Z1638">
        <v>44.9</v>
      </c>
      <c r="AA1638">
        <v>0</v>
      </c>
      <c r="AB1638" t="s">
        <v>324</v>
      </c>
      <c r="AF1638" t="s">
        <v>407</v>
      </c>
      <c r="AG1638" t="s">
        <v>407</v>
      </c>
      <c r="AH1638" t="s">
        <v>325</v>
      </c>
      <c r="AI1638">
        <v>99999</v>
      </c>
      <c r="AJ1638">
        <v>99999</v>
      </c>
      <c r="AK1638">
        <v>699</v>
      </c>
      <c r="AL1638" t="b">
        <v>1</v>
      </c>
      <c r="AM1638" t="b">
        <v>1</v>
      </c>
      <c r="AN1638" t="b">
        <v>0</v>
      </c>
      <c r="AO1638">
        <v>99999</v>
      </c>
      <c r="AP1638" t="s">
        <v>64</v>
      </c>
      <c r="AR1638" t="b">
        <v>0</v>
      </c>
      <c r="AS1638">
        <v>12</v>
      </c>
      <c r="AT1638" t="s">
        <v>327</v>
      </c>
      <c r="AV1638" t="s">
        <v>422</v>
      </c>
    </row>
    <row r="1639" spans="1:48" x14ac:dyDescent="0.25">
      <c r="A1639" t="s">
        <v>3323</v>
      </c>
      <c r="B1639" t="s">
        <v>302</v>
      </c>
      <c r="C1639" t="s">
        <v>62</v>
      </c>
      <c r="D1639">
        <v>99999</v>
      </c>
      <c r="F1639" s="109">
        <v>4000</v>
      </c>
      <c r="G1639" t="b">
        <v>0</v>
      </c>
      <c r="H1639" t="s">
        <v>329</v>
      </c>
      <c r="K1639" t="s">
        <v>349</v>
      </c>
      <c r="L1639" t="s">
        <v>303</v>
      </c>
      <c r="M1639" t="s">
        <v>323</v>
      </c>
      <c r="N1639" t="s">
        <v>63</v>
      </c>
      <c r="O1639">
        <v>39.9</v>
      </c>
      <c r="R1639">
        <v>204.89</v>
      </c>
      <c r="S1639">
        <v>39.9</v>
      </c>
      <c r="T1639" s="110">
        <v>0</v>
      </c>
      <c r="U1639">
        <v>42.99</v>
      </c>
      <c r="X1639">
        <v>77.099999999999994</v>
      </c>
      <c r="Y1639">
        <v>44.9</v>
      </c>
      <c r="Z1639">
        <v>44.9</v>
      </c>
      <c r="AA1639">
        <v>0</v>
      </c>
      <c r="AB1639" t="s">
        <v>324</v>
      </c>
      <c r="AF1639" t="s">
        <v>541</v>
      </c>
      <c r="AG1639" t="s">
        <v>541</v>
      </c>
      <c r="AH1639" t="s">
        <v>325</v>
      </c>
      <c r="AI1639">
        <v>99999</v>
      </c>
      <c r="AJ1639">
        <v>99999</v>
      </c>
      <c r="AK1639">
        <v>699</v>
      </c>
      <c r="AL1639" t="b">
        <v>1</v>
      </c>
      <c r="AM1639" t="b">
        <v>1</v>
      </c>
      <c r="AN1639" t="b">
        <v>0</v>
      </c>
      <c r="AO1639">
        <v>99999</v>
      </c>
      <c r="AP1639" t="s">
        <v>64</v>
      </c>
      <c r="AR1639" t="b">
        <v>0</v>
      </c>
      <c r="AS1639">
        <v>12</v>
      </c>
      <c r="AT1639" t="s">
        <v>327</v>
      </c>
      <c r="AV1639" t="s">
        <v>556</v>
      </c>
    </row>
    <row r="1640" spans="1:48" x14ac:dyDescent="0.25">
      <c r="A1640" t="s">
        <v>3323</v>
      </c>
      <c r="B1640" t="s">
        <v>302</v>
      </c>
      <c r="C1640" t="s">
        <v>62</v>
      </c>
      <c r="D1640">
        <v>99999</v>
      </c>
      <c r="F1640" s="109">
        <v>4000</v>
      </c>
      <c r="G1640" t="b">
        <v>0</v>
      </c>
      <c r="H1640" t="s">
        <v>329</v>
      </c>
      <c r="K1640" t="s">
        <v>349</v>
      </c>
      <c r="L1640" t="s">
        <v>303</v>
      </c>
      <c r="M1640" t="s">
        <v>323</v>
      </c>
      <c r="N1640" t="s">
        <v>63</v>
      </c>
      <c r="O1640">
        <v>39.9</v>
      </c>
      <c r="R1640">
        <v>219.89</v>
      </c>
      <c r="S1640">
        <v>59.9</v>
      </c>
      <c r="T1640" s="110">
        <v>0</v>
      </c>
      <c r="U1640">
        <v>42.99</v>
      </c>
      <c r="X1640">
        <v>72.099999999999994</v>
      </c>
      <c r="Y1640">
        <v>44.9</v>
      </c>
      <c r="Z1640">
        <v>44.9</v>
      </c>
      <c r="AA1640">
        <v>0</v>
      </c>
      <c r="AB1640" t="s">
        <v>324</v>
      </c>
      <c r="AF1640" t="s">
        <v>675</v>
      </c>
      <c r="AG1640" t="s">
        <v>675</v>
      </c>
      <c r="AH1640" t="s">
        <v>325</v>
      </c>
      <c r="AI1640">
        <v>99999</v>
      </c>
      <c r="AJ1640">
        <v>99999</v>
      </c>
      <c r="AK1640">
        <v>699</v>
      </c>
      <c r="AL1640" t="b">
        <v>1</v>
      </c>
      <c r="AM1640" t="b">
        <v>1</v>
      </c>
      <c r="AN1640" t="b">
        <v>0</v>
      </c>
      <c r="AO1640">
        <v>99999</v>
      </c>
      <c r="AP1640" t="s">
        <v>64</v>
      </c>
      <c r="AR1640" t="b">
        <v>0</v>
      </c>
      <c r="AS1640">
        <v>12</v>
      </c>
      <c r="AT1640" t="s">
        <v>327</v>
      </c>
      <c r="AV1640" t="s">
        <v>690</v>
      </c>
    </row>
    <row r="1641" spans="1:48" x14ac:dyDescent="0.25">
      <c r="A1641" t="s">
        <v>3323</v>
      </c>
      <c r="B1641" t="s">
        <v>302</v>
      </c>
      <c r="C1641" t="s">
        <v>62</v>
      </c>
      <c r="D1641">
        <v>99999</v>
      </c>
      <c r="F1641" s="109">
        <v>4000</v>
      </c>
      <c r="G1641" t="b">
        <v>0</v>
      </c>
      <c r="H1641" t="s">
        <v>329</v>
      </c>
      <c r="K1641" t="s">
        <v>349</v>
      </c>
      <c r="L1641" t="s">
        <v>303</v>
      </c>
      <c r="M1641" t="s">
        <v>323</v>
      </c>
      <c r="N1641" t="s">
        <v>63</v>
      </c>
      <c r="O1641" s="110">
        <v>49.9</v>
      </c>
      <c r="R1641" s="110">
        <v>265.68999999999994</v>
      </c>
      <c r="S1641" s="110">
        <v>130</v>
      </c>
      <c r="T1641" s="110">
        <v>0</v>
      </c>
      <c r="U1641" s="110">
        <v>34.99</v>
      </c>
      <c r="X1641">
        <v>55.799999999999983</v>
      </c>
      <c r="Y1641">
        <v>44.9</v>
      </c>
      <c r="Z1641">
        <v>44.9</v>
      </c>
      <c r="AA1641">
        <v>0</v>
      </c>
      <c r="AB1641" t="s">
        <v>324</v>
      </c>
      <c r="AF1641" t="s">
        <v>2185</v>
      </c>
      <c r="AG1641" t="s">
        <v>2185</v>
      </c>
      <c r="AH1641" t="s">
        <v>325</v>
      </c>
      <c r="AI1641">
        <v>99999</v>
      </c>
      <c r="AJ1641">
        <v>99999</v>
      </c>
      <c r="AK1641">
        <v>699</v>
      </c>
      <c r="AL1641" t="b">
        <v>1</v>
      </c>
      <c r="AM1641" t="b">
        <v>1</v>
      </c>
      <c r="AN1641" t="b">
        <v>0</v>
      </c>
      <c r="AO1641">
        <v>99999</v>
      </c>
      <c r="AP1641" t="s">
        <v>64</v>
      </c>
      <c r="AR1641" t="b">
        <v>0</v>
      </c>
      <c r="AS1641">
        <v>12</v>
      </c>
      <c r="AT1641" t="s">
        <v>327</v>
      </c>
      <c r="AV1641" t="s">
        <v>2200</v>
      </c>
    </row>
    <row r="1642" spans="1:48" x14ac:dyDescent="0.25">
      <c r="A1642" t="s">
        <v>3323</v>
      </c>
      <c r="B1642" t="s">
        <v>302</v>
      </c>
      <c r="C1642" t="s">
        <v>62</v>
      </c>
      <c r="D1642">
        <v>99999</v>
      </c>
      <c r="F1642" s="109">
        <v>4000</v>
      </c>
      <c r="G1642" t="b">
        <v>0</v>
      </c>
      <c r="H1642" t="s">
        <v>329</v>
      </c>
      <c r="K1642" t="s">
        <v>349</v>
      </c>
      <c r="L1642" t="s">
        <v>303</v>
      </c>
      <c r="M1642" t="s">
        <v>323</v>
      </c>
      <c r="N1642" t="s">
        <v>63</v>
      </c>
      <c r="O1642" s="110">
        <v>49.9</v>
      </c>
      <c r="R1642" s="110">
        <v>279.99</v>
      </c>
      <c r="S1642" s="110">
        <v>130</v>
      </c>
      <c r="T1642" s="110">
        <v>0</v>
      </c>
      <c r="U1642" s="110">
        <v>42.99</v>
      </c>
      <c r="X1642">
        <v>62.099999999999994</v>
      </c>
      <c r="Y1642">
        <v>44.9</v>
      </c>
      <c r="Z1642">
        <v>44.9</v>
      </c>
      <c r="AA1642">
        <v>0</v>
      </c>
      <c r="AB1642" t="s">
        <v>324</v>
      </c>
      <c r="AF1642" t="s">
        <v>2259</v>
      </c>
      <c r="AG1642" t="s">
        <v>2259</v>
      </c>
      <c r="AH1642" t="s">
        <v>325</v>
      </c>
      <c r="AI1642">
        <v>99999</v>
      </c>
      <c r="AJ1642">
        <v>99999</v>
      </c>
      <c r="AK1642">
        <v>699</v>
      </c>
      <c r="AL1642" t="b">
        <v>1</v>
      </c>
      <c r="AM1642" t="b">
        <v>1</v>
      </c>
      <c r="AN1642" t="b">
        <v>0</v>
      </c>
      <c r="AO1642">
        <v>99999</v>
      </c>
      <c r="AP1642" t="s">
        <v>64</v>
      </c>
      <c r="AR1642" t="b">
        <v>0</v>
      </c>
      <c r="AS1642">
        <v>12</v>
      </c>
      <c r="AT1642" t="s">
        <v>327</v>
      </c>
      <c r="AV1642" t="s">
        <v>2274</v>
      </c>
    </row>
    <row r="1643" spans="1:48" x14ac:dyDescent="0.25">
      <c r="A1643" t="s">
        <v>3323</v>
      </c>
      <c r="B1643" t="s">
        <v>302</v>
      </c>
      <c r="C1643" t="s">
        <v>62</v>
      </c>
      <c r="D1643">
        <v>99999</v>
      </c>
      <c r="F1643" s="109">
        <v>4000</v>
      </c>
      <c r="G1643" t="b">
        <v>0</v>
      </c>
      <c r="H1643" t="s">
        <v>329</v>
      </c>
      <c r="K1643" t="s">
        <v>349</v>
      </c>
      <c r="L1643" t="s">
        <v>303</v>
      </c>
      <c r="M1643" t="s">
        <v>323</v>
      </c>
      <c r="N1643" t="s">
        <v>63</v>
      </c>
      <c r="O1643" s="110">
        <v>49.9</v>
      </c>
      <c r="R1643" s="110">
        <v>294.99</v>
      </c>
      <c r="S1643" s="110">
        <v>130</v>
      </c>
      <c r="T1643" s="110">
        <v>0</v>
      </c>
      <c r="U1643" s="110">
        <v>42.99</v>
      </c>
      <c r="X1643">
        <v>77.099999999999994</v>
      </c>
      <c r="Y1643">
        <v>44.9</v>
      </c>
      <c r="Z1643">
        <v>44.9</v>
      </c>
      <c r="AA1643">
        <v>0</v>
      </c>
      <c r="AB1643" t="s">
        <v>324</v>
      </c>
      <c r="AF1643" t="s">
        <v>2326</v>
      </c>
      <c r="AG1643" t="s">
        <v>2326</v>
      </c>
      <c r="AH1643" t="s">
        <v>325</v>
      </c>
      <c r="AI1643">
        <v>99999</v>
      </c>
      <c r="AJ1643">
        <v>99999</v>
      </c>
      <c r="AK1643">
        <v>699</v>
      </c>
      <c r="AL1643" t="b">
        <v>1</v>
      </c>
      <c r="AM1643" t="b">
        <v>1</v>
      </c>
      <c r="AN1643" t="b">
        <v>0</v>
      </c>
      <c r="AO1643">
        <v>99999</v>
      </c>
      <c r="AP1643" t="s">
        <v>64</v>
      </c>
      <c r="AR1643" t="b">
        <v>0</v>
      </c>
      <c r="AS1643">
        <v>12</v>
      </c>
      <c r="AT1643" t="s">
        <v>327</v>
      </c>
      <c r="AV1643" t="s">
        <v>2341</v>
      </c>
    </row>
    <row r="1644" spans="1:48" x14ac:dyDescent="0.25">
      <c r="A1644" t="s">
        <v>3323</v>
      </c>
      <c r="B1644" t="s">
        <v>302</v>
      </c>
      <c r="C1644" t="s">
        <v>62</v>
      </c>
      <c r="D1644">
        <v>99999</v>
      </c>
      <c r="F1644" s="109">
        <v>4000</v>
      </c>
      <c r="G1644" t="b">
        <v>0</v>
      </c>
      <c r="H1644" t="s">
        <v>329</v>
      </c>
      <c r="K1644" t="s">
        <v>349</v>
      </c>
      <c r="L1644" t="s">
        <v>303</v>
      </c>
      <c r="M1644" t="s">
        <v>323</v>
      </c>
      <c r="N1644" t="s">
        <v>63</v>
      </c>
      <c r="O1644" s="110">
        <v>49.9</v>
      </c>
      <c r="R1644" s="110">
        <v>289.99</v>
      </c>
      <c r="S1644" s="110">
        <v>130</v>
      </c>
      <c r="T1644" s="110">
        <v>0</v>
      </c>
      <c r="U1644" s="110">
        <v>42.99</v>
      </c>
      <c r="X1644">
        <v>72.099999999999994</v>
      </c>
      <c r="Y1644">
        <v>44.9</v>
      </c>
      <c r="Z1644">
        <v>44.9</v>
      </c>
      <c r="AA1644">
        <v>0</v>
      </c>
      <c r="AB1644" t="s">
        <v>324</v>
      </c>
      <c r="AF1644" t="s">
        <v>2393</v>
      </c>
      <c r="AG1644" t="s">
        <v>2393</v>
      </c>
      <c r="AH1644" t="s">
        <v>325</v>
      </c>
      <c r="AI1644">
        <v>99999</v>
      </c>
      <c r="AJ1644">
        <v>99999</v>
      </c>
      <c r="AK1644">
        <v>699</v>
      </c>
      <c r="AL1644" t="b">
        <v>1</v>
      </c>
      <c r="AM1644" t="b">
        <v>1</v>
      </c>
      <c r="AN1644" t="b">
        <v>0</v>
      </c>
      <c r="AO1644">
        <v>99999</v>
      </c>
      <c r="AP1644" t="s">
        <v>64</v>
      </c>
      <c r="AR1644" t="b">
        <v>0</v>
      </c>
      <c r="AS1644">
        <v>12</v>
      </c>
      <c r="AT1644" t="s">
        <v>327</v>
      </c>
      <c r="AV1644" t="s">
        <v>2408</v>
      </c>
    </row>
    <row r="1645" spans="1:48" x14ac:dyDescent="0.25">
      <c r="A1645" t="s">
        <v>3323</v>
      </c>
      <c r="B1645" t="s">
        <v>302</v>
      </c>
      <c r="C1645" t="s">
        <v>62</v>
      </c>
      <c r="D1645">
        <v>99999</v>
      </c>
      <c r="F1645" s="109">
        <v>4000</v>
      </c>
      <c r="G1645" t="b">
        <v>0</v>
      </c>
      <c r="H1645" t="s">
        <v>329</v>
      </c>
      <c r="K1645" t="s">
        <v>393</v>
      </c>
      <c r="L1645" t="s">
        <v>303</v>
      </c>
      <c r="M1645" t="s">
        <v>323</v>
      </c>
      <c r="N1645" t="s">
        <v>63</v>
      </c>
      <c r="O1645">
        <v>29.9</v>
      </c>
      <c r="R1645">
        <v>214.89000000000001</v>
      </c>
      <c r="S1645">
        <v>39.9</v>
      </c>
      <c r="T1645" s="110">
        <v>0</v>
      </c>
      <c r="U1645">
        <v>42.99</v>
      </c>
      <c r="X1645">
        <v>62.099999999999994</v>
      </c>
      <c r="Y1645">
        <v>69.900000000000006</v>
      </c>
      <c r="Z1645">
        <v>69.900000000000006</v>
      </c>
      <c r="AA1645">
        <v>0</v>
      </c>
      <c r="AB1645" t="s">
        <v>363</v>
      </c>
      <c r="AF1645" t="s">
        <v>365</v>
      </c>
      <c r="AG1645" t="s">
        <v>365</v>
      </c>
      <c r="AH1645" t="s">
        <v>325</v>
      </c>
      <c r="AI1645">
        <v>99999</v>
      </c>
      <c r="AJ1645">
        <v>99999</v>
      </c>
      <c r="AK1645">
        <v>699</v>
      </c>
      <c r="AL1645" t="b">
        <v>1</v>
      </c>
      <c r="AM1645" t="b">
        <v>1</v>
      </c>
      <c r="AN1645" t="b">
        <v>0</v>
      </c>
      <c r="AO1645">
        <v>99999</v>
      </c>
      <c r="AP1645" t="s">
        <v>64</v>
      </c>
      <c r="AR1645" t="b">
        <v>0</v>
      </c>
      <c r="AS1645">
        <v>12</v>
      </c>
      <c r="AT1645" t="s">
        <v>327</v>
      </c>
      <c r="AV1645" t="s">
        <v>395</v>
      </c>
    </row>
    <row r="1646" spans="1:48" x14ac:dyDescent="0.25">
      <c r="A1646" t="s">
        <v>3323</v>
      </c>
      <c r="B1646" t="s">
        <v>302</v>
      </c>
      <c r="C1646" t="s">
        <v>62</v>
      </c>
      <c r="D1646">
        <v>99999</v>
      </c>
      <c r="F1646" s="109">
        <v>4000</v>
      </c>
      <c r="G1646" t="b">
        <v>0</v>
      </c>
      <c r="H1646" t="s">
        <v>329</v>
      </c>
      <c r="K1646" t="s">
        <v>393</v>
      </c>
      <c r="L1646" t="s">
        <v>303</v>
      </c>
      <c r="M1646" t="s">
        <v>323</v>
      </c>
      <c r="N1646" t="s">
        <v>63</v>
      </c>
      <c r="O1646">
        <v>29.9</v>
      </c>
      <c r="R1646">
        <v>229.89000000000001</v>
      </c>
      <c r="S1646">
        <v>39.9</v>
      </c>
      <c r="T1646" s="110">
        <v>0</v>
      </c>
      <c r="U1646">
        <v>42.99</v>
      </c>
      <c r="X1646">
        <v>77.099999999999994</v>
      </c>
      <c r="Y1646">
        <v>69.900000000000006</v>
      </c>
      <c r="Z1646">
        <v>69.900000000000006</v>
      </c>
      <c r="AA1646">
        <v>0</v>
      </c>
      <c r="AB1646" t="s">
        <v>363</v>
      </c>
      <c r="AF1646" t="s">
        <v>501</v>
      </c>
      <c r="AG1646" t="s">
        <v>501</v>
      </c>
      <c r="AH1646" t="s">
        <v>325</v>
      </c>
      <c r="AI1646">
        <v>99999</v>
      </c>
      <c r="AJ1646">
        <v>99999</v>
      </c>
      <c r="AK1646">
        <v>699</v>
      </c>
      <c r="AL1646" t="b">
        <v>1</v>
      </c>
      <c r="AM1646" t="b">
        <v>1</v>
      </c>
      <c r="AN1646" t="b">
        <v>0</v>
      </c>
      <c r="AO1646">
        <v>99999</v>
      </c>
      <c r="AP1646" t="s">
        <v>64</v>
      </c>
      <c r="AR1646" t="b">
        <v>0</v>
      </c>
      <c r="AS1646">
        <v>12</v>
      </c>
      <c r="AT1646" t="s">
        <v>327</v>
      </c>
      <c r="AV1646" t="s">
        <v>529</v>
      </c>
    </row>
    <row r="1647" spans="1:48" x14ac:dyDescent="0.25">
      <c r="A1647" t="s">
        <v>3323</v>
      </c>
      <c r="B1647" t="s">
        <v>302</v>
      </c>
      <c r="C1647" t="s">
        <v>62</v>
      </c>
      <c r="D1647">
        <v>99999</v>
      </c>
      <c r="F1647" s="109">
        <v>4000</v>
      </c>
      <c r="G1647" t="b">
        <v>0</v>
      </c>
      <c r="H1647" t="s">
        <v>329</v>
      </c>
      <c r="K1647" t="s">
        <v>393</v>
      </c>
      <c r="L1647" t="s">
        <v>303</v>
      </c>
      <c r="M1647" t="s">
        <v>323</v>
      </c>
      <c r="N1647" t="s">
        <v>63</v>
      </c>
      <c r="O1647">
        <v>29.9</v>
      </c>
      <c r="R1647">
        <v>244.89000000000001</v>
      </c>
      <c r="S1647">
        <v>59.9</v>
      </c>
      <c r="T1647" s="110">
        <v>0</v>
      </c>
      <c r="U1647">
        <v>42.99</v>
      </c>
      <c r="X1647">
        <v>72.099999999999994</v>
      </c>
      <c r="Y1647">
        <v>69.900000000000006</v>
      </c>
      <c r="Z1647">
        <v>69.900000000000006</v>
      </c>
      <c r="AA1647">
        <v>0</v>
      </c>
      <c r="AB1647" t="s">
        <v>363</v>
      </c>
      <c r="AF1647" t="s">
        <v>635</v>
      </c>
      <c r="AG1647" t="s">
        <v>635</v>
      </c>
      <c r="AH1647" t="s">
        <v>325</v>
      </c>
      <c r="AI1647">
        <v>99999</v>
      </c>
      <c r="AJ1647">
        <v>99999</v>
      </c>
      <c r="AK1647">
        <v>699</v>
      </c>
      <c r="AL1647" t="b">
        <v>1</v>
      </c>
      <c r="AM1647" t="b">
        <v>1</v>
      </c>
      <c r="AN1647" t="b">
        <v>0</v>
      </c>
      <c r="AO1647">
        <v>99999</v>
      </c>
      <c r="AP1647" t="s">
        <v>64</v>
      </c>
      <c r="AR1647" t="b">
        <v>0</v>
      </c>
      <c r="AS1647">
        <v>12</v>
      </c>
      <c r="AT1647" t="s">
        <v>327</v>
      </c>
      <c r="AV1647" t="s">
        <v>663</v>
      </c>
    </row>
    <row r="1648" spans="1:48" x14ac:dyDescent="0.25">
      <c r="A1648" t="s">
        <v>3323</v>
      </c>
      <c r="B1648" t="s">
        <v>302</v>
      </c>
      <c r="C1648" t="s">
        <v>62</v>
      </c>
      <c r="D1648">
        <v>99999</v>
      </c>
      <c r="F1648" s="109">
        <v>4000</v>
      </c>
      <c r="G1648" t="b">
        <v>0</v>
      </c>
      <c r="H1648" t="s">
        <v>329</v>
      </c>
      <c r="K1648" t="s">
        <v>393</v>
      </c>
      <c r="L1648" t="s">
        <v>303</v>
      </c>
      <c r="M1648" t="s">
        <v>323</v>
      </c>
      <c r="N1648" t="s">
        <v>63</v>
      </c>
      <c r="O1648" s="110">
        <v>39.9</v>
      </c>
      <c r="R1648" s="110">
        <v>214.89000000000001</v>
      </c>
      <c r="S1648" s="110">
        <v>39.9</v>
      </c>
      <c r="T1648" s="110">
        <v>0</v>
      </c>
      <c r="U1648" s="110">
        <v>42.99</v>
      </c>
      <c r="X1648">
        <v>62.099999999999994</v>
      </c>
      <c r="Y1648">
        <v>69.900000000000006</v>
      </c>
      <c r="Z1648">
        <v>69.900000000000006</v>
      </c>
      <c r="AA1648">
        <v>0</v>
      </c>
      <c r="AB1648" t="s">
        <v>363</v>
      </c>
      <c r="AF1648" t="s">
        <v>434</v>
      </c>
      <c r="AG1648" t="s">
        <v>434</v>
      </c>
      <c r="AH1648" t="s">
        <v>325</v>
      </c>
      <c r="AI1648">
        <v>99999</v>
      </c>
      <c r="AJ1648">
        <v>99999</v>
      </c>
      <c r="AK1648">
        <v>699</v>
      </c>
      <c r="AL1648" t="b">
        <v>1</v>
      </c>
      <c r="AM1648" t="b">
        <v>1</v>
      </c>
      <c r="AN1648" t="b">
        <v>0</v>
      </c>
      <c r="AO1648">
        <v>99999</v>
      </c>
      <c r="AP1648" t="s">
        <v>64</v>
      </c>
      <c r="AR1648" t="b">
        <v>0</v>
      </c>
      <c r="AS1648">
        <v>12</v>
      </c>
      <c r="AT1648" t="s">
        <v>327</v>
      </c>
      <c r="AV1648" t="s">
        <v>462</v>
      </c>
    </row>
    <row r="1649" spans="1:48" x14ac:dyDescent="0.25">
      <c r="A1649" t="s">
        <v>3323</v>
      </c>
      <c r="B1649" t="s">
        <v>302</v>
      </c>
      <c r="C1649" t="s">
        <v>62</v>
      </c>
      <c r="D1649">
        <v>99999</v>
      </c>
      <c r="F1649" s="109">
        <v>4000</v>
      </c>
      <c r="G1649" t="b">
        <v>0</v>
      </c>
      <c r="H1649" t="s">
        <v>329</v>
      </c>
      <c r="K1649" t="s">
        <v>393</v>
      </c>
      <c r="L1649" t="s">
        <v>303</v>
      </c>
      <c r="M1649" t="s">
        <v>323</v>
      </c>
      <c r="N1649" t="s">
        <v>63</v>
      </c>
      <c r="O1649">
        <v>39.9</v>
      </c>
      <c r="R1649">
        <v>229.89000000000001</v>
      </c>
      <c r="S1649">
        <v>39.9</v>
      </c>
      <c r="T1649" s="110">
        <v>0</v>
      </c>
      <c r="U1649">
        <v>42.99</v>
      </c>
      <c r="X1649">
        <v>77.099999999999994</v>
      </c>
      <c r="Y1649">
        <v>69.900000000000006</v>
      </c>
      <c r="Z1649">
        <v>69.900000000000006</v>
      </c>
      <c r="AA1649">
        <v>0</v>
      </c>
      <c r="AB1649" t="s">
        <v>363</v>
      </c>
      <c r="AF1649" t="s">
        <v>568</v>
      </c>
      <c r="AG1649" t="s">
        <v>568</v>
      </c>
      <c r="AH1649" t="s">
        <v>325</v>
      </c>
      <c r="AI1649">
        <v>99999</v>
      </c>
      <c r="AJ1649">
        <v>99999</v>
      </c>
      <c r="AK1649">
        <v>699</v>
      </c>
      <c r="AL1649" t="b">
        <v>1</v>
      </c>
      <c r="AM1649" t="b">
        <v>1</v>
      </c>
      <c r="AN1649" t="b">
        <v>0</v>
      </c>
      <c r="AO1649">
        <v>99999</v>
      </c>
      <c r="AP1649" t="s">
        <v>64</v>
      </c>
      <c r="AR1649" t="b">
        <v>0</v>
      </c>
      <c r="AS1649">
        <v>12</v>
      </c>
      <c r="AT1649" t="s">
        <v>327</v>
      </c>
      <c r="AV1649" t="s">
        <v>596</v>
      </c>
    </row>
    <row r="1650" spans="1:48" x14ac:dyDescent="0.25">
      <c r="A1650" t="s">
        <v>3323</v>
      </c>
      <c r="B1650" t="s">
        <v>302</v>
      </c>
      <c r="C1650" t="s">
        <v>62</v>
      </c>
      <c r="D1650">
        <v>99999</v>
      </c>
      <c r="F1650" s="109">
        <v>4000</v>
      </c>
      <c r="G1650" t="b">
        <v>0</v>
      </c>
      <c r="H1650" t="s">
        <v>329</v>
      </c>
      <c r="K1650" t="s">
        <v>393</v>
      </c>
      <c r="L1650" t="s">
        <v>303</v>
      </c>
      <c r="M1650" t="s">
        <v>323</v>
      </c>
      <c r="N1650" t="s">
        <v>63</v>
      </c>
      <c r="O1650">
        <v>39.9</v>
      </c>
      <c r="R1650">
        <v>244.89000000000001</v>
      </c>
      <c r="S1650">
        <v>59.9</v>
      </c>
      <c r="T1650" s="110">
        <v>0</v>
      </c>
      <c r="U1650">
        <v>42.99</v>
      </c>
      <c r="X1650">
        <v>72.099999999999994</v>
      </c>
      <c r="Y1650">
        <v>69.900000000000006</v>
      </c>
      <c r="Z1650">
        <v>69.900000000000006</v>
      </c>
      <c r="AA1650">
        <v>0</v>
      </c>
      <c r="AB1650" t="s">
        <v>363</v>
      </c>
      <c r="AF1650" t="s">
        <v>702</v>
      </c>
      <c r="AG1650" t="s">
        <v>702</v>
      </c>
      <c r="AH1650" t="s">
        <v>325</v>
      </c>
      <c r="AI1650">
        <v>99999</v>
      </c>
      <c r="AJ1650">
        <v>99999</v>
      </c>
      <c r="AK1650">
        <v>699</v>
      </c>
      <c r="AL1650" t="b">
        <v>1</v>
      </c>
      <c r="AM1650" t="b">
        <v>1</v>
      </c>
      <c r="AN1650" t="b">
        <v>0</v>
      </c>
      <c r="AO1650">
        <v>99999</v>
      </c>
      <c r="AP1650" t="s">
        <v>64</v>
      </c>
      <c r="AR1650" t="b">
        <v>0</v>
      </c>
      <c r="AS1650">
        <v>12</v>
      </c>
      <c r="AT1650" t="s">
        <v>327</v>
      </c>
      <c r="AV1650" t="s">
        <v>730</v>
      </c>
    </row>
    <row r="1651" spans="1:48" x14ac:dyDescent="0.25">
      <c r="A1651" t="s">
        <v>3323</v>
      </c>
      <c r="B1651" t="s">
        <v>302</v>
      </c>
      <c r="C1651" t="s">
        <v>62</v>
      </c>
      <c r="D1651">
        <v>99999</v>
      </c>
      <c r="F1651" s="109">
        <v>4000</v>
      </c>
      <c r="G1651" t="b">
        <v>0</v>
      </c>
      <c r="H1651" t="s">
        <v>329</v>
      </c>
      <c r="K1651" t="s">
        <v>393</v>
      </c>
      <c r="L1651" t="s">
        <v>303</v>
      </c>
      <c r="M1651" t="s">
        <v>323</v>
      </c>
      <c r="N1651" t="s">
        <v>63</v>
      </c>
      <c r="O1651" s="110">
        <v>49.9</v>
      </c>
      <c r="R1651" s="110">
        <v>290.69</v>
      </c>
      <c r="S1651" s="110">
        <v>130</v>
      </c>
      <c r="T1651" s="110">
        <v>0</v>
      </c>
      <c r="U1651" s="110">
        <v>34.99</v>
      </c>
      <c r="X1651">
        <v>55.799999999999983</v>
      </c>
      <c r="Y1651">
        <v>69.900000000000006</v>
      </c>
      <c r="Z1651">
        <v>69.900000000000006</v>
      </c>
      <c r="AA1651">
        <v>0</v>
      </c>
      <c r="AB1651" t="s">
        <v>363</v>
      </c>
      <c r="AF1651" t="s">
        <v>2212</v>
      </c>
      <c r="AG1651" t="s">
        <v>2212</v>
      </c>
      <c r="AH1651" t="s">
        <v>325</v>
      </c>
      <c r="AI1651">
        <v>99999</v>
      </c>
      <c r="AJ1651">
        <v>99999</v>
      </c>
      <c r="AK1651">
        <v>699</v>
      </c>
      <c r="AL1651" t="b">
        <v>1</v>
      </c>
      <c r="AM1651" t="b">
        <v>1</v>
      </c>
      <c r="AN1651" t="b">
        <v>0</v>
      </c>
      <c r="AO1651">
        <v>99999</v>
      </c>
      <c r="AP1651" t="s">
        <v>64</v>
      </c>
      <c r="AR1651" t="b">
        <v>0</v>
      </c>
      <c r="AS1651">
        <v>12</v>
      </c>
      <c r="AT1651" t="s">
        <v>327</v>
      </c>
      <c r="AV1651" t="s">
        <v>2240</v>
      </c>
    </row>
    <row r="1652" spans="1:48" x14ac:dyDescent="0.25">
      <c r="A1652" t="s">
        <v>3323</v>
      </c>
      <c r="B1652" t="s">
        <v>302</v>
      </c>
      <c r="C1652" t="s">
        <v>62</v>
      </c>
      <c r="D1652">
        <v>99999</v>
      </c>
      <c r="F1652" s="109">
        <v>4000</v>
      </c>
      <c r="G1652" t="b">
        <v>0</v>
      </c>
      <c r="H1652" t="s">
        <v>329</v>
      </c>
      <c r="K1652" t="s">
        <v>393</v>
      </c>
      <c r="L1652" t="s">
        <v>303</v>
      </c>
      <c r="M1652" t="s">
        <v>323</v>
      </c>
      <c r="N1652" t="s">
        <v>63</v>
      </c>
      <c r="O1652" s="110">
        <v>49.9</v>
      </c>
      <c r="R1652" s="110">
        <v>304.99</v>
      </c>
      <c r="S1652" s="110">
        <v>130</v>
      </c>
      <c r="T1652" s="110">
        <v>0</v>
      </c>
      <c r="U1652" s="110">
        <v>42.99</v>
      </c>
      <c r="X1652">
        <v>62.099999999999994</v>
      </c>
      <c r="Y1652">
        <v>69.900000000000006</v>
      </c>
      <c r="Z1652">
        <v>69.900000000000006</v>
      </c>
      <c r="AA1652">
        <v>0</v>
      </c>
      <c r="AB1652" t="s">
        <v>363</v>
      </c>
      <c r="AF1652" t="s">
        <v>2286</v>
      </c>
      <c r="AG1652" t="s">
        <v>2286</v>
      </c>
      <c r="AH1652" t="s">
        <v>325</v>
      </c>
      <c r="AI1652">
        <v>99999</v>
      </c>
      <c r="AJ1652">
        <v>99999</v>
      </c>
      <c r="AK1652">
        <v>699</v>
      </c>
      <c r="AL1652" t="b">
        <v>1</v>
      </c>
      <c r="AM1652" t="b">
        <v>1</v>
      </c>
      <c r="AN1652" t="b">
        <v>0</v>
      </c>
      <c r="AO1652">
        <v>99999</v>
      </c>
      <c r="AP1652" t="s">
        <v>64</v>
      </c>
      <c r="AR1652" t="b">
        <v>0</v>
      </c>
      <c r="AS1652">
        <v>12</v>
      </c>
      <c r="AT1652" t="s">
        <v>327</v>
      </c>
      <c r="AV1652" t="s">
        <v>2314</v>
      </c>
    </row>
    <row r="1653" spans="1:48" x14ac:dyDescent="0.25">
      <c r="A1653" t="s">
        <v>3323</v>
      </c>
      <c r="B1653" t="s">
        <v>302</v>
      </c>
      <c r="C1653" t="s">
        <v>62</v>
      </c>
      <c r="D1653">
        <v>99999</v>
      </c>
      <c r="F1653" s="109">
        <v>4000</v>
      </c>
      <c r="G1653" t="b">
        <v>0</v>
      </c>
      <c r="H1653" t="s">
        <v>329</v>
      </c>
      <c r="K1653" t="s">
        <v>393</v>
      </c>
      <c r="L1653" t="s">
        <v>303</v>
      </c>
      <c r="M1653" t="s">
        <v>323</v>
      </c>
      <c r="N1653" t="s">
        <v>63</v>
      </c>
      <c r="O1653" s="110">
        <v>49.9</v>
      </c>
      <c r="R1653" s="110">
        <v>319.99</v>
      </c>
      <c r="S1653" s="110">
        <v>130</v>
      </c>
      <c r="T1653" s="110">
        <v>0</v>
      </c>
      <c r="U1653" s="110">
        <v>42.99</v>
      </c>
      <c r="X1653">
        <v>77.099999999999994</v>
      </c>
      <c r="Y1653">
        <v>69.900000000000006</v>
      </c>
      <c r="Z1653">
        <v>69.900000000000006</v>
      </c>
      <c r="AA1653">
        <v>0</v>
      </c>
      <c r="AB1653" t="s">
        <v>363</v>
      </c>
      <c r="AF1653" t="s">
        <v>2353</v>
      </c>
      <c r="AG1653" t="s">
        <v>2353</v>
      </c>
      <c r="AH1653" t="s">
        <v>325</v>
      </c>
      <c r="AI1653">
        <v>99999</v>
      </c>
      <c r="AJ1653">
        <v>99999</v>
      </c>
      <c r="AK1653">
        <v>699</v>
      </c>
      <c r="AL1653" t="b">
        <v>1</v>
      </c>
      <c r="AM1653" t="b">
        <v>1</v>
      </c>
      <c r="AN1653" t="b">
        <v>0</v>
      </c>
      <c r="AO1653">
        <v>99999</v>
      </c>
      <c r="AP1653" t="s">
        <v>64</v>
      </c>
      <c r="AR1653" t="b">
        <v>0</v>
      </c>
      <c r="AS1653">
        <v>12</v>
      </c>
      <c r="AT1653" t="s">
        <v>327</v>
      </c>
      <c r="AV1653" t="s">
        <v>2381</v>
      </c>
    </row>
    <row r="1654" spans="1:48" x14ac:dyDescent="0.25">
      <c r="A1654" t="s">
        <v>3323</v>
      </c>
      <c r="B1654" t="s">
        <v>302</v>
      </c>
      <c r="C1654" t="s">
        <v>62</v>
      </c>
      <c r="D1654">
        <v>99999</v>
      </c>
      <c r="F1654" s="109">
        <v>4000</v>
      </c>
      <c r="G1654" t="b">
        <v>0</v>
      </c>
      <c r="H1654" t="s">
        <v>329</v>
      </c>
      <c r="K1654" t="s">
        <v>393</v>
      </c>
      <c r="L1654" t="s">
        <v>303</v>
      </c>
      <c r="M1654" t="s">
        <v>323</v>
      </c>
      <c r="N1654" t="s">
        <v>63</v>
      </c>
      <c r="O1654" s="110">
        <v>49.9</v>
      </c>
      <c r="R1654" s="110">
        <v>314.99</v>
      </c>
      <c r="S1654" s="110">
        <v>130</v>
      </c>
      <c r="T1654" s="110">
        <v>0</v>
      </c>
      <c r="U1654" s="110">
        <v>42.99</v>
      </c>
      <c r="X1654">
        <v>72.099999999999994</v>
      </c>
      <c r="Y1654">
        <v>69.900000000000006</v>
      </c>
      <c r="Z1654">
        <v>69.900000000000006</v>
      </c>
      <c r="AA1654">
        <v>0</v>
      </c>
      <c r="AB1654" t="s">
        <v>363</v>
      </c>
      <c r="AF1654" t="s">
        <v>2420</v>
      </c>
      <c r="AG1654" t="s">
        <v>2420</v>
      </c>
      <c r="AH1654" t="s">
        <v>325</v>
      </c>
      <c r="AI1654">
        <v>99999</v>
      </c>
      <c r="AJ1654">
        <v>99999</v>
      </c>
      <c r="AK1654">
        <v>699</v>
      </c>
      <c r="AL1654" t="b">
        <v>1</v>
      </c>
      <c r="AM1654" t="b">
        <v>1</v>
      </c>
      <c r="AN1654" t="b">
        <v>0</v>
      </c>
      <c r="AO1654">
        <v>99999</v>
      </c>
      <c r="AP1654" t="s">
        <v>64</v>
      </c>
      <c r="AR1654" t="b">
        <v>0</v>
      </c>
      <c r="AS1654">
        <v>12</v>
      </c>
      <c r="AT1654" t="s">
        <v>327</v>
      </c>
      <c r="AV1654" t="s">
        <v>2448</v>
      </c>
    </row>
    <row r="1655" spans="1:48" x14ac:dyDescent="0.25">
      <c r="A1655" t="s">
        <v>3323</v>
      </c>
      <c r="B1655" t="s">
        <v>302</v>
      </c>
      <c r="C1655" t="s">
        <v>62</v>
      </c>
      <c r="D1655">
        <v>99999</v>
      </c>
      <c r="F1655" s="109">
        <v>4000</v>
      </c>
      <c r="G1655" t="b">
        <v>0</v>
      </c>
      <c r="H1655" t="s">
        <v>329</v>
      </c>
      <c r="K1655" t="s">
        <v>364</v>
      </c>
      <c r="L1655" t="s">
        <v>303</v>
      </c>
      <c r="M1655" t="s">
        <v>323</v>
      </c>
      <c r="N1655" t="s">
        <v>63</v>
      </c>
      <c r="O1655">
        <v>29.9</v>
      </c>
      <c r="R1655">
        <v>194.89</v>
      </c>
      <c r="S1655">
        <v>39.9</v>
      </c>
      <c r="T1655" s="110">
        <v>0</v>
      </c>
      <c r="U1655">
        <v>42.99</v>
      </c>
      <c r="X1655">
        <v>62.099999999999994</v>
      </c>
      <c r="Y1655">
        <v>49.9</v>
      </c>
      <c r="Z1655">
        <v>49.9</v>
      </c>
      <c r="AA1655">
        <v>0</v>
      </c>
      <c r="AB1655" t="s">
        <v>363</v>
      </c>
      <c r="AF1655" t="s">
        <v>365</v>
      </c>
      <c r="AG1655" t="s">
        <v>365</v>
      </c>
      <c r="AH1655" t="s">
        <v>325</v>
      </c>
      <c r="AI1655">
        <v>99999</v>
      </c>
      <c r="AJ1655">
        <v>99999</v>
      </c>
      <c r="AK1655">
        <v>699</v>
      </c>
      <c r="AL1655" t="b">
        <v>1</v>
      </c>
      <c r="AM1655" t="b">
        <v>1</v>
      </c>
      <c r="AN1655" t="b">
        <v>0</v>
      </c>
      <c r="AO1655">
        <v>99999</v>
      </c>
      <c r="AP1655" t="s">
        <v>64</v>
      </c>
      <c r="AR1655" t="b">
        <v>0</v>
      </c>
      <c r="AS1655">
        <v>12</v>
      </c>
      <c r="AT1655" t="s">
        <v>327</v>
      </c>
      <c r="AV1655" t="s">
        <v>367</v>
      </c>
    </row>
    <row r="1656" spans="1:48" x14ac:dyDescent="0.25">
      <c r="A1656" t="s">
        <v>3323</v>
      </c>
      <c r="B1656" t="s">
        <v>302</v>
      </c>
      <c r="C1656" t="s">
        <v>62</v>
      </c>
      <c r="D1656">
        <v>99999</v>
      </c>
      <c r="F1656" s="109">
        <v>4000</v>
      </c>
      <c r="G1656" t="b">
        <v>0</v>
      </c>
      <c r="H1656" t="s">
        <v>329</v>
      </c>
      <c r="K1656" t="s">
        <v>364</v>
      </c>
      <c r="L1656" t="s">
        <v>303</v>
      </c>
      <c r="M1656" t="s">
        <v>323</v>
      </c>
      <c r="N1656" t="s">
        <v>63</v>
      </c>
      <c r="O1656">
        <v>29.9</v>
      </c>
      <c r="R1656">
        <v>209.89</v>
      </c>
      <c r="S1656">
        <v>39.9</v>
      </c>
      <c r="T1656" s="110">
        <v>0</v>
      </c>
      <c r="U1656">
        <v>42.99</v>
      </c>
      <c r="X1656">
        <v>77.099999999999994</v>
      </c>
      <c r="Y1656">
        <v>49.9</v>
      </c>
      <c r="Z1656">
        <v>49.9</v>
      </c>
      <c r="AA1656">
        <v>0</v>
      </c>
      <c r="AB1656" t="s">
        <v>363</v>
      </c>
      <c r="AF1656" t="s">
        <v>501</v>
      </c>
      <c r="AG1656" t="s">
        <v>501</v>
      </c>
      <c r="AH1656" t="s">
        <v>325</v>
      </c>
      <c r="AI1656">
        <v>99999</v>
      </c>
      <c r="AJ1656">
        <v>99999</v>
      </c>
      <c r="AK1656">
        <v>699</v>
      </c>
      <c r="AL1656" t="b">
        <v>1</v>
      </c>
      <c r="AM1656" t="b">
        <v>1</v>
      </c>
      <c r="AN1656" t="b">
        <v>0</v>
      </c>
      <c r="AO1656">
        <v>99999</v>
      </c>
      <c r="AP1656" t="s">
        <v>64</v>
      </c>
      <c r="AR1656" t="b">
        <v>0</v>
      </c>
      <c r="AS1656">
        <v>12</v>
      </c>
      <c r="AT1656" t="s">
        <v>327</v>
      </c>
      <c r="AV1656" t="s">
        <v>503</v>
      </c>
    </row>
    <row r="1657" spans="1:48" x14ac:dyDescent="0.25">
      <c r="A1657" t="s">
        <v>3323</v>
      </c>
      <c r="B1657" t="s">
        <v>302</v>
      </c>
      <c r="C1657" t="s">
        <v>62</v>
      </c>
      <c r="D1657">
        <v>99999</v>
      </c>
      <c r="F1657" s="109">
        <v>4000</v>
      </c>
      <c r="G1657" t="b">
        <v>0</v>
      </c>
      <c r="H1657" t="s">
        <v>329</v>
      </c>
      <c r="K1657" t="s">
        <v>364</v>
      </c>
      <c r="L1657" t="s">
        <v>303</v>
      </c>
      <c r="M1657" t="s">
        <v>323</v>
      </c>
      <c r="N1657" t="s">
        <v>63</v>
      </c>
      <c r="O1657">
        <v>29.9</v>
      </c>
      <c r="R1657">
        <v>224.89</v>
      </c>
      <c r="S1657">
        <v>59.9</v>
      </c>
      <c r="T1657" s="110">
        <v>0</v>
      </c>
      <c r="U1657">
        <v>42.99</v>
      </c>
      <c r="X1657">
        <v>72.099999999999994</v>
      </c>
      <c r="Y1657">
        <v>49.9</v>
      </c>
      <c r="Z1657">
        <v>49.9</v>
      </c>
      <c r="AA1657">
        <v>0</v>
      </c>
      <c r="AB1657" t="s">
        <v>363</v>
      </c>
      <c r="AF1657" t="s">
        <v>635</v>
      </c>
      <c r="AG1657" t="s">
        <v>635</v>
      </c>
      <c r="AH1657" t="s">
        <v>325</v>
      </c>
      <c r="AI1657">
        <v>99999</v>
      </c>
      <c r="AJ1657">
        <v>99999</v>
      </c>
      <c r="AK1657">
        <v>699</v>
      </c>
      <c r="AL1657" t="b">
        <v>1</v>
      </c>
      <c r="AM1657" t="b">
        <v>1</v>
      </c>
      <c r="AN1657" t="b">
        <v>0</v>
      </c>
      <c r="AO1657">
        <v>99999</v>
      </c>
      <c r="AP1657" t="s">
        <v>64</v>
      </c>
      <c r="AR1657" t="b">
        <v>0</v>
      </c>
      <c r="AS1657">
        <v>12</v>
      </c>
      <c r="AT1657" t="s">
        <v>327</v>
      </c>
      <c r="AV1657" t="s">
        <v>637</v>
      </c>
    </row>
    <row r="1658" spans="1:48" x14ac:dyDescent="0.25">
      <c r="A1658" t="s">
        <v>3323</v>
      </c>
      <c r="B1658" t="s">
        <v>302</v>
      </c>
      <c r="C1658" t="s">
        <v>62</v>
      </c>
      <c r="D1658">
        <v>99999</v>
      </c>
      <c r="F1658" s="109">
        <v>4000</v>
      </c>
      <c r="G1658" t="b">
        <v>0</v>
      </c>
      <c r="H1658" t="s">
        <v>329</v>
      </c>
      <c r="K1658" t="s">
        <v>364</v>
      </c>
      <c r="L1658" t="s">
        <v>303</v>
      </c>
      <c r="M1658" t="s">
        <v>323</v>
      </c>
      <c r="N1658" t="s">
        <v>63</v>
      </c>
      <c r="O1658" s="110">
        <v>39.9</v>
      </c>
      <c r="R1658" s="110">
        <v>194.89</v>
      </c>
      <c r="S1658" s="110">
        <v>39.9</v>
      </c>
      <c r="T1658" s="110">
        <v>0</v>
      </c>
      <c r="U1658" s="110">
        <v>42.99</v>
      </c>
      <c r="X1658">
        <v>62.099999999999994</v>
      </c>
      <c r="Y1658">
        <v>49.9</v>
      </c>
      <c r="Z1658">
        <v>49.9</v>
      </c>
      <c r="AA1658">
        <v>0</v>
      </c>
      <c r="AB1658" t="s">
        <v>363</v>
      </c>
      <c r="AF1658" t="s">
        <v>434</v>
      </c>
      <c r="AG1658" t="s">
        <v>434</v>
      </c>
      <c r="AH1658" t="s">
        <v>325</v>
      </c>
      <c r="AI1658">
        <v>99999</v>
      </c>
      <c r="AJ1658">
        <v>99999</v>
      </c>
      <c r="AK1658">
        <v>699</v>
      </c>
      <c r="AL1658" t="b">
        <v>1</v>
      </c>
      <c r="AM1658" t="b">
        <v>1</v>
      </c>
      <c r="AN1658" t="b">
        <v>0</v>
      </c>
      <c r="AO1658">
        <v>99999</v>
      </c>
      <c r="AP1658" t="s">
        <v>64</v>
      </c>
      <c r="AR1658" t="b">
        <v>0</v>
      </c>
      <c r="AS1658">
        <v>12</v>
      </c>
      <c r="AT1658" t="s">
        <v>327</v>
      </c>
      <c r="AV1658" t="s">
        <v>436</v>
      </c>
    </row>
    <row r="1659" spans="1:48" x14ac:dyDescent="0.25">
      <c r="A1659" t="s">
        <v>3323</v>
      </c>
      <c r="B1659" t="s">
        <v>302</v>
      </c>
      <c r="C1659" t="s">
        <v>62</v>
      </c>
      <c r="D1659">
        <v>99999</v>
      </c>
      <c r="F1659" s="109">
        <v>4000</v>
      </c>
      <c r="G1659" t="b">
        <v>0</v>
      </c>
      <c r="H1659" t="s">
        <v>329</v>
      </c>
      <c r="K1659" t="s">
        <v>364</v>
      </c>
      <c r="L1659" t="s">
        <v>303</v>
      </c>
      <c r="M1659" t="s">
        <v>323</v>
      </c>
      <c r="N1659" t="s">
        <v>63</v>
      </c>
      <c r="O1659">
        <v>39.9</v>
      </c>
      <c r="R1659">
        <v>209.89</v>
      </c>
      <c r="S1659">
        <v>39.9</v>
      </c>
      <c r="T1659" s="110">
        <v>0</v>
      </c>
      <c r="U1659">
        <v>42.99</v>
      </c>
      <c r="X1659">
        <v>77.099999999999994</v>
      </c>
      <c r="Y1659">
        <v>49.9</v>
      </c>
      <c r="Z1659">
        <v>49.9</v>
      </c>
      <c r="AA1659">
        <v>0</v>
      </c>
      <c r="AB1659" t="s">
        <v>363</v>
      </c>
      <c r="AF1659" t="s">
        <v>568</v>
      </c>
      <c r="AG1659" t="s">
        <v>568</v>
      </c>
      <c r="AH1659" t="s">
        <v>325</v>
      </c>
      <c r="AI1659">
        <v>99999</v>
      </c>
      <c r="AJ1659">
        <v>99999</v>
      </c>
      <c r="AK1659">
        <v>699</v>
      </c>
      <c r="AL1659" t="b">
        <v>1</v>
      </c>
      <c r="AM1659" t="b">
        <v>1</v>
      </c>
      <c r="AN1659" t="b">
        <v>0</v>
      </c>
      <c r="AO1659">
        <v>99999</v>
      </c>
      <c r="AP1659" t="s">
        <v>64</v>
      </c>
      <c r="AR1659" t="b">
        <v>0</v>
      </c>
      <c r="AS1659">
        <v>12</v>
      </c>
      <c r="AT1659" t="s">
        <v>327</v>
      </c>
      <c r="AV1659" t="s">
        <v>570</v>
      </c>
    </row>
    <row r="1660" spans="1:48" x14ac:dyDescent="0.25">
      <c r="A1660" t="s">
        <v>3323</v>
      </c>
      <c r="B1660" t="s">
        <v>302</v>
      </c>
      <c r="C1660" t="s">
        <v>62</v>
      </c>
      <c r="D1660">
        <v>99999</v>
      </c>
      <c r="F1660" s="109">
        <v>4000</v>
      </c>
      <c r="G1660" t="b">
        <v>0</v>
      </c>
      <c r="H1660" t="s">
        <v>329</v>
      </c>
      <c r="K1660" t="s">
        <v>364</v>
      </c>
      <c r="L1660" t="s">
        <v>303</v>
      </c>
      <c r="M1660" t="s">
        <v>323</v>
      </c>
      <c r="N1660" t="s">
        <v>63</v>
      </c>
      <c r="O1660">
        <v>39.9</v>
      </c>
      <c r="R1660">
        <v>224.89</v>
      </c>
      <c r="S1660">
        <v>59.9</v>
      </c>
      <c r="T1660" s="110">
        <v>0</v>
      </c>
      <c r="U1660">
        <v>42.99</v>
      </c>
      <c r="X1660">
        <v>72.099999999999994</v>
      </c>
      <c r="Y1660">
        <v>49.9</v>
      </c>
      <c r="Z1660">
        <v>49.9</v>
      </c>
      <c r="AA1660">
        <v>0</v>
      </c>
      <c r="AB1660" t="s">
        <v>363</v>
      </c>
      <c r="AF1660" t="s">
        <v>702</v>
      </c>
      <c r="AG1660" t="s">
        <v>702</v>
      </c>
      <c r="AH1660" t="s">
        <v>325</v>
      </c>
      <c r="AI1660">
        <v>99999</v>
      </c>
      <c r="AJ1660">
        <v>99999</v>
      </c>
      <c r="AK1660">
        <v>699</v>
      </c>
      <c r="AL1660" t="b">
        <v>1</v>
      </c>
      <c r="AM1660" t="b">
        <v>1</v>
      </c>
      <c r="AN1660" t="b">
        <v>0</v>
      </c>
      <c r="AO1660">
        <v>99999</v>
      </c>
      <c r="AP1660" t="s">
        <v>64</v>
      </c>
      <c r="AR1660" t="b">
        <v>0</v>
      </c>
      <c r="AS1660">
        <v>12</v>
      </c>
      <c r="AT1660" t="s">
        <v>327</v>
      </c>
      <c r="AV1660" t="s">
        <v>704</v>
      </c>
    </row>
    <row r="1661" spans="1:48" x14ac:dyDescent="0.25">
      <c r="A1661" t="s">
        <v>3323</v>
      </c>
      <c r="B1661" t="s">
        <v>302</v>
      </c>
      <c r="C1661" t="s">
        <v>62</v>
      </c>
      <c r="D1661">
        <v>99999</v>
      </c>
      <c r="F1661" s="109">
        <v>4000</v>
      </c>
      <c r="G1661" t="b">
        <v>0</v>
      </c>
      <c r="H1661" t="s">
        <v>329</v>
      </c>
      <c r="K1661" t="s">
        <v>364</v>
      </c>
      <c r="L1661" t="s">
        <v>303</v>
      </c>
      <c r="M1661" t="s">
        <v>323</v>
      </c>
      <c r="N1661" t="s">
        <v>63</v>
      </c>
      <c r="O1661" s="110">
        <v>49.9</v>
      </c>
      <c r="R1661" s="110">
        <v>270.68999999999994</v>
      </c>
      <c r="S1661" s="110">
        <v>130</v>
      </c>
      <c r="T1661" s="110">
        <v>0</v>
      </c>
      <c r="U1661" s="110">
        <v>34.99</v>
      </c>
      <c r="X1661">
        <v>55.799999999999983</v>
      </c>
      <c r="Y1661">
        <v>49.9</v>
      </c>
      <c r="Z1661">
        <v>49.9</v>
      </c>
      <c r="AA1661">
        <v>0</v>
      </c>
      <c r="AB1661" t="s">
        <v>363</v>
      </c>
      <c r="AF1661" t="s">
        <v>2212</v>
      </c>
      <c r="AG1661" t="s">
        <v>2212</v>
      </c>
      <c r="AH1661" t="s">
        <v>325</v>
      </c>
      <c r="AI1661">
        <v>99999</v>
      </c>
      <c r="AJ1661">
        <v>99999</v>
      </c>
      <c r="AK1661">
        <v>699</v>
      </c>
      <c r="AL1661" t="b">
        <v>1</v>
      </c>
      <c r="AM1661" t="b">
        <v>1</v>
      </c>
      <c r="AN1661" t="b">
        <v>0</v>
      </c>
      <c r="AO1661">
        <v>99999</v>
      </c>
      <c r="AP1661" t="s">
        <v>64</v>
      </c>
      <c r="AR1661" t="b">
        <v>0</v>
      </c>
      <c r="AS1661">
        <v>12</v>
      </c>
      <c r="AT1661" t="s">
        <v>327</v>
      </c>
      <c r="AV1661" t="s">
        <v>2214</v>
      </c>
    </row>
    <row r="1662" spans="1:48" x14ac:dyDescent="0.25">
      <c r="A1662" t="s">
        <v>3323</v>
      </c>
      <c r="B1662" t="s">
        <v>302</v>
      </c>
      <c r="C1662" t="s">
        <v>62</v>
      </c>
      <c r="D1662">
        <v>99999</v>
      </c>
      <c r="F1662" s="109">
        <v>4000</v>
      </c>
      <c r="G1662" t="b">
        <v>0</v>
      </c>
      <c r="H1662" t="s">
        <v>329</v>
      </c>
      <c r="K1662" t="s">
        <v>364</v>
      </c>
      <c r="L1662" t="s">
        <v>303</v>
      </c>
      <c r="M1662" t="s">
        <v>323</v>
      </c>
      <c r="N1662" t="s">
        <v>63</v>
      </c>
      <c r="O1662" s="110">
        <v>49.9</v>
      </c>
      <c r="R1662" s="110">
        <v>284.99</v>
      </c>
      <c r="S1662" s="110">
        <v>130</v>
      </c>
      <c r="T1662" s="110">
        <v>0</v>
      </c>
      <c r="U1662" s="110">
        <v>42.99</v>
      </c>
      <c r="X1662">
        <v>62.099999999999994</v>
      </c>
      <c r="Y1662">
        <v>49.9</v>
      </c>
      <c r="Z1662">
        <v>49.9</v>
      </c>
      <c r="AA1662">
        <v>0</v>
      </c>
      <c r="AB1662" t="s">
        <v>363</v>
      </c>
      <c r="AF1662" t="s">
        <v>2286</v>
      </c>
      <c r="AG1662" t="s">
        <v>2286</v>
      </c>
      <c r="AH1662" t="s">
        <v>325</v>
      </c>
      <c r="AI1662">
        <v>99999</v>
      </c>
      <c r="AJ1662">
        <v>99999</v>
      </c>
      <c r="AK1662">
        <v>699</v>
      </c>
      <c r="AL1662" t="b">
        <v>1</v>
      </c>
      <c r="AM1662" t="b">
        <v>1</v>
      </c>
      <c r="AN1662" t="b">
        <v>0</v>
      </c>
      <c r="AO1662">
        <v>99999</v>
      </c>
      <c r="AP1662" t="s">
        <v>64</v>
      </c>
      <c r="AR1662" t="b">
        <v>0</v>
      </c>
      <c r="AS1662">
        <v>12</v>
      </c>
      <c r="AT1662" t="s">
        <v>327</v>
      </c>
      <c r="AV1662" t="s">
        <v>2288</v>
      </c>
    </row>
    <row r="1663" spans="1:48" x14ac:dyDescent="0.25">
      <c r="A1663" t="s">
        <v>3323</v>
      </c>
      <c r="B1663" t="s">
        <v>302</v>
      </c>
      <c r="C1663" t="s">
        <v>62</v>
      </c>
      <c r="D1663">
        <v>99999</v>
      </c>
      <c r="F1663" s="109">
        <v>4000</v>
      </c>
      <c r="G1663" t="b">
        <v>0</v>
      </c>
      <c r="H1663" t="s">
        <v>329</v>
      </c>
      <c r="K1663" t="s">
        <v>364</v>
      </c>
      <c r="L1663" t="s">
        <v>303</v>
      </c>
      <c r="M1663" t="s">
        <v>323</v>
      </c>
      <c r="N1663" t="s">
        <v>63</v>
      </c>
      <c r="O1663" s="110">
        <v>49.9</v>
      </c>
      <c r="R1663" s="110">
        <v>299.99</v>
      </c>
      <c r="S1663" s="110">
        <v>130</v>
      </c>
      <c r="T1663" s="110">
        <v>0</v>
      </c>
      <c r="U1663" s="110">
        <v>42.99</v>
      </c>
      <c r="X1663">
        <v>77.099999999999994</v>
      </c>
      <c r="Y1663">
        <v>49.9</v>
      </c>
      <c r="Z1663">
        <v>49.9</v>
      </c>
      <c r="AA1663">
        <v>0</v>
      </c>
      <c r="AB1663" t="s">
        <v>363</v>
      </c>
      <c r="AF1663" t="s">
        <v>2353</v>
      </c>
      <c r="AG1663" t="s">
        <v>2353</v>
      </c>
      <c r="AH1663" t="s">
        <v>325</v>
      </c>
      <c r="AI1663">
        <v>99999</v>
      </c>
      <c r="AJ1663">
        <v>99999</v>
      </c>
      <c r="AK1663">
        <v>699</v>
      </c>
      <c r="AL1663" t="b">
        <v>1</v>
      </c>
      <c r="AM1663" t="b">
        <v>1</v>
      </c>
      <c r="AN1663" t="b">
        <v>0</v>
      </c>
      <c r="AO1663">
        <v>99999</v>
      </c>
      <c r="AP1663" t="s">
        <v>64</v>
      </c>
      <c r="AR1663" t="b">
        <v>0</v>
      </c>
      <c r="AS1663">
        <v>12</v>
      </c>
      <c r="AT1663" t="s">
        <v>327</v>
      </c>
      <c r="AV1663" t="s">
        <v>2355</v>
      </c>
    </row>
    <row r="1664" spans="1:48" x14ac:dyDescent="0.25">
      <c r="A1664" t="s">
        <v>3323</v>
      </c>
      <c r="B1664" t="s">
        <v>302</v>
      </c>
      <c r="C1664" t="s">
        <v>62</v>
      </c>
      <c r="D1664">
        <v>99999</v>
      </c>
      <c r="F1664" s="109">
        <v>4000</v>
      </c>
      <c r="G1664" t="b">
        <v>0</v>
      </c>
      <c r="H1664" t="s">
        <v>329</v>
      </c>
      <c r="K1664" t="s">
        <v>364</v>
      </c>
      <c r="L1664" t="s">
        <v>303</v>
      </c>
      <c r="M1664" t="s">
        <v>323</v>
      </c>
      <c r="N1664" t="s">
        <v>63</v>
      </c>
      <c r="O1664" s="110">
        <v>49.9</v>
      </c>
      <c r="R1664" s="110">
        <v>294.99</v>
      </c>
      <c r="S1664" s="110">
        <v>130</v>
      </c>
      <c r="T1664" s="110">
        <v>0</v>
      </c>
      <c r="U1664" s="110">
        <v>42.99</v>
      </c>
      <c r="X1664">
        <v>72.099999999999994</v>
      </c>
      <c r="Y1664">
        <v>49.9</v>
      </c>
      <c r="Z1664">
        <v>49.9</v>
      </c>
      <c r="AA1664">
        <v>0</v>
      </c>
      <c r="AB1664" t="s">
        <v>363</v>
      </c>
      <c r="AF1664" t="s">
        <v>2420</v>
      </c>
      <c r="AG1664" t="s">
        <v>2420</v>
      </c>
      <c r="AH1664" t="s">
        <v>325</v>
      </c>
      <c r="AI1664">
        <v>99999</v>
      </c>
      <c r="AJ1664">
        <v>99999</v>
      </c>
      <c r="AK1664">
        <v>699</v>
      </c>
      <c r="AL1664" t="b">
        <v>1</v>
      </c>
      <c r="AM1664" t="b">
        <v>1</v>
      </c>
      <c r="AN1664" t="b">
        <v>0</v>
      </c>
      <c r="AO1664">
        <v>99999</v>
      </c>
      <c r="AP1664" t="s">
        <v>64</v>
      </c>
      <c r="AR1664" t="b">
        <v>0</v>
      </c>
      <c r="AS1664">
        <v>12</v>
      </c>
      <c r="AT1664" t="s">
        <v>327</v>
      </c>
      <c r="AV1664" t="s">
        <v>2422</v>
      </c>
    </row>
    <row r="1665" spans="1:48" x14ac:dyDescent="0.25">
      <c r="A1665" t="s">
        <v>3323</v>
      </c>
      <c r="B1665" t="s">
        <v>302</v>
      </c>
      <c r="C1665" t="s">
        <v>62</v>
      </c>
      <c r="D1665">
        <v>99999</v>
      </c>
      <c r="F1665" s="109">
        <v>4000</v>
      </c>
      <c r="G1665" t="b">
        <v>0</v>
      </c>
      <c r="H1665" t="s">
        <v>329</v>
      </c>
      <c r="K1665" t="s">
        <v>379</v>
      </c>
      <c r="L1665" t="s">
        <v>303</v>
      </c>
      <c r="M1665" t="s">
        <v>323</v>
      </c>
      <c r="N1665" t="s">
        <v>63</v>
      </c>
      <c r="O1665">
        <v>29.9</v>
      </c>
      <c r="R1665">
        <v>204.89</v>
      </c>
      <c r="S1665">
        <v>39.9</v>
      </c>
      <c r="T1665" s="110">
        <v>0</v>
      </c>
      <c r="U1665">
        <v>42.99</v>
      </c>
      <c r="X1665">
        <v>62.099999999999994</v>
      </c>
      <c r="Y1665">
        <v>59.9</v>
      </c>
      <c r="Z1665">
        <v>59.9</v>
      </c>
      <c r="AA1665">
        <v>0</v>
      </c>
      <c r="AB1665" t="s">
        <v>363</v>
      </c>
      <c r="AF1665" t="s">
        <v>365</v>
      </c>
      <c r="AG1665" t="s">
        <v>365</v>
      </c>
      <c r="AH1665" t="s">
        <v>325</v>
      </c>
      <c r="AI1665">
        <v>99999</v>
      </c>
      <c r="AJ1665">
        <v>99999</v>
      </c>
      <c r="AK1665">
        <v>699</v>
      </c>
      <c r="AL1665" t="b">
        <v>1</v>
      </c>
      <c r="AM1665" t="b">
        <v>1</v>
      </c>
      <c r="AN1665" t="b">
        <v>0</v>
      </c>
      <c r="AO1665">
        <v>99999</v>
      </c>
      <c r="AP1665" t="s">
        <v>64</v>
      </c>
      <c r="AR1665" t="b">
        <v>0</v>
      </c>
      <c r="AS1665">
        <v>12</v>
      </c>
      <c r="AT1665" t="s">
        <v>327</v>
      </c>
      <c r="AV1665" t="s">
        <v>381</v>
      </c>
    </row>
    <row r="1666" spans="1:48" x14ac:dyDescent="0.25">
      <c r="A1666" t="s">
        <v>3323</v>
      </c>
      <c r="B1666" t="s">
        <v>302</v>
      </c>
      <c r="C1666" t="s">
        <v>62</v>
      </c>
      <c r="D1666">
        <v>99999</v>
      </c>
      <c r="F1666" s="109">
        <v>4000</v>
      </c>
      <c r="G1666" t="b">
        <v>0</v>
      </c>
      <c r="H1666" t="s">
        <v>329</v>
      </c>
      <c r="K1666" t="s">
        <v>379</v>
      </c>
      <c r="L1666" t="s">
        <v>303</v>
      </c>
      <c r="M1666" t="s">
        <v>323</v>
      </c>
      <c r="N1666" t="s">
        <v>63</v>
      </c>
      <c r="O1666">
        <v>29.9</v>
      </c>
      <c r="R1666">
        <v>219.89</v>
      </c>
      <c r="S1666">
        <v>39.9</v>
      </c>
      <c r="T1666" s="110">
        <v>0</v>
      </c>
      <c r="U1666">
        <v>42.99</v>
      </c>
      <c r="X1666">
        <v>77.099999999999994</v>
      </c>
      <c r="Y1666">
        <v>59.9</v>
      </c>
      <c r="Z1666">
        <v>59.9</v>
      </c>
      <c r="AA1666">
        <v>0</v>
      </c>
      <c r="AB1666" t="s">
        <v>363</v>
      </c>
      <c r="AF1666" t="s">
        <v>501</v>
      </c>
      <c r="AG1666" t="s">
        <v>501</v>
      </c>
      <c r="AH1666" t="s">
        <v>325</v>
      </c>
      <c r="AI1666">
        <v>99999</v>
      </c>
      <c r="AJ1666">
        <v>99999</v>
      </c>
      <c r="AK1666">
        <v>699</v>
      </c>
      <c r="AL1666" t="b">
        <v>1</v>
      </c>
      <c r="AM1666" t="b">
        <v>1</v>
      </c>
      <c r="AN1666" t="b">
        <v>0</v>
      </c>
      <c r="AO1666">
        <v>99999</v>
      </c>
      <c r="AP1666" t="s">
        <v>64</v>
      </c>
      <c r="AR1666" t="b">
        <v>0</v>
      </c>
      <c r="AS1666">
        <v>12</v>
      </c>
      <c r="AT1666" t="s">
        <v>327</v>
      </c>
      <c r="AV1666" t="s">
        <v>516</v>
      </c>
    </row>
    <row r="1667" spans="1:48" x14ac:dyDescent="0.25">
      <c r="A1667" t="s">
        <v>3323</v>
      </c>
      <c r="B1667" t="s">
        <v>302</v>
      </c>
      <c r="C1667" t="s">
        <v>62</v>
      </c>
      <c r="D1667">
        <v>99999</v>
      </c>
      <c r="F1667" s="109">
        <v>4000</v>
      </c>
      <c r="G1667" t="b">
        <v>0</v>
      </c>
      <c r="H1667" t="s">
        <v>329</v>
      </c>
      <c r="K1667" t="s">
        <v>379</v>
      </c>
      <c r="L1667" t="s">
        <v>303</v>
      </c>
      <c r="M1667" t="s">
        <v>323</v>
      </c>
      <c r="N1667" t="s">
        <v>63</v>
      </c>
      <c r="O1667">
        <v>29.9</v>
      </c>
      <c r="R1667">
        <v>234.89</v>
      </c>
      <c r="S1667">
        <v>59.9</v>
      </c>
      <c r="T1667" s="110">
        <v>0</v>
      </c>
      <c r="U1667">
        <v>42.99</v>
      </c>
      <c r="X1667">
        <v>72.099999999999994</v>
      </c>
      <c r="Y1667">
        <v>59.9</v>
      </c>
      <c r="Z1667">
        <v>59.9</v>
      </c>
      <c r="AA1667">
        <v>0</v>
      </c>
      <c r="AB1667" t="s">
        <v>363</v>
      </c>
      <c r="AF1667" t="s">
        <v>635</v>
      </c>
      <c r="AG1667" t="s">
        <v>635</v>
      </c>
      <c r="AH1667" t="s">
        <v>325</v>
      </c>
      <c r="AI1667">
        <v>99999</v>
      </c>
      <c r="AJ1667">
        <v>99999</v>
      </c>
      <c r="AK1667">
        <v>699</v>
      </c>
      <c r="AL1667" t="b">
        <v>1</v>
      </c>
      <c r="AM1667" t="b">
        <v>1</v>
      </c>
      <c r="AN1667" t="b">
        <v>0</v>
      </c>
      <c r="AO1667">
        <v>99999</v>
      </c>
      <c r="AP1667" t="s">
        <v>64</v>
      </c>
      <c r="AR1667" t="b">
        <v>0</v>
      </c>
      <c r="AS1667">
        <v>12</v>
      </c>
      <c r="AT1667" t="s">
        <v>327</v>
      </c>
      <c r="AV1667" t="s">
        <v>650</v>
      </c>
    </row>
    <row r="1668" spans="1:48" x14ac:dyDescent="0.25">
      <c r="A1668" t="s">
        <v>3323</v>
      </c>
      <c r="B1668" t="s">
        <v>302</v>
      </c>
      <c r="C1668" t="s">
        <v>62</v>
      </c>
      <c r="D1668">
        <v>99999</v>
      </c>
      <c r="F1668" s="109">
        <v>4000</v>
      </c>
      <c r="G1668" t="b">
        <v>0</v>
      </c>
      <c r="H1668" t="s">
        <v>329</v>
      </c>
      <c r="K1668" t="s">
        <v>379</v>
      </c>
      <c r="L1668" t="s">
        <v>303</v>
      </c>
      <c r="M1668" t="s">
        <v>323</v>
      </c>
      <c r="N1668" t="s">
        <v>63</v>
      </c>
      <c r="O1668" s="110">
        <v>39.9</v>
      </c>
      <c r="R1668" s="110">
        <v>204.89</v>
      </c>
      <c r="S1668" s="110">
        <v>39.9</v>
      </c>
      <c r="T1668" s="110">
        <v>0</v>
      </c>
      <c r="U1668" s="110">
        <v>42.99</v>
      </c>
      <c r="X1668">
        <v>62.099999999999994</v>
      </c>
      <c r="Y1668">
        <v>59.9</v>
      </c>
      <c r="Z1668">
        <v>59.9</v>
      </c>
      <c r="AA1668">
        <v>0</v>
      </c>
      <c r="AB1668" t="s">
        <v>363</v>
      </c>
      <c r="AF1668" t="s">
        <v>434</v>
      </c>
      <c r="AG1668" t="s">
        <v>434</v>
      </c>
      <c r="AH1668" t="s">
        <v>325</v>
      </c>
      <c r="AI1668">
        <v>99999</v>
      </c>
      <c r="AJ1668">
        <v>99999</v>
      </c>
      <c r="AK1668">
        <v>699</v>
      </c>
      <c r="AL1668" t="b">
        <v>1</v>
      </c>
      <c r="AM1668" t="b">
        <v>1</v>
      </c>
      <c r="AN1668" t="b">
        <v>0</v>
      </c>
      <c r="AO1668">
        <v>99999</v>
      </c>
      <c r="AP1668" t="s">
        <v>64</v>
      </c>
      <c r="AR1668" t="b">
        <v>0</v>
      </c>
      <c r="AS1668">
        <v>12</v>
      </c>
      <c r="AT1668" t="s">
        <v>327</v>
      </c>
      <c r="AV1668" t="s">
        <v>449</v>
      </c>
    </row>
    <row r="1669" spans="1:48" x14ac:dyDescent="0.25">
      <c r="A1669" t="s">
        <v>3323</v>
      </c>
      <c r="B1669" t="s">
        <v>302</v>
      </c>
      <c r="C1669" t="s">
        <v>62</v>
      </c>
      <c r="D1669">
        <v>99999</v>
      </c>
      <c r="F1669" s="109">
        <v>4000</v>
      </c>
      <c r="G1669" t="b">
        <v>0</v>
      </c>
      <c r="H1669" t="s">
        <v>329</v>
      </c>
      <c r="K1669" t="s">
        <v>379</v>
      </c>
      <c r="L1669" t="s">
        <v>303</v>
      </c>
      <c r="M1669" t="s">
        <v>323</v>
      </c>
      <c r="N1669" t="s">
        <v>63</v>
      </c>
      <c r="O1669">
        <v>39.9</v>
      </c>
      <c r="R1669">
        <v>219.89</v>
      </c>
      <c r="S1669">
        <v>39.9</v>
      </c>
      <c r="T1669" s="110">
        <v>0</v>
      </c>
      <c r="U1669">
        <v>42.99</v>
      </c>
      <c r="X1669">
        <v>77.099999999999994</v>
      </c>
      <c r="Y1669">
        <v>59.9</v>
      </c>
      <c r="Z1669">
        <v>59.9</v>
      </c>
      <c r="AA1669">
        <v>0</v>
      </c>
      <c r="AB1669" t="s">
        <v>363</v>
      </c>
      <c r="AF1669" t="s">
        <v>568</v>
      </c>
      <c r="AG1669" t="s">
        <v>568</v>
      </c>
      <c r="AH1669" t="s">
        <v>325</v>
      </c>
      <c r="AI1669">
        <v>99999</v>
      </c>
      <c r="AJ1669">
        <v>99999</v>
      </c>
      <c r="AK1669">
        <v>699</v>
      </c>
      <c r="AL1669" t="b">
        <v>1</v>
      </c>
      <c r="AM1669" t="b">
        <v>1</v>
      </c>
      <c r="AN1669" t="b">
        <v>0</v>
      </c>
      <c r="AO1669">
        <v>99999</v>
      </c>
      <c r="AP1669" t="s">
        <v>64</v>
      </c>
      <c r="AR1669" t="b">
        <v>0</v>
      </c>
      <c r="AS1669">
        <v>12</v>
      </c>
      <c r="AT1669" t="s">
        <v>327</v>
      </c>
      <c r="AV1669" t="s">
        <v>583</v>
      </c>
    </row>
    <row r="1670" spans="1:48" x14ac:dyDescent="0.25">
      <c r="A1670" t="s">
        <v>3323</v>
      </c>
      <c r="B1670" t="s">
        <v>302</v>
      </c>
      <c r="C1670" t="s">
        <v>62</v>
      </c>
      <c r="D1670">
        <v>99999</v>
      </c>
      <c r="F1670" s="109">
        <v>4000</v>
      </c>
      <c r="G1670" t="b">
        <v>0</v>
      </c>
      <c r="H1670" t="s">
        <v>329</v>
      </c>
      <c r="K1670" t="s">
        <v>379</v>
      </c>
      <c r="L1670" t="s">
        <v>303</v>
      </c>
      <c r="M1670" t="s">
        <v>323</v>
      </c>
      <c r="N1670" t="s">
        <v>63</v>
      </c>
      <c r="O1670">
        <v>39.9</v>
      </c>
      <c r="R1670">
        <v>234.89</v>
      </c>
      <c r="S1670">
        <v>59.9</v>
      </c>
      <c r="T1670" s="110">
        <v>0</v>
      </c>
      <c r="U1670">
        <v>42.99</v>
      </c>
      <c r="X1670">
        <v>72.099999999999994</v>
      </c>
      <c r="Y1670">
        <v>59.9</v>
      </c>
      <c r="Z1670">
        <v>59.9</v>
      </c>
      <c r="AA1670">
        <v>0</v>
      </c>
      <c r="AB1670" t="s">
        <v>363</v>
      </c>
      <c r="AF1670" t="s">
        <v>702</v>
      </c>
      <c r="AG1670" t="s">
        <v>702</v>
      </c>
      <c r="AH1670" t="s">
        <v>325</v>
      </c>
      <c r="AI1670">
        <v>99999</v>
      </c>
      <c r="AJ1670">
        <v>99999</v>
      </c>
      <c r="AK1670">
        <v>699</v>
      </c>
      <c r="AL1670" t="b">
        <v>1</v>
      </c>
      <c r="AM1670" t="b">
        <v>1</v>
      </c>
      <c r="AN1670" t="b">
        <v>0</v>
      </c>
      <c r="AO1670">
        <v>99999</v>
      </c>
      <c r="AP1670" t="s">
        <v>64</v>
      </c>
      <c r="AR1670" t="b">
        <v>0</v>
      </c>
      <c r="AS1670">
        <v>12</v>
      </c>
      <c r="AT1670" t="s">
        <v>327</v>
      </c>
      <c r="AV1670" t="s">
        <v>717</v>
      </c>
    </row>
    <row r="1671" spans="1:48" x14ac:dyDescent="0.25">
      <c r="A1671" t="s">
        <v>3323</v>
      </c>
      <c r="B1671" t="s">
        <v>302</v>
      </c>
      <c r="C1671" t="s">
        <v>62</v>
      </c>
      <c r="D1671">
        <v>99999</v>
      </c>
      <c r="F1671" s="109">
        <v>4000</v>
      </c>
      <c r="G1671" t="b">
        <v>0</v>
      </c>
      <c r="H1671" t="s">
        <v>329</v>
      </c>
      <c r="K1671" t="s">
        <v>379</v>
      </c>
      <c r="L1671" t="s">
        <v>303</v>
      </c>
      <c r="M1671" t="s">
        <v>323</v>
      </c>
      <c r="N1671" t="s">
        <v>63</v>
      </c>
      <c r="O1671" s="110">
        <v>49.9</v>
      </c>
      <c r="R1671" s="110">
        <v>280.68999999999994</v>
      </c>
      <c r="S1671" s="110">
        <v>130</v>
      </c>
      <c r="T1671" s="110">
        <v>0</v>
      </c>
      <c r="U1671" s="110">
        <v>34.99</v>
      </c>
      <c r="X1671">
        <v>55.799999999999983</v>
      </c>
      <c r="Y1671">
        <v>59.9</v>
      </c>
      <c r="Z1671">
        <v>59.9</v>
      </c>
      <c r="AA1671">
        <v>0</v>
      </c>
      <c r="AB1671" t="s">
        <v>363</v>
      </c>
      <c r="AF1671" t="s">
        <v>2212</v>
      </c>
      <c r="AG1671" t="s">
        <v>2212</v>
      </c>
      <c r="AH1671" t="s">
        <v>325</v>
      </c>
      <c r="AI1671">
        <v>99999</v>
      </c>
      <c r="AJ1671">
        <v>99999</v>
      </c>
      <c r="AK1671">
        <v>699</v>
      </c>
      <c r="AL1671" t="b">
        <v>1</v>
      </c>
      <c r="AM1671" t="b">
        <v>1</v>
      </c>
      <c r="AN1671" t="b">
        <v>0</v>
      </c>
      <c r="AO1671">
        <v>99999</v>
      </c>
      <c r="AP1671" t="s">
        <v>64</v>
      </c>
      <c r="AR1671" t="b">
        <v>0</v>
      </c>
      <c r="AS1671">
        <v>12</v>
      </c>
      <c r="AT1671" t="s">
        <v>327</v>
      </c>
      <c r="AV1671" t="s">
        <v>2227</v>
      </c>
    </row>
    <row r="1672" spans="1:48" x14ac:dyDescent="0.25">
      <c r="A1672" t="s">
        <v>3323</v>
      </c>
      <c r="B1672" t="s">
        <v>302</v>
      </c>
      <c r="C1672" t="s">
        <v>62</v>
      </c>
      <c r="D1672">
        <v>99999</v>
      </c>
      <c r="F1672" s="109">
        <v>4000</v>
      </c>
      <c r="G1672" t="b">
        <v>0</v>
      </c>
      <c r="H1672" t="s">
        <v>329</v>
      </c>
      <c r="K1672" t="s">
        <v>379</v>
      </c>
      <c r="L1672" t="s">
        <v>303</v>
      </c>
      <c r="M1672" t="s">
        <v>323</v>
      </c>
      <c r="N1672" t="s">
        <v>63</v>
      </c>
      <c r="O1672" s="110">
        <v>49.9</v>
      </c>
      <c r="R1672" s="110">
        <v>294.99</v>
      </c>
      <c r="S1672" s="110">
        <v>130</v>
      </c>
      <c r="T1672" s="110">
        <v>0</v>
      </c>
      <c r="U1672" s="110">
        <v>42.99</v>
      </c>
      <c r="X1672">
        <v>62.099999999999994</v>
      </c>
      <c r="Y1672">
        <v>59.9</v>
      </c>
      <c r="Z1672">
        <v>59.9</v>
      </c>
      <c r="AA1672">
        <v>0</v>
      </c>
      <c r="AB1672" t="s">
        <v>363</v>
      </c>
      <c r="AF1672" t="s">
        <v>2286</v>
      </c>
      <c r="AG1672" t="s">
        <v>2286</v>
      </c>
      <c r="AH1672" t="s">
        <v>325</v>
      </c>
      <c r="AI1672">
        <v>99999</v>
      </c>
      <c r="AJ1672">
        <v>99999</v>
      </c>
      <c r="AK1672">
        <v>699</v>
      </c>
      <c r="AL1672" t="b">
        <v>1</v>
      </c>
      <c r="AM1672" t="b">
        <v>1</v>
      </c>
      <c r="AN1672" t="b">
        <v>0</v>
      </c>
      <c r="AO1672">
        <v>99999</v>
      </c>
      <c r="AP1672" t="s">
        <v>64</v>
      </c>
      <c r="AR1672" t="b">
        <v>0</v>
      </c>
      <c r="AS1672">
        <v>12</v>
      </c>
      <c r="AT1672" t="s">
        <v>327</v>
      </c>
      <c r="AV1672" t="s">
        <v>2301</v>
      </c>
    </row>
    <row r="1673" spans="1:48" x14ac:dyDescent="0.25">
      <c r="A1673" t="s">
        <v>3323</v>
      </c>
      <c r="B1673" t="s">
        <v>302</v>
      </c>
      <c r="C1673" t="s">
        <v>62</v>
      </c>
      <c r="D1673">
        <v>99999</v>
      </c>
      <c r="F1673" s="109">
        <v>4000</v>
      </c>
      <c r="G1673" t="b">
        <v>0</v>
      </c>
      <c r="H1673" t="s">
        <v>329</v>
      </c>
      <c r="K1673" t="s">
        <v>379</v>
      </c>
      <c r="L1673" t="s">
        <v>303</v>
      </c>
      <c r="M1673" t="s">
        <v>323</v>
      </c>
      <c r="N1673" t="s">
        <v>63</v>
      </c>
      <c r="O1673" s="110">
        <v>49.9</v>
      </c>
      <c r="R1673" s="110">
        <v>309.99</v>
      </c>
      <c r="S1673" s="110">
        <v>130</v>
      </c>
      <c r="T1673" s="110">
        <v>0</v>
      </c>
      <c r="U1673" s="110">
        <v>42.99</v>
      </c>
      <c r="X1673">
        <v>77.099999999999994</v>
      </c>
      <c r="Y1673">
        <v>59.9</v>
      </c>
      <c r="Z1673">
        <v>59.9</v>
      </c>
      <c r="AA1673">
        <v>0</v>
      </c>
      <c r="AB1673" t="s">
        <v>363</v>
      </c>
      <c r="AF1673" t="s">
        <v>2353</v>
      </c>
      <c r="AG1673" t="s">
        <v>2353</v>
      </c>
      <c r="AH1673" t="s">
        <v>325</v>
      </c>
      <c r="AI1673">
        <v>99999</v>
      </c>
      <c r="AJ1673">
        <v>99999</v>
      </c>
      <c r="AK1673">
        <v>699</v>
      </c>
      <c r="AL1673" t="b">
        <v>1</v>
      </c>
      <c r="AM1673" t="b">
        <v>1</v>
      </c>
      <c r="AN1673" t="b">
        <v>0</v>
      </c>
      <c r="AO1673">
        <v>99999</v>
      </c>
      <c r="AP1673" t="s">
        <v>64</v>
      </c>
      <c r="AR1673" t="b">
        <v>0</v>
      </c>
      <c r="AS1673">
        <v>12</v>
      </c>
      <c r="AT1673" t="s">
        <v>327</v>
      </c>
      <c r="AV1673" t="s">
        <v>2368</v>
      </c>
    </row>
    <row r="1674" spans="1:48" x14ac:dyDescent="0.25">
      <c r="A1674" t="s">
        <v>3323</v>
      </c>
      <c r="B1674" t="s">
        <v>302</v>
      </c>
      <c r="C1674" t="s">
        <v>62</v>
      </c>
      <c r="D1674">
        <v>99999</v>
      </c>
      <c r="F1674" s="109">
        <v>4000</v>
      </c>
      <c r="G1674" t="b">
        <v>0</v>
      </c>
      <c r="H1674" t="s">
        <v>329</v>
      </c>
      <c r="K1674" t="s">
        <v>379</v>
      </c>
      <c r="L1674" t="s">
        <v>303</v>
      </c>
      <c r="M1674" t="s">
        <v>323</v>
      </c>
      <c r="N1674" t="s">
        <v>63</v>
      </c>
      <c r="O1674" s="110">
        <v>49.9</v>
      </c>
      <c r="R1674" s="110">
        <v>304.99</v>
      </c>
      <c r="S1674" s="110">
        <v>130</v>
      </c>
      <c r="T1674" s="110">
        <v>0</v>
      </c>
      <c r="U1674" s="110">
        <v>42.99</v>
      </c>
      <c r="X1674">
        <v>72.099999999999994</v>
      </c>
      <c r="Y1674">
        <v>59.9</v>
      </c>
      <c r="Z1674">
        <v>59.9</v>
      </c>
      <c r="AA1674">
        <v>0</v>
      </c>
      <c r="AB1674" t="s">
        <v>363</v>
      </c>
      <c r="AF1674" t="s">
        <v>2420</v>
      </c>
      <c r="AG1674" t="s">
        <v>2420</v>
      </c>
      <c r="AH1674" t="s">
        <v>325</v>
      </c>
      <c r="AI1674">
        <v>99999</v>
      </c>
      <c r="AJ1674">
        <v>99999</v>
      </c>
      <c r="AK1674">
        <v>699</v>
      </c>
      <c r="AL1674" t="b">
        <v>1</v>
      </c>
      <c r="AM1674" t="b">
        <v>1</v>
      </c>
      <c r="AN1674" t="b">
        <v>0</v>
      </c>
      <c r="AO1674">
        <v>99999</v>
      </c>
      <c r="AP1674" t="s">
        <v>64</v>
      </c>
      <c r="AR1674" t="b">
        <v>0</v>
      </c>
      <c r="AS1674">
        <v>12</v>
      </c>
      <c r="AT1674" t="s">
        <v>327</v>
      </c>
      <c r="AV1674" t="s">
        <v>2435</v>
      </c>
    </row>
    <row r="1675" spans="1:48" x14ac:dyDescent="0.25">
      <c r="A1675" t="s">
        <v>3323</v>
      </c>
      <c r="B1675" t="s">
        <v>302</v>
      </c>
      <c r="C1675" t="s">
        <v>62</v>
      </c>
      <c r="D1675">
        <v>99999</v>
      </c>
      <c r="F1675" s="109">
        <v>4000</v>
      </c>
      <c r="G1675" t="b">
        <v>0</v>
      </c>
      <c r="H1675" t="s">
        <v>329</v>
      </c>
      <c r="K1675" t="s">
        <v>61</v>
      </c>
      <c r="L1675" t="s">
        <v>303</v>
      </c>
      <c r="M1675" t="s">
        <v>323</v>
      </c>
      <c r="N1675" t="s">
        <v>63</v>
      </c>
      <c r="O1675">
        <v>29.9</v>
      </c>
      <c r="R1675">
        <v>189.89</v>
      </c>
      <c r="S1675">
        <v>39.9</v>
      </c>
      <c r="T1675" s="110">
        <v>0</v>
      </c>
      <c r="U1675">
        <v>42.99</v>
      </c>
      <c r="X1675">
        <v>62.099999999999994</v>
      </c>
      <c r="Y1675">
        <v>44.9</v>
      </c>
      <c r="Z1675">
        <v>44.9</v>
      </c>
      <c r="AA1675">
        <v>0</v>
      </c>
      <c r="AB1675" t="s">
        <v>324</v>
      </c>
      <c r="AF1675" t="s">
        <v>326</v>
      </c>
      <c r="AG1675" t="s">
        <v>326</v>
      </c>
      <c r="AH1675" t="s">
        <v>325</v>
      </c>
      <c r="AI1675">
        <v>99999</v>
      </c>
      <c r="AJ1675">
        <v>99999</v>
      </c>
      <c r="AK1675">
        <v>699</v>
      </c>
      <c r="AL1675" t="b">
        <v>1</v>
      </c>
      <c r="AM1675" t="b">
        <v>1</v>
      </c>
      <c r="AN1675" t="b">
        <v>0</v>
      </c>
      <c r="AO1675">
        <v>99999</v>
      </c>
      <c r="AP1675" t="s">
        <v>64</v>
      </c>
      <c r="AR1675" t="b">
        <v>0</v>
      </c>
      <c r="AS1675">
        <v>12</v>
      </c>
      <c r="AT1675" t="s">
        <v>327</v>
      </c>
      <c r="AV1675" t="s">
        <v>330</v>
      </c>
    </row>
    <row r="1676" spans="1:48" x14ac:dyDescent="0.25">
      <c r="A1676" t="s">
        <v>3323</v>
      </c>
      <c r="B1676" t="s">
        <v>302</v>
      </c>
      <c r="C1676" t="s">
        <v>62</v>
      </c>
      <c r="D1676">
        <v>99999</v>
      </c>
      <c r="F1676" s="109">
        <v>4000</v>
      </c>
      <c r="G1676" t="b">
        <v>0</v>
      </c>
      <c r="H1676" t="s">
        <v>329</v>
      </c>
      <c r="K1676" t="s">
        <v>61</v>
      </c>
      <c r="L1676" t="s">
        <v>303</v>
      </c>
      <c r="M1676" t="s">
        <v>323</v>
      </c>
      <c r="N1676" t="s">
        <v>63</v>
      </c>
      <c r="O1676">
        <v>29.9</v>
      </c>
      <c r="R1676">
        <v>204.89</v>
      </c>
      <c r="S1676">
        <v>39.9</v>
      </c>
      <c r="T1676" s="110">
        <v>0</v>
      </c>
      <c r="U1676">
        <v>42.99</v>
      </c>
      <c r="X1676">
        <v>77.099999999999994</v>
      </c>
      <c r="Y1676">
        <v>44.9</v>
      </c>
      <c r="Z1676">
        <v>44.9</v>
      </c>
      <c r="AA1676">
        <v>0</v>
      </c>
      <c r="AB1676" t="s">
        <v>324</v>
      </c>
      <c r="AF1676" t="s">
        <v>474</v>
      </c>
      <c r="AG1676" t="s">
        <v>474</v>
      </c>
      <c r="AH1676" t="s">
        <v>325</v>
      </c>
      <c r="AI1676">
        <v>99999</v>
      </c>
      <c r="AJ1676">
        <v>99999</v>
      </c>
      <c r="AK1676">
        <v>699</v>
      </c>
      <c r="AL1676" t="b">
        <v>1</v>
      </c>
      <c r="AM1676" t="b">
        <v>1</v>
      </c>
      <c r="AN1676" t="b">
        <v>0</v>
      </c>
      <c r="AO1676">
        <v>99999</v>
      </c>
      <c r="AP1676" t="s">
        <v>64</v>
      </c>
      <c r="AR1676" t="b">
        <v>0</v>
      </c>
      <c r="AS1676">
        <v>12</v>
      </c>
      <c r="AT1676" t="s">
        <v>327</v>
      </c>
      <c r="AV1676" t="s">
        <v>476</v>
      </c>
    </row>
    <row r="1677" spans="1:48" x14ac:dyDescent="0.25">
      <c r="A1677" t="s">
        <v>3323</v>
      </c>
      <c r="B1677" t="s">
        <v>302</v>
      </c>
      <c r="C1677" t="s">
        <v>62</v>
      </c>
      <c r="D1677">
        <v>99999</v>
      </c>
      <c r="F1677" s="109">
        <v>4000</v>
      </c>
      <c r="G1677" t="b">
        <v>0</v>
      </c>
      <c r="H1677" t="s">
        <v>329</v>
      </c>
      <c r="K1677" t="s">
        <v>61</v>
      </c>
      <c r="L1677" t="s">
        <v>303</v>
      </c>
      <c r="M1677" t="s">
        <v>323</v>
      </c>
      <c r="N1677" t="s">
        <v>63</v>
      </c>
      <c r="O1677">
        <v>29.9</v>
      </c>
      <c r="R1677">
        <v>219.89</v>
      </c>
      <c r="S1677">
        <v>59.9</v>
      </c>
      <c r="T1677" s="110">
        <v>0</v>
      </c>
      <c r="U1677">
        <v>42.99</v>
      </c>
      <c r="X1677">
        <v>72.099999999999994</v>
      </c>
      <c r="Y1677">
        <v>44.9</v>
      </c>
      <c r="Z1677">
        <v>44.9</v>
      </c>
      <c r="AA1677">
        <v>0</v>
      </c>
      <c r="AB1677" t="s">
        <v>324</v>
      </c>
      <c r="AF1677" t="s">
        <v>608</v>
      </c>
      <c r="AG1677" t="s">
        <v>608</v>
      </c>
      <c r="AH1677" t="s">
        <v>325</v>
      </c>
      <c r="AI1677">
        <v>99999</v>
      </c>
      <c r="AJ1677">
        <v>99999</v>
      </c>
      <c r="AK1677">
        <v>699</v>
      </c>
      <c r="AL1677" t="b">
        <v>1</v>
      </c>
      <c r="AM1677" t="b">
        <v>1</v>
      </c>
      <c r="AN1677" t="b">
        <v>0</v>
      </c>
      <c r="AO1677">
        <v>99999</v>
      </c>
      <c r="AP1677" t="s">
        <v>64</v>
      </c>
      <c r="AR1677" t="b">
        <v>0</v>
      </c>
      <c r="AS1677">
        <v>12</v>
      </c>
      <c r="AT1677" t="s">
        <v>327</v>
      </c>
      <c r="AV1677" t="s">
        <v>610</v>
      </c>
    </row>
    <row r="1678" spans="1:48" x14ac:dyDescent="0.25">
      <c r="A1678" t="s">
        <v>3323</v>
      </c>
      <c r="B1678" t="s">
        <v>302</v>
      </c>
      <c r="C1678" t="s">
        <v>62</v>
      </c>
      <c r="D1678">
        <v>99999</v>
      </c>
      <c r="F1678" s="109">
        <v>4000</v>
      </c>
      <c r="G1678" t="b">
        <v>0</v>
      </c>
      <c r="H1678" t="s">
        <v>329</v>
      </c>
      <c r="K1678" t="s">
        <v>61</v>
      </c>
      <c r="L1678" t="s">
        <v>303</v>
      </c>
      <c r="M1678" t="s">
        <v>323</v>
      </c>
      <c r="N1678" t="s">
        <v>63</v>
      </c>
      <c r="O1678" s="110">
        <v>39.9</v>
      </c>
      <c r="R1678" s="110">
        <v>189.89</v>
      </c>
      <c r="S1678" s="110">
        <v>39.9</v>
      </c>
      <c r="T1678" s="110">
        <v>0</v>
      </c>
      <c r="U1678" s="110">
        <v>42.99</v>
      </c>
      <c r="X1678">
        <v>62.099999999999994</v>
      </c>
      <c r="Y1678">
        <v>44.9</v>
      </c>
      <c r="Z1678">
        <v>44.9</v>
      </c>
      <c r="AA1678">
        <v>0</v>
      </c>
      <c r="AB1678" t="s">
        <v>324</v>
      </c>
      <c r="AF1678" t="s">
        <v>407</v>
      </c>
      <c r="AG1678" t="s">
        <v>407</v>
      </c>
      <c r="AH1678" t="s">
        <v>325</v>
      </c>
      <c r="AI1678">
        <v>99999</v>
      </c>
      <c r="AJ1678">
        <v>99999</v>
      </c>
      <c r="AK1678">
        <v>699</v>
      </c>
      <c r="AL1678" t="b">
        <v>1</v>
      </c>
      <c r="AM1678" t="b">
        <v>1</v>
      </c>
      <c r="AN1678" t="b">
        <v>0</v>
      </c>
      <c r="AO1678">
        <v>99999</v>
      </c>
      <c r="AP1678" t="s">
        <v>64</v>
      </c>
      <c r="AR1678" t="b">
        <v>0</v>
      </c>
      <c r="AS1678">
        <v>12</v>
      </c>
      <c r="AT1678" t="s">
        <v>327</v>
      </c>
      <c r="AV1678" t="s">
        <v>409</v>
      </c>
    </row>
    <row r="1679" spans="1:48" x14ac:dyDescent="0.25">
      <c r="A1679" t="s">
        <v>3323</v>
      </c>
      <c r="B1679" t="s">
        <v>302</v>
      </c>
      <c r="C1679" t="s">
        <v>62</v>
      </c>
      <c r="D1679">
        <v>99999</v>
      </c>
      <c r="F1679" s="109">
        <v>4000</v>
      </c>
      <c r="G1679" t="b">
        <v>0</v>
      </c>
      <c r="H1679" t="s">
        <v>329</v>
      </c>
      <c r="K1679" t="s">
        <v>61</v>
      </c>
      <c r="L1679" t="s">
        <v>303</v>
      </c>
      <c r="M1679" t="s">
        <v>323</v>
      </c>
      <c r="N1679" t="s">
        <v>63</v>
      </c>
      <c r="O1679">
        <v>39.9</v>
      </c>
      <c r="R1679">
        <v>204.89</v>
      </c>
      <c r="S1679">
        <v>39.9</v>
      </c>
      <c r="T1679" s="110">
        <v>0</v>
      </c>
      <c r="U1679">
        <v>42.99</v>
      </c>
      <c r="X1679">
        <v>77.099999999999994</v>
      </c>
      <c r="Y1679">
        <v>44.9</v>
      </c>
      <c r="Z1679">
        <v>44.9</v>
      </c>
      <c r="AA1679">
        <v>0</v>
      </c>
      <c r="AB1679" t="s">
        <v>324</v>
      </c>
      <c r="AF1679" t="s">
        <v>541</v>
      </c>
      <c r="AG1679" t="s">
        <v>541</v>
      </c>
      <c r="AH1679" t="s">
        <v>325</v>
      </c>
      <c r="AI1679">
        <v>99999</v>
      </c>
      <c r="AJ1679">
        <v>99999</v>
      </c>
      <c r="AK1679">
        <v>699</v>
      </c>
      <c r="AL1679" t="b">
        <v>1</v>
      </c>
      <c r="AM1679" t="b">
        <v>1</v>
      </c>
      <c r="AN1679" t="b">
        <v>0</v>
      </c>
      <c r="AO1679">
        <v>99999</v>
      </c>
      <c r="AP1679" t="s">
        <v>64</v>
      </c>
      <c r="AR1679" t="b">
        <v>0</v>
      </c>
      <c r="AS1679">
        <v>12</v>
      </c>
      <c r="AT1679" t="s">
        <v>327</v>
      </c>
      <c r="AV1679" t="s">
        <v>543</v>
      </c>
    </row>
    <row r="1680" spans="1:48" x14ac:dyDescent="0.25">
      <c r="A1680" t="s">
        <v>3323</v>
      </c>
      <c r="B1680" t="s">
        <v>302</v>
      </c>
      <c r="C1680" t="s">
        <v>62</v>
      </c>
      <c r="D1680">
        <v>99999</v>
      </c>
      <c r="F1680" s="109">
        <v>4000</v>
      </c>
      <c r="G1680" t="b">
        <v>0</v>
      </c>
      <c r="H1680" t="s">
        <v>329</v>
      </c>
      <c r="K1680" t="s">
        <v>61</v>
      </c>
      <c r="L1680" t="s">
        <v>303</v>
      </c>
      <c r="M1680" t="s">
        <v>323</v>
      </c>
      <c r="N1680" t="s">
        <v>63</v>
      </c>
      <c r="O1680">
        <v>39.9</v>
      </c>
      <c r="R1680">
        <v>219.89</v>
      </c>
      <c r="S1680">
        <v>59.9</v>
      </c>
      <c r="T1680" s="110">
        <v>0</v>
      </c>
      <c r="U1680">
        <v>42.99</v>
      </c>
      <c r="X1680">
        <v>72.099999999999994</v>
      </c>
      <c r="Y1680">
        <v>44.9</v>
      </c>
      <c r="Z1680">
        <v>44.9</v>
      </c>
      <c r="AA1680">
        <v>0</v>
      </c>
      <c r="AB1680" t="s">
        <v>324</v>
      </c>
      <c r="AF1680" t="s">
        <v>675</v>
      </c>
      <c r="AG1680" t="s">
        <v>675</v>
      </c>
      <c r="AH1680" t="s">
        <v>325</v>
      </c>
      <c r="AI1680">
        <v>99999</v>
      </c>
      <c r="AJ1680">
        <v>99999</v>
      </c>
      <c r="AK1680">
        <v>699</v>
      </c>
      <c r="AL1680" t="b">
        <v>1</v>
      </c>
      <c r="AM1680" t="b">
        <v>1</v>
      </c>
      <c r="AN1680" t="b">
        <v>0</v>
      </c>
      <c r="AO1680">
        <v>99999</v>
      </c>
      <c r="AP1680" t="s">
        <v>64</v>
      </c>
      <c r="AR1680" t="b">
        <v>0</v>
      </c>
      <c r="AS1680">
        <v>12</v>
      </c>
      <c r="AT1680" t="s">
        <v>327</v>
      </c>
      <c r="AV1680" t="s">
        <v>677</v>
      </c>
    </row>
    <row r="1681" spans="1:48" x14ac:dyDescent="0.25">
      <c r="A1681" t="s">
        <v>3323</v>
      </c>
      <c r="B1681" t="s">
        <v>302</v>
      </c>
      <c r="C1681" t="s">
        <v>62</v>
      </c>
      <c r="D1681">
        <v>99999</v>
      </c>
      <c r="F1681" s="109">
        <v>4000</v>
      </c>
      <c r="G1681" t="b">
        <v>0</v>
      </c>
      <c r="H1681" t="s">
        <v>329</v>
      </c>
      <c r="K1681" t="s">
        <v>61</v>
      </c>
      <c r="L1681" t="s">
        <v>303</v>
      </c>
      <c r="M1681" t="s">
        <v>323</v>
      </c>
      <c r="N1681" t="s">
        <v>63</v>
      </c>
      <c r="O1681" s="110">
        <v>49.9</v>
      </c>
      <c r="R1681" s="110">
        <v>265.68999999999994</v>
      </c>
      <c r="S1681" s="110">
        <v>130</v>
      </c>
      <c r="T1681" s="110">
        <v>0</v>
      </c>
      <c r="U1681" s="110">
        <v>34.99</v>
      </c>
      <c r="X1681">
        <v>55.799999999999983</v>
      </c>
      <c r="Y1681">
        <v>44.9</v>
      </c>
      <c r="Z1681">
        <v>44.9</v>
      </c>
      <c r="AA1681">
        <v>0</v>
      </c>
      <c r="AB1681" t="s">
        <v>324</v>
      </c>
      <c r="AF1681" t="s">
        <v>2185</v>
      </c>
      <c r="AG1681" t="s">
        <v>2185</v>
      </c>
      <c r="AH1681" t="s">
        <v>325</v>
      </c>
      <c r="AI1681">
        <v>99999</v>
      </c>
      <c r="AJ1681">
        <v>99999</v>
      </c>
      <c r="AK1681">
        <v>699</v>
      </c>
      <c r="AL1681" t="b">
        <v>1</v>
      </c>
      <c r="AM1681" t="b">
        <v>1</v>
      </c>
      <c r="AN1681" t="b">
        <v>0</v>
      </c>
      <c r="AO1681">
        <v>99999</v>
      </c>
      <c r="AP1681" t="s">
        <v>64</v>
      </c>
      <c r="AR1681" t="b">
        <v>0</v>
      </c>
      <c r="AS1681">
        <v>12</v>
      </c>
      <c r="AT1681" t="s">
        <v>327</v>
      </c>
      <c r="AV1681" t="s">
        <v>2187</v>
      </c>
    </row>
    <row r="1682" spans="1:48" x14ac:dyDescent="0.25">
      <c r="A1682" t="s">
        <v>3323</v>
      </c>
      <c r="B1682" t="s">
        <v>302</v>
      </c>
      <c r="C1682" t="s">
        <v>62</v>
      </c>
      <c r="D1682">
        <v>99999</v>
      </c>
      <c r="F1682" s="109">
        <v>4000</v>
      </c>
      <c r="G1682" t="b">
        <v>0</v>
      </c>
      <c r="H1682" t="s">
        <v>329</v>
      </c>
      <c r="K1682" t="s">
        <v>61</v>
      </c>
      <c r="L1682" t="s">
        <v>303</v>
      </c>
      <c r="M1682" t="s">
        <v>323</v>
      </c>
      <c r="N1682" t="s">
        <v>63</v>
      </c>
      <c r="O1682" s="110">
        <v>49.9</v>
      </c>
      <c r="R1682" s="110">
        <v>279.99</v>
      </c>
      <c r="S1682" s="110">
        <v>130</v>
      </c>
      <c r="T1682" s="110">
        <v>0</v>
      </c>
      <c r="U1682" s="110">
        <v>42.99</v>
      </c>
      <c r="X1682">
        <v>62.099999999999994</v>
      </c>
      <c r="Y1682">
        <v>44.9</v>
      </c>
      <c r="Z1682">
        <v>44.9</v>
      </c>
      <c r="AA1682">
        <v>0</v>
      </c>
      <c r="AB1682" t="s">
        <v>324</v>
      </c>
      <c r="AF1682" t="s">
        <v>2259</v>
      </c>
      <c r="AG1682" t="s">
        <v>2259</v>
      </c>
      <c r="AH1682" t="s">
        <v>325</v>
      </c>
      <c r="AI1682">
        <v>99999</v>
      </c>
      <c r="AJ1682">
        <v>99999</v>
      </c>
      <c r="AK1682">
        <v>699</v>
      </c>
      <c r="AL1682" t="b">
        <v>1</v>
      </c>
      <c r="AM1682" t="b">
        <v>1</v>
      </c>
      <c r="AN1682" t="b">
        <v>0</v>
      </c>
      <c r="AO1682">
        <v>99999</v>
      </c>
      <c r="AP1682" t="s">
        <v>64</v>
      </c>
      <c r="AR1682" t="b">
        <v>0</v>
      </c>
      <c r="AS1682">
        <v>12</v>
      </c>
      <c r="AT1682" t="s">
        <v>327</v>
      </c>
      <c r="AV1682" t="s">
        <v>2261</v>
      </c>
    </row>
    <row r="1683" spans="1:48" x14ac:dyDescent="0.25">
      <c r="A1683" t="s">
        <v>3323</v>
      </c>
      <c r="B1683" t="s">
        <v>302</v>
      </c>
      <c r="C1683" t="s">
        <v>62</v>
      </c>
      <c r="D1683">
        <v>99999</v>
      </c>
      <c r="F1683" s="109">
        <v>4000</v>
      </c>
      <c r="G1683" t="b">
        <v>0</v>
      </c>
      <c r="H1683" t="s">
        <v>329</v>
      </c>
      <c r="K1683" t="s">
        <v>61</v>
      </c>
      <c r="L1683" t="s">
        <v>303</v>
      </c>
      <c r="M1683" t="s">
        <v>323</v>
      </c>
      <c r="N1683" t="s">
        <v>63</v>
      </c>
      <c r="O1683" s="110">
        <v>49.9</v>
      </c>
      <c r="R1683" s="110">
        <v>294.99</v>
      </c>
      <c r="S1683" s="110">
        <v>130</v>
      </c>
      <c r="T1683" s="110">
        <v>0</v>
      </c>
      <c r="U1683" s="110">
        <v>42.99</v>
      </c>
      <c r="X1683">
        <v>77.099999999999994</v>
      </c>
      <c r="Y1683">
        <v>44.9</v>
      </c>
      <c r="Z1683">
        <v>44.9</v>
      </c>
      <c r="AA1683">
        <v>0</v>
      </c>
      <c r="AB1683" t="s">
        <v>324</v>
      </c>
      <c r="AF1683" t="s">
        <v>2326</v>
      </c>
      <c r="AG1683" t="s">
        <v>2326</v>
      </c>
      <c r="AH1683" t="s">
        <v>325</v>
      </c>
      <c r="AI1683">
        <v>99999</v>
      </c>
      <c r="AJ1683">
        <v>99999</v>
      </c>
      <c r="AK1683">
        <v>699</v>
      </c>
      <c r="AL1683" t="b">
        <v>1</v>
      </c>
      <c r="AM1683" t="b">
        <v>1</v>
      </c>
      <c r="AN1683" t="b">
        <v>0</v>
      </c>
      <c r="AO1683">
        <v>99999</v>
      </c>
      <c r="AP1683" t="s">
        <v>64</v>
      </c>
      <c r="AR1683" t="b">
        <v>0</v>
      </c>
      <c r="AS1683">
        <v>12</v>
      </c>
      <c r="AT1683" t="s">
        <v>327</v>
      </c>
      <c r="AV1683" t="s">
        <v>2328</v>
      </c>
    </row>
    <row r="1684" spans="1:48" x14ac:dyDescent="0.25">
      <c r="A1684" t="s">
        <v>3323</v>
      </c>
      <c r="B1684" t="s">
        <v>302</v>
      </c>
      <c r="C1684" t="s">
        <v>62</v>
      </c>
      <c r="D1684">
        <v>99999</v>
      </c>
      <c r="F1684" s="109">
        <v>4000</v>
      </c>
      <c r="G1684" t="b">
        <v>0</v>
      </c>
      <c r="H1684" t="s">
        <v>329</v>
      </c>
      <c r="K1684" t="s">
        <v>61</v>
      </c>
      <c r="L1684" t="s">
        <v>303</v>
      </c>
      <c r="M1684" t="s">
        <v>323</v>
      </c>
      <c r="N1684" t="s">
        <v>63</v>
      </c>
      <c r="O1684" s="110">
        <v>49.9</v>
      </c>
      <c r="R1684" s="110">
        <v>289.99</v>
      </c>
      <c r="S1684" s="110">
        <v>130</v>
      </c>
      <c r="T1684" s="110">
        <v>0</v>
      </c>
      <c r="U1684" s="110">
        <v>42.99</v>
      </c>
      <c r="X1684">
        <v>72.099999999999994</v>
      </c>
      <c r="Y1684">
        <v>44.9</v>
      </c>
      <c r="Z1684">
        <v>44.9</v>
      </c>
      <c r="AA1684">
        <v>0</v>
      </c>
      <c r="AB1684" t="s">
        <v>324</v>
      </c>
      <c r="AF1684" t="s">
        <v>2393</v>
      </c>
      <c r="AG1684" t="s">
        <v>2393</v>
      </c>
      <c r="AH1684" t="s">
        <v>325</v>
      </c>
      <c r="AI1684">
        <v>99999</v>
      </c>
      <c r="AJ1684">
        <v>99999</v>
      </c>
      <c r="AK1684">
        <v>699</v>
      </c>
      <c r="AL1684" t="b">
        <v>1</v>
      </c>
      <c r="AM1684" t="b">
        <v>1</v>
      </c>
      <c r="AN1684" t="b">
        <v>0</v>
      </c>
      <c r="AO1684">
        <v>99999</v>
      </c>
      <c r="AP1684" t="s">
        <v>64</v>
      </c>
      <c r="AR1684" t="b">
        <v>0</v>
      </c>
      <c r="AS1684">
        <v>12</v>
      </c>
      <c r="AT1684" t="s">
        <v>327</v>
      </c>
      <c r="AV1684" t="s">
        <v>2395</v>
      </c>
    </row>
    <row r="1685" spans="1:48" x14ac:dyDescent="0.25">
      <c r="A1685" t="s">
        <v>3323</v>
      </c>
      <c r="B1685" t="s">
        <v>302</v>
      </c>
      <c r="C1685" t="s">
        <v>62</v>
      </c>
      <c r="D1685">
        <v>99999</v>
      </c>
      <c r="F1685" s="109">
        <v>4000</v>
      </c>
      <c r="G1685" t="b">
        <v>0</v>
      </c>
      <c r="H1685" t="s">
        <v>333</v>
      </c>
      <c r="K1685" t="s">
        <v>349</v>
      </c>
      <c r="L1685" t="s">
        <v>303</v>
      </c>
      <c r="M1685" t="s">
        <v>323</v>
      </c>
      <c r="N1685" t="s">
        <v>63</v>
      </c>
      <c r="O1685">
        <v>29.9</v>
      </c>
      <c r="R1685">
        <v>234.89</v>
      </c>
      <c r="S1685">
        <v>39.9</v>
      </c>
      <c r="T1685" s="110">
        <v>0</v>
      </c>
      <c r="U1685">
        <v>42.99</v>
      </c>
      <c r="X1685">
        <v>107.1</v>
      </c>
      <c r="Y1685">
        <v>44.9</v>
      </c>
      <c r="Z1685">
        <v>44.9</v>
      </c>
      <c r="AA1685">
        <v>0</v>
      </c>
      <c r="AB1685" t="s">
        <v>324</v>
      </c>
      <c r="AF1685" t="s">
        <v>326</v>
      </c>
      <c r="AG1685" t="s">
        <v>326</v>
      </c>
      <c r="AH1685" t="s">
        <v>325</v>
      </c>
      <c r="AI1685">
        <v>99999</v>
      </c>
      <c r="AJ1685">
        <v>99999</v>
      </c>
      <c r="AK1685">
        <v>699</v>
      </c>
      <c r="AL1685" t="b">
        <v>1</v>
      </c>
      <c r="AM1685" t="b">
        <v>1</v>
      </c>
      <c r="AN1685" t="b">
        <v>0</v>
      </c>
      <c r="AO1685">
        <v>99999</v>
      </c>
      <c r="AP1685" t="s">
        <v>64</v>
      </c>
      <c r="AR1685" t="b">
        <v>0</v>
      </c>
      <c r="AS1685">
        <v>12</v>
      </c>
      <c r="AT1685" t="s">
        <v>327</v>
      </c>
      <c r="AV1685" t="s">
        <v>353</v>
      </c>
    </row>
    <row r="1686" spans="1:48" x14ac:dyDescent="0.25">
      <c r="A1686" t="s">
        <v>3323</v>
      </c>
      <c r="B1686" t="s">
        <v>302</v>
      </c>
      <c r="C1686" t="s">
        <v>62</v>
      </c>
      <c r="D1686">
        <v>99999</v>
      </c>
      <c r="F1686" s="109">
        <v>4000</v>
      </c>
      <c r="G1686" t="b">
        <v>0</v>
      </c>
      <c r="H1686" t="s">
        <v>333</v>
      </c>
      <c r="K1686" t="s">
        <v>349</v>
      </c>
      <c r="L1686" t="s">
        <v>303</v>
      </c>
      <c r="M1686" t="s">
        <v>323</v>
      </c>
      <c r="N1686" t="s">
        <v>63</v>
      </c>
      <c r="O1686">
        <v>29.9</v>
      </c>
      <c r="R1686">
        <v>249.89</v>
      </c>
      <c r="S1686">
        <v>39.9</v>
      </c>
      <c r="T1686" s="110">
        <v>0</v>
      </c>
      <c r="U1686">
        <v>42.99</v>
      </c>
      <c r="X1686">
        <v>122.1</v>
      </c>
      <c r="Y1686">
        <v>44.9</v>
      </c>
      <c r="Z1686">
        <v>44.9</v>
      </c>
      <c r="AA1686">
        <v>0</v>
      </c>
      <c r="AB1686" t="s">
        <v>324</v>
      </c>
      <c r="AF1686" t="s">
        <v>474</v>
      </c>
      <c r="AG1686" t="s">
        <v>474</v>
      </c>
      <c r="AH1686" t="s">
        <v>325</v>
      </c>
      <c r="AI1686">
        <v>99999</v>
      </c>
      <c r="AJ1686">
        <v>99999</v>
      </c>
      <c r="AK1686">
        <v>699</v>
      </c>
      <c r="AL1686" t="b">
        <v>1</v>
      </c>
      <c r="AM1686" t="b">
        <v>1</v>
      </c>
      <c r="AN1686" t="b">
        <v>0</v>
      </c>
      <c r="AO1686">
        <v>99999</v>
      </c>
      <c r="AP1686" t="s">
        <v>64</v>
      </c>
      <c r="AR1686" t="b">
        <v>0</v>
      </c>
      <c r="AS1686">
        <v>12</v>
      </c>
      <c r="AT1686" t="s">
        <v>327</v>
      </c>
      <c r="AV1686" t="s">
        <v>491</v>
      </c>
    </row>
    <row r="1687" spans="1:48" x14ac:dyDescent="0.25">
      <c r="A1687" t="s">
        <v>3323</v>
      </c>
      <c r="B1687" t="s">
        <v>302</v>
      </c>
      <c r="C1687" t="s">
        <v>62</v>
      </c>
      <c r="D1687">
        <v>99999</v>
      </c>
      <c r="F1687" s="109">
        <v>4000</v>
      </c>
      <c r="G1687" t="b">
        <v>0</v>
      </c>
      <c r="H1687" t="s">
        <v>333</v>
      </c>
      <c r="K1687" t="s">
        <v>349</v>
      </c>
      <c r="L1687" t="s">
        <v>303</v>
      </c>
      <c r="M1687" t="s">
        <v>323</v>
      </c>
      <c r="N1687" t="s">
        <v>63</v>
      </c>
      <c r="O1687">
        <v>29.9</v>
      </c>
      <c r="R1687">
        <v>264.89</v>
      </c>
      <c r="S1687">
        <v>59.9</v>
      </c>
      <c r="T1687" s="110">
        <v>0</v>
      </c>
      <c r="U1687">
        <v>42.99</v>
      </c>
      <c r="X1687">
        <v>117.1</v>
      </c>
      <c r="Y1687">
        <v>44.9</v>
      </c>
      <c r="Z1687">
        <v>44.9</v>
      </c>
      <c r="AA1687">
        <v>0</v>
      </c>
      <c r="AB1687" t="s">
        <v>324</v>
      </c>
      <c r="AF1687" t="s">
        <v>608</v>
      </c>
      <c r="AG1687" t="s">
        <v>608</v>
      </c>
      <c r="AH1687" t="s">
        <v>325</v>
      </c>
      <c r="AI1687">
        <v>99999</v>
      </c>
      <c r="AJ1687">
        <v>99999</v>
      </c>
      <c r="AK1687">
        <v>699</v>
      </c>
      <c r="AL1687" t="b">
        <v>1</v>
      </c>
      <c r="AM1687" t="b">
        <v>1</v>
      </c>
      <c r="AN1687" t="b">
        <v>0</v>
      </c>
      <c r="AO1687">
        <v>99999</v>
      </c>
      <c r="AP1687" t="s">
        <v>64</v>
      </c>
      <c r="AR1687" t="b">
        <v>0</v>
      </c>
      <c r="AS1687">
        <v>12</v>
      </c>
      <c r="AT1687" t="s">
        <v>327</v>
      </c>
      <c r="AV1687" t="s">
        <v>625</v>
      </c>
    </row>
    <row r="1688" spans="1:48" x14ac:dyDescent="0.25">
      <c r="A1688" t="s">
        <v>3323</v>
      </c>
      <c r="B1688" t="s">
        <v>302</v>
      </c>
      <c r="C1688" t="s">
        <v>62</v>
      </c>
      <c r="D1688">
        <v>99999</v>
      </c>
      <c r="F1688" s="109">
        <v>4000</v>
      </c>
      <c r="G1688" t="b">
        <v>0</v>
      </c>
      <c r="H1688" t="s">
        <v>333</v>
      </c>
      <c r="K1688" t="s">
        <v>349</v>
      </c>
      <c r="L1688" t="s">
        <v>303</v>
      </c>
      <c r="M1688" t="s">
        <v>323</v>
      </c>
      <c r="N1688" t="s">
        <v>63</v>
      </c>
      <c r="O1688" s="110">
        <v>39.9</v>
      </c>
      <c r="R1688" s="110">
        <v>234.89</v>
      </c>
      <c r="S1688" s="110">
        <v>39.9</v>
      </c>
      <c r="T1688" s="110">
        <v>0</v>
      </c>
      <c r="U1688" s="110">
        <v>42.99</v>
      </c>
      <c r="X1688">
        <v>107.1</v>
      </c>
      <c r="Y1688">
        <v>44.9</v>
      </c>
      <c r="Z1688">
        <v>44.9</v>
      </c>
      <c r="AA1688">
        <v>0</v>
      </c>
      <c r="AB1688" t="s">
        <v>324</v>
      </c>
      <c r="AF1688" t="s">
        <v>407</v>
      </c>
      <c r="AG1688" t="s">
        <v>407</v>
      </c>
      <c r="AH1688" t="s">
        <v>325</v>
      </c>
      <c r="AI1688">
        <v>99999</v>
      </c>
      <c r="AJ1688">
        <v>99999</v>
      </c>
      <c r="AK1688">
        <v>699</v>
      </c>
      <c r="AL1688" t="b">
        <v>1</v>
      </c>
      <c r="AM1688" t="b">
        <v>1</v>
      </c>
      <c r="AN1688" t="b">
        <v>0</v>
      </c>
      <c r="AO1688">
        <v>99999</v>
      </c>
      <c r="AP1688" t="s">
        <v>64</v>
      </c>
      <c r="AR1688" t="b">
        <v>0</v>
      </c>
      <c r="AS1688">
        <v>12</v>
      </c>
      <c r="AT1688" t="s">
        <v>327</v>
      </c>
      <c r="AV1688" t="s">
        <v>424</v>
      </c>
    </row>
    <row r="1689" spans="1:48" x14ac:dyDescent="0.25">
      <c r="A1689" t="s">
        <v>3323</v>
      </c>
      <c r="B1689" t="s">
        <v>302</v>
      </c>
      <c r="C1689" t="s">
        <v>62</v>
      </c>
      <c r="D1689">
        <v>99999</v>
      </c>
      <c r="F1689" s="109">
        <v>4000</v>
      </c>
      <c r="G1689" t="b">
        <v>0</v>
      </c>
      <c r="H1689" t="s">
        <v>333</v>
      </c>
      <c r="K1689" t="s">
        <v>349</v>
      </c>
      <c r="L1689" t="s">
        <v>303</v>
      </c>
      <c r="M1689" t="s">
        <v>323</v>
      </c>
      <c r="N1689" t="s">
        <v>63</v>
      </c>
      <c r="O1689">
        <v>39.9</v>
      </c>
      <c r="R1689">
        <v>249.89</v>
      </c>
      <c r="S1689">
        <v>39.9</v>
      </c>
      <c r="T1689" s="110">
        <v>0</v>
      </c>
      <c r="U1689">
        <v>42.99</v>
      </c>
      <c r="X1689">
        <v>122.1</v>
      </c>
      <c r="Y1689">
        <v>44.9</v>
      </c>
      <c r="Z1689">
        <v>44.9</v>
      </c>
      <c r="AA1689">
        <v>0</v>
      </c>
      <c r="AB1689" t="s">
        <v>324</v>
      </c>
      <c r="AF1689" t="s">
        <v>541</v>
      </c>
      <c r="AG1689" t="s">
        <v>541</v>
      </c>
      <c r="AH1689" t="s">
        <v>325</v>
      </c>
      <c r="AI1689">
        <v>99999</v>
      </c>
      <c r="AJ1689">
        <v>99999</v>
      </c>
      <c r="AK1689">
        <v>699</v>
      </c>
      <c r="AL1689" t="b">
        <v>1</v>
      </c>
      <c r="AM1689" t="b">
        <v>1</v>
      </c>
      <c r="AN1689" t="b">
        <v>0</v>
      </c>
      <c r="AO1689">
        <v>99999</v>
      </c>
      <c r="AP1689" t="s">
        <v>64</v>
      </c>
      <c r="AR1689" t="b">
        <v>0</v>
      </c>
      <c r="AS1689">
        <v>12</v>
      </c>
      <c r="AT1689" t="s">
        <v>327</v>
      </c>
      <c r="AV1689" t="s">
        <v>558</v>
      </c>
    </row>
    <row r="1690" spans="1:48" x14ac:dyDescent="0.25">
      <c r="A1690" t="s">
        <v>3323</v>
      </c>
      <c r="B1690" t="s">
        <v>302</v>
      </c>
      <c r="C1690" t="s">
        <v>62</v>
      </c>
      <c r="D1690">
        <v>99999</v>
      </c>
      <c r="F1690" s="109">
        <v>4000</v>
      </c>
      <c r="G1690" t="b">
        <v>0</v>
      </c>
      <c r="H1690" t="s">
        <v>333</v>
      </c>
      <c r="K1690" t="s">
        <v>349</v>
      </c>
      <c r="L1690" t="s">
        <v>303</v>
      </c>
      <c r="M1690" t="s">
        <v>323</v>
      </c>
      <c r="N1690" t="s">
        <v>63</v>
      </c>
      <c r="O1690">
        <v>39.9</v>
      </c>
      <c r="R1690">
        <v>264.89</v>
      </c>
      <c r="S1690">
        <v>59.9</v>
      </c>
      <c r="T1690" s="110">
        <v>0</v>
      </c>
      <c r="U1690">
        <v>42.99</v>
      </c>
      <c r="X1690">
        <v>117.1</v>
      </c>
      <c r="Y1690">
        <v>44.9</v>
      </c>
      <c r="Z1690">
        <v>44.9</v>
      </c>
      <c r="AA1690">
        <v>0</v>
      </c>
      <c r="AB1690" t="s">
        <v>324</v>
      </c>
      <c r="AF1690" t="s">
        <v>675</v>
      </c>
      <c r="AG1690" t="s">
        <v>675</v>
      </c>
      <c r="AH1690" t="s">
        <v>325</v>
      </c>
      <c r="AI1690">
        <v>99999</v>
      </c>
      <c r="AJ1690">
        <v>99999</v>
      </c>
      <c r="AK1690">
        <v>699</v>
      </c>
      <c r="AL1690" t="b">
        <v>1</v>
      </c>
      <c r="AM1690" t="b">
        <v>1</v>
      </c>
      <c r="AN1690" t="b">
        <v>0</v>
      </c>
      <c r="AO1690">
        <v>99999</v>
      </c>
      <c r="AP1690" t="s">
        <v>64</v>
      </c>
      <c r="AR1690" t="b">
        <v>0</v>
      </c>
      <c r="AS1690">
        <v>12</v>
      </c>
      <c r="AT1690" t="s">
        <v>327</v>
      </c>
      <c r="AV1690" t="s">
        <v>692</v>
      </c>
    </row>
    <row r="1691" spans="1:48" x14ac:dyDescent="0.25">
      <c r="A1691" t="s">
        <v>3323</v>
      </c>
      <c r="B1691" t="s">
        <v>302</v>
      </c>
      <c r="C1691" t="s">
        <v>62</v>
      </c>
      <c r="D1691">
        <v>99999</v>
      </c>
      <c r="F1691" s="109">
        <v>4000</v>
      </c>
      <c r="G1691" t="b">
        <v>0</v>
      </c>
      <c r="H1691" t="s">
        <v>333</v>
      </c>
      <c r="K1691" t="s">
        <v>349</v>
      </c>
      <c r="L1691" t="s">
        <v>303</v>
      </c>
      <c r="M1691" t="s">
        <v>323</v>
      </c>
      <c r="N1691" t="s">
        <v>63</v>
      </c>
      <c r="O1691" s="110">
        <v>49.9</v>
      </c>
      <c r="R1691" s="110">
        <v>310.68999999999994</v>
      </c>
      <c r="S1691" s="110">
        <v>130</v>
      </c>
      <c r="T1691" s="110">
        <v>0</v>
      </c>
      <c r="U1691" s="110">
        <v>34.99</v>
      </c>
      <c r="X1691">
        <v>100.79999999999998</v>
      </c>
      <c r="Y1691">
        <v>44.9</v>
      </c>
      <c r="Z1691">
        <v>44.9</v>
      </c>
      <c r="AA1691">
        <v>0</v>
      </c>
      <c r="AB1691" t="s">
        <v>324</v>
      </c>
      <c r="AF1691" t="s">
        <v>2185</v>
      </c>
      <c r="AG1691" t="s">
        <v>2185</v>
      </c>
      <c r="AH1691" t="s">
        <v>325</v>
      </c>
      <c r="AI1691">
        <v>99999</v>
      </c>
      <c r="AJ1691">
        <v>99999</v>
      </c>
      <c r="AK1691">
        <v>699</v>
      </c>
      <c r="AL1691" t="b">
        <v>1</v>
      </c>
      <c r="AM1691" t="b">
        <v>1</v>
      </c>
      <c r="AN1691" t="b">
        <v>0</v>
      </c>
      <c r="AO1691">
        <v>99999</v>
      </c>
      <c r="AP1691" t="s">
        <v>64</v>
      </c>
      <c r="AR1691" t="b">
        <v>0</v>
      </c>
      <c r="AS1691">
        <v>12</v>
      </c>
      <c r="AT1691" t="s">
        <v>327</v>
      </c>
      <c r="AV1691" t="s">
        <v>2202</v>
      </c>
    </row>
    <row r="1692" spans="1:48" x14ac:dyDescent="0.25">
      <c r="A1692" t="s">
        <v>3323</v>
      </c>
      <c r="B1692" t="s">
        <v>302</v>
      </c>
      <c r="C1692" t="s">
        <v>62</v>
      </c>
      <c r="D1692">
        <v>99999</v>
      </c>
      <c r="F1692" s="109">
        <v>4000</v>
      </c>
      <c r="G1692" t="b">
        <v>0</v>
      </c>
      <c r="H1692" t="s">
        <v>333</v>
      </c>
      <c r="K1692" t="s">
        <v>349</v>
      </c>
      <c r="L1692" t="s">
        <v>303</v>
      </c>
      <c r="M1692" t="s">
        <v>323</v>
      </c>
      <c r="N1692" t="s">
        <v>63</v>
      </c>
      <c r="O1692" s="110">
        <v>49.9</v>
      </c>
      <c r="R1692" s="110">
        <v>324.99</v>
      </c>
      <c r="S1692" s="110">
        <v>130</v>
      </c>
      <c r="T1692" s="110">
        <v>0</v>
      </c>
      <c r="U1692" s="110">
        <v>42.99</v>
      </c>
      <c r="X1692">
        <v>107.1</v>
      </c>
      <c r="Y1692">
        <v>44.9</v>
      </c>
      <c r="Z1692">
        <v>44.9</v>
      </c>
      <c r="AA1692">
        <v>0</v>
      </c>
      <c r="AB1692" t="s">
        <v>324</v>
      </c>
      <c r="AF1692" t="s">
        <v>2259</v>
      </c>
      <c r="AG1692" t="s">
        <v>2259</v>
      </c>
      <c r="AH1692" t="s">
        <v>325</v>
      </c>
      <c r="AI1692">
        <v>99999</v>
      </c>
      <c r="AJ1692">
        <v>99999</v>
      </c>
      <c r="AK1692">
        <v>699</v>
      </c>
      <c r="AL1692" t="b">
        <v>1</v>
      </c>
      <c r="AM1692" t="b">
        <v>1</v>
      </c>
      <c r="AN1692" t="b">
        <v>0</v>
      </c>
      <c r="AO1692">
        <v>99999</v>
      </c>
      <c r="AP1692" t="s">
        <v>64</v>
      </c>
      <c r="AR1692" t="b">
        <v>0</v>
      </c>
      <c r="AS1692">
        <v>12</v>
      </c>
      <c r="AT1692" t="s">
        <v>327</v>
      </c>
      <c r="AV1692" t="s">
        <v>2276</v>
      </c>
    </row>
    <row r="1693" spans="1:48" x14ac:dyDescent="0.25">
      <c r="A1693" t="s">
        <v>3323</v>
      </c>
      <c r="B1693" t="s">
        <v>302</v>
      </c>
      <c r="C1693" t="s">
        <v>62</v>
      </c>
      <c r="D1693">
        <v>99999</v>
      </c>
      <c r="F1693" s="109">
        <v>4000</v>
      </c>
      <c r="G1693" t="b">
        <v>0</v>
      </c>
      <c r="H1693" t="s">
        <v>333</v>
      </c>
      <c r="K1693" t="s">
        <v>349</v>
      </c>
      <c r="L1693" t="s">
        <v>303</v>
      </c>
      <c r="M1693" t="s">
        <v>323</v>
      </c>
      <c r="N1693" t="s">
        <v>63</v>
      </c>
      <c r="O1693" s="110">
        <v>49.9</v>
      </c>
      <c r="R1693" s="110">
        <v>339.99</v>
      </c>
      <c r="S1693" s="110">
        <v>130</v>
      </c>
      <c r="T1693" s="110">
        <v>0</v>
      </c>
      <c r="U1693" s="110">
        <v>42.99</v>
      </c>
      <c r="X1693">
        <v>122.1</v>
      </c>
      <c r="Y1693">
        <v>44.9</v>
      </c>
      <c r="Z1693">
        <v>44.9</v>
      </c>
      <c r="AA1693">
        <v>0</v>
      </c>
      <c r="AB1693" t="s">
        <v>324</v>
      </c>
      <c r="AF1693" t="s">
        <v>2326</v>
      </c>
      <c r="AG1693" t="s">
        <v>2326</v>
      </c>
      <c r="AH1693" t="s">
        <v>325</v>
      </c>
      <c r="AI1693">
        <v>99999</v>
      </c>
      <c r="AJ1693">
        <v>99999</v>
      </c>
      <c r="AK1693">
        <v>699</v>
      </c>
      <c r="AL1693" t="b">
        <v>1</v>
      </c>
      <c r="AM1693" t="b">
        <v>1</v>
      </c>
      <c r="AN1693" t="b">
        <v>0</v>
      </c>
      <c r="AO1693">
        <v>99999</v>
      </c>
      <c r="AP1693" t="s">
        <v>64</v>
      </c>
      <c r="AR1693" t="b">
        <v>0</v>
      </c>
      <c r="AS1693">
        <v>12</v>
      </c>
      <c r="AT1693" t="s">
        <v>327</v>
      </c>
      <c r="AV1693" t="s">
        <v>2343</v>
      </c>
    </row>
    <row r="1694" spans="1:48" x14ac:dyDescent="0.25">
      <c r="A1694" t="s">
        <v>3323</v>
      </c>
      <c r="B1694" t="s">
        <v>302</v>
      </c>
      <c r="C1694" t="s">
        <v>62</v>
      </c>
      <c r="D1694">
        <v>99999</v>
      </c>
      <c r="F1694" s="109">
        <v>4000</v>
      </c>
      <c r="G1694" t="b">
        <v>0</v>
      </c>
      <c r="H1694" t="s">
        <v>333</v>
      </c>
      <c r="K1694" t="s">
        <v>349</v>
      </c>
      <c r="L1694" t="s">
        <v>303</v>
      </c>
      <c r="M1694" t="s">
        <v>323</v>
      </c>
      <c r="N1694" t="s">
        <v>63</v>
      </c>
      <c r="O1694" s="110">
        <v>49.9</v>
      </c>
      <c r="R1694" s="110">
        <v>334.99</v>
      </c>
      <c r="S1694" s="110">
        <v>130</v>
      </c>
      <c r="T1694" s="110">
        <v>0</v>
      </c>
      <c r="U1694" s="110">
        <v>42.99</v>
      </c>
      <c r="X1694">
        <v>117.1</v>
      </c>
      <c r="Y1694">
        <v>44.9</v>
      </c>
      <c r="Z1694">
        <v>44.9</v>
      </c>
      <c r="AA1694">
        <v>0</v>
      </c>
      <c r="AB1694" t="s">
        <v>324</v>
      </c>
      <c r="AF1694" t="s">
        <v>2393</v>
      </c>
      <c r="AG1694" t="s">
        <v>2393</v>
      </c>
      <c r="AH1694" t="s">
        <v>325</v>
      </c>
      <c r="AI1694">
        <v>99999</v>
      </c>
      <c r="AJ1694">
        <v>99999</v>
      </c>
      <c r="AK1694">
        <v>699</v>
      </c>
      <c r="AL1694" t="b">
        <v>1</v>
      </c>
      <c r="AM1694" t="b">
        <v>1</v>
      </c>
      <c r="AN1694" t="b">
        <v>0</v>
      </c>
      <c r="AO1694">
        <v>99999</v>
      </c>
      <c r="AP1694" t="s">
        <v>64</v>
      </c>
      <c r="AR1694" t="b">
        <v>0</v>
      </c>
      <c r="AS1694">
        <v>12</v>
      </c>
      <c r="AT1694" t="s">
        <v>327</v>
      </c>
      <c r="AV1694" t="s">
        <v>2410</v>
      </c>
    </row>
    <row r="1695" spans="1:48" x14ac:dyDescent="0.25">
      <c r="A1695" t="s">
        <v>3323</v>
      </c>
      <c r="B1695" t="s">
        <v>302</v>
      </c>
      <c r="C1695" t="s">
        <v>62</v>
      </c>
      <c r="D1695">
        <v>99999</v>
      </c>
      <c r="F1695" s="109">
        <v>4000</v>
      </c>
      <c r="G1695" t="b">
        <v>0</v>
      </c>
      <c r="H1695" t="s">
        <v>333</v>
      </c>
      <c r="K1695" t="s">
        <v>393</v>
      </c>
      <c r="L1695" t="s">
        <v>303</v>
      </c>
      <c r="M1695" t="s">
        <v>323</v>
      </c>
      <c r="N1695" t="s">
        <v>63</v>
      </c>
      <c r="O1695">
        <v>29.9</v>
      </c>
      <c r="R1695">
        <v>259.89</v>
      </c>
      <c r="S1695">
        <v>39.9</v>
      </c>
      <c r="T1695" s="110">
        <v>0</v>
      </c>
      <c r="U1695">
        <v>42.99</v>
      </c>
      <c r="X1695">
        <v>107.1</v>
      </c>
      <c r="Y1695">
        <v>69.900000000000006</v>
      </c>
      <c r="Z1695">
        <v>69.900000000000006</v>
      </c>
      <c r="AA1695">
        <v>0</v>
      </c>
      <c r="AB1695" t="s">
        <v>363</v>
      </c>
      <c r="AF1695" t="s">
        <v>365</v>
      </c>
      <c r="AG1695" t="s">
        <v>365</v>
      </c>
      <c r="AH1695" t="s">
        <v>325</v>
      </c>
      <c r="AI1695">
        <v>99999</v>
      </c>
      <c r="AJ1695">
        <v>99999</v>
      </c>
      <c r="AK1695">
        <v>699</v>
      </c>
      <c r="AL1695" t="b">
        <v>1</v>
      </c>
      <c r="AM1695" t="b">
        <v>1</v>
      </c>
      <c r="AN1695" t="b">
        <v>0</v>
      </c>
      <c r="AO1695">
        <v>99999</v>
      </c>
      <c r="AP1695" t="s">
        <v>64</v>
      </c>
      <c r="AR1695" t="b">
        <v>0</v>
      </c>
      <c r="AS1695">
        <v>12</v>
      </c>
      <c r="AT1695" t="s">
        <v>327</v>
      </c>
      <c r="AV1695" t="s">
        <v>397</v>
      </c>
    </row>
    <row r="1696" spans="1:48" x14ac:dyDescent="0.25">
      <c r="A1696" t="s">
        <v>3323</v>
      </c>
      <c r="B1696" t="s">
        <v>302</v>
      </c>
      <c r="C1696" t="s">
        <v>62</v>
      </c>
      <c r="D1696">
        <v>99999</v>
      </c>
      <c r="F1696" s="109">
        <v>4000</v>
      </c>
      <c r="G1696" t="b">
        <v>0</v>
      </c>
      <c r="H1696" t="s">
        <v>333</v>
      </c>
      <c r="K1696" t="s">
        <v>393</v>
      </c>
      <c r="L1696" t="s">
        <v>303</v>
      </c>
      <c r="M1696" t="s">
        <v>323</v>
      </c>
      <c r="N1696" t="s">
        <v>63</v>
      </c>
      <c r="O1696">
        <v>29.9</v>
      </c>
      <c r="R1696">
        <v>274.89</v>
      </c>
      <c r="S1696">
        <v>39.9</v>
      </c>
      <c r="T1696" s="110">
        <v>0</v>
      </c>
      <c r="U1696">
        <v>42.99</v>
      </c>
      <c r="X1696">
        <v>122.1</v>
      </c>
      <c r="Y1696">
        <v>69.900000000000006</v>
      </c>
      <c r="Z1696">
        <v>69.900000000000006</v>
      </c>
      <c r="AA1696">
        <v>0</v>
      </c>
      <c r="AB1696" t="s">
        <v>363</v>
      </c>
      <c r="AF1696" t="s">
        <v>501</v>
      </c>
      <c r="AG1696" t="s">
        <v>501</v>
      </c>
      <c r="AH1696" t="s">
        <v>325</v>
      </c>
      <c r="AI1696">
        <v>99999</v>
      </c>
      <c r="AJ1696">
        <v>99999</v>
      </c>
      <c r="AK1696">
        <v>699</v>
      </c>
      <c r="AL1696" t="b">
        <v>1</v>
      </c>
      <c r="AM1696" t="b">
        <v>1</v>
      </c>
      <c r="AN1696" t="b">
        <v>0</v>
      </c>
      <c r="AO1696">
        <v>99999</v>
      </c>
      <c r="AP1696" t="s">
        <v>64</v>
      </c>
      <c r="AR1696" t="b">
        <v>0</v>
      </c>
      <c r="AS1696">
        <v>12</v>
      </c>
      <c r="AT1696" t="s">
        <v>327</v>
      </c>
      <c r="AV1696" t="s">
        <v>531</v>
      </c>
    </row>
    <row r="1697" spans="1:48" x14ac:dyDescent="0.25">
      <c r="A1697" t="s">
        <v>3323</v>
      </c>
      <c r="B1697" t="s">
        <v>302</v>
      </c>
      <c r="C1697" t="s">
        <v>62</v>
      </c>
      <c r="D1697">
        <v>99999</v>
      </c>
      <c r="F1697" s="109">
        <v>4000</v>
      </c>
      <c r="G1697" t="b">
        <v>0</v>
      </c>
      <c r="H1697" t="s">
        <v>333</v>
      </c>
      <c r="K1697" t="s">
        <v>393</v>
      </c>
      <c r="L1697" t="s">
        <v>303</v>
      </c>
      <c r="M1697" t="s">
        <v>323</v>
      </c>
      <c r="N1697" t="s">
        <v>63</v>
      </c>
      <c r="O1697">
        <v>29.9</v>
      </c>
      <c r="R1697">
        <v>289.89</v>
      </c>
      <c r="S1697">
        <v>59.9</v>
      </c>
      <c r="T1697" s="110">
        <v>0</v>
      </c>
      <c r="U1697">
        <v>42.99</v>
      </c>
      <c r="X1697">
        <v>117.1</v>
      </c>
      <c r="Y1697">
        <v>69.900000000000006</v>
      </c>
      <c r="Z1697">
        <v>69.900000000000006</v>
      </c>
      <c r="AA1697">
        <v>0</v>
      </c>
      <c r="AB1697" t="s">
        <v>363</v>
      </c>
      <c r="AF1697" t="s">
        <v>635</v>
      </c>
      <c r="AG1697" t="s">
        <v>635</v>
      </c>
      <c r="AH1697" t="s">
        <v>325</v>
      </c>
      <c r="AI1697">
        <v>99999</v>
      </c>
      <c r="AJ1697">
        <v>99999</v>
      </c>
      <c r="AK1697">
        <v>699</v>
      </c>
      <c r="AL1697" t="b">
        <v>1</v>
      </c>
      <c r="AM1697" t="b">
        <v>1</v>
      </c>
      <c r="AN1697" t="b">
        <v>0</v>
      </c>
      <c r="AO1697">
        <v>99999</v>
      </c>
      <c r="AP1697" t="s">
        <v>64</v>
      </c>
      <c r="AR1697" t="b">
        <v>0</v>
      </c>
      <c r="AS1697">
        <v>12</v>
      </c>
      <c r="AT1697" t="s">
        <v>327</v>
      </c>
      <c r="AV1697" t="s">
        <v>665</v>
      </c>
    </row>
    <row r="1698" spans="1:48" x14ac:dyDescent="0.25">
      <c r="A1698" t="s">
        <v>3323</v>
      </c>
      <c r="B1698" t="s">
        <v>302</v>
      </c>
      <c r="C1698" t="s">
        <v>62</v>
      </c>
      <c r="D1698">
        <v>99999</v>
      </c>
      <c r="F1698" s="109">
        <v>4000</v>
      </c>
      <c r="G1698" t="b">
        <v>0</v>
      </c>
      <c r="H1698" t="s">
        <v>333</v>
      </c>
      <c r="K1698" t="s">
        <v>393</v>
      </c>
      <c r="L1698" t="s">
        <v>303</v>
      </c>
      <c r="M1698" t="s">
        <v>323</v>
      </c>
      <c r="N1698" t="s">
        <v>63</v>
      </c>
      <c r="O1698" s="110">
        <v>39.9</v>
      </c>
      <c r="R1698" s="110">
        <v>259.89</v>
      </c>
      <c r="S1698" s="110">
        <v>39.9</v>
      </c>
      <c r="T1698" s="110">
        <v>0</v>
      </c>
      <c r="U1698" s="110">
        <v>42.99</v>
      </c>
      <c r="X1698">
        <v>107.1</v>
      </c>
      <c r="Y1698">
        <v>69.900000000000006</v>
      </c>
      <c r="Z1698">
        <v>69.900000000000006</v>
      </c>
      <c r="AA1698">
        <v>0</v>
      </c>
      <c r="AB1698" t="s">
        <v>363</v>
      </c>
      <c r="AF1698" t="s">
        <v>434</v>
      </c>
      <c r="AG1698" t="s">
        <v>434</v>
      </c>
      <c r="AH1698" t="s">
        <v>325</v>
      </c>
      <c r="AI1698">
        <v>99999</v>
      </c>
      <c r="AJ1698">
        <v>99999</v>
      </c>
      <c r="AK1698">
        <v>699</v>
      </c>
      <c r="AL1698" t="b">
        <v>1</v>
      </c>
      <c r="AM1698" t="b">
        <v>1</v>
      </c>
      <c r="AN1698" t="b">
        <v>0</v>
      </c>
      <c r="AO1698">
        <v>99999</v>
      </c>
      <c r="AP1698" t="s">
        <v>64</v>
      </c>
      <c r="AR1698" t="b">
        <v>0</v>
      </c>
      <c r="AS1698">
        <v>12</v>
      </c>
      <c r="AT1698" t="s">
        <v>327</v>
      </c>
      <c r="AV1698" t="s">
        <v>464</v>
      </c>
    </row>
    <row r="1699" spans="1:48" x14ac:dyDescent="0.25">
      <c r="A1699" t="s">
        <v>3323</v>
      </c>
      <c r="B1699" t="s">
        <v>302</v>
      </c>
      <c r="C1699" t="s">
        <v>62</v>
      </c>
      <c r="D1699">
        <v>99999</v>
      </c>
      <c r="F1699" s="109">
        <v>4000</v>
      </c>
      <c r="G1699" t="b">
        <v>0</v>
      </c>
      <c r="H1699" t="s">
        <v>333</v>
      </c>
      <c r="K1699" t="s">
        <v>393</v>
      </c>
      <c r="L1699" t="s">
        <v>303</v>
      </c>
      <c r="M1699" t="s">
        <v>323</v>
      </c>
      <c r="N1699" t="s">
        <v>63</v>
      </c>
      <c r="O1699">
        <v>39.9</v>
      </c>
      <c r="R1699">
        <v>274.89</v>
      </c>
      <c r="S1699">
        <v>39.9</v>
      </c>
      <c r="T1699" s="110">
        <v>0</v>
      </c>
      <c r="U1699">
        <v>42.99</v>
      </c>
      <c r="X1699">
        <v>122.1</v>
      </c>
      <c r="Y1699">
        <v>69.900000000000006</v>
      </c>
      <c r="Z1699">
        <v>69.900000000000006</v>
      </c>
      <c r="AA1699">
        <v>0</v>
      </c>
      <c r="AB1699" t="s">
        <v>363</v>
      </c>
      <c r="AF1699" t="s">
        <v>568</v>
      </c>
      <c r="AG1699" t="s">
        <v>568</v>
      </c>
      <c r="AH1699" t="s">
        <v>325</v>
      </c>
      <c r="AI1699">
        <v>99999</v>
      </c>
      <c r="AJ1699">
        <v>99999</v>
      </c>
      <c r="AK1699">
        <v>699</v>
      </c>
      <c r="AL1699" t="b">
        <v>1</v>
      </c>
      <c r="AM1699" t="b">
        <v>1</v>
      </c>
      <c r="AN1699" t="b">
        <v>0</v>
      </c>
      <c r="AO1699">
        <v>99999</v>
      </c>
      <c r="AP1699" t="s">
        <v>64</v>
      </c>
      <c r="AR1699" t="b">
        <v>0</v>
      </c>
      <c r="AS1699">
        <v>12</v>
      </c>
      <c r="AT1699" t="s">
        <v>327</v>
      </c>
      <c r="AV1699" t="s">
        <v>598</v>
      </c>
    </row>
    <row r="1700" spans="1:48" x14ac:dyDescent="0.25">
      <c r="A1700" t="s">
        <v>3323</v>
      </c>
      <c r="B1700" t="s">
        <v>302</v>
      </c>
      <c r="C1700" t="s">
        <v>62</v>
      </c>
      <c r="D1700">
        <v>99999</v>
      </c>
      <c r="F1700" s="109">
        <v>4000</v>
      </c>
      <c r="G1700" t="b">
        <v>0</v>
      </c>
      <c r="H1700" t="s">
        <v>333</v>
      </c>
      <c r="K1700" t="s">
        <v>393</v>
      </c>
      <c r="L1700" t="s">
        <v>303</v>
      </c>
      <c r="M1700" t="s">
        <v>323</v>
      </c>
      <c r="N1700" t="s">
        <v>63</v>
      </c>
      <c r="O1700">
        <v>39.9</v>
      </c>
      <c r="R1700">
        <v>289.89</v>
      </c>
      <c r="S1700">
        <v>59.9</v>
      </c>
      <c r="T1700" s="110">
        <v>0</v>
      </c>
      <c r="U1700">
        <v>42.99</v>
      </c>
      <c r="X1700">
        <v>117.1</v>
      </c>
      <c r="Y1700">
        <v>69.900000000000006</v>
      </c>
      <c r="Z1700">
        <v>69.900000000000006</v>
      </c>
      <c r="AA1700">
        <v>0</v>
      </c>
      <c r="AB1700" t="s">
        <v>363</v>
      </c>
      <c r="AF1700" t="s">
        <v>702</v>
      </c>
      <c r="AG1700" t="s">
        <v>702</v>
      </c>
      <c r="AH1700" t="s">
        <v>325</v>
      </c>
      <c r="AI1700">
        <v>99999</v>
      </c>
      <c r="AJ1700">
        <v>99999</v>
      </c>
      <c r="AK1700">
        <v>699</v>
      </c>
      <c r="AL1700" t="b">
        <v>1</v>
      </c>
      <c r="AM1700" t="b">
        <v>1</v>
      </c>
      <c r="AN1700" t="b">
        <v>0</v>
      </c>
      <c r="AO1700">
        <v>99999</v>
      </c>
      <c r="AP1700" t="s">
        <v>64</v>
      </c>
      <c r="AR1700" t="b">
        <v>0</v>
      </c>
      <c r="AS1700">
        <v>12</v>
      </c>
      <c r="AT1700" t="s">
        <v>327</v>
      </c>
      <c r="AV1700" t="s">
        <v>732</v>
      </c>
    </row>
    <row r="1701" spans="1:48" x14ac:dyDescent="0.25">
      <c r="A1701" t="s">
        <v>3323</v>
      </c>
      <c r="B1701" t="s">
        <v>302</v>
      </c>
      <c r="C1701" t="s">
        <v>62</v>
      </c>
      <c r="D1701">
        <v>99999</v>
      </c>
      <c r="F1701" s="109">
        <v>4000</v>
      </c>
      <c r="G1701" t="b">
        <v>0</v>
      </c>
      <c r="H1701" t="s">
        <v>333</v>
      </c>
      <c r="K1701" t="s">
        <v>393</v>
      </c>
      <c r="L1701" t="s">
        <v>303</v>
      </c>
      <c r="M1701" t="s">
        <v>323</v>
      </c>
      <c r="N1701" t="s">
        <v>63</v>
      </c>
      <c r="O1701" s="110">
        <v>49.9</v>
      </c>
      <c r="R1701" s="110">
        <v>335.69</v>
      </c>
      <c r="S1701" s="110">
        <v>130</v>
      </c>
      <c r="T1701" s="110">
        <v>0</v>
      </c>
      <c r="U1701" s="110">
        <v>34.99</v>
      </c>
      <c r="X1701">
        <v>100.79999999999998</v>
      </c>
      <c r="Y1701">
        <v>69.900000000000006</v>
      </c>
      <c r="Z1701">
        <v>69.900000000000006</v>
      </c>
      <c r="AA1701">
        <v>0</v>
      </c>
      <c r="AB1701" t="s">
        <v>363</v>
      </c>
      <c r="AF1701" t="s">
        <v>2212</v>
      </c>
      <c r="AG1701" t="s">
        <v>2212</v>
      </c>
      <c r="AH1701" t="s">
        <v>325</v>
      </c>
      <c r="AI1701">
        <v>99999</v>
      </c>
      <c r="AJ1701">
        <v>99999</v>
      </c>
      <c r="AK1701">
        <v>699</v>
      </c>
      <c r="AL1701" t="b">
        <v>1</v>
      </c>
      <c r="AM1701" t="b">
        <v>1</v>
      </c>
      <c r="AN1701" t="b">
        <v>0</v>
      </c>
      <c r="AO1701">
        <v>99999</v>
      </c>
      <c r="AP1701" t="s">
        <v>64</v>
      </c>
      <c r="AR1701" t="b">
        <v>0</v>
      </c>
      <c r="AS1701">
        <v>12</v>
      </c>
      <c r="AT1701" t="s">
        <v>327</v>
      </c>
      <c r="AV1701" t="s">
        <v>2242</v>
      </c>
    </row>
    <row r="1702" spans="1:48" x14ac:dyDescent="0.25">
      <c r="A1702" t="s">
        <v>3323</v>
      </c>
      <c r="B1702" t="s">
        <v>302</v>
      </c>
      <c r="C1702" t="s">
        <v>62</v>
      </c>
      <c r="D1702">
        <v>99999</v>
      </c>
      <c r="F1702" s="109">
        <v>4000</v>
      </c>
      <c r="G1702" t="b">
        <v>0</v>
      </c>
      <c r="H1702" t="s">
        <v>333</v>
      </c>
      <c r="K1702" t="s">
        <v>393</v>
      </c>
      <c r="L1702" t="s">
        <v>303</v>
      </c>
      <c r="M1702" t="s">
        <v>323</v>
      </c>
      <c r="N1702" t="s">
        <v>63</v>
      </c>
      <c r="O1702" s="110">
        <v>49.9</v>
      </c>
      <c r="R1702" s="110">
        <v>349.99</v>
      </c>
      <c r="S1702" s="110">
        <v>130</v>
      </c>
      <c r="T1702" s="110">
        <v>0</v>
      </c>
      <c r="U1702" s="110">
        <v>42.99</v>
      </c>
      <c r="X1702">
        <v>107.1</v>
      </c>
      <c r="Y1702">
        <v>69.900000000000006</v>
      </c>
      <c r="Z1702">
        <v>69.900000000000006</v>
      </c>
      <c r="AA1702">
        <v>0</v>
      </c>
      <c r="AB1702" t="s">
        <v>363</v>
      </c>
      <c r="AF1702" t="s">
        <v>2286</v>
      </c>
      <c r="AG1702" t="s">
        <v>2286</v>
      </c>
      <c r="AH1702" t="s">
        <v>325</v>
      </c>
      <c r="AI1702">
        <v>99999</v>
      </c>
      <c r="AJ1702">
        <v>99999</v>
      </c>
      <c r="AK1702">
        <v>699</v>
      </c>
      <c r="AL1702" t="b">
        <v>1</v>
      </c>
      <c r="AM1702" t="b">
        <v>1</v>
      </c>
      <c r="AN1702" t="b">
        <v>0</v>
      </c>
      <c r="AO1702">
        <v>99999</v>
      </c>
      <c r="AP1702" t="s">
        <v>64</v>
      </c>
      <c r="AR1702" t="b">
        <v>0</v>
      </c>
      <c r="AS1702">
        <v>12</v>
      </c>
      <c r="AT1702" t="s">
        <v>327</v>
      </c>
      <c r="AV1702" t="s">
        <v>2316</v>
      </c>
    </row>
    <row r="1703" spans="1:48" x14ac:dyDescent="0.25">
      <c r="A1703" t="s">
        <v>3323</v>
      </c>
      <c r="B1703" t="s">
        <v>302</v>
      </c>
      <c r="C1703" t="s">
        <v>62</v>
      </c>
      <c r="D1703">
        <v>99999</v>
      </c>
      <c r="F1703" s="109">
        <v>4000</v>
      </c>
      <c r="G1703" t="b">
        <v>0</v>
      </c>
      <c r="H1703" t="s">
        <v>333</v>
      </c>
      <c r="K1703" t="s">
        <v>393</v>
      </c>
      <c r="L1703" t="s">
        <v>303</v>
      </c>
      <c r="M1703" t="s">
        <v>323</v>
      </c>
      <c r="N1703" t="s">
        <v>63</v>
      </c>
      <c r="O1703" s="110">
        <v>49.9</v>
      </c>
      <c r="R1703" s="110">
        <v>364.99</v>
      </c>
      <c r="S1703" s="110">
        <v>130</v>
      </c>
      <c r="T1703" s="110">
        <v>0</v>
      </c>
      <c r="U1703" s="110">
        <v>42.99</v>
      </c>
      <c r="X1703">
        <v>122.1</v>
      </c>
      <c r="Y1703">
        <v>69.900000000000006</v>
      </c>
      <c r="Z1703">
        <v>69.900000000000006</v>
      </c>
      <c r="AA1703">
        <v>0</v>
      </c>
      <c r="AB1703" t="s">
        <v>363</v>
      </c>
      <c r="AF1703" t="s">
        <v>2353</v>
      </c>
      <c r="AG1703" t="s">
        <v>2353</v>
      </c>
      <c r="AH1703" t="s">
        <v>325</v>
      </c>
      <c r="AI1703">
        <v>99999</v>
      </c>
      <c r="AJ1703">
        <v>99999</v>
      </c>
      <c r="AK1703">
        <v>699</v>
      </c>
      <c r="AL1703" t="b">
        <v>1</v>
      </c>
      <c r="AM1703" t="b">
        <v>1</v>
      </c>
      <c r="AN1703" t="b">
        <v>0</v>
      </c>
      <c r="AO1703">
        <v>99999</v>
      </c>
      <c r="AP1703" t="s">
        <v>64</v>
      </c>
      <c r="AR1703" t="b">
        <v>0</v>
      </c>
      <c r="AS1703">
        <v>12</v>
      </c>
      <c r="AT1703" t="s">
        <v>327</v>
      </c>
      <c r="AV1703" t="s">
        <v>2383</v>
      </c>
    </row>
    <row r="1704" spans="1:48" x14ac:dyDescent="0.25">
      <c r="A1704" t="s">
        <v>3323</v>
      </c>
      <c r="B1704" t="s">
        <v>302</v>
      </c>
      <c r="C1704" t="s">
        <v>62</v>
      </c>
      <c r="D1704">
        <v>99999</v>
      </c>
      <c r="F1704" s="109">
        <v>4000</v>
      </c>
      <c r="G1704" t="b">
        <v>0</v>
      </c>
      <c r="H1704" t="s">
        <v>333</v>
      </c>
      <c r="K1704" t="s">
        <v>393</v>
      </c>
      <c r="L1704" t="s">
        <v>303</v>
      </c>
      <c r="M1704" t="s">
        <v>323</v>
      </c>
      <c r="N1704" t="s">
        <v>63</v>
      </c>
      <c r="O1704" s="110">
        <v>49.9</v>
      </c>
      <c r="R1704" s="110">
        <v>359.99</v>
      </c>
      <c r="S1704" s="110">
        <v>130</v>
      </c>
      <c r="T1704" s="110">
        <v>0</v>
      </c>
      <c r="U1704" s="110">
        <v>42.99</v>
      </c>
      <c r="X1704">
        <v>117.1</v>
      </c>
      <c r="Y1704">
        <v>69.900000000000006</v>
      </c>
      <c r="Z1704">
        <v>69.900000000000006</v>
      </c>
      <c r="AA1704">
        <v>0</v>
      </c>
      <c r="AB1704" t="s">
        <v>363</v>
      </c>
      <c r="AF1704" t="s">
        <v>2420</v>
      </c>
      <c r="AG1704" t="s">
        <v>2420</v>
      </c>
      <c r="AH1704" t="s">
        <v>325</v>
      </c>
      <c r="AI1704">
        <v>99999</v>
      </c>
      <c r="AJ1704">
        <v>99999</v>
      </c>
      <c r="AK1704">
        <v>699</v>
      </c>
      <c r="AL1704" t="b">
        <v>1</v>
      </c>
      <c r="AM1704" t="b">
        <v>1</v>
      </c>
      <c r="AN1704" t="b">
        <v>0</v>
      </c>
      <c r="AO1704">
        <v>99999</v>
      </c>
      <c r="AP1704" t="s">
        <v>64</v>
      </c>
      <c r="AR1704" t="b">
        <v>0</v>
      </c>
      <c r="AS1704">
        <v>12</v>
      </c>
      <c r="AT1704" t="s">
        <v>327</v>
      </c>
      <c r="AV1704" t="s">
        <v>2450</v>
      </c>
    </row>
    <row r="1705" spans="1:48" x14ac:dyDescent="0.25">
      <c r="A1705" t="s">
        <v>3323</v>
      </c>
      <c r="B1705" t="s">
        <v>302</v>
      </c>
      <c r="C1705" t="s">
        <v>62</v>
      </c>
      <c r="D1705">
        <v>99999</v>
      </c>
      <c r="F1705" s="109">
        <v>4000</v>
      </c>
      <c r="G1705" t="b">
        <v>0</v>
      </c>
      <c r="H1705" t="s">
        <v>333</v>
      </c>
      <c r="K1705" t="s">
        <v>364</v>
      </c>
      <c r="L1705" t="s">
        <v>303</v>
      </c>
      <c r="M1705" t="s">
        <v>323</v>
      </c>
      <c r="N1705" t="s">
        <v>63</v>
      </c>
      <c r="O1705">
        <v>29.9</v>
      </c>
      <c r="R1705">
        <v>239.89</v>
      </c>
      <c r="S1705">
        <v>39.9</v>
      </c>
      <c r="T1705" s="110">
        <v>0</v>
      </c>
      <c r="U1705">
        <v>42.99</v>
      </c>
      <c r="X1705">
        <v>107.1</v>
      </c>
      <c r="Y1705">
        <v>49.9</v>
      </c>
      <c r="Z1705">
        <v>49.9</v>
      </c>
      <c r="AA1705">
        <v>0</v>
      </c>
      <c r="AB1705" t="s">
        <v>363</v>
      </c>
      <c r="AF1705" t="s">
        <v>365</v>
      </c>
      <c r="AG1705" t="s">
        <v>365</v>
      </c>
      <c r="AH1705" t="s">
        <v>325</v>
      </c>
      <c r="AI1705">
        <v>99999</v>
      </c>
      <c r="AJ1705">
        <v>99999</v>
      </c>
      <c r="AK1705">
        <v>699</v>
      </c>
      <c r="AL1705" t="b">
        <v>1</v>
      </c>
      <c r="AM1705" t="b">
        <v>1</v>
      </c>
      <c r="AN1705" t="b">
        <v>0</v>
      </c>
      <c r="AO1705">
        <v>99999</v>
      </c>
      <c r="AP1705" t="s">
        <v>64</v>
      </c>
      <c r="AR1705" t="b">
        <v>0</v>
      </c>
      <c r="AS1705">
        <v>12</v>
      </c>
      <c r="AT1705" t="s">
        <v>327</v>
      </c>
      <c r="AV1705" t="s">
        <v>369</v>
      </c>
    </row>
    <row r="1706" spans="1:48" x14ac:dyDescent="0.25">
      <c r="A1706" t="s">
        <v>3323</v>
      </c>
      <c r="B1706" t="s">
        <v>302</v>
      </c>
      <c r="C1706" t="s">
        <v>62</v>
      </c>
      <c r="D1706">
        <v>99999</v>
      </c>
      <c r="F1706" s="109">
        <v>4000</v>
      </c>
      <c r="G1706" t="b">
        <v>0</v>
      </c>
      <c r="H1706" t="s">
        <v>333</v>
      </c>
      <c r="K1706" t="s">
        <v>364</v>
      </c>
      <c r="L1706" t="s">
        <v>303</v>
      </c>
      <c r="M1706" t="s">
        <v>323</v>
      </c>
      <c r="N1706" t="s">
        <v>63</v>
      </c>
      <c r="O1706" s="110">
        <v>29.9</v>
      </c>
      <c r="R1706" s="110">
        <v>254.89</v>
      </c>
      <c r="S1706" s="110">
        <v>39.9</v>
      </c>
      <c r="T1706" s="110">
        <v>0</v>
      </c>
      <c r="U1706" s="110">
        <v>42.99</v>
      </c>
      <c r="X1706">
        <v>122.1</v>
      </c>
      <c r="Y1706">
        <v>49.9</v>
      </c>
      <c r="Z1706">
        <v>49.9</v>
      </c>
      <c r="AA1706">
        <v>0</v>
      </c>
      <c r="AB1706" t="s">
        <v>363</v>
      </c>
      <c r="AF1706" t="s">
        <v>501</v>
      </c>
      <c r="AG1706" t="s">
        <v>501</v>
      </c>
      <c r="AH1706" t="s">
        <v>325</v>
      </c>
      <c r="AI1706">
        <v>99999</v>
      </c>
      <c r="AJ1706">
        <v>99999</v>
      </c>
      <c r="AK1706">
        <v>699</v>
      </c>
      <c r="AL1706" t="b">
        <v>1</v>
      </c>
      <c r="AM1706" t="b">
        <v>1</v>
      </c>
      <c r="AN1706" t="b">
        <v>0</v>
      </c>
      <c r="AO1706">
        <v>99999</v>
      </c>
      <c r="AP1706" t="s">
        <v>64</v>
      </c>
      <c r="AR1706" t="b">
        <v>0</v>
      </c>
      <c r="AS1706">
        <v>12</v>
      </c>
      <c r="AT1706" t="s">
        <v>327</v>
      </c>
      <c r="AV1706" t="s">
        <v>505</v>
      </c>
    </row>
    <row r="1707" spans="1:48" x14ac:dyDescent="0.25">
      <c r="A1707" t="s">
        <v>3323</v>
      </c>
      <c r="B1707" t="s">
        <v>302</v>
      </c>
      <c r="C1707" t="s">
        <v>62</v>
      </c>
      <c r="D1707">
        <v>99999</v>
      </c>
      <c r="F1707" s="109">
        <v>4000</v>
      </c>
      <c r="G1707" t="b">
        <v>0</v>
      </c>
      <c r="H1707" t="s">
        <v>333</v>
      </c>
      <c r="K1707" t="s">
        <v>364</v>
      </c>
      <c r="L1707" t="s">
        <v>303</v>
      </c>
      <c r="M1707" t="s">
        <v>323</v>
      </c>
      <c r="N1707" t="s">
        <v>63</v>
      </c>
      <c r="O1707">
        <v>29.9</v>
      </c>
      <c r="R1707">
        <v>269.89</v>
      </c>
      <c r="S1707">
        <v>59.9</v>
      </c>
      <c r="T1707" s="110">
        <v>0</v>
      </c>
      <c r="U1707">
        <v>42.99</v>
      </c>
      <c r="X1707">
        <v>117.1</v>
      </c>
      <c r="Y1707">
        <v>49.9</v>
      </c>
      <c r="Z1707">
        <v>49.9</v>
      </c>
      <c r="AA1707">
        <v>0</v>
      </c>
      <c r="AB1707" t="s">
        <v>363</v>
      </c>
      <c r="AF1707" t="s">
        <v>635</v>
      </c>
      <c r="AG1707" t="s">
        <v>635</v>
      </c>
      <c r="AH1707" t="s">
        <v>325</v>
      </c>
      <c r="AI1707">
        <v>99999</v>
      </c>
      <c r="AJ1707">
        <v>99999</v>
      </c>
      <c r="AK1707">
        <v>699</v>
      </c>
      <c r="AL1707" t="b">
        <v>1</v>
      </c>
      <c r="AM1707" t="b">
        <v>1</v>
      </c>
      <c r="AN1707" t="b">
        <v>0</v>
      </c>
      <c r="AO1707">
        <v>99999</v>
      </c>
      <c r="AP1707" t="s">
        <v>64</v>
      </c>
      <c r="AR1707" t="b">
        <v>0</v>
      </c>
      <c r="AS1707">
        <v>12</v>
      </c>
      <c r="AT1707" t="s">
        <v>327</v>
      </c>
      <c r="AV1707" t="s">
        <v>639</v>
      </c>
    </row>
    <row r="1708" spans="1:48" x14ac:dyDescent="0.25">
      <c r="A1708" t="s">
        <v>3323</v>
      </c>
      <c r="B1708" t="s">
        <v>302</v>
      </c>
      <c r="C1708" t="s">
        <v>62</v>
      </c>
      <c r="D1708">
        <v>99999</v>
      </c>
      <c r="F1708" s="109">
        <v>4000</v>
      </c>
      <c r="G1708" t="b">
        <v>0</v>
      </c>
      <c r="H1708" t="s">
        <v>333</v>
      </c>
      <c r="K1708" t="s">
        <v>364</v>
      </c>
      <c r="L1708" t="s">
        <v>303</v>
      </c>
      <c r="M1708" t="s">
        <v>323</v>
      </c>
      <c r="N1708" t="s">
        <v>63</v>
      </c>
      <c r="O1708" s="110">
        <v>39.9</v>
      </c>
      <c r="R1708" s="110">
        <v>239.89</v>
      </c>
      <c r="S1708" s="110">
        <v>39.9</v>
      </c>
      <c r="T1708" s="110">
        <v>0</v>
      </c>
      <c r="U1708" s="110">
        <v>42.99</v>
      </c>
      <c r="X1708">
        <v>107.1</v>
      </c>
      <c r="Y1708">
        <v>49.9</v>
      </c>
      <c r="Z1708">
        <v>49.9</v>
      </c>
      <c r="AA1708">
        <v>0</v>
      </c>
      <c r="AB1708" t="s">
        <v>363</v>
      </c>
      <c r="AF1708" t="s">
        <v>434</v>
      </c>
      <c r="AG1708" t="s">
        <v>434</v>
      </c>
      <c r="AH1708" t="s">
        <v>325</v>
      </c>
      <c r="AI1708">
        <v>99999</v>
      </c>
      <c r="AJ1708">
        <v>99999</v>
      </c>
      <c r="AK1708">
        <v>699</v>
      </c>
      <c r="AL1708" t="b">
        <v>1</v>
      </c>
      <c r="AM1708" t="b">
        <v>1</v>
      </c>
      <c r="AN1708" t="b">
        <v>0</v>
      </c>
      <c r="AO1708">
        <v>99999</v>
      </c>
      <c r="AP1708" t="s">
        <v>64</v>
      </c>
      <c r="AR1708" t="b">
        <v>0</v>
      </c>
      <c r="AS1708">
        <v>12</v>
      </c>
      <c r="AT1708" t="s">
        <v>327</v>
      </c>
      <c r="AV1708" t="s">
        <v>438</v>
      </c>
    </row>
    <row r="1709" spans="1:48" x14ac:dyDescent="0.25">
      <c r="A1709" t="s">
        <v>3323</v>
      </c>
      <c r="B1709" t="s">
        <v>302</v>
      </c>
      <c r="C1709" t="s">
        <v>62</v>
      </c>
      <c r="D1709">
        <v>99999</v>
      </c>
      <c r="F1709" s="109">
        <v>4000</v>
      </c>
      <c r="G1709" t="b">
        <v>0</v>
      </c>
      <c r="H1709" t="s">
        <v>333</v>
      </c>
      <c r="K1709" t="s">
        <v>364</v>
      </c>
      <c r="L1709" t="s">
        <v>303</v>
      </c>
      <c r="M1709" t="s">
        <v>323</v>
      </c>
      <c r="N1709" t="s">
        <v>63</v>
      </c>
      <c r="O1709">
        <v>39.9</v>
      </c>
      <c r="R1709">
        <v>254.89</v>
      </c>
      <c r="S1709">
        <v>39.9</v>
      </c>
      <c r="T1709" s="110">
        <v>0</v>
      </c>
      <c r="U1709">
        <v>42.99</v>
      </c>
      <c r="X1709">
        <v>122.1</v>
      </c>
      <c r="Y1709">
        <v>49.9</v>
      </c>
      <c r="Z1709">
        <v>49.9</v>
      </c>
      <c r="AA1709">
        <v>0</v>
      </c>
      <c r="AB1709" t="s">
        <v>363</v>
      </c>
      <c r="AF1709" t="s">
        <v>568</v>
      </c>
      <c r="AG1709" t="s">
        <v>568</v>
      </c>
      <c r="AH1709" t="s">
        <v>325</v>
      </c>
      <c r="AI1709">
        <v>99999</v>
      </c>
      <c r="AJ1709">
        <v>99999</v>
      </c>
      <c r="AK1709">
        <v>699</v>
      </c>
      <c r="AL1709" t="b">
        <v>1</v>
      </c>
      <c r="AM1709" t="b">
        <v>1</v>
      </c>
      <c r="AN1709" t="b">
        <v>0</v>
      </c>
      <c r="AO1709">
        <v>99999</v>
      </c>
      <c r="AP1709" t="s">
        <v>64</v>
      </c>
      <c r="AR1709" t="b">
        <v>0</v>
      </c>
      <c r="AS1709">
        <v>12</v>
      </c>
      <c r="AT1709" t="s">
        <v>327</v>
      </c>
      <c r="AV1709" t="s">
        <v>572</v>
      </c>
    </row>
    <row r="1710" spans="1:48" x14ac:dyDescent="0.25">
      <c r="A1710" t="s">
        <v>3323</v>
      </c>
      <c r="B1710" t="s">
        <v>302</v>
      </c>
      <c r="C1710" t="s">
        <v>62</v>
      </c>
      <c r="D1710">
        <v>99999</v>
      </c>
      <c r="F1710" s="109">
        <v>4000</v>
      </c>
      <c r="G1710" t="b">
        <v>0</v>
      </c>
      <c r="H1710" t="s">
        <v>333</v>
      </c>
      <c r="K1710" t="s">
        <v>364</v>
      </c>
      <c r="L1710" t="s">
        <v>303</v>
      </c>
      <c r="M1710" t="s">
        <v>323</v>
      </c>
      <c r="N1710" t="s">
        <v>63</v>
      </c>
      <c r="O1710">
        <v>39.9</v>
      </c>
      <c r="R1710">
        <v>269.89</v>
      </c>
      <c r="S1710">
        <v>59.9</v>
      </c>
      <c r="T1710" s="110">
        <v>0</v>
      </c>
      <c r="U1710">
        <v>42.99</v>
      </c>
      <c r="X1710">
        <v>117.1</v>
      </c>
      <c r="Y1710">
        <v>49.9</v>
      </c>
      <c r="Z1710">
        <v>49.9</v>
      </c>
      <c r="AA1710">
        <v>0</v>
      </c>
      <c r="AB1710" t="s">
        <v>363</v>
      </c>
      <c r="AF1710" t="s">
        <v>702</v>
      </c>
      <c r="AG1710" t="s">
        <v>702</v>
      </c>
      <c r="AH1710" t="s">
        <v>325</v>
      </c>
      <c r="AI1710">
        <v>99999</v>
      </c>
      <c r="AJ1710">
        <v>99999</v>
      </c>
      <c r="AK1710">
        <v>699</v>
      </c>
      <c r="AL1710" t="b">
        <v>1</v>
      </c>
      <c r="AM1710" t="b">
        <v>1</v>
      </c>
      <c r="AN1710" t="b">
        <v>0</v>
      </c>
      <c r="AO1710">
        <v>99999</v>
      </c>
      <c r="AP1710" t="s">
        <v>64</v>
      </c>
      <c r="AR1710" t="b">
        <v>0</v>
      </c>
      <c r="AS1710">
        <v>12</v>
      </c>
      <c r="AT1710" t="s">
        <v>327</v>
      </c>
      <c r="AV1710" t="s">
        <v>706</v>
      </c>
    </row>
    <row r="1711" spans="1:48" x14ac:dyDescent="0.25">
      <c r="A1711" t="s">
        <v>3323</v>
      </c>
      <c r="B1711" t="s">
        <v>302</v>
      </c>
      <c r="C1711" t="s">
        <v>62</v>
      </c>
      <c r="D1711">
        <v>99999</v>
      </c>
      <c r="F1711" s="109">
        <v>4000</v>
      </c>
      <c r="G1711" t="b">
        <v>0</v>
      </c>
      <c r="H1711" t="s">
        <v>333</v>
      </c>
      <c r="K1711" t="s">
        <v>364</v>
      </c>
      <c r="L1711" t="s">
        <v>303</v>
      </c>
      <c r="M1711" t="s">
        <v>323</v>
      </c>
      <c r="N1711" t="s">
        <v>63</v>
      </c>
      <c r="O1711" s="110">
        <v>49.9</v>
      </c>
      <c r="R1711" s="110">
        <v>315.68999999999994</v>
      </c>
      <c r="S1711" s="110">
        <v>130</v>
      </c>
      <c r="T1711" s="110">
        <v>0</v>
      </c>
      <c r="U1711" s="110">
        <v>34.99</v>
      </c>
      <c r="X1711">
        <v>100.79999999999998</v>
      </c>
      <c r="Y1711">
        <v>49.9</v>
      </c>
      <c r="Z1711">
        <v>49.9</v>
      </c>
      <c r="AA1711">
        <v>0</v>
      </c>
      <c r="AB1711" t="s">
        <v>363</v>
      </c>
      <c r="AF1711" t="s">
        <v>2212</v>
      </c>
      <c r="AG1711" t="s">
        <v>2212</v>
      </c>
      <c r="AH1711" t="s">
        <v>325</v>
      </c>
      <c r="AI1711">
        <v>99999</v>
      </c>
      <c r="AJ1711">
        <v>99999</v>
      </c>
      <c r="AK1711">
        <v>699</v>
      </c>
      <c r="AL1711" t="b">
        <v>1</v>
      </c>
      <c r="AM1711" t="b">
        <v>1</v>
      </c>
      <c r="AN1711" t="b">
        <v>0</v>
      </c>
      <c r="AO1711">
        <v>99999</v>
      </c>
      <c r="AP1711" t="s">
        <v>64</v>
      </c>
      <c r="AR1711" t="b">
        <v>0</v>
      </c>
      <c r="AS1711">
        <v>12</v>
      </c>
      <c r="AT1711" t="s">
        <v>327</v>
      </c>
      <c r="AV1711" t="s">
        <v>2216</v>
      </c>
    </row>
    <row r="1712" spans="1:48" x14ac:dyDescent="0.25">
      <c r="A1712" t="s">
        <v>3323</v>
      </c>
      <c r="B1712" t="s">
        <v>302</v>
      </c>
      <c r="C1712" t="s">
        <v>62</v>
      </c>
      <c r="D1712">
        <v>99999</v>
      </c>
      <c r="F1712" s="109">
        <v>4000</v>
      </c>
      <c r="G1712" t="b">
        <v>0</v>
      </c>
      <c r="H1712" t="s">
        <v>333</v>
      </c>
      <c r="K1712" t="s">
        <v>364</v>
      </c>
      <c r="L1712" t="s">
        <v>303</v>
      </c>
      <c r="M1712" t="s">
        <v>323</v>
      </c>
      <c r="N1712" t="s">
        <v>63</v>
      </c>
      <c r="O1712" s="110">
        <v>49.9</v>
      </c>
      <c r="R1712" s="110">
        <v>329.99</v>
      </c>
      <c r="S1712" s="110">
        <v>130</v>
      </c>
      <c r="T1712" s="110">
        <v>0</v>
      </c>
      <c r="U1712" s="110">
        <v>42.99</v>
      </c>
      <c r="X1712">
        <v>107.1</v>
      </c>
      <c r="Y1712">
        <v>49.9</v>
      </c>
      <c r="Z1712">
        <v>49.9</v>
      </c>
      <c r="AA1712">
        <v>0</v>
      </c>
      <c r="AB1712" t="s">
        <v>363</v>
      </c>
      <c r="AF1712" t="s">
        <v>2286</v>
      </c>
      <c r="AG1712" t="s">
        <v>2286</v>
      </c>
      <c r="AH1712" t="s">
        <v>325</v>
      </c>
      <c r="AI1712">
        <v>99999</v>
      </c>
      <c r="AJ1712">
        <v>99999</v>
      </c>
      <c r="AK1712">
        <v>699</v>
      </c>
      <c r="AL1712" t="b">
        <v>1</v>
      </c>
      <c r="AM1712" t="b">
        <v>1</v>
      </c>
      <c r="AN1712" t="b">
        <v>0</v>
      </c>
      <c r="AO1712">
        <v>99999</v>
      </c>
      <c r="AP1712" t="s">
        <v>64</v>
      </c>
      <c r="AR1712" t="b">
        <v>0</v>
      </c>
      <c r="AS1712">
        <v>12</v>
      </c>
      <c r="AT1712" t="s">
        <v>327</v>
      </c>
      <c r="AV1712" t="s">
        <v>2290</v>
      </c>
    </row>
    <row r="1713" spans="1:48" x14ac:dyDescent="0.25">
      <c r="A1713" t="s">
        <v>3323</v>
      </c>
      <c r="B1713" t="s">
        <v>302</v>
      </c>
      <c r="C1713" t="s">
        <v>62</v>
      </c>
      <c r="D1713">
        <v>99999</v>
      </c>
      <c r="F1713" s="109">
        <v>4000</v>
      </c>
      <c r="G1713" t="b">
        <v>0</v>
      </c>
      <c r="H1713" t="s">
        <v>333</v>
      </c>
      <c r="K1713" t="s">
        <v>364</v>
      </c>
      <c r="L1713" t="s">
        <v>303</v>
      </c>
      <c r="M1713" t="s">
        <v>323</v>
      </c>
      <c r="N1713" t="s">
        <v>63</v>
      </c>
      <c r="O1713" s="110">
        <v>49.9</v>
      </c>
      <c r="R1713" s="110">
        <v>344.99</v>
      </c>
      <c r="S1713" s="110">
        <v>130</v>
      </c>
      <c r="T1713" s="110">
        <v>0</v>
      </c>
      <c r="U1713" s="110">
        <v>42.99</v>
      </c>
      <c r="X1713">
        <v>122.1</v>
      </c>
      <c r="Y1713">
        <v>49.9</v>
      </c>
      <c r="Z1713">
        <v>49.9</v>
      </c>
      <c r="AA1713">
        <v>0</v>
      </c>
      <c r="AB1713" t="s">
        <v>363</v>
      </c>
      <c r="AF1713" t="s">
        <v>2353</v>
      </c>
      <c r="AG1713" t="s">
        <v>2353</v>
      </c>
      <c r="AH1713" t="s">
        <v>325</v>
      </c>
      <c r="AI1713">
        <v>99999</v>
      </c>
      <c r="AJ1713">
        <v>99999</v>
      </c>
      <c r="AK1713">
        <v>699</v>
      </c>
      <c r="AL1713" t="b">
        <v>1</v>
      </c>
      <c r="AM1713" t="b">
        <v>1</v>
      </c>
      <c r="AN1713" t="b">
        <v>0</v>
      </c>
      <c r="AO1713">
        <v>99999</v>
      </c>
      <c r="AP1713" t="s">
        <v>64</v>
      </c>
      <c r="AR1713" t="b">
        <v>0</v>
      </c>
      <c r="AS1713">
        <v>12</v>
      </c>
      <c r="AT1713" t="s">
        <v>327</v>
      </c>
      <c r="AV1713" t="s">
        <v>2357</v>
      </c>
    </row>
    <row r="1714" spans="1:48" x14ac:dyDescent="0.25">
      <c r="A1714" t="s">
        <v>3323</v>
      </c>
      <c r="B1714" t="s">
        <v>302</v>
      </c>
      <c r="C1714" t="s">
        <v>62</v>
      </c>
      <c r="D1714">
        <v>99999</v>
      </c>
      <c r="F1714" s="109">
        <v>4000</v>
      </c>
      <c r="G1714" t="b">
        <v>0</v>
      </c>
      <c r="H1714" t="s">
        <v>333</v>
      </c>
      <c r="K1714" t="s">
        <v>364</v>
      </c>
      <c r="L1714" t="s">
        <v>303</v>
      </c>
      <c r="M1714" t="s">
        <v>323</v>
      </c>
      <c r="N1714" t="s">
        <v>63</v>
      </c>
      <c r="O1714" s="110">
        <v>49.9</v>
      </c>
      <c r="R1714" s="110">
        <v>339.99</v>
      </c>
      <c r="S1714" s="110">
        <v>130</v>
      </c>
      <c r="T1714" s="110">
        <v>0</v>
      </c>
      <c r="U1714" s="110">
        <v>42.99</v>
      </c>
      <c r="X1714">
        <v>117.1</v>
      </c>
      <c r="Y1714">
        <v>49.9</v>
      </c>
      <c r="Z1714">
        <v>49.9</v>
      </c>
      <c r="AA1714">
        <v>0</v>
      </c>
      <c r="AB1714" t="s">
        <v>363</v>
      </c>
      <c r="AF1714" t="s">
        <v>2420</v>
      </c>
      <c r="AG1714" t="s">
        <v>2420</v>
      </c>
      <c r="AH1714" t="s">
        <v>325</v>
      </c>
      <c r="AI1714">
        <v>99999</v>
      </c>
      <c r="AJ1714">
        <v>99999</v>
      </c>
      <c r="AK1714">
        <v>699</v>
      </c>
      <c r="AL1714" t="b">
        <v>1</v>
      </c>
      <c r="AM1714" t="b">
        <v>1</v>
      </c>
      <c r="AN1714" t="b">
        <v>0</v>
      </c>
      <c r="AO1714">
        <v>99999</v>
      </c>
      <c r="AP1714" t="s">
        <v>64</v>
      </c>
      <c r="AR1714" t="b">
        <v>0</v>
      </c>
      <c r="AS1714">
        <v>12</v>
      </c>
      <c r="AT1714" t="s">
        <v>327</v>
      </c>
      <c r="AV1714" t="s">
        <v>2424</v>
      </c>
    </row>
    <row r="1715" spans="1:48" x14ac:dyDescent="0.25">
      <c r="A1715" t="s">
        <v>3323</v>
      </c>
      <c r="B1715" t="s">
        <v>302</v>
      </c>
      <c r="C1715" t="s">
        <v>62</v>
      </c>
      <c r="D1715">
        <v>99999</v>
      </c>
      <c r="F1715" s="109">
        <v>4000</v>
      </c>
      <c r="G1715" t="b">
        <v>0</v>
      </c>
      <c r="H1715" t="s">
        <v>333</v>
      </c>
      <c r="K1715" t="s">
        <v>379</v>
      </c>
      <c r="L1715" t="s">
        <v>303</v>
      </c>
      <c r="M1715" t="s">
        <v>323</v>
      </c>
      <c r="N1715" t="s">
        <v>63</v>
      </c>
      <c r="O1715">
        <v>29.9</v>
      </c>
      <c r="R1715">
        <v>249.89</v>
      </c>
      <c r="S1715">
        <v>39.9</v>
      </c>
      <c r="T1715" s="110">
        <v>0</v>
      </c>
      <c r="U1715">
        <v>42.99</v>
      </c>
      <c r="X1715">
        <v>107.1</v>
      </c>
      <c r="Y1715">
        <v>59.9</v>
      </c>
      <c r="Z1715">
        <v>59.9</v>
      </c>
      <c r="AA1715">
        <v>0</v>
      </c>
      <c r="AB1715" t="s">
        <v>363</v>
      </c>
      <c r="AF1715" t="s">
        <v>365</v>
      </c>
      <c r="AG1715" t="s">
        <v>365</v>
      </c>
      <c r="AH1715" t="s">
        <v>325</v>
      </c>
      <c r="AI1715">
        <v>99999</v>
      </c>
      <c r="AJ1715">
        <v>99999</v>
      </c>
      <c r="AK1715">
        <v>699</v>
      </c>
      <c r="AL1715" t="b">
        <v>1</v>
      </c>
      <c r="AM1715" t="b">
        <v>1</v>
      </c>
      <c r="AN1715" t="b">
        <v>0</v>
      </c>
      <c r="AO1715">
        <v>99999</v>
      </c>
      <c r="AP1715" t="s">
        <v>64</v>
      </c>
      <c r="AR1715" t="b">
        <v>0</v>
      </c>
      <c r="AS1715">
        <v>12</v>
      </c>
      <c r="AT1715" t="s">
        <v>327</v>
      </c>
      <c r="AV1715" t="s">
        <v>383</v>
      </c>
    </row>
    <row r="1716" spans="1:48" x14ac:dyDescent="0.25">
      <c r="A1716" t="s">
        <v>3323</v>
      </c>
      <c r="B1716" t="s">
        <v>302</v>
      </c>
      <c r="C1716" t="s">
        <v>62</v>
      </c>
      <c r="D1716">
        <v>99999</v>
      </c>
      <c r="F1716" s="109">
        <v>4000</v>
      </c>
      <c r="G1716" t="b">
        <v>0</v>
      </c>
      <c r="H1716" t="s">
        <v>333</v>
      </c>
      <c r="K1716" t="s">
        <v>379</v>
      </c>
      <c r="L1716" t="s">
        <v>303</v>
      </c>
      <c r="M1716" t="s">
        <v>323</v>
      </c>
      <c r="N1716" t="s">
        <v>63</v>
      </c>
      <c r="O1716">
        <v>29.9</v>
      </c>
      <c r="R1716">
        <v>264.89</v>
      </c>
      <c r="S1716">
        <v>39.9</v>
      </c>
      <c r="T1716" s="110">
        <v>0</v>
      </c>
      <c r="U1716">
        <v>42.99</v>
      </c>
      <c r="X1716">
        <v>122.1</v>
      </c>
      <c r="Y1716">
        <v>59.9</v>
      </c>
      <c r="Z1716">
        <v>59.9</v>
      </c>
      <c r="AA1716">
        <v>0</v>
      </c>
      <c r="AB1716" t="s">
        <v>363</v>
      </c>
      <c r="AF1716" t="s">
        <v>501</v>
      </c>
      <c r="AG1716" t="s">
        <v>501</v>
      </c>
      <c r="AH1716" t="s">
        <v>325</v>
      </c>
      <c r="AI1716">
        <v>99999</v>
      </c>
      <c r="AJ1716">
        <v>99999</v>
      </c>
      <c r="AK1716">
        <v>699</v>
      </c>
      <c r="AL1716" t="b">
        <v>1</v>
      </c>
      <c r="AM1716" t="b">
        <v>1</v>
      </c>
      <c r="AN1716" t="b">
        <v>0</v>
      </c>
      <c r="AO1716">
        <v>99999</v>
      </c>
      <c r="AP1716" t="s">
        <v>64</v>
      </c>
      <c r="AR1716" t="b">
        <v>0</v>
      </c>
      <c r="AS1716">
        <v>12</v>
      </c>
      <c r="AT1716" t="s">
        <v>327</v>
      </c>
      <c r="AV1716" t="s">
        <v>518</v>
      </c>
    </row>
    <row r="1717" spans="1:48" x14ac:dyDescent="0.25">
      <c r="A1717" t="s">
        <v>3323</v>
      </c>
      <c r="B1717" t="s">
        <v>302</v>
      </c>
      <c r="C1717" t="s">
        <v>62</v>
      </c>
      <c r="D1717">
        <v>99999</v>
      </c>
      <c r="F1717" s="109">
        <v>4000</v>
      </c>
      <c r="G1717" t="b">
        <v>0</v>
      </c>
      <c r="H1717" t="s">
        <v>333</v>
      </c>
      <c r="K1717" t="s">
        <v>379</v>
      </c>
      <c r="L1717" t="s">
        <v>303</v>
      </c>
      <c r="M1717" t="s">
        <v>323</v>
      </c>
      <c r="N1717" t="s">
        <v>63</v>
      </c>
      <c r="O1717">
        <v>29.9</v>
      </c>
      <c r="R1717">
        <v>279.89</v>
      </c>
      <c r="S1717">
        <v>59.9</v>
      </c>
      <c r="T1717" s="110">
        <v>0</v>
      </c>
      <c r="U1717">
        <v>42.99</v>
      </c>
      <c r="X1717">
        <v>117.1</v>
      </c>
      <c r="Y1717">
        <v>59.9</v>
      </c>
      <c r="Z1717">
        <v>59.9</v>
      </c>
      <c r="AA1717">
        <v>0</v>
      </c>
      <c r="AB1717" t="s">
        <v>363</v>
      </c>
      <c r="AF1717" t="s">
        <v>635</v>
      </c>
      <c r="AG1717" t="s">
        <v>635</v>
      </c>
      <c r="AH1717" t="s">
        <v>325</v>
      </c>
      <c r="AI1717">
        <v>99999</v>
      </c>
      <c r="AJ1717">
        <v>99999</v>
      </c>
      <c r="AK1717">
        <v>699</v>
      </c>
      <c r="AL1717" t="b">
        <v>1</v>
      </c>
      <c r="AM1717" t="b">
        <v>1</v>
      </c>
      <c r="AN1717" t="b">
        <v>0</v>
      </c>
      <c r="AO1717">
        <v>99999</v>
      </c>
      <c r="AP1717" t="s">
        <v>64</v>
      </c>
      <c r="AR1717" t="b">
        <v>0</v>
      </c>
      <c r="AS1717">
        <v>12</v>
      </c>
      <c r="AT1717" t="s">
        <v>327</v>
      </c>
      <c r="AV1717" t="s">
        <v>652</v>
      </c>
    </row>
    <row r="1718" spans="1:48" x14ac:dyDescent="0.25">
      <c r="A1718" t="s">
        <v>3323</v>
      </c>
      <c r="B1718" t="s">
        <v>302</v>
      </c>
      <c r="C1718" t="s">
        <v>62</v>
      </c>
      <c r="D1718">
        <v>99999</v>
      </c>
      <c r="F1718" s="109">
        <v>4000</v>
      </c>
      <c r="G1718" t="b">
        <v>0</v>
      </c>
      <c r="H1718" t="s">
        <v>333</v>
      </c>
      <c r="K1718" t="s">
        <v>379</v>
      </c>
      <c r="L1718" t="s">
        <v>303</v>
      </c>
      <c r="M1718" t="s">
        <v>323</v>
      </c>
      <c r="N1718" t="s">
        <v>63</v>
      </c>
      <c r="O1718" s="110">
        <v>39.9</v>
      </c>
      <c r="R1718" s="110">
        <v>249.89</v>
      </c>
      <c r="S1718" s="110">
        <v>39.9</v>
      </c>
      <c r="T1718" s="110">
        <v>0</v>
      </c>
      <c r="U1718" s="110">
        <v>42.99</v>
      </c>
      <c r="X1718">
        <v>107.1</v>
      </c>
      <c r="Y1718">
        <v>59.9</v>
      </c>
      <c r="Z1718">
        <v>59.9</v>
      </c>
      <c r="AA1718">
        <v>0</v>
      </c>
      <c r="AB1718" t="s">
        <v>363</v>
      </c>
      <c r="AF1718" t="s">
        <v>434</v>
      </c>
      <c r="AG1718" t="s">
        <v>434</v>
      </c>
      <c r="AH1718" t="s">
        <v>325</v>
      </c>
      <c r="AI1718">
        <v>99999</v>
      </c>
      <c r="AJ1718">
        <v>99999</v>
      </c>
      <c r="AK1718">
        <v>699</v>
      </c>
      <c r="AL1718" t="b">
        <v>1</v>
      </c>
      <c r="AM1718" t="b">
        <v>1</v>
      </c>
      <c r="AN1718" t="b">
        <v>0</v>
      </c>
      <c r="AO1718">
        <v>99999</v>
      </c>
      <c r="AP1718" t="s">
        <v>64</v>
      </c>
      <c r="AR1718" t="b">
        <v>0</v>
      </c>
      <c r="AS1718">
        <v>12</v>
      </c>
      <c r="AT1718" t="s">
        <v>327</v>
      </c>
      <c r="AV1718" t="s">
        <v>451</v>
      </c>
    </row>
    <row r="1719" spans="1:48" x14ac:dyDescent="0.25">
      <c r="A1719" t="s">
        <v>3323</v>
      </c>
      <c r="B1719" t="s">
        <v>302</v>
      </c>
      <c r="C1719" t="s">
        <v>62</v>
      </c>
      <c r="D1719">
        <v>99999</v>
      </c>
      <c r="F1719" s="109">
        <v>4000</v>
      </c>
      <c r="G1719" t="b">
        <v>0</v>
      </c>
      <c r="H1719" t="s">
        <v>333</v>
      </c>
      <c r="K1719" t="s">
        <v>379</v>
      </c>
      <c r="L1719" t="s">
        <v>303</v>
      </c>
      <c r="M1719" t="s">
        <v>323</v>
      </c>
      <c r="N1719" t="s">
        <v>63</v>
      </c>
      <c r="O1719">
        <v>39.9</v>
      </c>
      <c r="R1719">
        <v>264.89</v>
      </c>
      <c r="S1719">
        <v>39.9</v>
      </c>
      <c r="T1719" s="110">
        <v>0</v>
      </c>
      <c r="U1719">
        <v>42.99</v>
      </c>
      <c r="X1719">
        <v>122.1</v>
      </c>
      <c r="Y1719">
        <v>59.9</v>
      </c>
      <c r="Z1719">
        <v>59.9</v>
      </c>
      <c r="AA1719">
        <v>0</v>
      </c>
      <c r="AB1719" t="s">
        <v>363</v>
      </c>
      <c r="AF1719" t="s">
        <v>568</v>
      </c>
      <c r="AG1719" t="s">
        <v>568</v>
      </c>
      <c r="AH1719" t="s">
        <v>325</v>
      </c>
      <c r="AI1719">
        <v>99999</v>
      </c>
      <c r="AJ1719">
        <v>99999</v>
      </c>
      <c r="AK1719">
        <v>699</v>
      </c>
      <c r="AL1719" t="b">
        <v>1</v>
      </c>
      <c r="AM1719" t="b">
        <v>1</v>
      </c>
      <c r="AN1719" t="b">
        <v>0</v>
      </c>
      <c r="AO1719">
        <v>99999</v>
      </c>
      <c r="AP1719" t="s">
        <v>64</v>
      </c>
      <c r="AR1719" t="b">
        <v>0</v>
      </c>
      <c r="AS1719">
        <v>12</v>
      </c>
      <c r="AT1719" t="s">
        <v>327</v>
      </c>
      <c r="AV1719" t="s">
        <v>585</v>
      </c>
    </row>
    <row r="1720" spans="1:48" x14ac:dyDescent="0.25">
      <c r="A1720" t="s">
        <v>3323</v>
      </c>
      <c r="B1720" t="s">
        <v>302</v>
      </c>
      <c r="C1720" t="s">
        <v>62</v>
      </c>
      <c r="D1720">
        <v>99999</v>
      </c>
      <c r="F1720" s="109">
        <v>4000</v>
      </c>
      <c r="G1720" t="b">
        <v>0</v>
      </c>
      <c r="H1720" t="s">
        <v>333</v>
      </c>
      <c r="K1720" t="s">
        <v>379</v>
      </c>
      <c r="L1720" t="s">
        <v>303</v>
      </c>
      <c r="M1720" t="s">
        <v>323</v>
      </c>
      <c r="N1720" t="s">
        <v>63</v>
      </c>
      <c r="O1720">
        <v>39.9</v>
      </c>
      <c r="R1720">
        <v>279.89</v>
      </c>
      <c r="S1720">
        <v>59.9</v>
      </c>
      <c r="T1720" s="110">
        <v>0</v>
      </c>
      <c r="U1720">
        <v>42.99</v>
      </c>
      <c r="X1720">
        <v>117.1</v>
      </c>
      <c r="Y1720">
        <v>59.9</v>
      </c>
      <c r="Z1720">
        <v>59.9</v>
      </c>
      <c r="AA1720">
        <v>0</v>
      </c>
      <c r="AB1720" t="s">
        <v>363</v>
      </c>
      <c r="AF1720" t="s">
        <v>702</v>
      </c>
      <c r="AG1720" t="s">
        <v>702</v>
      </c>
      <c r="AH1720" t="s">
        <v>325</v>
      </c>
      <c r="AI1720">
        <v>99999</v>
      </c>
      <c r="AJ1720">
        <v>99999</v>
      </c>
      <c r="AK1720">
        <v>699</v>
      </c>
      <c r="AL1720" t="b">
        <v>1</v>
      </c>
      <c r="AM1720" t="b">
        <v>1</v>
      </c>
      <c r="AN1720" t="b">
        <v>0</v>
      </c>
      <c r="AO1720">
        <v>99999</v>
      </c>
      <c r="AP1720" t="s">
        <v>64</v>
      </c>
      <c r="AR1720" t="b">
        <v>0</v>
      </c>
      <c r="AS1720">
        <v>12</v>
      </c>
      <c r="AT1720" t="s">
        <v>327</v>
      </c>
      <c r="AV1720" t="s">
        <v>719</v>
      </c>
    </row>
    <row r="1721" spans="1:48" x14ac:dyDescent="0.25">
      <c r="A1721" t="s">
        <v>3323</v>
      </c>
      <c r="B1721" t="s">
        <v>302</v>
      </c>
      <c r="C1721" t="s">
        <v>62</v>
      </c>
      <c r="D1721">
        <v>99999</v>
      </c>
      <c r="F1721" s="109">
        <v>4000</v>
      </c>
      <c r="G1721" t="b">
        <v>0</v>
      </c>
      <c r="H1721" t="s">
        <v>333</v>
      </c>
      <c r="K1721" t="s">
        <v>379</v>
      </c>
      <c r="L1721" t="s">
        <v>303</v>
      </c>
      <c r="M1721" t="s">
        <v>323</v>
      </c>
      <c r="N1721" t="s">
        <v>63</v>
      </c>
      <c r="O1721" s="110">
        <v>49.9</v>
      </c>
      <c r="R1721" s="110">
        <v>325.68999999999994</v>
      </c>
      <c r="S1721" s="110">
        <v>130</v>
      </c>
      <c r="T1721" s="110">
        <v>0</v>
      </c>
      <c r="U1721" s="110">
        <v>34.99</v>
      </c>
      <c r="X1721">
        <v>100.79999999999998</v>
      </c>
      <c r="Y1721">
        <v>59.9</v>
      </c>
      <c r="Z1721">
        <v>59.9</v>
      </c>
      <c r="AA1721">
        <v>0</v>
      </c>
      <c r="AB1721" t="s">
        <v>363</v>
      </c>
      <c r="AF1721" t="s">
        <v>2212</v>
      </c>
      <c r="AG1721" t="s">
        <v>2212</v>
      </c>
      <c r="AH1721" t="s">
        <v>325</v>
      </c>
      <c r="AI1721">
        <v>99999</v>
      </c>
      <c r="AJ1721">
        <v>99999</v>
      </c>
      <c r="AK1721">
        <v>699</v>
      </c>
      <c r="AL1721" t="b">
        <v>1</v>
      </c>
      <c r="AM1721" t="b">
        <v>1</v>
      </c>
      <c r="AN1721" t="b">
        <v>0</v>
      </c>
      <c r="AO1721">
        <v>99999</v>
      </c>
      <c r="AP1721" t="s">
        <v>64</v>
      </c>
      <c r="AR1721" t="b">
        <v>0</v>
      </c>
      <c r="AS1721">
        <v>12</v>
      </c>
      <c r="AT1721" t="s">
        <v>327</v>
      </c>
      <c r="AV1721" t="s">
        <v>2229</v>
      </c>
    </row>
    <row r="1722" spans="1:48" x14ac:dyDescent="0.25">
      <c r="A1722" t="s">
        <v>3323</v>
      </c>
      <c r="B1722" t="s">
        <v>302</v>
      </c>
      <c r="C1722" t="s">
        <v>62</v>
      </c>
      <c r="D1722">
        <v>99999</v>
      </c>
      <c r="F1722" s="109">
        <v>4000</v>
      </c>
      <c r="G1722" t="b">
        <v>0</v>
      </c>
      <c r="H1722" t="s">
        <v>333</v>
      </c>
      <c r="K1722" t="s">
        <v>379</v>
      </c>
      <c r="L1722" t="s">
        <v>303</v>
      </c>
      <c r="M1722" t="s">
        <v>323</v>
      </c>
      <c r="N1722" t="s">
        <v>63</v>
      </c>
      <c r="O1722" s="110">
        <v>49.9</v>
      </c>
      <c r="R1722" s="110">
        <v>339.99</v>
      </c>
      <c r="S1722" s="110">
        <v>130</v>
      </c>
      <c r="T1722" s="110">
        <v>0</v>
      </c>
      <c r="U1722" s="110">
        <v>42.99</v>
      </c>
      <c r="X1722">
        <v>107.1</v>
      </c>
      <c r="Y1722">
        <v>59.9</v>
      </c>
      <c r="Z1722">
        <v>59.9</v>
      </c>
      <c r="AA1722">
        <v>0</v>
      </c>
      <c r="AB1722" t="s">
        <v>363</v>
      </c>
      <c r="AF1722" t="s">
        <v>2286</v>
      </c>
      <c r="AG1722" t="s">
        <v>2286</v>
      </c>
      <c r="AH1722" t="s">
        <v>325</v>
      </c>
      <c r="AI1722">
        <v>99999</v>
      </c>
      <c r="AJ1722">
        <v>99999</v>
      </c>
      <c r="AK1722">
        <v>699</v>
      </c>
      <c r="AL1722" t="b">
        <v>1</v>
      </c>
      <c r="AM1722" t="b">
        <v>1</v>
      </c>
      <c r="AN1722" t="b">
        <v>0</v>
      </c>
      <c r="AO1722">
        <v>99999</v>
      </c>
      <c r="AP1722" t="s">
        <v>64</v>
      </c>
      <c r="AR1722" t="b">
        <v>0</v>
      </c>
      <c r="AS1722">
        <v>12</v>
      </c>
      <c r="AT1722" t="s">
        <v>327</v>
      </c>
      <c r="AV1722" t="s">
        <v>2303</v>
      </c>
    </row>
    <row r="1723" spans="1:48" x14ac:dyDescent="0.25">
      <c r="A1723" t="s">
        <v>3323</v>
      </c>
      <c r="B1723" t="s">
        <v>302</v>
      </c>
      <c r="C1723" t="s">
        <v>62</v>
      </c>
      <c r="D1723">
        <v>99999</v>
      </c>
      <c r="F1723" s="109">
        <v>4000</v>
      </c>
      <c r="G1723" t="b">
        <v>0</v>
      </c>
      <c r="H1723" t="s">
        <v>333</v>
      </c>
      <c r="K1723" t="s">
        <v>379</v>
      </c>
      <c r="L1723" t="s">
        <v>303</v>
      </c>
      <c r="M1723" t="s">
        <v>323</v>
      </c>
      <c r="N1723" t="s">
        <v>63</v>
      </c>
      <c r="O1723" s="110">
        <v>49.9</v>
      </c>
      <c r="R1723" s="110">
        <v>354.99</v>
      </c>
      <c r="S1723" s="110">
        <v>130</v>
      </c>
      <c r="T1723" s="110">
        <v>0</v>
      </c>
      <c r="U1723" s="110">
        <v>42.99</v>
      </c>
      <c r="X1723">
        <v>122.1</v>
      </c>
      <c r="Y1723">
        <v>59.9</v>
      </c>
      <c r="Z1723">
        <v>59.9</v>
      </c>
      <c r="AA1723">
        <v>0</v>
      </c>
      <c r="AB1723" t="s">
        <v>363</v>
      </c>
      <c r="AF1723" t="s">
        <v>2353</v>
      </c>
      <c r="AG1723" t="s">
        <v>2353</v>
      </c>
      <c r="AH1723" t="s">
        <v>325</v>
      </c>
      <c r="AI1723">
        <v>99999</v>
      </c>
      <c r="AJ1723">
        <v>99999</v>
      </c>
      <c r="AK1723">
        <v>699</v>
      </c>
      <c r="AL1723" t="b">
        <v>1</v>
      </c>
      <c r="AM1723" t="b">
        <v>1</v>
      </c>
      <c r="AN1723" t="b">
        <v>0</v>
      </c>
      <c r="AO1723">
        <v>99999</v>
      </c>
      <c r="AP1723" t="s">
        <v>64</v>
      </c>
      <c r="AR1723" t="b">
        <v>0</v>
      </c>
      <c r="AS1723">
        <v>12</v>
      </c>
      <c r="AT1723" t="s">
        <v>327</v>
      </c>
      <c r="AV1723" t="s">
        <v>2370</v>
      </c>
    </row>
    <row r="1724" spans="1:48" x14ac:dyDescent="0.25">
      <c r="A1724" t="s">
        <v>3323</v>
      </c>
      <c r="B1724" t="s">
        <v>302</v>
      </c>
      <c r="C1724" t="s">
        <v>62</v>
      </c>
      <c r="D1724">
        <v>99999</v>
      </c>
      <c r="F1724" s="109">
        <v>4000</v>
      </c>
      <c r="G1724" t="b">
        <v>0</v>
      </c>
      <c r="H1724" t="s">
        <v>333</v>
      </c>
      <c r="K1724" t="s">
        <v>379</v>
      </c>
      <c r="L1724" t="s">
        <v>303</v>
      </c>
      <c r="M1724" t="s">
        <v>323</v>
      </c>
      <c r="N1724" t="s">
        <v>63</v>
      </c>
      <c r="O1724" s="110">
        <v>49.9</v>
      </c>
      <c r="R1724" s="110">
        <v>349.99</v>
      </c>
      <c r="S1724" s="110">
        <v>130</v>
      </c>
      <c r="T1724" s="110">
        <v>0</v>
      </c>
      <c r="U1724" s="110">
        <v>42.99</v>
      </c>
      <c r="X1724">
        <v>117.1</v>
      </c>
      <c r="Y1724">
        <v>59.9</v>
      </c>
      <c r="Z1724">
        <v>59.9</v>
      </c>
      <c r="AA1724">
        <v>0</v>
      </c>
      <c r="AB1724" t="s">
        <v>363</v>
      </c>
      <c r="AF1724" t="s">
        <v>2420</v>
      </c>
      <c r="AG1724" t="s">
        <v>2420</v>
      </c>
      <c r="AH1724" t="s">
        <v>325</v>
      </c>
      <c r="AI1724">
        <v>99999</v>
      </c>
      <c r="AJ1724">
        <v>99999</v>
      </c>
      <c r="AK1724">
        <v>699</v>
      </c>
      <c r="AL1724" t="b">
        <v>1</v>
      </c>
      <c r="AM1724" t="b">
        <v>1</v>
      </c>
      <c r="AN1724" t="b">
        <v>0</v>
      </c>
      <c r="AO1724">
        <v>99999</v>
      </c>
      <c r="AP1724" t="s">
        <v>64</v>
      </c>
      <c r="AR1724" t="b">
        <v>0</v>
      </c>
      <c r="AS1724">
        <v>12</v>
      </c>
      <c r="AT1724" t="s">
        <v>327</v>
      </c>
      <c r="AV1724" t="s">
        <v>2437</v>
      </c>
    </row>
    <row r="1725" spans="1:48" x14ac:dyDescent="0.25">
      <c r="A1725" t="s">
        <v>3323</v>
      </c>
      <c r="B1725" t="s">
        <v>302</v>
      </c>
      <c r="C1725" t="s">
        <v>62</v>
      </c>
      <c r="D1725">
        <v>99999</v>
      </c>
      <c r="F1725" s="109">
        <v>4000</v>
      </c>
      <c r="G1725" t="b">
        <v>0</v>
      </c>
      <c r="H1725" t="s">
        <v>333</v>
      </c>
      <c r="K1725" t="s">
        <v>61</v>
      </c>
      <c r="L1725" t="s">
        <v>303</v>
      </c>
      <c r="M1725" t="s">
        <v>323</v>
      </c>
      <c r="N1725" t="s">
        <v>63</v>
      </c>
      <c r="O1725">
        <v>29.9</v>
      </c>
      <c r="R1725">
        <v>234.89</v>
      </c>
      <c r="S1725">
        <v>39.9</v>
      </c>
      <c r="T1725" s="110">
        <v>0</v>
      </c>
      <c r="U1725">
        <v>42.99</v>
      </c>
      <c r="X1725">
        <v>107.1</v>
      </c>
      <c r="Y1725">
        <v>44.9</v>
      </c>
      <c r="Z1725">
        <v>44.9</v>
      </c>
      <c r="AA1725">
        <v>0</v>
      </c>
      <c r="AB1725" t="s">
        <v>324</v>
      </c>
      <c r="AF1725" t="s">
        <v>326</v>
      </c>
      <c r="AG1725" t="s">
        <v>326</v>
      </c>
      <c r="AH1725" t="s">
        <v>325</v>
      </c>
      <c r="AI1725">
        <v>99999</v>
      </c>
      <c r="AJ1725">
        <v>99999</v>
      </c>
      <c r="AK1725">
        <v>699</v>
      </c>
      <c r="AL1725" t="b">
        <v>1</v>
      </c>
      <c r="AM1725" t="b">
        <v>1</v>
      </c>
      <c r="AN1725" t="b">
        <v>0</v>
      </c>
      <c r="AO1725">
        <v>99999</v>
      </c>
      <c r="AP1725" t="s">
        <v>64</v>
      </c>
      <c r="AR1725" t="b">
        <v>0</v>
      </c>
      <c r="AS1725">
        <v>12</v>
      </c>
      <c r="AT1725" t="s">
        <v>327</v>
      </c>
      <c r="AV1725" t="s">
        <v>334</v>
      </c>
    </row>
    <row r="1726" spans="1:48" x14ac:dyDescent="0.25">
      <c r="A1726" t="s">
        <v>3323</v>
      </c>
      <c r="B1726" t="s">
        <v>302</v>
      </c>
      <c r="C1726" t="s">
        <v>62</v>
      </c>
      <c r="D1726">
        <v>99999</v>
      </c>
      <c r="F1726" s="109">
        <v>4000</v>
      </c>
      <c r="G1726" t="b">
        <v>0</v>
      </c>
      <c r="H1726" t="s">
        <v>333</v>
      </c>
      <c r="K1726" t="s">
        <v>61</v>
      </c>
      <c r="L1726" t="s">
        <v>303</v>
      </c>
      <c r="M1726" t="s">
        <v>323</v>
      </c>
      <c r="N1726" t="s">
        <v>63</v>
      </c>
      <c r="O1726">
        <v>29.9</v>
      </c>
      <c r="R1726">
        <v>249.89</v>
      </c>
      <c r="S1726">
        <v>39.9</v>
      </c>
      <c r="T1726" s="110">
        <v>0</v>
      </c>
      <c r="U1726">
        <v>42.99</v>
      </c>
      <c r="X1726">
        <v>122.1</v>
      </c>
      <c r="Y1726">
        <v>44.9</v>
      </c>
      <c r="Z1726">
        <v>44.9</v>
      </c>
      <c r="AA1726">
        <v>0</v>
      </c>
      <c r="AB1726" t="s">
        <v>324</v>
      </c>
      <c r="AF1726" t="s">
        <v>474</v>
      </c>
      <c r="AG1726" t="s">
        <v>474</v>
      </c>
      <c r="AH1726" t="s">
        <v>325</v>
      </c>
      <c r="AI1726">
        <v>99999</v>
      </c>
      <c r="AJ1726">
        <v>99999</v>
      </c>
      <c r="AK1726">
        <v>699</v>
      </c>
      <c r="AL1726" t="b">
        <v>1</v>
      </c>
      <c r="AM1726" t="b">
        <v>1</v>
      </c>
      <c r="AN1726" t="b">
        <v>0</v>
      </c>
      <c r="AO1726">
        <v>99999</v>
      </c>
      <c r="AP1726" t="s">
        <v>64</v>
      </c>
      <c r="AR1726" t="b">
        <v>0</v>
      </c>
      <c r="AS1726">
        <v>12</v>
      </c>
      <c r="AT1726" t="s">
        <v>327</v>
      </c>
      <c r="AV1726" t="s">
        <v>478</v>
      </c>
    </row>
    <row r="1727" spans="1:48" x14ac:dyDescent="0.25">
      <c r="A1727" t="s">
        <v>3323</v>
      </c>
      <c r="B1727" t="s">
        <v>302</v>
      </c>
      <c r="C1727" t="s">
        <v>62</v>
      </c>
      <c r="D1727">
        <v>99999</v>
      </c>
      <c r="F1727" s="109">
        <v>4000</v>
      </c>
      <c r="G1727" t="b">
        <v>0</v>
      </c>
      <c r="H1727" t="s">
        <v>333</v>
      </c>
      <c r="K1727" t="s">
        <v>61</v>
      </c>
      <c r="L1727" t="s">
        <v>303</v>
      </c>
      <c r="M1727" t="s">
        <v>323</v>
      </c>
      <c r="N1727" t="s">
        <v>63</v>
      </c>
      <c r="O1727">
        <v>29.9</v>
      </c>
      <c r="R1727">
        <v>264.89</v>
      </c>
      <c r="S1727">
        <v>59.9</v>
      </c>
      <c r="T1727" s="110">
        <v>0</v>
      </c>
      <c r="U1727">
        <v>42.99</v>
      </c>
      <c r="X1727">
        <v>117.1</v>
      </c>
      <c r="Y1727">
        <v>44.9</v>
      </c>
      <c r="Z1727">
        <v>44.9</v>
      </c>
      <c r="AA1727">
        <v>0</v>
      </c>
      <c r="AB1727" t="s">
        <v>324</v>
      </c>
      <c r="AF1727" t="s">
        <v>608</v>
      </c>
      <c r="AG1727" t="s">
        <v>608</v>
      </c>
      <c r="AH1727" t="s">
        <v>325</v>
      </c>
      <c r="AI1727">
        <v>99999</v>
      </c>
      <c r="AJ1727">
        <v>99999</v>
      </c>
      <c r="AK1727">
        <v>699</v>
      </c>
      <c r="AL1727" t="b">
        <v>1</v>
      </c>
      <c r="AM1727" t="b">
        <v>1</v>
      </c>
      <c r="AN1727" t="b">
        <v>0</v>
      </c>
      <c r="AO1727">
        <v>99999</v>
      </c>
      <c r="AP1727" t="s">
        <v>64</v>
      </c>
      <c r="AR1727" t="b">
        <v>0</v>
      </c>
      <c r="AS1727">
        <v>12</v>
      </c>
      <c r="AT1727" t="s">
        <v>327</v>
      </c>
      <c r="AV1727" t="s">
        <v>612</v>
      </c>
    </row>
    <row r="1728" spans="1:48" x14ac:dyDescent="0.25">
      <c r="A1728" t="s">
        <v>3323</v>
      </c>
      <c r="B1728" t="s">
        <v>302</v>
      </c>
      <c r="C1728" t="s">
        <v>62</v>
      </c>
      <c r="D1728">
        <v>99999</v>
      </c>
      <c r="F1728" s="109">
        <v>4000</v>
      </c>
      <c r="G1728" t="b">
        <v>0</v>
      </c>
      <c r="H1728" t="s">
        <v>333</v>
      </c>
      <c r="K1728" t="s">
        <v>61</v>
      </c>
      <c r="L1728" t="s">
        <v>303</v>
      </c>
      <c r="M1728" t="s">
        <v>323</v>
      </c>
      <c r="N1728" t="s">
        <v>63</v>
      </c>
      <c r="O1728" s="110">
        <v>39.9</v>
      </c>
      <c r="R1728" s="110">
        <v>234.89</v>
      </c>
      <c r="S1728" s="110">
        <v>39.9</v>
      </c>
      <c r="T1728" s="110">
        <v>0</v>
      </c>
      <c r="U1728" s="110">
        <v>42.99</v>
      </c>
      <c r="X1728">
        <v>107.1</v>
      </c>
      <c r="Y1728">
        <v>44.9</v>
      </c>
      <c r="Z1728">
        <v>44.9</v>
      </c>
      <c r="AA1728">
        <v>0</v>
      </c>
      <c r="AB1728" t="s">
        <v>324</v>
      </c>
      <c r="AF1728" t="s">
        <v>407</v>
      </c>
      <c r="AG1728" t="s">
        <v>407</v>
      </c>
      <c r="AH1728" t="s">
        <v>325</v>
      </c>
      <c r="AI1728">
        <v>99999</v>
      </c>
      <c r="AJ1728">
        <v>99999</v>
      </c>
      <c r="AK1728">
        <v>699</v>
      </c>
      <c r="AL1728" t="b">
        <v>1</v>
      </c>
      <c r="AM1728" t="b">
        <v>1</v>
      </c>
      <c r="AN1728" t="b">
        <v>0</v>
      </c>
      <c r="AO1728">
        <v>99999</v>
      </c>
      <c r="AP1728" t="s">
        <v>64</v>
      </c>
      <c r="AR1728" t="b">
        <v>0</v>
      </c>
      <c r="AS1728">
        <v>12</v>
      </c>
      <c r="AT1728" t="s">
        <v>327</v>
      </c>
      <c r="AV1728" t="s">
        <v>411</v>
      </c>
    </row>
    <row r="1729" spans="1:48" x14ac:dyDescent="0.25">
      <c r="A1729" t="s">
        <v>3323</v>
      </c>
      <c r="B1729" t="s">
        <v>302</v>
      </c>
      <c r="C1729" t="s">
        <v>62</v>
      </c>
      <c r="D1729">
        <v>99999</v>
      </c>
      <c r="F1729" s="109">
        <v>4000</v>
      </c>
      <c r="G1729" t="b">
        <v>0</v>
      </c>
      <c r="H1729" t="s">
        <v>333</v>
      </c>
      <c r="K1729" t="s">
        <v>61</v>
      </c>
      <c r="L1729" t="s">
        <v>303</v>
      </c>
      <c r="M1729" t="s">
        <v>323</v>
      </c>
      <c r="N1729" t="s">
        <v>63</v>
      </c>
      <c r="O1729">
        <v>39.9</v>
      </c>
      <c r="R1729">
        <v>249.89</v>
      </c>
      <c r="S1729">
        <v>39.9</v>
      </c>
      <c r="T1729" s="110">
        <v>0</v>
      </c>
      <c r="U1729">
        <v>42.99</v>
      </c>
      <c r="X1729">
        <v>122.1</v>
      </c>
      <c r="Y1729">
        <v>44.9</v>
      </c>
      <c r="Z1729">
        <v>44.9</v>
      </c>
      <c r="AA1729">
        <v>0</v>
      </c>
      <c r="AB1729" t="s">
        <v>324</v>
      </c>
      <c r="AF1729" t="s">
        <v>541</v>
      </c>
      <c r="AG1729" t="s">
        <v>541</v>
      </c>
      <c r="AH1729" t="s">
        <v>325</v>
      </c>
      <c r="AI1729">
        <v>99999</v>
      </c>
      <c r="AJ1729">
        <v>99999</v>
      </c>
      <c r="AK1729">
        <v>699</v>
      </c>
      <c r="AL1729" t="b">
        <v>1</v>
      </c>
      <c r="AM1729" t="b">
        <v>1</v>
      </c>
      <c r="AN1729" t="b">
        <v>0</v>
      </c>
      <c r="AO1729">
        <v>99999</v>
      </c>
      <c r="AP1729" t="s">
        <v>64</v>
      </c>
      <c r="AR1729" t="b">
        <v>0</v>
      </c>
      <c r="AS1729">
        <v>12</v>
      </c>
      <c r="AT1729" t="s">
        <v>327</v>
      </c>
      <c r="AV1729" t="s">
        <v>545</v>
      </c>
    </row>
    <row r="1730" spans="1:48" x14ac:dyDescent="0.25">
      <c r="A1730" t="s">
        <v>3323</v>
      </c>
      <c r="B1730" t="s">
        <v>302</v>
      </c>
      <c r="C1730" t="s">
        <v>62</v>
      </c>
      <c r="D1730">
        <v>99999</v>
      </c>
      <c r="F1730" s="109">
        <v>4000</v>
      </c>
      <c r="G1730" t="b">
        <v>0</v>
      </c>
      <c r="H1730" t="s">
        <v>333</v>
      </c>
      <c r="K1730" t="s">
        <v>61</v>
      </c>
      <c r="L1730" t="s">
        <v>303</v>
      </c>
      <c r="M1730" t="s">
        <v>323</v>
      </c>
      <c r="N1730" t="s">
        <v>63</v>
      </c>
      <c r="O1730">
        <v>39.9</v>
      </c>
      <c r="R1730">
        <v>264.89</v>
      </c>
      <c r="S1730">
        <v>59.9</v>
      </c>
      <c r="T1730" s="110">
        <v>0</v>
      </c>
      <c r="U1730">
        <v>42.99</v>
      </c>
      <c r="X1730">
        <v>117.1</v>
      </c>
      <c r="Y1730">
        <v>44.9</v>
      </c>
      <c r="Z1730">
        <v>44.9</v>
      </c>
      <c r="AA1730">
        <v>0</v>
      </c>
      <c r="AB1730" t="s">
        <v>324</v>
      </c>
      <c r="AF1730" t="s">
        <v>675</v>
      </c>
      <c r="AG1730" t="s">
        <v>675</v>
      </c>
      <c r="AH1730" t="s">
        <v>325</v>
      </c>
      <c r="AI1730">
        <v>99999</v>
      </c>
      <c r="AJ1730">
        <v>99999</v>
      </c>
      <c r="AK1730">
        <v>699</v>
      </c>
      <c r="AL1730" t="b">
        <v>1</v>
      </c>
      <c r="AM1730" t="b">
        <v>1</v>
      </c>
      <c r="AN1730" t="b">
        <v>0</v>
      </c>
      <c r="AO1730">
        <v>99999</v>
      </c>
      <c r="AP1730" t="s">
        <v>64</v>
      </c>
      <c r="AR1730" t="b">
        <v>0</v>
      </c>
      <c r="AS1730">
        <v>12</v>
      </c>
      <c r="AT1730" t="s">
        <v>327</v>
      </c>
      <c r="AV1730" t="s">
        <v>679</v>
      </c>
    </row>
    <row r="1731" spans="1:48" x14ac:dyDescent="0.25">
      <c r="A1731" t="s">
        <v>3323</v>
      </c>
      <c r="B1731" t="s">
        <v>302</v>
      </c>
      <c r="C1731" t="s">
        <v>62</v>
      </c>
      <c r="D1731">
        <v>99999</v>
      </c>
      <c r="F1731" s="109">
        <v>4000</v>
      </c>
      <c r="G1731" t="b">
        <v>0</v>
      </c>
      <c r="H1731" t="s">
        <v>333</v>
      </c>
      <c r="K1731" t="s">
        <v>61</v>
      </c>
      <c r="L1731" t="s">
        <v>303</v>
      </c>
      <c r="M1731" t="s">
        <v>323</v>
      </c>
      <c r="N1731" t="s">
        <v>63</v>
      </c>
      <c r="O1731" s="110">
        <v>49.9</v>
      </c>
      <c r="R1731" s="110">
        <v>310.68999999999994</v>
      </c>
      <c r="S1731" s="110">
        <v>130</v>
      </c>
      <c r="T1731" s="110">
        <v>0</v>
      </c>
      <c r="U1731" s="110">
        <v>34.99</v>
      </c>
      <c r="X1731">
        <v>100.79999999999998</v>
      </c>
      <c r="Y1731">
        <v>44.9</v>
      </c>
      <c r="Z1731">
        <v>44.9</v>
      </c>
      <c r="AA1731">
        <v>0</v>
      </c>
      <c r="AB1731" t="s">
        <v>324</v>
      </c>
      <c r="AF1731" t="s">
        <v>2185</v>
      </c>
      <c r="AG1731" t="s">
        <v>2185</v>
      </c>
      <c r="AH1731" t="s">
        <v>325</v>
      </c>
      <c r="AI1731">
        <v>99999</v>
      </c>
      <c r="AJ1731">
        <v>99999</v>
      </c>
      <c r="AK1731">
        <v>699</v>
      </c>
      <c r="AL1731" t="b">
        <v>1</v>
      </c>
      <c r="AM1731" t="b">
        <v>1</v>
      </c>
      <c r="AN1731" t="b">
        <v>0</v>
      </c>
      <c r="AO1731">
        <v>99999</v>
      </c>
      <c r="AP1731" t="s">
        <v>64</v>
      </c>
      <c r="AR1731" t="b">
        <v>0</v>
      </c>
      <c r="AS1731">
        <v>12</v>
      </c>
      <c r="AT1731" t="s">
        <v>327</v>
      </c>
      <c r="AV1731" t="s">
        <v>2189</v>
      </c>
    </row>
    <row r="1732" spans="1:48" x14ac:dyDescent="0.25">
      <c r="A1732" t="s">
        <v>3323</v>
      </c>
      <c r="B1732" t="s">
        <v>302</v>
      </c>
      <c r="C1732" t="s">
        <v>62</v>
      </c>
      <c r="D1732">
        <v>99999</v>
      </c>
      <c r="F1732" s="109">
        <v>4000</v>
      </c>
      <c r="G1732" t="b">
        <v>0</v>
      </c>
      <c r="H1732" t="s">
        <v>333</v>
      </c>
      <c r="K1732" t="s">
        <v>61</v>
      </c>
      <c r="L1732" t="s">
        <v>303</v>
      </c>
      <c r="M1732" t="s">
        <v>323</v>
      </c>
      <c r="N1732" t="s">
        <v>63</v>
      </c>
      <c r="O1732" s="110">
        <v>49.9</v>
      </c>
      <c r="R1732" s="110">
        <v>324.99</v>
      </c>
      <c r="S1732" s="110">
        <v>130</v>
      </c>
      <c r="T1732" s="110">
        <v>0</v>
      </c>
      <c r="U1732" s="110">
        <v>42.99</v>
      </c>
      <c r="X1732">
        <v>107.1</v>
      </c>
      <c r="Y1732">
        <v>44.9</v>
      </c>
      <c r="Z1732">
        <v>44.9</v>
      </c>
      <c r="AA1732">
        <v>0</v>
      </c>
      <c r="AB1732" t="s">
        <v>324</v>
      </c>
      <c r="AF1732" t="s">
        <v>2259</v>
      </c>
      <c r="AG1732" t="s">
        <v>2259</v>
      </c>
      <c r="AH1732" t="s">
        <v>325</v>
      </c>
      <c r="AI1732">
        <v>99999</v>
      </c>
      <c r="AJ1732">
        <v>99999</v>
      </c>
      <c r="AK1732">
        <v>699</v>
      </c>
      <c r="AL1732" t="b">
        <v>1</v>
      </c>
      <c r="AM1732" t="b">
        <v>1</v>
      </c>
      <c r="AN1732" t="b">
        <v>0</v>
      </c>
      <c r="AO1732">
        <v>99999</v>
      </c>
      <c r="AP1732" t="s">
        <v>64</v>
      </c>
      <c r="AR1732" t="b">
        <v>0</v>
      </c>
      <c r="AS1732">
        <v>12</v>
      </c>
      <c r="AT1732" t="s">
        <v>327</v>
      </c>
      <c r="AV1732" t="s">
        <v>2263</v>
      </c>
    </row>
    <row r="1733" spans="1:48" x14ac:dyDescent="0.25">
      <c r="A1733" t="s">
        <v>3323</v>
      </c>
      <c r="B1733" t="s">
        <v>302</v>
      </c>
      <c r="C1733" t="s">
        <v>62</v>
      </c>
      <c r="D1733">
        <v>99999</v>
      </c>
      <c r="F1733" s="109">
        <v>4000</v>
      </c>
      <c r="G1733" t="b">
        <v>0</v>
      </c>
      <c r="H1733" t="s">
        <v>333</v>
      </c>
      <c r="K1733" t="s">
        <v>61</v>
      </c>
      <c r="L1733" t="s">
        <v>303</v>
      </c>
      <c r="M1733" t="s">
        <v>323</v>
      </c>
      <c r="N1733" t="s">
        <v>63</v>
      </c>
      <c r="O1733" s="110">
        <v>49.9</v>
      </c>
      <c r="R1733" s="110">
        <v>339.99</v>
      </c>
      <c r="S1733" s="110">
        <v>130</v>
      </c>
      <c r="T1733" s="110">
        <v>0</v>
      </c>
      <c r="U1733" s="110">
        <v>42.99</v>
      </c>
      <c r="X1733">
        <v>122.1</v>
      </c>
      <c r="Y1733">
        <v>44.9</v>
      </c>
      <c r="Z1733">
        <v>44.9</v>
      </c>
      <c r="AA1733">
        <v>0</v>
      </c>
      <c r="AB1733" t="s">
        <v>324</v>
      </c>
      <c r="AF1733" t="s">
        <v>2326</v>
      </c>
      <c r="AG1733" t="s">
        <v>2326</v>
      </c>
      <c r="AH1733" t="s">
        <v>325</v>
      </c>
      <c r="AI1733">
        <v>99999</v>
      </c>
      <c r="AJ1733">
        <v>99999</v>
      </c>
      <c r="AK1733">
        <v>699</v>
      </c>
      <c r="AL1733" t="b">
        <v>1</v>
      </c>
      <c r="AM1733" t="b">
        <v>1</v>
      </c>
      <c r="AN1733" t="b">
        <v>0</v>
      </c>
      <c r="AO1733">
        <v>99999</v>
      </c>
      <c r="AP1733" t="s">
        <v>64</v>
      </c>
      <c r="AR1733" t="b">
        <v>0</v>
      </c>
      <c r="AS1733">
        <v>12</v>
      </c>
      <c r="AT1733" t="s">
        <v>327</v>
      </c>
      <c r="AV1733" t="s">
        <v>2330</v>
      </c>
    </row>
    <row r="1734" spans="1:48" x14ac:dyDescent="0.25">
      <c r="A1734" t="s">
        <v>3323</v>
      </c>
      <c r="B1734" t="s">
        <v>302</v>
      </c>
      <c r="C1734" t="s">
        <v>62</v>
      </c>
      <c r="D1734">
        <v>99999</v>
      </c>
      <c r="F1734" s="109">
        <v>4000</v>
      </c>
      <c r="G1734" t="b">
        <v>0</v>
      </c>
      <c r="H1734" t="s">
        <v>333</v>
      </c>
      <c r="K1734" t="s">
        <v>61</v>
      </c>
      <c r="L1734" t="s">
        <v>303</v>
      </c>
      <c r="M1734" t="s">
        <v>323</v>
      </c>
      <c r="N1734" t="s">
        <v>63</v>
      </c>
      <c r="O1734" s="110">
        <v>49.9</v>
      </c>
      <c r="R1734" s="110">
        <v>334.99</v>
      </c>
      <c r="S1734" s="110">
        <v>130</v>
      </c>
      <c r="T1734" s="110">
        <v>0</v>
      </c>
      <c r="U1734" s="110">
        <v>42.99</v>
      </c>
      <c r="X1734">
        <v>117.1</v>
      </c>
      <c r="Y1734">
        <v>44.9</v>
      </c>
      <c r="Z1734">
        <v>44.9</v>
      </c>
      <c r="AA1734">
        <v>0</v>
      </c>
      <c r="AB1734" t="s">
        <v>324</v>
      </c>
      <c r="AF1734" t="s">
        <v>2393</v>
      </c>
      <c r="AG1734" t="s">
        <v>2393</v>
      </c>
      <c r="AH1734" t="s">
        <v>325</v>
      </c>
      <c r="AI1734">
        <v>99999</v>
      </c>
      <c r="AJ1734">
        <v>99999</v>
      </c>
      <c r="AK1734">
        <v>699</v>
      </c>
      <c r="AL1734" t="b">
        <v>1</v>
      </c>
      <c r="AM1734" t="b">
        <v>1</v>
      </c>
      <c r="AN1734" t="b">
        <v>0</v>
      </c>
      <c r="AO1734">
        <v>99999</v>
      </c>
      <c r="AP1734" t="s">
        <v>64</v>
      </c>
      <c r="AR1734" t="b">
        <v>0</v>
      </c>
      <c r="AS1734">
        <v>12</v>
      </c>
      <c r="AT1734" t="s">
        <v>327</v>
      </c>
      <c r="AV1734" t="s">
        <v>2397</v>
      </c>
    </row>
    <row r="1735" spans="1:48" x14ac:dyDescent="0.25">
      <c r="A1735" t="s">
        <v>3323</v>
      </c>
      <c r="B1735" t="s">
        <v>302</v>
      </c>
      <c r="C1735" t="s">
        <v>62</v>
      </c>
      <c r="D1735">
        <v>99999</v>
      </c>
      <c r="F1735" s="109">
        <v>4000</v>
      </c>
      <c r="G1735" t="b">
        <v>0</v>
      </c>
      <c r="H1735" t="s">
        <v>315</v>
      </c>
      <c r="K1735" t="s">
        <v>349</v>
      </c>
      <c r="L1735" t="s">
        <v>303</v>
      </c>
      <c r="M1735" t="s">
        <v>323</v>
      </c>
      <c r="N1735" t="s">
        <v>63</v>
      </c>
      <c r="O1735">
        <v>29.9</v>
      </c>
      <c r="R1735">
        <v>179.89</v>
      </c>
      <c r="S1735">
        <v>39.9</v>
      </c>
      <c r="T1735" s="110">
        <v>0</v>
      </c>
      <c r="U1735">
        <v>42.99</v>
      </c>
      <c r="X1735">
        <v>52.099999999999994</v>
      </c>
      <c r="Y1735">
        <v>44.9</v>
      </c>
      <c r="Z1735">
        <v>44.9</v>
      </c>
      <c r="AA1735">
        <v>0</v>
      </c>
      <c r="AB1735" t="s">
        <v>324</v>
      </c>
      <c r="AF1735" t="s">
        <v>326</v>
      </c>
      <c r="AG1735" t="s">
        <v>326</v>
      </c>
      <c r="AH1735" t="s">
        <v>325</v>
      </c>
      <c r="AI1735">
        <v>99999</v>
      </c>
      <c r="AJ1735">
        <v>99999</v>
      </c>
      <c r="AK1735">
        <v>699</v>
      </c>
      <c r="AL1735" t="b">
        <v>1</v>
      </c>
      <c r="AM1735" t="b">
        <v>1</v>
      </c>
      <c r="AN1735" t="b">
        <v>0</v>
      </c>
      <c r="AO1735">
        <v>99999</v>
      </c>
      <c r="AP1735" t="s">
        <v>64</v>
      </c>
      <c r="AR1735" t="b">
        <v>0</v>
      </c>
      <c r="AS1735">
        <v>12</v>
      </c>
      <c r="AT1735" t="s">
        <v>327</v>
      </c>
      <c r="AV1735" t="s">
        <v>350</v>
      </c>
    </row>
    <row r="1736" spans="1:48" x14ac:dyDescent="0.25">
      <c r="A1736" t="s">
        <v>3323</v>
      </c>
      <c r="B1736" t="s">
        <v>302</v>
      </c>
      <c r="C1736" t="s">
        <v>62</v>
      </c>
      <c r="D1736">
        <v>99999</v>
      </c>
      <c r="F1736" s="109">
        <v>4000</v>
      </c>
      <c r="G1736" t="b">
        <v>0</v>
      </c>
      <c r="H1736" t="s">
        <v>315</v>
      </c>
      <c r="K1736" t="s">
        <v>349</v>
      </c>
      <c r="L1736" t="s">
        <v>303</v>
      </c>
      <c r="M1736" t="s">
        <v>323</v>
      </c>
      <c r="N1736" t="s">
        <v>63</v>
      </c>
      <c r="O1736" s="110">
        <v>29.9</v>
      </c>
      <c r="R1736" s="110">
        <v>194.89</v>
      </c>
      <c r="S1736" s="110">
        <v>39.9</v>
      </c>
      <c r="T1736" s="110">
        <v>0</v>
      </c>
      <c r="U1736" s="110">
        <v>42.99</v>
      </c>
      <c r="X1736">
        <v>67.099999999999994</v>
      </c>
      <c r="Y1736">
        <v>44.9</v>
      </c>
      <c r="Z1736">
        <v>44.9</v>
      </c>
      <c r="AA1736">
        <v>0</v>
      </c>
      <c r="AB1736" t="s">
        <v>324</v>
      </c>
      <c r="AF1736" t="s">
        <v>474</v>
      </c>
      <c r="AG1736" t="s">
        <v>474</v>
      </c>
      <c r="AH1736" t="s">
        <v>325</v>
      </c>
      <c r="AI1736">
        <v>99999</v>
      </c>
      <c r="AJ1736">
        <v>99999</v>
      </c>
      <c r="AK1736">
        <v>699</v>
      </c>
      <c r="AL1736" t="b">
        <v>1</v>
      </c>
      <c r="AM1736" t="b">
        <v>1</v>
      </c>
      <c r="AN1736" t="b">
        <v>0</v>
      </c>
      <c r="AO1736">
        <v>99999</v>
      </c>
      <c r="AP1736" t="s">
        <v>64</v>
      </c>
      <c r="AR1736" t="b">
        <v>0</v>
      </c>
      <c r="AS1736">
        <v>12</v>
      </c>
      <c r="AT1736" t="s">
        <v>327</v>
      </c>
      <c r="AV1736" t="s">
        <v>488</v>
      </c>
    </row>
    <row r="1737" spans="1:48" x14ac:dyDescent="0.25">
      <c r="A1737" t="s">
        <v>3323</v>
      </c>
      <c r="B1737" t="s">
        <v>302</v>
      </c>
      <c r="C1737" t="s">
        <v>62</v>
      </c>
      <c r="D1737">
        <v>99999</v>
      </c>
      <c r="F1737" s="109">
        <v>4000</v>
      </c>
      <c r="G1737" t="b">
        <v>0</v>
      </c>
      <c r="H1737" t="s">
        <v>315</v>
      </c>
      <c r="K1737" t="s">
        <v>349</v>
      </c>
      <c r="L1737" t="s">
        <v>303</v>
      </c>
      <c r="M1737" t="s">
        <v>323</v>
      </c>
      <c r="N1737" t="s">
        <v>63</v>
      </c>
      <c r="O1737">
        <v>29.9</v>
      </c>
      <c r="R1737">
        <v>209.89</v>
      </c>
      <c r="S1737">
        <v>59.9</v>
      </c>
      <c r="T1737" s="110">
        <v>0</v>
      </c>
      <c r="U1737">
        <v>42.99</v>
      </c>
      <c r="X1737">
        <v>62.099999999999994</v>
      </c>
      <c r="Y1737">
        <v>44.9</v>
      </c>
      <c r="Z1737">
        <v>44.9</v>
      </c>
      <c r="AA1737">
        <v>0</v>
      </c>
      <c r="AB1737" t="s">
        <v>324</v>
      </c>
      <c r="AF1737" t="s">
        <v>608</v>
      </c>
      <c r="AG1737" t="s">
        <v>608</v>
      </c>
      <c r="AH1737" t="s">
        <v>325</v>
      </c>
      <c r="AI1737">
        <v>99999</v>
      </c>
      <c r="AJ1737">
        <v>99999</v>
      </c>
      <c r="AK1737">
        <v>699</v>
      </c>
      <c r="AL1737" t="b">
        <v>1</v>
      </c>
      <c r="AM1737" t="b">
        <v>1</v>
      </c>
      <c r="AN1737" t="b">
        <v>0</v>
      </c>
      <c r="AO1737">
        <v>99999</v>
      </c>
      <c r="AP1737" t="s">
        <v>64</v>
      </c>
      <c r="AR1737" t="b">
        <v>0</v>
      </c>
      <c r="AS1737">
        <v>12</v>
      </c>
      <c r="AT1737" t="s">
        <v>327</v>
      </c>
      <c r="AV1737" t="s">
        <v>622</v>
      </c>
    </row>
    <row r="1738" spans="1:48" x14ac:dyDescent="0.25">
      <c r="A1738" t="s">
        <v>3323</v>
      </c>
      <c r="B1738" t="s">
        <v>302</v>
      </c>
      <c r="C1738" t="s">
        <v>62</v>
      </c>
      <c r="D1738">
        <v>99999</v>
      </c>
      <c r="F1738" s="109">
        <v>4000</v>
      </c>
      <c r="G1738" t="b">
        <v>0</v>
      </c>
      <c r="H1738" t="s">
        <v>315</v>
      </c>
      <c r="K1738" t="s">
        <v>349</v>
      </c>
      <c r="L1738" t="s">
        <v>303</v>
      </c>
      <c r="M1738" t="s">
        <v>323</v>
      </c>
      <c r="N1738" t="s">
        <v>63</v>
      </c>
      <c r="O1738" s="110">
        <v>39.9</v>
      </c>
      <c r="R1738" s="110">
        <v>179.89</v>
      </c>
      <c r="S1738" s="110">
        <v>39.9</v>
      </c>
      <c r="T1738" s="110">
        <v>0</v>
      </c>
      <c r="U1738" s="110">
        <v>42.99</v>
      </c>
      <c r="X1738">
        <v>52.099999999999994</v>
      </c>
      <c r="Y1738">
        <v>44.9</v>
      </c>
      <c r="Z1738">
        <v>44.9</v>
      </c>
      <c r="AA1738">
        <v>0</v>
      </c>
      <c r="AB1738" t="s">
        <v>324</v>
      </c>
      <c r="AF1738" t="s">
        <v>407</v>
      </c>
      <c r="AG1738" t="s">
        <v>407</v>
      </c>
      <c r="AH1738" t="s">
        <v>325</v>
      </c>
      <c r="AI1738">
        <v>99999</v>
      </c>
      <c r="AJ1738">
        <v>99999</v>
      </c>
      <c r="AK1738">
        <v>699</v>
      </c>
      <c r="AL1738" t="b">
        <v>1</v>
      </c>
      <c r="AM1738" t="b">
        <v>1</v>
      </c>
      <c r="AN1738" t="b">
        <v>0</v>
      </c>
      <c r="AO1738">
        <v>99999</v>
      </c>
      <c r="AP1738" t="s">
        <v>64</v>
      </c>
      <c r="AR1738" t="b">
        <v>0</v>
      </c>
      <c r="AS1738">
        <v>12</v>
      </c>
      <c r="AT1738" t="s">
        <v>327</v>
      </c>
      <c r="AV1738" t="s">
        <v>421</v>
      </c>
    </row>
    <row r="1739" spans="1:48" x14ac:dyDescent="0.25">
      <c r="A1739" t="s">
        <v>3323</v>
      </c>
      <c r="B1739" t="s">
        <v>302</v>
      </c>
      <c r="C1739" t="s">
        <v>62</v>
      </c>
      <c r="D1739">
        <v>99999</v>
      </c>
      <c r="F1739" s="109">
        <v>4000</v>
      </c>
      <c r="G1739" t="b">
        <v>0</v>
      </c>
      <c r="H1739" t="s">
        <v>315</v>
      </c>
      <c r="K1739" t="s">
        <v>349</v>
      </c>
      <c r="L1739" t="s">
        <v>303</v>
      </c>
      <c r="M1739" t="s">
        <v>323</v>
      </c>
      <c r="N1739" t="s">
        <v>63</v>
      </c>
      <c r="O1739">
        <v>39.9</v>
      </c>
      <c r="R1739">
        <v>194.89</v>
      </c>
      <c r="S1739">
        <v>39.9</v>
      </c>
      <c r="T1739" s="110">
        <v>0</v>
      </c>
      <c r="U1739">
        <v>42.99</v>
      </c>
      <c r="X1739">
        <v>67.099999999999994</v>
      </c>
      <c r="Y1739">
        <v>44.9</v>
      </c>
      <c r="Z1739">
        <v>44.9</v>
      </c>
      <c r="AA1739">
        <v>0</v>
      </c>
      <c r="AB1739" t="s">
        <v>324</v>
      </c>
      <c r="AF1739" t="s">
        <v>541</v>
      </c>
      <c r="AG1739" t="s">
        <v>541</v>
      </c>
      <c r="AH1739" t="s">
        <v>325</v>
      </c>
      <c r="AI1739">
        <v>99999</v>
      </c>
      <c r="AJ1739">
        <v>99999</v>
      </c>
      <c r="AK1739">
        <v>699</v>
      </c>
      <c r="AL1739" t="b">
        <v>1</v>
      </c>
      <c r="AM1739" t="b">
        <v>1</v>
      </c>
      <c r="AN1739" t="b">
        <v>0</v>
      </c>
      <c r="AO1739">
        <v>99999</v>
      </c>
      <c r="AP1739" t="s">
        <v>64</v>
      </c>
      <c r="AR1739" t="b">
        <v>0</v>
      </c>
      <c r="AS1739">
        <v>12</v>
      </c>
      <c r="AT1739" t="s">
        <v>327</v>
      </c>
      <c r="AV1739" t="s">
        <v>555</v>
      </c>
    </row>
    <row r="1740" spans="1:48" x14ac:dyDescent="0.25">
      <c r="A1740" t="s">
        <v>3323</v>
      </c>
      <c r="B1740" t="s">
        <v>302</v>
      </c>
      <c r="C1740" t="s">
        <v>62</v>
      </c>
      <c r="D1740">
        <v>99999</v>
      </c>
      <c r="F1740" s="109">
        <v>4000</v>
      </c>
      <c r="G1740" t="b">
        <v>0</v>
      </c>
      <c r="H1740" t="s">
        <v>315</v>
      </c>
      <c r="K1740" t="s">
        <v>349</v>
      </c>
      <c r="L1740" t="s">
        <v>303</v>
      </c>
      <c r="M1740" t="s">
        <v>323</v>
      </c>
      <c r="N1740" t="s">
        <v>63</v>
      </c>
      <c r="O1740">
        <v>39.9</v>
      </c>
      <c r="R1740">
        <v>209.89</v>
      </c>
      <c r="S1740">
        <v>59.9</v>
      </c>
      <c r="T1740" s="110">
        <v>0</v>
      </c>
      <c r="U1740">
        <v>42.99</v>
      </c>
      <c r="X1740">
        <v>62.099999999999994</v>
      </c>
      <c r="Y1740">
        <v>44.9</v>
      </c>
      <c r="Z1740">
        <v>44.9</v>
      </c>
      <c r="AA1740">
        <v>0</v>
      </c>
      <c r="AB1740" t="s">
        <v>324</v>
      </c>
      <c r="AF1740" t="s">
        <v>675</v>
      </c>
      <c r="AG1740" t="s">
        <v>675</v>
      </c>
      <c r="AH1740" t="s">
        <v>325</v>
      </c>
      <c r="AI1740">
        <v>99999</v>
      </c>
      <c r="AJ1740">
        <v>99999</v>
      </c>
      <c r="AK1740">
        <v>699</v>
      </c>
      <c r="AL1740" t="b">
        <v>1</v>
      </c>
      <c r="AM1740" t="b">
        <v>1</v>
      </c>
      <c r="AN1740" t="b">
        <v>0</v>
      </c>
      <c r="AO1740">
        <v>99999</v>
      </c>
      <c r="AP1740" t="s">
        <v>64</v>
      </c>
      <c r="AR1740" t="b">
        <v>0</v>
      </c>
      <c r="AS1740">
        <v>12</v>
      </c>
      <c r="AT1740" t="s">
        <v>327</v>
      </c>
      <c r="AV1740" t="s">
        <v>689</v>
      </c>
    </row>
    <row r="1741" spans="1:48" x14ac:dyDescent="0.25">
      <c r="A1741" t="s">
        <v>3323</v>
      </c>
      <c r="B1741" t="s">
        <v>302</v>
      </c>
      <c r="C1741" t="s">
        <v>62</v>
      </c>
      <c r="D1741">
        <v>99999</v>
      </c>
      <c r="F1741" s="109">
        <v>4000</v>
      </c>
      <c r="G1741" t="b">
        <v>0</v>
      </c>
      <c r="H1741" t="s">
        <v>315</v>
      </c>
      <c r="K1741" t="s">
        <v>349</v>
      </c>
      <c r="L1741" t="s">
        <v>303</v>
      </c>
      <c r="M1741" t="s">
        <v>323</v>
      </c>
      <c r="N1741" t="s">
        <v>63</v>
      </c>
      <c r="O1741" s="110">
        <v>49.9</v>
      </c>
      <c r="R1741" s="110">
        <v>255.68999999999997</v>
      </c>
      <c r="S1741" s="110">
        <v>130</v>
      </c>
      <c r="T1741" s="110">
        <v>0</v>
      </c>
      <c r="U1741" s="110">
        <v>34.99</v>
      </c>
      <c r="X1741">
        <v>45.799999999999983</v>
      </c>
      <c r="Y1741">
        <v>44.9</v>
      </c>
      <c r="Z1741">
        <v>44.9</v>
      </c>
      <c r="AA1741">
        <v>0</v>
      </c>
      <c r="AB1741" t="s">
        <v>324</v>
      </c>
      <c r="AF1741" t="s">
        <v>2185</v>
      </c>
      <c r="AG1741" t="s">
        <v>2185</v>
      </c>
      <c r="AH1741" t="s">
        <v>325</v>
      </c>
      <c r="AI1741">
        <v>99999</v>
      </c>
      <c r="AJ1741">
        <v>99999</v>
      </c>
      <c r="AK1741">
        <v>699</v>
      </c>
      <c r="AL1741" t="b">
        <v>1</v>
      </c>
      <c r="AM1741" t="b">
        <v>1</v>
      </c>
      <c r="AN1741" t="b">
        <v>0</v>
      </c>
      <c r="AO1741">
        <v>99999</v>
      </c>
      <c r="AP1741" t="s">
        <v>64</v>
      </c>
      <c r="AR1741" t="b">
        <v>0</v>
      </c>
      <c r="AS1741">
        <v>12</v>
      </c>
      <c r="AT1741" t="s">
        <v>327</v>
      </c>
      <c r="AV1741" t="s">
        <v>2199</v>
      </c>
    </row>
    <row r="1742" spans="1:48" x14ac:dyDescent="0.25">
      <c r="A1742" t="s">
        <v>3323</v>
      </c>
      <c r="B1742" t="s">
        <v>302</v>
      </c>
      <c r="C1742" t="s">
        <v>62</v>
      </c>
      <c r="D1742">
        <v>99999</v>
      </c>
      <c r="F1742" s="109">
        <v>4000</v>
      </c>
      <c r="G1742" t="b">
        <v>0</v>
      </c>
      <c r="H1742" t="s">
        <v>315</v>
      </c>
      <c r="K1742" t="s">
        <v>349</v>
      </c>
      <c r="L1742" t="s">
        <v>303</v>
      </c>
      <c r="M1742" t="s">
        <v>323</v>
      </c>
      <c r="N1742" t="s">
        <v>63</v>
      </c>
      <c r="O1742" s="110">
        <v>49.9</v>
      </c>
      <c r="R1742" s="110">
        <v>269.99</v>
      </c>
      <c r="S1742" s="110">
        <v>130</v>
      </c>
      <c r="T1742" s="110">
        <v>0</v>
      </c>
      <c r="U1742" s="110">
        <v>42.99</v>
      </c>
      <c r="X1742">
        <v>52.099999999999994</v>
      </c>
      <c r="Y1742">
        <v>44.9</v>
      </c>
      <c r="Z1742">
        <v>44.9</v>
      </c>
      <c r="AA1742">
        <v>0</v>
      </c>
      <c r="AB1742" t="s">
        <v>324</v>
      </c>
      <c r="AF1742" t="s">
        <v>2259</v>
      </c>
      <c r="AG1742" t="s">
        <v>2259</v>
      </c>
      <c r="AH1742" t="s">
        <v>325</v>
      </c>
      <c r="AI1742">
        <v>99999</v>
      </c>
      <c r="AJ1742">
        <v>99999</v>
      </c>
      <c r="AK1742">
        <v>699</v>
      </c>
      <c r="AL1742" t="b">
        <v>1</v>
      </c>
      <c r="AM1742" t="b">
        <v>1</v>
      </c>
      <c r="AN1742" t="b">
        <v>0</v>
      </c>
      <c r="AO1742">
        <v>99999</v>
      </c>
      <c r="AP1742" t="s">
        <v>64</v>
      </c>
      <c r="AR1742" t="b">
        <v>0</v>
      </c>
      <c r="AS1742">
        <v>12</v>
      </c>
      <c r="AT1742" t="s">
        <v>327</v>
      </c>
      <c r="AV1742" t="s">
        <v>2273</v>
      </c>
    </row>
    <row r="1743" spans="1:48" x14ac:dyDescent="0.25">
      <c r="A1743" t="s">
        <v>3323</v>
      </c>
      <c r="B1743" t="s">
        <v>302</v>
      </c>
      <c r="C1743" t="s">
        <v>62</v>
      </c>
      <c r="D1743">
        <v>99999</v>
      </c>
      <c r="F1743" s="109">
        <v>4000</v>
      </c>
      <c r="G1743" t="b">
        <v>0</v>
      </c>
      <c r="H1743" t="s">
        <v>315</v>
      </c>
      <c r="K1743" t="s">
        <v>349</v>
      </c>
      <c r="L1743" t="s">
        <v>303</v>
      </c>
      <c r="M1743" t="s">
        <v>323</v>
      </c>
      <c r="N1743" t="s">
        <v>63</v>
      </c>
      <c r="O1743" s="110">
        <v>49.9</v>
      </c>
      <c r="R1743" s="110">
        <v>284.99</v>
      </c>
      <c r="S1743" s="110">
        <v>130</v>
      </c>
      <c r="T1743" s="110">
        <v>0</v>
      </c>
      <c r="U1743" s="110">
        <v>42.99</v>
      </c>
      <c r="X1743">
        <v>67.099999999999994</v>
      </c>
      <c r="Y1743">
        <v>44.9</v>
      </c>
      <c r="Z1743">
        <v>44.9</v>
      </c>
      <c r="AA1743">
        <v>0</v>
      </c>
      <c r="AB1743" t="s">
        <v>324</v>
      </c>
      <c r="AF1743" t="s">
        <v>2326</v>
      </c>
      <c r="AG1743" t="s">
        <v>2326</v>
      </c>
      <c r="AH1743" t="s">
        <v>325</v>
      </c>
      <c r="AI1743">
        <v>99999</v>
      </c>
      <c r="AJ1743">
        <v>99999</v>
      </c>
      <c r="AK1743">
        <v>699</v>
      </c>
      <c r="AL1743" t="b">
        <v>1</v>
      </c>
      <c r="AM1743" t="b">
        <v>1</v>
      </c>
      <c r="AN1743" t="b">
        <v>0</v>
      </c>
      <c r="AO1743">
        <v>99999</v>
      </c>
      <c r="AP1743" t="s">
        <v>64</v>
      </c>
      <c r="AR1743" t="b">
        <v>0</v>
      </c>
      <c r="AS1743">
        <v>12</v>
      </c>
      <c r="AT1743" t="s">
        <v>327</v>
      </c>
      <c r="AV1743" t="s">
        <v>2340</v>
      </c>
    </row>
    <row r="1744" spans="1:48" x14ac:dyDescent="0.25">
      <c r="A1744" t="s">
        <v>3323</v>
      </c>
      <c r="B1744" t="s">
        <v>302</v>
      </c>
      <c r="C1744" t="s">
        <v>62</v>
      </c>
      <c r="D1744">
        <v>99999</v>
      </c>
      <c r="F1744" s="109">
        <v>4000</v>
      </c>
      <c r="G1744" t="b">
        <v>0</v>
      </c>
      <c r="H1744" t="s">
        <v>315</v>
      </c>
      <c r="K1744" t="s">
        <v>349</v>
      </c>
      <c r="L1744" t="s">
        <v>303</v>
      </c>
      <c r="M1744" t="s">
        <v>323</v>
      </c>
      <c r="N1744" t="s">
        <v>63</v>
      </c>
      <c r="O1744" s="110">
        <v>49.9</v>
      </c>
      <c r="R1744" s="110">
        <v>279.99</v>
      </c>
      <c r="S1744" s="110">
        <v>130</v>
      </c>
      <c r="T1744" s="110">
        <v>0</v>
      </c>
      <c r="U1744" s="110">
        <v>42.99</v>
      </c>
      <c r="X1744">
        <v>62.099999999999994</v>
      </c>
      <c r="Y1744">
        <v>44.9</v>
      </c>
      <c r="Z1744">
        <v>44.9</v>
      </c>
      <c r="AA1744">
        <v>0</v>
      </c>
      <c r="AB1744" t="s">
        <v>324</v>
      </c>
      <c r="AF1744" t="s">
        <v>2393</v>
      </c>
      <c r="AG1744" t="s">
        <v>2393</v>
      </c>
      <c r="AH1744" t="s">
        <v>325</v>
      </c>
      <c r="AI1744">
        <v>99999</v>
      </c>
      <c r="AJ1744">
        <v>99999</v>
      </c>
      <c r="AK1744">
        <v>699</v>
      </c>
      <c r="AL1744" t="b">
        <v>1</v>
      </c>
      <c r="AM1744" t="b">
        <v>1</v>
      </c>
      <c r="AN1744" t="b">
        <v>0</v>
      </c>
      <c r="AO1744">
        <v>99999</v>
      </c>
      <c r="AP1744" t="s">
        <v>64</v>
      </c>
      <c r="AR1744" t="b">
        <v>0</v>
      </c>
      <c r="AS1744">
        <v>12</v>
      </c>
      <c r="AT1744" t="s">
        <v>327</v>
      </c>
      <c r="AV1744" t="s">
        <v>2407</v>
      </c>
    </row>
    <row r="1745" spans="1:48" x14ac:dyDescent="0.25">
      <c r="A1745" t="s">
        <v>3323</v>
      </c>
      <c r="B1745" t="s">
        <v>302</v>
      </c>
      <c r="C1745" t="s">
        <v>62</v>
      </c>
      <c r="D1745">
        <v>99999</v>
      </c>
      <c r="F1745" s="109">
        <v>4000</v>
      </c>
      <c r="G1745" t="b">
        <v>0</v>
      </c>
      <c r="H1745" t="s">
        <v>315</v>
      </c>
      <c r="K1745" t="s">
        <v>393</v>
      </c>
      <c r="L1745" t="s">
        <v>303</v>
      </c>
      <c r="M1745" t="s">
        <v>323</v>
      </c>
      <c r="N1745" t="s">
        <v>63</v>
      </c>
      <c r="O1745">
        <v>29.9</v>
      </c>
      <c r="R1745">
        <v>204.89000000000001</v>
      </c>
      <c r="S1745">
        <v>39.9</v>
      </c>
      <c r="T1745" s="110">
        <v>0</v>
      </c>
      <c r="U1745">
        <v>42.99</v>
      </c>
      <c r="X1745">
        <v>52.099999999999994</v>
      </c>
      <c r="Y1745">
        <v>69.900000000000006</v>
      </c>
      <c r="Z1745">
        <v>69.900000000000006</v>
      </c>
      <c r="AA1745">
        <v>0</v>
      </c>
      <c r="AB1745" t="s">
        <v>363</v>
      </c>
      <c r="AF1745" t="s">
        <v>365</v>
      </c>
      <c r="AG1745" t="s">
        <v>365</v>
      </c>
      <c r="AH1745" t="s">
        <v>325</v>
      </c>
      <c r="AI1745">
        <v>99999</v>
      </c>
      <c r="AJ1745">
        <v>99999</v>
      </c>
      <c r="AK1745">
        <v>699</v>
      </c>
      <c r="AL1745" t="b">
        <v>1</v>
      </c>
      <c r="AM1745" t="b">
        <v>1</v>
      </c>
      <c r="AN1745" t="b">
        <v>0</v>
      </c>
      <c r="AO1745">
        <v>99999</v>
      </c>
      <c r="AP1745" t="s">
        <v>64</v>
      </c>
      <c r="AR1745" t="b">
        <v>0</v>
      </c>
      <c r="AS1745">
        <v>12</v>
      </c>
      <c r="AT1745" t="s">
        <v>327</v>
      </c>
      <c r="AV1745" t="s">
        <v>394</v>
      </c>
    </row>
    <row r="1746" spans="1:48" x14ac:dyDescent="0.25">
      <c r="A1746" t="s">
        <v>3323</v>
      </c>
      <c r="B1746" t="s">
        <v>302</v>
      </c>
      <c r="C1746" t="s">
        <v>62</v>
      </c>
      <c r="D1746">
        <v>99999</v>
      </c>
      <c r="F1746" s="109">
        <v>4000</v>
      </c>
      <c r="G1746" t="b">
        <v>0</v>
      </c>
      <c r="H1746" t="s">
        <v>315</v>
      </c>
      <c r="K1746" t="s">
        <v>393</v>
      </c>
      <c r="L1746" t="s">
        <v>303</v>
      </c>
      <c r="M1746" t="s">
        <v>323</v>
      </c>
      <c r="N1746" t="s">
        <v>63</v>
      </c>
      <c r="O1746">
        <v>29.9</v>
      </c>
      <c r="R1746">
        <v>219.89000000000001</v>
      </c>
      <c r="S1746">
        <v>39.9</v>
      </c>
      <c r="T1746" s="110">
        <v>0</v>
      </c>
      <c r="U1746">
        <v>42.99</v>
      </c>
      <c r="X1746">
        <v>67.099999999999994</v>
      </c>
      <c r="Y1746">
        <v>69.900000000000006</v>
      </c>
      <c r="Z1746">
        <v>69.900000000000006</v>
      </c>
      <c r="AA1746">
        <v>0</v>
      </c>
      <c r="AB1746" t="s">
        <v>363</v>
      </c>
      <c r="AF1746" t="s">
        <v>501</v>
      </c>
      <c r="AG1746" t="s">
        <v>501</v>
      </c>
      <c r="AH1746" t="s">
        <v>325</v>
      </c>
      <c r="AI1746">
        <v>99999</v>
      </c>
      <c r="AJ1746">
        <v>99999</v>
      </c>
      <c r="AK1746">
        <v>699</v>
      </c>
      <c r="AL1746" t="b">
        <v>1</v>
      </c>
      <c r="AM1746" t="b">
        <v>1</v>
      </c>
      <c r="AN1746" t="b">
        <v>0</v>
      </c>
      <c r="AO1746">
        <v>99999</v>
      </c>
      <c r="AP1746" t="s">
        <v>64</v>
      </c>
      <c r="AR1746" t="b">
        <v>0</v>
      </c>
      <c r="AS1746">
        <v>12</v>
      </c>
      <c r="AT1746" t="s">
        <v>327</v>
      </c>
      <c r="AV1746" t="s">
        <v>528</v>
      </c>
    </row>
    <row r="1747" spans="1:48" x14ac:dyDescent="0.25">
      <c r="A1747" t="s">
        <v>3323</v>
      </c>
      <c r="B1747" t="s">
        <v>302</v>
      </c>
      <c r="C1747" t="s">
        <v>62</v>
      </c>
      <c r="D1747">
        <v>99999</v>
      </c>
      <c r="F1747" s="109">
        <v>4000</v>
      </c>
      <c r="G1747" t="b">
        <v>0</v>
      </c>
      <c r="H1747" t="s">
        <v>315</v>
      </c>
      <c r="K1747" t="s">
        <v>393</v>
      </c>
      <c r="L1747" t="s">
        <v>303</v>
      </c>
      <c r="M1747" t="s">
        <v>323</v>
      </c>
      <c r="N1747" t="s">
        <v>63</v>
      </c>
      <c r="O1747">
        <v>29.9</v>
      </c>
      <c r="R1747">
        <v>234.89000000000001</v>
      </c>
      <c r="S1747">
        <v>59.9</v>
      </c>
      <c r="T1747" s="110">
        <v>0</v>
      </c>
      <c r="U1747">
        <v>42.99</v>
      </c>
      <c r="X1747">
        <v>62.099999999999994</v>
      </c>
      <c r="Y1747">
        <v>69.900000000000006</v>
      </c>
      <c r="Z1747">
        <v>69.900000000000006</v>
      </c>
      <c r="AA1747">
        <v>0</v>
      </c>
      <c r="AB1747" t="s">
        <v>363</v>
      </c>
      <c r="AF1747" t="s">
        <v>635</v>
      </c>
      <c r="AG1747" t="s">
        <v>635</v>
      </c>
      <c r="AH1747" t="s">
        <v>325</v>
      </c>
      <c r="AI1747">
        <v>99999</v>
      </c>
      <c r="AJ1747">
        <v>99999</v>
      </c>
      <c r="AK1747">
        <v>699</v>
      </c>
      <c r="AL1747" t="b">
        <v>1</v>
      </c>
      <c r="AM1747" t="b">
        <v>1</v>
      </c>
      <c r="AN1747" t="b">
        <v>0</v>
      </c>
      <c r="AO1747">
        <v>99999</v>
      </c>
      <c r="AP1747" t="s">
        <v>64</v>
      </c>
      <c r="AR1747" t="b">
        <v>0</v>
      </c>
      <c r="AS1747">
        <v>12</v>
      </c>
      <c r="AT1747" t="s">
        <v>327</v>
      </c>
      <c r="AV1747" t="s">
        <v>662</v>
      </c>
    </row>
    <row r="1748" spans="1:48" x14ac:dyDescent="0.25">
      <c r="A1748" t="s">
        <v>3323</v>
      </c>
      <c r="B1748" t="s">
        <v>302</v>
      </c>
      <c r="C1748" t="s">
        <v>62</v>
      </c>
      <c r="D1748">
        <v>99999</v>
      </c>
      <c r="F1748" s="109">
        <v>4000</v>
      </c>
      <c r="G1748" t="b">
        <v>0</v>
      </c>
      <c r="H1748" t="s">
        <v>315</v>
      </c>
      <c r="K1748" t="s">
        <v>393</v>
      </c>
      <c r="L1748" t="s">
        <v>303</v>
      </c>
      <c r="M1748" t="s">
        <v>323</v>
      </c>
      <c r="N1748" t="s">
        <v>63</v>
      </c>
      <c r="O1748" s="110">
        <v>39.9</v>
      </c>
      <c r="R1748" s="110">
        <v>204.89000000000001</v>
      </c>
      <c r="S1748" s="110">
        <v>39.9</v>
      </c>
      <c r="T1748" s="110">
        <v>0</v>
      </c>
      <c r="U1748" s="110">
        <v>42.99</v>
      </c>
      <c r="X1748">
        <v>52.099999999999994</v>
      </c>
      <c r="Y1748">
        <v>69.900000000000006</v>
      </c>
      <c r="Z1748">
        <v>69.900000000000006</v>
      </c>
      <c r="AA1748">
        <v>0</v>
      </c>
      <c r="AB1748" t="s">
        <v>363</v>
      </c>
      <c r="AF1748" t="s">
        <v>434</v>
      </c>
      <c r="AG1748" t="s">
        <v>434</v>
      </c>
      <c r="AH1748" t="s">
        <v>325</v>
      </c>
      <c r="AI1748">
        <v>99999</v>
      </c>
      <c r="AJ1748">
        <v>99999</v>
      </c>
      <c r="AK1748">
        <v>699</v>
      </c>
      <c r="AL1748" t="b">
        <v>1</v>
      </c>
      <c r="AM1748" t="b">
        <v>1</v>
      </c>
      <c r="AN1748" t="b">
        <v>0</v>
      </c>
      <c r="AO1748">
        <v>99999</v>
      </c>
      <c r="AP1748" t="s">
        <v>64</v>
      </c>
      <c r="AR1748" t="b">
        <v>0</v>
      </c>
      <c r="AS1748">
        <v>12</v>
      </c>
      <c r="AT1748" t="s">
        <v>327</v>
      </c>
      <c r="AV1748" t="s">
        <v>461</v>
      </c>
    </row>
    <row r="1749" spans="1:48" x14ac:dyDescent="0.25">
      <c r="A1749" t="s">
        <v>3323</v>
      </c>
      <c r="B1749" t="s">
        <v>302</v>
      </c>
      <c r="C1749" t="s">
        <v>62</v>
      </c>
      <c r="D1749">
        <v>99999</v>
      </c>
      <c r="F1749" s="109">
        <v>4000</v>
      </c>
      <c r="G1749" t="b">
        <v>0</v>
      </c>
      <c r="H1749" t="s">
        <v>315</v>
      </c>
      <c r="K1749" t="s">
        <v>393</v>
      </c>
      <c r="L1749" t="s">
        <v>303</v>
      </c>
      <c r="M1749" t="s">
        <v>323</v>
      </c>
      <c r="N1749" t="s">
        <v>63</v>
      </c>
      <c r="O1749">
        <v>39.9</v>
      </c>
      <c r="R1749">
        <v>219.89000000000001</v>
      </c>
      <c r="S1749">
        <v>39.9</v>
      </c>
      <c r="T1749" s="110">
        <v>0</v>
      </c>
      <c r="U1749">
        <v>42.99</v>
      </c>
      <c r="X1749">
        <v>67.099999999999994</v>
      </c>
      <c r="Y1749">
        <v>69.900000000000006</v>
      </c>
      <c r="Z1749">
        <v>69.900000000000006</v>
      </c>
      <c r="AA1749">
        <v>0</v>
      </c>
      <c r="AB1749" t="s">
        <v>363</v>
      </c>
      <c r="AF1749" t="s">
        <v>568</v>
      </c>
      <c r="AG1749" t="s">
        <v>568</v>
      </c>
      <c r="AH1749" t="s">
        <v>325</v>
      </c>
      <c r="AI1749">
        <v>99999</v>
      </c>
      <c r="AJ1749">
        <v>99999</v>
      </c>
      <c r="AK1749">
        <v>699</v>
      </c>
      <c r="AL1749" t="b">
        <v>1</v>
      </c>
      <c r="AM1749" t="b">
        <v>1</v>
      </c>
      <c r="AN1749" t="b">
        <v>0</v>
      </c>
      <c r="AO1749">
        <v>99999</v>
      </c>
      <c r="AP1749" t="s">
        <v>64</v>
      </c>
      <c r="AR1749" t="b">
        <v>0</v>
      </c>
      <c r="AS1749">
        <v>12</v>
      </c>
      <c r="AT1749" t="s">
        <v>327</v>
      </c>
      <c r="AV1749" t="s">
        <v>595</v>
      </c>
    </row>
    <row r="1750" spans="1:48" x14ac:dyDescent="0.25">
      <c r="A1750" t="s">
        <v>3323</v>
      </c>
      <c r="B1750" t="s">
        <v>302</v>
      </c>
      <c r="C1750" t="s">
        <v>62</v>
      </c>
      <c r="D1750">
        <v>99999</v>
      </c>
      <c r="F1750" s="109">
        <v>4000</v>
      </c>
      <c r="G1750" t="b">
        <v>0</v>
      </c>
      <c r="H1750" t="s">
        <v>315</v>
      </c>
      <c r="K1750" t="s">
        <v>393</v>
      </c>
      <c r="L1750" t="s">
        <v>303</v>
      </c>
      <c r="M1750" t="s">
        <v>323</v>
      </c>
      <c r="N1750" t="s">
        <v>63</v>
      </c>
      <c r="O1750">
        <v>39.9</v>
      </c>
      <c r="R1750">
        <v>234.89000000000001</v>
      </c>
      <c r="S1750">
        <v>59.9</v>
      </c>
      <c r="T1750" s="110">
        <v>0</v>
      </c>
      <c r="U1750">
        <v>42.99</v>
      </c>
      <c r="X1750">
        <v>62.099999999999994</v>
      </c>
      <c r="Y1750">
        <v>69.900000000000006</v>
      </c>
      <c r="Z1750">
        <v>69.900000000000006</v>
      </c>
      <c r="AA1750">
        <v>0</v>
      </c>
      <c r="AB1750" t="s">
        <v>363</v>
      </c>
      <c r="AF1750" t="s">
        <v>702</v>
      </c>
      <c r="AG1750" t="s">
        <v>702</v>
      </c>
      <c r="AH1750" t="s">
        <v>325</v>
      </c>
      <c r="AI1750">
        <v>99999</v>
      </c>
      <c r="AJ1750">
        <v>99999</v>
      </c>
      <c r="AK1750">
        <v>699</v>
      </c>
      <c r="AL1750" t="b">
        <v>1</v>
      </c>
      <c r="AM1750" t="b">
        <v>1</v>
      </c>
      <c r="AN1750" t="b">
        <v>0</v>
      </c>
      <c r="AO1750">
        <v>99999</v>
      </c>
      <c r="AP1750" t="s">
        <v>64</v>
      </c>
      <c r="AR1750" t="b">
        <v>0</v>
      </c>
      <c r="AS1750">
        <v>12</v>
      </c>
      <c r="AT1750" t="s">
        <v>327</v>
      </c>
      <c r="AV1750" t="s">
        <v>729</v>
      </c>
    </row>
    <row r="1751" spans="1:48" x14ac:dyDescent="0.25">
      <c r="A1751" t="s">
        <v>3323</v>
      </c>
      <c r="B1751" t="s">
        <v>302</v>
      </c>
      <c r="C1751" t="s">
        <v>62</v>
      </c>
      <c r="D1751">
        <v>99999</v>
      </c>
      <c r="F1751" s="109">
        <v>4000</v>
      </c>
      <c r="G1751" t="b">
        <v>0</v>
      </c>
      <c r="H1751" t="s">
        <v>315</v>
      </c>
      <c r="K1751" t="s">
        <v>393</v>
      </c>
      <c r="L1751" t="s">
        <v>303</v>
      </c>
      <c r="M1751" t="s">
        <v>323</v>
      </c>
      <c r="N1751" t="s">
        <v>63</v>
      </c>
      <c r="O1751" s="110">
        <v>49.9</v>
      </c>
      <c r="R1751" s="110">
        <v>280.69</v>
      </c>
      <c r="S1751" s="110">
        <v>130</v>
      </c>
      <c r="T1751" s="110">
        <v>0</v>
      </c>
      <c r="U1751" s="110">
        <v>34.99</v>
      </c>
      <c r="X1751">
        <v>45.799999999999983</v>
      </c>
      <c r="Y1751">
        <v>69.900000000000006</v>
      </c>
      <c r="Z1751">
        <v>69.900000000000006</v>
      </c>
      <c r="AA1751">
        <v>0</v>
      </c>
      <c r="AB1751" t="s">
        <v>363</v>
      </c>
      <c r="AF1751" t="s">
        <v>2212</v>
      </c>
      <c r="AG1751" t="s">
        <v>2212</v>
      </c>
      <c r="AH1751" t="s">
        <v>325</v>
      </c>
      <c r="AI1751">
        <v>99999</v>
      </c>
      <c r="AJ1751">
        <v>99999</v>
      </c>
      <c r="AK1751">
        <v>699</v>
      </c>
      <c r="AL1751" t="b">
        <v>1</v>
      </c>
      <c r="AM1751" t="b">
        <v>1</v>
      </c>
      <c r="AN1751" t="b">
        <v>0</v>
      </c>
      <c r="AO1751">
        <v>99999</v>
      </c>
      <c r="AP1751" t="s">
        <v>64</v>
      </c>
      <c r="AR1751" t="b">
        <v>0</v>
      </c>
      <c r="AS1751">
        <v>12</v>
      </c>
      <c r="AT1751" t="s">
        <v>327</v>
      </c>
      <c r="AV1751" t="s">
        <v>2239</v>
      </c>
    </row>
    <row r="1752" spans="1:48" x14ac:dyDescent="0.25">
      <c r="A1752" t="s">
        <v>3323</v>
      </c>
      <c r="B1752" t="s">
        <v>302</v>
      </c>
      <c r="C1752" t="s">
        <v>62</v>
      </c>
      <c r="D1752">
        <v>99999</v>
      </c>
      <c r="F1752" s="109">
        <v>4000</v>
      </c>
      <c r="G1752" t="b">
        <v>0</v>
      </c>
      <c r="H1752" t="s">
        <v>315</v>
      </c>
      <c r="K1752" t="s">
        <v>393</v>
      </c>
      <c r="L1752" t="s">
        <v>303</v>
      </c>
      <c r="M1752" t="s">
        <v>323</v>
      </c>
      <c r="N1752" t="s">
        <v>63</v>
      </c>
      <c r="O1752" s="110">
        <v>49.9</v>
      </c>
      <c r="R1752" s="110">
        <v>294.99</v>
      </c>
      <c r="S1752" s="110">
        <v>130</v>
      </c>
      <c r="T1752" s="110">
        <v>0</v>
      </c>
      <c r="U1752" s="110">
        <v>42.99</v>
      </c>
      <c r="X1752">
        <v>52.099999999999994</v>
      </c>
      <c r="Y1752">
        <v>69.900000000000006</v>
      </c>
      <c r="Z1752">
        <v>69.900000000000006</v>
      </c>
      <c r="AA1752">
        <v>0</v>
      </c>
      <c r="AB1752" t="s">
        <v>363</v>
      </c>
      <c r="AF1752" t="s">
        <v>2286</v>
      </c>
      <c r="AG1752" t="s">
        <v>2286</v>
      </c>
      <c r="AH1752" t="s">
        <v>325</v>
      </c>
      <c r="AI1752">
        <v>99999</v>
      </c>
      <c r="AJ1752">
        <v>99999</v>
      </c>
      <c r="AK1752">
        <v>699</v>
      </c>
      <c r="AL1752" t="b">
        <v>1</v>
      </c>
      <c r="AM1752" t="b">
        <v>1</v>
      </c>
      <c r="AN1752" t="b">
        <v>0</v>
      </c>
      <c r="AO1752">
        <v>99999</v>
      </c>
      <c r="AP1752" t="s">
        <v>64</v>
      </c>
      <c r="AR1752" t="b">
        <v>0</v>
      </c>
      <c r="AS1752">
        <v>12</v>
      </c>
      <c r="AT1752" t="s">
        <v>327</v>
      </c>
      <c r="AV1752" t="s">
        <v>2313</v>
      </c>
    </row>
    <row r="1753" spans="1:48" x14ac:dyDescent="0.25">
      <c r="A1753" t="s">
        <v>3323</v>
      </c>
      <c r="B1753" t="s">
        <v>302</v>
      </c>
      <c r="C1753" t="s">
        <v>62</v>
      </c>
      <c r="D1753">
        <v>99999</v>
      </c>
      <c r="F1753" s="109">
        <v>4000</v>
      </c>
      <c r="G1753" t="b">
        <v>0</v>
      </c>
      <c r="H1753" t="s">
        <v>315</v>
      </c>
      <c r="K1753" t="s">
        <v>393</v>
      </c>
      <c r="L1753" t="s">
        <v>303</v>
      </c>
      <c r="M1753" t="s">
        <v>323</v>
      </c>
      <c r="N1753" t="s">
        <v>63</v>
      </c>
      <c r="O1753" s="110">
        <v>49.9</v>
      </c>
      <c r="R1753" s="110">
        <v>309.99</v>
      </c>
      <c r="S1753" s="110">
        <v>130</v>
      </c>
      <c r="T1753" s="110">
        <v>0</v>
      </c>
      <c r="U1753" s="110">
        <v>42.99</v>
      </c>
      <c r="X1753">
        <v>67.099999999999994</v>
      </c>
      <c r="Y1753">
        <v>69.900000000000006</v>
      </c>
      <c r="Z1753">
        <v>69.900000000000006</v>
      </c>
      <c r="AA1753">
        <v>0</v>
      </c>
      <c r="AB1753" t="s">
        <v>363</v>
      </c>
      <c r="AF1753" t="s">
        <v>2353</v>
      </c>
      <c r="AG1753" t="s">
        <v>2353</v>
      </c>
      <c r="AH1753" t="s">
        <v>325</v>
      </c>
      <c r="AI1753">
        <v>99999</v>
      </c>
      <c r="AJ1753">
        <v>99999</v>
      </c>
      <c r="AK1753">
        <v>699</v>
      </c>
      <c r="AL1753" t="b">
        <v>1</v>
      </c>
      <c r="AM1753" t="b">
        <v>1</v>
      </c>
      <c r="AN1753" t="b">
        <v>0</v>
      </c>
      <c r="AO1753">
        <v>99999</v>
      </c>
      <c r="AP1753" t="s">
        <v>64</v>
      </c>
      <c r="AR1753" t="b">
        <v>0</v>
      </c>
      <c r="AS1753">
        <v>12</v>
      </c>
      <c r="AT1753" t="s">
        <v>327</v>
      </c>
      <c r="AV1753" t="s">
        <v>2380</v>
      </c>
    </row>
    <row r="1754" spans="1:48" x14ac:dyDescent="0.25">
      <c r="A1754" t="s">
        <v>3323</v>
      </c>
      <c r="B1754" t="s">
        <v>302</v>
      </c>
      <c r="C1754" t="s">
        <v>62</v>
      </c>
      <c r="D1754">
        <v>99999</v>
      </c>
      <c r="F1754" s="109">
        <v>4000</v>
      </c>
      <c r="G1754" t="b">
        <v>0</v>
      </c>
      <c r="H1754" t="s">
        <v>315</v>
      </c>
      <c r="K1754" t="s">
        <v>393</v>
      </c>
      <c r="L1754" t="s">
        <v>303</v>
      </c>
      <c r="M1754" t="s">
        <v>323</v>
      </c>
      <c r="N1754" t="s">
        <v>63</v>
      </c>
      <c r="O1754" s="110">
        <v>49.9</v>
      </c>
      <c r="R1754" s="110">
        <v>304.99</v>
      </c>
      <c r="S1754" s="110">
        <v>130</v>
      </c>
      <c r="T1754" s="110">
        <v>0</v>
      </c>
      <c r="U1754" s="110">
        <v>42.99</v>
      </c>
      <c r="X1754">
        <v>62.099999999999994</v>
      </c>
      <c r="Y1754">
        <v>69.900000000000006</v>
      </c>
      <c r="Z1754">
        <v>69.900000000000006</v>
      </c>
      <c r="AA1754">
        <v>0</v>
      </c>
      <c r="AB1754" t="s">
        <v>363</v>
      </c>
      <c r="AF1754" t="s">
        <v>2420</v>
      </c>
      <c r="AG1754" t="s">
        <v>2420</v>
      </c>
      <c r="AH1754" t="s">
        <v>325</v>
      </c>
      <c r="AI1754">
        <v>99999</v>
      </c>
      <c r="AJ1754">
        <v>99999</v>
      </c>
      <c r="AK1754">
        <v>699</v>
      </c>
      <c r="AL1754" t="b">
        <v>1</v>
      </c>
      <c r="AM1754" t="b">
        <v>1</v>
      </c>
      <c r="AN1754" t="b">
        <v>0</v>
      </c>
      <c r="AO1754">
        <v>99999</v>
      </c>
      <c r="AP1754" t="s">
        <v>64</v>
      </c>
      <c r="AR1754" t="b">
        <v>0</v>
      </c>
      <c r="AS1754">
        <v>12</v>
      </c>
      <c r="AT1754" t="s">
        <v>327</v>
      </c>
      <c r="AV1754" t="s">
        <v>2447</v>
      </c>
    </row>
    <row r="1755" spans="1:48" x14ac:dyDescent="0.25">
      <c r="A1755" t="s">
        <v>3323</v>
      </c>
      <c r="B1755" t="s">
        <v>302</v>
      </c>
      <c r="C1755" t="s">
        <v>62</v>
      </c>
      <c r="D1755">
        <v>99999</v>
      </c>
      <c r="F1755" s="109">
        <v>4000</v>
      </c>
      <c r="G1755" t="b">
        <v>0</v>
      </c>
      <c r="H1755" t="s">
        <v>315</v>
      </c>
      <c r="K1755" t="s">
        <v>364</v>
      </c>
      <c r="L1755" t="s">
        <v>303</v>
      </c>
      <c r="M1755" t="s">
        <v>323</v>
      </c>
      <c r="N1755" t="s">
        <v>63</v>
      </c>
      <c r="O1755">
        <v>29.9</v>
      </c>
      <c r="R1755">
        <v>184.89</v>
      </c>
      <c r="S1755">
        <v>39.9</v>
      </c>
      <c r="T1755" s="110">
        <v>0</v>
      </c>
      <c r="U1755">
        <v>42.99</v>
      </c>
      <c r="X1755">
        <v>52.099999999999994</v>
      </c>
      <c r="Y1755">
        <v>49.9</v>
      </c>
      <c r="Z1755">
        <v>49.9</v>
      </c>
      <c r="AA1755">
        <v>0</v>
      </c>
      <c r="AB1755" t="s">
        <v>363</v>
      </c>
      <c r="AF1755" t="s">
        <v>365</v>
      </c>
      <c r="AG1755" t="s">
        <v>365</v>
      </c>
      <c r="AH1755" t="s">
        <v>325</v>
      </c>
      <c r="AI1755">
        <v>99999</v>
      </c>
      <c r="AJ1755">
        <v>99999</v>
      </c>
      <c r="AK1755">
        <v>699</v>
      </c>
      <c r="AL1755" t="b">
        <v>1</v>
      </c>
      <c r="AM1755" t="b">
        <v>1</v>
      </c>
      <c r="AN1755" t="b">
        <v>0</v>
      </c>
      <c r="AO1755">
        <v>99999</v>
      </c>
      <c r="AP1755" t="s">
        <v>64</v>
      </c>
      <c r="AR1755" t="b">
        <v>0</v>
      </c>
      <c r="AS1755">
        <v>12</v>
      </c>
      <c r="AT1755" t="s">
        <v>327</v>
      </c>
      <c r="AV1755" t="s">
        <v>366</v>
      </c>
    </row>
    <row r="1756" spans="1:48" x14ac:dyDescent="0.25">
      <c r="A1756" t="s">
        <v>3323</v>
      </c>
      <c r="B1756" t="s">
        <v>302</v>
      </c>
      <c r="C1756" t="s">
        <v>62</v>
      </c>
      <c r="D1756">
        <v>99999</v>
      </c>
      <c r="F1756" s="109">
        <v>4000</v>
      </c>
      <c r="G1756" t="b">
        <v>0</v>
      </c>
      <c r="H1756" t="s">
        <v>315</v>
      </c>
      <c r="K1756" t="s">
        <v>364</v>
      </c>
      <c r="L1756" t="s">
        <v>303</v>
      </c>
      <c r="M1756" t="s">
        <v>323</v>
      </c>
      <c r="N1756" t="s">
        <v>63</v>
      </c>
      <c r="O1756">
        <v>29.9</v>
      </c>
      <c r="R1756">
        <v>199.89</v>
      </c>
      <c r="S1756">
        <v>39.9</v>
      </c>
      <c r="T1756" s="110">
        <v>0</v>
      </c>
      <c r="U1756">
        <v>42.99</v>
      </c>
      <c r="X1756">
        <v>67.099999999999994</v>
      </c>
      <c r="Y1756">
        <v>49.9</v>
      </c>
      <c r="Z1756">
        <v>49.9</v>
      </c>
      <c r="AA1756">
        <v>0</v>
      </c>
      <c r="AB1756" t="s">
        <v>363</v>
      </c>
      <c r="AF1756" t="s">
        <v>501</v>
      </c>
      <c r="AG1756" t="s">
        <v>501</v>
      </c>
      <c r="AH1756" t="s">
        <v>325</v>
      </c>
      <c r="AI1756">
        <v>99999</v>
      </c>
      <c r="AJ1756">
        <v>99999</v>
      </c>
      <c r="AK1756">
        <v>699</v>
      </c>
      <c r="AL1756" t="b">
        <v>1</v>
      </c>
      <c r="AM1756" t="b">
        <v>1</v>
      </c>
      <c r="AN1756" t="b">
        <v>0</v>
      </c>
      <c r="AO1756">
        <v>99999</v>
      </c>
      <c r="AP1756" t="s">
        <v>64</v>
      </c>
      <c r="AR1756" t="b">
        <v>0</v>
      </c>
      <c r="AS1756">
        <v>12</v>
      </c>
      <c r="AT1756" t="s">
        <v>327</v>
      </c>
      <c r="AV1756" t="s">
        <v>502</v>
      </c>
    </row>
    <row r="1757" spans="1:48" x14ac:dyDescent="0.25">
      <c r="A1757" t="s">
        <v>3323</v>
      </c>
      <c r="B1757" t="s">
        <v>302</v>
      </c>
      <c r="C1757" t="s">
        <v>62</v>
      </c>
      <c r="D1757">
        <v>99999</v>
      </c>
      <c r="F1757" s="109">
        <v>4000</v>
      </c>
      <c r="G1757" t="b">
        <v>0</v>
      </c>
      <c r="H1757" t="s">
        <v>315</v>
      </c>
      <c r="K1757" t="s">
        <v>364</v>
      </c>
      <c r="L1757" t="s">
        <v>303</v>
      </c>
      <c r="M1757" t="s">
        <v>323</v>
      </c>
      <c r="N1757" t="s">
        <v>63</v>
      </c>
      <c r="O1757">
        <v>29.9</v>
      </c>
      <c r="R1757">
        <v>214.89</v>
      </c>
      <c r="S1757">
        <v>59.9</v>
      </c>
      <c r="T1757" s="110">
        <v>0</v>
      </c>
      <c r="U1757">
        <v>42.99</v>
      </c>
      <c r="X1757">
        <v>62.099999999999994</v>
      </c>
      <c r="Y1757">
        <v>49.9</v>
      </c>
      <c r="Z1757">
        <v>49.9</v>
      </c>
      <c r="AA1757">
        <v>0</v>
      </c>
      <c r="AB1757" t="s">
        <v>363</v>
      </c>
      <c r="AF1757" t="s">
        <v>635</v>
      </c>
      <c r="AG1757" t="s">
        <v>635</v>
      </c>
      <c r="AH1757" t="s">
        <v>325</v>
      </c>
      <c r="AI1757">
        <v>99999</v>
      </c>
      <c r="AJ1757">
        <v>99999</v>
      </c>
      <c r="AK1757">
        <v>699</v>
      </c>
      <c r="AL1757" t="b">
        <v>1</v>
      </c>
      <c r="AM1757" t="b">
        <v>1</v>
      </c>
      <c r="AN1757" t="b">
        <v>0</v>
      </c>
      <c r="AO1757">
        <v>99999</v>
      </c>
      <c r="AP1757" t="s">
        <v>64</v>
      </c>
      <c r="AR1757" t="b">
        <v>0</v>
      </c>
      <c r="AS1757">
        <v>12</v>
      </c>
      <c r="AT1757" t="s">
        <v>327</v>
      </c>
      <c r="AV1757" t="s">
        <v>636</v>
      </c>
    </row>
    <row r="1758" spans="1:48" x14ac:dyDescent="0.25">
      <c r="A1758" t="s">
        <v>3323</v>
      </c>
      <c r="B1758" t="s">
        <v>302</v>
      </c>
      <c r="C1758" t="s">
        <v>62</v>
      </c>
      <c r="D1758">
        <v>99999</v>
      </c>
      <c r="F1758" s="109">
        <v>4000</v>
      </c>
      <c r="G1758" t="b">
        <v>0</v>
      </c>
      <c r="H1758" t="s">
        <v>315</v>
      </c>
      <c r="K1758" t="s">
        <v>364</v>
      </c>
      <c r="L1758" t="s">
        <v>303</v>
      </c>
      <c r="M1758" t="s">
        <v>323</v>
      </c>
      <c r="N1758" t="s">
        <v>63</v>
      </c>
      <c r="O1758" s="110">
        <v>39.9</v>
      </c>
      <c r="R1758" s="110">
        <v>184.89</v>
      </c>
      <c r="S1758" s="110">
        <v>39.9</v>
      </c>
      <c r="T1758" s="110">
        <v>0</v>
      </c>
      <c r="U1758" s="110">
        <v>42.99</v>
      </c>
      <c r="X1758">
        <v>52.099999999999994</v>
      </c>
      <c r="Y1758">
        <v>49.9</v>
      </c>
      <c r="Z1758">
        <v>49.9</v>
      </c>
      <c r="AA1758">
        <v>0</v>
      </c>
      <c r="AB1758" t="s">
        <v>363</v>
      </c>
      <c r="AF1758" t="s">
        <v>434</v>
      </c>
      <c r="AG1758" t="s">
        <v>434</v>
      </c>
      <c r="AH1758" t="s">
        <v>325</v>
      </c>
      <c r="AI1758">
        <v>99999</v>
      </c>
      <c r="AJ1758">
        <v>99999</v>
      </c>
      <c r="AK1758">
        <v>699</v>
      </c>
      <c r="AL1758" t="b">
        <v>1</v>
      </c>
      <c r="AM1758" t="b">
        <v>1</v>
      </c>
      <c r="AN1758" t="b">
        <v>0</v>
      </c>
      <c r="AO1758">
        <v>99999</v>
      </c>
      <c r="AP1758" t="s">
        <v>64</v>
      </c>
      <c r="AR1758" t="b">
        <v>0</v>
      </c>
      <c r="AS1758">
        <v>12</v>
      </c>
      <c r="AT1758" t="s">
        <v>327</v>
      </c>
      <c r="AV1758" t="s">
        <v>435</v>
      </c>
    </row>
    <row r="1759" spans="1:48" x14ac:dyDescent="0.25">
      <c r="A1759" t="s">
        <v>3323</v>
      </c>
      <c r="B1759" t="s">
        <v>302</v>
      </c>
      <c r="C1759" t="s">
        <v>62</v>
      </c>
      <c r="D1759">
        <v>99999</v>
      </c>
      <c r="F1759" s="109">
        <v>4000</v>
      </c>
      <c r="G1759" t="b">
        <v>0</v>
      </c>
      <c r="H1759" t="s">
        <v>315</v>
      </c>
      <c r="K1759" t="s">
        <v>364</v>
      </c>
      <c r="L1759" t="s">
        <v>303</v>
      </c>
      <c r="M1759" t="s">
        <v>323</v>
      </c>
      <c r="N1759" t="s">
        <v>63</v>
      </c>
      <c r="O1759">
        <v>39.9</v>
      </c>
      <c r="R1759">
        <v>199.89</v>
      </c>
      <c r="S1759">
        <v>39.9</v>
      </c>
      <c r="T1759" s="110">
        <v>0</v>
      </c>
      <c r="U1759">
        <v>42.99</v>
      </c>
      <c r="X1759">
        <v>67.099999999999994</v>
      </c>
      <c r="Y1759">
        <v>49.9</v>
      </c>
      <c r="Z1759">
        <v>49.9</v>
      </c>
      <c r="AA1759">
        <v>0</v>
      </c>
      <c r="AB1759" t="s">
        <v>363</v>
      </c>
      <c r="AF1759" t="s">
        <v>568</v>
      </c>
      <c r="AG1759" t="s">
        <v>568</v>
      </c>
      <c r="AH1759" t="s">
        <v>325</v>
      </c>
      <c r="AI1759">
        <v>99999</v>
      </c>
      <c r="AJ1759">
        <v>99999</v>
      </c>
      <c r="AK1759">
        <v>699</v>
      </c>
      <c r="AL1759" t="b">
        <v>1</v>
      </c>
      <c r="AM1759" t="b">
        <v>1</v>
      </c>
      <c r="AN1759" t="b">
        <v>0</v>
      </c>
      <c r="AO1759">
        <v>99999</v>
      </c>
      <c r="AP1759" t="s">
        <v>64</v>
      </c>
      <c r="AR1759" t="b">
        <v>0</v>
      </c>
      <c r="AS1759">
        <v>12</v>
      </c>
      <c r="AT1759" t="s">
        <v>327</v>
      </c>
      <c r="AV1759" t="s">
        <v>569</v>
      </c>
    </row>
    <row r="1760" spans="1:48" x14ac:dyDescent="0.25">
      <c r="A1760" t="s">
        <v>3323</v>
      </c>
      <c r="B1760" t="s">
        <v>302</v>
      </c>
      <c r="C1760" t="s">
        <v>62</v>
      </c>
      <c r="D1760">
        <v>99999</v>
      </c>
      <c r="F1760" s="109">
        <v>4000</v>
      </c>
      <c r="G1760" t="b">
        <v>0</v>
      </c>
      <c r="H1760" t="s">
        <v>315</v>
      </c>
      <c r="K1760" t="s">
        <v>364</v>
      </c>
      <c r="L1760" t="s">
        <v>303</v>
      </c>
      <c r="M1760" t="s">
        <v>323</v>
      </c>
      <c r="N1760" t="s">
        <v>63</v>
      </c>
      <c r="O1760">
        <v>39.9</v>
      </c>
      <c r="R1760">
        <v>214.89</v>
      </c>
      <c r="S1760">
        <v>59.9</v>
      </c>
      <c r="T1760" s="110">
        <v>0</v>
      </c>
      <c r="U1760">
        <v>42.99</v>
      </c>
      <c r="X1760">
        <v>62.099999999999994</v>
      </c>
      <c r="Y1760">
        <v>49.9</v>
      </c>
      <c r="Z1760">
        <v>49.9</v>
      </c>
      <c r="AA1760">
        <v>0</v>
      </c>
      <c r="AB1760" t="s">
        <v>363</v>
      </c>
      <c r="AF1760" t="s">
        <v>702</v>
      </c>
      <c r="AG1760" t="s">
        <v>702</v>
      </c>
      <c r="AH1760" t="s">
        <v>325</v>
      </c>
      <c r="AI1760">
        <v>99999</v>
      </c>
      <c r="AJ1760">
        <v>99999</v>
      </c>
      <c r="AK1760">
        <v>699</v>
      </c>
      <c r="AL1760" t="b">
        <v>1</v>
      </c>
      <c r="AM1760" t="b">
        <v>1</v>
      </c>
      <c r="AN1760" t="b">
        <v>0</v>
      </c>
      <c r="AO1760">
        <v>99999</v>
      </c>
      <c r="AP1760" t="s">
        <v>64</v>
      </c>
      <c r="AR1760" t="b">
        <v>0</v>
      </c>
      <c r="AS1760">
        <v>12</v>
      </c>
      <c r="AT1760" t="s">
        <v>327</v>
      </c>
      <c r="AV1760" t="s">
        <v>703</v>
      </c>
    </row>
    <row r="1761" spans="1:48" x14ac:dyDescent="0.25">
      <c r="A1761" t="s">
        <v>3323</v>
      </c>
      <c r="B1761" t="s">
        <v>302</v>
      </c>
      <c r="C1761" t="s">
        <v>62</v>
      </c>
      <c r="D1761">
        <v>99999</v>
      </c>
      <c r="F1761" s="109">
        <v>4000</v>
      </c>
      <c r="G1761" t="b">
        <v>0</v>
      </c>
      <c r="H1761" t="s">
        <v>315</v>
      </c>
      <c r="K1761" t="s">
        <v>364</v>
      </c>
      <c r="L1761" t="s">
        <v>303</v>
      </c>
      <c r="M1761" t="s">
        <v>323</v>
      </c>
      <c r="N1761" t="s">
        <v>63</v>
      </c>
      <c r="O1761" s="110">
        <v>49.9</v>
      </c>
      <c r="R1761" s="110">
        <v>260.68999999999994</v>
      </c>
      <c r="S1761" s="110">
        <v>130</v>
      </c>
      <c r="T1761" s="110">
        <v>0</v>
      </c>
      <c r="U1761" s="110">
        <v>34.99</v>
      </c>
      <c r="X1761">
        <v>45.799999999999983</v>
      </c>
      <c r="Y1761">
        <v>49.9</v>
      </c>
      <c r="Z1761">
        <v>49.9</v>
      </c>
      <c r="AA1761">
        <v>0</v>
      </c>
      <c r="AB1761" t="s">
        <v>363</v>
      </c>
      <c r="AF1761" t="s">
        <v>2212</v>
      </c>
      <c r="AG1761" t="s">
        <v>2212</v>
      </c>
      <c r="AH1761" t="s">
        <v>325</v>
      </c>
      <c r="AI1761">
        <v>99999</v>
      </c>
      <c r="AJ1761">
        <v>99999</v>
      </c>
      <c r="AK1761">
        <v>699</v>
      </c>
      <c r="AL1761" t="b">
        <v>1</v>
      </c>
      <c r="AM1761" t="b">
        <v>1</v>
      </c>
      <c r="AN1761" t="b">
        <v>0</v>
      </c>
      <c r="AO1761">
        <v>99999</v>
      </c>
      <c r="AP1761" t="s">
        <v>64</v>
      </c>
      <c r="AR1761" t="b">
        <v>0</v>
      </c>
      <c r="AS1761">
        <v>12</v>
      </c>
      <c r="AT1761" t="s">
        <v>327</v>
      </c>
      <c r="AV1761" t="s">
        <v>2213</v>
      </c>
    </row>
    <row r="1762" spans="1:48" x14ac:dyDescent="0.25">
      <c r="A1762" t="s">
        <v>3323</v>
      </c>
      <c r="B1762" t="s">
        <v>302</v>
      </c>
      <c r="C1762" t="s">
        <v>62</v>
      </c>
      <c r="D1762">
        <v>99999</v>
      </c>
      <c r="F1762" s="109">
        <v>4000</v>
      </c>
      <c r="G1762" t="b">
        <v>0</v>
      </c>
      <c r="H1762" t="s">
        <v>315</v>
      </c>
      <c r="K1762" t="s">
        <v>364</v>
      </c>
      <c r="L1762" t="s">
        <v>303</v>
      </c>
      <c r="M1762" t="s">
        <v>323</v>
      </c>
      <c r="N1762" t="s">
        <v>63</v>
      </c>
      <c r="O1762" s="110">
        <v>49.9</v>
      </c>
      <c r="R1762" s="110">
        <v>274.99</v>
      </c>
      <c r="S1762" s="110">
        <v>130</v>
      </c>
      <c r="T1762" s="110">
        <v>0</v>
      </c>
      <c r="U1762" s="110">
        <v>42.99</v>
      </c>
      <c r="X1762">
        <v>52.099999999999994</v>
      </c>
      <c r="Y1762">
        <v>49.9</v>
      </c>
      <c r="Z1762">
        <v>49.9</v>
      </c>
      <c r="AA1762">
        <v>0</v>
      </c>
      <c r="AB1762" t="s">
        <v>363</v>
      </c>
      <c r="AF1762" t="s">
        <v>2286</v>
      </c>
      <c r="AG1762" t="s">
        <v>2286</v>
      </c>
      <c r="AH1762" t="s">
        <v>325</v>
      </c>
      <c r="AI1762">
        <v>99999</v>
      </c>
      <c r="AJ1762">
        <v>99999</v>
      </c>
      <c r="AK1762">
        <v>699</v>
      </c>
      <c r="AL1762" t="b">
        <v>1</v>
      </c>
      <c r="AM1762" t="b">
        <v>1</v>
      </c>
      <c r="AN1762" t="b">
        <v>0</v>
      </c>
      <c r="AO1762">
        <v>99999</v>
      </c>
      <c r="AP1762" t="s">
        <v>64</v>
      </c>
      <c r="AR1762" t="b">
        <v>0</v>
      </c>
      <c r="AS1762">
        <v>12</v>
      </c>
      <c r="AT1762" t="s">
        <v>327</v>
      </c>
      <c r="AV1762" t="s">
        <v>2287</v>
      </c>
    </row>
    <row r="1763" spans="1:48" x14ac:dyDescent="0.25">
      <c r="A1763" t="s">
        <v>3323</v>
      </c>
      <c r="B1763" t="s">
        <v>302</v>
      </c>
      <c r="C1763" t="s">
        <v>62</v>
      </c>
      <c r="D1763">
        <v>99999</v>
      </c>
      <c r="F1763" s="109">
        <v>4000</v>
      </c>
      <c r="G1763" t="b">
        <v>0</v>
      </c>
      <c r="H1763" t="s">
        <v>315</v>
      </c>
      <c r="K1763" t="s">
        <v>364</v>
      </c>
      <c r="L1763" t="s">
        <v>303</v>
      </c>
      <c r="M1763" t="s">
        <v>323</v>
      </c>
      <c r="N1763" t="s">
        <v>63</v>
      </c>
      <c r="O1763" s="110">
        <v>49.9</v>
      </c>
      <c r="R1763" s="110">
        <v>289.99</v>
      </c>
      <c r="S1763" s="110">
        <v>130</v>
      </c>
      <c r="T1763" s="110">
        <v>0</v>
      </c>
      <c r="U1763" s="110">
        <v>42.99</v>
      </c>
      <c r="X1763">
        <v>67.099999999999994</v>
      </c>
      <c r="Y1763">
        <v>49.9</v>
      </c>
      <c r="Z1763">
        <v>49.9</v>
      </c>
      <c r="AA1763">
        <v>0</v>
      </c>
      <c r="AB1763" t="s">
        <v>363</v>
      </c>
      <c r="AF1763" t="s">
        <v>2353</v>
      </c>
      <c r="AG1763" t="s">
        <v>2353</v>
      </c>
      <c r="AH1763" t="s">
        <v>325</v>
      </c>
      <c r="AI1763">
        <v>99999</v>
      </c>
      <c r="AJ1763">
        <v>99999</v>
      </c>
      <c r="AK1763">
        <v>699</v>
      </c>
      <c r="AL1763" t="b">
        <v>1</v>
      </c>
      <c r="AM1763" t="b">
        <v>1</v>
      </c>
      <c r="AN1763" t="b">
        <v>0</v>
      </c>
      <c r="AO1763">
        <v>99999</v>
      </c>
      <c r="AP1763" t="s">
        <v>64</v>
      </c>
      <c r="AR1763" t="b">
        <v>0</v>
      </c>
      <c r="AS1763">
        <v>12</v>
      </c>
      <c r="AT1763" t="s">
        <v>327</v>
      </c>
      <c r="AV1763" t="s">
        <v>2354</v>
      </c>
    </row>
    <row r="1764" spans="1:48" x14ac:dyDescent="0.25">
      <c r="A1764" t="s">
        <v>3323</v>
      </c>
      <c r="B1764" t="s">
        <v>302</v>
      </c>
      <c r="C1764" t="s">
        <v>62</v>
      </c>
      <c r="D1764">
        <v>99999</v>
      </c>
      <c r="F1764" s="109">
        <v>4000</v>
      </c>
      <c r="G1764" t="b">
        <v>0</v>
      </c>
      <c r="H1764" t="s">
        <v>315</v>
      </c>
      <c r="K1764" t="s">
        <v>364</v>
      </c>
      <c r="L1764" t="s">
        <v>303</v>
      </c>
      <c r="M1764" t="s">
        <v>323</v>
      </c>
      <c r="N1764" t="s">
        <v>63</v>
      </c>
      <c r="O1764" s="110">
        <v>49.9</v>
      </c>
      <c r="R1764" s="110">
        <v>284.99</v>
      </c>
      <c r="S1764" s="110">
        <v>130</v>
      </c>
      <c r="T1764" s="110">
        <v>0</v>
      </c>
      <c r="U1764" s="110">
        <v>42.99</v>
      </c>
      <c r="X1764">
        <v>62.099999999999994</v>
      </c>
      <c r="Y1764">
        <v>49.9</v>
      </c>
      <c r="Z1764">
        <v>49.9</v>
      </c>
      <c r="AA1764">
        <v>0</v>
      </c>
      <c r="AB1764" t="s">
        <v>363</v>
      </c>
      <c r="AF1764" t="s">
        <v>2420</v>
      </c>
      <c r="AG1764" t="s">
        <v>2420</v>
      </c>
      <c r="AH1764" t="s">
        <v>325</v>
      </c>
      <c r="AI1764">
        <v>99999</v>
      </c>
      <c r="AJ1764">
        <v>99999</v>
      </c>
      <c r="AK1764">
        <v>699</v>
      </c>
      <c r="AL1764" t="b">
        <v>1</v>
      </c>
      <c r="AM1764" t="b">
        <v>1</v>
      </c>
      <c r="AN1764" t="b">
        <v>0</v>
      </c>
      <c r="AO1764">
        <v>99999</v>
      </c>
      <c r="AP1764" t="s">
        <v>64</v>
      </c>
      <c r="AR1764" t="b">
        <v>0</v>
      </c>
      <c r="AS1764">
        <v>12</v>
      </c>
      <c r="AT1764" t="s">
        <v>327</v>
      </c>
      <c r="AV1764" t="s">
        <v>2421</v>
      </c>
    </row>
    <row r="1765" spans="1:48" x14ac:dyDescent="0.25">
      <c r="A1765" t="s">
        <v>3323</v>
      </c>
      <c r="B1765" t="s">
        <v>302</v>
      </c>
      <c r="C1765" t="s">
        <v>62</v>
      </c>
      <c r="D1765">
        <v>99999</v>
      </c>
      <c r="F1765" s="109">
        <v>4000</v>
      </c>
      <c r="G1765" t="b">
        <v>0</v>
      </c>
      <c r="H1765" t="s">
        <v>315</v>
      </c>
      <c r="K1765" t="s">
        <v>379</v>
      </c>
      <c r="L1765" t="s">
        <v>303</v>
      </c>
      <c r="M1765" t="s">
        <v>323</v>
      </c>
      <c r="N1765" t="s">
        <v>63</v>
      </c>
      <c r="O1765">
        <v>29.9</v>
      </c>
      <c r="R1765">
        <v>194.89</v>
      </c>
      <c r="S1765">
        <v>39.9</v>
      </c>
      <c r="T1765" s="110">
        <v>0</v>
      </c>
      <c r="U1765">
        <v>42.99</v>
      </c>
      <c r="X1765">
        <v>52.099999999999994</v>
      </c>
      <c r="Y1765">
        <v>59.9</v>
      </c>
      <c r="Z1765">
        <v>59.9</v>
      </c>
      <c r="AA1765">
        <v>0</v>
      </c>
      <c r="AB1765" t="s">
        <v>363</v>
      </c>
      <c r="AF1765" t="s">
        <v>365</v>
      </c>
      <c r="AG1765" t="s">
        <v>365</v>
      </c>
      <c r="AH1765" t="s">
        <v>325</v>
      </c>
      <c r="AI1765">
        <v>99999</v>
      </c>
      <c r="AJ1765">
        <v>99999</v>
      </c>
      <c r="AK1765">
        <v>699</v>
      </c>
      <c r="AL1765" t="b">
        <v>1</v>
      </c>
      <c r="AM1765" t="b">
        <v>1</v>
      </c>
      <c r="AN1765" t="b">
        <v>0</v>
      </c>
      <c r="AO1765">
        <v>99999</v>
      </c>
      <c r="AP1765" t="s">
        <v>64</v>
      </c>
      <c r="AR1765" t="b">
        <v>0</v>
      </c>
      <c r="AS1765">
        <v>12</v>
      </c>
      <c r="AT1765" t="s">
        <v>327</v>
      </c>
      <c r="AV1765" t="s">
        <v>380</v>
      </c>
    </row>
    <row r="1766" spans="1:48" x14ac:dyDescent="0.25">
      <c r="A1766" t="s">
        <v>3323</v>
      </c>
      <c r="B1766" t="s">
        <v>302</v>
      </c>
      <c r="C1766" t="s">
        <v>62</v>
      </c>
      <c r="D1766">
        <v>99999</v>
      </c>
      <c r="F1766" s="109">
        <v>4000</v>
      </c>
      <c r="G1766" t="b">
        <v>0</v>
      </c>
      <c r="H1766" t="s">
        <v>315</v>
      </c>
      <c r="K1766" t="s">
        <v>379</v>
      </c>
      <c r="L1766" t="s">
        <v>303</v>
      </c>
      <c r="M1766" t="s">
        <v>323</v>
      </c>
      <c r="N1766" t="s">
        <v>63</v>
      </c>
      <c r="O1766" s="110">
        <v>29.9</v>
      </c>
      <c r="R1766" s="110">
        <v>209.89</v>
      </c>
      <c r="S1766" s="110">
        <v>39.9</v>
      </c>
      <c r="T1766" s="110">
        <v>0</v>
      </c>
      <c r="U1766" s="110">
        <v>42.99</v>
      </c>
      <c r="X1766">
        <v>67.099999999999994</v>
      </c>
      <c r="Y1766">
        <v>59.9</v>
      </c>
      <c r="Z1766">
        <v>59.9</v>
      </c>
      <c r="AA1766">
        <v>0</v>
      </c>
      <c r="AB1766" t="s">
        <v>363</v>
      </c>
      <c r="AF1766" t="s">
        <v>501</v>
      </c>
      <c r="AG1766" t="s">
        <v>501</v>
      </c>
      <c r="AH1766" t="s">
        <v>325</v>
      </c>
      <c r="AI1766">
        <v>99999</v>
      </c>
      <c r="AJ1766">
        <v>99999</v>
      </c>
      <c r="AK1766">
        <v>699</v>
      </c>
      <c r="AL1766" t="b">
        <v>1</v>
      </c>
      <c r="AM1766" t="b">
        <v>1</v>
      </c>
      <c r="AN1766" t="b">
        <v>0</v>
      </c>
      <c r="AO1766">
        <v>99999</v>
      </c>
      <c r="AP1766" t="s">
        <v>64</v>
      </c>
      <c r="AR1766" t="b">
        <v>0</v>
      </c>
      <c r="AS1766">
        <v>12</v>
      </c>
      <c r="AT1766" t="s">
        <v>327</v>
      </c>
      <c r="AV1766" t="s">
        <v>515</v>
      </c>
    </row>
    <row r="1767" spans="1:48" x14ac:dyDescent="0.25">
      <c r="A1767" t="s">
        <v>3323</v>
      </c>
      <c r="B1767" t="s">
        <v>302</v>
      </c>
      <c r="C1767" t="s">
        <v>62</v>
      </c>
      <c r="D1767">
        <v>99999</v>
      </c>
      <c r="F1767" s="109">
        <v>4000</v>
      </c>
      <c r="G1767" t="b">
        <v>0</v>
      </c>
      <c r="H1767" t="s">
        <v>315</v>
      </c>
      <c r="K1767" t="s">
        <v>379</v>
      </c>
      <c r="L1767" t="s">
        <v>303</v>
      </c>
      <c r="M1767" t="s">
        <v>323</v>
      </c>
      <c r="N1767" t="s">
        <v>63</v>
      </c>
      <c r="O1767">
        <v>29.9</v>
      </c>
      <c r="R1767">
        <v>224.89</v>
      </c>
      <c r="S1767">
        <v>59.9</v>
      </c>
      <c r="T1767" s="110">
        <v>0</v>
      </c>
      <c r="U1767">
        <v>42.99</v>
      </c>
      <c r="X1767">
        <v>62.099999999999994</v>
      </c>
      <c r="Y1767">
        <v>59.9</v>
      </c>
      <c r="Z1767">
        <v>59.9</v>
      </c>
      <c r="AA1767">
        <v>0</v>
      </c>
      <c r="AB1767" t="s">
        <v>363</v>
      </c>
      <c r="AF1767" t="s">
        <v>635</v>
      </c>
      <c r="AG1767" t="s">
        <v>635</v>
      </c>
      <c r="AH1767" t="s">
        <v>325</v>
      </c>
      <c r="AI1767">
        <v>99999</v>
      </c>
      <c r="AJ1767">
        <v>99999</v>
      </c>
      <c r="AK1767">
        <v>699</v>
      </c>
      <c r="AL1767" t="b">
        <v>1</v>
      </c>
      <c r="AM1767" t="b">
        <v>1</v>
      </c>
      <c r="AN1767" t="b">
        <v>0</v>
      </c>
      <c r="AO1767">
        <v>99999</v>
      </c>
      <c r="AP1767" t="s">
        <v>64</v>
      </c>
      <c r="AR1767" t="b">
        <v>0</v>
      </c>
      <c r="AS1767">
        <v>12</v>
      </c>
      <c r="AT1767" t="s">
        <v>327</v>
      </c>
      <c r="AV1767" t="s">
        <v>649</v>
      </c>
    </row>
    <row r="1768" spans="1:48" x14ac:dyDescent="0.25">
      <c r="A1768" t="s">
        <v>3323</v>
      </c>
      <c r="B1768" t="s">
        <v>302</v>
      </c>
      <c r="C1768" t="s">
        <v>62</v>
      </c>
      <c r="D1768">
        <v>99999</v>
      </c>
      <c r="F1768" s="109">
        <v>4000</v>
      </c>
      <c r="G1768" t="b">
        <v>0</v>
      </c>
      <c r="H1768" t="s">
        <v>315</v>
      </c>
      <c r="K1768" t="s">
        <v>379</v>
      </c>
      <c r="L1768" t="s">
        <v>303</v>
      </c>
      <c r="M1768" t="s">
        <v>323</v>
      </c>
      <c r="N1768" t="s">
        <v>63</v>
      </c>
      <c r="O1768" s="110">
        <v>39.9</v>
      </c>
      <c r="R1768" s="110">
        <v>194.89</v>
      </c>
      <c r="S1768" s="110">
        <v>39.9</v>
      </c>
      <c r="T1768" s="110">
        <v>0</v>
      </c>
      <c r="U1768" s="110">
        <v>42.99</v>
      </c>
      <c r="X1768">
        <v>52.099999999999994</v>
      </c>
      <c r="Y1768">
        <v>59.9</v>
      </c>
      <c r="Z1768">
        <v>59.9</v>
      </c>
      <c r="AA1768">
        <v>0</v>
      </c>
      <c r="AB1768" t="s">
        <v>363</v>
      </c>
      <c r="AF1768" t="s">
        <v>434</v>
      </c>
      <c r="AG1768" t="s">
        <v>434</v>
      </c>
      <c r="AH1768" t="s">
        <v>325</v>
      </c>
      <c r="AI1768">
        <v>99999</v>
      </c>
      <c r="AJ1768">
        <v>99999</v>
      </c>
      <c r="AK1768">
        <v>699</v>
      </c>
      <c r="AL1768" t="b">
        <v>1</v>
      </c>
      <c r="AM1768" t="b">
        <v>1</v>
      </c>
      <c r="AN1768" t="b">
        <v>0</v>
      </c>
      <c r="AO1768">
        <v>99999</v>
      </c>
      <c r="AP1768" t="s">
        <v>64</v>
      </c>
      <c r="AR1768" t="b">
        <v>0</v>
      </c>
      <c r="AS1768">
        <v>12</v>
      </c>
      <c r="AT1768" t="s">
        <v>327</v>
      </c>
      <c r="AV1768" t="s">
        <v>448</v>
      </c>
    </row>
    <row r="1769" spans="1:48" x14ac:dyDescent="0.25">
      <c r="A1769" t="s">
        <v>3323</v>
      </c>
      <c r="B1769" t="s">
        <v>302</v>
      </c>
      <c r="C1769" t="s">
        <v>62</v>
      </c>
      <c r="D1769">
        <v>99999</v>
      </c>
      <c r="F1769" s="109">
        <v>4000</v>
      </c>
      <c r="G1769" t="b">
        <v>0</v>
      </c>
      <c r="H1769" t="s">
        <v>315</v>
      </c>
      <c r="K1769" t="s">
        <v>379</v>
      </c>
      <c r="L1769" t="s">
        <v>303</v>
      </c>
      <c r="M1769" t="s">
        <v>323</v>
      </c>
      <c r="N1769" t="s">
        <v>63</v>
      </c>
      <c r="O1769">
        <v>39.9</v>
      </c>
      <c r="R1769">
        <v>209.89</v>
      </c>
      <c r="S1769">
        <v>39.9</v>
      </c>
      <c r="T1769" s="110">
        <v>0</v>
      </c>
      <c r="U1769">
        <v>42.99</v>
      </c>
      <c r="X1769">
        <v>67.099999999999994</v>
      </c>
      <c r="Y1769">
        <v>59.9</v>
      </c>
      <c r="Z1769">
        <v>59.9</v>
      </c>
      <c r="AA1769">
        <v>0</v>
      </c>
      <c r="AB1769" t="s">
        <v>363</v>
      </c>
      <c r="AF1769" t="s">
        <v>568</v>
      </c>
      <c r="AG1769" t="s">
        <v>568</v>
      </c>
      <c r="AH1769" t="s">
        <v>325</v>
      </c>
      <c r="AI1769">
        <v>99999</v>
      </c>
      <c r="AJ1769">
        <v>99999</v>
      </c>
      <c r="AK1769">
        <v>699</v>
      </c>
      <c r="AL1769" t="b">
        <v>1</v>
      </c>
      <c r="AM1769" t="b">
        <v>1</v>
      </c>
      <c r="AN1769" t="b">
        <v>0</v>
      </c>
      <c r="AO1769">
        <v>99999</v>
      </c>
      <c r="AP1769" t="s">
        <v>64</v>
      </c>
      <c r="AR1769" t="b">
        <v>0</v>
      </c>
      <c r="AS1769">
        <v>12</v>
      </c>
      <c r="AT1769" t="s">
        <v>327</v>
      </c>
      <c r="AV1769" t="s">
        <v>582</v>
      </c>
    </row>
    <row r="1770" spans="1:48" x14ac:dyDescent="0.25">
      <c r="A1770" t="s">
        <v>3323</v>
      </c>
      <c r="B1770" t="s">
        <v>302</v>
      </c>
      <c r="C1770" t="s">
        <v>62</v>
      </c>
      <c r="D1770">
        <v>99999</v>
      </c>
      <c r="F1770" s="109">
        <v>4000</v>
      </c>
      <c r="G1770" t="b">
        <v>0</v>
      </c>
      <c r="H1770" t="s">
        <v>315</v>
      </c>
      <c r="K1770" t="s">
        <v>379</v>
      </c>
      <c r="L1770" t="s">
        <v>303</v>
      </c>
      <c r="M1770" t="s">
        <v>323</v>
      </c>
      <c r="N1770" t="s">
        <v>63</v>
      </c>
      <c r="O1770">
        <v>39.9</v>
      </c>
      <c r="R1770">
        <v>224.89</v>
      </c>
      <c r="S1770">
        <v>59.9</v>
      </c>
      <c r="T1770" s="110">
        <v>0</v>
      </c>
      <c r="U1770">
        <v>42.99</v>
      </c>
      <c r="X1770">
        <v>62.099999999999994</v>
      </c>
      <c r="Y1770">
        <v>59.9</v>
      </c>
      <c r="Z1770">
        <v>59.9</v>
      </c>
      <c r="AA1770">
        <v>0</v>
      </c>
      <c r="AB1770" t="s">
        <v>363</v>
      </c>
      <c r="AF1770" t="s">
        <v>702</v>
      </c>
      <c r="AG1770" t="s">
        <v>702</v>
      </c>
      <c r="AH1770" t="s">
        <v>325</v>
      </c>
      <c r="AI1770">
        <v>99999</v>
      </c>
      <c r="AJ1770">
        <v>99999</v>
      </c>
      <c r="AK1770">
        <v>699</v>
      </c>
      <c r="AL1770" t="b">
        <v>1</v>
      </c>
      <c r="AM1770" t="b">
        <v>1</v>
      </c>
      <c r="AN1770" t="b">
        <v>0</v>
      </c>
      <c r="AO1770">
        <v>99999</v>
      </c>
      <c r="AP1770" t="s">
        <v>64</v>
      </c>
      <c r="AR1770" t="b">
        <v>0</v>
      </c>
      <c r="AS1770">
        <v>12</v>
      </c>
      <c r="AT1770" t="s">
        <v>327</v>
      </c>
      <c r="AV1770" t="s">
        <v>716</v>
      </c>
    </row>
    <row r="1771" spans="1:48" x14ac:dyDescent="0.25">
      <c r="A1771" t="s">
        <v>3323</v>
      </c>
      <c r="B1771" t="s">
        <v>302</v>
      </c>
      <c r="C1771" t="s">
        <v>62</v>
      </c>
      <c r="D1771">
        <v>99999</v>
      </c>
      <c r="F1771" s="109">
        <v>4000</v>
      </c>
      <c r="G1771" t="b">
        <v>0</v>
      </c>
      <c r="H1771" t="s">
        <v>315</v>
      </c>
      <c r="K1771" t="s">
        <v>379</v>
      </c>
      <c r="L1771" t="s">
        <v>303</v>
      </c>
      <c r="M1771" t="s">
        <v>323</v>
      </c>
      <c r="N1771" t="s">
        <v>63</v>
      </c>
      <c r="O1771" s="110">
        <v>49.9</v>
      </c>
      <c r="R1771" s="110">
        <v>270.68999999999994</v>
      </c>
      <c r="S1771" s="110">
        <v>130</v>
      </c>
      <c r="T1771" s="110">
        <v>0</v>
      </c>
      <c r="U1771" s="110">
        <v>34.99</v>
      </c>
      <c r="X1771">
        <v>45.799999999999983</v>
      </c>
      <c r="Y1771">
        <v>59.9</v>
      </c>
      <c r="Z1771">
        <v>59.9</v>
      </c>
      <c r="AA1771">
        <v>0</v>
      </c>
      <c r="AB1771" t="s">
        <v>363</v>
      </c>
      <c r="AF1771" t="s">
        <v>2212</v>
      </c>
      <c r="AG1771" t="s">
        <v>2212</v>
      </c>
      <c r="AH1771" t="s">
        <v>325</v>
      </c>
      <c r="AI1771">
        <v>99999</v>
      </c>
      <c r="AJ1771">
        <v>99999</v>
      </c>
      <c r="AK1771">
        <v>699</v>
      </c>
      <c r="AL1771" t="b">
        <v>1</v>
      </c>
      <c r="AM1771" t="b">
        <v>1</v>
      </c>
      <c r="AN1771" t="b">
        <v>0</v>
      </c>
      <c r="AO1771">
        <v>99999</v>
      </c>
      <c r="AP1771" t="s">
        <v>64</v>
      </c>
      <c r="AR1771" t="b">
        <v>0</v>
      </c>
      <c r="AS1771">
        <v>12</v>
      </c>
      <c r="AT1771" t="s">
        <v>327</v>
      </c>
      <c r="AV1771" t="s">
        <v>2226</v>
      </c>
    </row>
    <row r="1772" spans="1:48" x14ac:dyDescent="0.25">
      <c r="A1772" t="s">
        <v>3323</v>
      </c>
      <c r="B1772" t="s">
        <v>302</v>
      </c>
      <c r="C1772" t="s">
        <v>62</v>
      </c>
      <c r="D1772">
        <v>99999</v>
      </c>
      <c r="F1772" s="109">
        <v>4000</v>
      </c>
      <c r="G1772" t="b">
        <v>0</v>
      </c>
      <c r="H1772" t="s">
        <v>315</v>
      </c>
      <c r="K1772" t="s">
        <v>379</v>
      </c>
      <c r="L1772" t="s">
        <v>303</v>
      </c>
      <c r="M1772" t="s">
        <v>323</v>
      </c>
      <c r="N1772" t="s">
        <v>63</v>
      </c>
      <c r="O1772" s="110">
        <v>49.9</v>
      </c>
      <c r="R1772" s="110">
        <v>284.99</v>
      </c>
      <c r="S1772" s="110">
        <v>130</v>
      </c>
      <c r="T1772" s="110">
        <v>0</v>
      </c>
      <c r="U1772" s="110">
        <v>42.99</v>
      </c>
      <c r="X1772">
        <v>52.099999999999994</v>
      </c>
      <c r="Y1772">
        <v>59.9</v>
      </c>
      <c r="Z1772">
        <v>59.9</v>
      </c>
      <c r="AA1772">
        <v>0</v>
      </c>
      <c r="AB1772" t="s">
        <v>363</v>
      </c>
      <c r="AF1772" t="s">
        <v>2286</v>
      </c>
      <c r="AG1772" t="s">
        <v>2286</v>
      </c>
      <c r="AH1772" t="s">
        <v>325</v>
      </c>
      <c r="AI1772">
        <v>99999</v>
      </c>
      <c r="AJ1772">
        <v>99999</v>
      </c>
      <c r="AK1772">
        <v>699</v>
      </c>
      <c r="AL1772" t="b">
        <v>1</v>
      </c>
      <c r="AM1772" t="b">
        <v>1</v>
      </c>
      <c r="AN1772" t="b">
        <v>0</v>
      </c>
      <c r="AO1772">
        <v>99999</v>
      </c>
      <c r="AP1772" t="s">
        <v>64</v>
      </c>
      <c r="AR1772" t="b">
        <v>0</v>
      </c>
      <c r="AS1772">
        <v>12</v>
      </c>
      <c r="AT1772" t="s">
        <v>327</v>
      </c>
      <c r="AV1772" t="s">
        <v>2300</v>
      </c>
    </row>
    <row r="1773" spans="1:48" x14ac:dyDescent="0.25">
      <c r="A1773" t="s">
        <v>3323</v>
      </c>
      <c r="B1773" t="s">
        <v>302</v>
      </c>
      <c r="C1773" t="s">
        <v>62</v>
      </c>
      <c r="D1773">
        <v>99999</v>
      </c>
      <c r="F1773" s="109">
        <v>4000</v>
      </c>
      <c r="G1773" t="b">
        <v>0</v>
      </c>
      <c r="H1773" t="s">
        <v>315</v>
      </c>
      <c r="K1773" t="s">
        <v>379</v>
      </c>
      <c r="L1773" t="s">
        <v>303</v>
      </c>
      <c r="M1773" t="s">
        <v>323</v>
      </c>
      <c r="N1773" t="s">
        <v>63</v>
      </c>
      <c r="O1773" s="110">
        <v>49.9</v>
      </c>
      <c r="R1773" s="110">
        <v>299.99</v>
      </c>
      <c r="S1773" s="110">
        <v>130</v>
      </c>
      <c r="T1773" s="110">
        <v>0</v>
      </c>
      <c r="U1773" s="110">
        <v>42.99</v>
      </c>
      <c r="X1773">
        <v>67.099999999999994</v>
      </c>
      <c r="Y1773">
        <v>59.9</v>
      </c>
      <c r="Z1773">
        <v>59.9</v>
      </c>
      <c r="AA1773">
        <v>0</v>
      </c>
      <c r="AB1773" t="s">
        <v>363</v>
      </c>
      <c r="AF1773" t="s">
        <v>2353</v>
      </c>
      <c r="AG1773" t="s">
        <v>2353</v>
      </c>
      <c r="AH1773" t="s">
        <v>325</v>
      </c>
      <c r="AI1773">
        <v>99999</v>
      </c>
      <c r="AJ1773">
        <v>99999</v>
      </c>
      <c r="AK1773">
        <v>699</v>
      </c>
      <c r="AL1773" t="b">
        <v>1</v>
      </c>
      <c r="AM1773" t="b">
        <v>1</v>
      </c>
      <c r="AN1773" t="b">
        <v>0</v>
      </c>
      <c r="AO1773">
        <v>99999</v>
      </c>
      <c r="AP1773" t="s">
        <v>64</v>
      </c>
      <c r="AR1773" t="b">
        <v>0</v>
      </c>
      <c r="AS1773">
        <v>12</v>
      </c>
      <c r="AT1773" t="s">
        <v>327</v>
      </c>
      <c r="AV1773" t="s">
        <v>2367</v>
      </c>
    </row>
    <row r="1774" spans="1:48" x14ac:dyDescent="0.25">
      <c r="A1774" t="s">
        <v>3323</v>
      </c>
      <c r="B1774" t="s">
        <v>302</v>
      </c>
      <c r="C1774" t="s">
        <v>62</v>
      </c>
      <c r="D1774">
        <v>99999</v>
      </c>
      <c r="F1774" s="109">
        <v>4000</v>
      </c>
      <c r="G1774" t="b">
        <v>0</v>
      </c>
      <c r="H1774" t="s">
        <v>315</v>
      </c>
      <c r="K1774" t="s">
        <v>379</v>
      </c>
      <c r="L1774" t="s">
        <v>303</v>
      </c>
      <c r="M1774" t="s">
        <v>323</v>
      </c>
      <c r="N1774" t="s">
        <v>63</v>
      </c>
      <c r="O1774" s="110">
        <v>49.9</v>
      </c>
      <c r="R1774" s="110">
        <v>294.99</v>
      </c>
      <c r="S1774" s="110">
        <v>130</v>
      </c>
      <c r="T1774" s="110">
        <v>0</v>
      </c>
      <c r="U1774" s="110">
        <v>42.99</v>
      </c>
      <c r="X1774">
        <v>62.099999999999994</v>
      </c>
      <c r="Y1774">
        <v>59.9</v>
      </c>
      <c r="Z1774">
        <v>59.9</v>
      </c>
      <c r="AA1774">
        <v>0</v>
      </c>
      <c r="AB1774" t="s">
        <v>363</v>
      </c>
      <c r="AF1774" t="s">
        <v>2420</v>
      </c>
      <c r="AG1774" t="s">
        <v>2420</v>
      </c>
      <c r="AH1774" t="s">
        <v>325</v>
      </c>
      <c r="AI1774">
        <v>99999</v>
      </c>
      <c r="AJ1774">
        <v>99999</v>
      </c>
      <c r="AK1774">
        <v>699</v>
      </c>
      <c r="AL1774" t="b">
        <v>1</v>
      </c>
      <c r="AM1774" t="b">
        <v>1</v>
      </c>
      <c r="AN1774" t="b">
        <v>0</v>
      </c>
      <c r="AO1774">
        <v>99999</v>
      </c>
      <c r="AP1774" t="s">
        <v>64</v>
      </c>
      <c r="AR1774" t="b">
        <v>0</v>
      </c>
      <c r="AS1774">
        <v>12</v>
      </c>
      <c r="AT1774" t="s">
        <v>327</v>
      </c>
      <c r="AV1774" t="s">
        <v>2434</v>
      </c>
    </row>
    <row r="1775" spans="1:48" x14ac:dyDescent="0.25">
      <c r="A1775" t="s">
        <v>3323</v>
      </c>
      <c r="B1775" t="s">
        <v>302</v>
      </c>
      <c r="C1775" t="s">
        <v>62</v>
      </c>
      <c r="D1775">
        <v>99999</v>
      </c>
      <c r="F1775" s="109">
        <v>4000</v>
      </c>
      <c r="G1775" t="b">
        <v>0</v>
      </c>
      <c r="H1775" t="s">
        <v>315</v>
      </c>
      <c r="K1775" t="s">
        <v>61</v>
      </c>
      <c r="L1775" t="s">
        <v>303</v>
      </c>
      <c r="M1775" t="s">
        <v>323</v>
      </c>
      <c r="N1775" t="s">
        <v>63</v>
      </c>
      <c r="O1775">
        <v>29.9</v>
      </c>
      <c r="R1775">
        <v>179.89</v>
      </c>
      <c r="S1775">
        <v>39.9</v>
      </c>
      <c r="T1775" s="110">
        <v>0</v>
      </c>
      <c r="U1775">
        <v>42.99</v>
      </c>
      <c r="X1775">
        <v>52.099999999999994</v>
      </c>
      <c r="Y1775">
        <v>44.9</v>
      </c>
      <c r="Z1775">
        <v>44.9</v>
      </c>
      <c r="AA1775">
        <v>0</v>
      </c>
      <c r="AB1775" t="s">
        <v>324</v>
      </c>
      <c r="AF1775" t="s">
        <v>326</v>
      </c>
      <c r="AG1775" t="s">
        <v>326</v>
      </c>
      <c r="AH1775" t="s">
        <v>325</v>
      </c>
      <c r="AI1775">
        <v>99999</v>
      </c>
      <c r="AJ1775">
        <v>99999</v>
      </c>
      <c r="AK1775">
        <v>699</v>
      </c>
      <c r="AL1775" t="b">
        <v>1</v>
      </c>
      <c r="AM1775" t="b">
        <v>1</v>
      </c>
      <c r="AN1775" t="b">
        <v>0</v>
      </c>
      <c r="AO1775">
        <v>99999</v>
      </c>
      <c r="AP1775" t="s">
        <v>64</v>
      </c>
      <c r="AR1775" t="b">
        <v>0</v>
      </c>
      <c r="AS1775">
        <v>12</v>
      </c>
      <c r="AT1775" t="s">
        <v>327</v>
      </c>
      <c r="AV1775" t="s">
        <v>328</v>
      </c>
    </row>
    <row r="1776" spans="1:48" x14ac:dyDescent="0.25">
      <c r="A1776" t="s">
        <v>3323</v>
      </c>
      <c r="B1776" t="s">
        <v>302</v>
      </c>
      <c r="C1776" t="s">
        <v>62</v>
      </c>
      <c r="D1776">
        <v>99999</v>
      </c>
      <c r="F1776" s="109">
        <v>4000</v>
      </c>
      <c r="G1776" t="b">
        <v>0</v>
      </c>
      <c r="H1776" t="s">
        <v>315</v>
      </c>
      <c r="K1776" t="s">
        <v>61</v>
      </c>
      <c r="L1776" t="s">
        <v>303</v>
      </c>
      <c r="M1776" t="s">
        <v>323</v>
      </c>
      <c r="N1776" t="s">
        <v>63</v>
      </c>
      <c r="O1776">
        <v>29.9</v>
      </c>
      <c r="R1776">
        <v>194.89</v>
      </c>
      <c r="S1776">
        <v>39.9</v>
      </c>
      <c r="T1776" s="110">
        <v>0</v>
      </c>
      <c r="U1776">
        <v>42.99</v>
      </c>
      <c r="X1776">
        <v>67.099999999999994</v>
      </c>
      <c r="Y1776">
        <v>44.9</v>
      </c>
      <c r="Z1776">
        <v>44.9</v>
      </c>
      <c r="AA1776">
        <v>0</v>
      </c>
      <c r="AB1776" t="s">
        <v>324</v>
      </c>
      <c r="AF1776" t="s">
        <v>474</v>
      </c>
      <c r="AG1776" t="s">
        <v>474</v>
      </c>
      <c r="AH1776" t="s">
        <v>325</v>
      </c>
      <c r="AI1776">
        <v>99999</v>
      </c>
      <c r="AJ1776">
        <v>99999</v>
      </c>
      <c r="AK1776">
        <v>699</v>
      </c>
      <c r="AL1776" t="b">
        <v>1</v>
      </c>
      <c r="AM1776" t="b">
        <v>1</v>
      </c>
      <c r="AN1776" t="b">
        <v>0</v>
      </c>
      <c r="AO1776">
        <v>99999</v>
      </c>
      <c r="AP1776" t="s">
        <v>64</v>
      </c>
      <c r="AR1776" t="b">
        <v>0</v>
      </c>
      <c r="AS1776">
        <v>12</v>
      </c>
      <c r="AT1776" t="s">
        <v>327</v>
      </c>
      <c r="AV1776" t="s">
        <v>475</v>
      </c>
    </row>
    <row r="1777" spans="1:48" x14ac:dyDescent="0.25">
      <c r="A1777" t="s">
        <v>3323</v>
      </c>
      <c r="B1777" t="s">
        <v>302</v>
      </c>
      <c r="C1777" t="s">
        <v>62</v>
      </c>
      <c r="D1777">
        <v>99999</v>
      </c>
      <c r="F1777" s="109">
        <v>4000</v>
      </c>
      <c r="G1777" t="b">
        <v>0</v>
      </c>
      <c r="H1777" t="s">
        <v>315</v>
      </c>
      <c r="K1777" t="s">
        <v>61</v>
      </c>
      <c r="L1777" t="s">
        <v>303</v>
      </c>
      <c r="M1777" t="s">
        <v>323</v>
      </c>
      <c r="N1777" t="s">
        <v>63</v>
      </c>
      <c r="O1777">
        <v>29.9</v>
      </c>
      <c r="R1777">
        <v>209.89</v>
      </c>
      <c r="S1777">
        <v>59.9</v>
      </c>
      <c r="T1777" s="110">
        <v>0</v>
      </c>
      <c r="U1777">
        <v>42.99</v>
      </c>
      <c r="X1777">
        <v>62.099999999999994</v>
      </c>
      <c r="Y1777">
        <v>44.9</v>
      </c>
      <c r="Z1777">
        <v>44.9</v>
      </c>
      <c r="AA1777">
        <v>0</v>
      </c>
      <c r="AB1777" t="s">
        <v>324</v>
      </c>
      <c r="AF1777" t="s">
        <v>608</v>
      </c>
      <c r="AG1777" t="s">
        <v>608</v>
      </c>
      <c r="AH1777" t="s">
        <v>325</v>
      </c>
      <c r="AI1777">
        <v>99999</v>
      </c>
      <c r="AJ1777">
        <v>99999</v>
      </c>
      <c r="AK1777">
        <v>699</v>
      </c>
      <c r="AL1777" t="b">
        <v>1</v>
      </c>
      <c r="AM1777" t="b">
        <v>1</v>
      </c>
      <c r="AN1777" t="b">
        <v>0</v>
      </c>
      <c r="AO1777">
        <v>99999</v>
      </c>
      <c r="AP1777" t="s">
        <v>64</v>
      </c>
      <c r="AR1777" t="b">
        <v>0</v>
      </c>
      <c r="AS1777">
        <v>12</v>
      </c>
      <c r="AT1777" t="s">
        <v>327</v>
      </c>
      <c r="AV1777" t="s">
        <v>609</v>
      </c>
    </row>
    <row r="1778" spans="1:48" x14ac:dyDescent="0.25">
      <c r="A1778" t="s">
        <v>3323</v>
      </c>
      <c r="B1778" t="s">
        <v>302</v>
      </c>
      <c r="C1778" t="s">
        <v>62</v>
      </c>
      <c r="D1778">
        <v>99999</v>
      </c>
      <c r="F1778" s="109">
        <v>4000</v>
      </c>
      <c r="G1778" t="b">
        <v>0</v>
      </c>
      <c r="H1778" t="s">
        <v>315</v>
      </c>
      <c r="K1778" t="s">
        <v>61</v>
      </c>
      <c r="L1778" t="s">
        <v>303</v>
      </c>
      <c r="M1778" t="s">
        <v>323</v>
      </c>
      <c r="N1778" t="s">
        <v>63</v>
      </c>
      <c r="O1778" s="110">
        <v>39.9</v>
      </c>
      <c r="R1778" s="110">
        <v>179.89</v>
      </c>
      <c r="S1778" s="110">
        <v>39.9</v>
      </c>
      <c r="T1778" s="110">
        <v>0</v>
      </c>
      <c r="U1778" s="110">
        <v>42.99</v>
      </c>
      <c r="X1778">
        <v>52.099999999999994</v>
      </c>
      <c r="Y1778">
        <v>44.9</v>
      </c>
      <c r="Z1778">
        <v>44.9</v>
      </c>
      <c r="AA1778">
        <v>0</v>
      </c>
      <c r="AB1778" t="s">
        <v>324</v>
      </c>
      <c r="AF1778" t="s">
        <v>407</v>
      </c>
      <c r="AG1778" t="s">
        <v>407</v>
      </c>
      <c r="AH1778" t="s">
        <v>325</v>
      </c>
      <c r="AI1778">
        <v>99999</v>
      </c>
      <c r="AJ1778">
        <v>99999</v>
      </c>
      <c r="AK1778">
        <v>699</v>
      </c>
      <c r="AL1778" t="b">
        <v>1</v>
      </c>
      <c r="AM1778" t="b">
        <v>1</v>
      </c>
      <c r="AN1778" t="b">
        <v>0</v>
      </c>
      <c r="AO1778">
        <v>99999</v>
      </c>
      <c r="AP1778" t="s">
        <v>64</v>
      </c>
      <c r="AR1778" t="b">
        <v>0</v>
      </c>
      <c r="AS1778">
        <v>12</v>
      </c>
      <c r="AT1778" t="s">
        <v>327</v>
      </c>
      <c r="AV1778" t="s">
        <v>408</v>
      </c>
    </row>
    <row r="1779" spans="1:48" x14ac:dyDescent="0.25">
      <c r="A1779" t="s">
        <v>3323</v>
      </c>
      <c r="B1779" t="s">
        <v>302</v>
      </c>
      <c r="C1779" t="s">
        <v>62</v>
      </c>
      <c r="D1779">
        <v>99999</v>
      </c>
      <c r="F1779" s="109">
        <v>4000</v>
      </c>
      <c r="G1779" t="b">
        <v>0</v>
      </c>
      <c r="H1779" t="s">
        <v>315</v>
      </c>
      <c r="K1779" t="s">
        <v>61</v>
      </c>
      <c r="L1779" t="s">
        <v>303</v>
      </c>
      <c r="M1779" t="s">
        <v>323</v>
      </c>
      <c r="N1779" t="s">
        <v>63</v>
      </c>
      <c r="O1779">
        <v>39.9</v>
      </c>
      <c r="R1779">
        <v>194.89</v>
      </c>
      <c r="S1779">
        <v>39.9</v>
      </c>
      <c r="T1779" s="110">
        <v>0</v>
      </c>
      <c r="U1779">
        <v>42.99</v>
      </c>
      <c r="X1779">
        <v>67.099999999999994</v>
      </c>
      <c r="Y1779">
        <v>44.9</v>
      </c>
      <c r="Z1779">
        <v>44.9</v>
      </c>
      <c r="AA1779">
        <v>0</v>
      </c>
      <c r="AB1779" t="s">
        <v>324</v>
      </c>
      <c r="AF1779" t="s">
        <v>541</v>
      </c>
      <c r="AG1779" t="s">
        <v>541</v>
      </c>
      <c r="AH1779" t="s">
        <v>325</v>
      </c>
      <c r="AI1779">
        <v>99999</v>
      </c>
      <c r="AJ1779">
        <v>99999</v>
      </c>
      <c r="AK1779">
        <v>699</v>
      </c>
      <c r="AL1779" t="b">
        <v>1</v>
      </c>
      <c r="AM1779" t="b">
        <v>1</v>
      </c>
      <c r="AN1779" t="b">
        <v>0</v>
      </c>
      <c r="AO1779">
        <v>99999</v>
      </c>
      <c r="AP1779" t="s">
        <v>64</v>
      </c>
      <c r="AR1779" t="b">
        <v>0</v>
      </c>
      <c r="AS1779">
        <v>12</v>
      </c>
      <c r="AT1779" t="s">
        <v>327</v>
      </c>
      <c r="AV1779" t="s">
        <v>542</v>
      </c>
    </row>
    <row r="1780" spans="1:48" x14ac:dyDescent="0.25">
      <c r="A1780" t="s">
        <v>3323</v>
      </c>
      <c r="B1780" t="s">
        <v>302</v>
      </c>
      <c r="C1780" t="s">
        <v>62</v>
      </c>
      <c r="D1780">
        <v>99999</v>
      </c>
      <c r="F1780" s="109">
        <v>4000</v>
      </c>
      <c r="G1780" t="b">
        <v>0</v>
      </c>
      <c r="H1780" t="s">
        <v>315</v>
      </c>
      <c r="K1780" t="s">
        <v>61</v>
      </c>
      <c r="L1780" t="s">
        <v>303</v>
      </c>
      <c r="M1780" t="s">
        <v>323</v>
      </c>
      <c r="N1780" t="s">
        <v>63</v>
      </c>
      <c r="O1780">
        <v>39.9</v>
      </c>
      <c r="R1780">
        <v>209.89</v>
      </c>
      <c r="S1780">
        <v>59.9</v>
      </c>
      <c r="T1780" s="110">
        <v>0</v>
      </c>
      <c r="U1780">
        <v>42.99</v>
      </c>
      <c r="X1780">
        <v>62.099999999999994</v>
      </c>
      <c r="Y1780">
        <v>44.9</v>
      </c>
      <c r="Z1780">
        <v>44.9</v>
      </c>
      <c r="AA1780">
        <v>0</v>
      </c>
      <c r="AB1780" t="s">
        <v>324</v>
      </c>
      <c r="AF1780" t="s">
        <v>675</v>
      </c>
      <c r="AG1780" t="s">
        <v>675</v>
      </c>
      <c r="AH1780" t="s">
        <v>325</v>
      </c>
      <c r="AI1780">
        <v>99999</v>
      </c>
      <c r="AJ1780">
        <v>99999</v>
      </c>
      <c r="AK1780">
        <v>699</v>
      </c>
      <c r="AL1780" t="b">
        <v>1</v>
      </c>
      <c r="AM1780" t="b">
        <v>1</v>
      </c>
      <c r="AN1780" t="b">
        <v>0</v>
      </c>
      <c r="AO1780">
        <v>99999</v>
      </c>
      <c r="AP1780" t="s">
        <v>64</v>
      </c>
      <c r="AR1780" t="b">
        <v>0</v>
      </c>
      <c r="AS1780">
        <v>12</v>
      </c>
      <c r="AT1780" t="s">
        <v>327</v>
      </c>
      <c r="AV1780" t="s">
        <v>676</v>
      </c>
    </row>
    <row r="1781" spans="1:48" x14ac:dyDescent="0.25">
      <c r="A1781" t="s">
        <v>3323</v>
      </c>
      <c r="B1781" t="s">
        <v>302</v>
      </c>
      <c r="C1781" t="s">
        <v>62</v>
      </c>
      <c r="D1781">
        <v>99999</v>
      </c>
      <c r="F1781" s="109">
        <v>4000</v>
      </c>
      <c r="G1781" t="b">
        <v>0</v>
      </c>
      <c r="H1781" t="s">
        <v>315</v>
      </c>
      <c r="K1781" t="s">
        <v>61</v>
      </c>
      <c r="L1781" t="s">
        <v>303</v>
      </c>
      <c r="M1781" t="s">
        <v>323</v>
      </c>
      <c r="N1781" t="s">
        <v>63</v>
      </c>
      <c r="O1781" s="110">
        <v>49.9</v>
      </c>
      <c r="R1781" s="110">
        <v>255.68999999999997</v>
      </c>
      <c r="S1781" s="110">
        <v>130</v>
      </c>
      <c r="T1781" s="110">
        <v>0</v>
      </c>
      <c r="U1781" s="110">
        <v>34.99</v>
      </c>
      <c r="X1781">
        <v>45.799999999999983</v>
      </c>
      <c r="Y1781">
        <v>44.9</v>
      </c>
      <c r="Z1781">
        <v>44.9</v>
      </c>
      <c r="AA1781">
        <v>0</v>
      </c>
      <c r="AB1781" t="s">
        <v>324</v>
      </c>
      <c r="AF1781" t="s">
        <v>2185</v>
      </c>
      <c r="AG1781" t="s">
        <v>2185</v>
      </c>
      <c r="AH1781" t="s">
        <v>325</v>
      </c>
      <c r="AI1781">
        <v>99999</v>
      </c>
      <c r="AJ1781">
        <v>99999</v>
      </c>
      <c r="AK1781">
        <v>699</v>
      </c>
      <c r="AL1781" t="b">
        <v>1</v>
      </c>
      <c r="AM1781" t="b">
        <v>1</v>
      </c>
      <c r="AN1781" t="b">
        <v>0</v>
      </c>
      <c r="AO1781">
        <v>99999</v>
      </c>
      <c r="AP1781" t="s">
        <v>64</v>
      </c>
      <c r="AR1781" t="b">
        <v>0</v>
      </c>
      <c r="AS1781">
        <v>12</v>
      </c>
      <c r="AT1781" t="s">
        <v>327</v>
      </c>
      <c r="AV1781" t="s">
        <v>2186</v>
      </c>
    </row>
    <row r="1782" spans="1:48" x14ac:dyDescent="0.25">
      <c r="A1782" t="s">
        <v>3323</v>
      </c>
      <c r="B1782" t="s">
        <v>302</v>
      </c>
      <c r="C1782" t="s">
        <v>62</v>
      </c>
      <c r="D1782">
        <v>99999</v>
      </c>
      <c r="F1782" s="109">
        <v>4000</v>
      </c>
      <c r="G1782" t="b">
        <v>0</v>
      </c>
      <c r="H1782" t="s">
        <v>315</v>
      </c>
      <c r="K1782" t="s">
        <v>61</v>
      </c>
      <c r="L1782" t="s">
        <v>303</v>
      </c>
      <c r="M1782" t="s">
        <v>323</v>
      </c>
      <c r="N1782" t="s">
        <v>63</v>
      </c>
      <c r="O1782" s="110">
        <v>49.9</v>
      </c>
      <c r="R1782" s="110">
        <v>269.99</v>
      </c>
      <c r="S1782" s="110">
        <v>130</v>
      </c>
      <c r="T1782" s="110">
        <v>0</v>
      </c>
      <c r="U1782" s="110">
        <v>42.99</v>
      </c>
      <c r="X1782">
        <v>52.099999999999994</v>
      </c>
      <c r="Y1782">
        <v>44.9</v>
      </c>
      <c r="Z1782">
        <v>44.9</v>
      </c>
      <c r="AA1782">
        <v>0</v>
      </c>
      <c r="AB1782" t="s">
        <v>324</v>
      </c>
      <c r="AF1782" t="s">
        <v>2259</v>
      </c>
      <c r="AG1782" t="s">
        <v>2259</v>
      </c>
      <c r="AH1782" t="s">
        <v>325</v>
      </c>
      <c r="AI1782">
        <v>99999</v>
      </c>
      <c r="AJ1782">
        <v>99999</v>
      </c>
      <c r="AK1782">
        <v>699</v>
      </c>
      <c r="AL1782" t="b">
        <v>1</v>
      </c>
      <c r="AM1782" t="b">
        <v>1</v>
      </c>
      <c r="AN1782" t="b">
        <v>0</v>
      </c>
      <c r="AO1782">
        <v>99999</v>
      </c>
      <c r="AP1782" t="s">
        <v>64</v>
      </c>
      <c r="AR1782" t="b">
        <v>0</v>
      </c>
      <c r="AS1782">
        <v>12</v>
      </c>
      <c r="AT1782" t="s">
        <v>327</v>
      </c>
      <c r="AV1782" t="s">
        <v>2260</v>
      </c>
    </row>
    <row r="1783" spans="1:48" x14ac:dyDescent="0.25">
      <c r="A1783" t="s">
        <v>3323</v>
      </c>
      <c r="B1783" t="s">
        <v>302</v>
      </c>
      <c r="C1783" t="s">
        <v>62</v>
      </c>
      <c r="D1783">
        <v>99999</v>
      </c>
      <c r="F1783" s="109">
        <v>4000</v>
      </c>
      <c r="G1783" t="b">
        <v>0</v>
      </c>
      <c r="H1783" t="s">
        <v>315</v>
      </c>
      <c r="K1783" t="s">
        <v>61</v>
      </c>
      <c r="L1783" t="s">
        <v>303</v>
      </c>
      <c r="M1783" t="s">
        <v>323</v>
      </c>
      <c r="N1783" t="s">
        <v>63</v>
      </c>
      <c r="O1783" s="110">
        <v>49.9</v>
      </c>
      <c r="R1783" s="110">
        <v>284.99</v>
      </c>
      <c r="S1783" s="110">
        <v>130</v>
      </c>
      <c r="T1783" s="110">
        <v>0</v>
      </c>
      <c r="U1783" s="110">
        <v>42.99</v>
      </c>
      <c r="X1783">
        <v>67.099999999999994</v>
      </c>
      <c r="Y1783">
        <v>44.9</v>
      </c>
      <c r="Z1783">
        <v>44.9</v>
      </c>
      <c r="AA1783">
        <v>0</v>
      </c>
      <c r="AB1783" t="s">
        <v>324</v>
      </c>
      <c r="AF1783" t="s">
        <v>2326</v>
      </c>
      <c r="AG1783" t="s">
        <v>2326</v>
      </c>
      <c r="AH1783" t="s">
        <v>325</v>
      </c>
      <c r="AI1783">
        <v>99999</v>
      </c>
      <c r="AJ1783">
        <v>99999</v>
      </c>
      <c r="AK1783">
        <v>699</v>
      </c>
      <c r="AL1783" t="b">
        <v>1</v>
      </c>
      <c r="AM1783" t="b">
        <v>1</v>
      </c>
      <c r="AN1783" t="b">
        <v>0</v>
      </c>
      <c r="AO1783">
        <v>99999</v>
      </c>
      <c r="AP1783" t="s">
        <v>64</v>
      </c>
      <c r="AR1783" t="b">
        <v>0</v>
      </c>
      <c r="AS1783">
        <v>12</v>
      </c>
      <c r="AT1783" t="s">
        <v>327</v>
      </c>
      <c r="AV1783" t="s">
        <v>2327</v>
      </c>
    </row>
    <row r="1784" spans="1:48" x14ac:dyDescent="0.25">
      <c r="A1784" t="s">
        <v>3323</v>
      </c>
      <c r="B1784" t="s">
        <v>302</v>
      </c>
      <c r="C1784" t="s">
        <v>62</v>
      </c>
      <c r="D1784">
        <v>99999</v>
      </c>
      <c r="F1784" s="109">
        <v>4000</v>
      </c>
      <c r="G1784" t="b">
        <v>0</v>
      </c>
      <c r="H1784" t="s">
        <v>315</v>
      </c>
      <c r="K1784" t="s">
        <v>61</v>
      </c>
      <c r="L1784" t="s">
        <v>303</v>
      </c>
      <c r="M1784" t="s">
        <v>323</v>
      </c>
      <c r="N1784" t="s">
        <v>63</v>
      </c>
      <c r="O1784" s="110">
        <v>49.9</v>
      </c>
      <c r="R1784" s="110">
        <v>279.99</v>
      </c>
      <c r="S1784" s="110">
        <v>130</v>
      </c>
      <c r="T1784" s="110">
        <v>0</v>
      </c>
      <c r="U1784" s="110">
        <v>42.99</v>
      </c>
      <c r="X1784">
        <v>62.099999999999994</v>
      </c>
      <c r="Y1784">
        <v>44.9</v>
      </c>
      <c r="Z1784">
        <v>44.9</v>
      </c>
      <c r="AA1784">
        <v>0</v>
      </c>
      <c r="AB1784" t="s">
        <v>324</v>
      </c>
      <c r="AF1784" t="s">
        <v>2393</v>
      </c>
      <c r="AG1784" t="s">
        <v>2393</v>
      </c>
      <c r="AH1784" t="s">
        <v>325</v>
      </c>
      <c r="AI1784">
        <v>99999</v>
      </c>
      <c r="AJ1784">
        <v>99999</v>
      </c>
      <c r="AK1784">
        <v>699</v>
      </c>
      <c r="AL1784" t="b">
        <v>1</v>
      </c>
      <c r="AM1784" t="b">
        <v>1</v>
      </c>
      <c r="AN1784" t="b">
        <v>0</v>
      </c>
      <c r="AO1784">
        <v>99999</v>
      </c>
      <c r="AP1784" t="s">
        <v>64</v>
      </c>
      <c r="AR1784" t="b">
        <v>0</v>
      </c>
      <c r="AS1784">
        <v>12</v>
      </c>
      <c r="AT1784" t="s">
        <v>327</v>
      </c>
      <c r="AV1784" t="s">
        <v>2394</v>
      </c>
    </row>
    <row r="1785" spans="1:48" x14ac:dyDescent="0.25">
      <c r="A1785" t="s">
        <v>3323</v>
      </c>
      <c r="B1785" t="s">
        <v>302</v>
      </c>
      <c r="C1785" t="s">
        <v>62</v>
      </c>
      <c r="D1785">
        <v>99999</v>
      </c>
      <c r="F1785" s="109">
        <v>4000</v>
      </c>
      <c r="G1785" t="b">
        <v>0</v>
      </c>
      <c r="H1785" t="s">
        <v>343</v>
      </c>
      <c r="K1785" t="s">
        <v>349</v>
      </c>
      <c r="L1785" t="s">
        <v>303</v>
      </c>
      <c r="M1785" t="s">
        <v>323</v>
      </c>
      <c r="N1785" t="s">
        <v>63</v>
      </c>
      <c r="O1785">
        <v>29.9</v>
      </c>
      <c r="R1785">
        <v>289.89</v>
      </c>
      <c r="S1785">
        <v>39.9</v>
      </c>
      <c r="T1785" s="110">
        <v>0</v>
      </c>
      <c r="U1785">
        <v>42.99</v>
      </c>
      <c r="X1785">
        <v>162.1</v>
      </c>
      <c r="Y1785">
        <v>44.9</v>
      </c>
      <c r="Z1785">
        <v>44.9</v>
      </c>
      <c r="AA1785">
        <v>0</v>
      </c>
      <c r="AB1785" t="s">
        <v>324</v>
      </c>
      <c r="AF1785" t="s">
        <v>326</v>
      </c>
      <c r="AG1785" t="s">
        <v>326</v>
      </c>
      <c r="AH1785" t="s">
        <v>325</v>
      </c>
      <c r="AI1785">
        <v>99999</v>
      </c>
      <c r="AJ1785">
        <v>99999</v>
      </c>
      <c r="AK1785">
        <v>699</v>
      </c>
      <c r="AL1785" t="b">
        <v>1</v>
      </c>
      <c r="AM1785" t="b">
        <v>1</v>
      </c>
      <c r="AN1785" t="b">
        <v>0</v>
      </c>
      <c r="AO1785">
        <v>99999</v>
      </c>
      <c r="AP1785" t="s">
        <v>64</v>
      </c>
      <c r="AR1785" t="b">
        <v>0</v>
      </c>
      <c r="AS1785">
        <v>12</v>
      </c>
      <c r="AT1785" t="s">
        <v>327</v>
      </c>
      <c r="AV1785" t="s">
        <v>358</v>
      </c>
    </row>
    <row r="1786" spans="1:48" x14ac:dyDescent="0.25">
      <c r="A1786" t="s">
        <v>3323</v>
      </c>
      <c r="B1786" t="s">
        <v>302</v>
      </c>
      <c r="C1786" t="s">
        <v>62</v>
      </c>
      <c r="D1786">
        <v>99999</v>
      </c>
      <c r="F1786" s="109">
        <v>4000</v>
      </c>
      <c r="G1786" t="b">
        <v>0</v>
      </c>
      <c r="H1786" t="s">
        <v>343</v>
      </c>
      <c r="K1786" t="s">
        <v>349</v>
      </c>
      <c r="L1786" t="s">
        <v>303</v>
      </c>
      <c r="M1786" t="s">
        <v>323</v>
      </c>
      <c r="N1786" t="s">
        <v>63</v>
      </c>
      <c r="O1786">
        <v>29.9</v>
      </c>
      <c r="R1786">
        <v>304.89</v>
      </c>
      <c r="S1786">
        <v>39.9</v>
      </c>
      <c r="T1786" s="110">
        <v>0</v>
      </c>
      <c r="U1786">
        <v>42.99</v>
      </c>
      <c r="X1786">
        <v>177.1</v>
      </c>
      <c r="Y1786">
        <v>44.9</v>
      </c>
      <c r="Z1786">
        <v>44.9</v>
      </c>
      <c r="AA1786">
        <v>0</v>
      </c>
      <c r="AB1786" t="s">
        <v>324</v>
      </c>
      <c r="AF1786" t="s">
        <v>474</v>
      </c>
      <c r="AG1786" t="s">
        <v>474</v>
      </c>
      <c r="AH1786" t="s">
        <v>325</v>
      </c>
      <c r="AI1786">
        <v>99999</v>
      </c>
      <c r="AJ1786">
        <v>99999</v>
      </c>
      <c r="AK1786">
        <v>699</v>
      </c>
      <c r="AL1786" t="b">
        <v>1</v>
      </c>
      <c r="AM1786" t="b">
        <v>1</v>
      </c>
      <c r="AN1786" t="b">
        <v>0</v>
      </c>
      <c r="AO1786">
        <v>99999</v>
      </c>
      <c r="AP1786" t="s">
        <v>64</v>
      </c>
      <c r="AR1786" t="b">
        <v>0</v>
      </c>
      <c r="AS1786">
        <v>12</v>
      </c>
      <c r="AT1786" t="s">
        <v>327</v>
      </c>
      <c r="AV1786" t="s">
        <v>496</v>
      </c>
    </row>
    <row r="1787" spans="1:48" x14ac:dyDescent="0.25">
      <c r="A1787" t="s">
        <v>3323</v>
      </c>
      <c r="B1787" t="s">
        <v>302</v>
      </c>
      <c r="C1787" t="s">
        <v>62</v>
      </c>
      <c r="D1787">
        <v>99999</v>
      </c>
      <c r="F1787" s="109">
        <v>4000</v>
      </c>
      <c r="G1787" t="b">
        <v>0</v>
      </c>
      <c r="H1787" t="s">
        <v>343</v>
      </c>
      <c r="K1787" t="s">
        <v>349</v>
      </c>
      <c r="L1787" t="s">
        <v>303</v>
      </c>
      <c r="M1787" t="s">
        <v>323</v>
      </c>
      <c r="N1787" t="s">
        <v>63</v>
      </c>
      <c r="O1787">
        <v>29.9</v>
      </c>
      <c r="R1787">
        <v>319.89</v>
      </c>
      <c r="S1787">
        <v>59.9</v>
      </c>
      <c r="T1787" s="110">
        <v>0</v>
      </c>
      <c r="U1787">
        <v>42.99</v>
      </c>
      <c r="X1787">
        <v>172.1</v>
      </c>
      <c r="Y1787">
        <v>44.9</v>
      </c>
      <c r="Z1787">
        <v>44.9</v>
      </c>
      <c r="AA1787">
        <v>0</v>
      </c>
      <c r="AB1787" t="s">
        <v>324</v>
      </c>
      <c r="AF1787" t="s">
        <v>608</v>
      </c>
      <c r="AG1787" t="s">
        <v>608</v>
      </c>
      <c r="AH1787" t="s">
        <v>325</v>
      </c>
      <c r="AI1787">
        <v>99999</v>
      </c>
      <c r="AJ1787">
        <v>99999</v>
      </c>
      <c r="AK1787">
        <v>699</v>
      </c>
      <c r="AL1787" t="b">
        <v>1</v>
      </c>
      <c r="AM1787" t="b">
        <v>1</v>
      </c>
      <c r="AN1787" t="b">
        <v>0</v>
      </c>
      <c r="AO1787">
        <v>99999</v>
      </c>
      <c r="AP1787" t="s">
        <v>64</v>
      </c>
      <c r="AR1787" t="b">
        <v>0</v>
      </c>
      <c r="AS1787">
        <v>12</v>
      </c>
      <c r="AT1787" t="s">
        <v>327</v>
      </c>
      <c r="AV1787" t="s">
        <v>630</v>
      </c>
    </row>
    <row r="1788" spans="1:48" x14ac:dyDescent="0.25">
      <c r="A1788" t="s">
        <v>3323</v>
      </c>
      <c r="B1788" t="s">
        <v>302</v>
      </c>
      <c r="C1788" t="s">
        <v>62</v>
      </c>
      <c r="D1788">
        <v>99999</v>
      </c>
      <c r="F1788" s="109">
        <v>4000</v>
      </c>
      <c r="G1788" t="b">
        <v>0</v>
      </c>
      <c r="H1788" t="s">
        <v>343</v>
      </c>
      <c r="K1788" t="s">
        <v>349</v>
      </c>
      <c r="L1788" t="s">
        <v>303</v>
      </c>
      <c r="M1788" t="s">
        <v>323</v>
      </c>
      <c r="N1788" t="s">
        <v>63</v>
      </c>
      <c r="O1788" s="110">
        <v>39.9</v>
      </c>
      <c r="R1788" s="110">
        <v>289.89</v>
      </c>
      <c r="S1788" s="110">
        <v>39.9</v>
      </c>
      <c r="T1788" s="110">
        <v>0</v>
      </c>
      <c r="U1788" s="110">
        <v>42.99</v>
      </c>
      <c r="X1788">
        <v>162.1</v>
      </c>
      <c r="Y1788">
        <v>44.9</v>
      </c>
      <c r="Z1788">
        <v>44.9</v>
      </c>
      <c r="AA1788">
        <v>0</v>
      </c>
      <c r="AB1788" t="s">
        <v>324</v>
      </c>
      <c r="AF1788" t="s">
        <v>407</v>
      </c>
      <c r="AG1788" t="s">
        <v>407</v>
      </c>
      <c r="AH1788" t="s">
        <v>325</v>
      </c>
      <c r="AI1788">
        <v>99999</v>
      </c>
      <c r="AJ1788">
        <v>99999</v>
      </c>
      <c r="AK1788">
        <v>699</v>
      </c>
      <c r="AL1788" t="b">
        <v>1</v>
      </c>
      <c r="AM1788" t="b">
        <v>1</v>
      </c>
      <c r="AN1788" t="b">
        <v>0</v>
      </c>
      <c r="AO1788">
        <v>99999</v>
      </c>
      <c r="AP1788" t="s">
        <v>64</v>
      </c>
      <c r="AR1788" t="b">
        <v>0</v>
      </c>
      <c r="AS1788">
        <v>12</v>
      </c>
      <c r="AT1788" t="s">
        <v>327</v>
      </c>
      <c r="AV1788" t="s">
        <v>429</v>
      </c>
    </row>
    <row r="1789" spans="1:48" x14ac:dyDescent="0.25">
      <c r="A1789" t="s">
        <v>3323</v>
      </c>
      <c r="B1789" t="s">
        <v>302</v>
      </c>
      <c r="C1789" t="s">
        <v>62</v>
      </c>
      <c r="D1789">
        <v>99999</v>
      </c>
      <c r="F1789" s="109">
        <v>4000</v>
      </c>
      <c r="G1789" t="b">
        <v>0</v>
      </c>
      <c r="H1789" t="s">
        <v>343</v>
      </c>
      <c r="K1789" t="s">
        <v>349</v>
      </c>
      <c r="L1789" t="s">
        <v>303</v>
      </c>
      <c r="M1789" t="s">
        <v>323</v>
      </c>
      <c r="N1789" t="s">
        <v>63</v>
      </c>
      <c r="O1789">
        <v>39.9</v>
      </c>
      <c r="R1789">
        <v>304.89</v>
      </c>
      <c r="S1789">
        <v>39.9</v>
      </c>
      <c r="T1789" s="110">
        <v>0</v>
      </c>
      <c r="U1789">
        <v>42.99</v>
      </c>
      <c r="X1789">
        <v>177.1</v>
      </c>
      <c r="Y1789">
        <v>44.9</v>
      </c>
      <c r="Z1789">
        <v>44.9</v>
      </c>
      <c r="AA1789">
        <v>0</v>
      </c>
      <c r="AB1789" t="s">
        <v>324</v>
      </c>
      <c r="AF1789" t="s">
        <v>541</v>
      </c>
      <c r="AG1789" t="s">
        <v>541</v>
      </c>
      <c r="AH1789" t="s">
        <v>325</v>
      </c>
      <c r="AI1789">
        <v>99999</v>
      </c>
      <c r="AJ1789">
        <v>99999</v>
      </c>
      <c r="AK1789">
        <v>699</v>
      </c>
      <c r="AL1789" t="b">
        <v>1</v>
      </c>
      <c r="AM1789" t="b">
        <v>1</v>
      </c>
      <c r="AN1789" t="b">
        <v>0</v>
      </c>
      <c r="AO1789">
        <v>99999</v>
      </c>
      <c r="AP1789" t="s">
        <v>64</v>
      </c>
      <c r="AR1789" t="b">
        <v>0</v>
      </c>
      <c r="AS1789">
        <v>12</v>
      </c>
      <c r="AT1789" t="s">
        <v>327</v>
      </c>
      <c r="AV1789" t="s">
        <v>563</v>
      </c>
    </row>
    <row r="1790" spans="1:48" x14ac:dyDescent="0.25">
      <c r="A1790" t="s">
        <v>3323</v>
      </c>
      <c r="B1790" t="s">
        <v>302</v>
      </c>
      <c r="C1790" t="s">
        <v>62</v>
      </c>
      <c r="D1790">
        <v>99999</v>
      </c>
      <c r="F1790" s="109">
        <v>4000</v>
      </c>
      <c r="G1790" t="b">
        <v>0</v>
      </c>
      <c r="H1790" t="s">
        <v>343</v>
      </c>
      <c r="K1790" t="s">
        <v>349</v>
      </c>
      <c r="L1790" t="s">
        <v>303</v>
      </c>
      <c r="M1790" t="s">
        <v>323</v>
      </c>
      <c r="N1790" t="s">
        <v>63</v>
      </c>
      <c r="O1790">
        <v>39.9</v>
      </c>
      <c r="R1790">
        <v>319.89</v>
      </c>
      <c r="S1790">
        <v>59.9</v>
      </c>
      <c r="T1790" s="110">
        <v>0</v>
      </c>
      <c r="U1790">
        <v>42.99</v>
      </c>
      <c r="X1790">
        <v>172.1</v>
      </c>
      <c r="Y1790">
        <v>44.9</v>
      </c>
      <c r="Z1790">
        <v>44.9</v>
      </c>
      <c r="AA1790">
        <v>0</v>
      </c>
      <c r="AB1790" t="s">
        <v>324</v>
      </c>
      <c r="AF1790" t="s">
        <v>675</v>
      </c>
      <c r="AG1790" t="s">
        <v>675</v>
      </c>
      <c r="AH1790" t="s">
        <v>325</v>
      </c>
      <c r="AI1790">
        <v>99999</v>
      </c>
      <c r="AJ1790">
        <v>99999</v>
      </c>
      <c r="AK1790">
        <v>699</v>
      </c>
      <c r="AL1790" t="b">
        <v>1</v>
      </c>
      <c r="AM1790" t="b">
        <v>1</v>
      </c>
      <c r="AN1790" t="b">
        <v>0</v>
      </c>
      <c r="AO1790">
        <v>99999</v>
      </c>
      <c r="AP1790" t="s">
        <v>64</v>
      </c>
      <c r="AR1790" t="b">
        <v>0</v>
      </c>
      <c r="AS1790">
        <v>12</v>
      </c>
      <c r="AT1790" t="s">
        <v>327</v>
      </c>
      <c r="AV1790" t="s">
        <v>697</v>
      </c>
    </row>
    <row r="1791" spans="1:48" x14ac:dyDescent="0.25">
      <c r="A1791" t="s">
        <v>3323</v>
      </c>
      <c r="B1791" t="s">
        <v>302</v>
      </c>
      <c r="C1791" t="s">
        <v>62</v>
      </c>
      <c r="D1791">
        <v>99999</v>
      </c>
      <c r="F1791" s="109">
        <v>4000</v>
      </c>
      <c r="G1791" t="b">
        <v>0</v>
      </c>
      <c r="H1791" t="s">
        <v>343</v>
      </c>
      <c r="K1791" t="s">
        <v>349</v>
      </c>
      <c r="L1791" t="s">
        <v>303</v>
      </c>
      <c r="M1791" t="s">
        <v>323</v>
      </c>
      <c r="N1791" t="s">
        <v>63</v>
      </c>
      <c r="O1791" s="110">
        <v>49.9</v>
      </c>
      <c r="R1791" s="110">
        <v>365.68999999999994</v>
      </c>
      <c r="S1791" s="110">
        <v>130</v>
      </c>
      <c r="T1791" s="110">
        <v>0</v>
      </c>
      <c r="U1791" s="110">
        <v>34.99</v>
      </c>
      <c r="X1791">
        <v>155.79999999999998</v>
      </c>
      <c r="Y1791">
        <v>44.9</v>
      </c>
      <c r="Z1791">
        <v>44.9</v>
      </c>
      <c r="AA1791">
        <v>0</v>
      </c>
      <c r="AB1791" t="s">
        <v>324</v>
      </c>
      <c r="AF1791" t="s">
        <v>2185</v>
      </c>
      <c r="AG1791" t="s">
        <v>2185</v>
      </c>
      <c r="AH1791" t="s">
        <v>325</v>
      </c>
      <c r="AI1791">
        <v>99999</v>
      </c>
      <c r="AJ1791">
        <v>99999</v>
      </c>
      <c r="AK1791">
        <v>699</v>
      </c>
      <c r="AL1791" t="b">
        <v>1</v>
      </c>
      <c r="AM1791" t="b">
        <v>1</v>
      </c>
      <c r="AN1791" t="b">
        <v>0</v>
      </c>
      <c r="AO1791">
        <v>99999</v>
      </c>
      <c r="AP1791" t="s">
        <v>64</v>
      </c>
      <c r="AR1791" t="b">
        <v>0</v>
      </c>
      <c r="AS1791">
        <v>12</v>
      </c>
      <c r="AT1791" t="s">
        <v>327</v>
      </c>
      <c r="AV1791" t="s">
        <v>2207</v>
      </c>
    </row>
    <row r="1792" spans="1:48" x14ac:dyDescent="0.25">
      <c r="A1792" t="s">
        <v>3323</v>
      </c>
      <c r="B1792" t="s">
        <v>302</v>
      </c>
      <c r="C1792" t="s">
        <v>62</v>
      </c>
      <c r="D1792">
        <v>99999</v>
      </c>
      <c r="F1792" s="109">
        <v>4000</v>
      </c>
      <c r="G1792" t="b">
        <v>0</v>
      </c>
      <c r="H1792" t="s">
        <v>343</v>
      </c>
      <c r="K1792" t="s">
        <v>349</v>
      </c>
      <c r="L1792" t="s">
        <v>303</v>
      </c>
      <c r="M1792" t="s">
        <v>323</v>
      </c>
      <c r="N1792" t="s">
        <v>63</v>
      </c>
      <c r="O1792" s="110">
        <v>49.9</v>
      </c>
      <c r="R1792" s="110">
        <v>379.99</v>
      </c>
      <c r="S1792" s="110">
        <v>130</v>
      </c>
      <c r="T1792" s="110">
        <v>0</v>
      </c>
      <c r="U1792" s="110">
        <v>42.99</v>
      </c>
      <c r="X1792">
        <v>162.1</v>
      </c>
      <c r="Y1792">
        <v>44.9</v>
      </c>
      <c r="Z1792">
        <v>44.9</v>
      </c>
      <c r="AA1792">
        <v>0</v>
      </c>
      <c r="AB1792" t="s">
        <v>324</v>
      </c>
      <c r="AF1792" t="s">
        <v>2259</v>
      </c>
      <c r="AG1792" t="s">
        <v>2259</v>
      </c>
      <c r="AH1792" t="s">
        <v>325</v>
      </c>
      <c r="AI1792">
        <v>99999</v>
      </c>
      <c r="AJ1792">
        <v>99999</v>
      </c>
      <c r="AK1792">
        <v>699</v>
      </c>
      <c r="AL1792" t="b">
        <v>1</v>
      </c>
      <c r="AM1792" t="b">
        <v>1</v>
      </c>
      <c r="AN1792" t="b">
        <v>0</v>
      </c>
      <c r="AO1792">
        <v>99999</v>
      </c>
      <c r="AP1792" t="s">
        <v>64</v>
      </c>
      <c r="AR1792" t="b">
        <v>0</v>
      </c>
      <c r="AS1792">
        <v>12</v>
      </c>
      <c r="AT1792" t="s">
        <v>327</v>
      </c>
      <c r="AV1792" t="s">
        <v>2281</v>
      </c>
    </row>
    <row r="1793" spans="1:48" x14ac:dyDescent="0.25">
      <c r="A1793" t="s">
        <v>3323</v>
      </c>
      <c r="B1793" t="s">
        <v>302</v>
      </c>
      <c r="C1793" t="s">
        <v>62</v>
      </c>
      <c r="D1793">
        <v>99999</v>
      </c>
      <c r="F1793" s="109">
        <v>4000</v>
      </c>
      <c r="G1793" t="b">
        <v>0</v>
      </c>
      <c r="H1793" t="s">
        <v>343</v>
      </c>
      <c r="K1793" t="s">
        <v>349</v>
      </c>
      <c r="L1793" t="s">
        <v>303</v>
      </c>
      <c r="M1793" t="s">
        <v>323</v>
      </c>
      <c r="N1793" t="s">
        <v>63</v>
      </c>
      <c r="O1793" s="110">
        <v>49.9</v>
      </c>
      <c r="R1793" s="110">
        <v>394.99</v>
      </c>
      <c r="S1793" s="110">
        <v>130</v>
      </c>
      <c r="T1793" s="110">
        <v>0</v>
      </c>
      <c r="U1793" s="110">
        <v>42.99</v>
      </c>
      <c r="X1793">
        <v>177.1</v>
      </c>
      <c r="Y1793">
        <v>44.9</v>
      </c>
      <c r="Z1793">
        <v>44.9</v>
      </c>
      <c r="AA1793">
        <v>0</v>
      </c>
      <c r="AB1793" t="s">
        <v>324</v>
      </c>
      <c r="AF1793" t="s">
        <v>2326</v>
      </c>
      <c r="AG1793" t="s">
        <v>2326</v>
      </c>
      <c r="AH1793" t="s">
        <v>325</v>
      </c>
      <c r="AI1793">
        <v>99999</v>
      </c>
      <c r="AJ1793">
        <v>99999</v>
      </c>
      <c r="AK1793">
        <v>699</v>
      </c>
      <c r="AL1793" t="b">
        <v>1</v>
      </c>
      <c r="AM1793" t="b">
        <v>1</v>
      </c>
      <c r="AN1793" t="b">
        <v>0</v>
      </c>
      <c r="AO1793">
        <v>99999</v>
      </c>
      <c r="AP1793" t="s">
        <v>64</v>
      </c>
      <c r="AR1793" t="b">
        <v>0</v>
      </c>
      <c r="AS1793">
        <v>12</v>
      </c>
      <c r="AT1793" t="s">
        <v>327</v>
      </c>
      <c r="AV1793" t="s">
        <v>2348</v>
      </c>
    </row>
    <row r="1794" spans="1:48" x14ac:dyDescent="0.25">
      <c r="A1794" t="s">
        <v>3323</v>
      </c>
      <c r="B1794" t="s">
        <v>302</v>
      </c>
      <c r="C1794" t="s">
        <v>62</v>
      </c>
      <c r="D1794">
        <v>99999</v>
      </c>
      <c r="F1794" s="109">
        <v>4000</v>
      </c>
      <c r="G1794" t="b">
        <v>0</v>
      </c>
      <c r="H1794" t="s">
        <v>343</v>
      </c>
      <c r="K1794" t="s">
        <v>349</v>
      </c>
      <c r="L1794" t="s">
        <v>303</v>
      </c>
      <c r="M1794" t="s">
        <v>323</v>
      </c>
      <c r="N1794" t="s">
        <v>63</v>
      </c>
      <c r="O1794" s="110">
        <v>49.9</v>
      </c>
      <c r="R1794" s="110">
        <v>389.99</v>
      </c>
      <c r="S1794" s="110">
        <v>130</v>
      </c>
      <c r="T1794" s="110">
        <v>0</v>
      </c>
      <c r="U1794" s="110">
        <v>42.99</v>
      </c>
      <c r="X1794">
        <v>172.1</v>
      </c>
      <c r="Y1794">
        <v>44.9</v>
      </c>
      <c r="Z1794">
        <v>44.9</v>
      </c>
      <c r="AA1794">
        <v>0</v>
      </c>
      <c r="AB1794" t="s">
        <v>324</v>
      </c>
      <c r="AF1794" t="s">
        <v>2393</v>
      </c>
      <c r="AG1794" t="s">
        <v>2393</v>
      </c>
      <c r="AH1794" t="s">
        <v>325</v>
      </c>
      <c r="AI1794">
        <v>99999</v>
      </c>
      <c r="AJ1794">
        <v>99999</v>
      </c>
      <c r="AK1794">
        <v>699</v>
      </c>
      <c r="AL1794" t="b">
        <v>1</v>
      </c>
      <c r="AM1794" t="b">
        <v>1</v>
      </c>
      <c r="AN1794" t="b">
        <v>0</v>
      </c>
      <c r="AO1794">
        <v>99999</v>
      </c>
      <c r="AP1794" t="s">
        <v>64</v>
      </c>
      <c r="AR1794" t="b">
        <v>0</v>
      </c>
      <c r="AS1794">
        <v>12</v>
      </c>
      <c r="AT1794" t="s">
        <v>327</v>
      </c>
      <c r="AV1794" t="s">
        <v>2415</v>
      </c>
    </row>
    <row r="1795" spans="1:48" x14ac:dyDescent="0.25">
      <c r="A1795" t="s">
        <v>3323</v>
      </c>
      <c r="B1795" t="s">
        <v>302</v>
      </c>
      <c r="C1795" t="s">
        <v>62</v>
      </c>
      <c r="D1795">
        <v>99999</v>
      </c>
      <c r="F1795" s="109">
        <v>4000</v>
      </c>
      <c r="G1795" t="b">
        <v>0</v>
      </c>
      <c r="H1795" t="s">
        <v>343</v>
      </c>
      <c r="K1795" t="s">
        <v>393</v>
      </c>
      <c r="L1795" t="s">
        <v>303</v>
      </c>
      <c r="M1795" t="s">
        <v>323</v>
      </c>
      <c r="N1795" t="s">
        <v>63</v>
      </c>
      <c r="O1795">
        <v>29.9</v>
      </c>
      <c r="R1795">
        <v>314.89</v>
      </c>
      <c r="S1795">
        <v>39.9</v>
      </c>
      <c r="T1795" s="110">
        <v>0</v>
      </c>
      <c r="U1795">
        <v>42.99</v>
      </c>
      <c r="X1795">
        <v>162.1</v>
      </c>
      <c r="Y1795">
        <v>69.900000000000006</v>
      </c>
      <c r="Z1795">
        <v>69.900000000000006</v>
      </c>
      <c r="AA1795">
        <v>0</v>
      </c>
      <c r="AB1795" t="s">
        <v>363</v>
      </c>
      <c r="AF1795" t="s">
        <v>365</v>
      </c>
      <c r="AG1795" t="s">
        <v>365</v>
      </c>
      <c r="AH1795" t="s">
        <v>325</v>
      </c>
      <c r="AI1795">
        <v>99999</v>
      </c>
      <c r="AJ1795">
        <v>99999</v>
      </c>
      <c r="AK1795">
        <v>699</v>
      </c>
      <c r="AL1795" t="b">
        <v>1</v>
      </c>
      <c r="AM1795" t="b">
        <v>1</v>
      </c>
      <c r="AN1795" t="b">
        <v>0</v>
      </c>
      <c r="AO1795">
        <v>99999</v>
      </c>
      <c r="AP1795" t="s">
        <v>64</v>
      </c>
      <c r="AR1795" t="b">
        <v>0</v>
      </c>
      <c r="AS1795">
        <v>12</v>
      </c>
      <c r="AT1795" t="s">
        <v>327</v>
      </c>
      <c r="AV1795" t="s">
        <v>402</v>
      </c>
    </row>
    <row r="1796" spans="1:48" x14ac:dyDescent="0.25">
      <c r="A1796" t="s">
        <v>3323</v>
      </c>
      <c r="B1796" t="s">
        <v>302</v>
      </c>
      <c r="C1796" t="s">
        <v>62</v>
      </c>
      <c r="D1796">
        <v>99999</v>
      </c>
      <c r="F1796" s="109">
        <v>4000</v>
      </c>
      <c r="G1796" t="b">
        <v>0</v>
      </c>
      <c r="H1796" t="s">
        <v>343</v>
      </c>
      <c r="K1796" t="s">
        <v>393</v>
      </c>
      <c r="L1796" t="s">
        <v>303</v>
      </c>
      <c r="M1796" t="s">
        <v>323</v>
      </c>
      <c r="N1796" t="s">
        <v>63</v>
      </c>
      <c r="O1796">
        <v>29.9</v>
      </c>
      <c r="R1796">
        <v>329.89</v>
      </c>
      <c r="S1796">
        <v>39.9</v>
      </c>
      <c r="T1796" s="110">
        <v>0</v>
      </c>
      <c r="U1796">
        <v>42.99</v>
      </c>
      <c r="X1796">
        <v>177.1</v>
      </c>
      <c r="Y1796">
        <v>69.900000000000006</v>
      </c>
      <c r="Z1796">
        <v>69.900000000000006</v>
      </c>
      <c r="AA1796">
        <v>0</v>
      </c>
      <c r="AB1796" t="s">
        <v>363</v>
      </c>
      <c r="AF1796" t="s">
        <v>501</v>
      </c>
      <c r="AG1796" t="s">
        <v>501</v>
      </c>
      <c r="AH1796" t="s">
        <v>325</v>
      </c>
      <c r="AI1796">
        <v>99999</v>
      </c>
      <c r="AJ1796">
        <v>99999</v>
      </c>
      <c r="AK1796">
        <v>699</v>
      </c>
      <c r="AL1796" t="b">
        <v>1</v>
      </c>
      <c r="AM1796" t="b">
        <v>1</v>
      </c>
      <c r="AN1796" t="b">
        <v>0</v>
      </c>
      <c r="AO1796">
        <v>99999</v>
      </c>
      <c r="AP1796" t="s">
        <v>64</v>
      </c>
      <c r="AR1796" t="b">
        <v>0</v>
      </c>
      <c r="AS1796">
        <v>12</v>
      </c>
      <c r="AT1796" t="s">
        <v>327</v>
      </c>
      <c r="AV1796" t="s">
        <v>536</v>
      </c>
    </row>
    <row r="1797" spans="1:48" x14ac:dyDescent="0.25">
      <c r="A1797" t="s">
        <v>3323</v>
      </c>
      <c r="B1797" t="s">
        <v>302</v>
      </c>
      <c r="C1797" t="s">
        <v>62</v>
      </c>
      <c r="D1797">
        <v>99999</v>
      </c>
      <c r="F1797" s="109">
        <v>4000</v>
      </c>
      <c r="G1797" t="b">
        <v>0</v>
      </c>
      <c r="H1797" t="s">
        <v>343</v>
      </c>
      <c r="K1797" t="s">
        <v>393</v>
      </c>
      <c r="L1797" t="s">
        <v>303</v>
      </c>
      <c r="M1797" t="s">
        <v>323</v>
      </c>
      <c r="N1797" t="s">
        <v>63</v>
      </c>
      <c r="O1797">
        <v>29.9</v>
      </c>
      <c r="R1797">
        <v>344.89</v>
      </c>
      <c r="S1797">
        <v>59.9</v>
      </c>
      <c r="T1797" s="110">
        <v>0</v>
      </c>
      <c r="U1797">
        <v>42.99</v>
      </c>
      <c r="X1797">
        <v>172.1</v>
      </c>
      <c r="Y1797">
        <v>69.900000000000006</v>
      </c>
      <c r="Z1797">
        <v>69.900000000000006</v>
      </c>
      <c r="AA1797">
        <v>0</v>
      </c>
      <c r="AB1797" t="s">
        <v>363</v>
      </c>
      <c r="AF1797" t="s">
        <v>635</v>
      </c>
      <c r="AG1797" t="s">
        <v>635</v>
      </c>
      <c r="AH1797" t="s">
        <v>325</v>
      </c>
      <c r="AI1797">
        <v>99999</v>
      </c>
      <c r="AJ1797">
        <v>99999</v>
      </c>
      <c r="AK1797">
        <v>699</v>
      </c>
      <c r="AL1797" t="b">
        <v>1</v>
      </c>
      <c r="AM1797" t="b">
        <v>1</v>
      </c>
      <c r="AN1797" t="b">
        <v>0</v>
      </c>
      <c r="AO1797">
        <v>99999</v>
      </c>
      <c r="AP1797" t="s">
        <v>64</v>
      </c>
      <c r="AR1797" t="b">
        <v>0</v>
      </c>
      <c r="AS1797">
        <v>12</v>
      </c>
      <c r="AT1797" t="s">
        <v>327</v>
      </c>
      <c r="AV1797" t="s">
        <v>670</v>
      </c>
    </row>
    <row r="1798" spans="1:48" x14ac:dyDescent="0.25">
      <c r="A1798" t="s">
        <v>3323</v>
      </c>
      <c r="B1798" t="s">
        <v>302</v>
      </c>
      <c r="C1798" t="s">
        <v>62</v>
      </c>
      <c r="D1798">
        <v>99999</v>
      </c>
      <c r="F1798" s="109">
        <v>4000</v>
      </c>
      <c r="G1798" t="b">
        <v>0</v>
      </c>
      <c r="H1798" t="s">
        <v>343</v>
      </c>
      <c r="K1798" t="s">
        <v>393</v>
      </c>
      <c r="L1798" t="s">
        <v>303</v>
      </c>
      <c r="M1798" t="s">
        <v>323</v>
      </c>
      <c r="N1798" t="s">
        <v>63</v>
      </c>
      <c r="O1798">
        <v>39.9</v>
      </c>
      <c r="R1798">
        <v>314.89</v>
      </c>
      <c r="S1798">
        <v>39.9</v>
      </c>
      <c r="T1798" s="110">
        <v>0</v>
      </c>
      <c r="U1798">
        <v>42.99</v>
      </c>
      <c r="X1798">
        <v>162.1</v>
      </c>
      <c r="Y1798">
        <v>69.900000000000006</v>
      </c>
      <c r="Z1798">
        <v>69.900000000000006</v>
      </c>
      <c r="AA1798">
        <v>0</v>
      </c>
      <c r="AB1798" t="s">
        <v>363</v>
      </c>
      <c r="AF1798" t="s">
        <v>434</v>
      </c>
      <c r="AG1798" t="s">
        <v>434</v>
      </c>
      <c r="AH1798" t="s">
        <v>325</v>
      </c>
      <c r="AI1798">
        <v>99999</v>
      </c>
      <c r="AJ1798">
        <v>99999</v>
      </c>
      <c r="AK1798">
        <v>699</v>
      </c>
      <c r="AL1798" t="b">
        <v>1</v>
      </c>
      <c r="AM1798" t="b">
        <v>1</v>
      </c>
      <c r="AN1798" t="b">
        <v>0</v>
      </c>
      <c r="AO1798">
        <v>99999</v>
      </c>
      <c r="AP1798" t="s">
        <v>64</v>
      </c>
      <c r="AR1798" t="b">
        <v>0</v>
      </c>
      <c r="AS1798">
        <v>12</v>
      </c>
      <c r="AT1798" t="s">
        <v>327</v>
      </c>
      <c r="AV1798" t="s">
        <v>469</v>
      </c>
    </row>
    <row r="1799" spans="1:48" x14ac:dyDescent="0.25">
      <c r="A1799" t="s">
        <v>3323</v>
      </c>
      <c r="B1799" t="s">
        <v>302</v>
      </c>
      <c r="C1799" t="s">
        <v>62</v>
      </c>
      <c r="D1799">
        <v>99999</v>
      </c>
      <c r="F1799" s="109">
        <v>4000</v>
      </c>
      <c r="G1799" t="b">
        <v>0</v>
      </c>
      <c r="H1799" t="s">
        <v>343</v>
      </c>
      <c r="K1799" t="s">
        <v>393</v>
      </c>
      <c r="L1799" t="s">
        <v>303</v>
      </c>
      <c r="M1799" t="s">
        <v>323</v>
      </c>
      <c r="N1799" t="s">
        <v>63</v>
      </c>
      <c r="O1799">
        <v>39.9</v>
      </c>
      <c r="R1799">
        <v>329.89</v>
      </c>
      <c r="S1799">
        <v>39.9</v>
      </c>
      <c r="T1799" s="110">
        <v>0</v>
      </c>
      <c r="U1799">
        <v>42.99</v>
      </c>
      <c r="X1799">
        <v>177.1</v>
      </c>
      <c r="Y1799">
        <v>69.900000000000006</v>
      </c>
      <c r="Z1799">
        <v>69.900000000000006</v>
      </c>
      <c r="AA1799">
        <v>0</v>
      </c>
      <c r="AB1799" t="s">
        <v>363</v>
      </c>
      <c r="AF1799" t="s">
        <v>568</v>
      </c>
      <c r="AG1799" t="s">
        <v>568</v>
      </c>
      <c r="AH1799" t="s">
        <v>325</v>
      </c>
      <c r="AI1799">
        <v>99999</v>
      </c>
      <c r="AJ1799">
        <v>99999</v>
      </c>
      <c r="AK1799">
        <v>699</v>
      </c>
      <c r="AL1799" t="b">
        <v>1</v>
      </c>
      <c r="AM1799" t="b">
        <v>1</v>
      </c>
      <c r="AN1799" t="b">
        <v>0</v>
      </c>
      <c r="AO1799">
        <v>99999</v>
      </c>
      <c r="AP1799" t="s">
        <v>64</v>
      </c>
      <c r="AR1799" t="b">
        <v>0</v>
      </c>
      <c r="AS1799">
        <v>12</v>
      </c>
      <c r="AT1799" t="s">
        <v>327</v>
      </c>
      <c r="AV1799" t="s">
        <v>603</v>
      </c>
    </row>
    <row r="1800" spans="1:48" x14ac:dyDescent="0.25">
      <c r="A1800" t="s">
        <v>3323</v>
      </c>
      <c r="B1800" t="s">
        <v>302</v>
      </c>
      <c r="C1800" t="s">
        <v>62</v>
      </c>
      <c r="D1800">
        <v>99999</v>
      </c>
      <c r="F1800" s="109">
        <v>4000</v>
      </c>
      <c r="G1800" t="b">
        <v>0</v>
      </c>
      <c r="H1800" t="s">
        <v>343</v>
      </c>
      <c r="K1800" t="s">
        <v>393</v>
      </c>
      <c r="L1800" t="s">
        <v>303</v>
      </c>
      <c r="M1800" t="s">
        <v>323</v>
      </c>
      <c r="N1800" t="s">
        <v>63</v>
      </c>
      <c r="O1800">
        <v>39.9</v>
      </c>
      <c r="R1800">
        <v>344.89</v>
      </c>
      <c r="S1800">
        <v>59.9</v>
      </c>
      <c r="T1800" s="110">
        <v>0</v>
      </c>
      <c r="U1800">
        <v>42.99</v>
      </c>
      <c r="X1800">
        <v>172.1</v>
      </c>
      <c r="Y1800">
        <v>69.900000000000006</v>
      </c>
      <c r="Z1800">
        <v>69.900000000000006</v>
      </c>
      <c r="AA1800">
        <v>0</v>
      </c>
      <c r="AB1800" t="s">
        <v>363</v>
      </c>
      <c r="AF1800" t="s">
        <v>702</v>
      </c>
      <c r="AG1800" t="s">
        <v>702</v>
      </c>
      <c r="AH1800" t="s">
        <v>325</v>
      </c>
      <c r="AI1800">
        <v>99999</v>
      </c>
      <c r="AJ1800">
        <v>99999</v>
      </c>
      <c r="AK1800">
        <v>699</v>
      </c>
      <c r="AL1800" t="b">
        <v>1</v>
      </c>
      <c r="AM1800" t="b">
        <v>1</v>
      </c>
      <c r="AN1800" t="b">
        <v>0</v>
      </c>
      <c r="AO1800">
        <v>99999</v>
      </c>
      <c r="AP1800" t="s">
        <v>64</v>
      </c>
      <c r="AR1800" t="b">
        <v>0</v>
      </c>
      <c r="AS1800">
        <v>12</v>
      </c>
      <c r="AT1800" t="s">
        <v>327</v>
      </c>
      <c r="AV1800" t="s">
        <v>737</v>
      </c>
    </row>
    <row r="1801" spans="1:48" x14ac:dyDescent="0.25">
      <c r="A1801" t="s">
        <v>3323</v>
      </c>
      <c r="B1801" t="s">
        <v>302</v>
      </c>
      <c r="C1801" t="s">
        <v>62</v>
      </c>
      <c r="D1801">
        <v>99999</v>
      </c>
      <c r="F1801" s="109">
        <v>4000</v>
      </c>
      <c r="G1801" t="b">
        <v>0</v>
      </c>
      <c r="H1801" t="s">
        <v>343</v>
      </c>
      <c r="K1801" t="s">
        <v>393</v>
      </c>
      <c r="L1801" t="s">
        <v>303</v>
      </c>
      <c r="M1801" t="s">
        <v>323</v>
      </c>
      <c r="N1801" t="s">
        <v>63</v>
      </c>
      <c r="O1801" s="110">
        <v>49.9</v>
      </c>
      <c r="R1801" s="110">
        <v>390.69</v>
      </c>
      <c r="S1801" s="110">
        <v>130</v>
      </c>
      <c r="T1801" s="110">
        <v>0</v>
      </c>
      <c r="U1801" s="110">
        <v>34.99</v>
      </c>
      <c r="X1801">
        <v>155.79999999999998</v>
      </c>
      <c r="Y1801">
        <v>69.900000000000006</v>
      </c>
      <c r="Z1801">
        <v>69.900000000000006</v>
      </c>
      <c r="AA1801">
        <v>0</v>
      </c>
      <c r="AB1801" t="s">
        <v>363</v>
      </c>
      <c r="AF1801" t="s">
        <v>2212</v>
      </c>
      <c r="AG1801" t="s">
        <v>2212</v>
      </c>
      <c r="AH1801" t="s">
        <v>325</v>
      </c>
      <c r="AI1801">
        <v>99999</v>
      </c>
      <c r="AJ1801">
        <v>99999</v>
      </c>
      <c r="AK1801">
        <v>699</v>
      </c>
      <c r="AL1801" t="b">
        <v>1</v>
      </c>
      <c r="AM1801" t="b">
        <v>1</v>
      </c>
      <c r="AN1801" t="b">
        <v>0</v>
      </c>
      <c r="AO1801">
        <v>99999</v>
      </c>
      <c r="AP1801" t="s">
        <v>64</v>
      </c>
      <c r="AR1801" t="b">
        <v>0</v>
      </c>
      <c r="AS1801">
        <v>12</v>
      </c>
      <c r="AT1801" t="s">
        <v>327</v>
      </c>
      <c r="AV1801" t="s">
        <v>2247</v>
      </c>
    </row>
    <row r="1802" spans="1:48" x14ac:dyDescent="0.25">
      <c r="A1802" t="s">
        <v>3323</v>
      </c>
      <c r="B1802" t="s">
        <v>302</v>
      </c>
      <c r="C1802" t="s">
        <v>62</v>
      </c>
      <c r="D1802">
        <v>99999</v>
      </c>
      <c r="F1802" s="109">
        <v>4000</v>
      </c>
      <c r="G1802" t="b">
        <v>0</v>
      </c>
      <c r="H1802" t="s">
        <v>343</v>
      </c>
      <c r="K1802" t="s">
        <v>393</v>
      </c>
      <c r="L1802" t="s">
        <v>303</v>
      </c>
      <c r="M1802" t="s">
        <v>323</v>
      </c>
      <c r="N1802" t="s">
        <v>63</v>
      </c>
      <c r="O1802" s="110">
        <v>49.9</v>
      </c>
      <c r="R1802" s="110">
        <v>404.99</v>
      </c>
      <c r="S1802" s="110">
        <v>130</v>
      </c>
      <c r="T1802" s="110">
        <v>0</v>
      </c>
      <c r="U1802" s="110">
        <v>42.99</v>
      </c>
      <c r="X1802">
        <v>162.1</v>
      </c>
      <c r="Y1802">
        <v>69.900000000000006</v>
      </c>
      <c r="Z1802">
        <v>69.900000000000006</v>
      </c>
      <c r="AA1802">
        <v>0</v>
      </c>
      <c r="AB1802" t="s">
        <v>363</v>
      </c>
      <c r="AF1802" t="s">
        <v>2286</v>
      </c>
      <c r="AG1802" t="s">
        <v>2286</v>
      </c>
      <c r="AH1802" t="s">
        <v>325</v>
      </c>
      <c r="AI1802">
        <v>99999</v>
      </c>
      <c r="AJ1802">
        <v>99999</v>
      </c>
      <c r="AK1802">
        <v>699</v>
      </c>
      <c r="AL1802" t="b">
        <v>1</v>
      </c>
      <c r="AM1802" t="b">
        <v>1</v>
      </c>
      <c r="AN1802" t="b">
        <v>0</v>
      </c>
      <c r="AO1802">
        <v>99999</v>
      </c>
      <c r="AP1802" t="s">
        <v>64</v>
      </c>
      <c r="AR1802" t="b">
        <v>0</v>
      </c>
      <c r="AS1802">
        <v>12</v>
      </c>
      <c r="AT1802" t="s">
        <v>327</v>
      </c>
      <c r="AV1802" t="s">
        <v>2321</v>
      </c>
    </row>
    <row r="1803" spans="1:48" x14ac:dyDescent="0.25">
      <c r="A1803" t="s">
        <v>3323</v>
      </c>
      <c r="B1803" t="s">
        <v>302</v>
      </c>
      <c r="C1803" t="s">
        <v>62</v>
      </c>
      <c r="D1803">
        <v>99999</v>
      </c>
      <c r="F1803" s="109">
        <v>4000</v>
      </c>
      <c r="G1803" t="b">
        <v>0</v>
      </c>
      <c r="H1803" t="s">
        <v>343</v>
      </c>
      <c r="K1803" t="s">
        <v>393</v>
      </c>
      <c r="L1803" t="s">
        <v>303</v>
      </c>
      <c r="M1803" t="s">
        <v>323</v>
      </c>
      <c r="N1803" t="s">
        <v>63</v>
      </c>
      <c r="O1803" s="110">
        <v>49.9</v>
      </c>
      <c r="R1803" s="110">
        <v>419.99</v>
      </c>
      <c r="S1803" s="110">
        <v>130</v>
      </c>
      <c r="T1803" s="110">
        <v>0</v>
      </c>
      <c r="U1803" s="110">
        <v>42.99</v>
      </c>
      <c r="X1803">
        <v>177.1</v>
      </c>
      <c r="Y1803">
        <v>69.900000000000006</v>
      </c>
      <c r="Z1803">
        <v>69.900000000000006</v>
      </c>
      <c r="AA1803">
        <v>0</v>
      </c>
      <c r="AB1803" t="s">
        <v>363</v>
      </c>
      <c r="AF1803" t="s">
        <v>2353</v>
      </c>
      <c r="AG1803" t="s">
        <v>2353</v>
      </c>
      <c r="AH1803" t="s">
        <v>325</v>
      </c>
      <c r="AI1803">
        <v>99999</v>
      </c>
      <c r="AJ1803">
        <v>99999</v>
      </c>
      <c r="AK1803">
        <v>699</v>
      </c>
      <c r="AL1803" t="b">
        <v>1</v>
      </c>
      <c r="AM1803" t="b">
        <v>1</v>
      </c>
      <c r="AN1803" t="b">
        <v>0</v>
      </c>
      <c r="AO1803">
        <v>99999</v>
      </c>
      <c r="AP1803" t="s">
        <v>64</v>
      </c>
      <c r="AR1803" t="b">
        <v>0</v>
      </c>
      <c r="AS1803">
        <v>12</v>
      </c>
      <c r="AT1803" t="s">
        <v>327</v>
      </c>
      <c r="AV1803" t="s">
        <v>2388</v>
      </c>
    </row>
    <row r="1804" spans="1:48" x14ac:dyDescent="0.25">
      <c r="A1804" t="s">
        <v>3323</v>
      </c>
      <c r="B1804" t="s">
        <v>302</v>
      </c>
      <c r="C1804" t="s">
        <v>62</v>
      </c>
      <c r="D1804">
        <v>99999</v>
      </c>
      <c r="F1804" s="109">
        <v>4000</v>
      </c>
      <c r="G1804" t="b">
        <v>0</v>
      </c>
      <c r="H1804" t="s">
        <v>343</v>
      </c>
      <c r="K1804" t="s">
        <v>393</v>
      </c>
      <c r="L1804" t="s">
        <v>303</v>
      </c>
      <c r="M1804" t="s">
        <v>323</v>
      </c>
      <c r="N1804" t="s">
        <v>63</v>
      </c>
      <c r="O1804" s="110">
        <v>49.9</v>
      </c>
      <c r="R1804" s="110">
        <v>414.99</v>
      </c>
      <c r="S1804" s="110">
        <v>130</v>
      </c>
      <c r="T1804" s="110">
        <v>0</v>
      </c>
      <c r="U1804" s="110">
        <v>42.99</v>
      </c>
      <c r="X1804">
        <v>172.1</v>
      </c>
      <c r="Y1804">
        <v>69.900000000000006</v>
      </c>
      <c r="Z1804">
        <v>69.900000000000006</v>
      </c>
      <c r="AA1804">
        <v>0</v>
      </c>
      <c r="AB1804" t="s">
        <v>363</v>
      </c>
      <c r="AF1804" t="s">
        <v>2420</v>
      </c>
      <c r="AG1804" t="s">
        <v>2420</v>
      </c>
      <c r="AH1804" t="s">
        <v>325</v>
      </c>
      <c r="AI1804">
        <v>99999</v>
      </c>
      <c r="AJ1804">
        <v>99999</v>
      </c>
      <c r="AK1804">
        <v>699</v>
      </c>
      <c r="AL1804" t="b">
        <v>1</v>
      </c>
      <c r="AM1804" t="b">
        <v>1</v>
      </c>
      <c r="AN1804" t="b">
        <v>0</v>
      </c>
      <c r="AO1804">
        <v>99999</v>
      </c>
      <c r="AP1804" t="s">
        <v>64</v>
      </c>
      <c r="AR1804" t="b">
        <v>0</v>
      </c>
      <c r="AS1804">
        <v>12</v>
      </c>
      <c r="AT1804" t="s">
        <v>327</v>
      </c>
      <c r="AV1804" t="s">
        <v>2455</v>
      </c>
    </row>
    <row r="1805" spans="1:48" x14ac:dyDescent="0.25">
      <c r="A1805" t="s">
        <v>3323</v>
      </c>
      <c r="B1805" t="s">
        <v>302</v>
      </c>
      <c r="C1805" t="s">
        <v>62</v>
      </c>
      <c r="D1805">
        <v>99999</v>
      </c>
      <c r="F1805" s="109">
        <v>4000</v>
      </c>
      <c r="G1805" t="b">
        <v>0</v>
      </c>
      <c r="H1805" t="s">
        <v>343</v>
      </c>
      <c r="K1805" t="s">
        <v>364</v>
      </c>
      <c r="L1805" t="s">
        <v>303</v>
      </c>
      <c r="M1805" t="s">
        <v>323</v>
      </c>
      <c r="N1805" t="s">
        <v>63</v>
      </c>
      <c r="O1805">
        <v>29.9</v>
      </c>
      <c r="R1805">
        <v>294.89</v>
      </c>
      <c r="S1805">
        <v>39.9</v>
      </c>
      <c r="T1805" s="110">
        <v>0</v>
      </c>
      <c r="U1805">
        <v>42.99</v>
      </c>
      <c r="X1805">
        <v>162.1</v>
      </c>
      <c r="Y1805">
        <v>49.9</v>
      </c>
      <c r="Z1805">
        <v>49.9</v>
      </c>
      <c r="AA1805">
        <v>0</v>
      </c>
      <c r="AB1805" t="s">
        <v>363</v>
      </c>
      <c r="AF1805" t="s">
        <v>365</v>
      </c>
      <c r="AG1805" t="s">
        <v>365</v>
      </c>
      <c r="AH1805" t="s">
        <v>325</v>
      </c>
      <c r="AI1805">
        <v>99999</v>
      </c>
      <c r="AJ1805">
        <v>99999</v>
      </c>
      <c r="AK1805">
        <v>699</v>
      </c>
      <c r="AL1805" t="b">
        <v>1</v>
      </c>
      <c r="AM1805" t="b">
        <v>1</v>
      </c>
      <c r="AN1805" t="b">
        <v>0</v>
      </c>
      <c r="AO1805">
        <v>99999</v>
      </c>
      <c r="AP1805" t="s">
        <v>64</v>
      </c>
      <c r="AR1805" t="b">
        <v>0</v>
      </c>
      <c r="AS1805">
        <v>12</v>
      </c>
      <c r="AT1805" t="s">
        <v>327</v>
      </c>
      <c r="AV1805" t="s">
        <v>374</v>
      </c>
    </row>
    <row r="1806" spans="1:48" x14ac:dyDescent="0.25">
      <c r="A1806" t="s">
        <v>3323</v>
      </c>
      <c r="B1806" t="s">
        <v>302</v>
      </c>
      <c r="C1806" t="s">
        <v>62</v>
      </c>
      <c r="D1806">
        <v>99999</v>
      </c>
      <c r="F1806" s="109">
        <v>4000</v>
      </c>
      <c r="G1806" t="b">
        <v>0</v>
      </c>
      <c r="H1806" t="s">
        <v>343</v>
      </c>
      <c r="K1806" t="s">
        <v>364</v>
      </c>
      <c r="L1806" t="s">
        <v>303</v>
      </c>
      <c r="M1806" t="s">
        <v>323</v>
      </c>
      <c r="N1806" t="s">
        <v>63</v>
      </c>
      <c r="O1806">
        <v>29.9</v>
      </c>
      <c r="R1806">
        <v>309.89</v>
      </c>
      <c r="S1806">
        <v>39.9</v>
      </c>
      <c r="T1806" s="110">
        <v>0</v>
      </c>
      <c r="U1806">
        <v>42.99</v>
      </c>
      <c r="X1806">
        <v>177.1</v>
      </c>
      <c r="Y1806">
        <v>49.9</v>
      </c>
      <c r="Z1806">
        <v>49.9</v>
      </c>
      <c r="AA1806">
        <v>0</v>
      </c>
      <c r="AB1806" t="s">
        <v>363</v>
      </c>
      <c r="AF1806" t="s">
        <v>501</v>
      </c>
      <c r="AG1806" t="s">
        <v>501</v>
      </c>
      <c r="AH1806" t="s">
        <v>325</v>
      </c>
      <c r="AI1806">
        <v>99999</v>
      </c>
      <c r="AJ1806">
        <v>99999</v>
      </c>
      <c r="AK1806">
        <v>699</v>
      </c>
      <c r="AL1806" t="b">
        <v>1</v>
      </c>
      <c r="AM1806" t="b">
        <v>1</v>
      </c>
      <c r="AN1806" t="b">
        <v>0</v>
      </c>
      <c r="AO1806">
        <v>99999</v>
      </c>
      <c r="AP1806" t="s">
        <v>64</v>
      </c>
      <c r="AR1806" t="b">
        <v>0</v>
      </c>
      <c r="AS1806">
        <v>12</v>
      </c>
      <c r="AT1806" t="s">
        <v>327</v>
      </c>
      <c r="AV1806" t="s">
        <v>510</v>
      </c>
    </row>
    <row r="1807" spans="1:48" x14ac:dyDescent="0.25">
      <c r="A1807" t="s">
        <v>3323</v>
      </c>
      <c r="B1807" t="s">
        <v>302</v>
      </c>
      <c r="C1807" t="s">
        <v>62</v>
      </c>
      <c r="D1807">
        <v>99999</v>
      </c>
      <c r="F1807" s="109">
        <v>4000</v>
      </c>
      <c r="G1807" t="b">
        <v>0</v>
      </c>
      <c r="H1807" t="s">
        <v>343</v>
      </c>
      <c r="K1807" t="s">
        <v>364</v>
      </c>
      <c r="L1807" t="s">
        <v>303</v>
      </c>
      <c r="M1807" t="s">
        <v>323</v>
      </c>
      <c r="N1807" t="s">
        <v>63</v>
      </c>
      <c r="O1807">
        <v>29.9</v>
      </c>
      <c r="R1807">
        <v>324.89</v>
      </c>
      <c r="S1807">
        <v>59.9</v>
      </c>
      <c r="T1807" s="110">
        <v>0</v>
      </c>
      <c r="U1807">
        <v>42.99</v>
      </c>
      <c r="X1807">
        <v>172.1</v>
      </c>
      <c r="Y1807">
        <v>49.9</v>
      </c>
      <c r="Z1807">
        <v>49.9</v>
      </c>
      <c r="AA1807">
        <v>0</v>
      </c>
      <c r="AB1807" t="s">
        <v>363</v>
      </c>
      <c r="AF1807" t="s">
        <v>635</v>
      </c>
      <c r="AG1807" t="s">
        <v>635</v>
      </c>
      <c r="AH1807" t="s">
        <v>325</v>
      </c>
      <c r="AI1807">
        <v>99999</v>
      </c>
      <c r="AJ1807">
        <v>99999</v>
      </c>
      <c r="AK1807">
        <v>699</v>
      </c>
      <c r="AL1807" t="b">
        <v>1</v>
      </c>
      <c r="AM1807" t="b">
        <v>1</v>
      </c>
      <c r="AN1807" t="b">
        <v>0</v>
      </c>
      <c r="AO1807">
        <v>99999</v>
      </c>
      <c r="AP1807" t="s">
        <v>64</v>
      </c>
      <c r="AR1807" t="b">
        <v>0</v>
      </c>
      <c r="AS1807">
        <v>12</v>
      </c>
      <c r="AT1807" t="s">
        <v>327</v>
      </c>
      <c r="AV1807" t="s">
        <v>644</v>
      </c>
    </row>
    <row r="1808" spans="1:48" x14ac:dyDescent="0.25">
      <c r="A1808" t="s">
        <v>3323</v>
      </c>
      <c r="B1808" t="s">
        <v>302</v>
      </c>
      <c r="C1808" t="s">
        <v>62</v>
      </c>
      <c r="D1808">
        <v>99999</v>
      </c>
      <c r="F1808" s="109">
        <v>4000</v>
      </c>
      <c r="G1808" t="b">
        <v>0</v>
      </c>
      <c r="H1808" t="s">
        <v>343</v>
      </c>
      <c r="K1808" t="s">
        <v>364</v>
      </c>
      <c r="L1808" t="s">
        <v>303</v>
      </c>
      <c r="M1808" t="s">
        <v>323</v>
      </c>
      <c r="N1808" t="s">
        <v>63</v>
      </c>
      <c r="O1808" s="110">
        <v>39.9</v>
      </c>
      <c r="R1808" s="110">
        <v>294.89</v>
      </c>
      <c r="S1808" s="110">
        <v>39.9</v>
      </c>
      <c r="T1808" s="110">
        <v>0</v>
      </c>
      <c r="U1808" s="110">
        <v>42.99</v>
      </c>
      <c r="X1808">
        <v>162.1</v>
      </c>
      <c r="Y1808">
        <v>49.9</v>
      </c>
      <c r="Z1808">
        <v>49.9</v>
      </c>
      <c r="AA1808">
        <v>0</v>
      </c>
      <c r="AB1808" t="s">
        <v>363</v>
      </c>
      <c r="AF1808" t="s">
        <v>434</v>
      </c>
      <c r="AG1808" t="s">
        <v>434</v>
      </c>
      <c r="AH1808" t="s">
        <v>325</v>
      </c>
      <c r="AI1808">
        <v>99999</v>
      </c>
      <c r="AJ1808">
        <v>99999</v>
      </c>
      <c r="AK1808">
        <v>699</v>
      </c>
      <c r="AL1808" t="b">
        <v>1</v>
      </c>
      <c r="AM1808" t="b">
        <v>1</v>
      </c>
      <c r="AN1808" t="b">
        <v>0</v>
      </c>
      <c r="AO1808">
        <v>99999</v>
      </c>
      <c r="AP1808" t="s">
        <v>64</v>
      </c>
      <c r="AR1808" t="b">
        <v>0</v>
      </c>
      <c r="AS1808">
        <v>12</v>
      </c>
      <c r="AT1808" t="s">
        <v>327</v>
      </c>
      <c r="AV1808" t="s">
        <v>443</v>
      </c>
    </row>
    <row r="1809" spans="1:48" x14ac:dyDescent="0.25">
      <c r="A1809" t="s">
        <v>3323</v>
      </c>
      <c r="B1809" t="s">
        <v>302</v>
      </c>
      <c r="C1809" t="s">
        <v>62</v>
      </c>
      <c r="D1809">
        <v>99999</v>
      </c>
      <c r="F1809" s="109">
        <v>4000</v>
      </c>
      <c r="G1809" t="b">
        <v>0</v>
      </c>
      <c r="H1809" t="s">
        <v>343</v>
      </c>
      <c r="K1809" t="s">
        <v>364</v>
      </c>
      <c r="L1809" t="s">
        <v>303</v>
      </c>
      <c r="M1809" t="s">
        <v>323</v>
      </c>
      <c r="N1809" t="s">
        <v>63</v>
      </c>
      <c r="O1809">
        <v>39.9</v>
      </c>
      <c r="R1809">
        <v>309.89</v>
      </c>
      <c r="S1809">
        <v>39.9</v>
      </c>
      <c r="T1809" s="110">
        <v>0</v>
      </c>
      <c r="U1809">
        <v>42.99</v>
      </c>
      <c r="X1809">
        <v>177.1</v>
      </c>
      <c r="Y1809">
        <v>49.9</v>
      </c>
      <c r="Z1809">
        <v>49.9</v>
      </c>
      <c r="AA1809">
        <v>0</v>
      </c>
      <c r="AB1809" t="s">
        <v>363</v>
      </c>
      <c r="AF1809" t="s">
        <v>568</v>
      </c>
      <c r="AG1809" t="s">
        <v>568</v>
      </c>
      <c r="AH1809" t="s">
        <v>325</v>
      </c>
      <c r="AI1809">
        <v>99999</v>
      </c>
      <c r="AJ1809">
        <v>99999</v>
      </c>
      <c r="AK1809">
        <v>699</v>
      </c>
      <c r="AL1809" t="b">
        <v>1</v>
      </c>
      <c r="AM1809" t="b">
        <v>1</v>
      </c>
      <c r="AN1809" t="b">
        <v>0</v>
      </c>
      <c r="AO1809">
        <v>99999</v>
      </c>
      <c r="AP1809" t="s">
        <v>64</v>
      </c>
      <c r="AR1809" t="b">
        <v>0</v>
      </c>
      <c r="AS1809">
        <v>12</v>
      </c>
      <c r="AT1809" t="s">
        <v>327</v>
      </c>
      <c r="AV1809" t="s">
        <v>577</v>
      </c>
    </row>
    <row r="1810" spans="1:48" x14ac:dyDescent="0.25">
      <c r="A1810" t="s">
        <v>3323</v>
      </c>
      <c r="B1810" t="s">
        <v>302</v>
      </c>
      <c r="C1810" t="s">
        <v>62</v>
      </c>
      <c r="D1810">
        <v>99999</v>
      </c>
      <c r="F1810" s="109">
        <v>4000</v>
      </c>
      <c r="G1810" t="b">
        <v>0</v>
      </c>
      <c r="H1810" t="s">
        <v>343</v>
      </c>
      <c r="K1810" t="s">
        <v>364</v>
      </c>
      <c r="L1810" t="s">
        <v>303</v>
      </c>
      <c r="M1810" t="s">
        <v>323</v>
      </c>
      <c r="N1810" t="s">
        <v>63</v>
      </c>
      <c r="O1810">
        <v>39.9</v>
      </c>
      <c r="R1810">
        <v>324.89</v>
      </c>
      <c r="S1810">
        <v>59.9</v>
      </c>
      <c r="T1810" s="110">
        <v>0</v>
      </c>
      <c r="U1810">
        <v>42.99</v>
      </c>
      <c r="X1810">
        <v>172.1</v>
      </c>
      <c r="Y1810">
        <v>49.9</v>
      </c>
      <c r="Z1810">
        <v>49.9</v>
      </c>
      <c r="AA1810">
        <v>0</v>
      </c>
      <c r="AB1810" t="s">
        <v>363</v>
      </c>
      <c r="AF1810" t="s">
        <v>702</v>
      </c>
      <c r="AG1810" t="s">
        <v>702</v>
      </c>
      <c r="AH1810" t="s">
        <v>325</v>
      </c>
      <c r="AI1810">
        <v>99999</v>
      </c>
      <c r="AJ1810">
        <v>99999</v>
      </c>
      <c r="AK1810">
        <v>699</v>
      </c>
      <c r="AL1810" t="b">
        <v>1</v>
      </c>
      <c r="AM1810" t="b">
        <v>1</v>
      </c>
      <c r="AN1810" t="b">
        <v>0</v>
      </c>
      <c r="AO1810">
        <v>99999</v>
      </c>
      <c r="AP1810" t="s">
        <v>64</v>
      </c>
      <c r="AR1810" t="b">
        <v>0</v>
      </c>
      <c r="AS1810">
        <v>12</v>
      </c>
      <c r="AT1810" t="s">
        <v>327</v>
      </c>
      <c r="AV1810" t="s">
        <v>711</v>
      </c>
    </row>
    <row r="1811" spans="1:48" x14ac:dyDescent="0.25">
      <c r="A1811" t="s">
        <v>3323</v>
      </c>
      <c r="B1811" t="s">
        <v>302</v>
      </c>
      <c r="C1811" t="s">
        <v>62</v>
      </c>
      <c r="D1811">
        <v>99999</v>
      </c>
      <c r="F1811" s="109">
        <v>4000</v>
      </c>
      <c r="G1811" t="b">
        <v>0</v>
      </c>
      <c r="H1811" t="s">
        <v>343</v>
      </c>
      <c r="K1811" t="s">
        <v>364</v>
      </c>
      <c r="L1811" t="s">
        <v>303</v>
      </c>
      <c r="M1811" t="s">
        <v>323</v>
      </c>
      <c r="N1811" t="s">
        <v>63</v>
      </c>
      <c r="O1811" s="110">
        <v>49.9</v>
      </c>
      <c r="R1811" s="110">
        <v>370.68999999999994</v>
      </c>
      <c r="S1811" s="110">
        <v>130</v>
      </c>
      <c r="T1811" s="110">
        <v>0</v>
      </c>
      <c r="U1811" s="110">
        <v>34.99</v>
      </c>
      <c r="X1811">
        <v>155.79999999999998</v>
      </c>
      <c r="Y1811">
        <v>49.9</v>
      </c>
      <c r="Z1811">
        <v>49.9</v>
      </c>
      <c r="AA1811">
        <v>0</v>
      </c>
      <c r="AB1811" t="s">
        <v>363</v>
      </c>
      <c r="AF1811" t="s">
        <v>2212</v>
      </c>
      <c r="AG1811" t="s">
        <v>2212</v>
      </c>
      <c r="AH1811" t="s">
        <v>325</v>
      </c>
      <c r="AI1811">
        <v>99999</v>
      </c>
      <c r="AJ1811">
        <v>99999</v>
      </c>
      <c r="AK1811">
        <v>699</v>
      </c>
      <c r="AL1811" t="b">
        <v>1</v>
      </c>
      <c r="AM1811" t="b">
        <v>1</v>
      </c>
      <c r="AN1811" t="b">
        <v>0</v>
      </c>
      <c r="AO1811">
        <v>99999</v>
      </c>
      <c r="AP1811" t="s">
        <v>64</v>
      </c>
      <c r="AR1811" t="b">
        <v>0</v>
      </c>
      <c r="AS1811">
        <v>12</v>
      </c>
      <c r="AT1811" t="s">
        <v>327</v>
      </c>
      <c r="AV1811" t="s">
        <v>2221</v>
      </c>
    </row>
    <row r="1812" spans="1:48" x14ac:dyDescent="0.25">
      <c r="A1812" t="s">
        <v>3323</v>
      </c>
      <c r="B1812" t="s">
        <v>302</v>
      </c>
      <c r="C1812" t="s">
        <v>62</v>
      </c>
      <c r="D1812">
        <v>99999</v>
      </c>
      <c r="F1812" s="109">
        <v>4000</v>
      </c>
      <c r="G1812" t="b">
        <v>0</v>
      </c>
      <c r="H1812" t="s">
        <v>343</v>
      </c>
      <c r="K1812" t="s">
        <v>364</v>
      </c>
      <c r="L1812" t="s">
        <v>303</v>
      </c>
      <c r="M1812" t="s">
        <v>323</v>
      </c>
      <c r="N1812" t="s">
        <v>63</v>
      </c>
      <c r="O1812" s="110">
        <v>49.9</v>
      </c>
      <c r="R1812" s="110">
        <v>384.99</v>
      </c>
      <c r="S1812" s="110">
        <v>130</v>
      </c>
      <c r="T1812" s="110">
        <v>0</v>
      </c>
      <c r="U1812" s="110">
        <v>42.99</v>
      </c>
      <c r="X1812">
        <v>162.1</v>
      </c>
      <c r="Y1812">
        <v>49.9</v>
      </c>
      <c r="Z1812">
        <v>49.9</v>
      </c>
      <c r="AA1812">
        <v>0</v>
      </c>
      <c r="AB1812" t="s">
        <v>363</v>
      </c>
      <c r="AF1812" t="s">
        <v>2286</v>
      </c>
      <c r="AG1812" t="s">
        <v>2286</v>
      </c>
      <c r="AH1812" t="s">
        <v>325</v>
      </c>
      <c r="AI1812">
        <v>99999</v>
      </c>
      <c r="AJ1812">
        <v>99999</v>
      </c>
      <c r="AK1812">
        <v>699</v>
      </c>
      <c r="AL1812" t="b">
        <v>1</v>
      </c>
      <c r="AM1812" t="b">
        <v>1</v>
      </c>
      <c r="AN1812" t="b">
        <v>0</v>
      </c>
      <c r="AO1812">
        <v>99999</v>
      </c>
      <c r="AP1812" t="s">
        <v>64</v>
      </c>
      <c r="AR1812" t="b">
        <v>0</v>
      </c>
      <c r="AS1812">
        <v>12</v>
      </c>
      <c r="AT1812" t="s">
        <v>327</v>
      </c>
      <c r="AV1812" t="s">
        <v>2295</v>
      </c>
    </row>
    <row r="1813" spans="1:48" x14ac:dyDescent="0.25">
      <c r="A1813" t="s">
        <v>3323</v>
      </c>
      <c r="B1813" t="s">
        <v>302</v>
      </c>
      <c r="C1813" t="s">
        <v>62</v>
      </c>
      <c r="D1813">
        <v>99999</v>
      </c>
      <c r="F1813" s="109">
        <v>4000</v>
      </c>
      <c r="G1813" t="b">
        <v>0</v>
      </c>
      <c r="H1813" t="s">
        <v>343</v>
      </c>
      <c r="K1813" t="s">
        <v>364</v>
      </c>
      <c r="L1813" t="s">
        <v>303</v>
      </c>
      <c r="M1813" t="s">
        <v>323</v>
      </c>
      <c r="N1813" t="s">
        <v>63</v>
      </c>
      <c r="O1813" s="110">
        <v>49.9</v>
      </c>
      <c r="R1813" s="110">
        <v>399.99</v>
      </c>
      <c r="S1813" s="110">
        <v>130</v>
      </c>
      <c r="T1813" s="110">
        <v>0</v>
      </c>
      <c r="U1813" s="110">
        <v>42.99</v>
      </c>
      <c r="X1813">
        <v>177.1</v>
      </c>
      <c r="Y1813">
        <v>49.9</v>
      </c>
      <c r="Z1813">
        <v>49.9</v>
      </c>
      <c r="AA1813">
        <v>0</v>
      </c>
      <c r="AB1813" t="s">
        <v>363</v>
      </c>
      <c r="AF1813" t="s">
        <v>2353</v>
      </c>
      <c r="AG1813" t="s">
        <v>2353</v>
      </c>
      <c r="AH1813" t="s">
        <v>325</v>
      </c>
      <c r="AI1813">
        <v>99999</v>
      </c>
      <c r="AJ1813">
        <v>99999</v>
      </c>
      <c r="AK1813">
        <v>699</v>
      </c>
      <c r="AL1813" t="b">
        <v>1</v>
      </c>
      <c r="AM1813" t="b">
        <v>1</v>
      </c>
      <c r="AN1813" t="b">
        <v>0</v>
      </c>
      <c r="AO1813">
        <v>99999</v>
      </c>
      <c r="AP1813" t="s">
        <v>64</v>
      </c>
      <c r="AR1813" t="b">
        <v>0</v>
      </c>
      <c r="AS1813">
        <v>12</v>
      </c>
      <c r="AT1813" t="s">
        <v>327</v>
      </c>
      <c r="AV1813" t="s">
        <v>2362</v>
      </c>
    </row>
    <row r="1814" spans="1:48" x14ac:dyDescent="0.25">
      <c r="A1814" t="s">
        <v>3323</v>
      </c>
      <c r="B1814" t="s">
        <v>302</v>
      </c>
      <c r="C1814" t="s">
        <v>62</v>
      </c>
      <c r="D1814">
        <v>99999</v>
      </c>
      <c r="F1814" s="109">
        <v>4000</v>
      </c>
      <c r="G1814" t="b">
        <v>0</v>
      </c>
      <c r="H1814" t="s">
        <v>343</v>
      </c>
      <c r="K1814" t="s">
        <v>364</v>
      </c>
      <c r="L1814" t="s">
        <v>303</v>
      </c>
      <c r="M1814" t="s">
        <v>323</v>
      </c>
      <c r="N1814" t="s">
        <v>63</v>
      </c>
      <c r="O1814" s="110">
        <v>49.9</v>
      </c>
      <c r="R1814" s="110">
        <v>394.99</v>
      </c>
      <c r="S1814" s="110">
        <v>130</v>
      </c>
      <c r="T1814" s="110">
        <v>0</v>
      </c>
      <c r="U1814" s="110">
        <v>42.99</v>
      </c>
      <c r="X1814">
        <v>172.1</v>
      </c>
      <c r="Y1814">
        <v>49.9</v>
      </c>
      <c r="Z1814">
        <v>49.9</v>
      </c>
      <c r="AA1814">
        <v>0</v>
      </c>
      <c r="AB1814" t="s">
        <v>363</v>
      </c>
      <c r="AF1814" t="s">
        <v>2420</v>
      </c>
      <c r="AG1814" t="s">
        <v>2420</v>
      </c>
      <c r="AH1814" t="s">
        <v>325</v>
      </c>
      <c r="AI1814">
        <v>99999</v>
      </c>
      <c r="AJ1814">
        <v>99999</v>
      </c>
      <c r="AK1814">
        <v>699</v>
      </c>
      <c r="AL1814" t="b">
        <v>1</v>
      </c>
      <c r="AM1814" t="b">
        <v>1</v>
      </c>
      <c r="AN1814" t="b">
        <v>0</v>
      </c>
      <c r="AO1814">
        <v>99999</v>
      </c>
      <c r="AP1814" t="s">
        <v>64</v>
      </c>
      <c r="AR1814" t="b">
        <v>0</v>
      </c>
      <c r="AS1814">
        <v>12</v>
      </c>
      <c r="AT1814" t="s">
        <v>327</v>
      </c>
      <c r="AV1814" t="s">
        <v>2429</v>
      </c>
    </row>
    <row r="1815" spans="1:48" x14ac:dyDescent="0.25">
      <c r="A1815" t="s">
        <v>3323</v>
      </c>
      <c r="B1815" t="s">
        <v>302</v>
      </c>
      <c r="C1815" t="s">
        <v>62</v>
      </c>
      <c r="D1815">
        <v>99999</v>
      </c>
      <c r="F1815" s="109">
        <v>4000</v>
      </c>
      <c r="G1815" t="b">
        <v>0</v>
      </c>
      <c r="H1815" t="s">
        <v>343</v>
      </c>
      <c r="K1815" t="s">
        <v>379</v>
      </c>
      <c r="L1815" t="s">
        <v>303</v>
      </c>
      <c r="M1815" t="s">
        <v>323</v>
      </c>
      <c r="N1815" t="s">
        <v>63</v>
      </c>
      <c r="O1815">
        <v>29.9</v>
      </c>
      <c r="R1815">
        <v>304.89</v>
      </c>
      <c r="S1815">
        <v>39.9</v>
      </c>
      <c r="T1815" s="110">
        <v>0</v>
      </c>
      <c r="U1815">
        <v>42.99</v>
      </c>
      <c r="X1815">
        <v>162.1</v>
      </c>
      <c r="Y1815">
        <v>59.9</v>
      </c>
      <c r="Z1815">
        <v>59.9</v>
      </c>
      <c r="AA1815">
        <v>0</v>
      </c>
      <c r="AB1815" t="s">
        <v>363</v>
      </c>
      <c r="AF1815" t="s">
        <v>365</v>
      </c>
      <c r="AG1815" t="s">
        <v>365</v>
      </c>
      <c r="AH1815" t="s">
        <v>325</v>
      </c>
      <c r="AI1815">
        <v>99999</v>
      </c>
      <c r="AJ1815">
        <v>99999</v>
      </c>
      <c r="AK1815">
        <v>699</v>
      </c>
      <c r="AL1815" t="b">
        <v>1</v>
      </c>
      <c r="AM1815" t="b">
        <v>1</v>
      </c>
      <c r="AN1815" t="b">
        <v>0</v>
      </c>
      <c r="AO1815">
        <v>99999</v>
      </c>
      <c r="AP1815" t="s">
        <v>64</v>
      </c>
      <c r="AR1815" t="b">
        <v>0</v>
      </c>
      <c r="AS1815">
        <v>12</v>
      </c>
      <c r="AT1815" t="s">
        <v>327</v>
      </c>
      <c r="AV1815" t="s">
        <v>388</v>
      </c>
    </row>
    <row r="1816" spans="1:48" x14ac:dyDescent="0.25">
      <c r="A1816" t="s">
        <v>3323</v>
      </c>
      <c r="B1816" t="s">
        <v>302</v>
      </c>
      <c r="C1816" t="s">
        <v>62</v>
      </c>
      <c r="D1816">
        <v>99999</v>
      </c>
      <c r="F1816" s="109">
        <v>4000</v>
      </c>
      <c r="G1816" t="b">
        <v>0</v>
      </c>
      <c r="H1816" t="s">
        <v>343</v>
      </c>
      <c r="K1816" t="s">
        <v>379</v>
      </c>
      <c r="L1816" t="s">
        <v>303</v>
      </c>
      <c r="M1816" t="s">
        <v>323</v>
      </c>
      <c r="N1816" t="s">
        <v>63</v>
      </c>
      <c r="O1816" s="110">
        <v>29.9</v>
      </c>
      <c r="R1816" s="110">
        <v>319.89</v>
      </c>
      <c r="S1816" s="110">
        <v>39.9</v>
      </c>
      <c r="T1816" s="110">
        <v>0</v>
      </c>
      <c r="U1816" s="110">
        <v>42.99</v>
      </c>
      <c r="X1816">
        <v>177.1</v>
      </c>
      <c r="Y1816">
        <v>59.9</v>
      </c>
      <c r="Z1816">
        <v>59.9</v>
      </c>
      <c r="AA1816">
        <v>0</v>
      </c>
      <c r="AB1816" t="s">
        <v>363</v>
      </c>
      <c r="AF1816" t="s">
        <v>501</v>
      </c>
      <c r="AG1816" t="s">
        <v>501</v>
      </c>
      <c r="AH1816" t="s">
        <v>325</v>
      </c>
      <c r="AI1816">
        <v>99999</v>
      </c>
      <c r="AJ1816">
        <v>99999</v>
      </c>
      <c r="AK1816">
        <v>699</v>
      </c>
      <c r="AL1816" t="b">
        <v>1</v>
      </c>
      <c r="AM1816" t="b">
        <v>1</v>
      </c>
      <c r="AN1816" t="b">
        <v>0</v>
      </c>
      <c r="AO1816">
        <v>99999</v>
      </c>
      <c r="AP1816" t="s">
        <v>64</v>
      </c>
      <c r="AR1816" t="b">
        <v>0</v>
      </c>
      <c r="AS1816">
        <v>12</v>
      </c>
      <c r="AT1816" t="s">
        <v>327</v>
      </c>
      <c r="AV1816" t="s">
        <v>523</v>
      </c>
    </row>
    <row r="1817" spans="1:48" x14ac:dyDescent="0.25">
      <c r="A1817" t="s">
        <v>3323</v>
      </c>
      <c r="B1817" t="s">
        <v>302</v>
      </c>
      <c r="C1817" t="s">
        <v>62</v>
      </c>
      <c r="D1817">
        <v>99999</v>
      </c>
      <c r="F1817" s="109">
        <v>4000</v>
      </c>
      <c r="G1817" t="b">
        <v>0</v>
      </c>
      <c r="H1817" t="s">
        <v>343</v>
      </c>
      <c r="K1817" t="s">
        <v>379</v>
      </c>
      <c r="L1817" t="s">
        <v>303</v>
      </c>
      <c r="M1817" t="s">
        <v>323</v>
      </c>
      <c r="N1817" t="s">
        <v>63</v>
      </c>
      <c r="O1817">
        <v>29.9</v>
      </c>
      <c r="R1817">
        <v>334.89</v>
      </c>
      <c r="S1817">
        <v>59.9</v>
      </c>
      <c r="T1817" s="110">
        <v>0</v>
      </c>
      <c r="U1817">
        <v>42.99</v>
      </c>
      <c r="X1817">
        <v>172.1</v>
      </c>
      <c r="Y1817">
        <v>59.9</v>
      </c>
      <c r="Z1817">
        <v>59.9</v>
      </c>
      <c r="AA1817">
        <v>0</v>
      </c>
      <c r="AB1817" t="s">
        <v>363</v>
      </c>
      <c r="AF1817" t="s">
        <v>635</v>
      </c>
      <c r="AG1817" t="s">
        <v>635</v>
      </c>
      <c r="AH1817" t="s">
        <v>325</v>
      </c>
      <c r="AI1817">
        <v>99999</v>
      </c>
      <c r="AJ1817">
        <v>99999</v>
      </c>
      <c r="AK1817">
        <v>699</v>
      </c>
      <c r="AL1817" t="b">
        <v>1</v>
      </c>
      <c r="AM1817" t="b">
        <v>1</v>
      </c>
      <c r="AN1817" t="b">
        <v>0</v>
      </c>
      <c r="AO1817">
        <v>99999</v>
      </c>
      <c r="AP1817" t="s">
        <v>64</v>
      </c>
      <c r="AR1817" t="b">
        <v>0</v>
      </c>
      <c r="AS1817">
        <v>12</v>
      </c>
      <c r="AT1817" t="s">
        <v>327</v>
      </c>
      <c r="AV1817" t="s">
        <v>657</v>
      </c>
    </row>
    <row r="1818" spans="1:48" x14ac:dyDescent="0.25">
      <c r="A1818" t="s">
        <v>3323</v>
      </c>
      <c r="B1818" t="s">
        <v>302</v>
      </c>
      <c r="C1818" t="s">
        <v>62</v>
      </c>
      <c r="D1818">
        <v>99999</v>
      </c>
      <c r="F1818" s="109">
        <v>4000</v>
      </c>
      <c r="G1818" t="b">
        <v>0</v>
      </c>
      <c r="H1818" t="s">
        <v>343</v>
      </c>
      <c r="K1818" t="s">
        <v>379</v>
      </c>
      <c r="L1818" t="s">
        <v>303</v>
      </c>
      <c r="M1818" t="s">
        <v>323</v>
      </c>
      <c r="N1818" t="s">
        <v>63</v>
      </c>
      <c r="O1818" s="110">
        <v>39.9</v>
      </c>
      <c r="R1818" s="110">
        <v>304.89</v>
      </c>
      <c r="S1818" s="110">
        <v>39.9</v>
      </c>
      <c r="T1818" s="110">
        <v>0</v>
      </c>
      <c r="U1818" s="110">
        <v>42.99</v>
      </c>
      <c r="X1818">
        <v>162.1</v>
      </c>
      <c r="Y1818">
        <v>59.9</v>
      </c>
      <c r="Z1818">
        <v>59.9</v>
      </c>
      <c r="AA1818">
        <v>0</v>
      </c>
      <c r="AB1818" t="s">
        <v>363</v>
      </c>
      <c r="AF1818" t="s">
        <v>434</v>
      </c>
      <c r="AG1818" t="s">
        <v>434</v>
      </c>
      <c r="AH1818" t="s">
        <v>325</v>
      </c>
      <c r="AI1818">
        <v>99999</v>
      </c>
      <c r="AJ1818">
        <v>99999</v>
      </c>
      <c r="AK1818">
        <v>699</v>
      </c>
      <c r="AL1818" t="b">
        <v>1</v>
      </c>
      <c r="AM1818" t="b">
        <v>1</v>
      </c>
      <c r="AN1818" t="b">
        <v>0</v>
      </c>
      <c r="AO1818">
        <v>99999</v>
      </c>
      <c r="AP1818" t="s">
        <v>64</v>
      </c>
      <c r="AR1818" t="b">
        <v>0</v>
      </c>
      <c r="AS1818">
        <v>12</v>
      </c>
      <c r="AT1818" t="s">
        <v>327</v>
      </c>
      <c r="AV1818" t="s">
        <v>456</v>
      </c>
    </row>
    <row r="1819" spans="1:48" x14ac:dyDescent="0.25">
      <c r="A1819" t="s">
        <v>3323</v>
      </c>
      <c r="B1819" t="s">
        <v>302</v>
      </c>
      <c r="C1819" t="s">
        <v>62</v>
      </c>
      <c r="D1819">
        <v>99999</v>
      </c>
      <c r="F1819" s="109">
        <v>4000</v>
      </c>
      <c r="G1819" t="b">
        <v>0</v>
      </c>
      <c r="H1819" t="s">
        <v>343</v>
      </c>
      <c r="K1819" t="s">
        <v>379</v>
      </c>
      <c r="L1819" t="s">
        <v>303</v>
      </c>
      <c r="M1819" t="s">
        <v>323</v>
      </c>
      <c r="N1819" t="s">
        <v>63</v>
      </c>
      <c r="O1819">
        <v>39.9</v>
      </c>
      <c r="R1819">
        <v>319.89</v>
      </c>
      <c r="S1819">
        <v>39.9</v>
      </c>
      <c r="T1819" s="110">
        <v>0</v>
      </c>
      <c r="U1819">
        <v>42.99</v>
      </c>
      <c r="X1819">
        <v>177.1</v>
      </c>
      <c r="Y1819">
        <v>59.9</v>
      </c>
      <c r="Z1819">
        <v>59.9</v>
      </c>
      <c r="AA1819">
        <v>0</v>
      </c>
      <c r="AB1819" t="s">
        <v>363</v>
      </c>
      <c r="AF1819" t="s">
        <v>568</v>
      </c>
      <c r="AG1819" t="s">
        <v>568</v>
      </c>
      <c r="AH1819" t="s">
        <v>325</v>
      </c>
      <c r="AI1819">
        <v>99999</v>
      </c>
      <c r="AJ1819">
        <v>99999</v>
      </c>
      <c r="AK1819">
        <v>699</v>
      </c>
      <c r="AL1819" t="b">
        <v>1</v>
      </c>
      <c r="AM1819" t="b">
        <v>1</v>
      </c>
      <c r="AN1819" t="b">
        <v>0</v>
      </c>
      <c r="AO1819">
        <v>99999</v>
      </c>
      <c r="AP1819" t="s">
        <v>64</v>
      </c>
      <c r="AR1819" t="b">
        <v>0</v>
      </c>
      <c r="AS1819">
        <v>12</v>
      </c>
      <c r="AT1819" t="s">
        <v>327</v>
      </c>
      <c r="AV1819" t="s">
        <v>590</v>
      </c>
    </row>
    <row r="1820" spans="1:48" x14ac:dyDescent="0.25">
      <c r="A1820" t="s">
        <v>3323</v>
      </c>
      <c r="B1820" t="s">
        <v>302</v>
      </c>
      <c r="C1820" t="s">
        <v>62</v>
      </c>
      <c r="D1820">
        <v>99999</v>
      </c>
      <c r="F1820" s="109">
        <v>4000</v>
      </c>
      <c r="G1820" t="b">
        <v>0</v>
      </c>
      <c r="H1820" t="s">
        <v>343</v>
      </c>
      <c r="K1820" t="s">
        <v>379</v>
      </c>
      <c r="L1820" t="s">
        <v>303</v>
      </c>
      <c r="M1820" t="s">
        <v>323</v>
      </c>
      <c r="N1820" t="s">
        <v>63</v>
      </c>
      <c r="O1820">
        <v>39.9</v>
      </c>
      <c r="R1820">
        <v>334.89</v>
      </c>
      <c r="S1820">
        <v>59.9</v>
      </c>
      <c r="T1820" s="110">
        <v>0</v>
      </c>
      <c r="U1820">
        <v>42.99</v>
      </c>
      <c r="X1820">
        <v>172.1</v>
      </c>
      <c r="Y1820">
        <v>59.9</v>
      </c>
      <c r="Z1820">
        <v>59.9</v>
      </c>
      <c r="AA1820">
        <v>0</v>
      </c>
      <c r="AB1820" t="s">
        <v>363</v>
      </c>
      <c r="AF1820" t="s">
        <v>702</v>
      </c>
      <c r="AG1820" t="s">
        <v>702</v>
      </c>
      <c r="AH1820" t="s">
        <v>325</v>
      </c>
      <c r="AI1820">
        <v>99999</v>
      </c>
      <c r="AJ1820">
        <v>99999</v>
      </c>
      <c r="AK1820">
        <v>699</v>
      </c>
      <c r="AL1820" t="b">
        <v>1</v>
      </c>
      <c r="AM1820" t="b">
        <v>1</v>
      </c>
      <c r="AN1820" t="b">
        <v>0</v>
      </c>
      <c r="AO1820">
        <v>99999</v>
      </c>
      <c r="AP1820" t="s">
        <v>64</v>
      </c>
      <c r="AR1820" t="b">
        <v>0</v>
      </c>
      <c r="AS1820">
        <v>12</v>
      </c>
      <c r="AT1820" t="s">
        <v>327</v>
      </c>
      <c r="AV1820" t="s">
        <v>724</v>
      </c>
    </row>
    <row r="1821" spans="1:48" x14ac:dyDescent="0.25">
      <c r="A1821" t="s">
        <v>3323</v>
      </c>
      <c r="B1821" t="s">
        <v>302</v>
      </c>
      <c r="C1821" t="s">
        <v>62</v>
      </c>
      <c r="D1821">
        <v>99999</v>
      </c>
      <c r="F1821" s="109">
        <v>4000</v>
      </c>
      <c r="G1821" t="b">
        <v>0</v>
      </c>
      <c r="H1821" t="s">
        <v>343</v>
      </c>
      <c r="K1821" t="s">
        <v>379</v>
      </c>
      <c r="L1821" t="s">
        <v>303</v>
      </c>
      <c r="M1821" t="s">
        <v>323</v>
      </c>
      <c r="N1821" t="s">
        <v>63</v>
      </c>
      <c r="O1821" s="110">
        <v>49.9</v>
      </c>
      <c r="R1821" s="110">
        <v>380.68999999999994</v>
      </c>
      <c r="S1821" s="110">
        <v>130</v>
      </c>
      <c r="T1821" s="110">
        <v>0</v>
      </c>
      <c r="U1821" s="110">
        <v>34.99</v>
      </c>
      <c r="X1821">
        <v>155.79999999999998</v>
      </c>
      <c r="Y1821">
        <v>59.9</v>
      </c>
      <c r="Z1821">
        <v>59.9</v>
      </c>
      <c r="AA1821">
        <v>0</v>
      </c>
      <c r="AB1821" t="s">
        <v>363</v>
      </c>
      <c r="AF1821" t="s">
        <v>2212</v>
      </c>
      <c r="AG1821" t="s">
        <v>2212</v>
      </c>
      <c r="AH1821" t="s">
        <v>325</v>
      </c>
      <c r="AI1821">
        <v>99999</v>
      </c>
      <c r="AJ1821">
        <v>99999</v>
      </c>
      <c r="AK1821">
        <v>699</v>
      </c>
      <c r="AL1821" t="b">
        <v>1</v>
      </c>
      <c r="AM1821" t="b">
        <v>1</v>
      </c>
      <c r="AN1821" t="b">
        <v>0</v>
      </c>
      <c r="AO1821">
        <v>99999</v>
      </c>
      <c r="AP1821" t="s">
        <v>64</v>
      </c>
      <c r="AR1821" t="b">
        <v>0</v>
      </c>
      <c r="AS1821">
        <v>12</v>
      </c>
      <c r="AT1821" t="s">
        <v>327</v>
      </c>
      <c r="AV1821" t="s">
        <v>2234</v>
      </c>
    </row>
    <row r="1822" spans="1:48" x14ac:dyDescent="0.25">
      <c r="A1822" t="s">
        <v>3323</v>
      </c>
      <c r="B1822" t="s">
        <v>302</v>
      </c>
      <c r="C1822" t="s">
        <v>62</v>
      </c>
      <c r="D1822">
        <v>99999</v>
      </c>
      <c r="F1822" s="109">
        <v>4000</v>
      </c>
      <c r="G1822" t="b">
        <v>0</v>
      </c>
      <c r="H1822" t="s">
        <v>343</v>
      </c>
      <c r="K1822" t="s">
        <v>379</v>
      </c>
      <c r="L1822" t="s">
        <v>303</v>
      </c>
      <c r="M1822" t="s">
        <v>323</v>
      </c>
      <c r="N1822" t="s">
        <v>63</v>
      </c>
      <c r="O1822" s="110">
        <v>49.9</v>
      </c>
      <c r="R1822" s="110">
        <v>394.99</v>
      </c>
      <c r="S1822" s="110">
        <v>130</v>
      </c>
      <c r="T1822" s="110">
        <v>0</v>
      </c>
      <c r="U1822" s="110">
        <v>42.99</v>
      </c>
      <c r="X1822">
        <v>162.1</v>
      </c>
      <c r="Y1822">
        <v>59.9</v>
      </c>
      <c r="Z1822">
        <v>59.9</v>
      </c>
      <c r="AA1822">
        <v>0</v>
      </c>
      <c r="AB1822" t="s">
        <v>363</v>
      </c>
      <c r="AF1822" t="s">
        <v>2286</v>
      </c>
      <c r="AG1822" t="s">
        <v>2286</v>
      </c>
      <c r="AH1822" t="s">
        <v>325</v>
      </c>
      <c r="AI1822">
        <v>99999</v>
      </c>
      <c r="AJ1822">
        <v>99999</v>
      </c>
      <c r="AK1822">
        <v>699</v>
      </c>
      <c r="AL1822" t="b">
        <v>1</v>
      </c>
      <c r="AM1822" t="b">
        <v>1</v>
      </c>
      <c r="AN1822" t="b">
        <v>0</v>
      </c>
      <c r="AO1822">
        <v>99999</v>
      </c>
      <c r="AP1822" t="s">
        <v>64</v>
      </c>
      <c r="AR1822" t="b">
        <v>0</v>
      </c>
      <c r="AS1822">
        <v>12</v>
      </c>
      <c r="AT1822" t="s">
        <v>327</v>
      </c>
      <c r="AV1822" t="s">
        <v>2308</v>
      </c>
    </row>
    <row r="1823" spans="1:48" x14ac:dyDescent="0.25">
      <c r="A1823" t="s">
        <v>3323</v>
      </c>
      <c r="B1823" t="s">
        <v>302</v>
      </c>
      <c r="C1823" t="s">
        <v>62</v>
      </c>
      <c r="D1823">
        <v>99999</v>
      </c>
      <c r="F1823" s="109">
        <v>4000</v>
      </c>
      <c r="G1823" t="b">
        <v>0</v>
      </c>
      <c r="H1823" t="s">
        <v>343</v>
      </c>
      <c r="K1823" t="s">
        <v>379</v>
      </c>
      <c r="L1823" t="s">
        <v>303</v>
      </c>
      <c r="M1823" t="s">
        <v>323</v>
      </c>
      <c r="N1823" t="s">
        <v>63</v>
      </c>
      <c r="O1823" s="110">
        <v>49.9</v>
      </c>
      <c r="R1823" s="110">
        <v>409.99</v>
      </c>
      <c r="S1823" s="110">
        <v>130</v>
      </c>
      <c r="T1823" s="110">
        <v>0</v>
      </c>
      <c r="U1823" s="110">
        <v>42.99</v>
      </c>
      <c r="X1823">
        <v>177.1</v>
      </c>
      <c r="Y1823">
        <v>59.9</v>
      </c>
      <c r="Z1823">
        <v>59.9</v>
      </c>
      <c r="AA1823">
        <v>0</v>
      </c>
      <c r="AB1823" t="s">
        <v>363</v>
      </c>
      <c r="AF1823" t="s">
        <v>2353</v>
      </c>
      <c r="AG1823" t="s">
        <v>2353</v>
      </c>
      <c r="AH1823" t="s">
        <v>325</v>
      </c>
      <c r="AI1823">
        <v>99999</v>
      </c>
      <c r="AJ1823">
        <v>99999</v>
      </c>
      <c r="AK1823">
        <v>699</v>
      </c>
      <c r="AL1823" t="b">
        <v>1</v>
      </c>
      <c r="AM1823" t="b">
        <v>1</v>
      </c>
      <c r="AN1823" t="b">
        <v>0</v>
      </c>
      <c r="AO1823">
        <v>99999</v>
      </c>
      <c r="AP1823" t="s">
        <v>64</v>
      </c>
      <c r="AR1823" t="b">
        <v>0</v>
      </c>
      <c r="AS1823">
        <v>12</v>
      </c>
      <c r="AT1823" t="s">
        <v>327</v>
      </c>
      <c r="AV1823" t="s">
        <v>2375</v>
      </c>
    </row>
    <row r="1824" spans="1:48" x14ac:dyDescent="0.25">
      <c r="A1824" t="s">
        <v>3323</v>
      </c>
      <c r="B1824" t="s">
        <v>302</v>
      </c>
      <c r="C1824" t="s">
        <v>62</v>
      </c>
      <c r="D1824">
        <v>99999</v>
      </c>
      <c r="F1824" s="109">
        <v>4000</v>
      </c>
      <c r="G1824" t="b">
        <v>0</v>
      </c>
      <c r="H1824" t="s">
        <v>343</v>
      </c>
      <c r="K1824" t="s">
        <v>379</v>
      </c>
      <c r="L1824" t="s">
        <v>303</v>
      </c>
      <c r="M1824" t="s">
        <v>323</v>
      </c>
      <c r="N1824" t="s">
        <v>63</v>
      </c>
      <c r="O1824" s="110">
        <v>49.9</v>
      </c>
      <c r="R1824" s="110">
        <v>404.99</v>
      </c>
      <c r="S1824" s="110">
        <v>130</v>
      </c>
      <c r="T1824" s="110">
        <v>0</v>
      </c>
      <c r="U1824" s="110">
        <v>42.99</v>
      </c>
      <c r="X1824">
        <v>172.1</v>
      </c>
      <c r="Y1824">
        <v>59.9</v>
      </c>
      <c r="Z1824">
        <v>59.9</v>
      </c>
      <c r="AA1824">
        <v>0</v>
      </c>
      <c r="AB1824" t="s">
        <v>363</v>
      </c>
      <c r="AF1824" t="s">
        <v>2420</v>
      </c>
      <c r="AG1824" t="s">
        <v>2420</v>
      </c>
      <c r="AH1824" t="s">
        <v>325</v>
      </c>
      <c r="AI1824">
        <v>99999</v>
      </c>
      <c r="AJ1824">
        <v>99999</v>
      </c>
      <c r="AK1824">
        <v>699</v>
      </c>
      <c r="AL1824" t="b">
        <v>1</v>
      </c>
      <c r="AM1824" t="b">
        <v>1</v>
      </c>
      <c r="AN1824" t="b">
        <v>0</v>
      </c>
      <c r="AO1824">
        <v>99999</v>
      </c>
      <c r="AP1824" t="s">
        <v>64</v>
      </c>
      <c r="AR1824" t="b">
        <v>0</v>
      </c>
      <c r="AS1824">
        <v>12</v>
      </c>
      <c r="AT1824" t="s">
        <v>327</v>
      </c>
      <c r="AV1824" t="s">
        <v>2442</v>
      </c>
    </row>
    <row r="1825" spans="1:48" x14ac:dyDescent="0.25">
      <c r="A1825" t="s">
        <v>3323</v>
      </c>
      <c r="B1825" t="s">
        <v>302</v>
      </c>
      <c r="C1825" t="s">
        <v>62</v>
      </c>
      <c r="D1825">
        <v>99999</v>
      </c>
      <c r="F1825" s="109">
        <v>4000</v>
      </c>
      <c r="G1825" t="b">
        <v>0</v>
      </c>
      <c r="H1825" t="s">
        <v>343</v>
      </c>
      <c r="K1825" t="s">
        <v>61</v>
      </c>
      <c r="L1825" t="s">
        <v>303</v>
      </c>
      <c r="M1825" t="s">
        <v>323</v>
      </c>
      <c r="N1825" t="s">
        <v>63</v>
      </c>
      <c r="O1825">
        <v>29.9</v>
      </c>
      <c r="R1825">
        <v>289.89</v>
      </c>
      <c r="S1825">
        <v>39.9</v>
      </c>
      <c r="T1825" s="110">
        <v>0</v>
      </c>
      <c r="U1825">
        <v>42.99</v>
      </c>
      <c r="X1825">
        <v>162.1</v>
      </c>
      <c r="Y1825">
        <v>44.9</v>
      </c>
      <c r="Z1825">
        <v>44.9</v>
      </c>
      <c r="AA1825">
        <v>0</v>
      </c>
      <c r="AB1825" t="s">
        <v>324</v>
      </c>
      <c r="AF1825" t="s">
        <v>326</v>
      </c>
      <c r="AG1825" t="s">
        <v>326</v>
      </c>
      <c r="AH1825" t="s">
        <v>325</v>
      </c>
      <c r="AI1825">
        <v>99999</v>
      </c>
      <c r="AJ1825">
        <v>99999</v>
      </c>
      <c r="AK1825">
        <v>699</v>
      </c>
      <c r="AL1825" t="b">
        <v>1</v>
      </c>
      <c r="AM1825" t="b">
        <v>1</v>
      </c>
      <c r="AN1825" t="b">
        <v>0</v>
      </c>
      <c r="AO1825">
        <v>99999</v>
      </c>
      <c r="AP1825" t="s">
        <v>64</v>
      </c>
      <c r="AR1825" t="b">
        <v>0</v>
      </c>
      <c r="AS1825">
        <v>12</v>
      </c>
      <c r="AT1825" t="s">
        <v>327</v>
      </c>
      <c r="AV1825" t="s">
        <v>344</v>
      </c>
    </row>
    <row r="1826" spans="1:48" x14ac:dyDescent="0.25">
      <c r="A1826" t="s">
        <v>3323</v>
      </c>
      <c r="B1826" t="s">
        <v>302</v>
      </c>
      <c r="C1826" t="s">
        <v>62</v>
      </c>
      <c r="D1826">
        <v>99999</v>
      </c>
      <c r="F1826" s="109">
        <v>4000</v>
      </c>
      <c r="G1826" t="b">
        <v>0</v>
      </c>
      <c r="H1826" t="s">
        <v>343</v>
      </c>
      <c r="K1826" t="s">
        <v>61</v>
      </c>
      <c r="L1826" t="s">
        <v>303</v>
      </c>
      <c r="M1826" t="s">
        <v>323</v>
      </c>
      <c r="N1826" t="s">
        <v>63</v>
      </c>
      <c r="O1826" s="110">
        <v>29.9</v>
      </c>
      <c r="R1826" s="110">
        <v>304.89</v>
      </c>
      <c r="S1826" s="110">
        <v>39.9</v>
      </c>
      <c r="T1826" s="110">
        <v>0</v>
      </c>
      <c r="U1826" s="110">
        <v>42.99</v>
      </c>
      <c r="X1826">
        <v>177.1</v>
      </c>
      <c r="Y1826">
        <v>44.9</v>
      </c>
      <c r="Z1826">
        <v>44.9</v>
      </c>
      <c r="AA1826">
        <v>0</v>
      </c>
      <c r="AB1826" t="s">
        <v>324</v>
      </c>
      <c r="AF1826" t="s">
        <v>474</v>
      </c>
      <c r="AG1826" t="s">
        <v>474</v>
      </c>
      <c r="AH1826" t="s">
        <v>325</v>
      </c>
      <c r="AI1826">
        <v>99999</v>
      </c>
      <c r="AJ1826">
        <v>99999</v>
      </c>
      <c r="AK1826">
        <v>699</v>
      </c>
      <c r="AL1826" t="b">
        <v>1</v>
      </c>
      <c r="AM1826" t="b">
        <v>1</v>
      </c>
      <c r="AN1826" t="b">
        <v>0</v>
      </c>
      <c r="AO1826">
        <v>99999</v>
      </c>
      <c r="AP1826" t="s">
        <v>64</v>
      </c>
      <c r="AR1826" t="b">
        <v>0</v>
      </c>
      <c r="AS1826">
        <v>12</v>
      </c>
      <c r="AT1826" t="s">
        <v>327</v>
      </c>
      <c r="AV1826" t="s">
        <v>483</v>
      </c>
    </row>
    <row r="1827" spans="1:48" x14ac:dyDescent="0.25">
      <c r="A1827" t="s">
        <v>3323</v>
      </c>
      <c r="B1827" t="s">
        <v>302</v>
      </c>
      <c r="C1827" t="s">
        <v>62</v>
      </c>
      <c r="D1827">
        <v>99999</v>
      </c>
      <c r="F1827" s="109">
        <v>4000</v>
      </c>
      <c r="G1827" t="b">
        <v>0</v>
      </c>
      <c r="H1827" t="s">
        <v>343</v>
      </c>
      <c r="K1827" t="s">
        <v>61</v>
      </c>
      <c r="L1827" t="s">
        <v>303</v>
      </c>
      <c r="M1827" t="s">
        <v>323</v>
      </c>
      <c r="N1827" t="s">
        <v>63</v>
      </c>
      <c r="O1827">
        <v>29.9</v>
      </c>
      <c r="R1827">
        <v>319.89</v>
      </c>
      <c r="S1827">
        <v>59.9</v>
      </c>
      <c r="T1827" s="110">
        <v>0</v>
      </c>
      <c r="U1827">
        <v>42.99</v>
      </c>
      <c r="X1827">
        <v>172.1</v>
      </c>
      <c r="Y1827">
        <v>44.9</v>
      </c>
      <c r="Z1827">
        <v>44.9</v>
      </c>
      <c r="AA1827">
        <v>0</v>
      </c>
      <c r="AB1827" t="s">
        <v>324</v>
      </c>
      <c r="AF1827" t="s">
        <v>608</v>
      </c>
      <c r="AG1827" t="s">
        <v>608</v>
      </c>
      <c r="AH1827" t="s">
        <v>325</v>
      </c>
      <c r="AI1827">
        <v>99999</v>
      </c>
      <c r="AJ1827">
        <v>99999</v>
      </c>
      <c r="AK1827">
        <v>699</v>
      </c>
      <c r="AL1827" t="b">
        <v>1</v>
      </c>
      <c r="AM1827" t="b">
        <v>1</v>
      </c>
      <c r="AN1827" t="b">
        <v>0</v>
      </c>
      <c r="AO1827">
        <v>99999</v>
      </c>
      <c r="AP1827" t="s">
        <v>64</v>
      </c>
      <c r="AR1827" t="b">
        <v>0</v>
      </c>
      <c r="AS1827">
        <v>12</v>
      </c>
      <c r="AT1827" t="s">
        <v>327</v>
      </c>
      <c r="AV1827" t="s">
        <v>617</v>
      </c>
    </row>
    <row r="1828" spans="1:48" x14ac:dyDescent="0.25">
      <c r="A1828" t="s">
        <v>3323</v>
      </c>
      <c r="B1828" t="s">
        <v>302</v>
      </c>
      <c r="C1828" t="s">
        <v>62</v>
      </c>
      <c r="D1828">
        <v>99999</v>
      </c>
      <c r="F1828" s="109">
        <v>4000</v>
      </c>
      <c r="G1828" t="b">
        <v>0</v>
      </c>
      <c r="H1828" t="s">
        <v>343</v>
      </c>
      <c r="K1828" t="s">
        <v>61</v>
      </c>
      <c r="L1828" t="s">
        <v>303</v>
      </c>
      <c r="M1828" t="s">
        <v>323</v>
      </c>
      <c r="N1828" t="s">
        <v>63</v>
      </c>
      <c r="O1828" s="110">
        <v>39.9</v>
      </c>
      <c r="R1828" s="110">
        <v>289.89</v>
      </c>
      <c r="S1828" s="110">
        <v>39.9</v>
      </c>
      <c r="T1828" s="110">
        <v>0</v>
      </c>
      <c r="U1828" s="110">
        <v>42.99</v>
      </c>
      <c r="X1828">
        <v>162.1</v>
      </c>
      <c r="Y1828">
        <v>44.9</v>
      </c>
      <c r="Z1828">
        <v>44.9</v>
      </c>
      <c r="AA1828">
        <v>0</v>
      </c>
      <c r="AB1828" t="s">
        <v>324</v>
      </c>
      <c r="AF1828" t="s">
        <v>407</v>
      </c>
      <c r="AG1828" t="s">
        <v>407</v>
      </c>
      <c r="AH1828" t="s">
        <v>325</v>
      </c>
      <c r="AI1828">
        <v>99999</v>
      </c>
      <c r="AJ1828">
        <v>99999</v>
      </c>
      <c r="AK1828">
        <v>699</v>
      </c>
      <c r="AL1828" t="b">
        <v>1</v>
      </c>
      <c r="AM1828" t="b">
        <v>1</v>
      </c>
      <c r="AN1828" t="b">
        <v>0</v>
      </c>
      <c r="AO1828">
        <v>99999</v>
      </c>
      <c r="AP1828" t="s">
        <v>64</v>
      </c>
      <c r="AR1828" t="b">
        <v>0</v>
      </c>
      <c r="AS1828">
        <v>12</v>
      </c>
      <c r="AT1828" t="s">
        <v>327</v>
      </c>
      <c r="AV1828" t="s">
        <v>416</v>
      </c>
    </row>
    <row r="1829" spans="1:48" x14ac:dyDescent="0.25">
      <c r="A1829" t="s">
        <v>3323</v>
      </c>
      <c r="B1829" t="s">
        <v>302</v>
      </c>
      <c r="C1829" t="s">
        <v>62</v>
      </c>
      <c r="D1829">
        <v>99999</v>
      </c>
      <c r="F1829" s="109">
        <v>4000</v>
      </c>
      <c r="G1829" t="b">
        <v>0</v>
      </c>
      <c r="H1829" t="s">
        <v>343</v>
      </c>
      <c r="K1829" t="s">
        <v>61</v>
      </c>
      <c r="L1829" t="s">
        <v>303</v>
      </c>
      <c r="M1829" t="s">
        <v>323</v>
      </c>
      <c r="N1829" t="s">
        <v>63</v>
      </c>
      <c r="O1829">
        <v>39.9</v>
      </c>
      <c r="R1829">
        <v>304.89</v>
      </c>
      <c r="S1829">
        <v>39.9</v>
      </c>
      <c r="T1829" s="110">
        <v>0</v>
      </c>
      <c r="U1829">
        <v>42.99</v>
      </c>
      <c r="X1829">
        <v>177.1</v>
      </c>
      <c r="Y1829">
        <v>44.9</v>
      </c>
      <c r="Z1829">
        <v>44.9</v>
      </c>
      <c r="AA1829">
        <v>0</v>
      </c>
      <c r="AB1829" t="s">
        <v>324</v>
      </c>
      <c r="AF1829" t="s">
        <v>541</v>
      </c>
      <c r="AG1829" t="s">
        <v>541</v>
      </c>
      <c r="AH1829" t="s">
        <v>325</v>
      </c>
      <c r="AI1829">
        <v>99999</v>
      </c>
      <c r="AJ1829">
        <v>99999</v>
      </c>
      <c r="AK1829">
        <v>699</v>
      </c>
      <c r="AL1829" t="b">
        <v>1</v>
      </c>
      <c r="AM1829" t="b">
        <v>1</v>
      </c>
      <c r="AN1829" t="b">
        <v>0</v>
      </c>
      <c r="AO1829">
        <v>99999</v>
      </c>
      <c r="AP1829" t="s">
        <v>64</v>
      </c>
      <c r="AR1829" t="b">
        <v>0</v>
      </c>
      <c r="AS1829">
        <v>12</v>
      </c>
      <c r="AT1829" t="s">
        <v>327</v>
      </c>
      <c r="AV1829" t="s">
        <v>550</v>
      </c>
    </row>
    <row r="1830" spans="1:48" x14ac:dyDescent="0.25">
      <c r="A1830" t="s">
        <v>3323</v>
      </c>
      <c r="B1830" t="s">
        <v>302</v>
      </c>
      <c r="C1830" t="s">
        <v>62</v>
      </c>
      <c r="D1830">
        <v>99999</v>
      </c>
      <c r="F1830" s="109">
        <v>4000</v>
      </c>
      <c r="G1830" t="b">
        <v>0</v>
      </c>
      <c r="H1830" t="s">
        <v>343</v>
      </c>
      <c r="K1830" t="s">
        <v>61</v>
      </c>
      <c r="L1830" t="s">
        <v>303</v>
      </c>
      <c r="M1830" t="s">
        <v>323</v>
      </c>
      <c r="N1830" t="s">
        <v>63</v>
      </c>
      <c r="O1830">
        <v>39.9</v>
      </c>
      <c r="R1830">
        <v>319.89</v>
      </c>
      <c r="S1830">
        <v>59.9</v>
      </c>
      <c r="T1830" s="110">
        <v>0</v>
      </c>
      <c r="U1830">
        <v>42.99</v>
      </c>
      <c r="X1830">
        <v>172.1</v>
      </c>
      <c r="Y1830">
        <v>44.9</v>
      </c>
      <c r="Z1830">
        <v>44.9</v>
      </c>
      <c r="AA1830">
        <v>0</v>
      </c>
      <c r="AB1830" t="s">
        <v>324</v>
      </c>
      <c r="AF1830" t="s">
        <v>675</v>
      </c>
      <c r="AG1830" t="s">
        <v>675</v>
      </c>
      <c r="AH1830" t="s">
        <v>325</v>
      </c>
      <c r="AI1830">
        <v>99999</v>
      </c>
      <c r="AJ1830">
        <v>99999</v>
      </c>
      <c r="AK1830">
        <v>699</v>
      </c>
      <c r="AL1830" t="b">
        <v>1</v>
      </c>
      <c r="AM1830" t="b">
        <v>1</v>
      </c>
      <c r="AN1830" t="b">
        <v>0</v>
      </c>
      <c r="AO1830">
        <v>99999</v>
      </c>
      <c r="AP1830" t="s">
        <v>64</v>
      </c>
      <c r="AR1830" t="b">
        <v>0</v>
      </c>
      <c r="AS1830">
        <v>12</v>
      </c>
      <c r="AT1830" t="s">
        <v>327</v>
      </c>
      <c r="AV1830" t="s">
        <v>684</v>
      </c>
    </row>
    <row r="1831" spans="1:48" x14ac:dyDescent="0.25">
      <c r="A1831" t="s">
        <v>3323</v>
      </c>
      <c r="B1831" t="s">
        <v>302</v>
      </c>
      <c r="C1831" t="s">
        <v>62</v>
      </c>
      <c r="D1831">
        <v>99999</v>
      </c>
      <c r="F1831" s="109">
        <v>4000</v>
      </c>
      <c r="G1831" t="b">
        <v>0</v>
      </c>
      <c r="H1831" t="s">
        <v>343</v>
      </c>
      <c r="K1831" t="s">
        <v>61</v>
      </c>
      <c r="L1831" t="s">
        <v>303</v>
      </c>
      <c r="M1831" t="s">
        <v>323</v>
      </c>
      <c r="N1831" t="s">
        <v>63</v>
      </c>
      <c r="O1831" s="110">
        <v>49.9</v>
      </c>
      <c r="R1831" s="110">
        <v>365.68999999999994</v>
      </c>
      <c r="S1831" s="110">
        <v>130</v>
      </c>
      <c r="T1831" s="110">
        <v>0</v>
      </c>
      <c r="U1831" s="110">
        <v>34.99</v>
      </c>
      <c r="X1831">
        <v>155.79999999999998</v>
      </c>
      <c r="Y1831">
        <v>44.9</v>
      </c>
      <c r="Z1831">
        <v>44.9</v>
      </c>
      <c r="AA1831">
        <v>0</v>
      </c>
      <c r="AB1831" t="s">
        <v>324</v>
      </c>
      <c r="AF1831" t="s">
        <v>2185</v>
      </c>
      <c r="AG1831" t="s">
        <v>2185</v>
      </c>
      <c r="AH1831" t="s">
        <v>325</v>
      </c>
      <c r="AI1831">
        <v>99999</v>
      </c>
      <c r="AJ1831">
        <v>99999</v>
      </c>
      <c r="AK1831">
        <v>699</v>
      </c>
      <c r="AL1831" t="b">
        <v>1</v>
      </c>
      <c r="AM1831" t="b">
        <v>1</v>
      </c>
      <c r="AN1831" t="b">
        <v>0</v>
      </c>
      <c r="AO1831">
        <v>99999</v>
      </c>
      <c r="AP1831" t="s">
        <v>64</v>
      </c>
      <c r="AR1831" t="b">
        <v>0</v>
      </c>
      <c r="AS1831">
        <v>12</v>
      </c>
      <c r="AT1831" t="s">
        <v>327</v>
      </c>
      <c r="AV1831" t="s">
        <v>2194</v>
      </c>
    </row>
    <row r="1832" spans="1:48" x14ac:dyDescent="0.25">
      <c r="A1832" t="s">
        <v>3323</v>
      </c>
      <c r="B1832" t="s">
        <v>302</v>
      </c>
      <c r="C1832" t="s">
        <v>62</v>
      </c>
      <c r="D1832">
        <v>99999</v>
      </c>
      <c r="F1832" s="109">
        <v>4000</v>
      </c>
      <c r="G1832" t="b">
        <v>0</v>
      </c>
      <c r="H1832" t="s">
        <v>343</v>
      </c>
      <c r="K1832" t="s">
        <v>61</v>
      </c>
      <c r="L1832" t="s">
        <v>303</v>
      </c>
      <c r="M1832" t="s">
        <v>323</v>
      </c>
      <c r="N1832" t="s">
        <v>63</v>
      </c>
      <c r="O1832" s="110">
        <v>49.9</v>
      </c>
      <c r="R1832" s="110">
        <v>379.99</v>
      </c>
      <c r="S1832" s="110">
        <v>130</v>
      </c>
      <c r="T1832" s="110">
        <v>0</v>
      </c>
      <c r="U1832" s="110">
        <v>42.99</v>
      </c>
      <c r="X1832">
        <v>162.1</v>
      </c>
      <c r="Y1832">
        <v>44.9</v>
      </c>
      <c r="Z1832">
        <v>44.9</v>
      </c>
      <c r="AA1832">
        <v>0</v>
      </c>
      <c r="AB1832" t="s">
        <v>324</v>
      </c>
      <c r="AF1832" t="s">
        <v>2259</v>
      </c>
      <c r="AG1832" t="s">
        <v>2259</v>
      </c>
      <c r="AH1832" t="s">
        <v>325</v>
      </c>
      <c r="AI1832">
        <v>99999</v>
      </c>
      <c r="AJ1832">
        <v>99999</v>
      </c>
      <c r="AK1832">
        <v>699</v>
      </c>
      <c r="AL1832" t="b">
        <v>1</v>
      </c>
      <c r="AM1832" t="b">
        <v>1</v>
      </c>
      <c r="AN1832" t="b">
        <v>0</v>
      </c>
      <c r="AO1832">
        <v>99999</v>
      </c>
      <c r="AP1832" t="s">
        <v>64</v>
      </c>
      <c r="AR1832" t="b">
        <v>0</v>
      </c>
      <c r="AS1832">
        <v>12</v>
      </c>
      <c r="AT1832" t="s">
        <v>327</v>
      </c>
      <c r="AV1832" t="s">
        <v>2268</v>
      </c>
    </row>
    <row r="1833" spans="1:48" x14ac:dyDescent="0.25">
      <c r="A1833" t="s">
        <v>3323</v>
      </c>
      <c r="B1833" t="s">
        <v>302</v>
      </c>
      <c r="C1833" t="s">
        <v>62</v>
      </c>
      <c r="D1833">
        <v>99999</v>
      </c>
      <c r="F1833" s="109">
        <v>4000</v>
      </c>
      <c r="G1833" t="b">
        <v>0</v>
      </c>
      <c r="H1833" t="s">
        <v>343</v>
      </c>
      <c r="K1833" t="s">
        <v>61</v>
      </c>
      <c r="L1833" t="s">
        <v>303</v>
      </c>
      <c r="M1833" t="s">
        <v>323</v>
      </c>
      <c r="N1833" t="s">
        <v>63</v>
      </c>
      <c r="O1833" s="110">
        <v>49.9</v>
      </c>
      <c r="R1833" s="110">
        <v>394.99</v>
      </c>
      <c r="S1833" s="110">
        <v>130</v>
      </c>
      <c r="T1833" s="110">
        <v>0</v>
      </c>
      <c r="U1833" s="110">
        <v>42.99</v>
      </c>
      <c r="X1833">
        <v>177.1</v>
      </c>
      <c r="Y1833">
        <v>44.9</v>
      </c>
      <c r="Z1833">
        <v>44.9</v>
      </c>
      <c r="AA1833">
        <v>0</v>
      </c>
      <c r="AB1833" t="s">
        <v>324</v>
      </c>
      <c r="AF1833" t="s">
        <v>2326</v>
      </c>
      <c r="AG1833" t="s">
        <v>2326</v>
      </c>
      <c r="AH1833" t="s">
        <v>325</v>
      </c>
      <c r="AI1833">
        <v>99999</v>
      </c>
      <c r="AJ1833">
        <v>99999</v>
      </c>
      <c r="AK1833">
        <v>699</v>
      </c>
      <c r="AL1833" t="b">
        <v>1</v>
      </c>
      <c r="AM1833" t="b">
        <v>1</v>
      </c>
      <c r="AN1833" t="b">
        <v>0</v>
      </c>
      <c r="AO1833">
        <v>99999</v>
      </c>
      <c r="AP1833" t="s">
        <v>64</v>
      </c>
      <c r="AR1833" t="b">
        <v>0</v>
      </c>
      <c r="AS1833">
        <v>12</v>
      </c>
      <c r="AT1833" t="s">
        <v>327</v>
      </c>
      <c r="AV1833" t="s">
        <v>2335</v>
      </c>
    </row>
    <row r="1834" spans="1:48" x14ac:dyDescent="0.25">
      <c r="A1834" t="s">
        <v>3323</v>
      </c>
      <c r="B1834" t="s">
        <v>302</v>
      </c>
      <c r="C1834" t="s">
        <v>62</v>
      </c>
      <c r="D1834">
        <v>99999</v>
      </c>
      <c r="F1834" s="109">
        <v>4000</v>
      </c>
      <c r="G1834" t="b">
        <v>0</v>
      </c>
      <c r="H1834" t="s">
        <v>343</v>
      </c>
      <c r="K1834" t="s">
        <v>61</v>
      </c>
      <c r="L1834" t="s">
        <v>303</v>
      </c>
      <c r="M1834" t="s">
        <v>323</v>
      </c>
      <c r="N1834" t="s">
        <v>63</v>
      </c>
      <c r="O1834" s="110">
        <v>49.9</v>
      </c>
      <c r="R1834" s="110">
        <v>389.99</v>
      </c>
      <c r="S1834" s="110">
        <v>130</v>
      </c>
      <c r="T1834" s="110">
        <v>0</v>
      </c>
      <c r="U1834" s="110">
        <v>42.99</v>
      </c>
      <c r="X1834">
        <v>172.1</v>
      </c>
      <c r="Y1834">
        <v>44.9</v>
      </c>
      <c r="Z1834">
        <v>44.9</v>
      </c>
      <c r="AA1834">
        <v>0</v>
      </c>
      <c r="AB1834" t="s">
        <v>324</v>
      </c>
      <c r="AF1834" t="s">
        <v>2393</v>
      </c>
      <c r="AG1834" t="s">
        <v>2393</v>
      </c>
      <c r="AH1834" t="s">
        <v>325</v>
      </c>
      <c r="AI1834">
        <v>99999</v>
      </c>
      <c r="AJ1834">
        <v>99999</v>
      </c>
      <c r="AK1834">
        <v>699</v>
      </c>
      <c r="AL1834" t="b">
        <v>1</v>
      </c>
      <c r="AM1834" t="b">
        <v>1</v>
      </c>
      <c r="AN1834" t="b">
        <v>0</v>
      </c>
      <c r="AO1834">
        <v>99999</v>
      </c>
      <c r="AP1834" t="s">
        <v>64</v>
      </c>
      <c r="AR1834" t="b">
        <v>0</v>
      </c>
      <c r="AS1834">
        <v>12</v>
      </c>
      <c r="AT1834" t="s">
        <v>327</v>
      </c>
      <c r="AV1834" t="s">
        <v>2402</v>
      </c>
    </row>
    <row r="1835" spans="1:48" x14ac:dyDescent="0.25">
      <c r="A1835" t="s">
        <v>3323</v>
      </c>
      <c r="B1835" t="s">
        <v>302</v>
      </c>
      <c r="C1835" t="s">
        <v>62</v>
      </c>
      <c r="D1835">
        <v>99999</v>
      </c>
      <c r="F1835" s="109">
        <v>4000</v>
      </c>
      <c r="G1835" t="b">
        <v>0</v>
      </c>
      <c r="H1835" t="s">
        <v>339</v>
      </c>
      <c r="K1835" t="s">
        <v>349</v>
      </c>
      <c r="L1835" t="s">
        <v>303</v>
      </c>
      <c r="M1835" t="s">
        <v>323</v>
      </c>
      <c r="N1835" t="s">
        <v>63</v>
      </c>
      <c r="O1835">
        <v>29.9</v>
      </c>
      <c r="R1835">
        <v>244.89</v>
      </c>
      <c r="S1835">
        <v>39.9</v>
      </c>
      <c r="T1835" s="110">
        <v>0</v>
      </c>
      <c r="U1835">
        <v>42.99</v>
      </c>
      <c r="X1835">
        <v>117.1</v>
      </c>
      <c r="Y1835">
        <v>44.9</v>
      </c>
      <c r="Z1835">
        <v>44.9</v>
      </c>
      <c r="AA1835">
        <v>0</v>
      </c>
      <c r="AB1835" t="s">
        <v>324</v>
      </c>
      <c r="AF1835" t="s">
        <v>326</v>
      </c>
      <c r="AG1835" t="s">
        <v>326</v>
      </c>
      <c r="AH1835" t="s">
        <v>325</v>
      </c>
      <c r="AI1835">
        <v>99999</v>
      </c>
      <c r="AJ1835">
        <v>99999</v>
      </c>
      <c r="AK1835">
        <v>699</v>
      </c>
      <c r="AL1835" t="b">
        <v>1</v>
      </c>
      <c r="AM1835" t="b">
        <v>1</v>
      </c>
      <c r="AN1835" t="b">
        <v>0</v>
      </c>
      <c r="AO1835">
        <v>99999</v>
      </c>
      <c r="AP1835" t="s">
        <v>64</v>
      </c>
      <c r="AR1835" t="b">
        <v>0</v>
      </c>
      <c r="AS1835">
        <v>12</v>
      </c>
      <c r="AT1835" t="s">
        <v>327</v>
      </c>
      <c r="AV1835" t="s">
        <v>356</v>
      </c>
    </row>
    <row r="1836" spans="1:48" x14ac:dyDescent="0.25">
      <c r="A1836" t="s">
        <v>3323</v>
      </c>
      <c r="B1836" t="s">
        <v>302</v>
      </c>
      <c r="C1836" t="s">
        <v>62</v>
      </c>
      <c r="D1836">
        <v>99999</v>
      </c>
      <c r="F1836" s="109">
        <v>4000</v>
      </c>
      <c r="G1836" t="b">
        <v>0</v>
      </c>
      <c r="H1836" t="s">
        <v>339</v>
      </c>
      <c r="K1836" t="s">
        <v>349</v>
      </c>
      <c r="L1836" t="s">
        <v>303</v>
      </c>
      <c r="M1836" t="s">
        <v>323</v>
      </c>
      <c r="N1836" t="s">
        <v>63</v>
      </c>
      <c r="O1836" s="110">
        <v>29.9</v>
      </c>
      <c r="R1836" s="110">
        <v>259.89</v>
      </c>
      <c r="S1836" s="110">
        <v>39.9</v>
      </c>
      <c r="T1836" s="110">
        <v>0</v>
      </c>
      <c r="U1836" s="110">
        <v>42.99</v>
      </c>
      <c r="X1836">
        <v>132.1</v>
      </c>
      <c r="Y1836">
        <v>44.9</v>
      </c>
      <c r="Z1836">
        <v>44.9</v>
      </c>
      <c r="AA1836">
        <v>0</v>
      </c>
      <c r="AB1836" t="s">
        <v>324</v>
      </c>
      <c r="AF1836" t="s">
        <v>474</v>
      </c>
      <c r="AG1836" t="s">
        <v>474</v>
      </c>
      <c r="AH1836" t="s">
        <v>325</v>
      </c>
      <c r="AI1836">
        <v>99999</v>
      </c>
      <c r="AJ1836">
        <v>99999</v>
      </c>
      <c r="AK1836">
        <v>699</v>
      </c>
      <c r="AL1836" t="b">
        <v>1</v>
      </c>
      <c r="AM1836" t="b">
        <v>1</v>
      </c>
      <c r="AN1836" t="b">
        <v>0</v>
      </c>
      <c r="AO1836">
        <v>99999</v>
      </c>
      <c r="AP1836" t="s">
        <v>64</v>
      </c>
      <c r="AR1836" t="b">
        <v>0</v>
      </c>
      <c r="AS1836">
        <v>12</v>
      </c>
      <c r="AT1836" t="s">
        <v>327</v>
      </c>
      <c r="AV1836" t="s">
        <v>494</v>
      </c>
    </row>
    <row r="1837" spans="1:48" x14ac:dyDescent="0.25">
      <c r="A1837" t="s">
        <v>3323</v>
      </c>
      <c r="B1837" t="s">
        <v>302</v>
      </c>
      <c r="C1837" t="s">
        <v>62</v>
      </c>
      <c r="D1837">
        <v>99999</v>
      </c>
      <c r="F1837" s="109">
        <v>4000</v>
      </c>
      <c r="G1837" t="b">
        <v>0</v>
      </c>
      <c r="H1837" t="s">
        <v>339</v>
      </c>
      <c r="K1837" t="s">
        <v>349</v>
      </c>
      <c r="L1837" t="s">
        <v>303</v>
      </c>
      <c r="M1837" t="s">
        <v>323</v>
      </c>
      <c r="N1837" t="s">
        <v>63</v>
      </c>
      <c r="O1837">
        <v>29.9</v>
      </c>
      <c r="R1837">
        <v>274.89</v>
      </c>
      <c r="S1837">
        <v>59.9</v>
      </c>
      <c r="T1837" s="110">
        <v>0</v>
      </c>
      <c r="U1837">
        <v>42.99</v>
      </c>
      <c r="X1837">
        <v>127.1</v>
      </c>
      <c r="Y1837">
        <v>44.9</v>
      </c>
      <c r="Z1837">
        <v>44.9</v>
      </c>
      <c r="AA1837">
        <v>0</v>
      </c>
      <c r="AB1837" t="s">
        <v>324</v>
      </c>
      <c r="AF1837" t="s">
        <v>608</v>
      </c>
      <c r="AG1837" t="s">
        <v>608</v>
      </c>
      <c r="AH1837" t="s">
        <v>325</v>
      </c>
      <c r="AI1837">
        <v>99999</v>
      </c>
      <c r="AJ1837">
        <v>99999</v>
      </c>
      <c r="AK1837">
        <v>699</v>
      </c>
      <c r="AL1837" t="b">
        <v>1</v>
      </c>
      <c r="AM1837" t="b">
        <v>1</v>
      </c>
      <c r="AN1837" t="b">
        <v>0</v>
      </c>
      <c r="AO1837">
        <v>99999</v>
      </c>
      <c r="AP1837" t="s">
        <v>64</v>
      </c>
      <c r="AR1837" t="b">
        <v>0</v>
      </c>
      <c r="AS1837">
        <v>12</v>
      </c>
      <c r="AT1837" t="s">
        <v>327</v>
      </c>
      <c r="AV1837" t="s">
        <v>628</v>
      </c>
    </row>
    <row r="1838" spans="1:48" x14ac:dyDescent="0.25">
      <c r="A1838" t="s">
        <v>3323</v>
      </c>
      <c r="B1838" t="s">
        <v>302</v>
      </c>
      <c r="C1838" t="s">
        <v>62</v>
      </c>
      <c r="D1838">
        <v>99999</v>
      </c>
      <c r="F1838" s="109">
        <v>4000</v>
      </c>
      <c r="G1838" t="b">
        <v>0</v>
      </c>
      <c r="H1838" t="s">
        <v>339</v>
      </c>
      <c r="K1838" t="s">
        <v>349</v>
      </c>
      <c r="L1838" t="s">
        <v>303</v>
      </c>
      <c r="M1838" t="s">
        <v>323</v>
      </c>
      <c r="N1838" t="s">
        <v>63</v>
      </c>
      <c r="O1838" s="110">
        <v>39.9</v>
      </c>
      <c r="R1838" s="110">
        <v>244.89</v>
      </c>
      <c r="S1838" s="110">
        <v>39.9</v>
      </c>
      <c r="T1838" s="110">
        <v>0</v>
      </c>
      <c r="U1838" s="110">
        <v>42.99</v>
      </c>
      <c r="X1838">
        <v>117.1</v>
      </c>
      <c r="Y1838">
        <v>44.9</v>
      </c>
      <c r="Z1838">
        <v>44.9</v>
      </c>
      <c r="AA1838">
        <v>0</v>
      </c>
      <c r="AB1838" t="s">
        <v>324</v>
      </c>
      <c r="AF1838" t="s">
        <v>407</v>
      </c>
      <c r="AG1838" t="s">
        <v>407</v>
      </c>
      <c r="AH1838" t="s">
        <v>325</v>
      </c>
      <c r="AI1838">
        <v>99999</v>
      </c>
      <c r="AJ1838">
        <v>99999</v>
      </c>
      <c r="AK1838">
        <v>699</v>
      </c>
      <c r="AL1838" t="b">
        <v>1</v>
      </c>
      <c r="AM1838" t="b">
        <v>1</v>
      </c>
      <c r="AN1838" t="b">
        <v>0</v>
      </c>
      <c r="AO1838">
        <v>99999</v>
      </c>
      <c r="AP1838" t="s">
        <v>64</v>
      </c>
      <c r="AR1838" t="b">
        <v>0</v>
      </c>
      <c r="AS1838">
        <v>12</v>
      </c>
      <c r="AT1838" t="s">
        <v>327</v>
      </c>
      <c r="AV1838" t="s">
        <v>427</v>
      </c>
    </row>
    <row r="1839" spans="1:48" x14ac:dyDescent="0.25">
      <c r="A1839" t="s">
        <v>3323</v>
      </c>
      <c r="B1839" t="s">
        <v>302</v>
      </c>
      <c r="C1839" t="s">
        <v>62</v>
      </c>
      <c r="D1839">
        <v>99999</v>
      </c>
      <c r="F1839" s="109">
        <v>4000</v>
      </c>
      <c r="G1839" t="b">
        <v>0</v>
      </c>
      <c r="H1839" t="s">
        <v>339</v>
      </c>
      <c r="K1839" t="s">
        <v>349</v>
      </c>
      <c r="L1839" t="s">
        <v>303</v>
      </c>
      <c r="M1839" t="s">
        <v>323</v>
      </c>
      <c r="N1839" t="s">
        <v>63</v>
      </c>
      <c r="O1839">
        <v>39.9</v>
      </c>
      <c r="R1839">
        <v>259.89</v>
      </c>
      <c r="S1839">
        <v>39.9</v>
      </c>
      <c r="T1839" s="110">
        <v>0</v>
      </c>
      <c r="U1839">
        <v>42.99</v>
      </c>
      <c r="X1839">
        <v>132.1</v>
      </c>
      <c r="Y1839">
        <v>44.9</v>
      </c>
      <c r="Z1839">
        <v>44.9</v>
      </c>
      <c r="AA1839">
        <v>0</v>
      </c>
      <c r="AB1839" t="s">
        <v>324</v>
      </c>
      <c r="AF1839" t="s">
        <v>541</v>
      </c>
      <c r="AG1839" t="s">
        <v>541</v>
      </c>
      <c r="AH1839" t="s">
        <v>325</v>
      </c>
      <c r="AI1839">
        <v>99999</v>
      </c>
      <c r="AJ1839">
        <v>99999</v>
      </c>
      <c r="AK1839">
        <v>699</v>
      </c>
      <c r="AL1839" t="b">
        <v>1</v>
      </c>
      <c r="AM1839" t="b">
        <v>1</v>
      </c>
      <c r="AN1839" t="b">
        <v>0</v>
      </c>
      <c r="AO1839">
        <v>99999</v>
      </c>
      <c r="AP1839" t="s">
        <v>64</v>
      </c>
      <c r="AR1839" t="b">
        <v>0</v>
      </c>
      <c r="AS1839">
        <v>12</v>
      </c>
      <c r="AT1839" t="s">
        <v>327</v>
      </c>
      <c r="AV1839" t="s">
        <v>561</v>
      </c>
    </row>
    <row r="1840" spans="1:48" x14ac:dyDescent="0.25">
      <c r="A1840" t="s">
        <v>3323</v>
      </c>
      <c r="B1840" t="s">
        <v>302</v>
      </c>
      <c r="C1840" t="s">
        <v>62</v>
      </c>
      <c r="D1840">
        <v>99999</v>
      </c>
      <c r="F1840" s="109">
        <v>4000</v>
      </c>
      <c r="G1840" t="b">
        <v>0</v>
      </c>
      <c r="H1840" t="s">
        <v>339</v>
      </c>
      <c r="K1840" t="s">
        <v>349</v>
      </c>
      <c r="L1840" t="s">
        <v>303</v>
      </c>
      <c r="M1840" t="s">
        <v>323</v>
      </c>
      <c r="N1840" t="s">
        <v>63</v>
      </c>
      <c r="O1840">
        <v>39.9</v>
      </c>
      <c r="R1840">
        <v>274.89</v>
      </c>
      <c r="S1840">
        <v>59.9</v>
      </c>
      <c r="T1840" s="110">
        <v>0</v>
      </c>
      <c r="U1840">
        <v>42.99</v>
      </c>
      <c r="X1840">
        <v>127.1</v>
      </c>
      <c r="Y1840">
        <v>44.9</v>
      </c>
      <c r="Z1840">
        <v>44.9</v>
      </c>
      <c r="AA1840">
        <v>0</v>
      </c>
      <c r="AB1840" t="s">
        <v>324</v>
      </c>
      <c r="AF1840" t="s">
        <v>675</v>
      </c>
      <c r="AG1840" t="s">
        <v>675</v>
      </c>
      <c r="AH1840" t="s">
        <v>325</v>
      </c>
      <c r="AI1840">
        <v>99999</v>
      </c>
      <c r="AJ1840">
        <v>99999</v>
      </c>
      <c r="AK1840">
        <v>699</v>
      </c>
      <c r="AL1840" t="b">
        <v>1</v>
      </c>
      <c r="AM1840" t="b">
        <v>1</v>
      </c>
      <c r="AN1840" t="b">
        <v>0</v>
      </c>
      <c r="AO1840">
        <v>99999</v>
      </c>
      <c r="AP1840" t="s">
        <v>64</v>
      </c>
      <c r="AR1840" t="b">
        <v>0</v>
      </c>
      <c r="AS1840">
        <v>12</v>
      </c>
      <c r="AT1840" t="s">
        <v>327</v>
      </c>
      <c r="AV1840" t="s">
        <v>695</v>
      </c>
    </row>
    <row r="1841" spans="1:48" x14ac:dyDescent="0.25">
      <c r="A1841" t="s">
        <v>3323</v>
      </c>
      <c r="B1841" t="s">
        <v>302</v>
      </c>
      <c r="C1841" t="s">
        <v>62</v>
      </c>
      <c r="D1841">
        <v>99999</v>
      </c>
      <c r="F1841" s="109">
        <v>4000</v>
      </c>
      <c r="G1841" t="b">
        <v>0</v>
      </c>
      <c r="H1841" t="s">
        <v>339</v>
      </c>
      <c r="K1841" t="s">
        <v>349</v>
      </c>
      <c r="L1841" t="s">
        <v>303</v>
      </c>
      <c r="M1841" t="s">
        <v>323</v>
      </c>
      <c r="N1841" t="s">
        <v>63</v>
      </c>
      <c r="O1841" s="110">
        <v>49.9</v>
      </c>
      <c r="R1841" s="110">
        <v>320.68999999999994</v>
      </c>
      <c r="S1841" s="110">
        <v>130</v>
      </c>
      <c r="T1841" s="110">
        <v>0</v>
      </c>
      <c r="U1841" s="110">
        <v>34.99</v>
      </c>
      <c r="X1841">
        <v>110.79999999999998</v>
      </c>
      <c r="Y1841">
        <v>44.9</v>
      </c>
      <c r="Z1841">
        <v>44.9</v>
      </c>
      <c r="AA1841">
        <v>0</v>
      </c>
      <c r="AB1841" t="s">
        <v>324</v>
      </c>
      <c r="AF1841" t="s">
        <v>2185</v>
      </c>
      <c r="AG1841" t="s">
        <v>2185</v>
      </c>
      <c r="AH1841" t="s">
        <v>325</v>
      </c>
      <c r="AI1841">
        <v>99999</v>
      </c>
      <c r="AJ1841">
        <v>99999</v>
      </c>
      <c r="AK1841">
        <v>699</v>
      </c>
      <c r="AL1841" t="b">
        <v>1</v>
      </c>
      <c r="AM1841" t="b">
        <v>1</v>
      </c>
      <c r="AN1841" t="b">
        <v>0</v>
      </c>
      <c r="AO1841">
        <v>99999</v>
      </c>
      <c r="AP1841" t="s">
        <v>64</v>
      </c>
      <c r="AR1841" t="b">
        <v>0</v>
      </c>
      <c r="AS1841">
        <v>12</v>
      </c>
      <c r="AT1841" t="s">
        <v>327</v>
      </c>
      <c r="AV1841" t="s">
        <v>2205</v>
      </c>
    </row>
    <row r="1842" spans="1:48" x14ac:dyDescent="0.25">
      <c r="A1842" t="s">
        <v>3323</v>
      </c>
      <c r="B1842" t="s">
        <v>302</v>
      </c>
      <c r="C1842" t="s">
        <v>62</v>
      </c>
      <c r="D1842">
        <v>99999</v>
      </c>
      <c r="F1842" s="109">
        <v>4000</v>
      </c>
      <c r="G1842" t="b">
        <v>0</v>
      </c>
      <c r="H1842" t="s">
        <v>339</v>
      </c>
      <c r="K1842" t="s">
        <v>349</v>
      </c>
      <c r="L1842" t="s">
        <v>303</v>
      </c>
      <c r="M1842" t="s">
        <v>323</v>
      </c>
      <c r="N1842" t="s">
        <v>63</v>
      </c>
      <c r="O1842" s="110">
        <v>49.9</v>
      </c>
      <c r="R1842" s="110">
        <v>334.99</v>
      </c>
      <c r="S1842" s="110">
        <v>130</v>
      </c>
      <c r="T1842" s="110">
        <v>0</v>
      </c>
      <c r="U1842" s="110">
        <v>42.99</v>
      </c>
      <c r="X1842">
        <v>117.1</v>
      </c>
      <c r="Y1842">
        <v>44.9</v>
      </c>
      <c r="Z1842">
        <v>44.9</v>
      </c>
      <c r="AA1842">
        <v>0</v>
      </c>
      <c r="AB1842" t="s">
        <v>324</v>
      </c>
      <c r="AF1842" t="s">
        <v>2259</v>
      </c>
      <c r="AG1842" t="s">
        <v>2259</v>
      </c>
      <c r="AH1842" t="s">
        <v>325</v>
      </c>
      <c r="AI1842">
        <v>99999</v>
      </c>
      <c r="AJ1842">
        <v>99999</v>
      </c>
      <c r="AK1842">
        <v>699</v>
      </c>
      <c r="AL1842" t="b">
        <v>1</v>
      </c>
      <c r="AM1842" t="b">
        <v>1</v>
      </c>
      <c r="AN1842" t="b">
        <v>0</v>
      </c>
      <c r="AO1842">
        <v>99999</v>
      </c>
      <c r="AP1842" t="s">
        <v>64</v>
      </c>
      <c r="AR1842" t="b">
        <v>0</v>
      </c>
      <c r="AS1842">
        <v>12</v>
      </c>
      <c r="AT1842" t="s">
        <v>327</v>
      </c>
      <c r="AV1842" t="s">
        <v>2279</v>
      </c>
    </row>
    <row r="1843" spans="1:48" x14ac:dyDescent="0.25">
      <c r="A1843" t="s">
        <v>3323</v>
      </c>
      <c r="B1843" t="s">
        <v>302</v>
      </c>
      <c r="C1843" t="s">
        <v>62</v>
      </c>
      <c r="D1843">
        <v>99999</v>
      </c>
      <c r="F1843" s="109">
        <v>4000</v>
      </c>
      <c r="G1843" t="b">
        <v>0</v>
      </c>
      <c r="H1843" t="s">
        <v>339</v>
      </c>
      <c r="K1843" t="s">
        <v>349</v>
      </c>
      <c r="L1843" t="s">
        <v>303</v>
      </c>
      <c r="M1843" t="s">
        <v>323</v>
      </c>
      <c r="N1843" t="s">
        <v>63</v>
      </c>
      <c r="O1843" s="110">
        <v>49.9</v>
      </c>
      <c r="R1843" s="110">
        <v>349.99</v>
      </c>
      <c r="S1843" s="110">
        <v>130</v>
      </c>
      <c r="T1843" s="110">
        <v>0</v>
      </c>
      <c r="U1843" s="110">
        <v>42.99</v>
      </c>
      <c r="X1843">
        <v>132.1</v>
      </c>
      <c r="Y1843">
        <v>44.9</v>
      </c>
      <c r="Z1843">
        <v>44.9</v>
      </c>
      <c r="AA1843">
        <v>0</v>
      </c>
      <c r="AB1843" t="s">
        <v>324</v>
      </c>
      <c r="AF1843" t="s">
        <v>2326</v>
      </c>
      <c r="AG1843" t="s">
        <v>2326</v>
      </c>
      <c r="AH1843" t="s">
        <v>325</v>
      </c>
      <c r="AI1843">
        <v>99999</v>
      </c>
      <c r="AJ1843">
        <v>99999</v>
      </c>
      <c r="AK1843">
        <v>699</v>
      </c>
      <c r="AL1843" t="b">
        <v>1</v>
      </c>
      <c r="AM1843" t="b">
        <v>1</v>
      </c>
      <c r="AN1843" t="b">
        <v>0</v>
      </c>
      <c r="AO1843">
        <v>99999</v>
      </c>
      <c r="AP1843" t="s">
        <v>64</v>
      </c>
      <c r="AR1843" t="b">
        <v>0</v>
      </c>
      <c r="AS1843">
        <v>12</v>
      </c>
      <c r="AT1843" t="s">
        <v>327</v>
      </c>
      <c r="AV1843" t="s">
        <v>2346</v>
      </c>
    </row>
    <row r="1844" spans="1:48" x14ac:dyDescent="0.25">
      <c r="A1844" t="s">
        <v>3323</v>
      </c>
      <c r="B1844" t="s">
        <v>302</v>
      </c>
      <c r="C1844" t="s">
        <v>62</v>
      </c>
      <c r="D1844">
        <v>99999</v>
      </c>
      <c r="F1844" s="109">
        <v>4000</v>
      </c>
      <c r="G1844" t="b">
        <v>0</v>
      </c>
      <c r="H1844" t="s">
        <v>339</v>
      </c>
      <c r="K1844" t="s">
        <v>349</v>
      </c>
      <c r="L1844" t="s">
        <v>303</v>
      </c>
      <c r="M1844" t="s">
        <v>323</v>
      </c>
      <c r="N1844" t="s">
        <v>63</v>
      </c>
      <c r="O1844" s="110">
        <v>49.9</v>
      </c>
      <c r="R1844" s="110">
        <v>344.99</v>
      </c>
      <c r="S1844" s="110">
        <v>130</v>
      </c>
      <c r="T1844" s="110">
        <v>0</v>
      </c>
      <c r="U1844" s="110">
        <v>42.99</v>
      </c>
      <c r="X1844">
        <v>127.1</v>
      </c>
      <c r="Y1844">
        <v>44.9</v>
      </c>
      <c r="Z1844">
        <v>44.9</v>
      </c>
      <c r="AA1844">
        <v>0</v>
      </c>
      <c r="AB1844" t="s">
        <v>324</v>
      </c>
      <c r="AF1844" t="s">
        <v>2393</v>
      </c>
      <c r="AG1844" t="s">
        <v>2393</v>
      </c>
      <c r="AH1844" t="s">
        <v>325</v>
      </c>
      <c r="AI1844">
        <v>99999</v>
      </c>
      <c r="AJ1844">
        <v>99999</v>
      </c>
      <c r="AK1844">
        <v>699</v>
      </c>
      <c r="AL1844" t="b">
        <v>1</v>
      </c>
      <c r="AM1844" t="b">
        <v>1</v>
      </c>
      <c r="AN1844" t="b">
        <v>0</v>
      </c>
      <c r="AO1844">
        <v>99999</v>
      </c>
      <c r="AP1844" t="s">
        <v>64</v>
      </c>
      <c r="AR1844" t="b">
        <v>0</v>
      </c>
      <c r="AS1844">
        <v>12</v>
      </c>
      <c r="AT1844" t="s">
        <v>327</v>
      </c>
      <c r="AV1844" t="s">
        <v>2413</v>
      </c>
    </row>
    <row r="1845" spans="1:48" x14ac:dyDescent="0.25">
      <c r="A1845" t="s">
        <v>3323</v>
      </c>
      <c r="B1845" t="s">
        <v>302</v>
      </c>
      <c r="C1845" t="s">
        <v>62</v>
      </c>
      <c r="D1845">
        <v>99999</v>
      </c>
      <c r="F1845" s="109">
        <v>4000</v>
      </c>
      <c r="G1845" t="b">
        <v>0</v>
      </c>
      <c r="H1845" t="s">
        <v>339</v>
      </c>
      <c r="K1845" t="s">
        <v>393</v>
      </c>
      <c r="L1845" t="s">
        <v>303</v>
      </c>
      <c r="M1845" t="s">
        <v>323</v>
      </c>
      <c r="N1845" t="s">
        <v>63</v>
      </c>
      <c r="O1845">
        <v>29.9</v>
      </c>
      <c r="R1845">
        <v>269.89</v>
      </c>
      <c r="S1845">
        <v>39.9</v>
      </c>
      <c r="T1845" s="110">
        <v>0</v>
      </c>
      <c r="U1845">
        <v>42.99</v>
      </c>
      <c r="X1845">
        <v>117.1</v>
      </c>
      <c r="Y1845">
        <v>69.900000000000006</v>
      </c>
      <c r="Z1845">
        <v>69.900000000000006</v>
      </c>
      <c r="AA1845">
        <v>0</v>
      </c>
      <c r="AB1845" t="s">
        <v>363</v>
      </c>
      <c r="AF1845" t="s">
        <v>365</v>
      </c>
      <c r="AG1845" t="s">
        <v>365</v>
      </c>
      <c r="AH1845" t="s">
        <v>325</v>
      </c>
      <c r="AI1845">
        <v>99999</v>
      </c>
      <c r="AJ1845">
        <v>99999</v>
      </c>
      <c r="AK1845">
        <v>699</v>
      </c>
      <c r="AL1845" t="b">
        <v>1</v>
      </c>
      <c r="AM1845" t="b">
        <v>1</v>
      </c>
      <c r="AN1845" t="b">
        <v>0</v>
      </c>
      <c r="AO1845">
        <v>99999</v>
      </c>
      <c r="AP1845" t="s">
        <v>64</v>
      </c>
      <c r="AR1845" t="b">
        <v>0</v>
      </c>
      <c r="AS1845">
        <v>12</v>
      </c>
      <c r="AT1845" t="s">
        <v>327</v>
      </c>
      <c r="AV1845" t="s">
        <v>400</v>
      </c>
    </row>
    <row r="1846" spans="1:48" x14ac:dyDescent="0.25">
      <c r="A1846" t="s">
        <v>3323</v>
      </c>
      <c r="B1846" t="s">
        <v>302</v>
      </c>
      <c r="C1846" t="s">
        <v>62</v>
      </c>
      <c r="D1846">
        <v>99999</v>
      </c>
      <c r="F1846" s="109">
        <v>4000</v>
      </c>
      <c r="G1846" t="b">
        <v>0</v>
      </c>
      <c r="H1846" t="s">
        <v>339</v>
      </c>
      <c r="K1846" t="s">
        <v>393</v>
      </c>
      <c r="L1846" t="s">
        <v>303</v>
      </c>
      <c r="M1846" t="s">
        <v>323</v>
      </c>
      <c r="N1846" t="s">
        <v>63</v>
      </c>
      <c r="O1846">
        <v>29.9</v>
      </c>
      <c r="R1846">
        <v>284.89</v>
      </c>
      <c r="S1846">
        <v>39.9</v>
      </c>
      <c r="T1846" s="110">
        <v>0</v>
      </c>
      <c r="U1846">
        <v>42.99</v>
      </c>
      <c r="X1846">
        <v>132.1</v>
      </c>
      <c r="Y1846">
        <v>69.900000000000006</v>
      </c>
      <c r="Z1846">
        <v>69.900000000000006</v>
      </c>
      <c r="AA1846">
        <v>0</v>
      </c>
      <c r="AB1846" t="s">
        <v>363</v>
      </c>
      <c r="AF1846" t="s">
        <v>501</v>
      </c>
      <c r="AG1846" t="s">
        <v>501</v>
      </c>
      <c r="AH1846" t="s">
        <v>325</v>
      </c>
      <c r="AI1846">
        <v>99999</v>
      </c>
      <c r="AJ1846">
        <v>99999</v>
      </c>
      <c r="AK1846">
        <v>699</v>
      </c>
      <c r="AL1846" t="b">
        <v>1</v>
      </c>
      <c r="AM1846" t="b">
        <v>1</v>
      </c>
      <c r="AN1846" t="b">
        <v>0</v>
      </c>
      <c r="AO1846">
        <v>99999</v>
      </c>
      <c r="AP1846" t="s">
        <v>64</v>
      </c>
      <c r="AR1846" t="b">
        <v>0</v>
      </c>
      <c r="AS1846">
        <v>12</v>
      </c>
      <c r="AT1846" t="s">
        <v>327</v>
      </c>
      <c r="AV1846" t="s">
        <v>534</v>
      </c>
    </row>
    <row r="1847" spans="1:48" x14ac:dyDescent="0.25">
      <c r="A1847" t="s">
        <v>3323</v>
      </c>
      <c r="B1847" t="s">
        <v>302</v>
      </c>
      <c r="C1847" t="s">
        <v>62</v>
      </c>
      <c r="D1847">
        <v>99999</v>
      </c>
      <c r="F1847" s="109">
        <v>4000</v>
      </c>
      <c r="G1847" t="b">
        <v>0</v>
      </c>
      <c r="H1847" t="s">
        <v>339</v>
      </c>
      <c r="K1847" t="s">
        <v>393</v>
      </c>
      <c r="L1847" t="s">
        <v>303</v>
      </c>
      <c r="M1847" t="s">
        <v>323</v>
      </c>
      <c r="N1847" t="s">
        <v>63</v>
      </c>
      <c r="O1847">
        <v>29.9</v>
      </c>
      <c r="R1847">
        <v>299.89</v>
      </c>
      <c r="S1847">
        <v>59.9</v>
      </c>
      <c r="T1847" s="110">
        <v>0</v>
      </c>
      <c r="U1847">
        <v>42.99</v>
      </c>
      <c r="X1847">
        <v>127.1</v>
      </c>
      <c r="Y1847">
        <v>69.900000000000006</v>
      </c>
      <c r="Z1847">
        <v>69.900000000000006</v>
      </c>
      <c r="AA1847">
        <v>0</v>
      </c>
      <c r="AB1847" t="s">
        <v>363</v>
      </c>
      <c r="AF1847" t="s">
        <v>635</v>
      </c>
      <c r="AG1847" t="s">
        <v>635</v>
      </c>
      <c r="AH1847" t="s">
        <v>325</v>
      </c>
      <c r="AI1847">
        <v>99999</v>
      </c>
      <c r="AJ1847">
        <v>99999</v>
      </c>
      <c r="AK1847">
        <v>699</v>
      </c>
      <c r="AL1847" t="b">
        <v>1</v>
      </c>
      <c r="AM1847" t="b">
        <v>1</v>
      </c>
      <c r="AN1847" t="b">
        <v>0</v>
      </c>
      <c r="AO1847">
        <v>99999</v>
      </c>
      <c r="AP1847" t="s">
        <v>64</v>
      </c>
      <c r="AR1847" t="b">
        <v>0</v>
      </c>
      <c r="AS1847">
        <v>12</v>
      </c>
      <c r="AT1847" t="s">
        <v>327</v>
      </c>
      <c r="AV1847" t="s">
        <v>668</v>
      </c>
    </row>
    <row r="1848" spans="1:48" x14ac:dyDescent="0.25">
      <c r="A1848" t="s">
        <v>3323</v>
      </c>
      <c r="B1848" t="s">
        <v>302</v>
      </c>
      <c r="C1848" t="s">
        <v>62</v>
      </c>
      <c r="D1848">
        <v>99999</v>
      </c>
      <c r="F1848" s="109">
        <v>4000</v>
      </c>
      <c r="G1848" t="b">
        <v>0</v>
      </c>
      <c r="H1848" t="s">
        <v>339</v>
      </c>
      <c r="K1848" t="s">
        <v>393</v>
      </c>
      <c r="L1848" t="s">
        <v>303</v>
      </c>
      <c r="M1848" t="s">
        <v>323</v>
      </c>
      <c r="N1848" t="s">
        <v>63</v>
      </c>
      <c r="O1848" s="110">
        <v>39.9</v>
      </c>
      <c r="R1848" s="110">
        <v>269.89</v>
      </c>
      <c r="S1848" s="110">
        <v>39.9</v>
      </c>
      <c r="T1848" s="110">
        <v>0</v>
      </c>
      <c r="U1848" s="110">
        <v>42.99</v>
      </c>
      <c r="X1848">
        <v>117.1</v>
      </c>
      <c r="Y1848">
        <v>69.900000000000006</v>
      </c>
      <c r="Z1848">
        <v>69.900000000000006</v>
      </c>
      <c r="AA1848">
        <v>0</v>
      </c>
      <c r="AB1848" t="s">
        <v>363</v>
      </c>
      <c r="AF1848" t="s">
        <v>434</v>
      </c>
      <c r="AG1848" t="s">
        <v>434</v>
      </c>
      <c r="AH1848" t="s">
        <v>325</v>
      </c>
      <c r="AI1848">
        <v>99999</v>
      </c>
      <c r="AJ1848">
        <v>99999</v>
      </c>
      <c r="AK1848">
        <v>699</v>
      </c>
      <c r="AL1848" t="b">
        <v>1</v>
      </c>
      <c r="AM1848" t="b">
        <v>1</v>
      </c>
      <c r="AN1848" t="b">
        <v>0</v>
      </c>
      <c r="AO1848">
        <v>99999</v>
      </c>
      <c r="AP1848" t="s">
        <v>64</v>
      </c>
      <c r="AR1848" t="b">
        <v>0</v>
      </c>
      <c r="AS1848">
        <v>12</v>
      </c>
      <c r="AT1848" t="s">
        <v>327</v>
      </c>
      <c r="AV1848" t="s">
        <v>467</v>
      </c>
    </row>
    <row r="1849" spans="1:48" x14ac:dyDescent="0.25">
      <c r="A1849" t="s">
        <v>3323</v>
      </c>
      <c r="B1849" t="s">
        <v>302</v>
      </c>
      <c r="C1849" t="s">
        <v>62</v>
      </c>
      <c r="D1849">
        <v>99999</v>
      </c>
      <c r="F1849" s="109">
        <v>4000</v>
      </c>
      <c r="G1849" t="b">
        <v>0</v>
      </c>
      <c r="H1849" t="s">
        <v>339</v>
      </c>
      <c r="K1849" t="s">
        <v>393</v>
      </c>
      <c r="L1849" t="s">
        <v>303</v>
      </c>
      <c r="M1849" t="s">
        <v>323</v>
      </c>
      <c r="N1849" t="s">
        <v>63</v>
      </c>
      <c r="O1849">
        <v>39.9</v>
      </c>
      <c r="R1849">
        <v>284.89</v>
      </c>
      <c r="S1849">
        <v>39.9</v>
      </c>
      <c r="T1849" s="110">
        <v>0</v>
      </c>
      <c r="U1849">
        <v>42.99</v>
      </c>
      <c r="X1849">
        <v>132.1</v>
      </c>
      <c r="Y1849">
        <v>69.900000000000006</v>
      </c>
      <c r="Z1849">
        <v>69.900000000000006</v>
      </c>
      <c r="AA1849">
        <v>0</v>
      </c>
      <c r="AB1849" t="s">
        <v>363</v>
      </c>
      <c r="AF1849" t="s">
        <v>568</v>
      </c>
      <c r="AG1849" t="s">
        <v>568</v>
      </c>
      <c r="AH1849" t="s">
        <v>325</v>
      </c>
      <c r="AI1849">
        <v>99999</v>
      </c>
      <c r="AJ1849">
        <v>99999</v>
      </c>
      <c r="AK1849">
        <v>699</v>
      </c>
      <c r="AL1849" t="b">
        <v>1</v>
      </c>
      <c r="AM1849" t="b">
        <v>1</v>
      </c>
      <c r="AN1849" t="b">
        <v>0</v>
      </c>
      <c r="AO1849">
        <v>99999</v>
      </c>
      <c r="AP1849" t="s">
        <v>64</v>
      </c>
      <c r="AR1849" t="b">
        <v>0</v>
      </c>
      <c r="AS1849">
        <v>12</v>
      </c>
      <c r="AT1849" t="s">
        <v>327</v>
      </c>
      <c r="AV1849" t="s">
        <v>601</v>
      </c>
    </row>
    <row r="1850" spans="1:48" x14ac:dyDescent="0.25">
      <c r="A1850" t="s">
        <v>3323</v>
      </c>
      <c r="B1850" t="s">
        <v>302</v>
      </c>
      <c r="C1850" t="s">
        <v>62</v>
      </c>
      <c r="D1850">
        <v>99999</v>
      </c>
      <c r="F1850" s="109">
        <v>4000</v>
      </c>
      <c r="G1850" t="b">
        <v>0</v>
      </c>
      <c r="H1850" t="s">
        <v>339</v>
      </c>
      <c r="K1850" t="s">
        <v>393</v>
      </c>
      <c r="L1850" t="s">
        <v>303</v>
      </c>
      <c r="M1850" t="s">
        <v>323</v>
      </c>
      <c r="N1850" t="s">
        <v>63</v>
      </c>
      <c r="O1850">
        <v>39.9</v>
      </c>
      <c r="R1850">
        <v>299.89</v>
      </c>
      <c r="S1850">
        <v>59.9</v>
      </c>
      <c r="T1850" s="110">
        <v>0</v>
      </c>
      <c r="U1850">
        <v>42.99</v>
      </c>
      <c r="X1850">
        <v>127.1</v>
      </c>
      <c r="Y1850">
        <v>69.900000000000006</v>
      </c>
      <c r="Z1850">
        <v>69.900000000000006</v>
      </c>
      <c r="AA1850">
        <v>0</v>
      </c>
      <c r="AB1850" t="s">
        <v>363</v>
      </c>
      <c r="AF1850" t="s">
        <v>702</v>
      </c>
      <c r="AG1850" t="s">
        <v>702</v>
      </c>
      <c r="AH1850" t="s">
        <v>325</v>
      </c>
      <c r="AI1850">
        <v>99999</v>
      </c>
      <c r="AJ1850">
        <v>99999</v>
      </c>
      <c r="AK1850">
        <v>699</v>
      </c>
      <c r="AL1850" t="b">
        <v>1</v>
      </c>
      <c r="AM1850" t="b">
        <v>1</v>
      </c>
      <c r="AN1850" t="b">
        <v>0</v>
      </c>
      <c r="AO1850">
        <v>99999</v>
      </c>
      <c r="AP1850" t="s">
        <v>64</v>
      </c>
      <c r="AR1850" t="b">
        <v>0</v>
      </c>
      <c r="AS1850">
        <v>12</v>
      </c>
      <c r="AT1850" t="s">
        <v>327</v>
      </c>
      <c r="AV1850" t="s">
        <v>735</v>
      </c>
    </row>
    <row r="1851" spans="1:48" x14ac:dyDescent="0.25">
      <c r="A1851" t="s">
        <v>3323</v>
      </c>
      <c r="B1851" t="s">
        <v>302</v>
      </c>
      <c r="C1851" t="s">
        <v>62</v>
      </c>
      <c r="D1851">
        <v>99999</v>
      </c>
      <c r="F1851" s="109">
        <v>4000</v>
      </c>
      <c r="G1851" t="b">
        <v>0</v>
      </c>
      <c r="H1851" t="s">
        <v>339</v>
      </c>
      <c r="K1851" t="s">
        <v>393</v>
      </c>
      <c r="L1851" t="s">
        <v>303</v>
      </c>
      <c r="M1851" t="s">
        <v>323</v>
      </c>
      <c r="N1851" t="s">
        <v>63</v>
      </c>
      <c r="O1851" s="110">
        <v>49.9</v>
      </c>
      <c r="R1851" s="110">
        <v>345.69</v>
      </c>
      <c r="S1851" s="110">
        <v>130</v>
      </c>
      <c r="T1851" s="110">
        <v>0</v>
      </c>
      <c r="U1851" s="110">
        <v>34.99</v>
      </c>
      <c r="X1851">
        <v>110.79999999999998</v>
      </c>
      <c r="Y1851">
        <v>69.900000000000006</v>
      </c>
      <c r="Z1851">
        <v>69.900000000000006</v>
      </c>
      <c r="AA1851">
        <v>0</v>
      </c>
      <c r="AB1851" t="s">
        <v>363</v>
      </c>
      <c r="AF1851" t="s">
        <v>2212</v>
      </c>
      <c r="AG1851" t="s">
        <v>2212</v>
      </c>
      <c r="AH1851" t="s">
        <v>325</v>
      </c>
      <c r="AI1851">
        <v>99999</v>
      </c>
      <c r="AJ1851">
        <v>99999</v>
      </c>
      <c r="AK1851">
        <v>699</v>
      </c>
      <c r="AL1851" t="b">
        <v>1</v>
      </c>
      <c r="AM1851" t="b">
        <v>1</v>
      </c>
      <c r="AN1851" t="b">
        <v>0</v>
      </c>
      <c r="AO1851">
        <v>99999</v>
      </c>
      <c r="AP1851" t="s">
        <v>64</v>
      </c>
      <c r="AR1851" t="b">
        <v>0</v>
      </c>
      <c r="AS1851">
        <v>12</v>
      </c>
      <c r="AT1851" t="s">
        <v>327</v>
      </c>
      <c r="AV1851" t="s">
        <v>2245</v>
      </c>
    </row>
    <row r="1852" spans="1:48" x14ac:dyDescent="0.25">
      <c r="A1852" t="s">
        <v>3323</v>
      </c>
      <c r="B1852" t="s">
        <v>302</v>
      </c>
      <c r="C1852" t="s">
        <v>62</v>
      </c>
      <c r="D1852">
        <v>99999</v>
      </c>
      <c r="F1852" s="109">
        <v>4000</v>
      </c>
      <c r="G1852" t="b">
        <v>0</v>
      </c>
      <c r="H1852" t="s">
        <v>339</v>
      </c>
      <c r="K1852" t="s">
        <v>393</v>
      </c>
      <c r="L1852" t="s">
        <v>303</v>
      </c>
      <c r="M1852" t="s">
        <v>323</v>
      </c>
      <c r="N1852" t="s">
        <v>63</v>
      </c>
      <c r="O1852" s="110">
        <v>49.9</v>
      </c>
      <c r="R1852" s="110">
        <v>359.99</v>
      </c>
      <c r="S1852" s="110">
        <v>130</v>
      </c>
      <c r="T1852" s="110">
        <v>0</v>
      </c>
      <c r="U1852" s="110">
        <v>42.99</v>
      </c>
      <c r="X1852">
        <v>117.1</v>
      </c>
      <c r="Y1852">
        <v>69.900000000000006</v>
      </c>
      <c r="Z1852">
        <v>69.900000000000006</v>
      </c>
      <c r="AA1852">
        <v>0</v>
      </c>
      <c r="AB1852" t="s">
        <v>363</v>
      </c>
      <c r="AF1852" t="s">
        <v>2286</v>
      </c>
      <c r="AG1852" t="s">
        <v>2286</v>
      </c>
      <c r="AH1852" t="s">
        <v>325</v>
      </c>
      <c r="AI1852">
        <v>99999</v>
      </c>
      <c r="AJ1852">
        <v>99999</v>
      </c>
      <c r="AK1852">
        <v>699</v>
      </c>
      <c r="AL1852" t="b">
        <v>1</v>
      </c>
      <c r="AM1852" t="b">
        <v>1</v>
      </c>
      <c r="AN1852" t="b">
        <v>0</v>
      </c>
      <c r="AO1852">
        <v>99999</v>
      </c>
      <c r="AP1852" t="s">
        <v>64</v>
      </c>
      <c r="AR1852" t="b">
        <v>0</v>
      </c>
      <c r="AS1852">
        <v>12</v>
      </c>
      <c r="AT1852" t="s">
        <v>327</v>
      </c>
      <c r="AV1852" t="s">
        <v>2319</v>
      </c>
    </row>
    <row r="1853" spans="1:48" x14ac:dyDescent="0.25">
      <c r="A1853" t="s">
        <v>3323</v>
      </c>
      <c r="B1853" t="s">
        <v>302</v>
      </c>
      <c r="C1853" t="s">
        <v>62</v>
      </c>
      <c r="D1853">
        <v>99999</v>
      </c>
      <c r="F1853" s="109">
        <v>4000</v>
      </c>
      <c r="G1853" t="b">
        <v>0</v>
      </c>
      <c r="H1853" t="s">
        <v>339</v>
      </c>
      <c r="K1853" t="s">
        <v>393</v>
      </c>
      <c r="L1853" t="s">
        <v>303</v>
      </c>
      <c r="M1853" t="s">
        <v>323</v>
      </c>
      <c r="N1853" t="s">
        <v>63</v>
      </c>
      <c r="O1853" s="110">
        <v>49.9</v>
      </c>
      <c r="R1853" s="110">
        <v>374.99</v>
      </c>
      <c r="S1853" s="110">
        <v>130</v>
      </c>
      <c r="T1853" s="110">
        <v>0</v>
      </c>
      <c r="U1853" s="110">
        <v>42.99</v>
      </c>
      <c r="X1853">
        <v>132.1</v>
      </c>
      <c r="Y1853">
        <v>69.900000000000006</v>
      </c>
      <c r="Z1853">
        <v>69.900000000000006</v>
      </c>
      <c r="AA1853">
        <v>0</v>
      </c>
      <c r="AB1853" t="s">
        <v>363</v>
      </c>
      <c r="AF1853" t="s">
        <v>2353</v>
      </c>
      <c r="AG1853" t="s">
        <v>2353</v>
      </c>
      <c r="AH1853" t="s">
        <v>325</v>
      </c>
      <c r="AI1853">
        <v>99999</v>
      </c>
      <c r="AJ1853">
        <v>99999</v>
      </c>
      <c r="AK1853">
        <v>699</v>
      </c>
      <c r="AL1853" t="b">
        <v>1</v>
      </c>
      <c r="AM1853" t="b">
        <v>1</v>
      </c>
      <c r="AN1853" t="b">
        <v>0</v>
      </c>
      <c r="AO1853">
        <v>99999</v>
      </c>
      <c r="AP1853" t="s">
        <v>64</v>
      </c>
      <c r="AR1853" t="b">
        <v>0</v>
      </c>
      <c r="AS1853">
        <v>12</v>
      </c>
      <c r="AT1853" t="s">
        <v>327</v>
      </c>
      <c r="AV1853" t="s">
        <v>2386</v>
      </c>
    </row>
    <row r="1854" spans="1:48" x14ac:dyDescent="0.25">
      <c r="A1854" t="s">
        <v>3323</v>
      </c>
      <c r="B1854" t="s">
        <v>302</v>
      </c>
      <c r="C1854" t="s">
        <v>62</v>
      </c>
      <c r="D1854">
        <v>99999</v>
      </c>
      <c r="F1854" s="109">
        <v>4000</v>
      </c>
      <c r="G1854" t="b">
        <v>0</v>
      </c>
      <c r="H1854" t="s">
        <v>339</v>
      </c>
      <c r="K1854" t="s">
        <v>393</v>
      </c>
      <c r="L1854" t="s">
        <v>303</v>
      </c>
      <c r="M1854" t="s">
        <v>323</v>
      </c>
      <c r="N1854" t="s">
        <v>63</v>
      </c>
      <c r="O1854" s="110">
        <v>49.9</v>
      </c>
      <c r="R1854" s="110">
        <v>369.99</v>
      </c>
      <c r="S1854" s="110">
        <v>130</v>
      </c>
      <c r="T1854" s="110">
        <v>0</v>
      </c>
      <c r="U1854" s="110">
        <v>42.99</v>
      </c>
      <c r="X1854">
        <v>127.1</v>
      </c>
      <c r="Y1854">
        <v>69.900000000000006</v>
      </c>
      <c r="Z1854">
        <v>69.900000000000006</v>
      </c>
      <c r="AA1854">
        <v>0</v>
      </c>
      <c r="AB1854" t="s">
        <v>363</v>
      </c>
      <c r="AF1854" t="s">
        <v>2420</v>
      </c>
      <c r="AG1854" t="s">
        <v>2420</v>
      </c>
      <c r="AH1854" t="s">
        <v>325</v>
      </c>
      <c r="AI1854">
        <v>99999</v>
      </c>
      <c r="AJ1854">
        <v>99999</v>
      </c>
      <c r="AK1854">
        <v>699</v>
      </c>
      <c r="AL1854" t="b">
        <v>1</v>
      </c>
      <c r="AM1854" t="b">
        <v>1</v>
      </c>
      <c r="AN1854" t="b">
        <v>0</v>
      </c>
      <c r="AO1854">
        <v>99999</v>
      </c>
      <c r="AP1854" t="s">
        <v>64</v>
      </c>
      <c r="AR1854" t="b">
        <v>0</v>
      </c>
      <c r="AS1854">
        <v>12</v>
      </c>
      <c r="AT1854" t="s">
        <v>327</v>
      </c>
      <c r="AV1854" t="s">
        <v>2453</v>
      </c>
    </row>
    <row r="1855" spans="1:48" x14ac:dyDescent="0.25">
      <c r="A1855" t="s">
        <v>3323</v>
      </c>
      <c r="B1855" t="s">
        <v>302</v>
      </c>
      <c r="C1855" t="s">
        <v>62</v>
      </c>
      <c r="D1855">
        <v>99999</v>
      </c>
      <c r="F1855" s="109">
        <v>4000</v>
      </c>
      <c r="G1855" t="b">
        <v>0</v>
      </c>
      <c r="H1855" t="s">
        <v>339</v>
      </c>
      <c r="K1855" t="s">
        <v>364</v>
      </c>
      <c r="L1855" t="s">
        <v>303</v>
      </c>
      <c r="M1855" t="s">
        <v>323</v>
      </c>
      <c r="N1855" t="s">
        <v>63</v>
      </c>
      <c r="O1855">
        <v>29.9</v>
      </c>
      <c r="R1855">
        <v>249.89</v>
      </c>
      <c r="S1855">
        <v>39.9</v>
      </c>
      <c r="T1855" s="110">
        <v>0</v>
      </c>
      <c r="U1855">
        <v>42.99</v>
      </c>
      <c r="X1855">
        <v>117.1</v>
      </c>
      <c r="Y1855">
        <v>49.9</v>
      </c>
      <c r="Z1855">
        <v>49.9</v>
      </c>
      <c r="AA1855">
        <v>0</v>
      </c>
      <c r="AB1855" t="s">
        <v>363</v>
      </c>
      <c r="AF1855" t="s">
        <v>365</v>
      </c>
      <c r="AG1855" t="s">
        <v>365</v>
      </c>
      <c r="AH1855" t="s">
        <v>325</v>
      </c>
      <c r="AI1855">
        <v>99999</v>
      </c>
      <c r="AJ1855">
        <v>99999</v>
      </c>
      <c r="AK1855">
        <v>699</v>
      </c>
      <c r="AL1855" t="b">
        <v>1</v>
      </c>
      <c r="AM1855" t="b">
        <v>1</v>
      </c>
      <c r="AN1855" t="b">
        <v>0</v>
      </c>
      <c r="AO1855">
        <v>99999</v>
      </c>
      <c r="AP1855" t="s">
        <v>64</v>
      </c>
      <c r="AR1855" t="b">
        <v>0</v>
      </c>
      <c r="AS1855">
        <v>12</v>
      </c>
      <c r="AT1855" t="s">
        <v>327</v>
      </c>
      <c r="AV1855" t="s">
        <v>372</v>
      </c>
    </row>
    <row r="1856" spans="1:48" x14ac:dyDescent="0.25">
      <c r="A1856" t="s">
        <v>3323</v>
      </c>
      <c r="B1856" t="s">
        <v>302</v>
      </c>
      <c r="C1856" t="s">
        <v>62</v>
      </c>
      <c r="D1856">
        <v>99999</v>
      </c>
      <c r="F1856" s="109">
        <v>4000</v>
      </c>
      <c r="G1856" t="b">
        <v>0</v>
      </c>
      <c r="H1856" t="s">
        <v>339</v>
      </c>
      <c r="K1856" t="s">
        <v>364</v>
      </c>
      <c r="L1856" t="s">
        <v>303</v>
      </c>
      <c r="M1856" t="s">
        <v>323</v>
      </c>
      <c r="N1856" t="s">
        <v>63</v>
      </c>
      <c r="O1856">
        <v>29.9</v>
      </c>
      <c r="R1856">
        <v>264.89</v>
      </c>
      <c r="S1856">
        <v>39.9</v>
      </c>
      <c r="T1856" s="110">
        <v>0</v>
      </c>
      <c r="U1856">
        <v>42.99</v>
      </c>
      <c r="X1856">
        <v>132.1</v>
      </c>
      <c r="Y1856">
        <v>49.9</v>
      </c>
      <c r="Z1856">
        <v>49.9</v>
      </c>
      <c r="AA1856">
        <v>0</v>
      </c>
      <c r="AB1856" t="s">
        <v>363</v>
      </c>
      <c r="AF1856" t="s">
        <v>501</v>
      </c>
      <c r="AG1856" t="s">
        <v>501</v>
      </c>
      <c r="AH1856" t="s">
        <v>325</v>
      </c>
      <c r="AI1856">
        <v>99999</v>
      </c>
      <c r="AJ1856">
        <v>99999</v>
      </c>
      <c r="AK1856">
        <v>699</v>
      </c>
      <c r="AL1856" t="b">
        <v>1</v>
      </c>
      <c r="AM1856" t="b">
        <v>1</v>
      </c>
      <c r="AN1856" t="b">
        <v>0</v>
      </c>
      <c r="AO1856">
        <v>99999</v>
      </c>
      <c r="AP1856" t="s">
        <v>64</v>
      </c>
      <c r="AR1856" t="b">
        <v>0</v>
      </c>
      <c r="AS1856">
        <v>12</v>
      </c>
      <c r="AT1856" t="s">
        <v>327</v>
      </c>
      <c r="AV1856" t="s">
        <v>508</v>
      </c>
    </row>
    <row r="1857" spans="1:48" x14ac:dyDescent="0.25">
      <c r="A1857" t="s">
        <v>3323</v>
      </c>
      <c r="B1857" t="s">
        <v>302</v>
      </c>
      <c r="C1857" t="s">
        <v>62</v>
      </c>
      <c r="D1857">
        <v>99999</v>
      </c>
      <c r="F1857" s="109">
        <v>4000</v>
      </c>
      <c r="G1857" t="b">
        <v>0</v>
      </c>
      <c r="H1857" t="s">
        <v>339</v>
      </c>
      <c r="K1857" t="s">
        <v>364</v>
      </c>
      <c r="L1857" t="s">
        <v>303</v>
      </c>
      <c r="M1857" t="s">
        <v>323</v>
      </c>
      <c r="N1857" t="s">
        <v>63</v>
      </c>
      <c r="O1857">
        <v>29.9</v>
      </c>
      <c r="R1857">
        <v>279.89</v>
      </c>
      <c r="S1857">
        <v>59.9</v>
      </c>
      <c r="T1857" s="110">
        <v>0</v>
      </c>
      <c r="U1857">
        <v>42.99</v>
      </c>
      <c r="X1857">
        <v>127.1</v>
      </c>
      <c r="Y1857">
        <v>49.9</v>
      </c>
      <c r="Z1857">
        <v>49.9</v>
      </c>
      <c r="AA1857">
        <v>0</v>
      </c>
      <c r="AB1857" t="s">
        <v>363</v>
      </c>
      <c r="AF1857" t="s">
        <v>635</v>
      </c>
      <c r="AG1857" t="s">
        <v>635</v>
      </c>
      <c r="AH1857" t="s">
        <v>325</v>
      </c>
      <c r="AI1857">
        <v>99999</v>
      </c>
      <c r="AJ1857">
        <v>99999</v>
      </c>
      <c r="AK1857">
        <v>699</v>
      </c>
      <c r="AL1857" t="b">
        <v>1</v>
      </c>
      <c r="AM1857" t="b">
        <v>1</v>
      </c>
      <c r="AN1857" t="b">
        <v>0</v>
      </c>
      <c r="AO1857">
        <v>99999</v>
      </c>
      <c r="AP1857" t="s">
        <v>64</v>
      </c>
      <c r="AR1857" t="b">
        <v>0</v>
      </c>
      <c r="AS1857">
        <v>12</v>
      </c>
      <c r="AT1857" t="s">
        <v>327</v>
      </c>
      <c r="AV1857" t="s">
        <v>642</v>
      </c>
    </row>
    <row r="1858" spans="1:48" x14ac:dyDescent="0.25">
      <c r="A1858" t="s">
        <v>3323</v>
      </c>
      <c r="B1858" t="s">
        <v>302</v>
      </c>
      <c r="C1858" t="s">
        <v>62</v>
      </c>
      <c r="D1858">
        <v>99999</v>
      </c>
      <c r="F1858" s="109">
        <v>4000</v>
      </c>
      <c r="G1858" t="b">
        <v>0</v>
      </c>
      <c r="H1858" t="s">
        <v>339</v>
      </c>
      <c r="K1858" t="s">
        <v>364</v>
      </c>
      <c r="L1858" t="s">
        <v>303</v>
      </c>
      <c r="M1858" t="s">
        <v>323</v>
      </c>
      <c r="N1858" t="s">
        <v>63</v>
      </c>
      <c r="O1858" s="110">
        <v>39.9</v>
      </c>
      <c r="R1858" s="110">
        <v>249.89</v>
      </c>
      <c r="S1858" s="110">
        <v>39.9</v>
      </c>
      <c r="T1858" s="110">
        <v>0</v>
      </c>
      <c r="U1858" s="110">
        <v>42.99</v>
      </c>
      <c r="X1858">
        <v>117.1</v>
      </c>
      <c r="Y1858">
        <v>49.9</v>
      </c>
      <c r="Z1858">
        <v>49.9</v>
      </c>
      <c r="AA1858">
        <v>0</v>
      </c>
      <c r="AB1858" t="s">
        <v>363</v>
      </c>
      <c r="AF1858" t="s">
        <v>434</v>
      </c>
      <c r="AG1858" t="s">
        <v>434</v>
      </c>
      <c r="AH1858" t="s">
        <v>325</v>
      </c>
      <c r="AI1858">
        <v>99999</v>
      </c>
      <c r="AJ1858">
        <v>99999</v>
      </c>
      <c r="AK1858">
        <v>699</v>
      </c>
      <c r="AL1858" t="b">
        <v>1</v>
      </c>
      <c r="AM1858" t="b">
        <v>1</v>
      </c>
      <c r="AN1858" t="b">
        <v>0</v>
      </c>
      <c r="AO1858">
        <v>99999</v>
      </c>
      <c r="AP1858" t="s">
        <v>64</v>
      </c>
      <c r="AR1858" t="b">
        <v>0</v>
      </c>
      <c r="AS1858">
        <v>12</v>
      </c>
      <c r="AT1858" t="s">
        <v>327</v>
      </c>
      <c r="AV1858" t="s">
        <v>441</v>
      </c>
    </row>
    <row r="1859" spans="1:48" x14ac:dyDescent="0.25">
      <c r="A1859" t="s">
        <v>3323</v>
      </c>
      <c r="B1859" t="s">
        <v>302</v>
      </c>
      <c r="C1859" t="s">
        <v>62</v>
      </c>
      <c r="D1859">
        <v>99999</v>
      </c>
      <c r="F1859" s="109">
        <v>4000</v>
      </c>
      <c r="G1859" t="b">
        <v>0</v>
      </c>
      <c r="H1859" t="s">
        <v>339</v>
      </c>
      <c r="K1859" t="s">
        <v>364</v>
      </c>
      <c r="L1859" t="s">
        <v>303</v>
      </c>
      <c r="M1859" t="s">
        <v>323</v>
      </c>
      <c r="N1859" t="s">
        <v>63</v>
      </c>
      <c r="O1859">
        <v>39.9</v>
      </c>
      <c r="R1859">
        <v>264.89</v>
      </c>
      <c r="S1859">
        <v>39.9</v>
      </c>
      <c r="T1859" s="110">
        <v>0</v>
      </c>
      <c r="U1859">
        <v>42.99</v>
      </c>
      <c r="X1859">
        <v>132.1</v>
      </c>
      <c r="Y1859">
        <v>49.9</v>
      </c>
      <c r="Z1859">
        <v>49.9</v>
      </c>
      <c r="AA1859">
        <v>0</v>
      </c>
      <c r="AB1859" t="s">
        <v>363</v>
      </c>
      <c r="AF1859" t="s">
        <v>568</v>
      </c>
      <c r="AG1859" t="s">
        <v>568</v>
      </c>
      <c r="AH1859" t="s">
        <v>325</v>
      </c>
      <c r="AI1859">
        <v>99999</v>
      </c>
      <c r="AJ1859">
        <v>99999</v>
      </c>
      <c r="AK1859">
        <v>699</v>
      </c>
      <c r="AL1859" t="b">
        <v>1</v>
      </c>
      <c r="AM1859" t="b">
        <v>1</v>
      </c>
      <c r="AN1859" t="b">
        <v>0</v>
      </c>
      <c r="AO1859">
        <v>99999</v>
      </c>
      <c r="AP1859" t="s">
        <v>64</v>
      </c>
      <c r="AR1859" t="b">
        <v>0</v>
      </c>
      <c r="AS1859">
        <v>12</v>
      </c>
      <c r="AT1859" t="s">
        <v>327</v>
      </c>
      <c r="AV1859" t="s">
        <v>575</v>
      </c>
    </row>
    <row r="1860" spans="1:48" x14ac:dyDescent="0.25">
      <c r="A1860" t="s">
        <v>3323</v>
      </c>
      <c r="B1860" t="s">
        <v>302</v>
      </c>
      <c r="C1860" t="s">
        <v>62</v>
      </c>
      <c r="D1860">
        <v>99999</v>
      </c>
      <c r="F1860" s="109">
        <v>4000</v>
      </c>
      <c r="G1860" t="b">
        <v>0</v>
      </c>
      <c r="H1860" t="s">
        <v>339</v>
      </c>
      <c r="K1860" t="s">
        <v>364</v>
      </c>
      <c r="L1860" t="s">
        <v>303</v>
      </c>
      <c r="M1860" t="s">
        <v>323</v>
      </c>
      <c r="N1860" t="s">
        <v>63</v>
      </c>
      <c r="O1860">
        <v>39.9</v>
      </c>
      <c r="R1860">
        <v>279.89</v>
      </c>
      <c r="S1860">
        <v>59.9</v>
      </c>
      <c r="T1860" s="110">
        <v>0</v>
      </c>
      <c r="U1860">
        <v>42.99</v>
      </c>
      <c r="X1860">
        <v>127.1</v>
      </c>
      <c r="Y1860">
        <v>49.9</v>
      </c>
      <c r="Z1860">
        <v>49.9</v>
      </c>
      <c r="AA1860">
        <v>0</v>
      </c>
      <c r="AB1860" t="s">
        <v>363</v>
      </c>
      <c r="AF1860" t="s">
        <v>702</v>
      </c>
      <c r="AG1860" t="s">
        <v>702</v>
      </c>
      <c r="AH1860" t="s">
        <v>325</v>
      </c>
      <c r="AI1860">
        <v>99999</v>
      </c>
      <c r="AJ1860">
        <v>99999</v>
      </c>
      <c r="AK1860">
        <v>699</v>
      </c>
      <c r="AL1860" t="b">
        <v>1</v>
      </c>
      <c r="AM1860" t="b">
        <v>1</v>
      </c>
      <c r="AN1860" t="b">
        <v>0</v>
      </c>
      <c r="AO1860">
        <v>99999</v>
      </c>
      <c r="AP1860" t="s">
        <v>64</v>
      </c>
      <c r="AR1860" t="b">
        <v>0</v>
      </c>
      <c r="AS1860">
        <v>12</v>
      </c>
      <c r="AT1860" t="s">
        <v>327</v>
      </c>
      <c r="AV1860" t="s">
        <v>709</v>
      </c>
    </row>
    <row r="1861" spans="1:48" x14ac:dyDescent="0.25">
      <c r="A1861" t="s">
        <v>3323</v>
      </c>
      <c r="B1861" t="s">
        <v>302</v>
      </c>
      <c r="C1861" t="s">
        <v>62</v>
      </c>
      <c r="D1861">
        <v>99999</v>
      </c>
      <c r="F1861" s="109">
        <v>4000</v>
      </c>
      <c r="G1861" t="b">
        <v>0</v>
      </c>
      <c r="H1861" t="s">
        <v>339</v>
      </c>
      <c r="K1861" t="s">
        <v>364</v>
      </c>
      <c r="L1861" t="s">
        <v>303</v>
      </c>
      <c r="M1861" t="s">
        <v>323</v>
      </c>
      <c r="N1861" t="s">
        <v>63</v>
      </c>
      <c r="O1861" s="110">
        <v>49.9</v>
      </c>
      <c r="R1861" s="110">
        <v>325.68999999999994</v>
      </c>
      <c r="S1861" s="110">
        <v>130</v>
      </c>
      <c r="T1861" s="110">
        <v>0</v>
      </c>
      <c r="U1861" s="110">
        <v>34.99</v>
      </c>
      <c r="X1861">
        <v>110.79999999999998</v>
      </c>
      <c r="Y1861">
        <v>49.9</v>
      </c>
      <c r="Z1861">
        <v>49.9</v>
      </c>
      <c r="AA1861">
        <v>0</v>
      </c>
      <c r="AB1861" t="s">
        <v>363</v>
      </c>
      <c r="AF1861" t="s">
        <v>2212</v>
      </c>
      <c r="AG1861" t="s">
        <v>2212</v>
      </c>
      <c r="AH1861" t="s">
        <v>325</v>
      </c>
      <c r="AI1861">
        <v>99999</v>
      </c>
      <c r="AJ1861">
        <v>99999</v>
      </c>
      <c r="AK1861">
        <v>699</v>
      </c>
      <c r="AL1861" t="b">
        <v>1</v>
      </c>
      <c r="AM1861" t="b">
        <v>1</v>
      </c>
      <c r="AN1861" t="b">
        <v>0</v>
      </c>
      <c r="AO1861">
        <v>99999</v>
      </c>
      <c r="AP1861" t="s">
        <v>64</v>
      </c>
      <c r="AR1861" t="b">
        <v>0</v>
      </c>
      <c r="AS1861">
        <v>12</v>
      </c>
      <c r="AT1861" t="s">
        <v>327</v>
      </c>
      <c r="AV1861" t="s">
        <v>2219</v>
      </c>
    </row>
    <row r="1862" spans="1:48" x14ac:dyDescent="0.25">
      <c r="A1862" t="s">
        <v>3323</v>
      </c>
      <c r="B1862" t="s">
        <v>302</v>
      </c>
      <c r="C1862" t="s">
        <v>62</v>
      </c>
      <c r="D1862">
        <v>99999</v>
      </c>
      <c r="F1862" s="109">
        <v>4000</v>
      </c>
      <c r="G1862" t="b">
        <v>0</v>
      </c>
      <c r="H1862" t="s">
        <v>339</v>
      </c>
      <c r="K1862" t="s">
        <v>364</v>
      </c>
      <c r="L1862" t="s">
        <v>303</v>
      </c>
      <c r="M1862" t="s">
        <v>323</v>
      </c>
      <c r="N1862" t="s">
        <v>63</v>
      </c>
      <c r="O1862" s="110">
        <v>49.9</v>
      </c>
      <c r="R1862" s="110">
        <v>339.99</v>
      </c>
      <c r="S1862" s="110">
        <v>130</v>
      </c>
      <c r="T1862" s="110">
        <v>0</v>
      </c>
      <c r="U1862" s="110">
        <v>42.99</v>
      </c>
      <c r="X1862">
        <v>117.1</v>
      </c>
      <c r="Y1862">
        <v>49.9</v>
      </c>
      <c r="Z1862">
        <v>49.9</v>
      </c>
      <c r="AA1862">
        <v>0</v>
      </c>
      <c r="AB1862" t="s">
        <v>363</v>
      </c>
      <c r="AF1862" t="s">
        <v>2286</v>
      </c>
      <c r="AG1862" t="s">
        <v>2286</v>
      </c>
      <c r="AH1862" t="s">
        <v>325</v>
      </c>
      <c r="AI1862">
        <v>99999</v>
      </c>
      <c r="AJ1862">
        <v>99999</v>
      </c>
      <c r="AK1862">
        <v>699</v>
      </c>
      <c r="AL1862" t="b">
        <v>1</v>
      </c>
      <c r="AM1862" t="b">
        <v>1</v>
      </c>
      <c r="AN1862" t="b">
        <v>0</v>
      </c>
      <c r="AO1862">
        <v>99999</v>
      </c>
      <c r="AP1862" t="s">
        <v>64</v>
      </c>
      <c r="AR1862" t="b">
        <v>0</v>
      </c>
      <c r="AS1862">
        <v>12</v>
      </c>
      <c r="AT1862" t="s">
        <v>327</v>
      </c>
      <c r="AV1862" t="s">
        <v>2293</v>
      </c>
    </row>
    <row r="1863" spans="1:48" x14ac:dyDescent="0.25">
      <c r="A1863" t="s">
        <v>3323</v>
      </c>
      <c r="B1863" t="s">
        <v>302</v>
      </c>
      <c r="C1863" t="s">
        <v>62</v>
      </c>
      <c r="D1863">
        <v>99999</v>
      </c>
      <c r="F1863" s="109">
        <v>4000</v>
      </c>
      <c r="G1863" t="b">
        <v>0</v>
      </c>
      <c r="H1863" t="s">
        <v>339</v>
      </c>
      <c r="K1863" t="s">
        <v>364</v>
      </c>
      <c r="L1863" t="s">
        <v>303</v>
      </c>
      <c r="M1863" t="s">
        <v>323</v>
      </c>
      <c r="N1863" t="s">
        <v>63</v>
      </c>
      <c r="O1863" s="110">
        <v>49.9</v>
      </c>
      <c r="R1863" s="110">
        <v>354.99</v>
      </c>
      <c r="S1863" s="110">
        <v>130</v>
      </c>
      <c r="T1863" s="110">
        <v>0</v>
      </c>
      <c r="U1863" s="110">
        <v>42.99</v>
      </c>
      <c r="X1863">
        <v>132.1</v>
      </c>
      <c r="Y1863">
        <v>49.9</v>
      </c>
      <c r="Z1863">
        <v>49.9</v>
      </c>
      <c r="AA1863">
        <v>0</v>
      </c>
      <c r="AB1863" t="s">
        <v>363</v>
      </c>
      <c r="AF1863" t="s">
        <v>2353</v>
      </c>
      <c r="AG1863" t="s">
        <v>2353</v>
      </c>
      <c r="AH1863" t="s">
        <v>325</v>
      </c>
      <c r="AI1863">
        <v>99999</v>
      </c>
      <c r="AJ1863">
        <v>99999</v>
      </c>
      <c r="AK1863">
        <v>699</v>
      </c>
      <c r="AL1863" t="b">
        <v>1</v>
      </c>
      <c r="AM1863" t="b">
        <v>1</v>
      </c>
      <c r="AN1863" t="b">
        <v>0</v>
      </c>
      <c r="AO1863">
        <v>99999</v>
      </c>
      <c r="AP1863" t="s">
        <v>64</v>
      </c>
      <c r="AR1863" t="b">
        <v>0</v>
      </c>
      <c r="AS1863">
        <v>12</v>
      </c>
      <c r="AT1863" t="s">
        <v>327</v>
      </c>
      <c r="AV1863" t="s">
        <v>2360</v>
      </c>
    </row>
    <row r="1864" spans="1:48" x14ac:dyDescent="0.25">
      <c r="A1864" t="s">
        <v>3323</v>
      </c>
      <c r="B1864" t="s">
        <v>302</v>
      </c>
      <c r="C1864" t="s">
        <v>62</v>
      </c>
      <c r="D1864">
        <v>99999</v>
      </c>
      <c r="F1864" s="109">
        <v>4000</v>
      </c>
      <c r="G1864" t="b">
        <v>0</v>
      </c>
      <c r="H1864" t="s">
        <v>339</v>
      </c>
      <c r="K1864" t="s">
        <v>364</v>
      </c>
      <c r="L1864" t="s">
        <v>303</v>
      </c>
      <c r="M1864" t="s">
        <v>323</v>
      </c>
      <c r="N1864" t="s">
        <v>63</v>
      </c>
      <c r="O1864" s="110">
        <v>49.9</v>
      </c>
      <c r="R1864" s="110">
        <v>349.99</v>
      </c>
      <c r="S1864" s="110">
        <v>130</v>
      </c>
      <c r="T1864" s="110">
        <v>0</v>
      </c>
      <c r="U1864" s="110">
        <v>42.99</v>
      </c>
      <c r="X1864">
        <v>127.1</v>
      </c>
      <c r="Y1864">
        <v>49.9</v>
      </c>
      <c r="Z1864">
        <v>49.9</v>
      </c>
      <c r="AA1864">
        <v>0</v>
      </c>
      <c r="AB1864" t="s">
        <v>363</v>
      </c>
      <c r="AF1864" t="s">
        <v>2420</v>
      </c>
      <c r="AG1864" t="s">
        <v>2420</v>
      </c>
      <c r="AH1864" t="s">
        <v>325</v>
      </c>
      <c r="AI1864">
        <v>99999</v>
      </c>
      <c r="AJ1864">
        <v>99999</v>
      </c>
      <c r="AK1864">
        <v>699</v>
      </c>
      <c r="AL1864" t="b">
        <v>1</v>
      </c>
      <c r="AM1864" t="b">
        <v>1</v>
      </c>
      <c r="AN1864" t="b">
        <v>0</v>
      </c>
      <c r="AO1864">
        <v>99999</v>
      </c>
      <c r="AP1864" t="s">
        <v>64</v>
      </c>
      <c r="AR1864" t="b">
        <v>0</v>
      </c>
      <c r="AS1864">
        <v>12</v>
      </c>
      <c r="AT1864" t="s">
        <v>327</v>
      </c>
      <c r="AV1864" t="s">
        <v>2427</v>
      </c>
    </row>
    <row r="1865" spans="1:48" x14ac:dyDescent="0.25">
      <c r="A1865" t="s">
        <v>3323</v>
      </c>
      <c r="B1865" t="s">
        <v>302</v>
      </c>
      <c r="C1865" t="s">
        <v>62</v>
      </c>
      <c r="D1865">
        <v>99999</v>
      </c>
      <c r="F1865" s="109">
        <v>4000</v>
      </c>
      <c r="G1865" t="b">
        <v>0</v>
      </c>
      <c r="H1865" t="s">
        <v>339</v>
      </c>
      <c r="K1865" t="s">
        <v>379</v>
      </c>
      <c r="L1865" t="s">
        <v>303</v>
      </c>
      <c r="M1865" t="s">
        <v>323</v>
      </c>
      <c r="N1865" t="s">
        <v>63</v>
      </c>
      <c r="O1865">
        <v>29.9</v>
      </c>
      <c r="R1865">
        <v>259.89</v>
      </c>
      <c r="S1865">
        <v>39.9</v>
      </c>
      <c r="T1865" s="110">
        <v>0</v>
      </c>
      <c r="U1865">
        <v>42.99</v>
      </c>
      <c r="X1865">
        <v>117.1</v>
      </c>
      <c r="Y1865">
        <v>59.9</v>
      </c>
      <c r="Z1865">
        <v>59.9</v>
      </c>
      <c r="AA1865">
        <v>0</v>
      </c>
      <c r="AB1865" t="s">
        <v>363</v>
      </c>
      <c r="AF1865" t="s">
        <v>365</v>
      </c>
      <c r="AG1865" t="s">
        <v>365</v>
      </c>
      <c r="AH1865" t="s">
        <v>325</v>
      </c>
      <c r="AI1865">
        <v>99999</v>
      </c>
      <c r="AJ1865">
        <v>99999</v>
      </c>
      <c r="AK1865">
        <v>699</v>
      </c>
      <c r="AL1865" t="b">
        <v>1</v>
      </c>
      <c r="AM1865" t="b">
        <v>1</v>
      </c>
      <c r="AN1865" t="b">
        <v>0</v>
      </c>
      <c r="AO1865">
        <v>99999</v>
      </c>
      <c r="AP1865" t="s">
        <v>64</v>
      </c>
      <c r="AR1865" t="b">
        <v>0</v>
      </c>
      <c r="AS1865">
        <v>12</v>
      </c>
      <c r="AT1865" t="s">
        <v>327</v>
      </c>
      <c r="AV1865" t="s">
        <v>386</v>
      </c>
    </row>
    <row r="1866" spans="1:48" x14ac:dyDescent="0.25">
      <c r="A1866" t="s">
        <v>3323</v>
      </c>
      <c r="B1866" t="s">
        <v>302</v>
      </c>
      <c r="C1866" t="s">
        <v>62</v>
      </c>
      <c r="D1866">
        <v>99999</v>
      </c>
      <c r="F1866" s="109">
        <v>4000</v>
      </c>
      <c r="G1866" t="b">
        <v>0</v>
      </c>
      <c r="H1866" t="s">
        <v>339</v>
      </c>
      <c r="K1866" t="s">
        <v>379</v>
      </c>
      <c r="L1866" t="s">
        <v>303</v>
      </c>
      <c r="M1866" t="s">
        <v>323</v>
      </c>
      <c r="N1866" t="s">
        <v>63</v>
      </c>
      <c r="O1866">
        <v>29.9</v>
      </c>
      <c r="R1866">
        <v>274.89</v>
      </c>
      <c r="S1866">
        <v>39.9</v>
      </c>
      <c r="T1866" s="110">
        <v>0</v>
      </c>
      <c r="U1866">
        <v>42.99</v>
      </c>
      <c r="X1866">
        <v>132.1</v>
      </c>
      <c r="Y1866">
        <v>59.9</v>
      </c>
      <c r="Z1866">
        <v>59.9</v>
      </c>
      <c r="AA1866">
        <v>0</v>
      </c>
      <c r="AB1866" t="s">
        <v>363</v>
      </c>
      <c r="AF1866" t="s">
        <v>501</v>
      </c>
      <c r="AG1866" t="s">
        <v>501</v>
      </c>
      <c r="AH1866" t="s">
        <v>325</v>
      </c>
      <c r="AI1866">
        <v>99999</v>
      </c>
      <c r="AJ1866">
        <v>99999</v>
      </c>
      <c r="AK1866">
        <v>699</v>
      </c>
      <c r="AL1866" t="b">
        <v>1</v>
      </c>
      <c r="AM1866" t="b">
        <v>1</v>
      </c>
      <c r="AN1866" t="b">
        <v>0</v>
      </c>
      <c r="AO1866">
        <v>99999</v>
      </c>
      <c r="AP1866" t="s">
        <v>64</v>
      </c>
      <c r="AR1866" t="b">
        <v>0</v>
      </c>
      <c r="AS1866">
        <v>12</v>
      </c>
      <c r="AT1866" t="s">
        <v>327</v>
      </c>
      <c r="AV1866" t="s">
        <v>521</v>
      </c>
    </row>
    <row r="1867" spans="1:48" x14ac:dyDescent="0.25">
      <c r="A1867" t="s">
        <v>3323</v>
      </c>
      <c r="B1867" t="s">
        <v>302</v>
      </c>
      <c r="C1867" t="s">
        <v>62</v>
      </c>
      <c r="D1867">
        <v>99999</v>
      </c>
      <c r="F1867" s="109">
        <v>4000</v>
      </c>
      <c r="G1867" t="b">
        <v>0</v>
      </c>
      <c r="H1867" t="s">
        <v>339</v>
      </c>
      <c r="K1867" t="s">
        <v>379</v>
      </c>
      <c r="L1867" t="s">
        <v>303</v>
      </c>
      <c r="M1867" t="s">
        <v>323</v>
      </c>
      <c r="N1867" t="s">
        <v>63</v>
      </c>
      <c r="O1867">
        <v>29.9</v>
      </c>
      <c r="R1867">
        <v>289.89</v>
      </c>
      <c r="S1867">
        <v>59.9</v>
      </c>
      <c r="T1867" s="110">
        <v>0</v>
      </c>
      <c r="U1867">
        <v>42.99</v>
      </c>
      <c r="X1867">
        <v>127.1</v>
      </c>
      <c r="Y1867">
        <v>59.9</v>
      </c>
      <c r="Z1867">
        <v>59.9</v>
      </c>
      <c r="AA1867">
        <v>0</v>
      </c>
      <c r="AB1867" t="s">
        <v>363</v>
      </c>
      <c r="AF1867" t="s">
        <v>635</v>
      </c>
      <c r="AG1867" t="s">
        <v>635</v>
      </c>
      <c r="AH1867" t="s">
        <v>325</v>
      </c>
      <c r="AI1867">
        <v>99999</v>
      </c>
      <c r="AJ1867">
        <v>99999</v>
      </c>
      <c r="AK1867">
        <v>699</v>
      </c>
      <c r="AL1867" t="b">
        <v>1</v>
      </c>
      <c r="AM1867" t="b">
        <v>1</v>
      </c>
      <c r="AN1867" t="b">
        <v>0</v>
      </c>
      <c r="AO1867">
        <v>99999</v>
      </c>
      <c r="AP1867" t="s">
        <v>64</v>
      </c>
      <c r="AR1867" t="b">
        <v>0</v>
      </c>
      <c r="AS1867">
        <v>12</v>
      </c>
      <c r="AT1867" t="s">
        <v>327</v>
      </c>
      <c r="AV1867" t="s">
        <v>655</v>
      </c>
    </row>
    <row r="1868" spans="1:48" x14ac:dyDescent="0.25">
      <c r="A1868" t="s">
        <v>3323</v>
      </c>
      <c r="B1868" t="s">
        <v>302</v>
      </c>
      <c r="C1868" t="s">
        <v>62</v>
      </c>
      <c r="D1868">
        <v>99999</v>
      </c>
      <c r="F1868" s="109">
        <v>4000</v>
      </c>
      <c r="G1868" t="b">
        <v>0</v>
      </c>
      <c r="H1868" t="s">
        <v>339</v>
      </c>
      <c r="K1868" t="s">
        <v>379</v>
      </c>
      <c r="L1868" t="s">
        <v>303</v>
      </c>
      <c r="M1868" t="s">
        <v>323</v>
      </c>
      <c r="N1868" t="s">
        <v>63</v>
      </c>
      <c r="O1868" s="110">
        <v>39.9</v>
      </c>
      <c r="R1868" s="110">
        <v>259.89</v>
      </c>
      <c r="S1868" s="110">
        <v>39.9</v>
      </c>
      <c r="T1868" s="110">
        <v>0</v>
      </c>
      <c r="U1868" s="110">
        <v>42.99</v>
      </c>
      <c r="X1868">
        <v>117.1</v>
      </c>
      <c r="Y1868">
        <v>59.9</v>
      </c>
      <c r="Z1868">
        <v>59.9</v>
      </c>
      <c r="AA1868">
        <v>0</v>
      </c>
      <c r="AB1868" t="s">
        <v>363</v>
      </c>
      <c r="AF1868" t="s">
        <v>434</v>
      </c>
      <c r="AG1868" t="s">
        <v>434</v>
      </c>
      <c r="AH1868" t="s">
        <v>325</v>
      </c>
      <c r="AI1868">
        <v>99999</v>
      </c>
      <c r="AJ1868">
        <v>99999</v>
      </c>
      <c r="AK1868">
        <v>699</v>
      </c>
      <c r="AL1868" t="b">
        <v>1</v>
      </c>
      <c r="AM1868" t="b">
        <v>1</v>
      </c>
      <c r="AN1868" t="b">
        <v>0</v>
      </c>
      <c r="AO1868">
        <v>99999</v>
      </c>
      <c r="AP1868" t="s">
        <v>64</v>
      </c>
      <c r="AR1868" t="b">
        <v>0</v>
      </c>
      <c r="AS1868">
        <v>12</v>
      </c>
      <c r="AT1868" t="s">
        <v>327</v>
      </c>
      <c r="AV1868" t="s">
        <v>454</v>
      </c>
    </row>
    <row r="1869" spans="1:48" x14ac:dyDescent="0.25">
      <c r="A1869" t="s">
        <v>3323</v>
      </c>
      <c r="B1869" t="s">
        <v>302</v>
      </c>
      <c r="C1869" t="s">
        <v>62</v>
      </c>
      <c r="D1869">
        <v>99999</v>
      </c>
      <c r="F1869" s="109">
        <v>4000</v>
      </c>
      <c r="G1869" t="b">
        <v>0</v>
      </c>
      <c r="H1869" t="s">
        <v>339</v>
      </c>
      <c r="K1869" t="s">
        <v>379</v>
      </c>
      <c r="L1869" t="s">
        <v>303</v>
      </c>
      <c r="M1869" t="s">
        <v>323</v>
      </c>
      <c r="N1869" t="s">
        <v>63</v>
      </c>
      <c r="O1869">
        <v>39.9</v>
      </c>
      <c r="R1869">
        <v>274.89</v>
      </c>
      <c r="S1869">
        <v>39.9</v>
      </c>
      <c r="T1869" s="110">
        <v>0</v>
      </c>
      <c r="U1869">
        <v>42.99</v>
      </c>
      <c r="X1869">
        <v>132.1</v>
      </c>
      <c r="Y1869">
        <v>59.9</v>
      </c>
      <c r="Z1869">
        <v>59.9</v>
      </c>
      <c r="AA1869">
        <v>0</v>
      </c>
      <c r="AB1869" t="s">
        <v>363</v>
      </c>
      <c r="AF1869" t="s">
        <v>568</v>
      </c>
      <c r="AG1869" t="s">
        <v>568</v>
      </c>
      <c r="AH1869" t="s">
        <v>325</v>
      </c>
      <c r="AI1869">
        <v>99999</v>
      </c>
      <c r="AJ1869">
        <v>99999</v>
      </c>
      <c r="AK1869">
        <v>699</v>
      </c>
      <c r="AL1869" t="b">
        <v>1</v>
      </c>
      <c r="AM1869" t="b">
        <v>1</v>
      </c>
      <c r="AN1869" t="b">
        <v>0</v>
      </c>
      <c r="AO1869">
        <v>99999</v>
      </c>
      <c r="AP1869" t="s">
        <v>64</v>
      </c>
      <c r="AR1869" t="b">
        <v>0</v>
      </c>
      <c r="AS1869">
        <v>12</v>
      </c>
      <c r="AT1869" t="s">
        <v>327</v>
      </c>
      <c r="AV1869" t="s">
        <v>588</v>
      </c>
    </row>
    <row r="1870" spans="1:48" x14ac:dyDescent="0.25">
      <c r="A1870" t="s">
        <v>3323</v>
      </c>
      <c r="B1870" t="s">
        <v>302</v>
      </c>
      <c r="C1870" t="s">
        <v>62</v>
      </c>
      <c r="D1870">
        <v>99999</v>
      </c>
      <c r="F1870" s="109">
        <v>4000</v>
      </c>
      <c r="G1870" t="b">
        <v>0</v>
      </c>
      <c r="H1870" t="s">
        <v>339</v>
      </c>
      <c r="K1870" t="s">
        <v>379</v>
      </c>
      <c r="L1870" t="s">
        <v>303</v>
      </c>
      <c r="M1870" t="s">
        <v>323</v>
      </c>
      <c r="N1870" t="s">
        <v>63</v>
      </c>
      <c r="O1870">
        <v>39.9</v>
      </c>
      <c r="R1870">
        <v>289.89</v>
      </c>
      <c r="S1870">
        <v>59.9</v>
      </c>
      <c r="T1870" s="110">
        <v>0</v>
      </c>
      <c r="U1870">
        <v>42.99</v>
      </c>
      <c r="X1870">
        <v>127.1</v>
      </c>
      <c r="Y1870">
        <v>59.9</v>
      </c>
      <c r="Z1870">
        <v>59.9</v>
      </c>
      <c r="AA1870">
        <v>0</v>
      </c>
      <c r="AB1870" t="s">
        <v>363</v>
      </c>
      <c r="AF1870" t="s">
        <v>702</v>
      </c>
      <c r="AG1870" t="s">
        <v>702</v>
      </c>
      <c r="AH1870" t="s">
        <v>325</v>
      </c>
      <c r="AI1870">
        <v>99999</v>
      </c>
      <c r="AJ1870">
        <v>99999</v>
      </c>
      <c r="AK1870">
        <v>699</v>
      </c>
      <c r="AL1870" t="b">
        <v>1</v>
      </c>
      <c r="AM1870" t="b">
        <v>1</v>
      </c>
      <c r="AN1870" t="b">
        <v>0</v>
      </c>
      <c r="AO1870">
        <v>99999</v>
      </c>
      <c r="AP1870" t="s">
        <v>64</v>
      </c>
      <c r="AR1870" t="b">
        <v>0</v>
      </c>
      <c r="AS1870">
        <v>12</v>
      </c>
      <c r="AT1870" t="s">
        <v>327</v>
      </c>
      <c r="AV1870" t="s">
        <v>722</v>
      </c>
    </row>
    <row r="1871" spans="1:48" x14ac:dyDescent="0.25">
      <c r="A1871" t="s">
        <v>3323</v>
      </c>
      <c r="B1871" t="s">
        <v>302</v>
      </c>
      <c r="C1871" t="s">
        <v>62</v>
      </c>
      <c r="D1871">
        <v>99999</v>
      </c>
      <c r="F1871" s="109">
        <v>4000</v>
      </c>
      <c r="G1871" t="b">
        <v>0</v>
      </c>
      <c r="H1871" t="s">
        <v>339</v>
      </c>
      <c r="K1871" t="s">
        <v>379</v>
      </c>
      <c r="L1871" t="s">
        <v>303</v>
      </c>
      <c r="M1871" t="s">
        <v>323</v>
      </c>
      <c r="N1871" t="s">
        <v>63</v>
      </c>
      <c r="O1871" s="110">
        <v>49.9</v>
      </c>
      <c r="R1871" s="110">
        <v>335.68999999999994</v>
      </c>
      <c r="S1871" s="110">
        <v>130</v>
      </c>
      <c r="T1871" s="110">
        <v>0</v>
      </c>
      <c r="U1871" s="110">
        <v>34.99</v>
      </c>
      <c r="X1871">
        <v>110.79999999999998</v>
      </c>
      <c r="Y1871">
        <v>59.9</v>
      </c>
      <c r="Z1871">
        <v>59.9</v>
      </c>
      <c r="AA1871">
        <v>0</v>
      </c>
      <c r="AB1871" t="s">
        <v>363</v>
      </c>
      <c r="AF1871" t="s">
        <v>2212</v>
      </c>
      <c r="AG1871" t="s">
        <v>2212</v>
      </c>
      <c r="AH1871" t="s">
        <v>325</v>
      </c>
      <c r="AI1871">
        <v>99999</v>
      </c>
      <c r="AJ1871">
        <v>99999</v>
      </c>
      <c r="AK1871">
        <v>699</v>
      </c>
      <c r="AL1871" t="b">
        <v>1</v>
      </c>
      <c r="AM1871" t="b">
        <v>1</v>
      </c>
      <c r="AN1871" t="b">
        <v>0</v>
      </c>
      <c r="AO1871">
        <v>99999</v>
      </c>
      <c r="AP1871" t="s">
        <v>64</v>
      </c>
      <c r="AR1871" t="b">
        <v>0</v>
      </c>
      <c r="AS1871">
        <v>12</v>
      </c>
      <c r="AT1871" t="s">
        <v>327</v>
      </c>
      <c r="AV1871" t="s">
        <v>2232</v>
      </c>
    </row>
    <row r="1872" spans="1:48" x14ac:dyDescent="0.25">
      <c r="A1872" t="s">
        <v>3323</v>
      </c>
      <c r="B1872" t="s">
        <v>302</v>
      </c>
      <c r="C1872" t="s">
        <v>62</v>
      </c>
      <c r="D1872">
        <v>99999</v>
      </c>
      <c r="F1872" s="109">
        <v>4000</v>
      </c>
      <c r="G1872" t="b">
        <v>0</v>
      </c>
      <c r="H1872" t="s">
        <v>339</v>
      </c>
      <c r="K1872" t="s">
        <v>379</v>
      </c>
      <c r="L1872" t="s">
        <v>303</v>
      </c>
      <c r="M1872" t="s">
        <v>323</v>
      </c>
      <c r="N1872" t="s">
        <v>63</v>
      </c>
      <c r="O1872" s="110">
        <v>49.9</v>
      </c>
      <c r="R1872" s="110">
        <v>349.99</v>
      </c>
      <c r="S1872" s="110">
        <v>130</v>
      </c>
      <c r="T1872" s="110">
        <v>0</v>
      </c>
      <c r="U1872" s="110">
        <v>42.99</v>
      </c>
      <c r="X1872">
        <v>117.1</v>
      </c>
      <c r="Y1872">
        <v>59.9</v>
      </c>
      <c r="Z1872">
        <v>59.9</v>
      </c>
      <c r="AA1872">
        <v>0</v>
      </c>
      <c r="AB1872" t="s">
        <v>363</v>
      </c>
      <c r="AF1872" t="s">
        <v>2286</v>
      </c>
      <c r="AG1872" t="s">
        <v>2286</v>
      </c>
      <c r="AH1872" t="s">
        <v>325</v>
      </c>
      <c r="AI1872">
        <v>99999</v>
      </c>
      <c r="AJ1872">
        <v>99999</v>
      </c>
      <c r="AK1872">
        <v>699</v>
      </c>
      <c r="AL1872" t="b">
        <v>1</v>
      </c>
      <c r="AM1872" t="b">
        <v>1</v>
      </c>
      <c r="AN1872" t="b">
        <v>0</v>
      </c>
      <c r="AO1872">
        <v>99999</v>
      </c>
      <c r="AP1872" t="s">
        <v>64</v>
      </c>
      <c r="AR1872" t="b">
        <v>0</v>
      </c>
      <c r="AS1872">
        <v>12</v>
      </c>
      <c r="AT1872" t="s">
        <v>327</v>
      </c>
      <c r="AV1872" t="s">
        <v>2306</v>
      </c>
    </row>
    <row r="1873" spans="1:48" x14ac:dyDescent="0.25">
      <c r="A1873" t="s">
        <v>3323</v>
      </c>
      <c r="B1873" t="s">
        <v>302</v>
      </c>
      <c r="C1873" t="s">
        <v>62</v>
      </c>
      <c r="D1873">
        <v>99999</v>
      </c>
      <c r="F1873" s="109">
        <v>4000</v>
      </c>
      <c r="G1873" t="b">
        <v>0</v>
      </c>
      <c r="H1873" t="s">
        <v>339</v>
      </c>
      <c r="K1873" t="s">
        <v>379</v>
      </c>
      <c r="L1873" t="s">
        <v>303</v>
      </c>
      <c r="M1873" t="s">
        <v>323</v>
      </c>
      <c r="N1873" t="s">
        <v>63</v>
      </c>
      <c r="O1873" s="110">
        <v>49.9</v>
      </c>
      <c r="R1873" s="110">
        <v>364.99</v>
      </c>
      <c r="S1873" s="110">
        <v>130</v>
      </c>
      <c r="T1873" s="110">
        <v>0</v>
      </c>
      <c r="U1873" s="110">
        <v>42.99</v>
      </c>
      <c r="X1873">
        <v>132.1</v>
      </c>
      <c r="Y1873">
        <v>59.9</v>
      </c>
      <c r="Z1873">
        <v>59.9</v>
      </c>
      <c r="AA1873">
        <v>0</v>
      </c>
      <c r="AB1873" t="s">
        <v>363</v>
      </c>
      <c r="AF1873" t="s">
        <v>2353</v>
      </c>
      <c r="AG1873" t="s">
        <v>2353</v>
      </c>
      <c r="AH1873" t="s">
        <v>325</v>
      </c>
      <c r="AI1873">
        <v>99999</v>
      </c>
      <c r="AJ1873">
        <v>99999</v>
      </c>
      <c r="AK1873">
        <v>699</v>
      </c>
      <c r="AL1873" t="b">
        <v>1</v>
      </c>
      <c r="AM1873" t="b">
        <v>1</v>
      </c>
      <c r="AN1873" t="b">
        <v>0</v>
      </c>
      <c r="AO1873">
        <v>99999</v>
      </c>
      <c r="AP1873" t="s">
        <v>64</v>
      </c>
      <c r="AR1873" t="b">
        <v>0</v>
      </c>
      <c r="AS1873">
        <v>12</v>
      </c>
      <c r="AT1873" t="s">
        <v>327</v>
      </c>
      <c r="AV1873" t="s">
        <v>2373</v>
      </c>
    </row>
    <row r="1874" spans="1:48" x14ac:dyDescent="0.25">
      <c r="A1874" t="s">
        <v>3323</v>
      </c>
      <c r="B1874" t="s">
        <v>302</v>
      </c>
      <c r="C1874" t="s">
        <v>62</v>
      </c>
      <c r="D1874">
        <v>99999</v>
      </c>
      <c r="F1874" s="109">
        <v>4000</v>
      </c>
      <c r="G1874" t="b">
        <v>0</v>
      </c>
      <c r="H1874" t="s">
        <v>339</v>
      </c>
      <c r="K1874" t="s">
        <v>379</v>
      </c>
      <c r="L1874" t="s">
        <v>303</v>
      </c>
      <c r="M1874" t="s">
        <v>323</v>
      </c>
      <c r="N1874" t="s">
        <v>63</v>
      </c>
      <c r="O1874" s="110">
        <v>49.9</v>
      </c>
      <c r="R1874" s="110">
        <v>359.99</v>
      </c>
      <c r="S1874" s="110">
        <v>130</v>
      </c>
      <c r="T1874" s="110">
        <v>0</v>
      </c>
      <c r="U1874" s="110">
        <v>42.99</v>
      </c>
      <c r="X1874">
        <v>127.1</v>
      </c>
      <c r="Y1874">
        <v>59.9</v>
      </c>
      <c r="Z1874">
        <v>59.9</v>
      </c>
      <c r="AA1874">
        <v>0</v>
      </c>
      <c r="AB1874" t="s">
        <v>363</v>
      </c>
      <c r="AF1874" t="s">
        <v>2420</v>
      </c>
      <c r="AG1874" t="s">
        <v>2420</v>
      </c>
      <c r="AH1874" t="s">
        <v>325</v>
      </c>
      <c r="AI1874">
        <v>99999</v>
      </c>
      <c r="AJ1874">
        <v>99999</v>
      </c>
      <c r="AK1874">
        <v>699</v>
      </c>
      <c r="AL1874" t="b">
        <v>1</v>
      </c>
      <c r="AM1874" t="b">
        <v>1</v>
      </c>
      <c r="AN1874" t="b">
        <v>0</v>
      </c>
      <c r="AO1874">
        <v>99999</v>
      </c>
      <c r="AP1874" t="s">
        <v>64</v>
      </c>
      <c r="AR1874" t="b">
        <v>0</v>
      </c>
      <c r="AS1874">
        <v>12</v>
      </c>
      <c r="AT1874" t="s">
        <v>327</v>
      </c>
      <c r="AV1874" t="s">
        <v>2440</v>
      </c>
    </row>
    <row r="1875" spans="1:48" x14ac:dyDescent="0.25">
      <c r="A1875" t="s">
        <v>3323</v>
      </c>
      <c r="B1875" t="s">
        <v>302</v>
      </c>
      <c r="C1875" t="s">
        <v>62</v>
      </c>
      <c r="D1875">
        <v>99999</v>
      </c>
      <c r="F1875" s="109">
        <v>4000</v>
      </c>
      <c r="G1875" t="b">
        <v>0</v>
      </c>
      <c r="H1875" t="s">
        <v>339</v>
      </c>
      <c r="K1875" t="s">
        <v>61</v>
      </c>
      <c r="L1875" t="s">
        <v>303</v>
      </c>
      <c r="M1875" t="s">
        <v>323</v>
      </c>
      <c r="N1875" t="s">
        <v>63</v>
      </c>
      <c r="O1875">
        <v>29.9</v>
      </c>
      <c r="R1875">
        <v>244.89</v>
      </c>
      <c r="S1875">
        <v>39.9</v>
      </c>
      <c r="T1875" s="110">
        <v>0</v>
      </c>
      <c r="U1875">
        <v>42.99</v>
      </c>
      <c r="X1875">
        <v>117.1</v>
      </c>
      <c r="Y1875">
        <v>44.9</v>
      </c>
      <c r="Z1875">
        <v>44.9</v>
      </c>
      <c r="AA1875">
        <v>0</v>
      </c>
      <c r="AB1875" t="s">
        <v>324</v>
      </c>
      <c r="AF1875" t="s">
        <v>326</v>
      </c>
      <c r="AG1875" t="s">
        <v>326</v>
      </c>
      <c r="AH1875" t="s">
        <v>325</v>
      </c>
      <c r="AI1875">
        <v>99999</v>
      </c>
      <c r="AJ1875">
        <v>99999</v>
      </c>
      <c r="AK1875">
        <v>699</v>
      </c>
      <c r="AL1875" t="b">
        <v>1</v>
      </c>
      <c r="AM1875" t="b">
        <v>1</v>
      </c>
      <c r="AN1875" t="b">
        <v>0</v>
      </c>
      <c r="AO1875">
        <v>99999</v>
      </c>
      <c r="AP1875" t="s">
        <v>64</v>
      </c>
      <c r="AR1875" t="b">
        <v>0</v>
      </c>
      <c r="AS1875">
        <v>12</v>
      </c>
      <c r="AT1875" t="s">
        <v>327</v>
      </c>
      <c r="AV1875" t="s">
        <v>340</v>
      </c>
    </row>
    <row r="1876" spans="1:48" x14ac:dyDescent="0.25">
      <c r="A1876" t="s">
        <v>3323</v>
      </c>
      <c r="B1876" t="s">
        <v>302</v>
      </c>
      <c r="C1876" t="s">
        <v>62</v>
      </c>
      <c r="D1876">
        <v>99999</v>
      </c>
      <c r="F1876" s="109">
        <v>4000</v>
      </c>
      <c r="G1876" t="b">
        <v>0</v>
      </c>
      <c r="H1876" t="s">
        <v>339</v>
      </c>
      <c r="K1876" t="s">
        <v>61</v>
      </c>
      <c r="L1876" t="s">
        <v>303</v>
      </c>
      <c r="M1876" t="s">
        <v>323</v>
      </c>
      <c r="N1876" t="s">
        <v>63</v>
      </c>
      <c r="O1876">
        <v>29.9</v>
      </c>
      <c r="R1876">
        <v>259.89</v>
      </c>
      <c r="S1876">
        <v>39.9</v>
      </c>
      <c r="T1876" s="110">
        <v>0</v>
      </c>
      <c r="U1876">
        <v>42.99</v>
      </c>
      <c r="X1876">
        <v>132.1</v>
      </c>
      <c r="Y1876">
        <v>44.9</v>
      </c>
      <c r="Z1876">
        <v>44.9</v>
      </c>
      <c r="AA1876">
        <v>0</v>
      </c>
      <c r="AB1876" t="s">
        <v>324</v>
      </c>
      <c r="AF1876" t="s">
        <v>474</v>
      </c>
      <c r="AG1876" t="s">
        <v>474</v>
      </c>
      <c r="AH1876" t="s">
        <v>325</v>
      </c>
      <c r="AI1876">
        <v>99999</v>
      </c>
      <c r="AJ1876">
        <v>99999</v>
      </c>
      <c r="AK1876">
        <v>699</v>
      </c>
      <c r="AL1876" t="b">
        <v>1</v>
      </c>
      <c r="AM1876" t="b">
        <v>1</v>
      </c>
      <c r="AN1876" t="b">
        <v>0</v>
      </c>
      <c r="AO1876">
        <v>99999</v>
      </c>
      <c r="AP1876" t="s">
        <v>64</v>
      </c>
      <c r="AR1876" t="b">
        <v>0</v>
      </c>
      <c r="AS1876">
        <v>12</v>
      </c>
      <c r="AT1876" t="s">
        <v>327</v>
      </c>
      <c r="AV1876" t="s">
        <v>481</v>
      </c>
    </row>
    <row r="1877" spans="1:48" x14ac:dyDescent="0.25">
      <c r="A1877" t="s">
        <v>3323</v>
      </c>
      <c r="B1877" t="s">
        <v>302</v>
      </c>
      <c r="C1877" t="s">
        <v>62</v>
      </c>
      <c r="D1877">
        <v>99999</v>
      </c>
      <c r="F1877" s="109">
        <v>4000</v>
      </c>
      <c r="G1877" t="b">
        <v>0</v>
      </c>
      <c r="H1877" t="s">
        <v>339</v>
      </c>
      <c r="K1877" t="s">
        <v>61</v>
      </c>
      <c r="L1877" t="s">
        <v>303</v>
      </c>
      <c r="M1877" t="s">
        <v>323</v>
      </c>
      <c r="N1877" t="s">
        <v>63</v>
      </c>
      <c r="O1877">
        <v>29.9</v>
      </c>
      <c r="R1877">
        <v>274.89</v>
      </c>
      <c r="S1877">
        <v>59.9</v>
      </c>
      <c r="T1877" s="110">
        <v>0</v>
      </c>
      <c r="U1877">
        <v>42.99</v>
      </c>
      <c r="X1877">
        <v>127.1</v>
      </c>
      <c r="Y1877">
        <v>44.9</v>
      </c>
      <c r="Z1877">
        <v>44.9</v>
      </c>
      <c r="AA1877">
        <v>0</v>
      </c>
      <c r="AB1877" t="s">
        <v>324</v>
      </c>
      <c r="AF1877" t="s">
        <v>608</v>
      </c>
      <c r="AG1877" t="s">
        <v>608</v>
      </c>
      <c r="AH1877" t="s">
        <v>325</v>
      </c>
      <c r="AI1877">
        <v>99999</v>
      </c>
      <c r="AJ1877">
        <v>99999</v>
      </c>
      <c r="AK1877">
        <v>699</v>
      </c>
      <c r="AL1877" t="b">
        <v>1</v>
      </c>
      <c r="AM1877" t="b">
        <v>1</v>
      </c>
      <c r="AN1877" t="b">
        <v>0</v>
      </c>
      <c r="AO1877">
        <v>99999</v>
      </c>
      <c r="AP1877" t="s">
        <v>64</v>
      </c>
      <c r="AR1877" t="b">
        <v>0</v>
      </c>
      <c r="AS1877">
        <v>12</v>
      </c>
      <c r="AT1877" t="s">
        <v>327</v>
      </c>
      <c r="AV1877" t="s">
        <v>615</v>
      </c>
    </row>
    <row r="1878" spans="1:48" x14ac:dyDescent="0.25">
      <c r="A1878" t="s">
        <v>3323</v>
      </c>
      <c r="B1878" t="s">
        <v>302</v>
      </c>
      <c r="C1878" t="s">
        <v>62</v>
      </c>
      <c r="D1878">
        <v>99999</v>
      </c>
      <c r="F1878" s="109">
        <v>4000</v>
      </c>
      <c r="G1878" t="b">
        <v>0</v>
      </c>
      <c r="H1878" t="s">
        <v>339</v>
      </c>
      <c r="K1878" t="s">
        <v>61</v>
      </c>
      <c r="L1878" t="s">
        <v>303</v>
      </c>
      <c r="M1878" t="s">
        <v>323</v>
      </c>
      <c r="N1878" t="s">
        <v>63</v>
      </c>
      <c r="O1878" s="110">
        <v>39.9</v>
      </c>
      <c r="R1878" s="110">
        <v>244.89</v>
      </c>
      <c r="S1878" s="110">
        <v>39.9</v>
      </c>
      <c r="T1878" s="110">
        <v>0</v>
      </c>
      <c r="U1878" s="110">
        <v>42.99</v>
      </c>
      <c r="X1878">
        <v>117.1</v>
      </c>
      <c r="Y1878">
        <v>44.9</v>
      </c>
      <c r="Z1878">
        <v>44.9</v>
      </c>
      <c r="AA1878">
        <v>0</v>
      </c>
      <c r="AB1878" t="s">
        <v>324</v>
      </c>
      <c r="AF1878" t="s">
        <v>407</v>
      </c>
      <c r="AG1878" t="s">
        <v>407</v>
      </c>
      <c r="AH1878" t="s">
        <v>325</v>
      </c>
      <c r="AI1878">
        <v>99999</v>
      </c>
      <c r="AJ1878">
        <v>99999</v>
      </c>
      <c r="AK1878">
        <v>699</v>
      </c>
      <c r="AL1878" t="b">
        <v>1</v>
      </c>
      <c r="AM1878" t="b">
        <v>1</v>
      </c>
      <c r="AN1878" t="b">
        <v>0</v>
      </c>
      <c r="AO1878">
        <v>99999</v>
      </c>
      <c r="AP1878" t="s">
        <v>64</v>
      </c>
      <c r="AR1878" t="b">
        <v>0</v>
      </c>
      <c r="AS1878">
        <v>12</v>
      </c>
      <c r="AT1878" t="s">
        <v>327</v>
      </c>
      <c r="AV1878" t="s">
        <v>414</v>
      </c>
    </row>
    <row r="1879" spans="1:48" x14ac:dyDescent="0.25">
      <c r="A1879" t="s">
        <v>3323</v>
      </c>
      <c r="B1879" t="s">
        <v>302</v>
      </c>
      <c r="C1879" t="s">
        <v>62</v>
      </c>
      <c r="D1879">
        <v>99999</v>
      </c>
      <c r="F1879" s="109">
        <v>4000</v>
      </c>
      <c r="G1879" t="b">
        <v>0</v>
      </c>
      <c r="H1879" t="s">
        <v>339</v>
      </c>
      <c r="K1879" t="s">
        <v>61</v>
      </c>
      <c r="L1879" t="s">
        <v>303</v>
      </c>
      <c r="M1879" t="s">
        <v>323</v>
      </c>
      <c r="N1879" t="s">
        <v>63</v>
      </c>
      <c r="O1879">
        <v>39.9</v>
      </c>
      <c r="R1879">
        <v>259.89</v>
      </c>
      <c r="S1879">
        <v>39.9</v>
      </c>
      <c r="T1879" s="110">
        <v>0</v>
      </c>
      <c r="U1879">
        <v>42.99</v>
      </c>
      <c r="X1879">
        <v>132.1</v>
      </c>
      <c r="Y1879">
        <v>44.9</v>
      </c>
      <c r="Z1879">
        <v>44.9</v>
      </c>
      <c r="AA1879">
        <v>0</v>
      </c>
      <c r="AB1879" t="s">
        <v>324</v>
      </c>
      <c r="AF1879" t="s">
        <v>541</v>
      </c>
      <c r="AG1879" t="s">
        <v>541</v>
      </c>
      <c r="AH1879" t="s">
        <v>325</v>
      </c>
      <c r="AI1879">
        <v>99999</v>
      </c>
      <c r="AJ1879">
        <v>99999</v>
      </c>
      <c r="AK1879">
        <v>699</v>
      </c>
      <c r="AL1879" t="b">
        <v>1</v>
      </c>
      <c r="AM1879" t="b">
        <v>1</v>
      </c>
      <c r="AN1879" t="b">
        <v>0</v>
      </c>
      <c r="AO1879">
        <v>99999</v>
      </c>
      <c r="AP1879" t="s">
        <v>64</v>
      </c>
      <c r="AR1879" t="b">
        <v>0</v>
      </c>
      <c r="AS1879">
        <v>12</v>
      </c>
      <c r="AT1879" t="s">
        <v>327</v>
      </c>
      <c r="AV1879" t="s">
        <v>548</v>
      </c>
    </row>
    <row r="1880" spans="1:48" x14ac:dyDescent="0.25">
      <c r="A1880" t="s">
        <v>3323</v>
      </c>
      <c r="B1880" t="s">
        <v>302</v>
      </c>
      <c r="C1880" t="s">
        <v>62</v>
      </c>
      <c r="D1880">
        <v>99999</v>
      </c>
      <c r="F1880" s="109">
        <v>4000</v>
      </c>
      <c r="G1880" t="b">
        <v>0</v>
      </c>
      <c r="H1880" t="s">
        <v>339</v>
      </c>
      <c r="K1880" t="s">
        <v>61</v>
      </c>
      <c r="L1880" t="s">
        <v>303</v>
      </c>
      <c r="M1880" t="s">
        <v>323</v>
      </c>
      <c r="N1880" t="s">
        <v>63</v>
      </c>
      <c r="O1880">
        <v>39.9</v>
      </c>
      <c r="R1880">
        <v>274.89</v>
      </c>
      <c r="S1880">
        <v>59.9</v>
      </c>
      <c r="T1880" s="110">
        <v>0</v>
      </c>
      <c r="U1880">
        <v>42.99</v>
      </c>
      <c r="X1880">
        <v>127.1</v>
      </c>
      <c r="Y1880">
        <v>44.9</v>
      </c>
      <c r="Z1880">
        <v>44.9</v>
      </c>
      <c r="AA1880">
        <v>0</v>
      </c>
      <c r="AB1880" t="s">
        <v>324</v>
      </c>
      <c r="AF1880" t="s">
        <v>675</v>
      </c>
      <c r="AG1880" t="s">
        <v>675</v>
      </c>
      <c r="AH1880" t="s">
        <v>325</v>
      </c>
      <c r="AI1880">
        <v>99999</v>
      </c>
      <c r="AJ1880">
        <v>99999</v>
      </c>
      <c r="AK1880">
        <v>699</v>
      </c>
      <c r="AL1880" t="b">
        <v>1</v>
      </c>
      <c r="AM1880" t="b">
        <v>1</v>
      </c>
      <c r="AN1880" t="b">
        <v>0</v>
      </c>
      <c r="AO1880">
        <v>99999</v>
      </c>
      <c r="AP1880" t="s">
        <v>64</v>
      </c>
      <c r="AR1880" t="b">
        <v>0</v>
      </c>
      <c r="AS1880">
        <v>12</v>
      </c>
      <c r="AT1880" t="s">
        <v>327</v>
      </c>
      <c r="AV1880" t="s">
        <v>682</v>
      </c>
    </row>
    <row r="1881" spans="1:48" x14ac:dyDescent="0.25">
      <c r="A1881" t="s">
        <v>3323</v>
      </c>
      <c r="B1881" t="s">
        <v>302</v>
      </c>
      <c r="C1881" t="s">
        <v>62</v>
      </c>
      <c r="D1881">
        <v>99999</v>
      </c>
      <c r="F1881" s="109">
        <v>4000</v>
      </c>
      <c r="G1881" t="b">
        <v>0</v>
      </c>
      <c r="H1881" t="s">
        <v>339</v>
      </c>
      <c r="K1881" t="s">
        <v>61</v>
      </c>
      <c r="L1881" t="s">
        <v>303</v>
      </c>
      <c r="M1881" t="s">
        <v>323</v>
      </c>
      <c r="N1881" t="s">
        <v>63</v>
      </c>
      <c r="O1881" s="110">
        <v>49.9</v>
      </c>
      <c r="R1881" s="110">
        <v>320.68999999999994</v>
      </c>
      <c r="S1881" s="110">
        <v>130</v>
      </c>
      <c r="T1881" s="110">
        <v>0</v>
      </c>
      <c r="U1881" s="110">
        <v>34.99</v>
      </c>
      <c r="X1881">
        <v>110.79999999999998</v>
      </c>
      <c r="Y1881">
        <v>44.9</v>
      </c>
      <c r="Z1881">
        <v>44.9</v>
      </c>
      <c r="AA1881">
        <v>0</v>
      </c>
      <c r="AB1881" t="s">
        <v>324</v>
      </c>
      <c r="AF1881" t="s">
        <v>2185</v>
      </c>
      <c r="AG1881" t="s">
        <v>2185</v>
      </c>
      <c r="AH1881" t="s">
        <v>325</v>
      </c>
      <c r="AI1881">
        <v>99999</v>
      </c>
      <c r="AJ1881">
        <v>99999</v>
      </c>
      <c r="AK1881">
        <v>699</v>
      </c>
      <c r="AL1881" t="b">
        <v>1</v>
      </c>
      <c r="AM1881" t="b">
        <v>1</v>
      </c>
      <c r="AN1881" t="b">
        <v>0</v>
      </c>
      <c r="AO1881">
        <v>99999</v>
      </c>
      <c r="AP1881" t="s">
        <v>64</v>
      </c>
      <c r="AR1881" t="b">
        <v>0</v>
      </c>
      <c r="AS1881">
        <v>12</v>
      </c>
      <c r="AT1881" t="s">
        <v>327</v>
      </c>
      <c r="AV1881" t="s">
        <v>2192</v>
      </c>
    </row>
    <row r="1882" spans="1:48" x14ac:dyDescent="0.25">
      <c r="A1882" t="s">
        <v>3323</v>
      </c>
      <c r="B1882" t="s">
        <v>302</v>
      </c>
      <c r="C1882" t="s">
        <v>62</v>
      </c>
      <c r="D1882">
        <v>99999</v>
      </c>
      <c r="F1882" s="109">
        <v>4000</v>
      </c>
      <c r="G1882" t="b">
        <v>0</v>
      </c>
      <c r="H1882" t="s">
        <v>339</v>
      </c>
      <c r="K1882" t="s">
        <v>61</v>
      </c>
      <c r="L1882" t="s">
        <v>303</v>
      </c>
      <c r="M1882" t="s">
        <v>323</v>
      </c>
      <c r="N1882" t="s">
        <v>63</v>
      </c>
      <c r="O1882" s="110">
        <v>49.9</v>
      </c>
      <c r="R1882" s="110">
        <v>334.99</v>
      </c>
      <c r="S1882" s="110">
        <v>130</v>
      </c>
      <c r="T1882" s="110">
        <v>0</v>
      </c>
      <c r="U1882" s="110">
        <v>42.99</v>
      </c>
      <c r="X1882">
        <v>117.1</v>
      </c>
      <c r="Y1882">
        <v>44.9</v>
      </c>
      <c r="Z1882">
        <v>44.9</v>
      </c>
      <c r="AA1882">
        <v>0</v>
      </c>
      <c r="AB1882" t="s">
        <v>324</v>
      </c>
      <c r="AF1882" t="s">
        <v>2259</v>
      </c>
      <c r="AG1882" t="s">
        <v>2259</v>
      </c>
      <c r="AH1882" t="s">
        <v>325</v>
      </c>
      <c r="AI1882">
        <v>99999</v>
      </c>
      <c r="AJ1882">
        <v>99999</v>
      </c>
      <c r="AK1882">
        <v>699</v>
      </c>
      <c r="AL1882" t="b">
        <v>1</v>
      </c>
      <c r="AM1882" t="b">
        <v>1</v>
      </c>
      <c r="AN1882" t="b">
        <v>0</v>
      </c>
      <c r="AO1882">
        <v>99999</v>
      </c>
      <c r="AP1882" t="s">
        <v>64</v>
      </c>
      <c r="AR1882" t="b">
        <v>0</v>
      </c>
      <c r="AS1882">
        <v>12</v>
      </c>
      <c r="AT1882" t="s">
        <v>327</v>
      </c>
      <c r="AV1882" t="s">
        <v>2266</v>
      </c>
    </row>
    <row r="1883" spans="1:48" x14ac:dyDescent="0.25">
      <c r="A1883" t="s">
        <v>3323</v>
      </c>
      <c r="B1883" t="s">
        <v>302</v>
      </c>
      <c r="C1883" t="s">
        <v>62</v>
      </c>
      <c r="D1883">
        <v>99999</v>
      </c>
      <c r="F1883" s="109">
        <v>4000</v>
      </c>
      <c r="G1883" t="b">
        <v>0</v>
      </c>
      <c r="H1883" t="s">
        <v>339</v>
      </c>
      <c r="K1883" t="s">
        <v>61</v>
      </c>
      <c r="L1883" t="s">
        <v>303</v>
      </c>
      <c r="M1883" t="s">
        <v>323</v>
      </c>
      <c r="N1883" t="s">
        <v>63</v>
      </c>
      <c r="O1883" s="110">
        <v>49.9</v>
      </c>
      <c r="R1883" s="110">
        <v>349.99</v>
      </c>
      <c r="S1883" s="110">
        <v>130</v>
      </c>
      <c r="T1883" s="110">
        <v>0</v>
      </c>
      <c r="U1883" s="110">
        <v>42.99</v>
      </c>
      <c r="X1883">
        <v>132.1</v>
      </c>
      <c r="Y1883">
        <v>44.9</v>
      </c>
      <c r="Z1883">
        <v>44.9</v>
      </c>
      <c r="AA1883">
        <v>0</v>
      </c>
      <c r="AB1883" t="s">
        <v>324</v>
      </c>
      <c r="AF1883" t="s">
        <v>2326</v>
      </c>
      <c r="AG1883" t="s">
        <v>2326</v>
      </c>
      <c r="AH1883" t="s">
        <v>325</v>
      </c>
      <c r="AI1883">
        <v>99999</v>
      </c>
      <c r="AJ1883">
        <v>99999</v>
      </c>
      <c r="AK1883">
        <v>699</v>
      </c>
      <c r="AL1883" t="b">
        <v>1</v>
      </c>
      <c r="AM1883" t="b">
        <v>1</v>
      </c>
      <c r="AN1883" t="b">
        <v>0</v>
      </c>
      <c r="AO1883">
        <v>99999</v>
      </c>
      <c r="AP1883" t="s">
        <v>64</v>
      </c>
      <c r="AR1883" t="b">
        <v>0</v>
      </c>
      <c r="AS1883">
        <v>12</v>
      </c>
      <c r="AT1883" t="s">
        <v>327</v>
      </c>
      <c r="AV1883" t="s">
        <v>2333</v>
      </c>
    </row>
    <row r="1884" spans="1:48" x14ac:dyDescent="0.25">
      <c r="A1884" t="s">
        <v>3323</v>
      </c>
      <c r="B1884" t="s">
        <v>302</v>
      </c>
      <c r="C1884" t="s">
        <v>62</v>
      </c>
      <c r="D1884">
        <v>99999</v>
      </c>
      <c r="F1884" s="109">
        <v>4000</v>
      </c>
      <c r="G1884" t="b">
        <v>0</v>
      </c>
      <c r="H1884" t="s">
        <v>339</v>
      </c>
      <c r="K1884" t="s">
        <v>61</v>
      </c>
      <c r="L1884" t="s">
        <v>303</v>
      </c>
      <c r="M1884" t="s">
        <v>323</v>
      </c>
      <c r="N1884" t="s">
        <v>63</v>
      </c>
      <c r="O1884" s="110">
        <v>49.9</v>
      </c>
      <c r="R1884" s="110">
        <v>344.99</v>
      </c>
      <c r="S1884" s="110">
        <v>130</v>
      </c>
      <c r="T1884" s="110">
        <v>0</v>
      </c>
      <c r="U1884" s="110">
        <v>42.99</v>
      </c>
      <c r="X1884">
        <v>127.1</v>
      </c>
      <c r="Y1884">
        <v>44.9</v>
      </c>
      <c r="Z1884">
        <v>44.9</v>
      </c>
      <c r="AA1884">
        <v>0</v>
      </c>
      <c r="AB1884" t="s">
        <v>324</v>
      </c>
      <c r="AF1884" t="s">
        <v>2393</v>
      </c>
      <c r="AG1884" t="s">
        <v>2393</v>
      </c>
      <c r="AH1884" t="s">
        <v>325</v>
      </c>
      <c r="AI1884">
        <v>99999</v>
      </c>
      <c r="AJ1884">
        <v>99999</v>
      </c>
      <c r="AK1884">
        <v>699</v>
      </c>
      <c r="AL1884" t="b">
        <v>1</v>
      </c>
      <c r="AM1884" t="b">
        <v>1</v>
      </c>
      <c r="AN1884" t="b">
        <v>0</v>
      </c>
      <c r="AO1884">
        <v>99999</v>
      </c>
      <c r="AP1884" t="s">
        <v>64</v>
      </c>
      <c r="AR1884" t="b">
        <v>0</v>
      </c>
      <c r="AS1884">
        <v>12</v>
      </c>
      <c r="AT1884" t="s">
        <v>327</v>
      </c>
      <c r="AV1884" t="s">
        <v>2400</v>
      </c>
    </row>
    <row r="1885" spans="1:48" x14ac:dyDescent="0.25">
      <c r="A1885" t="s">
        <v>3323</v>
      </c>
      <c r="B1885" t="s">
        <v>302</v>
      </c>
      <c r="C1885" t="s">
        <v>62</v>
      </c>
      <c r="D1885">
        <v>99999</v>
      </c>
      <c r="F1885" s="109">
        <v>4000</v>
      </c>
      <c r="G1885" t="b">
        <v>0</v>
      </c>
      <c r="H1885" t="s">
        <v>337</v>
      </c>
      <c r="K1885" t="s">
        <v>349</v>
      </c>
      <c r="L1885" t="s">
        <v>303</v>
      </c>
      <c r="M1885" t="s">
        <v>323</v>
      </c>
      <c r="N1885" t="s">
        <v>63</v>
      </c>
      <c r="O1885">
        <v>29.9</v>
      </c>
      <c r="R1885">
        <v>209.89</v>
      </c>
      <c r="S1885">
        <v>39.9</v>
      </c>
      <c r="T1885" s="110">
        <v>0</v>
      </c>
      <c r="U1885">
        <v>42.99</v>
      </c>
      <c r="X1885">
        <v>82.1</v>
      </c>
      <c r="Y1885">
        <v>44.9</v>
      </c>
      <c r="Z1885">
        <v>44.9</v>
      </c>
      <c r="AA1885">
        <v>0</v>
      </c>
      <c r="AB1885" t="s">
        <v>324</v>
      </c>
      <c r="AF1885" t="s">
        <v>326</v>
      </c>
      <c r="AG1885" t="s">
        <v>326</v>
      </c>
      <c r="AH1885" t="s">
        <v>325</v>
      </c>
      <c r="AI1885">
        <v>99999</v>
      </c>
      <c r="AJ1885">
        <v>99999</v>
      </c>
      <c r="AK1885">
        <v>699</v>
      </c>
      <c r="AL1885" t="b">
        <v>1</v>
      </c>
      <c r="AM1885" t="b">
        <v>1</v>
      </c>
      <c r="AN1885" t="b">
        <v>0</v>
      </c>
      <c r="AO1885">
        <v>99999</v>
      </c>
      <c r="AP1885" t="s">
        <v>64</v>
      </c>
      <c r="AR1885" t="b">
        <v>0</v>
      </c>
      <c r="AS1885">
        <v>12</v>
      </c>
      <c r="AT1885" t="s">
        <v>327</v>
      </c>
      <c r="AV1885" t="s">
        <v>355</v>
      </c>
    </row>
    <row r="1886" spans="1:48" x14ac:dyDescent="0.25">
      <c r="A1886" t="s">
        <v>3323</v>
      </c>
      <c r="B1886" t="s">
        <v>302</v>
      </c>
      <c r="C1886" t="s">
        <v>62</v>
      </c>
      <c r="D1886">
        <v>99999</v>
      </c>
      <c r="F1886" s="109">
        <v>4000</v>
      </c>
      <c r="G1886" t="b">
        <v>0</v>
      </c>
      <c r="H1886" t="s">
        <v>337</v>
      </c>
      <c r="K1886" t="s">
        <v>349</v>
      </c>
      <c r="L1886" t="s">
        <v>303</v>
      </c>
      <c r="M1886" t="s">
        <v>323</v>
      </c>
      <c r="N1886" t="s">
        <v>63</v>
      </c>
      <c r="O1886">
        <v>29.9</v>
      </c>
      <c r="R1886">
        <v>224.89</v>
      </c>
      <c r="S1886">
        <v>39.9</v>
      </c>
      <c r="T1886" s="110">
        <v>0</v>
      </c>
      <c r="U1886">
        <v>42.99</v>
      </c>
      <c r="X1886">
        <v>97.1</v>
      </c>
      <c r="Y1886">
        <v>44.9</v>
      </c>
      <c r="Z1886">
        <v>44.9</v>
      </c>
      <c r="AA1886">
        <v>0</v>
      </c>
      <c r="AB1886" t="s">
        <v>324</v>
      </c>
      <c r="AF1886" t="s">
        <v>474</v>
      </c>
      <c r="AG1886" t="s">
        <v>474</v>
      </c>
      <c r="AH1886" t="s">
        <v>325</v>
      </c>
      <c r="AI1886">
        <v>99999</v>
      </c>
      <c r="AJ1886">
        <v>99999</v>
      </c>
      <c r="AK1886">
        <v>699</v>
      </c>
      <c r="AL1886" t="b">
        <v>1</v>
      </c>
      <c r="AM1886" t="b">
        <v>1</v>
      </c>
      <c r="AN1886" t="b">
        <v>0</v>
      </c>
      <c r="AO1886">
        <v>99999</v>
      </c>
      <c r="AP1886" t="s">
        <v>64</v>
      </c>
      <c r="AR1886" t="b">
        <v>0</v>
      </c>
      <c r="AS1886">
        <v>12</v>
      </c>
      <c r="AT1886" t="s">
        <v>327</v>
      </c>
      <c r="AV1886" t="s">
        <v>493</v>
      </c>
    </row>
    <row r="1887" spans="1:48" x14ac:dyDescent="0.25">
      <c r="A1887" t="s">
        <v>3323</v>
      </c>
      <c r="B1887" t="s">
        <v>302</v>
      </c>
      <c r="C1887" t="s">
        <v>62</v>
      </c>
      <c r="D1887">
        <v>99999</v>
      </c>
      <c r="F1887" s="109">
        <v>4000</v>
      </c>
      <c r="G1887" t="b">
        <v>0</v>
      </c>
      <c r="H1887" t="s">
        <v>337</v>
      </c>
      <c r="K1887" t="s">
        <v>349</v>
      </c>
      <c r="L1887" t="s">
        <v>303</v>
      </c>
      <c r="M1887" t="s">
        <v>323</v>
      </c>
      <c r="N1887" t="s">
        <v>63</v>
      </c>
      <c r="O1887">
        <v>29.9</v>
      </c>
      <c r="R1887">
        <v>239.89</v>
      </c>
      <c r="S1887">
        <v>59.9</v>
      </c>
      <c r="T1887" s="110">
        <v>0</v>
      </c>
      <c r="U1887">
        <v>42.99</v>
      </c>
      <c r="X1887">
        <v>92.1</v>
      </c>
      <c r="Y1887">
        <v>44.9</v>
      </c>
      <c r="Z1887">
        <v>44.9</v>
      </c>
      <c r="AA1887">
        <v>0</v>
      </c>
      <c r="AB1887" t="s">
        <v>324</v>
      </c>
      <c r="AF1887" t="s">
        <v>608</v>
      </c>
      <c r="AG1887" t="s">
        <v>608</v>
      </c>
      <c r="AH1887" t="s">
        <v>325</v>
      </c>
      <c r="AI1887">
        <v>99999</v>
      </c>
      <c r="AJ1887">
        <v>99999</v>
      </c>
      <c r="AK1887">
        <v>699</v>
      </c>
      <c r="AL1887" t="b">
        <v>1</v>
      </c>
      <c r="AM1887" t="b">
        <v>1</v>
      </c>
      <c r="AN1887" t="b">
        <v>0</v>
      </c>
      <c r="AO1887">
        <v>99999</v>
      </c>
      <c r="AP1887" t="s">
        <v>64</v>
      </c>
      <c r="AR1887" t="b">
        <v>0</v>
      </c>
      <c r="AS1887">
        <v>12</v>
      </c>
      <c r="AT1887" t="s">
        <v>327</v>
      </c>
      <c r="AV1887" t="s">
        <v>627</v>
      </c>
    </row>
    <row r="1888" spans="1:48" x14ac:dyDescent="0.25">
      <c r="A1888" t="s">
        <v>3323</v>
      </c>
      <c r="B1888" t="s">
        <v>302</v>
      </c>
      <c r="C1888" t="s">
        <v>62</v>
      </c>
      <c r="D1888">
        <v>99999</v>
      </c>
      <c r="F1888" s="109">
        <v>4000</v>
      </c>
      <c r="G1888" t="b">
        <v>0</v>
      </c>
      <c r="H1888" t="s">
        <v>337</v>
      </c>
      <c r="K1888" t="s">
        <v>349</v>
      </c>
      <c r="L1888" t="s">
        <v>303</v>
      </c>
      <c r="M1888" t="s">
        <v>323</v>
      </c>
      <c r="N1888" t="s">
        <v>63</v>
      </c>
      <c r="O1888" s="110">
        <v>39.9</v>
      </c>
      <c r="R1888" s="110">
        <v>209.89</v>
      </c>
      <c r="S1888" s="110">
        <v>39.9</v>
      </c>
      <c r="T1888" s="110">
        <v>0</v>
      </c>
      <c r="U1888" s="110">
        <v>42.99</v>
      </c>
      <c r="X1888">
        <v>82.1</v>
      </c>
      <c r="Y1888">
        <v>44.9</v>
      </c>
      <c r="Z1888">
        <v>44.9</v>
      </c>
      <c r="AA1888">
        <v>0</v>
      </c>
      <c r="AB1888" t="s">
        <v>324</v>
      </c>
      <c r="AF1888" t="s">
        <v>407</v>
      </c>
      <c r="AG1888" t="s">
        <v>407</v>
      </c>
      <c r="AH1888" t="s">
        <v>325</v>
      </c>
      <c r="AI1888">
        <v>99999</v>
      </c>
      <c r="AJ1888">
        <v>99999</v>
      </c>
      <c r="AK1888">
        <v>699</v>
      </c>
      <c r="AL1888" t="b">
        <v>1</v>
      </c>
      <c r="AM1888" t="b">
        <v>1</v>
      </c>
      <c r="AN1888" t="b">
        <v>0</v>
      </c>
      <c r="AO1888">
        <v>99999</v>
      </c>
      <c r="AP1888" t="s">
        <v>64</v>
      </c>
      <c r="AR1888" t="b">
        <v>0</v>
      </c>
      <c r="AS1888">
        <v>12</v>
      </c>
      <c r="AT1888" t="s">
        <v>327</v>
      </c>
      <c r="AV1888" t="s">
        <v>426</v>
      </c>
    </row>
    <row r="1889" spans="1:48" x14ac:dyDescent="0.25">
      <c r="A1889" t="s">
        <v>3323</v>
      </c>
      <c r="B1889" t="s">
        <v>302</v>
      </c>
      <c r="C1889" t="s">
        <v>62</v>
      </c>
      <c r="D1889">
        <v>99999</v>
      </c>
      <c r="F1889" s="109">
        <v>4000</v>
      </c>
      <c r="G1889" t="b">
        <v>0</v>
      </c>
      <c r="H1889" t="s">
        <v>337</v>
      </c>
      <c r="K1889" t="s">
        <v>349</v>
      </c>
      <c r="L1889" t="s">
        <v>303</v>
      </c>
      <c r="M1889" t="s">
        <v>323</v>
      </c>
      <c r="N1889" t="s">
        <v>63</v>
      </c>
      <c r="O1889">
        <v>39.9</v>
      </c>
      <c r="R1889">
        <v>224.89</v>
      </c>
      <c r="S1889">
        <v>39.9</v>
      </c>
      <c r="T1889" s="110">
        <v>0</v>
      </c>
      <c r="U1889">
        <v>42.99</v>
      </c>
      <c r="X1889">
        <v>97.1</v>
      </c>
      <c r="Y1889">
        <v>44.9</v>
      </c>
      <c r="Z1889">
        <v>44.9</v>
      </c>
      <c r="AA1889">
        <v>0</v>
      </c>
      <c r="AB1889" t="s">
        <v>324</v>
      </c>
      <c r="AF1889" t="s">
        <v>541</v>
      </c>
      <c r="AG1889" t="s">
        <v>541</v>
      </c>
      <c r="AH1889" t="s">
        <v>325</v>
      </c>
      <c r="AI1889">
        <v>99999</v>
      </c>
      <c r="AJ1889">
        <v>99999</v>
      </c>
      <c r="AK1889">
        <v>699</v>
      </c>
      <c r="AL1889" t="b">
        <v>1</v>
      </c>
      <c r="AM1889" t="b">
        <v>1</v>
      </c>
      <c r="AN1889" t="b">
        <v>0</v>
      </c>
      <c r="AO1889">
        <v>99999</v>
      </c>
      <c r="AP1889" t="s">
        <v>64</v>
      </c>
      <c r="AR1889" t="b">
        <v>0</v>
      </c>
      <c r="AS1889">
        <v>12</v>
      </c>
      <c r="AT1889" t="s">
        <v>327</v>
      </c>
      <c r="AV1889" t="s">
        <v>560</v>
      </c>
    </row>
    <row r="1890" spans="1:48" x14ac:dyDescent="0.25">
      <c r="A1890" t="s">
        <v>3323</v>
      </c>
      <c r="B1890" t="s">
        <v>302</v>
      </c>
      <c r="C1890" t="s">
        <v>62</v>
      </c>
      <c r="D1890">
        <v>99999</v>
      </c>
      <c r="F1890" s="109">
        <v>4000</v>
      </c>
      <c r="G1890" t="b">
        <v>0</v>
      </c>
      <c r="H1890" t="s">
        <v>337</v>
      </c>
      <c r="K1890" t="s">
        <v>349</v>
      </c>
      <c r="L1890" t="s">
        <v>303</v>
      </c>
      <c r="M1890" t="s">
        <v>323</v>
      </c>
      <c r="N1890" t="s">
        <v>63</v>
      </c>
      <c r="O1890">
        <v>39.9</v>
      </c>
      <c r="R1890">
        <v>239.89</v>
      </c>
      <c r="S1890">
        <v>59.9</v>
      </c>
      <c r="T1890" s="110">
        <v>0</v>
      </c>
      <c r="U1890">
        <v>42.99</v>
      </c>
      <c r="X1890">
        <v>92.1</v>
      </c>
      <c r="Y1890">
        <v>44.9</v>
      </c>
      <c r="Z1890">
        <v>44.9</v>
      </c>
      <c r="AA1890">
        <v>0</v>
      </c>
      <c r="AB1890" t="s">
        <v>324</v>
      </c>
      <c r="AF1890" t="s">
        <v>675</v>
      </c>
      <c r="AG1890" t="s">
        <v>675</v>
      </c>
      <c r="AH1890" t="s">
        <v>325</v>
      </c>
      <c r="AI1890">
        <v>99999</v>
      </c>
      <c r="AJ1890">
        <v>99999</v>
      </c>
      <c r="AK1890">
        <v>699</v>
      </c>
      <c r="AL1890" t="b">
        <v>1</v>
      </c>
      <c r="AM1890" t="b">
        <v>1</v>
      </c>
      <c r="AN1890" t="b">
        <v>0</v>
      </c>
      <c r="AO1890">
        <v>99999</v>
      </c>
      <c r="AP1890" t="s">
        <v>64</v>
      </c>
      <c r="AR1890" t="b">
        <v>0</v>
      </c>
      <c r="AS1890">
        <v>12</v>
      </c>
      <c r="AT1890" t="s">
        <v>327</v>
      </c>
      <c r="AV1890" t="s">
        <v>694</v>
      </c>
    </row>
    <row r="1891" spans="1:48" x14ac:dyDescent="0.25">
      <c r="A1891" t="s">
        <v>3323</v>
      </c>
      <c r="B1891" t="s">
        <v>302</v>
      </c>
      <c r="C1891" t="s">
        <v>62</v>
      </c>
      <c r="D1891">
        <v>99999</v>
      </c>
      <c r="F1891" s="109">
        <v>4000</v>
      </c>
      <c r="G1891" t="b">
        <v>0</v>
      </c>
      <c r="H1891" t="s">
        <v>337</v>
      </c>
      <c r="K1891" t="s">
        <v>349</v>
      </c>
      <c r="L1891" t="s">
        <v>303</v>
      </c>
      <c r="M1891" t="s">
        <v>323</v>
      </c>
      <c r="N1891" t="s">
        <v>63</v>
      </c>
      <c r="O1891" s="110">
        <v>49.9</v>
      </c>
      <c r="R1891" s="110">
        <v>285.68999999999994</v>
      </c>
      <c r="S1891" s="110">
        <v>130</v>
      </c>
      <c r="T1891" s="110">
        <v>0</v>
      </c>
      <c r="U1891" s="110">
        <v>34.99</v>
      </c>
      <c r="X1891">
        <v>75.799999999999983</v>
      </c>
      <c r="Y1891">
        <v>44.9</v>
      </c>
      <c r="Z1891">
        <v>44.9</v>
      </c>
      <c r="AA1891">
        <v>0</v>
      </c>
      <c r="AB1891" t="s">
        <v>324</v>
      </c>
      <c r="AF1891" t="s">
        <v>2185</v>
      </c>
      <c r="AG1891" t="s">
        <v>2185</v>
      </c>
      <c r="AH1891" t="s">
        <v>325</v>
      </c>
      <c r="AI1891">
        <v>99999</v>
      </c>
      <c r="AJ1891">
        <v>99999</v>
      </c>
      <c r="AK1891">
        <v>699</v>
      </c>
      <c r="AL1891" t="b">
        <v>1</v>
      </c>
      <c r="AM1891" t="b">
        <v>1</v>
      </c>
      <c r="AN1891" t="b">
        <v>0</v>
      </c>
      <c r="AO1891">
        <v>99999</v>
      </c>
      <c r="AP1891" t="s">
        <v>64</v>
      </c>
      <c r="AR1891" t="b">
        <v>0</v>
      </c>
      <c r="AS1891">
        <v>12</v>
      </c>
      <c r="AT1891" t="s">
        <v>327</v>
      </c>
      <c r="AV1891" t="s">
        <v>2204</v>
      </c>
    </row>
    <row r="1892" spans="1:48" x14ac:dyDescent="0.25">
      <c r="A1892" t="s">
        <v>3323</v>
      </c>
      <c r="B1892" t="s">
        <v>302</v>
      </c>
      <c r="C1892" t="s">
        <v>62</v>
      </c>
      <c r="D1892">
        <v>99999</v>
      </c>
      <c r="F1892" s="109">
        <v>4000</v>
      </c>
      <c r="G1892" t="b">
        <v>0</v>
      </c>
      <c r="H1892" t="s">
        <v>337</v>
      </c>
      <c r="K1892" t="s">
        <v>349</v>
      </c>
      <c r="L1892" t="s">
        <v>303</v>
      </c>
      <c r="M1892" t="s">
        <v>323</v>
      </c>
      <c r="N1892" t="s">
        <v>63</v>
      </c>
      <c r="O1892" s="110">
        <v>49.9</v>
      </c>
      <c r="R1892" s="110">
        <v>299.99</v>
      </c>
      <c r="S1892" s="110">
        <v>130</v>
      </c>
      <c r="T1892" s="110">
        <v>0</v>
      </c>
      <c r="U1892" s="110">
        <v>42.99</v>
      </c>
      <c r="X1892">
        <v>82.1</v>
      </c>
      <c r="Y1892">
        <v>44.9</v>
      </c>
      <c r="Z1892">
        <v>44.9</v>
      </c>
      <c r="AA1892">
        <v>0</v>
      </c>
      <c r="AB1892" t="s">
        <v>324</v>
      </c>
      <c r="AF1892" t="s">
        <v>2259</v>
      </c>
      <c r="AG1892" t="s">
        <v>2259</v>
      </c>
      <c r="AH1892" t="s">
        <v>325</v>
      </c>
      <c r="AI1892">
        <v>99999</v>
      </c>
      <c r="AJ1892">
        <v>99999</v>
      </c>
      <c r="AK1892">
        <v>699</v>
      </c>
      <c r="AL1892" t="b">
        <v>1</v>
      </c>
      <c r="AM1892" t="b">
        <v>1</v>
      </c>
      <c r="AN1892" t="b">
        <v>0</v>
      </c>
      <c r="AO1892">
        <v>99999</v>
      </c>
      <c r="AP1892" t="s">
        <v>64</v>
      </c>
      <c r="AR1892" t="b">
        <v>0</v>
      </c>
      <c r="AS1892">
        <v>12</v>
      </c>
      <c r="AT1892" t="s">
        <v>327</v>
      </c>
      <c r="AV1892" t="s">
        <v>2278</v>
      </c>
    </row>
    <row r="1893" spans="1:48" x14ac:dyDescent="0.25">
      <c r="A1893" t="s">
        <v>3323</v>
      </c>
      <c r="B1893" t="s">
        <v>302</v>
      </c>
      <c r="C1893" t="s">
        <v>62</v>
      </c>
      <c r="D1893">
        <v>99999</v>
      </c>
      <c r="F1893" s="109">
        <v>4000</v>
      </c>
      <c r="G1893" t="b">
        <v>0</v>
      </c>
      <c r="H1893" t="s">
        <v>337</v>
      </c>
      <c r="K1893" t="s">
        <v>349</v>
      </c>
      <c r="L1893" t="s">
        <v>303</v>
      </c>
      <c r="M1893" t="s">
        <v>323</v>
      </c>
      <c r="N1893" t="s">
        <v>63</v>
      </c>
      <c r="O1893" s="110">
        <v>49.9</v>
      </c>
      <c r="R1893" s="110">
        <v>314.99</v>
      </c>
      <c r="S1893" s="110">
        <v>130</v>
      </c>
      <c r="T1893" s="110">
        <v>0</v>
      </c>
      <c r="U1893" s="110">
        <v>42.99</v>
      </c>
      <c r="X1893">
        <v>97.1</v>
      </c>
      <c r="Y1893">
        <v>44.9</v>
      </c>
      <c r="Z1893">
        <v>44.9</v>
      </c>
      <c r="AA1893">
        <v>0</v>
      </c>
      <c r="AB1893" t="s">
        <v>324</v>
      </c>
      <c r="AF1893" t="s">
        <v>2326</v>
      </c>
      <c r="AG1893" t="s">
        <v>2326</v>
      </c>
      <c r="AH1893" t="s">
        <v>325</v>
      </c>
      <c r="AI1893">
        <v>99999</v>
      </c>
      <c r="AJ1893">
        <v>99999</v>
      </c>
      <c r="AK1893">
        <v>699</v>
      </c>
      <c r="AL1893" t="b">
        <v>1</v>
      </c>
      <c r="AM1893" t="b">
        <v>1</v>
      </c>
      <c r="AN1893" t="b">
        <v>0</v>
      </c>
      <c r="AO1893">
        <v>99999</v>
      </c>
      <c r="AP1893" t="s">
        <v>64</v>
      </c>
      <c r="AR1893" t="b">
        <v>0</v>
      </c>
      <c r="AS1893">
        <v>12</v>
      </c>
      <c r="AT1893" t="s">
        <v>327</v>
      </c>
      <c r="AV1893" t="s">
        <v>2345</v>
      </c>
    </row>
    <row r="1894" spans="1:48" x14ac:dyDescent="0.25">
      <c r="A1894" t="s">
        <v>3323</v>
      </c>
      <c r="B1894" t="s">
        <v>302</v>
      </c>
      <c r="C1894" t="s">
        <v>62</v>
      </c>
      <c r="D1894">
        <v>99999</v>
      </c>
      <c r="F1894" s="109">
        <v>4000</v>
      </c>
      <c r="G1894" t="b">
        <v>0</v>
      </c>
      <c r="H1894" t="s">
        <v>337</v>
      </c>
      <c r="K1894" t="s">
        <v>349</v>
      </c>
      <c r="L1894" t="s">
        <v>303</v>
      </c>
      <c r="M1894" t="s">
        <v>323</v>
      </c>
      <c r="N1894" t="s">
        <v>63</v>
      </c>
      <c r="O1894" s="110">
        <v>49.9</v>
      </c>
      <c r="R1894" s="110">
        <v>309.99</v>
      </c>
      <c r="S1894" s="110">
        <v>130</v>
      </c>
      <c r="T1894" s="110">
        <v>0</v>
      </c>
      <c r="U1894" s="110">
        <v>42.99</v>
      </c>
      <c r="X1894">
        <v>92.1</v>
      </c>
      <c r="Y1894">
        <v>44.9</v>
      </c>
      <c r="Z1894">
        <v>44.9</v>
      </c>
      <c r="AA1894">
        <v>0</v>
      </c>
      <c r="AB1894" t="s">
        <v>324</v>
      </c>
      <c r="AF1894" t="s">
        <v>2393</v>
      </c>
      <c r="AG1894" t="s">
        <v>2393</v>
      </c>
      <c r="AH1894" t="s">
        <v>325</v>
      </c>
      <c r="AI1894">
        <v>99999</v>
      </c>
      <c r="AJ1894">
        <v>99999</v>
      </c>
      <c r="AK1894">
        <v>699</v>
      </c>
      <c r="AL1894" t="b">
        <v>1</v>
      </c>
      <c r="AM1894" t="b">
        <v>1</v>
      </c>
      <c r="AN1894" t="b">
        <v>0</v>
      </c>
      <c r="AO1894">
        <v>99999</v>
      </c>
      <c r="AP1894" t="s">
        <v>64</v>
      </c>
      <c r="AR1894" t="b">
        <v>0</v>
      </c>
      <c r="AS1894">
        <v>12</v>
      </c>
      <c r="AT1894" t="s">
        <v>327</v>
      </c>
      <c r="AV1894" t="s">
        <v>2412</v>
      </c>
    </row>
    <row r="1895" spans="1:48" x14ac:dyDescent="0.25">
      <c r="A1895" t="s">
        <v>3323</v>
      </c>
      <c r="B1895" t="s">
        <v>302</v>
      </c>
      <c r="C1895" t="s">
        <v>62</v>
      </c>
      <c r="D1895">
        <v>99999</v>
      </c>
      <c r="F1895" s="109">
        <v>4000</v>
      </c>
      <c r="G1895" t="b">
        <v>0</v>
      </c>
      <c r="H1895" t="s">
        <v>337</v>
      </c>
      <c r="K1895" t="s">
        <v>393</v>
      </c>
      <c r="L1895" t="s">
        <v>303</v>
      </c>
      <c r="M1895" t="s">
        <v>323</v>
      </c>
      <c r="N1895" t="s">
        <v>63</v>
      </c>
      <c r="O1895">
        <v>29.9</v>
      </c>
      <c r="R1895">
        <v>234.89000000000001</v>
      </c>
      <c r="S1895">
        <v>39.9</v>
      </c>
      <c r="T1895" s="110">
        <v>0</v>
      </c>
      <c r="U1895">
        <v>42.99</v>
      </c>
      <c r="X1895">
        <v>82.1</v>
      </c>
      <c r="Y1895">
        <v>69.900000000000006</v>
      </c>
      <c r="Z1895">
        <v>69.900000000000006</v>
      </c>
      <c r="AA1895">
        <v>0</v>
      </c>
      <c r="AB1895" t="s">
        <v>363</v>
      </c>
      <c r="AF1895" t="s">
        <v>365</v>
      </c>
      <c r="AG1895" t="s">
        <v>365</v>
      </c>
      <c r="AH1895" t="s">
        <v>325</v>
      </c>
      <c r="AI1895">
        <v>99999</v>
      </c>
      <c r="AJ1895">
        <v>99999</v>
      </c>
      <c r="AK1895">
        <v>699</v>
      </c>
      <c r="AL1895" t="b">
        <v>1</v>
      </c>
      <c r="AM1895" t="b">
        <v>1</v>
      </c>
      <c r="AN1895" t="b">
        <v>0</v>
      </c>
      <c r="AO1895">
        <v>99999</v>
      </c>
      <c r="AP1895" t="s">
        <v>64</v>
      </c>
      <c r="AR1895" t="b">
        <v>0</v>
      </c>
      <c r="AS1895">
        <v>12</v>
      </c>
      <c r="AT1895" t="s">
        <v>327</v>
      </c>
      <c r="AV1895" t="s">
        <v>399</v>
      </c>
    </row>
    <row r="1896" spans="1:48" x14ac:dyDescent="0.25">
      <c r="A1896" t="s">
        <v>3323</v>
      </c>
      <c r="B1896" t="s">
        <v>302</v>
      </c>
      <c r="C1896" t="s">
        <v>62</v>
      </c>
      <c r="D1896">
        <v>99999</v>
      </c>
      <c r="F1896" s="109">
        <v>4000</v>
      </c>
      <c r="G1896" t="b">
        <v>0</v>
      </c>
      <c r="H1896" t="s">
        <v>337</v>
      </c>
      <c r="K1896" t="s">
        <v>393</v>
      </c>
      <c r="L1896" t="s">
        <v>303</v>
      </c>
      <c r="M1896" t="s">
        <v>323</v>
      </c>
      <c r="N1896" t="s">
        <v>63</v>
      </c>
      <c r="O1896">
        <v>29.9</v>
      </c>
      <c r="R1896">
        <v>249.89000000000001</v>
      </c>
      <c r="S1896">
        <v>39.9</v>
      </c>
      <c r="T1896" s="110">
        <v>0</v>
      </c>
      <c r="U1896">
        <v>42.99</v>
      </c>
      <c r="X1896">
        <v>97.1</v>
      </c>
      <c r="Y1896">
        <v>69.900000000000006</v>
      </c>
      <c r="Z1896">
        <v>69.900000000000006</v>
      </c>
      <c r="AA1896">
        <v>0</v>
      </c>
      <c r="AB1896" t="s">
        <v>363</v>
      </c>
      <c r="AF1896" t="s">
        <v>501</v>
      </c>
      <c r="AG1896" t="s">
        <v>501</v>
      </c>
      <c r="AH1896" t="s">
        <v>325</v>
      </c>
      <c r="AI1896">
        <v>99999</v>
      </c>
      <c r="AJ1896">
        <v>99999</v>
      </c>
      <c r="AK1896">
        <v>699</v>
      </c>
      <c r="AL1896" t="b">
        <v>1</v>
      </c>
      <c r="AM1896" t="b">
        <v>1</v>
      </c>
      <c r="AN1896" t="b">
        <v>0</v>
      </c>
      <c r="AO1896">
        <v>99999</v>
      </c>
      <c r="AP1896" t="s">
        <v>64</v>
      </c>
      <c r="AR1896" t="b">
        <v>0</v>
      </c>
      <c r="AS1896">
        <v>12</v>
      </c>
      <c r="AT1896" t="s">
        <v>327</v>
      </c>
      <c r="AV1896" t="s">
        <v>533</v>
      </c>
    </row>
    <row r="1897" spans="1:48" x14ac:dyDescent="0.25">
      <c r="A1897" t="s">
        <v>3323</v>
      </c>
      <c r="B1897" t="s">
        <v>302</v>
      </c>
      <c r="C1897" t="s">
        <v>62</v>
      </c>
      <c r="D1897">
        <v>99999</v>
      </c>
      <c r="F1897" s="109">
        <v>4000</v>
      </c>
      <c r="G1897" t="b">
        <v>0</v>
      </c>
      <c r="H1897" t="s">
        <v>337</v>
      </c>
      <c r="K1897" t="s">
        <v>393</v>
      </c>
      <c r="L1897" t="s">
        <v>303</v>
      </c>
      <c r="M1897" t="s">
        <v>323</v>
      </c>
      <c r="N1897" t="s">
        <v>63</v>
      </c>
      <c r="O1897">
        <v>29.9</v>
      </c>
      <c r="R1897">
        <v>264.89</v>
      </c>
      <c r="S1897">
        <v>59.9</v>
      </c>
      <c r="T1897" s="110">
        <v>0</v>
      </c>
      <c r="U1897">
        <v>42.99</v>
      </c>
      <c r="X1897">
        <v>92.1</v>
      </c>
      <c r="Y1897">
        <v>69.900000000000006</v>
      </c>
      <c r="Z1897">
        <v>69.900000000000006</v>
      </c>
      <c r="AA1897">
        <v>0</v>
      </c>
      <c r="AB1897" t="s">
        <v>363</v>
      </c>
      <c r="AF1897" t="s">
        <v>635</v>
      </c>
      <c r="AG1897" t="s">
        <v>635</v>
      </c>
      <c r="AH1897" t="s">
        <v>325</v>
      </c>
      <c r="AI1897">
        <v>99999</v>
      </c>
      <c r="AJ1897">
        <v>99999</v>
      </c>
      <c r="AK1897">
        <v>699</v>
      </c>
      <c r="AL1897" t="b">
        <v>1</v>
      </c>
      <c r="AM1897" t="b">
        <v>1</v>
      </c>
      <c r="AN1897" t="b">
        <v>0</v>
      </c>
      <c r="AO1897">
        <v>99999</v>
      </c>
      <c r="AP1897" t="s">
        <v>64</v>
      </c>
      <c r="AR1897" t="b">
        <v>0</v>
      </c>
      <c r="AS1897">
        <v>12</v>
      </c>
      <c r="AT1897" t="s">
        <v>327</v>
      </c>
      <c r="AV1897" t="s">
        <v>667</v>
      </c>
    </row>
    <row r="1898" spans="1:48" x14ac:dyDescent="0.25">
      <c r="A1898" t="s">
        <v>3323</v>
      </c>
      <c r="B1898" t="s">
        <v>302</v>
      </c>
      <c r="C1898" t="s">
        <v>62</v>
      </c>
      <c r="D1898">
        <v>99999</v>
      </c>
      <c r="F1898" s="109">
        <v>4000</v>
      </c>
      <c r="G1898" t="b">
        <v>0</v>
      </c>
      <c r="H1898" t="s">
        <v>337</v>
      </c>
      <c r="K1898" t="s">
        <v>393</v>
      </c>
      <c r="L1898" t="s">
        <v>303</v>
      </c>
      <c r="M1898" t="s">
        <v>323</v>
      </c>
      <c r="N1898" t="s">
        <v>63</v>
      </c>
      <c r="O1898" s="110">
        <v>39.9</v>
      </c>
      <c r="R1898" s="110">
        <v>234.89000000000001</v>
      </c>
      <c r="S1898" s="110">
        <v>39.9</v>
      </c>
      <c r="T1898" s="110">
        <v>0</v>
      </c>
      <c r="U1898" s="110">
        <v>42.99</v>
      </c>
      <c r="X1898">
        <v>82.1</v>
      </c>
      <c r="Y1898">
        <v>69.900000000000006</v>
      </c>
      <c r="Z1898">
        <v>69.900000000000006</v>
      </c>
      <c r="AA1898">
        <v>0</v>
      </c>
      <c r="AB1898" t="s">
        <v>363</v>
      </c>
      <c r="AF1898" t="s">
        <v>434</v>
      </c>
      <c r="AG1898" t="s">
        <v>434</v>
      </c>
      <c r="AH1898" t="s">
        <v>325</v>
      </c>
      <c r="AI1898">
        <v>99999</v>
      </c>
      <c r="AJ1898">
        <v>99999</v>
      </c>
      <c r="AK1898">
        <v>699</v>
      </c>
      <c r="AL1898" t="b">
        <v>1</v>
      </c>
      <c r="AM1898" t="b">
        <v>1</v>
      </c>
      <c r="AN1898" t="b">
        <v>0</v>
      </c>
      <c r="AO1898">
        <v>99999</v>
      </c>
      <c r="AP1898" t="s">
        <v>64</v>
      </c>
      <c r="AR1898" t="b">
        <v>0</v>
      </c>
      <c r="AS1898">
        <v>12</v>
      </c>
      <c r="AT1898" t="s">
        <v>327</v>
      </c>
      <c r="AV1898" t="s">
        <v>466</v>
      </c>
    </row>
    <row r="1899" spans="1:48" x14ac:dyDescent="0.25">
      <c r="A1899" t="s">
        <v>3323</v>
      </c>
      <c r="B1899" t="s">
        <v>302</v>
      </c>
      <c r="C1899" t="s">
        <v>62</v>
      </c>
      <c r="D1899">
        <v>99999</v>
      </c>
      <c r="F1899" s="109">
        <v>4000</v>
      </c>
      <c r="G1899" t="b">
        <v>0</v>
      </c>
      <c r="H1899" t="s">
        <v>337</v>
      </c>
      <c r="K1899" t="s">
        <v>393</v>
      </c>
      <c r="L1899" t="s">
        <v>303</v>
      </c>
      <c r="M1899" t="s">
        <v>323</v>
      </c>
      <c r="N1899" t="s">
        <v>63</v>
      </c>
      <c r="O1899">
        <v>39.9</v>
      </c>
      <c r="R1899">
        <v>249.89000000000001</v>
      </c>
      <c r="S1899">
        <v>39.9</v>
      </c>
      <c r="T1899" s="110">
        <v>0</v>
      </c>
      <c r="U1899">
        <v>42.99</v>
      </c>
      <c r="X1899">
        <v>97.1</v>
      </c>
      <c r="Y1899">
        <v>69.900000000000006</v>
      </c>
      <c r="Z1899">
        <v>69.900000000000006</v>
      </c>
      <c r="AA1899">
        <v>0</v>
      </c>
      <c r="AB1899" t="s">
        <v>363</v>
      </c>
      <c r="AF1899" t="s">
        <v>568</v>
      </c>
      <c r="AG1899" t="s">
        <v>568</v>
      </c>
      <c r="AH1899" t="s">
        <v>325</v>
      </c>
      <c r="AI1899">
        <v>99999</v>
      </c>
      <c r="AJ1899">
        <v>99999</v>
      </c>
      <c r="AK1899">
        <v>699</v>
      </c>
      <c r="AL1899" t="b">
        <v>1</v>
      </c>
      <c r="AM1899" t="b">
        <v>1</v>
      </c>
      <c r="AN1899" t="b">
        <v>0</v>
      </c>
      <c r="AO1899">
        <v>99999</v>
      </c>
      <c r="AP1899" t="s">
        <v>64</v>
      </c>
      <c r="AR1899" t="b">
        <v>0</v>
      </c>
      <c r="AS1899">
        <v>12</v>
      </c>
      <c r="AT1899" t="s">
        <v>327</v>
      </c>
      <c r="AV1899" t="s">
        <v>600</v>
      </c>
    </row>
    <row r="1900" spans="1:48" x14ac:dyDescent="0.25">
      <c r="A1900" t="s">
        <v>3323</v>
      </c>
      <c r="B1900" t="s">
        <v>302</v>
      </c>
      <c r="C1900" t="s">
        <v>62</v>
      </c>
      <c r="D1900">
        <v>99999</v>
      </c>
      <c r="F1900" s="109">
        <v>4000</v>
      </c>
      <c r="G1900" t="b">
        <v>0</v>
      </c>
      <c r="H1900" t="s">
        <v>337</v>
      </c>
      <c r="K1900" t="s">
        <v>393</v>
      </c>
      <c r="L1900" t="s">
        <v>303</v>
      </c>
      <c r="M1900" t="s">
        <v>323</v>
      </c>
      <c r="N1900" t="s">
        <v>63</v>
      </c>
      <c r="O1900">
        <v>39.9</v>
      </c>
      <c r="R1900">
        <v>264.89</v>
      </c>
      <c r="S1900">
        <v>59.9</v>
      </c>
      <c r="T1900" s="110">
        <v>0</v>
      </c>
      <c r="U1900">
        <v>42.99</v>
      </c>
      <c r="X1900">
        <v>92.1</v>
      </c>
      <c r="Y1900">
        <v>69.900000000000006</v>
      </c>
      <c r="Z1900">
        <v>69.900000000000006</v>
      </c>
      <c r="AA1900">
        <v>0</v>
      </c>
      <c r="AB1900" t="s">
        <v>363</v>
      </c>
      <c r="AF1900" t="s">
        <v>702</v>
      </c>
      <c r="AG1900" t="s">
        <v>702</v>
      </c>
      <c r="AH1900" t="s">
        <v>325</v>
      </c>
      <c r="AI1900">
        <v>99999</v>
      </c>
      <c r="AJ1900">
        <v>99999</v>
      </c>
      <c r="AK1900">
        <v>699</v>
      </c>
      <c r="AL1900" t="b">
        <v>1</v>
      </c>
      <c r="AM1900" t="b">
        <v>1</v>
      </c>
      <c r="AN1900" t="b">
        <v>0</v>
      </c>
      <c r="AO1900">
        <v>99999</v>
      </c>
      <c r="AP1900" t="s">
        <v>64</v>
      </c>
      <c r="AR1900" t="b">
        <v>0</v>
      </c>
      <c r="AS1900">
        <v>12</v>
      </c>
      <c r="AT1900" t="s">
        <v>327</v>
      </c>
      <c r="AV1900" t="s">
        <v>734</v>
      </c>
    </row>
    <row r="1901" spans="1:48" x14ac:dyDescent="0.25">
      <c r="A1901" t="s">
        <v>3323</v>
      </c>
      <c r="B1901" t="s">
        <v>302</v>
      </c>
      <c r="C1901" t="s">
        <v>62</v>
      </c>
      <c r="D1901">
        <v>99999</v>
      </c>
      <c r="F1901" s="109">
        <v>4000</v>
      </c>
      <c r="G1901" t="b">
        <v>0</v>
      </c>
      <c r="H1901" t="s">
        <v>337</v>
      </c>
      <c r="K1901" t="s">
        <v>393</v>
      </c>
      <c r="L1901" t="s">
        <v>303</v>
      </c>
      <c r="M1901" t="s">
        <v>323</v>
      </c>
      <c r="N1901" t="s">
        <v>63</v>
      </c>
      <c r="O1901" s="110">
        <v>49.9</v>
      </c>
      <c r="R1901" s="110">
        <v>310.69</v>
      </c>
      <c r="S1901" s="110">
        <v>130</v>
      </c>
      <c r="T1901" s="110">
        <v>0</v>
      </c>
      <c r="U1901" s="110">
        <v>34.99</v>
      </c>
      <c r="X1901">
        <v>75.799999999999983</v>
      </c>
      <c r="Y1901">
        <v>69.900000000000006</v>
      </c>
      <c r="Z1901">
        <v>69.900000000000006</v>
      </c>
      <c r="AA1901">
        <v>0</v>
      </c>
      <c r="AB1901" t="s">
        <v>363</v>
      </c>
      <c r="AF1901" t="s">
        <v>2212</v>
      </c>
      <c r="AG1901" t="s">
        <v>2212</v>
      </c>
      <c r="AH1901" t="s">
        <v>325</v>
      </c>
      <c r="AI1901">
        <v>99999</v>
      </c>
      <c r="AJ1901">
        <v>99999</v>
      </c>
      <c r="AK1901">
        <v>699</v>
      </c>
      <c r="AL1901" t="b">
        <v>1</v>
      </c>
      <c r="AM1901" t="b">
        <v>1</v>
      </c>
      <c r="AN1901" t="b">
        <v>0</v>
      </c>
      <c r="AO1901">
        <v>99999</v>
      </c>
      <c r="AP1901" t="s">
        <v>64</v>
      </c>
      <c r="AR1901" t="b">
        <v>0</v>
      </c>
      <c r="AS1901">
        <v>12</v>
      </c>
      <c r="AT1901" t="s">
        <v>327</v>
      </c>
      <c r="AV1901" t="s">
        <v>2244</v>
      </c>
    </row>
    <row r="1902" spans="1:48" x14ac:dyDescent="0.25">
      <c r="A1902" t="s">
        <v>3323</v>
      </c>
      <c r="B1902" t="s">
        <v>302</v>
      </c>
      <c r="C1902" t="s">
        <v>62</v>
      </c>
      <c r="D1902">
        <v>99999</v>
      </c>
      <c r="F1902" s="109">
        <v>4000</v>
      </c>
      <c r="G1902" t="b">
        <v>0</v>
      </c>
      <c r="H1902" t="s">
        <v>337</v>
      </c>
      <c r="K1902" t="s">
        <v>393</v>
      </c>
      <c r="L1902" t="s">
        <v>303</v>
      </c>
      <c r="M1902" t="s">
        <v>323</v>
      </c>
      <c r="N1902" t="s">
        <v>63</v>
      </c>
      <c r="O1902" s="110">
        <v>49.9</v>
      </c>
      <c r="R1902" s="110">
        <v>324.99</v>
      </c>
      <c r="S1902" s="110">
        <v>130</v>
      </c>
      <c r="T1902" s="110">
        <v>0</v>
      </c>
      <c r="U1902" s="110">
        <v>42.99</v>
      </c>
      <c r="X1902">
        <v>82.1</v>
      </c>
      <c r="Y1902">
        <v>69.900000000000006</v>
      </c>
      <c r="Z1902">
        <v>69.900000000000006</v>
      </c>
      <c r="AA1902">
        <v>0</v>
      </c>
      <c r="AB1902" t="s">
        <v>363</v>
      </c>
      <c r="AF1902" t="s">
        <v>2286</v>
      </c>
      <c r="AG1902" t="s">
        <v>2286</v>
      </c>
      <c r="AH1902" t="s">
        <v>325</v>
      </c>
      <c r="AI1902">
        <v>99999</v>
      </c>
      <c r="AJ1902">
        <v>99999</v>
      </c>
      <c r="AK1902">
        <v>699</v>
      </c>
      <c r="AL1902" t="b">
        <v>1</v>
      </c>
      <c r="AM1902" t="b">
        <v>1</v>
      </c>
      <c r="AN1902" t="b">
        <v>0</v>
      </c>
      <c r="AO1902">
        <v>99999</v>
      </c>
      <c r="AP1902" t="s">
        <v>64</v>
      </c>
      <c r="AR1902" t="b">
        <v>0</v>
      </c>
      <c r="AS1902">
        <v>12</v>
      </c>
      <c r="AT1902" t="s">
        <v>327</v>
      </c>
      <c r="AV1902" t="s">
        <v>2318</v>
      </c>
    </row>
    <row r="1903" spans="1:48" x14ac:dyDescent="0.25">
      <c r="A1903" t="s">
        <v>3323</v>
      </c>
      <c r="B1903" t="s">
        <v>302</v>
      </c>
      <c r="C1903" t="s">
        <v>62</v>
      </c>
      <c r="D1903">
        <v>99999</v>
      </c>
      <c r="F1903" s="109">
        <v>4000</v>
      </c>
      <c r="G1903" t="b">
        <v>0</v>
      </c>
      <c r="H1903" t="s">
        <v>337</v>
      </c>
      <c r="K1903" t="s">
        <v>393</v>
      </c>
      <c r="L1903" t="s">
        <v>303</v>
      </c>
      <c r="M1903" t="s">
        <v>323</v>
      </c>
      <c r="N1903" t="s">
        <v>63</v>
      </c>
      <c r="O1903" s="110">
        <v>49.9</v>
      </c>
      <c r="R1903" s="110">
        <v>339.99</v>
      </c>
      <c r="S1903" s="110">
        <v>130</v>
      </c>
      <c r="T1903" s="110">
        <v>0</v>
      </c>
      <c r="U1903" s="110">
        <v>42.99</v>
      </c>
      <c r="X1903">
        <v>97.1</v>
      </c>
      <c r="Y1903">
        <v>69.900000000000006</v>
      </c>
      <c r="Z1903">
        <v>69.900000000000006</v>
      </c>
      <c r="AA1903">
        <v>0</v>
      </c>
      <c r="AB1903" t="s">
        <v>363</v>
      </c>
      <c r="AF1903" t="s">
        <v>2353</v>
      </c>
      <c r="AG1903" t="s">
        <v>2353</v>
      </c>
      <c r="AH1903" t="s">
        <v>325</v>
      </c>
      <c r="AI1903">
        <v>99999</v>
      </c>
      <c r="AJ1903">
        <v>99999</v>
      </c>
      <c r="AK1903">
        <v>699</v>
      </c>
      <c r="AL1903" t="b">
        <v>1</v>
      </c>
      <c r="AM1903" t="b">
        <v>1</v>
      </c>
      <c r="AN1903" t="b">
        <v>0</v>
      </c>
      <c r="AO1903">
        <v>99999</v>
      </c>
      <c r="AP1903" t="s">
        <v>64</v>
      </c>
      <c r="AR1903" t="b">
        <v>0</v>
      </c>
      <c r="AS1903">
        <v>12</v>
      </c>
      <c r="AT1903" t="s">
        <v>327</v>
      </c>
      <c r="AV1903" t="s">
        <v>2385</v>
      </c>
    </row>
    <row r="1904" spans="1:48" x14ac:dyDescent="0.25">
      <c r="A1904" t="s">
        <v>3323</v>
      </c>
      <c r="B1904" t="s">
        <v>302</v>
      </c>
      <c r="C1904" t="s">
        <v>62</v>
      </c>
      <c r="D1904">
        <v>99999</v>
      </c>
      <c r="F1904" s="109">
        <v>4000</v>
      </c>
      <c r="G1904" t="b">
        <v>0</v>
      </c>
      <c r="H1904" t="s">
        <v>337</v>
      </c>
      <c r="K1904" t="s">
        <v>393</v>
      </c>
      <c r="L1904" t="s">
        <v>303</v>
      </c>
      <c r="M1904" t="s">
        <v>323</v>
      </c>
      <c r="N1904" t="s">
        <v>63</v>
      </c>
      <c r="O1904" s="110">
        <v>49.9</v>
      </c>
      <c r="R1904" s="110">
        <v>334.99</v>
      </c>
      <c r="S1904" s="110">
        <v>130</v>
      </c>
      <c r="T1904" s="110">
        <v>0</v>
      </c>
      <c r="U1904" s="110">
        <v>42.99</v>
      </c>
      <c r="X1904">
        <v>92.1</v>
      </c>
      <c r="Y1904">
        <v>69.900000000000006</v>
      </c>
      <c r="Z1904">
        <v>69.900000000000006</v>
      </c>
      <c r="AA1904">
        <v>0</v>
      </c>
      <c r="AB1904" t="s">
        <v>363</v>
      </c>
      <c r="AF1904" t="s">
        <v>2420</v>
      </c>
      <c r="AG1904" t="s">
        <v>2420</v>
      </c>
      <c r="AH1904" t="s">
        <v>325</v>
      </c>
      <c r="AI1904">
        <v>99999</v>
      </c>
      <c r="AJ1904">
        <v>99999</v>
      </c>
      <c r="AK1904">
        <v>699</v>
      </c>
      <c r="AL1904" t="b">
        <v>1</v>
      </c>
      <c r="AM1904" t="b">
        <v>1</v>
      </c>
      <c r="AN1904" t="b">
        <v>0</v>
      </c>
      <c r="AO1904">
        <v>99999</v>
      </c>
      <c r="AP1904" t="s">
        <v>64</v>
      </c>
      <c r="AR1904" t="b">
        <v>0</v>
      </c>
      <c r="AS1904">
        <v>12</v>
      </c>
      <c r="AT1904" t="s">
        <v>327</v>
      </c>
      <c r="AV1904" t="s">
        <v>2452</v>
      </c>
    </row>
    <row r="1905" spans="1:48" x14ac:dyDescent="0.25">
      <c r="A1905" t="s">
        <v>3323</v>
      </c>
      <c r="B1905" t="s">
        <v>302</v>
      </c>
      <c r="C1905" t="s">
        <v>62</v>
      </c>
      <c r="D1905">
        <v>99999</v>
      </c>
      <c r="F1905" s="109">
        <v>4000</v>
      </c>
      <c r="G1905" t="b">
        <v>0</v>
      </c>
      <c r="H1905" t="s">
        <v>337</v>
      </c>
      <c r="K1905" t="s">
        <v>364</v>
      </c>
      <c r="L1905" t="s">
        <v>303</v>
      </c>
      <c r="M1905" t="s">
        <v>323</v>
      </c>
      <c r="N1905" t="s">
        <v>63</v>
      </c>
      <c r="O1905">
        <v>29.9</v>
      </c>
      <c r="R1905">
        <v>214.89</v>
      </c>
      <c r="S1905">
        <v>39.9</v>
      </c>
      <c r="T1905" s="110">
        <v>0</v>
      </c>
      <c r="U1905">
        <v>42.99</v>
      </c>
      <c r="X1905">
        <v>82.1</v>
      </c>
      <c r="Y1905">
        <v>49.9</v>
      </c>
      <c r="Z1905">
        <v>49.9</v>
      </c>
      <c r="AA1905">
        <v>0</v>
      </c>
      <c r="AB1905" t="s">
        <v>363</v>
      </c>
      <c r="AF1905" t="s">
        <v>365</v>
      </c>
      <c r="AG1905" t="s">
        <v>365</v>
      </c>
      <c r="AH1905" t="s">
        <v>325</v>
      </c>
      <c r="AI1905">
        <v>99999</v>
      </c>
      <c r="AJ1905">
        <v>99999</v>
      </c>
      <c r="AK1905">
        <v>699</v>
      </c>
      <c r="AL1905" t="b">
        <v>1</v>
      </c>
      <c r="AM1905" t="b">
        <v>1</v>
      </c>
      <c r="AN1905" t="b">
        <v>0</v>
      </c>
      <c r="AO1905">
        <v>99999</v>
      </c>
      <c r="AP1905" t="s">
        <v>64</v>
      </c>
      <c r="AR1905" t="b">
        <v>0</v>
      </c>
      <c r="AS1905">
        <v>12</v>
      </c>
      <c r="AT1905" t="s">
        <v>327</v>
      </c>
      <c r="AV1905" t="s">
        <v>371</v>
      </c>
    </row>
    <row r="1906" spans="1:48" x14ac:dyDescent="0.25">
      <c r="A1906" t="s">
        <v>3323</v>
      </c>
      <c r="B1906" t="s">
        <v>302</v>
      </c>
      <c r="C1906" t="s">
        <v>62</v>
      </c>
      <c r="D1906">
        <v>99999</v>
      </c>
      <c r="F1906" s="109">
        <v>4000</v>
      </c>
      <c r="G1906" t="b">
        <v>0</v>
      </c>
      <c r="H1906" t="s">
        <v>337</v>
      </c>
      <c r="K1906" t="s">
        <v>364</v>
      </c>
      <c r="L1906" t="s">
        <v>303</v>
      </c>
      <c r="M1906" t="s">
        <v>323</v>
      </c>
      <c r="N1906" t="s">
        <v>63</v>
      </c>
      <c r="O1906" s="110">
        <v>29.9</v>
      </c>
      <c r="R1906" s="110">
        <v>229.89</v>
      </c>
      <c r="S1906" s="110">
        <v>39.9</v>
      </c>
      <c r="T1906" s="110">
        <v>0</v>
      </c>
      <c r="U1906" s="110">
        <v>42.99</v>
      </c>
      <c r="X1906">
        <v>97.1</v>
      </c>
      <c r="Y1906">
        <v>49.9</v>
      </c>
      <c r="Z1906">
        <v>49.9</v>
      </c>
      <c r="AA1906">
        <v>0</v>
      </c>
      <c r="AB1906" t="s">
        <v>363</v>
      </c>
      <c r="AF1906" t="s">
        <v>501</v>
      </c>
      <c r="AG1906" t="s">
        <v>501</v>
      </c>
      <c r="AH1906" t="s">
        <v>325</v>
      </c>
      <c r="AI1906">
        <v>99999</v>
      </c>
      <c r="AJ1906">
        <v>99999</v>
      </c>
      <c r="AK1906">
        <v>699</v>
      </c>
      <c r="AL1906" t="b">
        <v>1</v>
      </c>
      <c r="AM1906" t="b">
        <v>1</v>
      </c>
      <c r="AN1906" t="b">
        <v>0</v>
      </c>
      <c r="AO1906">
        <v>99999</v>
      </c>
      <c r="AP1906" t="s">
        <v>64</v>
      </c>
      <c r="AR1906" t="b">
        <v>0</v>
      </c>
      <c r="AS1906">
        <v>12</v>
      </c>
      <c r="AT1906" t="s">
        <v>327</v>
      </c>
      <c r="AV1906" t="s">
        <v>507</v>
      </c>
    </row>
    <row r="1907" spans="1:48" x14ac:dyDescent="0.25">
      <c r="A1907" t="s">
        <v>3323</v>
      </c>
      <c r="B1907" t="s">
        <v>302</v>
      </c>
      <c r="C1907" t="s">
        <v>62</v>
      </c>
      <c r="D1907">
        <v>99999</v>
      </c>
      <c r="F1907" s="109">
        <v>4000</v>
      </c>
      <c r="G1907" t="b">
        <v>0</v>
      </c>
      <c r="H1907" t="s">
        <v>337</v>
      </c>
      <c r="K1907" t="s">
        <v>364</v>
      </c>
      <c r="L1907" t="s">
        <v>303</v>
      </c>
      <c r="M1907" t="s">
        <v>323</v>
      </c>
      <c r="N1907" t="s">
        <v>63</v>
      </c>
      <c r="O1907">
        <v>29.9</v>
      </c>
      <c r="R1907">
        <v>244.89</v>
      </c>
      <c r="S1907">
        <v>59.9</v>
      </c>
      <c r="T1907" s="110">
        <v>0</v>
      </c>
      <c r="U1907">
        <v>42.99</v>
      </c>
      <c r="X1907">
        <v>92.1</v>
      </c>
      <c r="Y1907">
        <v>49.9</v>
      </c>
      <c r="Z1907">
        <v>49.9</v>
      </c>
      <c r="AA1907">
        <v>0</v>
      </c>
      <c r="AB1907" t="s">
        <v>363</v>
      </c>
      <c r="AF1907" t="s">
        <v>635</v>
      </c>
      <c r="AG1907" t="s">
        <v>635</v>
      </c>
      <c r="AH1907" t="s">
        <v>325</v>
      </c>
      <c r="AI1907">
        <v>99999</v>
      </c>
      <c r="AJ1907">
        <v>99999</v>
      </c>
      <c r="AK1907">
        <v>699</v>
      </c>
      <c r="AL1907" t="b">
        <v>1</v>
      </c>
      <c r="AM1907" t="b">
        <v>1</v>
      </c>
      <c r="AN1907" t="b">
        <v>0</v>
      </c>
      <c r="AO1907">
        <v>99999</v>
      </c>
      <c r="AP1907" t="s">
        <v>64</v>
      </c>
      <c r="AR1907" t="b">
        <v>0</v>
      </c>
      <c r="AS1907">
        <v>12</v>
      </c>
      <c r="AT1907" t="s">
        <v>327</v>
      </c>
      <c r="AV1907" t="s">
        <v>641</v>
      </c>
    </row>
    <row r="1908" spans="1:48" x14ac:dyDescent="0.25">
      <c r="A1908" t="s">
        <v>3323</v>
      </c>
      <c r="B1908" t="s">
        <v>302</v>
      </c>
      <c r="C1908" t="s">
        <v>62</v>
      </c>
      <c r="D1908">
        <v>99999</v>
      </c>
      <c r="F1908" s="109">
        <v>4000</v>
      </c>
      <c r="G1908" t="b">
        <v>0</v>
      </c>
      <c r="H1908" t="s">
        <v>337</v>
      </c>
      <c r="K1908" t="s">
        <v>364</v>
      </c>
      <c r="L1908" t="s">
        <v>303</v>
      </c>
      <c r="M1908" t="s">
        <v>323</v>
      </c>
      <c r="N1908" t="s">
        <v>63</v>
      </c>
      <c r="O1908" s="110">
        <v>39.9</v>
      </c>
      <c r="R1908" s="110">
        <v>214.89</v>
      </c>
      <c r="S1908" s="110">
        <v>39.9</v>
      </c>
      <c r="T1908" s="110">
        <v>0</v>
      </c>
      <c r="U1908" s="110">
        <v>42.99</v>
      </c>
      <c r="X1908">
        <v>82.1</v>
      </c>
      <c r="Y1908">
        <v>49.9</v>
      </c>
      <c r="Z1908">
        <v>49.9</v>
      </c>
      <c r="AA1908">
        <v>0</v>
      </c>
      <c r="AB1908" t="s">
        <v>363</v>
      </c>
      <c r="AF1908" t="s">
        <v>434</v>
      </c>
      <c r="AG1908" t="s">
        <v>434</v>
      </c>
      <c r="AH1908" t="s">
        <v>325</v>
      </c>
      <c r="AI1908">
        <v>99999</v>
      </c>
      <c r="AJ1908">
        <v>99999</v>
      </c>
      <c r="AK1908">
        <v>699</v>
      </c>
      <c r="AL1908" t="b">
        <v>1</v>
      </c>
      <c r="AM1908" t="b">
        <v>1</v>
      </c>
      <c r="AN1908" t="b">
        <v>0</v>
      </c>
      <c r="AO1908">
        <v>99999</v>
      </c>
      <c r="AP1908" t="s">
        <v>64</v>
      </c>
      <c r="AR1908" t="b">
        <v>0</v>
      </c>
      <c r="AS1908">
        <v>12</v>
      </c>
      <c r="AT1908" t="s">
        <v>327</v>
      </c>
      <c r="AV1908" t="s">
        <v>440</v>
      </c>
    </row>
    <row r="1909" spans="1:48" x14ac:dyDescent="0.25">
      <c r="A1909" t="s">
        <v>3323</v>
      </c>
      <c r="B1909" t="s">
        <v>302</v>
      </c>
      <c r="C1909" t="s">
        <v>62</v>
      </c>
      <c r="D1909">
        <v>99999</v>
      </c>
      <c r="F1909" s="109">
        <v>4000</v>
      </c>
      <c r="G1909" t="b">
        <v>0</v>
      </c>
      <c r="H1909" t="s">
        <v>337</v>
      </c>
      <c r="K1909" t="s">
        <v>364</v>
      </c>
      <c r="L1909" t="s">
        <v>303</v>
      </c>
      <c r="M1909" t="s">
        <v>323</v>
      </c>
      <c r="N1909" t="s">
        <v>63</v>
      </c>
      <c r="O1909">
        <v>39.9</v>
      </c>
      <c r="R1909">
        <v>229.89</v>
      </c>
      <c r="S1909">
        <v>39.9</v>
      </c>
      <c r="T1909" s="110">
        <v>0</v>
      </c>
      <c r="U1909">
        <v>42.99</v>
      </c>
      <c r="X1909">
        <v>97.1</v>
      </c>
      <c r="Y1909">
        <v>49.9</v>
      </c>
      <c r="Z1909">
        <v>49.9</v>
      </c>
      <c r="AA1909">
        <v>0</v>
      </c>
      <c r="AB1909" t="s">
        <v>363</v>
      </c>
      <c r="AF1909" t="s">
        <v>568</v>
      </c>
      <c r="AG1909" t="s">
        <v>568</v>
      </c>
      <c r="AH1909" t="s">
        <v>325</v>
      </c>
      <c r="AI1909">
        <v>99999</v>
      </c>
      <c r="AJ1909">
        <v>99999</v>
      </c>
      <c r="AK1909">
        <v>699</v>
      </c>
      <c r="AL1909" t="b">
        <v>1</v>
      </c>
      <c r="AM1909" t="b">
        <v>1</v>
      </c>
      <c r="AN1909" t="b">
        <v>0</v>
      </c>
      <c r="AO1909">
        <v>99999</v>
      </c>
      <c r="AP1909" t="s">
        <v>64</v>
      </c>
      <c r="AR1909" t="b">
        <v>0</v>
      </c>
      <c r="AS1909">
        <v>12</v>
      </c>
      <c r="AT1909" t="s">
        <v>327</v>
      </c>
      <c r="AV1909" t="s">
        <v>574</v>
      </c>
    </row>
    <row r="1910" spans="1:48" x14ac:dyDescent="0.25">
      <c r="A1910" t="s">
        <v>3323</v>
      </c>
      <c r="B1910" t="s">
        <v>302</v>
      </c>
      <c r="C1910" t="s">
        <v>62</v>
      </c>
      <c r="D1910">
        <v>99999</v>
      </c>
      <c r="F1910" s="109">
        <v>4000</v>
      </c>
      <c r="G1910" t="b">
        <v>0</v>
      </c>
      <c r="H1910" t="s">
        <v>337</v>
      </c>
      <c r="K1910" t="s">
        <v>364</v>
      </c>
      <c r="L1910" t="s">
        <v>303</v>
      </c>
      <c r="M1910" t="s">
        <v>323</v>
      </c>
      <c r="N1910" t="s">
        <v>63</v>
      </c>
      <c r="O1910">
        <v>39.9</v>
      </c>
      <c r="R1910">
        <v>244.89</v>
      </c>
      <c r="S1910">
        <v>59.9</v>
      </c>
      <c r="T1910" s="110">
        <v>0</v>
      </c>
      <c r="U1910">
        <v>42.99</v>
      </c>
      <c r="X1910">
        <v>92.1</v>
      </c>
      <c r="Y1910">
        <v>49.9</v>
      </c>
      <c r="Z1910">
        <v>49.9</v>
      </c>
      <c r="AA1910">
        <v>0</v>
      </c>
      <c r="AB1910" t="s">
        <v>363</v>
      </c>
      <c r="AF1910" t="s">
        <v>702</v>
      </c>
      <c r="AG1910" t="s">
        <v>702</v>
      </c>
      <c r="AH1910" t="s">
        <v>325</v>
      </c>
      <c r="AI1910">
        <v>99999</v>
      </c>
      <c r="AJ1910">
        <v>99999</v>
      </c>
      <c r="AK1910">
        <v>699</v>
      </c>
      <c r="AL1910" t="b">
        <v>1</v>
      </c>
      <c r="AM1910" t="b">
        <v>1</v>
      </c>
      <c r="AN1910" t="b">
        <v>0</v>
      </c>
      <c r="AO1910">
        <v>99999</v>
      </c>
      <c r="AP1910" t="s">
        <v>64</v>
      </c>
      <c r="AR1910" t="b">
        <v>0</v>
      </c>
      <c r="AS1910">
        <v>12</v>
      </c>
      <c r="AT1910" t="s">
        <v>327</v>
      </c>
      <c r="AV1910" t="s">
        <v>708</v>
      </c>
    </row>
    <row r="1911" spans="1:48" x14ac:dyDescent="0.25">
      <c r="A1911" t="s">
        <v>3323</v>
      </c>
      <c r="B1911" t="s">
        <v>302</v>
      </c>
      <c r="C1911" t="s">
        <v>62</v>
      </c>
      <c r="D1911">
        <v>99999</v>
      </c>
      <c r="F1911" s="109">
        <v>4000</v>
      </c>
      <c r="G1911" t="b">
        <v>0</v>
      </c>
      <c r="H1911" t="s">
        <v>337</v>
      </c>
      <c r="K1911" t="s">
        <v>364</v>
      </c>
      <c r="L1911" t="s">
        <v>303</v>
      </c>
      <c r="M1911" t="s">
        <v>323</v>
      </c>
      <c r="N1911" t="s">
        <v>63</v>
      </c>
      <c r="O1911" s="110">
        <v>49.9</v>
      </c>
      <c r="R1911" s="110">
        <v>290.68999999999994</v>
      </c>
      <c r="S1911" s="110">
        <v>130</v>
      </c>
      <c r="T1911" s="110">
        <v>0</v>
      </c>
      <c r="U1911" s="110">
        <v>34.99</v>
      </c>
      <c r="X1911">
        <v>75.799999999999983</v>
      </c>
      <c r="Y1911">
        <v>49.9</v>
      </c>
      <c r="Z1911">
        <v>49.9</v>
      </c>
      <c r="AA1911">
        <v>0</v>
      </c>
      <c r="AB1911" t="s">
        <v>363</v>
      </c>
      <c r="AF1911" t="s">
        <v>2212</v>
      </c>
      <c r="AG1911" t="s">
        <v>2212</v>
      </c>
      <c r="AH1911" t="s">
        <v>325</v>
      </c>
      <c r="AI1911">
        <v>99999</v>
      </c>
      <c r="AJ1911">
        <v>99999</v>
      </c>
      <c r="AK1911">
        <v>699</v>
      </c>
      <c r="AL1911" t="b">
        <v>1</v>
      </c>
      <c r="AM1911" t="b">
        <v>1</v>
      </c>
      <c r="AN1911" t="b">
        <v>0</v>
      </c>
      <c r="AO1911">
        <v>99999</v>
      </c>
      <c r="AP1911" t="s">
        <v>64</v>
      </c>
      <c r="AR1911" t="b">
        <v>0</v>
      </c>
      <c r="AS1911">
        <v>12</v>
      </c>
      <c r="AT1911" t="s">
        <v>327</v>
      </c>
      <c r="AV1911" t="s">
        <v>2218</v>
      </c>
    </row>
    <row r="1912" spans="1:48" x14ac:dyDescent="0.25">
      <c r="A1912" t="s">
        <v>3323</v>
      </c>
      <c r="B1912" t="s">
        <v>302</v>
      </c>
      <c r="C1912" t="s">
        <v>62</v>
      </c>
      <c r="D1912">
        <v>99999</v>
      </c>
      <c r="F1912" s="109">
        <v>4000</v>
      </c>
      <c r="G1912" t="b">
        <v>0</v>
      </c>
      <c r="H1912" t="s">
        <v>337</v>
      </c>
      <c r="K1912" t="s">
        <v>364</v>
      </c>
      <c r="L1912" t="s">
        <v>303</v>
      </c>
      <c r="M1912" t="s">
        <v>323</v>
      </c>
      <c r="N1912" t="s">
        <v>63</v>
      </c>
      <c r="O1912" s="110">
        <v>49.9</v>
      </c>
      <c r="R1912" s="110">
        <v>304.99</v>
      </c>
      <c r="S1912" s="110">
        <v>130</v>
      </c>
      <c r="T1912" s="110">
        <v>0</v>
      </c>
      <c r="U1912" s="110">
        <v>42.99</v>
      </c>
      <c r="X1912">
        <v>82.1</v>
      </c>
      <c r="Y1912">
        <v>49.9</v>
      </c>
      <c r="Z1912">
        <v>49.9</v>
      </c>
      <c r="AA1912">
        <v>0</v>
      </c>
      <c r="AB1912" t="s">
        <v>363</v>
      </c>
      <c r="AF1912" t="s">
        <v>2286</v>
      </c>
      <c r="AG1912" t="s">
        <v>2286</v>
      </c>
      <c r="AH1912" t="s">
        <v>325</v>
      </c>
      <c r="AI1912">
        <v>99999</v>
      </c>
      <c r="AJ1912">
        <v>99999</v>
      </c>
      <c r="AK1912">
        <v>699</v>
      </c>
      <c r="AL1912" t="b">
        <v>1</v>
      </c>
      <c r="AM1912" t="b">
        <v>1</v>
      </c>
      <c r="AN1912" t="b">
        <v>0</v>
      </c>
      <c r="AO1912">
        <v>99999</v>
      </c>
      <c r="AP1912" t="s">
        <v>64</v>
      </c>
      <c r="AR1912" t="b">
        <v>0</v>
      </c>
      <c r="AS1912">
        <v>12</v>
      </c>
      <c r="AT1912" t="s">
        <v>327</v>
      </c>
      <c r="AV1912" t="s">
        <v>2292</v>
      </c>
    </row>
    <row r="1913" spans="1:48" x14ac:dyDescent="0.25">
      <c r="A1913" t="s">
        <v>3323</v>
      </c>
      <c r="B1913" t="s">
        <v>302</v>
      </c>
      <c r="C1913" t="s">
        <v>62</v>
      </c>
      <c r="D1913">
        <v>99999</v>
      </c>
      <c r="F1913" s="109">
        <v>4000</v>
      </c>
      <c r="G1913" t="b">
        <v>0</v>
      </c>
      <c r="H1913" t="s">
        <v>337</v>
      </c>
      <c r="K1913" t="s">
        <v>364</v>
      </c>
      <c r="L1913" t="s">
        <v>303</v>
      </c>
      <c r="M1913" t="s">
        <v>323</v>
      </c>
      <c r="N1913" t="s">
        <v>63</v>
      </c>
      <c r="O1913" s="110">
        <v>49.9</v>
      </c>
      <c r="R1913" s="110">
        <v>319.99</v>
      </c>
      <c r="S1913" s="110">
        <v>130</v>
      </c>
      <c r="T1913" s="110">
        <v>0</v>
      </c>
      <c r="U1913" s="110">
        <v>42.99</v>
      </c>
      <c r="X1913">
        <v>97.1</v>
      </c>
      <c r="Y1913">
        <v>49.9</v>
      </c>
      <c r="Z1913">
        <v>49.9</v>
      </c>
      <c r="AA1913">
        <v>0</v>
      </c>
      <c r="AB1913" t="s">
        <v>363</v>
      </c>
      <c r="AF1913" t="s">
        <v>2353</v>
      </c>
      <c r="AG1913" t="s">
        <v>2353</v>
      </c>
      <c r="AH1913" t="s">
        <v>325</v>
      </c>
      <c r="AI1913">
        <v>99999</v>
      </c>
      <c r="AJ1913">
        <v>99999</v>
      </c>
      <c r="AK1913">
        <v>699</v>
      </c>
      <c r="AL1913" t="b">
        <v>1</v>
      </c>
      <c r="AM1913" t="b">
        <v>1</v>
      </c>
      <c r="AN1913" t="b">
        <v>0</v>
      </c>
      <c r="AO1913">
        <v>99999</v>
      </c>
      <c r="AP1913" t="s">
        <v>64</v>
      </c>
      <c r="AR1913" t="b">
        <v>0</v>
      </c>
      <c r="AS1913">
        <v>12</v>
      </c>
      <c r="AT1913" t="s">
        <v>327</v>
      </c>
      <c r="AV1913" t="s">
        <v>2359</v>
      </c>
    </row>
    <row r="1914" spans="1:48" x14ac:dyDescent="0.25">
      <c r="A1914" t="s">
        <v>3323</v>
      </c>
      <c r="B1914" t="s">
        <v>302</v>
      </c>
      <c r="C1914" t="s">
        <v>62</v>
      </c>
      <c r="D1914">
        <v>99999</v>
      </c>
      <c r="F1914" s="109">
        <v>4000</v>
      </c>
      <c r="G1914" t="b">
        <v>0</v>
      </c>
      <c r="H1914" t="s">
        <v>337</v>
      </c>
      <c r="K1914" t="s">
        <v>364</v>
      </c>
      <c r="L1914" t="s">
        <v>303</v>
      </c>
      <c r="M1914" t="s">
        <v>323</v>
      </c>
      <c r="N1914" t="s">
        <v>63</v>
      </c>
      <c r="O1914" s="110">
        <v>49.9</v>
      </c>
      <c r="R1914" s="110">
        <v>314.99</v>
      </c>
      <c r="S1914" s="110">
        <v>130</v>
      </c>
      <c r="T1914" s="110">
        <v>0</v>
      </c>
      <c r="U1914" s="110">
        <v>42.99</v>
      </c>
      <c r="X1914">
        <v>92.1</v>
      </c>
      <c r="Y1914">
        <v>49.9</v>
      </c>
      <c r="Z1914">
        <v>49.9</v>
      </c>
      <c r="AA1914">
        <v>0</v>
      </c>
      <c r="AB1914" t="s">
        <v>363</v>
      </c>
      <c r="AF1914" t="s">
        <v>2420</v>
      </c>
      <c r="AG1914" t="s">
        <v>2420</v>
      </c>
      <c r="AH1914" t="s">
        <v>325</v>
      </c>
      <c r="AI1914">
        <v>99999</v>
      </c>
      <c r="AJ1914">
        <v>99999</v>
      </c>
      <c r="AK1914">
        <v>699</v>
      </c>
      <c r="AL1914" t="b">
        <v>1</v>
      </c>
      <c r="AM1914" t="b">
        <v>1</v>
      </c>
      <c r="AN1914" t="b">
        <v>0</v>
      </c>
      <c r="AO1914">
        <v>99999</v>
      </c>
      <c r="AP1914" t="s">
        <v>64</v>
      </c>
      <c r="AR1914" t="b">
        <v>0</v>
      </c>
      <c r="AS1914">
        <v>12</v>
      </c>
      <c r="AT1914" t="s">
        <v>327</v>
      </c>
      <c r="AV1914" t="s">
        <v>2426</v>
      </c>
    </row>
    <row r="1915" spans="1:48" x14ac:dyDescent="0.25">
      <c r="A1915" t="s">
        <v>3323</v>
      </c>
      <c r="B1915" t="s">
        <v>302</v>
      </c>
      <c r="C1915" t="s">
        <v>62</v>
      </c>
      <c r="D1915">
        <v>99999</v>
      </c>
      <c r="F1915" s="109">
        <v>4000</v>
      </c>
      <c r="G1915" t="b">
        <v>0</v>
      </c>
      <c r="H1915" t="s">
        <v>337</v>
      </c>
      <c r="K1915" t="s">
        <v>379</v>
      </c>
      <c r="L1915" t="s">
        <v>303</v>
      </c>
      <c r="M1915" t="s">
        <v>323</v>
      </c>
      <c r="N1915" t="s">
        <v>63</v>
      </c>
      <c r="O1915">
        <v>29.9</v>
      </c>
      <c r="R1915">
        <v>224.89</v>
      </c>
      <c r="S1915">
        <v>39.9</v>
      </c>
      <c r="T1915" s="110">
        <v>0</v>
      </c>
      <c r="U1915">
        <v>42.99</v>
      </c>
      <c r="X1915">
        <v>82.1</v>
      </c>
      <c r="Y1915">
        <v>59.9</v>
      </c>
      <c r="Z1915">
        <v>59.9</v>
      </c>
      <c r="AA1915">
        <v>0</v>
      </c>
      <c r="AB1915" t="s">
        <v>363</v>
      </c>
      <c r="AF1915" t="s">
        <v>365</v>
      </c>
      <c r="AG1915" t="s">
        <v>365</v>
      </c>
      <c r="AH1915" t="s">
        <v>325</v>
      </c>
      <c r="AI1915">
        <v>99999</v>
      </c>
      <c r="AJ1915">
        <v>99999</v>
      </c>
      <c r="AK1915">
        <v>699</v>
      </c>
      <c r="AL1915" t="b">
        <v>1</v>
      </c>
      <c r="AM1915" t="b">
        <v>1</v>
      </c>
      <c r="AN1915" t="b">
        <v>0</v>
      </c>
      <c r="AO1915">
        <v>99999</v>
      </c>
      <c r="AP1915" t="s">
        <v>64</v>
      </c>
      <c r="AR1915" t="b">
        <v>0</v>
      </c>
      <c r="AS1915">
        <v>12</v>
      </c>
      <c r="AT1915" t="s">
        <v>327</v>
      </c>
      <c r="AV1915" t="s">
        <v>385</v>
      </c>
    </row>
    <row r="1916" spans="1:48" x14ac:dyDescent="0.25">
      <c r="A1916" t="s">
        <v>3323</v>
      </c>
      <c r="B1916" t="s">
        <v>302</v>
      </c>
      <c r="C1916" t="s">
        <v>62</v>
      </c>
      <c r="D1916">
        <v>99999</v>
      </c>
      <c r="F1916" s="109">
        <v>4000</v>
      </c>
      <c r="G1916" t="b">
        <v>0</v>
      </c>
      <c r="H1916" t="s">
        <v>337</v>
      </c>
      <c r="K1916" t="s">
        <v>379</v>
      </c>
      <c r="L1916" t="s">
        <v>303</v>
      </c>
      <c r="M1916" t="s">
        <v>323</v>
      </c>
      <c r="N1916" t="s">
        <v>63</v>
      </c>
      <c r="O1916">
        <v>29.9</v>
      </c>
      <c r="R1916">
        <v>239.89</v>
      </c>
      <c r="S1916">
        <v>39.9</v>
      </c>
      <c r="T1916" s="110">
        <v>0</v>
      </c>
      <c r="U1916">
        <v>42.99</v>
      </c>
      <c r="X1916">
        <v>97.1</v>
      </c>
      <c r="Y1916">
        <v>59.9</v>
      </c>
      <c r="Z1916">
        <v>59.9</v>
      </c>
      <c r="AA1916">
        <v>0</v>
      </c>
      <c r="AB1916" t="s">
        <v>363</v>
      </c>
      <c r="AF1916" t="s">
        <v>501</v>
      </c>
      <c r="AG1916" t="s">
        <v>501</v>
      </c>
      <c r="AH1916" t="s">
        <v>325</v>
      </c>
      <c r="AI1916">
        <v>99999</v>
      </c>
      <c r="AJ1916">
        <v>99999</v>
      </c>
      <c r="AK1916">
        <v>699</v>
      </c>
      <c r="AL1916" t="b">
        <v>1</v>
      </c>
      <c r="AM1916" t="b">
        <v>1</v>
      </c>
      <c r="AN1916" t="b">
        <v>0</v>
      </c>
      <c r="AO1916">
        <v>99999</v>
      </c>
      <c r="AP1916" t="s">
        <v>64</v>
      </c>
      <c r="AR1916" t="b">
        <v>0</v>
      </c>
      <c r="AS1916">
        <v>12</v>
      </c>
      <c r="AT1916" t="s">
        <v>327</v>
      </c>
      <c r="AV1916" t="s">
        <v>520</v>
      </c>
    </row>
    <row r="1917" spans="1:48" x14ac:dyDescent="0.25">
      <c r="A1917" t="s">
        <v>3323</v>
      </c>
      <c r="B1917" t="s">
        <v>302</v>
      </c>
      <c r="C1917" t="s">
        <v>62</v>
      </c>
      <c r="D1917">
        <v>99999</v>
      </c>
      <c r="F1917" s="109">
        <v>4000</v>
      </c>
      <c r="G1917" t="b">
        <v>0</v>
      </c>
      <c r="H1917" t="s">
        <v>337</v>
      </c>
      <c r="K1917" t="s">
        <v>379</v>
      </c>
      <c r="L1917" t="s">
        <v>303</v>
      </c>
      <c r="M1917" t="s">
        <v>323</v>
      </c>
      <c r="N1917" t="s">
        <v>63</v>
      </c>
      <c r="O1917">
        <v>29.9</v>
      </c>
      <c r="R1917">
        <v>254.89</v>
      </c>
      <c r="S1917">
        <v>59.9</v>
      </c>
      <c r="T1917" s="110">
        <v>0</v>
      </c>
      <c r="U1917">
        <v>42.99</v>
      </c>
      <c r="X1917">
        <v>92.1</v>
      </c>
      <c r="Y1917">
        <v>59.9</v>
      </c>
      <c r="Z1917">
        <v>59.9</v>
      </c>
      <c r="AA1917">
        <v>0</v>
      </c>
      <c r="AB1917" t="s">
        <v>363</v>
      </c>
      <c r="AF1917" t="s">
        <v>635</v>
      </c>
      <c r="AG1917" t="s">
        <v>635</v>
      </c>
      <c r="AH1917" t="s">
        <v>325</v>
      </c>
      <c r="AI1917">
        <v>99999</v>
      </c>
      <c r="AJ1917">
        <v>99999</v>
      </c>
      <c r="AK1917">
        <v>699</v>
      </c>
      <c r="AL1917" t="b">
        <v>1</v>
      </c>
      <c r="AM1917" t="b">
        <v>1</v>
      </c>
      <c r="AN1917" t="b">
        <v>0</v>
      </c>
      <c r="AO1917">
        <v>99999</v>
      </c>
      <c r="AP1917" t="s">
        <v>64</v>
      </c>
      <c r="AR1917" t="b">
        <v>0</v>
      </c>
      <c r="AS1917">
        <v>12</v>
      </c>
      <c r="AT1917" t="s">
        <v>327</v>
      </c>
      <c r="AV1917" t="s">
        <v>654</v>
      </c>
    </row>
    <row r="1918" spans="1:48" x14ac:dyDescent="0.25">
      <c r="A1918" t="s">
        <v>3323</v>
      </c>
      <c r="B1918" t="s">
        <v>302</v>
      </c>
      <c r="C1918" t="s">
        <v>62</v>
      </c>
      <c r="D1918">
        <v>99999</v>
      </c>
      <c r="F1918" s="109">
        <v>4000</v>
      </c>
      <c r="G1918" t="b">
        <v>0</v>
      </c>
      <c r="H1918" t="s">
        <v>337</v>
      </c>
      <c r="K1918" t="s">
        <v>379</v>
      </c>
      <c r="L1918" t="s">
        <v>303</v>
      </c>
      <c r="M1918" t="s">
        <v>323</v>
      </c>
      <c r="N1918" t="s">
        <v>63</v>
      </c>
      <c r="O1918" s="110">
        <v>39.9</v>
      </c>
      <c r="R1918" s="110">
        <v>224.89</v>
      </c>
      <c r="S1918" s="110">
        <v>39.9</v>
      </c>
      <c r="T1918" s="110">
        <v>0</v>
      </c>
      <c r="U1918" s="110">
        <v>42.99</v>
      </c>
      <c r="X1918">
        <v>82.1</v>
      </c>
      <c r="Y1918">
        <v>59.9</v>
      </c>
      <c r="Z1918">
        <v>59.9</v>
      </c>
      <c r="AA1918">
        <v>0</v>
      </c>
      <c r="AB1918" t="s">
        <v>363</v>
      </c>
      <c r="AF1918" t="s">
        <v>434</v>
      </c>
      <c r="AG1918" t="s">
        <v>434</v>
      </c>
      <c r="AH1918" t="s">
        <v>325</v>
      </c>
      <c r="AI1918">
        <v>99999</v>
      </c>
      <c r="AJ1918">
        <v>99999</v>
      </c>
      <c r="AK1918">
        <v>699</v>
      </c>
      <c r="AL1918" t="b">
        <v>1</v>
      </c>
      <c r="AM1918" t="b">
        <v>1</v>
      </c>
      <c r="AN1918" t="b">
        <v>0</v>
      </c>
      <c r="AO1918">
        <v>99999</v>
      </c>
      <c r="AP1918" t="s">
        <v>64</v>
      </c>
      <c r="AR1918" t="b">
        <v>0</v>
      </c>
      <c r="AS1918">
        <v>12</v>
      </c>
      <c r="AT1918" t="s">
        <v>327</v>
      </c>
      <c r="AV1918" t="s">
        <v>453</v>
      </c>
    </row>
    <row r="1919" spans="1:48" x14ac:dyDescent="0.25">
      <c r="A1919" t="s">
        <v>3323</v>
      </c>
      <c r="B1919" t="s">
        <v>302</v>
      </c>
      <c r="C1919" t="s">
        <v>62</v>
      </c>
      <c r="D1919">
        <v>99999</v>
      </c>
      <c r="F1919" s="109">
        <v>4000</v>
      </c>
      <c r="G1919" t="b">
        <v>0</v>
      </c>
      <c r="H1919" t="s">
        <v>337</v>
      </c>
      <c r="K1919" t="s">
        <v>379</v>
      </c>
      <c r="L1919" t="s">
        <v>303</v>
      </c>
      <c r="M1919" t="s">
        <v>323</v>
      </c>
      <c r="N1919" t="s">
        <v>63</v>
      </c>
      <c r="O1919">
        <v>39.9</v>
      </c>
      <c r="R1919">
        <v>239.89</v>
      </c>
      <c r="S1919">
        <v>39.9</v>
      </c>
      <c r="T1919" s="110">
        <v>0</v>
      </c>
      <c r="U1919">
        <v>42.99</v>
      </c>
      <c r="X1919">
        <v>97.1</v>
      </c>
      <c r="Y1919">
        <v>59.9</v>
      </c>
      <c r="Z1919">
        <v>59.9</v>
      </c>
      <c r="AA1919">
        <v>0</v>
      </c>
      <c r="AB1919" t="s">
        <v>363</v>
      </c>
      <c r="AF1919" t="s">
        <v>568</v>
      </c>
      <c r="AG1919" t="s">
        <v>568</v>
      </c>
      <c r="AH1919" t="s">
        <v>325</v>
      </c>
      <c r="AI1919">
        <v>99999</v>
      </c>
      <c r="AJ1919">
        <v>99999</v>
      </c>
      <c r="AK1919">
        <v>699</v>
      </c>
      <c r="AL1919" t="b">
        <v>1</v>
      </c>
      <c r="AM1919" t="b">
        <v>1</v>
      </c>
      <c r="AN1919" t="b">
        <v>0</v>
      </c>
      <c r="AO1919">
        <v>99999</v>
      </c>
      <c r="AP1919" t="s">
        <v>64</v>
      </c>
      <c r="AR1919" t="b">
        <v>0</v>
      </c>
      <c r="AS1919">
        <v>12</v>
      </c>
      <c r="AT1919" t="s">
        <v>327</v>
      </c>
      <c r="AV1919" t="s">
        <v>587</v>
      </c>
    </row>
    <row r="1920" spans="1:48" x14ac:dyDescent="0.25">
      <c r="A1920" t="s">
        <v>3323</v>
      </c>
      <c r="B1920" t="s">
        <v>302</v>
      </c>
      <c r="C1920" t="s">
        <v>62</v>
      </c>
      <c r="D1920">
        <v>99999</v>
      </c>
      <c r="F1920" s="109">
        <v>4000</v>
      </c>
      <c r="G1920" t="b">
        <v>0</v>
      </c>
      <c r="H1920" t="s">
        <v>337</v>
      </c>
      <c r="K1920" t="s">
        <v>379</v>
      </c>
      <c r="L1920" t="s">
        <v>303</v>
      </c>
      <c r="M1920" t="s">
        <v>323</v>
      </c>
      <c r="N1920" t="s">
        <v>63</v>
      </c>
      <c r="O1920">
        <v>39.9</v>
      </c>
      <c r="R1920">
        <v>254.89</v>
      </c>
      <c r="S1920">
        <v>59.9</v>
      </c>
      <c r="T1920" s="110">
        <v>0</v>
      </c>
      <c r="U1920">
        <v>42.99</v>
      </c>
      <c r="X1920">
        <v>92.1</v>
      </c>
      <c r="Y1920">
        <v>59.9</v>
      </c>
      <c r="Z1920">
        <v>59.9</v>
      </c>
      <c r="AA1920">
        <v>0</v>
      </c>
      <c r="AB1920" t="s">
        <v>363</v>
      </c>
      <c r="AF1920" t="s">
        <v>702</v>
      </c>
      <c r="AG1920" t="s">
        <v>702</v>
      </c>
      <c r="AH1920" t="s">
        <v>325</v>
      </c>
      <c r="AI1920">
        <v>99999</v>
      </c>
      <c r="AJ1920">
        <v>99999</v>
      </c>
      <c r="AK1920">
        <v>699</v>
      </c>
      <c r="AL1920" t="b">
        <v>1</v>
      </c>
      <c r="AM1920" t="b">
        <v>1</v>
      </c>
      <c r="AN1920" t="b">
        <v>0</v>
      </c>
      <c r="AO1920">
        <v>99999</v>
      </c>
      <c r="AP1920" t="s">
        <v>64</v>
      </c>
      <c r="AR1920" t="b">
        <v>0</v>
      </c>
      <c r="AS1920">
        <v>12</v>
      </c>
      <c r="AT1920" t="s">
        <v>327</v>
      </c>
      <c r="AV1920" t="s">
        <v>721</v>
      </c>
    </row>
    <row r="1921" spans="1:48" x14ac:dyDescent="0.25">
      <c r="A1921" t="s">
        <v>3323</v>
      </c>
      <c r="B1921" t="s">
        <v>302</v>
      </c>
      <c r="C1921" t="s">
        <v>62</v>
      </c>
      <c r="D1921">
        <v>99999</v>
      </c>
      <c r="F1921" s="109">
        <v>4000</v>
      </c>
      <c r="G1921" t="b">
        <v>0</v>
      </c>
      <c r="H1921" t="s">
        <v>337</v>
      </c>
      <c r="K1921" t="s">
        <v>379</v>
      </c>
      <c r="L1921" t="s">
        <v>303</v>
      </c>
      <c r="M1921" t="s">
        <v>323</v>
      </c>
      <c r="N1921" t="s">
        <v>63</v>
      </c>
      <c r="O1921" s="110">
        <v>49.9</v>
      </c>
      <c r="R1921" s="110">
        <v>300.68999999999994</v>
      </c>
      <c r="S1921" s="110">
        <v>130</v>
      </c>
      <c r="T1921" s="110">
        <v>0</v>
      </c>
      <c r="U1921" s="110">
        <v>34.99</v>
      </c>
      <c r="X1921">
        <v>75.799999999999983</v>
      </c>
      <c r="Y1921">
        <v>59.9</v>
      </c>
      <c r="Z1921">
        <v>59.9</v>
      </c>
      <c r="AA1921">
        <v>0</v>
      </c>
      <c r="AB1921" t="s">
        <v>363</v>
      </c>
      <c r="AF1921" t="s">
        <v>2212</v>
      </c>
      <c r="AG1921" t="s">
        <v>2212</v>
      </c>
      <c r="AH1921" t="s">
        <v>325</v>
      </c>
      <c r="AI1921">
        <v>99999</v>
      </c>
      <c r="AJ1921">
        <v>99999</v>
      </c>
      <c r="AK1921">
        <v>699</v>
      </c>
      <c r="AL1921" t="b">
        <v>1</v>
      </c>
      <c r="AM1921" t="b">
        <v>1</v>
      </c>
      <c r="AN1921" t="b">
        <v>0</v>
      </c>
      <c r="AO1921">
        <v>99999</v>
      </c>
      <c r="AP1921" t="s">
        <v>64</v>
      </c>
      <c r="AR1921" t="b">
        <v>0</v>
      </c>
      <c r="AS1921">
        <v>12</v>
      </c>
      <c r="AT1921" t="s">
        <v>327</v>
      </c>
      <c r="AV1921" t="s">
        <v>2231</v>
      </c>
    </row>
    <row r="1922" spans="1:48" x14ac:dyDescent="0.25">
      <c r="A1922" t="s">
        <v>3323</v>
      </c>
      <c r="B1922" t="s">
        <v>302</v>
      </c>
      <c r="C1922" t="s">
        <v>62</v>
      </c>
      <c r="D1922">
        <v>99999</v>
      </c>
      <c r="F1922" s="109">
        <v>4000</v>
      </c>
      <c r="G1922" t="b">
        <v>0</v>
      </c>
      <c r="H1922" t="s">
        <v>337</v>
      </c>
      <c r="K1922" t="s">
        <v>379</v>
      </c>
      <c r="L1922" t="s">
        <v>303</v>
      </c>
      <c r="M1922" t="s">
        <v>323</v>
      </c>
      <c r="N1922" t="s">
        <v>63</v>
      </c>
      <c r="O1922" s="110">
        <v>49.9</v>
      </c>
      <c r="R1922" s="110">
        <v>314.99</v>
      </c>
      <c r="S1922" s="110">
        <v>130</v>
      </c>
      <c r="T1922" s="110">
        <v>0</v>
      </c>
      <c r="U1922" s="110">
        <v>42.99</v>
      </c>
      <c r="X1922">
        <v>82.1</v>
      </c>
      <c r="Y1922">
        <v>59.9</v>
      </c>
      <c r="Z1922">
        <v>59.9</v>
      </c>
      <c r="AA1922">
        <v>0</v>
      </c>
      <c r="AB1922" t="s">
        <v>363</v>
      </c>
      <c r="AF1922" t="s">
        <v>2286</v>
      </c>
      <c r="AG1922" t="s">
        <v>2286</v>
      </c>
      <c r="AH1922" t="s">
        <v>325</v>
      </c>
      <c r="AI1922">
        <v>99999</v>
      </c>
      <c r="AJ1922">
        <v>99999</v>
      </c>
      <c r="AK1922">
        <v>699</v>
      </c>
      <c r="AL1922" t="b">
        <v>1</v>
      </c>
      <c r="AM1922" t="b">
        <v>1</v>
      </c>
      <c r="AN1922" t="b">
        <v>0</v>
      </c>
      <c r="AO1922">
        <v>99999</v>
      </c>
      <c r="AP1922" t="s">
        <v>64</v>
      </c>
      <c r="AR1922" t="b">
        <v>0</v>
      </c>
      <c r="AS1922">
        <v>12</v>
      </c>
      <c r="AT1922" t="s">
        <v>327</v>
      </c>
      <c r="AV1922" t="s">
        <v>2305</v>
      </c>
    </row>
    <row r="1923" spans="1:48" x14ac:dyDescent="0.25">
      <c r="A1923" t="s">
        <v>3323</v>
      </c>
      <c r="B1923" t="s">
        <v>302</v>
      </c>
      <c r="C1923" t="s">
        <v>62</v>
      </c>
      <c r="D1923">
        <v>99999</v>
      </c>
      <c r="F1923" s="109">
        <v>4000</v>
      </c>
      <c r="G1923" t="b">
        <v>0</v>
      </c>
      <c r="H1923" t="s">
        <v>337</v>
      </c>
      <c r="K1923" t="s">
        <v>379</v>
      </c>
      <c r="L1923" t="s">
        <v>303</v>
      </c>
      <c r="M1923" t="s">
        <v>323</v>
      </c>
      <c r="N1923" t="s">
        <v>63</v>
      </c>
      <c r="O1923" s="110">
        <v>49.9</v>
      </c>
      <c r="R1923" s="110">
        <v>329.99</v>
      </c>
      <c r="S1923" s="110">
        <v>130</v>
      </c>
      <c r="T1923" s="110">
        <v>0</v>
      </c>
      <c r="U1923" s="110">
        <v>42.99</v>
      </c>
      <c r="X1923">
        <v>97.1</v>
      </c>
      <c r="Y1923">
        <v>59.9</v>
      </c>
      <c r="Z1923">
        <v>59.9</v>
      </c>
      <c r="AA1923">
        <v>0</v>
      </c>
      <c r="AB1923" t="s">
        <v>363</v>
      </c>
      <c r="AF1923" t="s">
        <v>2353</v>
      </c>
      <c r="AG1923" t="s">
        <v>2353</v>
      </c>
      <c r="AH1923" t="s">
        <v>325</v>
      </c>
      <c r="AI1923">
        <v>99999</v>
      </c>
      <c r="AJ1923">
        <v>99999</v>
      </c>
      <c r="AK1923">
        <v>699</v>
      </c>
      <c r="AL1923" t="b">
        <v>1</v>
      </c>
      <c r="AM1923" t="b">
        <v>1</v>
      </c>
      <c r="AN1923" t="b">
        <v>0</v>
      </c>
      <c r="AO1923">
        <v>99999</v>
      </c>
      <c r="AP1923" t="s">
        <v>64</v>
      </c>
      <c r="AR1923" t="b">
        <v>0</v>
      </c>
      <c r="AS1923">
        <v>12</v>
      </c>
      <c r="AT1923" t="s">
        <v>327</v>
      </c>
      <c r="AV1923" t="s">
        <v>2372</v>
      </c>
    </row>
    <row r="1924" spans="1:48" x14ac:dyDescent="0.25">
      <c r="A1924" t="s">
        <v>3323</v>
      </c>
      <c r="B1924" t="s">
        <v>302</v>
      </c>
      <c r="C1924" t="s">
        <v>62</v>
      </c>
      <c r="D1924">
        <v>99999</v>
      </c>
      <c r="F1924" s="109">
        <v>4000</v>
      </c>
      <c r="G1924" t="b">
        <v>0</v>
      </c>
      <c r="H1924" t="s">
        <v>337</v>
      </c>
      <c r="K1924" t="s">
        <v>379</v>
      </c>
      <c r="L1924" t="s">
        <v>303</v>
      </c>
      <c r="M1924" t="s">
        <v>323</v>
      </c>
      <c r="N1924" t="s">
        <v>63</v>
      </c>
      <c r="O1924" s="110">
        <v>49.9</v>
      </c>
      <c r="R1924" s="110">
        <v>324.99</v>
      </c>
      <c r="S1924" s="110">
        <v>130</v>
      </c>
      <c r="T1924" s="110">
        <v>0</v>
      </c>
      <c r="U1924" s="110">
        <v>42.99</v>
      </c>
      <c r="X1924">
        <v>92.1</v>
      </c>
      <c r="Y1924">
        <v>59.9</v>
      </c>
      <c r="Z1924">
        <v>59.9</v>
      </c>
      <c r="AA1924">
        <v>0</v>
      </c>
      <c r="AB1924" t="s">
        <v>363</v>
      </c>
      <c r="AF1924" t="s">
        <v>2420</v>
      </c>
      <c r="AG1924" t="s">
        <v>2420</v>
      </c>
      <c r="AH1924" t="s">
        <v>325</v>
      </c>
      <c r="AI1924">
        <v>99999</v>
      </c>
      <c r="AJ1924">
        <v>99999</v>
      </c>
      <c r="AK1924">
        <v>699</v>
      </c>
      <c r="AL1924" t="b">
        <v>1</v>
      </c>
      <c r="AM1924" t="b">
        <v>1</v>
      </c>
      <c r="AN1924" t="b">
        <v>0</v>
      </c>
      <c r="AO1924">
        <v>99999</v>
      </c>
      <c r="AP1924" t="s">
        <v>64</v>
      </c>
      <c r="AR1924" t="b">
        <v>0</v>
      </c>
      <c r="AS1924">
        <v>12</v>
      </c>
      <c r="AT1924" t="s">
        <v>327</v>
      </c>
      <c r="AV1924" t="s">
        <v>2439</v>
      </c>
    </row>
    <row r="1925" spans="1:48" x14ac:dyDescent="0.25">
      <c r="A1925" t="s">
        <v>3323</v>
      </c>
      <c r="B1925" t="s">
        <v>302</v>
      </c>
      <c r="C1925" t="s">
        <v>62</v>
      </c>
      <c r="D1925">
        <v>99999</v>
      </c>
      <c r="F1925" s="109">
        <v>4000</v>
      </c>
      <c r="G1925" t="b">
        <v>0</v>
      </c>
      <c r="H1925" t="s">
        <v>337</v>
      </c>
      <c r="K1925" t="s">
        <v>61</v>
      </c>
      <c r="L1925" t="s">
        <v>303</v>
      </c>
      <c r="M1925" t="s">
        <v>323</v>
      </c>
      <c r="N1925" t="s">
        <v>63</v>
      </c>
      <c r="O1925">
        <v>29.9</v>
      </c>
      <c r="R1925">
        <v>209.89</v>
      </c>
      <c r="S1925">
        <v>39.9</v>
      </c>
      <c r="T1925" s="110">
        <v>0</v>
      </c>
      <c r="U1925">
        <v>42.99</v>
      </c>
      <c r="X1925">
        <v>82.1</v>
      </c>
      <c r="Y1925">
        <v>44.9</v>
      </c>
      <c r="Z1925">
        <v>44.9</v>
      </c>
      <c r="AA1925">
        <v>0</v>
      </c>
      <c r="AB1925" t="s">
        <v>324</v>
      </c>
      <c r="AF1925" t="s">
        <v>326</v>
      </c>
      <c r="AG1925" t="s">
        <v>326</v>
      </c>
      <c r="AH1925" t="s">
        <v>325</v>
      </c>
      <c r="AI1925">
        <v>99999</v>
      </c>
      <c r="AJ1925">
        <v>99999</v>
      </c>
      <c r="AK1925">
        <v>699</v>
      </c>
      <c r="AL1925" t="b">
        <v>1</v>
      </c>
      <c r="AM1925" t="b">
        <v>1</v>
      </c>
      <c r="AN1925" t="b">
        <v>0</v>
      </c>
      <c r="AO1925">
        <v>99999</v>
      </c>
      <c r="AP1925" t="s">
        <v>64</v>
      </c>
      <c r="AR1925" t="b">
        <v>0</v>
      </c>
      <c r="AS1925">
        <v>12</v>
      </c>
      <c r="AT1925" t="s">
        <v>327</v>
      </c>
      <c r="AV1925" t="s">
        <v>338</v>
      </c>
    </row>
    <row r="1926" spans="1:48" x14ac:dyDescent="0.25">
      <c r="A1926" t="s">
        <v>3323</v>
      </c>
      <c r="B1926" t="s">
        <v>302</v>
      </c>
      <c r="C1926" t="s">
        <v>62</v>
      </c>
      <c r="D1926">
        <v>99999</v>
      </c>
      <c r="F1926" s="109">
        <v>4000</v>
      </c>
      <c r="G1926" t="b">
        <v>0</v>
      </c>
      <c r="H1926" t="s">
        <v>337</v>
      </c>
      <c r="K1926" t="s">
        <v>61</v>
      </c>
      <c r="L1926" t="s">
        <v>303</v>
      </c>
      <c r="M1926" t="s">
        <v>323</v>
      </c>
      <c r="N1926" t="s">
        <v>63</v>
      </c>
      <c r="O1926">
        <v>29.9</v>
      </c>
      <c r="R1926">
        <v>224.89</v>
      </c>
      <c r="S1926">
        <v>39.9</v>
      </c>
      <c r="T1926" s="110">
        <v>0</v>
      </c>
      <c r="U1926">
        <v>42.99</v>
      </c>
      <c r="X1926">
        <v>97.1</v>
      </c>
      <c r="Y1926">
        <v>44.9</v>
      </c>
      <c r="Z1926">
        <v>44.9</v>
      </c>
      <c r="AA1926">
        <v>0</v>
      </c>
      <c r="AB1926" t="s">
        <v>324</v>
      </c>
      <c r="AF1926" t="s">
        <v>474</v>
      </c>
      <c r="AG1926" t="s">
        <v>474</v>
      </c>
      <c r="AH1926" t="s">
        <v>325</v>
      </c>
      <c r="AI1926">
        <v>99999</v>
      </c>
      <c r="AJ1926">
        <v>99999</v>
      </c>
      <c r="AK1926">
        <v>699</v>
      </c>
      <c r="AL1926" t="b">
        <v>1</v>
      </c>
      <c r="AM1926" t="b">
        <v>1</v>
      </c>
      <c r="AN1926" t="b">
        <v>0</v>
      </c>
      <c r="AO1926">
        <v>99999</v>
      </c>
      <c r="AP1926" t="s">
        <v>64</v>
      </c>
      <c r="AR1926" t="b">
        <v>0</v>
      </c>
      <c r="AS1926">
        <v>12</v>
      </c>
      <c r="AT1926" t="s">
        <v>327</v>
      </c>
      <c r="AV1926" t="s">
        <v>480</v>
      </c>
    </row>
    <row r="1927" spans="1:48" x14ac:dyDescent="0.25">
      <c r="A1927" t="s">
        <v>3323</v>
      </c>
      <c r="B1927" t="s">
        <v>302</v>
      </c>
      <c r="C1927" t="s">
        <v>62</v>
      </c>
      <c r="D1927">
        <v>99999</v>
      </c>
      <c r="F1927" s="109">
        <v>4000</v>
      </c>
      <c r="G1927" t="b">
        <v>0</v>
      </c>
      <c r="H1927" t="s">
        <v>337</v>
      </c>
      <c r="K1927" t="s">
        <v>61</v>
      </c>
      <c r="L1927" t="s">
        <v>303</v>
      </c>
      <c r="M1927" t="s">
        <v>323</v>
      </c>
      <c r="N1927" t="s">
        <v>63</v>
      </c>
      <c r="O1927">
        <v>29.9</v>
      </c>
      <c r="R1927">
        <v>239.89</v>
      </c>
      <c r="S1927">
        <v>59.9</v>
      </c>
      <c r="T1927" s="110">
        <v>0</v>
      </c>
      <c r="U1927">
        <v>42.99</v>
      </c>
      <c r="X1927">
        <v>92.1</v>
      </c>
      <c r="Y1927">
        <v>44.9</v>
      </c>
      <c r="Z1927">
        <v>44.9</v>
      </c>
      <c r="AA1927">
        <v>0</v>
      </c>
      <c r="AB1927" t="s">
        <v>324</v>
      </c>
      <c r="AF1927" t="s">
        <v>608</v>
      </c>
      <c r="AG1927" t="s">
        <v>608</v>
      </c>
      <c r="AH1927" t="s">
        <v>325</v>
      </c>
      <c r="AI1927">
        <v>99999</v>
      </c>
      <c r="AJ1927">
        <v>99999</v>
      </c>
      <c r="AK1927">
        <v>699</v>
      </c>
      <c r="AL1927" t="b">
        <v>1</v>
      </c>
      <c r="AM1927" t="b">
        <v>1</v>
      </c>
      <c r="AN1927" t="b">
        <v>0</v>
      </c>
      <c r="AO1927">
        <v>99999</v>
      </c>
      <c r="AP1927" t="s">
        <v>64</v>
      </c>
      <c r="AR1927" t="b">
        <v>0</v>
      </c>
      <c r="AS1927">
        <v>12</v>
      </c>
      <c r="AT1927" t="s">
        <v>327</v>
      </c>
      <c r="AV1927" t="s">
        <v>614</v>
      </c>
    </row>
    <row r="1928" spans="1:48" x14ac:dyDescent="0.25">
      <c r="A1928" t="s">
        <v>3323</v>
      </c>
      <c r="B1928" t="s">
        <v>302</v>
      </c>
      <c r="C1928" t="s">
        <v>62</v>
      </c>
      <c r="D1928">
        <v>99999</v>
      </c>
      <c r="F1928" s="109">
        <v>4000</v>
      </c>
      <c r="G1928" t="b">
        <v>0</v>
      </c>
      <c r="H1928" t="s">
        <v>337</v>
      </c>
      <c r="K1928" t="s">
        <v>61</v>
      </c>
      <c r="L1928" t="s">
        <v>303</v>
      </c>
      <c r="M1928" t="s">
        <v>323</v>
      </c>
      <c r="N1928" t="s">
        <v>63</v>
      </c>
      <c r="O1928" s="110">
        <v>39.9</v>
      </c>
      <c r="R1928" s="110">
        <v>209.89</v>
      </c>
      <c r="S1928" s="110">
        <v>39.9</v>
      </c>
      <c r="T1928" s="110">
        <v>0</v>
      </c>
      <c r="U1928" s="110">
        <v>42.99</v>
      </c>
      <c r="X1928">
        <v>82.1</v>
      </c>
      <c r="Y1928">
        <v>44.9</v>
      </c>
      <c r="Z1928">
        <v>44.9</v>
      </c>
      <c r="AA1928">
        <v>0</v>
      </c>
      <c r="AB1928" t="s">
        <v>324</v>
      </c>
      <c r="AF1928" t="s">
        <v>407</v>
      </c>
      <c r="AG1928" t="s">
        <v>407</v>
      </c>
      <c r="AH1928" t="s">
        <v>325</v>
      </c>
      <c r="AI1928">
        <v>99999</v>
      </c>
      <c r="AJ1928">
        <v>99999</v>
      </c>
      <c r="AK1928">
        <v>699</v>
      </c>
      <c r="AL1928" t="b">
        <v>1</v>
      </c>
      <c r="AM1928" t="b">
        <v>1</v>
      </c>
      <c r="AN1928" t="b">
        <v>0</v>
      </c>
      <c r="AO1928">
        <v>99999</v>
      </c>
      <c r="AP1928" t="s">
        <v>64</v>
      </c>
      <c r="AR1928" t="b">
        <v>0</v>
      </c>
      <c r="AS1928">
        <v>12</v>
      </c>
      <c r="AT1928" t="s">
        <v>327</v>
      </c>
      <c r="AV1928" t="s">
        <v>413</v>
      </c>
    </row>
    <row r="1929" spans="1:48" x14ac:dyDescent="0.25">
      <c r="A1929" t="s">
        <v>3323</v>
      </c>
      <c r="B1929" t="s">
        <v>302</v>
      </c>
      <c r="C1929" t="s">
        <v>62</v>
      </c>
      <c r="D1929">
        <v>99999</v>
      </c>
      <c r="F1929" s="109">
        <v>4000</v>
      </c>
      <c r="G1929" t="b">
        <v>0</v>
      </c>
      <c r="H1929" t="s">
        <v>337</v>
      </c>
      <c r="K1929" t="s">
        <v>61</v>
      </c>
      <c r="L1929" t="s">
        <v>303</v>
      </c>
      <c r="M1929" t="s">
        <v>323</v>
      </c>
      <c r="N1929" t="s">
        <v>63</v>
      </c>
      <c r="O1929">
        <v>39.9</v>
      </c>
      <c r="R1929">
        <v>224.89</v>
      </c>
      <c r="S1929">
        <v>39.9</v>
      </c>
      <c r="T1929" s="110">
        <v>0</v>
      </c>
      <c r="U1929">
        <v>42.99</v>
      </c>
      <c r="X1929">
        <v>97.1</v>
      </c>
      <c r="Y1929">
        <v>44.9</v>
      </c>
      <c r="Z1929">
        <v>44.9</v>
      </c>
      <c r="AA1929">
        <v>0</v>
      </c>
      <c r="AB1929" t="s">
        <v>324</v>
      </c>
      <c r="AF1929" t="s">
        <v>541</v>
      </c>
      <c r="AG1929" t="s">
        <v>541</v>
      </c>
      <c r="AH1929" t="s">
        <v>325</v>
      </c>
      <c r="AI1929">
        <v>99999</v>
      </c>
      <c r="AJ1929">
        <v>99999</v>
      </c>
      <c r="AK1929">
        <v>699</v>
      </c>
      <c r="AL1929" t="b">
        <v>1</v>
      </c>
      <c r="AM1929" t="b">
        <v>1</v>
      </c>
      <c r="AN1929" t="b">
        <v>0</v>
      </c>
      <c r="AO1929">
        <v>99999</v>
      </c>
      <c r="AP1929" t="s">
        <v>64</v>
      </c>
      <c r="AR1929" t="b">
        <v>0</v>
      </c>
      <c r="AS1929">
        <v>12</v>
      </c>
      <c r="AT1929" t="s">
        <v>327</v>
      </c>
      <c r="AV1929" t="s">
        <v>547</v>
      </c>
    </row>
    <row r="1930" spans="1:48" x14ac:dyDescent="0.25">
      <c r="A1930" t="s">
        <v>3323</v>
      </c>
      <c r="B1930" t="s">
        <v>302</v>
      </c>
      <c r="C1930" t="s">
        <v>62</v>
      </c>
      <c r="D1930">
        <v>99999</v>
      </c>
      <c r="F1930" s="109">
        <v>4000</v>
      </c>
      <c r="G1930" t="b">
        <v>0</v>
      </c>
      <c r="H1930" t="s">
        <v>337</v>
      </c>
      <c r="K1930" t="s">
        <v>61</v>
      </c>
      <c r="L1930" t="s">
        <v>303</v>
      </c>
      <c r="M1930" t="s">
        <v>323</v>
      </c>
      <c r="N1930" t="s">
        <v>63</v>
      </c>
      <c r="O1930">
        <v>39.9</v>
      </c>
      <c r="R1930">
        <v>239.89</v>
      </c>
      <c r="S1930">
        <v>59.9</v>
      </c>
      <c r="T1930" s="110">
        <v>0</v>
      </c>
      <c r="U1930">
        <v>42.99</v>
      </c>
      <c r="X1930">
        <v>92.1</v>
      </c>
      <c r="Y1930">
        <v>44.9</v>
      </c>
      <c r="Z1930">
        <v>44.9</v>
      </c>
      <c r="AA1930">
        <v>0</v>
      </c>
      <c r="AB1930" t="s">
        <v>324</v>
      </c>
      <c r="AF1930" t="s">
        <v>675</v>
      </c>
      <c r="AG1930" t="s">
        <v>675</v>
      </c>
      <c r="AH1930" t="s">
        <v>325</v>
      </c>
      <c r="AI1930">
        <v>99999</v>
      </c>
      <c r="AJ1930">
        <v>99999</v>
      </c>
      <c r="AK1930">
        <v>699</v>
      </c>
      <c r="AL1930" t="b">
        <v>1</v>
      </c>
      <c r="AM1930" t="b">
        <v>1</v>
      </c>
      <c r="AN1930" t="b">
        <v>0</v>
      </c>
      <c r="AO1930">
        <v>99999</v>
      </c>
      <c r="AP1930" t="s">
        <v>64</v>
      </c>
      <c r="AR1930" t="b">
        <v>0</v>
      </c>
      <c r="AS1930">
        <v>12</v>
      </c>
      <c r="AT1930" t="s">
        <v>327</v>
      </c>
      <c r="AV1930" t="s">
        <v>681</v>
      </c>
    </row>
    <row r="1931" spans="1:48" x14ac:dyDescent="0.25">
      <c r="A1931" t="s">
        <v>3323</v>
      </c>
      <c r="B1931" t="s">
        <v>302</v>
      </c>
      <c r="C1931" t="s">
        <v>62</v>
      </c>
      <c r="D1931">
        <v>99999</v>
      </c>
      <c r="F1931" s="109">
        <v>4000</v>
      </c>
      <c r="G1931" t="b">
        <v>0</v>
      </c>
      <c r="H1931" t="s">
        <v>337</v>
      </c>
      <c r="K1931" t="s">
        <v>61</v>
      </c>
      <c r="L1931" t="s">
        <v>303</v>
      </c>
      <c r="M1931" t="s">
        <v>323</v>
      </c>
      <c r="N1931" t="s">
        <v>63</v>
      </c>
      <c r="O1931" s="110">
        <v>49.9</v>
      </c>
      <c r="R1931" s="110">
        <v>285.68999999999994</v>
      </c>
      <c r="S1931" s="110">
        <v>130</v>
      </c>
      <c r="T1931" s="110">
        <v>0</v>
      </c>
      <c r="U1931" s="110">
        <v>34.99</v>
      </c>
      <c r="X1931">
        <v>75.799999999999983</v>
      </c>
      <c r="Y1931">
        <v>44.9</v>
      </c>
      <c r="Z1931">
        <v>44.9</v>
      </c>
      <c r="AA1931">
        <v>0</v>
      </c>
      <c r="AB1931" t="s">
        <v>324</v>
      </c>
      <c r="AF1931" t="s">
        <v>2185</v>
      </c>
      <c r="AG1931" t="s">
        <v>2185</v>
      </c>
      <c r="AH1931" t="s">
        <v>325</v>
      </c>
      <c r="AI1931">
        <v>99999</v>
      </c>
      <c r="AJ1931">
        <v>99999</v>
      </c>
      <c r="AK1931">
        <v>699</v>
      </c>
      <c r="AL1931" t="b">
        <v>1</v>
      </c>
      <c r="AM1931" t="b">
        <v>1</v>
      </c>
      <c r="AN1931" t="b">
        <v>0</v>
      </c>
      <c r="AO1931">
        <v>99999</v>
      </c>
      <c r="AP1931" t="s">
        <v>64</v>
      </c>
      <c r="AR1931" t="b">
        <v>0</v>
      </c>
      <c r="AS1931">
        <v>12</v>
      </c>
      <c r="AT1931" t="s">
        <v>327</v>
      </c>
      <c r="AV1931" t="s">
        <v>2191</v>
      </c>
    </row>
    <row r="1932" spans="1:48" x14ac:dyDescent="0.25">
      <c r="A1932" t="s">
        <v>3323</v>
      </c>
      <c r="B1932" t="s">
        <v>302</v>
      </c>
      <c r="C1932" t="s">
        <v>62</v>
      </c>
      <c r="D1932">
        <v>99999</v>
      </c>
      <c r="F1932" s="109">
        <v>4000</v>
      </c>
      <c r="G1932" t="b">
        <v>0</v>
      </c>
      <c r="H1932" t="s">
        <v>337</v>
      </c>
      <c r="K1932" t="s">
        <v>61</v>
      </c>
      <c r="L1932" t="s">
        <v>303</v>
      </c>
      <c r="M1932" t="s">
        <v>323</v>
      </c>
      <c r="N1932" t="s">
        <v>63</v>
      </c>
      <c r="O1932" s="110">
        <v>49.9</v>
      </c>
      <c r="R1932" s="110">
        <v>299.99</v>
      </c>
      <c r="S1932" s="110">
        <v>130</v>
      </c>
      <c r="T1932" s="110">
        <v>0</v>
      </c>
      <c r="U1932" s="110">
        <v>42.99</v>
      </c>
      <c r="X1932">
        <v>82.1</v>
      </c>
      <c r="Y1932">
        <v>44.9</v>
      </c>
      <c r="Z1932">
        <v>44.9</v>
      </c>
      <c r="AA1932">
        <v>0</v>
      </c>
      <c r="AB1932" t="s">
        <v>324</v>
      </c>
      <c r="AF1932" t="s">
        <v>2259</v>
      </c>
      <c r="AG1932" t="s">
        <v>2259</v>
      </c>
      <c r="AH1932" t="s">
        <v>325</v>
      </c>
      <c r="AI1932">
        <v>99999</v>
      </c>
      <c r="AJ1932">
        <v>99999</v>
      </c>
      <c r="AK1932">
        <v>699</v>
      </c>
      <c r="AL1932" t="b">
        <v>1</v>
      </c>
      <c r="AM1932" t="b">
        <v>1</v>
      </c>
      <c r="AN1932" t="b">
        <v>0</v>
      </c>
      <c r="AO1932">
        <v>99999</v>
      </c>
      <c r="AP1932" t="s">
        <v>64</v>
      </c>
      <c r="AR1932" t="b">
        <v>0</v>
      </c>
      <c r="AS1932">
        <v>12</v>
      </c>
      <c r="AT1932" t="s">
        <v>327</v>
      </c>
      <c r="AV1932" t="s">
        <v>2265</v>
      </c>
    </row>
    <row r="1933" spans="1:48" x14ac:dyDescent="0.25">
      <c r="A1933" t="s">
        <v>3323</v>
      </c>
      <c r="B1933" t="s">
        <v>302</v>
      </c>
      <c r="C1933" t="s">
        <v>62</v>
      </c>
      <c r="D1933">
        <v>99999</v>
      </c>
      <c r="F1933" s="109">
        <v>4000</v>
      </c>
      <c r="G1933" t="b">
        <v>0</v>
      </c>
      <c r="H1933" t="s">
        <v>337</v>
      </c>
      <c r="K1933" t="s">
        <v>61</v>
      </c>
      <c r="L1933" t="s">
        <v>303</v>
      </c>
      <c r="M1933" t="s">
        <v>323</v>
      </c>
      <c r="N1933" t="s">
        <v>63</v>
      </c>
      <c r="O1933" s="110">
        <v>49.9</v>
      </c>
      <c r="R1933" s="110">
        <v>314.99</v>
      </c>
      <c r="S1933" s="110">
        <v>130</v>
      </c>
      <c r="T1933" s="110">
        <v>0</v>
      </c>
      <c r="U1933" s="110">
        <v>42.99</v>
      </c>
      <c r="X1933">
        <v>97.1</v>
      </c>
      <c r="Y1933">
        <v>44.9</v>
      </c>
      <c r="Z1933">
        <v>44.9</v>
      </c>
      <c r="AA1933">
        <v>0</v>
      </c>
      <c r="AB1933" t="s">
        <v>324</v>
      </c>
      <c r="AF1933" t="s">
        <v>2326</v>
      </c>
      <c r="AG1933" t="s">
        <v>2326</v>
      </c>
      <c r="AH1933" t="s">
        <v>325</v>
      </c>
      <c r="AI1933">
        <v>99999</v>
      </c>
      <c r="AJ1933">
        <v>99999</v>
      </c>
      <c r="AK1933">
        <v>699</v>
      </c>
      <c r="AL1933" t="b">
        <v>1</v>
      </c>
      <c r="AM1933" t="b">
        <v>1</v>
      </c>
      <c r="AN1933" t="b">
        <v>0</v>
      </c>
      <c r="AO1933">
        <v>99999</v>
      </c>
      <c r="AP1933" t="s">
        <v>64</v>
      </c>
      <c r="AR1933" t="b">
        <v>0</v>
      </c>
      <c r="AS1933">
        <v>12</v>
      </c>
      <c r="AT1933" t="s">
        <v>327</v>
      </c>
      <c r="AV1933" t="s">
        <v>2332</v>
      </c>
    </row>
    <row r="1934" spans="1:48" x14ac:dyDescent="0.25">
      <c r="A1934" t="s">
        <v>3323</v>
      </c>
      <c r="B1934" t="s">
        <v>302</v>
      </c>
      <c r="C1934" t="s">
        <v>62</v>
      </c>
      <c r="D1934">
        <v>99999</v>
      </c>
      <c r="F1934" s="109">
        <v>4000</v>
      </c>
      <c r="G1934" t="b">
        <v>0</v>
      </c>
      <c r="H1934" t="s">
        <v>337</v>
      </c>
      <c r="K1934" t="s">
        <v>61</v>
      </c>
      <c r="L1934" t="s">
        <v>303</v>
      </c>
      <c r="M1934" t="s">
        <v>323</v>
      </c>
      <c r="N1934" t="s">
        <v>63</v>
      </c>
      <c r="O1934" s="110">
        <v>49.9</v>
      </c>
      <c r="R1934" s="110">
        <v>309.99</v>
      </c>
      <c r="S1934" s="110">
        <v>130</v>
      </c>
      <c r="T1934" s="110">
        <v>0</v>
      </c>
      <c r="U1934" s="110">
        <v>42.99</v>
      </c>
      <c r="X1934">
        <v>92.1</v>
      </c>
      <c r="Y1934">
        <v>44.9</v>
      </c>
      <c r="Z1934">
        <v>44.9</v>
      </c>
      <c r="AA1934">
        <v>0</v>
      </c>
      <c r="AB1934" t="s">
        <v>324</v>
      </c>
      <c r="AF1934" t="s">
        <v>2393</v>
      </c>
      <c r="AG1934" t="s">
        <v>2393</v>
      </c>
      <c r="AH1934" t="s">
        <v>325</v>
      </c>
      <c r="AI1934">
        <v>99999</v>
      </c>
      <c r="AJ1934">
        <v>99999</v>
      </c>
      <c r="AK1934">
        <v>699</v>
      </c>
      <c r="AL1934" t="b">
        <v>1</v>
      </c>
      <c r="AM1934" t="b">
        <v>1</v>
      </c>
      <c r="AN1934" t="b">
        <v>0</v>
      </c>
      <c r="AO1934">
        <v>99999</v>
      </c>
      <c r="AP1934" t="s">
        <v>64</v>
      </c>
      <c r="AR1934" t="b">
        <v>0</v>
      </c>
      <c r="AS1934">
        <v>12</v>
      </c>
      <c r="AT1934" t="s">
        <v>327</v>
      </c>
      <c r="AV1934" t="s">
        <v>2399</v>
      </c>
    </row>
    <row r="1935" spans="1:48" x14ac:dyDescent="0.25">
      <c r="A1935" t="s">
        <v>3323</v>
      </c>
      <c r="B1935" t="s">
        <v>302</v>
      </c>
      <c r="C1935" t="s">
        <v>62</v>
      </c>
      <c r="D1935">
        <v>99999</v>
      </c>
      <c r="F1935" s="109">
        <v>4000</v>
      </c>
      <c r="G1935" t="b">
        <v>0</v>
      </c>
      <c r="H1935" t="s">
        <v>341</v>
      </c>
      <c r="K1935" t="s">
        <v>349</v>
      </c>
      <c r="L1935" t="s">
        <v>303</v>
      </c>
      <c r="M1935" t="s">
        <v>323</v>
      </c>
      <c r="N1935" t="s">
        <v>63</v>
      </c>
      <c r="O1935">
        <v>29.9</v>
      </c>
      <c r="R1935">
        <v>254.89</v>
      </c>
      <c r="S1935">
        <v>39.9</v>
      </c>
      <c r="T1935" s="110">
        <v>0</v>
      </c>
      <c r="U1935">
        <v>42.99</v>
      </c>
      <c r="X1935">
        <v>127.1</v>
      </c>
      <c r="Y1935">
        <v>44.9</v>
      </c>
      <c r="Z1935">
        <v>44.9</v>
      </c>
      <c r="AA1935">
        <v>0</v>
      </c>
      <c r="AB1935" t="s">
        <v>324</v>
      </c>
      <c r="AF1935" t="s">
        <v>326</v>
      </c>
      <c r="AG1935" t="s">
        <v>326</v>
      </c>
      <c r="AH1935" t="s">
        <v>325</v>
      </c>
      <c r="AI1935">
        <v>99999</v>
      </c>
      <c r="AJ1935">
        <v>99999</v>
      </c>
      <c r="AK1935">
        <v>699</v>
      </c>
      <c r="AL1935" t="b">
        <v>1</v>
      </c>
      <c r="AM1935" t="b">
        <v>1</v>
      </c>
      <c r="AN1935" t="b">
        <v>0</v>
      </c>
      <c r="AO1935">
        <v>99999</v>
      </c>
      <c r="AP1935" t="s">
        <v>64</v>
      </c>
      <c r="AR1935" t="b">
        <v>0</v>
      </c>
      <c r="AS1935">
        <v>12</v>
      </c>
      <c r="AT1935" t="s">
        <v>327</v>
      </c>
      <c r="AV1935" t="s">
        <v>357</v>
      </c>
    </row>
    <row r="1936" spans="1:48" x14ac:dyDescent="0.25">
      <c r="A1936" t="s">
        <v>3323</v>
      </c>
      <c r="B1936" t="s">
        <v>302</v>
      </c>
      <c r="C1936" t="s">
        <v>62</v>
      </c>
      <c r="D1936">
        <v>99999</v>
      </c>
      <c r="F1936" s="109">
        <v>4000</v>
      </c>
      <c r="G1936" t="b">
        <v>0</v>
      </c>
      <c r="H1936" t="s">
        <v>341</v>
      </c>
      <c r="K1936" t="s">
        <v>349</v>
      </c>
      <c r="L1936" t="s">
        <v>303</v>
      </c>
      <c r="M1936" t="s">
        <v>323</v>
      </c>
      <c r="N1936" t="s">
        <v>63</v>
      </c>
      <c r="O1936">
        <v>29.9</v>
      </c>
      <c r="R1936">
        <v>269.89</v>
      </c>
      <c r="S1936">
        <v>39.9</v>
      </c>
      <c r="T1936" s="110">
        <v>0</v>
      </c>
      <c r="U1936">
        <v>42.99</v>
      </c>
      <c r="X1936">
        <v>142.1</v>
      </c>
      <c r="Y1936">
        <v>44.9</v>
      </c>
      <c r="Z1936">
        <v>44.9</v>
      </c>
      <c r="AA1936">
        <v>0</v>
      </c>
      <c r="AB1936" t="s">
        <v>324</v>
      </c>
      <c r="AF1936" t="s">
        <v>474</v>
      </c>
      <c r="AG1936" t="s">
        <v>474</v>
      </c>
      <c r="AH1936" t="s">
        <v>325</v>
      </c>
      <c r="AI1936">
        <v>99999</v>
      </c>
      <c r="AJ1936">
        <v>99999</v>
      </c>
      <c r="AK1936">
        <v>699</v>
      </c>
      <c r="AL1936" t="b">
        <v>1</v>
      </c>
      <c r="AM1936" t="b">
        <v>1</v>
      </c>
      <c r="AN1936" t="b">
        <v>0</v>
      </c>
      <c r="AO1936">
        <v>99999</v>
      </c>
      <c r="AP1936" t="s">
        <v>64</v>
      </c>
      <c r="AR1936" t="b">
        <v>0</v>
      </c>
      <c r="AS1936">
        <v>12</v>
      </c>
      <c r="AT1936" t="s">
        <v>327</v>
      </c>
      <c r="AV1936" t="s">
        <v>495</v>
      </c>
    </row>
    <row r="1937" spans="1:48" x14ac:dyDescent="0.25">
      <c r="A1937" t="s">
        <v>3323</v>
      </c>
      <c r="B1937" t="s">
        <v>302</v>
      </c>
      <c r="C1937" t="s">
        <v>62</v>
      </c>
      <c r="D1937">
        <v>99999</v>
      </c>
      <c r="F1937" s="109">
        <v>4000</v>
      </c>
      <c r="G1937" t="b">
        <v>0</v>
      </c>
      <c r="H1937" t="s">
        <v>341</v>
      </c>
      <c r="K1937" t="s">
        <v>349</v>
      </c>
      <c r="L1937" t="s">
        <v>303</v>
      </c>
      <c r="M1937" t="s">
        <v>323</v>
      </c>
      <c r="N1937" t="s">
        <v>63</v>
      </c>
      <c r="O1937">
        <v>29.9</v>
      </c>
      <c r="R1937">
        <v>284.89</v>
      </c>
      <c r="S1937">
        <v>59.9</v>
      </c>
      <c r="T1937" s="110">
        <v>0</v>
      </c>
      <c r="U1937">
        <v>42.99</v>
      </c>
      <c r="X1937">
        <v>137.1</v>
      </c>
      <c r="Y1937">
        <v>44.9</v>
      </c>
      <c r="Z1937">
        <v>44.9</v>
      </c>
      <c r="AA1937">
        <v>0</v>
      </c>
      <c r="AB1937" t="s">
        <v>324</v>
      </c>
      <c r="AF1937" t="s">
        <v>608</v>
      </c>
      <c r="AG1937" t="s">
        <v>608</v>
      </c>
      <c r="AH1937" t="s">
        <v>325</v>
      </c>
      <c r="AI1937">
        <v>99999</v>
      </c>
      <c r="AJ1937">
        <v>99999</v>
      </c>
      <c r="AK1937">
        <v>699</v>
      </c>
      <c r="AL1937" t="b">
        <v>1</v>
      </c>
      <c r="AM1937" t="b">
        <v>1</v>
      </c>
      <c r="AN1937" t="b">
        <v>0</v>
      </c>
      <c r="AO1937">
        <v>99999</v>
      </c>
      <c r="AP1937" t="s">
        <v>64</v>
      </c>
      <c r="AR1937" t="b">
        <v>0</v>
      </c>
      <c r="AS1937">
        <v>12</v>
      </c>
      <c r="AT1937" t="s">
        <v>327</v>
      </c>
      <c r="AV1937" t="s">
        <v>629</v>
      </c>
    </row>
    <row r="1938" spans="1:48" x14ac:dyDescent="0.25">
      <c r="A1938" t="s">
        <v>3323</v>
      </c>
      <c r="B1938" t="s">
        <v>302</v>
      </c>
      <c r="C1938" t="s">
        <v>62</v>
      </c>
      <c r="D1938">
        <v>99999</v>
      </c>
      <c r="F1938" s="109">
        <v>4000</v>
      </c>
      <c r="G1938" t="b">
        <v>0</v>
      </c>
      <c r="H1938" t="s">
        <v>341</v>
      </c>
      <c r="K1938" t="s">
        <v>349</v>
      </c>
      <c r="L1938" t="s">
        <v>303</v>
      </c>
      <c r="M1938" t="s">
        <v>323</v>
      </c>
      <c r="N1938" t="s">
        <v>63</v>
      </c>
      <c r="O1938" s="110">
        <v>39.9</v>
      </c>
      <c r="R1938" s="110">
        <v>254.89</v>
      </c>
      <c r="S1938" s="110">
        <v>39.9</v>
      </c>
      <c r="T1938" s="110">
        <v>0</v>
      </c>
      <c r="U1938" s="110">
        <v>42.99</v>
      </c>
      <c r="X1938">
        <v>127.1</v>
      </c>
      <c r="Y1938">
        <v>44.9</v>
      </c>
      <c r="Z1938">
        <v>44.9</v>
      </c>
      <c r="AA1938">
        <v>0</v>
      </c>
      <c r="AB1938" t="s">
        <v>324</v>
      </c>
      <c r="AF1938" t="s">
        <v>407</v>
      </c>
      <c r="AG1938" t="s">
        <v>407</v>
      </c>
      <c r="AH1938" t="s">
        <v>325</v>
      </c>
      <c r="AI1938">
        <v>99999</v>
      </c>
      <c r="AJ1938">
        <v>99999</v>
      </c>
      <c r="AK1938">
        <v>699</v>
      </c>
      <c r="AL1938" t="b">
        <v>1</v>
      </c>
      <c r="AM1938" t="b">
        <v>1</v>
      </c>
      <c r="AN1938" t="b">
        <v>0</v>
      </c>
      <c r="AO1938">
        <v>99999</v>
      </c>
      <c r="AP1938" t="s">
        <v>64</v>
      </c>
      <c r="AR1938" t="b">
        <v>0</v>
      </c>
      <c r="AS1938">
        <v>12</v>
      </c>
      <c r="AT1938" t="s">
        <v>327</v>
      </c>
      <c r="AV1938" t="s">
        <v>428</v>
      </c>
    </row>
    <row r="1939" spans="1:48" x14ac:dyDescent="0.25">
      <c r="A1939" t="s">
        <v>3323</v>
      </c>
      <c r="B1939" t="s">
        <v>302</v>
      </c>
      <c r="C1939" t="s">
        <v>62</v>
      </c>
      <c r="D1939">
        <v>99999</v>
      </c>
      <c r="F1939" s="109">
        <v>4000</v>
      </c>
      <c r="G1939" t="b">
        <v>0</v>
      </c>
      <c r="H1939" t="s">
        <v>341</v>
      </c>
      <c r="K1939" t="s">
        <v>349</v>
      </c>
      <c r="L1939" t="s">
        <v>303</v>
      </c>
      <c r="M1939" t="s">
        <v>323</v>
      </c>
      <c r="N1939" t="s">
        <v>63</v>
      </c>
      <c r="O1939">
        <v>39.9</v>
      </c>
      <c r="R1939">
        <v>269.89</v>
      </c>
      <c r="S1939">
        <v>39.9</v>
      </c>
      <c r="T1939" s="110">
        <v>0</v>
      </c>
      <c r="U1939">
        <v>42.99</v>
      </c>
      <c r="X1939">
        <v>142.1</v>
      </c>
      <c r="Y1939">
        <v>44.9</v>
      </c>
      <c r="Z1939">
        <v>44.9</v>
      </c>
      <c r="AA1939">
        <v>0</v>
      </c>
      <c r="AB1939" t="s">
        <v>324</v>
      </c>
      <c r="AF1939" t="s">
        <v>541</v>
      </c>
      <c r="AG1939" t="s">
        <v>541</v>
      </c>
      <c r="AH1939" t="s">
        <v>325</v>
      </c>
      <c r="AI1939">
        <v>99999</v>
      </c>
      <c r="AJ1939">
        <v>99999</v>
      </c>
      <c r="AK1939">
        <v>699</v>
      </c>
      <c r="AL1939" t="b">
        <v>1</v>
      </c>
      <c r="AM1939" t="b">
        <v>1</v>
      </c>
      <c r="AN1939" t="b">
        <v>0</v>
      </c>
      <c r="AO1939">
        <v>99999</v>
      </c>
      <c r="AP1939" t="s">
        <v>64</v>
      </c>
      <c r="AR1939" t="b">
        <v>0</v>
      </c>
      <c r="AS1939">
        <v>12</v>
      </c>
      <c r="AT1939" t="s">
        <v>327</v>
      </c>
      <c r="AV1939" t="s">
        <v>562</v>
      </c>
    </row>
    <row r="1940" spans="1:48" x14ac:dyDescent="0.25">
      <c r="A1940" t="s">
        <v>3323</v>
      </c>
      <c r="B1940" t="s">
        <v>302</v>
      </c>
      <c r="C1940" t="s">
        <v>62</v>
      </c>
      <c r="D1940">
        <v>99999</v>
      </c>
      <c r="F1940" s="109">
        <v>4000</v>
      </c>
      <c r="G1940" t="b">
        <v>0</v>
      </c>
      <c r="H1940" t="s">
        <v>341</v>
      </c>
      <c r="K1940" t="s">
        <v>349</v>
      </c>
      <c r="L1940" t="s">
        <v>303</v>
      </c>
      <c r="M1940" t="s">
        <v>323</v>
      </c>
      <c r="N1940" t="s">
        <v>63</v>
      </c>
      <c r="O1940">
        <v>39.9</v>
      </c>
      <c r="R1940">
        <v>284.89</v>
      </c>
      <c r="S1940">
        <v>59.9</v>
      </c>
      <c r="T1940" s="110">
        <v>0</v>
      </c>
      <c r="U1940">
        <v>42.99</v>
      </c>
      <c r="X1940">
        <v>137.1</v>
      </c>
      <c r="Y1940">
        <v>44.9</v>
      </c>
      <c r="Z1940">
        <v>44.9</v>
      </c>
      <c r="AA1940">
        <v>0</v>
      </c>
      <c r="AB1940" t="s">
        <v>324</v>
      </c>
      <c r="AF1940" t="s">
        <v>675</v>
      </c>
      <c r="AG1940" t="s">
        <v>675</v>
      </c>
      <c r="AH1940" t="s">
        <v>325</v>
      </c>
      <c r="AI1940">
        <v>99999</v>
      </c>
      <c r="AJ1940">
        <v>99999</v>
      </c>
      <c r="AK1940">
        <v>699</v>
      </c>
      <c r="AL1940" t="b">
        <v>1</v>
      </c>
      <c r="AM1940" t="b">
        <v>1</v>
      </c>
      <c r="AN1940" t="b">
        <v>0</v>
      </c>
      <c r="AO1940">
        <v>99999</v>
      </c>
      <c r="AP1940" t="s">
        <v>64</v>
      </c>
      <c r="AR1940" t="b">
        <v>0</v>
      </c>
      <c r="AS1940">
        <v>12</v>
      </c>
      <c r="AT1940" t="s">
        <v>327</v>
      </c>
      <c r="AV1940" t="s">
        <v>696</v>
      </c>
    </row>
    <row r="1941" spans="1:48" x14ac:dyDescent="0.25">
      <c r="A1941" t="s">
        <v>3323</v>
      </c>
      <c r="B1941" t="s">
        <v>302</v>
      </c>
      <c r="C1941" t="s">
        <v>62</v>
      </c>
      <c r="D1941">
        <v>99999</v>
      </c>
      <c r="F1941" s="109">
        <v>4000</v>
      </c>
      <c r="G1941" t="b">
        <v>0</v>
      </c>
      <c r="H1941" t="s">
        <v>341</v>
      </c>
      <c r="K1941" t="s">
        <v>349</v>
      </c>
      <c r="L1941" t="s">
        <v>303</v>
      </c>
      <c r="M1941" t="s">
        <v>323</v>
      </c>
      <c r="N1941" t="s">
        <v>63</v>
      </c>
      <c r="O1941" s="110">
        <v>49.9</v>
      </c>
      <c r="R1941" s="110">
        <v>330.68999999999994</v>
      </c>
      <c r="S1941" s="110">
        <v>130</v>
      </c>
      <c r="T1941" s="110">
        <v>0</v>
      </c>
      <c r="U1941" s="110">
        <v>34.99</v>
      </c>
      <c r="X1941">
        <v>120.79999999999998</v>
      </c>
      <c r="Y1941">
        <v>44.9</v>
      </c>
      <c r="Z1941">
        <v>44.9</v>
      </c>
      <c r="AA1941">
        <v>0</v>
      </c>
      <c r="AB1941" t="s">
        <v>324</v>
      </c>
      <c r="AF1941" t="s">
        <v>2185</v>
      </c>
      <c r="AG1941" t="s">
        <v>2185</v>
      </c>
      <c r="AH1941" t="s">
        <v>325</v>
      </c>
      <c r="AI1941">
        <v>99999</v>
      </c>
      <c r="AJ1941">
        <v>99999</v>
      </c>
      <c r="AK1941">
        <v>699</v>
      </c>
      <c r="AL1941" t="b">
        <v>1</v>
      </c>
      <c r="AM1941" t="b">
        <v>1</v>
      </c>
      <c r="AN1941" t="b">
        <v>0</v>
      </c>
      <c r="AO1941">
        <v>99999</v>
      </c>
      <c r="AP1941" t="s">
        <v>64</v>
      </c>
      <c r="AR1941" t="b">
        <v>0</v>
      </c>
      <c r="AS1941">
        <v>12</v>
      </c>
      <c r="AT1941" t="s">
        <v>327</v>
      </c>
      <c r="AV1941" t="s">
        <v>2206</v>
      </c>
    </row>
    <row r="1942" spans="1:48" x14ac:dyDescent="0.25">
      <c r="A1942" t="s">
        <v>3323</v>
      </c>
      <c r="B1942" t="s">
        <v>302</v>
      </c>
      <c r="C1942" t="s">
        <v>62</v>
      </c>
      <c r="D1942">
        <v>99999</v>
      </c>
      <c r="F1942" s="109">
        <v>4000</v>
      </c>
      <c r="G1942" t="b">
        <v>0</v>
      </c>
      <c r="H1942" t="s">
        <v>341</v>
      </c>
      <c r="K1942" t="s">
        <v>349</v>
      </c>
      <c r="L1942" t="s">
        <v>303</v>
      </c>
      <c r="M1942" t="s">
        <v>323</v>
      </c>
      <c r="N1942" t="s">
        <v>63</v>
      </c>
      <c r="O1942" s="110">
        <v>49.9</v>
      </c>
      <c r="R1942" s="110">
        <v>344.99</v>
      </c>
      <c r="S1942" s="110">
        <v>130</v>
      </c>
      <c r="T1942" s="110">
        <v>0</v>
      </c>
      <c r="U1942" s="110">
        <v>42.99</v>
      </c>
      <c r="X1942">
        <v>127.1</v>
      </c>
      <c r="Y1942">
        <v>44.9</v>
      </c>
      <c r="Z1942">
        <v>44.9</v>
      </c>
      <c r="AA1942">
        <v>0</v>
      </c>
      <c r="AB1942" t="s">
        <v>324</v>
      </c>
      <c r="AF1942" t="s">
        <v>2259</v>
      </c>
      <c r="AG1942" t="s">
        <v>2259</v>
      </c>
      <c r="AH1942" t="s">
        <v>325</v>
      </c>
      <c r="AI1942">
        <v>99999</v>
      </c>
      <c r="AJ1942">
        <v>99999</v>
      </c>
      <c r="AK1942">
        <v>699</v>
      </c>
      <c r="AL1942" t="b">
        <v>1</v>
      </c>
      <c r="AM1942" t="b">
        <v>1</v>
      </c>
      <c r="AN1942" t="b">
        <v>0</v>
      </c>
      <c r="AO1942">
        <v>99999</v>
      </c>
      <c r="AP1942" t="s">
        <v>64</v>
      </c>
      <c r="AR1942" t="b">
        <v>0</v>
      </c>
      <c r="AS1942">
        <v>12</v>
      </c>
      <c r="AT1942" t="s">
        <v>327</v>
      </c>
      <c r="AV1942" t="s">
        <v>2280</v>
      </c>
    </row>
    <row r="1943" spans="1:48" x14ac:dyDescent="0.25">
      <c r="A1943" t="s">
        <v>3323</v>
      </c>
      <c r="B1943" t="s">
        <v>302</v>
      </c>
      <c r="C1943" t="s">
        <v>62</v>
      </c>
      <c r="D1943">
        <v>99999</v>
      </c>
      <c r="F1943" s="109">
        <v>4000</v>
      </c>
      <c r="G1943" t="b">
        <v>0</v>
      </c>
      <c r="H1943" t="s">
        <v>341</v>
      </c>
      <c r="K1943" t="s">
        <v>349</v>
      </c>
      <c r="L1943" t="s">
        <v>303</v>
      </c>
      <c r="M1943" t="s">
        <v>323</v>
      </c>
      <c r="N1943" t="s">
        <v>63</v>
      </c>
      <c r="O1943" s="110">
        <v>49.9</v>
      </c>
      <c r="R1943" s="110">
        <v>359.99</v>
      </c>
      <c r="S1943" s="110">
        <v>130</v>
      </c>
      <c r="T1943" s="110">
        <v>0</v>
      </c>
      <c r="U1943" s="110">
        <v>42.99</v>
      </c>
      <c r="X1943">
        <v>142.1</v>
      </c>
      <c r="Y1943">
        <v>44.9</v>
      </c>
      <c r="Z1943">
        <v>44.9</v>
      </c>
      <c r="AA1943">
        <v>0</v>
      </c>
      <c r="AB1943" t="s">
        <v>324</v>
      </c>
      <c r="AF1943" t="s">
        <v>2326</v>
      </c>
      <c r="AG1943" t="s">
        <v>2326</v>
      </c>
      <c r="AH1943" t="s">
        <v>325</v>
      </c>
      <c r="AI1943">
        <v>99999</v>
      </c>
      <c r="AJ1943">
        <v>99999</v>
      </c>
      <c r="AK1943">
        <v>699</v>
      </c>
      <c r="AL1943" t="b">
        <v>1</v>
      </c>
      <c r="AM1943" t="b">
        <v>1</v>
      </c>
      <c r="AN1943" t="b">
        <v>0</v>
      </c>
      <c r="AO1943">
        <v>99999</v>
      </c>
      <c r="AP1943" t="s">
        <v>64</v>
      </c>
      <c r="AR1943" t="b">
        <v>0</v>
      </c>
      <c r="AS1943">
        <v>12</v>
      </c>
      <c r="AT1943" t="s">
        <v>327</v>
      </c>
      <c r="AV1943" t="s">
        <v>2347</v>
      </c>
    </row>
    <row r="1944" spans="1:48" x14ac:dyDescent="0.25">
      <c r="A1944" t="s">
        <v>3323</v>
      </c>
      <c r="B1944" t="s">
        <v>302</v>
      </c>
      <c r="C1944" t="s">
        <v>62</v>
      </c>
      <c r="D1944">
        <v>99999</v>
      </c>
      <c r="F1944" s="109">
        <v>4000</v>
      </c>
      <c r="G1944" t="b">
        <v>0</v>
      </c>
      <c r="H1944" t="s">
        <v>341</v>
      </c>
      <c r="K1944" t="s">
        <v>349</v>
      </c>
      <c r="L1944" t="s">
        <v>303</v>
      </c>
      <c r="M1944" t="s">
        <v>323</v>
      </c>
      <c r="N1944" t="s">
        <v>63</v>
      </c>
      <c r="O1944" s="110">
        <v>49.9</v>
      </c>
      <c r="R1944" s="110">
        <v>354.99</v>
      </c>
      <c r="S1944" s="110">
        <v>130</v>
      </c>
      <c r="T1944" s="110">
        <v>0</v>
      </c>
      <c r="U1944" s="110">
        <v>42.99</v>
      </c>
      <c r="X1944">
        <v>137.1</v>
      </c>
      <c r="Y1944">
        <v>44.9</v>
      </c>
      <c r="Z1944">
        <v>44.9</v>
      </c>
      <c r="AA1944">
        <v>0</v>
      </c>
      <c r="AB1944" t="s">
        <v>324</v>
      </c>
      <c r="AF1944" t="s">
        <v>2393</v>
      </c>
      <c r="AG1944" t="s">
        <v>2393</v>
      </c>
      <c r="AH1944" t="s">
        <v>325</v>
      </c>
      <c r="AI1944">
        <v>99999</v>
      </c>
      <c r="AJ1944">
        <v>99999</v>
      </c>
      <c r="AK1944">
        <v>699</v>
      </c>
      <c r="AL1944" t="b">
        <v>1</v>
      </c>
      <c r="AM1944" t="b">
        <v>1</v>
      </c>
      <c r="AN1944" t="b">
        <v>0</v>
      </c>
      <c r="AO1944">
        <v>99999</v>
      </c>
      <c r="AP1944" t="s">
        <v>64</v>
      </c>
      <c r="AR1944" t="b">
        <v>0</v>
      </c>
      <c r="AS1944">
        <v>12</v>
      </c>
      <c r="AT1944" t="s">
        <v>327</v>
      </c>
      <c r="AV1944" t="s">
        <v>2414</v>
      </c>
    </row>
    <row r="1945" spans="1:48" x14ac:dyDescent="0.25">
      <c r="A1945" t="s">
        <v>3323</v>
      </c>
      <c r="B1945" t="s">
        <v>302</v>
      </c>
      <c r="C1945" t="s">
        <v>62</v>
      </c>
      <c r="D1945">
        <v>99999</v>
      </c>
      <c r="F1945" s="109">
        <v>4000</v>
      </c>
      <c r="G1945" t="b">
        <v>0</v>
      </c>
      <c r="H1945" t="s">
        <v>341</v>
      </c>
      <c r="K1945" t="s">
        <v>393</v>
      </c>
      <c r="L1945" t="s">
        <v>303</v>
      </c>
      <c r="M1945" t="s">
        <v>323</v>
      </c>
      <c r="N1945" t="s">
        <v>63</v>
      </c>
      <c r="O1945">
        <v>29.9</v>
      </c>
      <c r="R1945">
        <v>279.89</v>
      </c>
      <c r="S1945">
        <v>39.9</v>
      </c>
      <c r="T1945" s="110">
        <v>0</v>
      </c>
      <c r="U1945">
        <v>42.99</v>
      </c>
      <c r="X1945">
        <v>127.1</v>
      </c>
      <c r="Y1945">
        <v>69.900000000000006</v>
      </c>
      <c r="Z1945">
        <v>69.900000000000006</v>
      </c>
      <c r="AA1945">
        <v>0</v>
      </c>
      <c r="AB1945" t="s">
        <v>363</v>
      </c>
      <c r="AF1945" t="s">
        <v>365</v>
      </c>
      <c r="AG1945" t="s">
        <v>365</v>
      </c>
      <c r="AH1945" t="s">
        <v>325</v>
      </c>
      <c r="AI1945">
        <v>99999</v>
      </c>
      <c r="AJ1945">
        <v>99999</v>
      </c>
      <c r="AK1945">
        <v>699</v>
      </c>
      <c r="AL1945" t="b">
        <v>1</v>
      </c>
      <c r="AM1945" t="b">
        <v>1</v>
      </c>
      <c r="AN1945" t="b">
        <v>0</v>
      </c>
      <c r="AO1945">
        <v>99999</v>
      </c>
      <c r="AP1945" t="s">
        <v>64</v>
      </c>
      <c r="AR1945" t="b">
        <v>0</v>
      </c>
      <c r="AS1945">
        <v>12</v>
      </c>
      <c r="AT1945" t="s">
        <v>327</v>
      </c>
      <c r="AV1945" t="s">
        <v>401</v>
      </c>
    </row>
    <row r="1946" spans="1:48" x14ac:dyDescent="0.25">
      <c r="A1946" t="s">
        <v>3323</v>
      </c>
      <c r="B1946" t="s">
        <v>302</v>
      </c>
      <c r="C1946" t="s">
        <v>62</v>
      </c>
      <c r="D1946">
        <v>99999</v>
      </c>
      <c r="F1946" s="109">
        <v>4000</v>
      </c>
      <c r="G1946" t="b">
        <v>0</v>
      </c>
      <c r="H1946" t="s">
        <v>341</v>
      </c>
      <c r="K1946" t="s">
        <v>393</v>
      </c>
      <c r="L1946" t="s">
        <v>303</v>
      </c>
      <c r="M1946" t="s">
        <v>323</v>
      </c>
      <c r="N1946" t="s">
        <v>63</v>
      </c>
      <c r="O1946">
        <v>29.9</v>
      </c>
      <c r="R1946">
        <v>294.89</v>
      </c>
      <c r="S1946">
        <v>39.9</v>
      </c>
      <c r="T1946" s="110">
        <v>0</v>
      </c>
      <c r="U1946">
        <v>42.99</v>
      </c>
      <c r="X1946">
        <v>142.1</v>
      </c>
      <c r="Y1946">
        <v>69.900000000000006</v>
      </c>
      <c r="Z1946">
        <v>69.900000000000006</v>
      </c>
      <c r="AA1946">
        <v>0</v>
      </c>
      <c r="AB1946" t="s">
        <v>363</v>
      </c>
      <c r="AF1946" t="s">
        <v>501</v>
      </c>
      <c r="AG1946" t="s">
        <v>501</v>
      </c>
      <c r="AH1946" t="s">
        <v>325</v>
      </c>
      <c r="AI1946">
        <v>99999</v>
      </c>
      <c r="AJ1946">
        <v>99999</v>
      </c>
      <c r="AK1946">
        <v>699</v>
      </c>
      <c r="AL1946" t="b">
        <v>1</v>
      </c>
      <c r="AM1946" t="b">
        <v>1</v>
      </c>
      <c r="AN1946" t="b">
        <v>0</v>
      </c>
      <c r="AO1946">
        <v>99999</v>
      </c>
      <c r="AP1946" t="s">
        <v>64</v>
      </c>
      <c r="AR1946" t="b">
        <v>0</v>
      </c>
      <c r="AS1946">
        <v>12</v>
      </c>
      <c r="AT1946" t="s">
        <v>327</v>
      </c>
      <c r="AV1946" t="s">
        <v>535</v>
      </c>
    </row>
    <row r="1947" spans="1:48" x14ac:dyDescent="0.25">
      <c r="A1947" t="s">
        <v>3323</v>
      </c>
      <c r="B1947" t="s">
        <v>302</v>
      </c>
      <c r="C1947" t="s">
        <v>62</v>
      </c>
      <c r="D1947">
        <v>99999</v>
      </c>
      <c r="F1947" s="109">
        <v>4000</v>
      </c>
      <c r="G1947" t="b">
        <v>0</v>
      </c>
      <c r="H1947" t="s">
        <v>341</v>
      </c>
      <c r="K1947" t="s">
        <v>393</v>
      </c>
      <c r="L1947" t="s">
        <v>303</v>
      </c>
      <c r="M1947" t="s">
        <v>323</v>
      </c>
      <c r="N1947" t="s">
        <v>63</v>
      </c>
      <c r="O1947">
        <v>29.9</v>
      </c>
      <c r="R1947">
        <v>309.89</v>
      </c>
      <c r="S1947">
        <v>59.9</v>
      </c>
      <c r="T1947" s="110">
        <v>0</v>
      </c>
      <c r="U1947">
        <v>42.99</v>
      </c>
      <c r="X1947">
        <v>137.1</v>
      </c>
      <c r="Y1947">
        <v>69.900000000000006</v>
      </c>
      <c r="Z1947">
        <v>69.900000000000006</v>
      </c>
      <c r="AA1947">
        <v>0</v>
      </c>
      <c r="AB1947" t="s">
        <v>363</v>
      </c>
      <c r="AF1947" t="s">
        <v>635</v>
      </c>
      <c r="AG1947" t="s">
        <v>635</v>
      </c>
      <c r="AH1947" t="s">
        <v>325</v>
      </c>
      <c r="AI1947">
        <v>99999</v>
      </c>
      <c r="AJ1947">
        <v>99999</v>
      </c>
      <c r="AK1947">
        <v>699</v>
      </c>
      <c r="AL1947" t="b">
        <v>1</v>
      </c>
      <c r="AM1947" t="b">
        <v>1</v>
      </c>
      <c r="AN1947" t="b">
        <v>0</v>
      </c>
      <c r="AO1947">
        <v>99999</v>
      </c>
      <c r="AP1947" t="s">
        <v>64</v>
      </c>
      <c r="AR1947" t="b">
        <v>0</v>
      </c>
      <c r="AS1947">
        <v>12</v>
      </c>
      <c r="AT1947" t="s">
        <v>327</v>
      </c>
      <c r="AV1947" t="s">
        <v>669</v>
      </c>
    </row>
    <row r="1948" spans="1:48" x14ac:dyDescent="0.25">
      <c r="A1948" t="s">
        <v>3323</v>
      </c>
      <c r="B1948" t="s">
        <v>302</v>
      </c>
      <c r="C1948" t="s">
        <v>62</v>
      </c>
      <c r="D1948">
        <v>99999</v>
      </c>
      <c r="F1948" s="109">
        <v>4000</v>
      </c>
      <c r="G1948" t="b">
        <v>0</v>
      </c>
      <c r="H1948" t="s">
        <v>341</v>
      </c>
      <c r="K1948" t="s">
        <v>393</v>
      </c>
      <c r="L1948" t="s">
        <v>303</v>
      </c>
      <c r="M1948" t="s">
        <v>323</v>
      </c>
      <c r="N1948" t="s">
        <v>63</v>
      </c>
      <c r="O1948">
        <v>39.9</v>
      </c>
      <c r="R1948">
        <v>279.89</v>
      </c>
      <c r="S1948">
        <v>39.9</v>
      </c>
      <c r="T1948" s="110">
        <v>0</v>
      </c>
      <c r="U1948">
        <v>42.99</v>
      </c>
      <c r="X1948">
        <v>127.1</v>
      </c>
      <c r="Y1948">
        <v>69.900000000000006</v>
      </c>
      <c r="Z1948">
        <v>69.900000000000006</v>
      </c>
      <c r="AA1948">
        <v>0</v>
      </c>
      <c r="AB1948" t="s">
        <v>363</v>
      </c>
      <c r="AF1948" t="s">
        <v>434</v>
      </c>
      <c r="AG1948" t="s">
        <v>434</v>
      </c>
      <c r="AH1948" t="s">
        <v>325</v>
      </c>
      <c r="AI1948">
        <v>99999</v>
      </c>
      <c r="AJ1948">
        <v>99999</v>
      </c>
      <c r="AK1948">
        <v>699</v>
      </c>
      <c r="AL1948" t="b">
        <v>1</v>
      </c>
      <c r="AM1948" t="b">
        <v>1</v>
      </c>
      <c r="AN1948" t="b">
        <v>0</v>
      </c>
      <c r="AO1948">
        <v>99999</v>
      </c>
      <c r="AP1948" t="s">
        <v>64</v>
      </c>
      <c r="AR1948" t="b">
        <v>0</v>
      </c>
      <c r="AS1948">
        <v>12</v>
      </c>
      <c r="AT1948" t="s">
        <v>327</v>
      </c>
      <c r="AV1948" t="s">
        <v>468</v>
      </c>
    </row>
    <row r="1949" spans="1:48" x14ac:dyDescent="0.25">
      <c r="A1949" t="s">
        <v>3323</v>
      </c>
      <c r="B1949" t="s">
        <v>302</v>
      </c>
      <c r="C1949" t="s">
        <v>62</v>
      </c>
      <c r="D1949">
        <v>99999</v>
      </c>
      <c r="F1949" s="109">
        <v>4000</v>
      </c>
      <c r="G1949" t="b">
        <v>0</v>
      </c>
      <c r="H1949" t="s">
        <v>341</v>
      </c>
      <c r="K1949" t="s">
        <v>393</v>
      </c>
      <c r="L1949" t="s">
        <v>303</v>
      </c>
      <c r="M1949" t="s">
        <v>323</v>
      </c>
      <c r="N1949" t="s">
        <v>63</v>
      </c>
      <c r="O1949">
        <v>39.9</v>
      </c>
      <c r="R1949">
        <v>294.89</v>
      </c>
      <c r="S1949">
        <v>39.9</v>
      </c>
      <c r="T1949" s="110">
        <v>0</v>
      </c>
      <c r="U1949">
        <v>42.99</v>
      </c>
      <c r="X1949">
        <v>142.1</v>
      </c>
      <c r="Y1949">
        <v>69.900000000000006</v>
      </c>
      <c r="Z1949">
        <v>69.900000000000006</v>
      </c>
      <c r="AA1949">
        <v>0</v>
      </c>
      <c r="AB1949" t="s">
        <v>363</v>
      </c>
      <c r="AF1949" t="s">
        <v>568</v>
      </c>
      <c r="AG1949" t="s">
        <v>568</v>
      </c>
      <c r="AH1949" t="s">
        <v>325</v>
      </c>
      <c r="AI1949">
        <v>99999</v>
      </c>
      <c r="AJ1949">
        <v>99999</v>
      </c>
      <c r="AK1949">
        <v>699</v>
      </c>
      <c r="AL1949" t="b">
        <v>1</v>
      </c>
      <c r="AM1949" t="b">
        <v>1</v>
      </c>
      <c r="AN1949" t="b">
        <v>0</v>
      </c>
      <c r="AO1949">
        <v>99999</v>
      </c>
      <c r="AP1949" t="s">
        <v>64</v>
      </c>
      <c r="AR1949" t="b">
        <v>0</v>
      </c>
      <c r="AS1949">
        <v>12</v>
      </c>
      <c r="AT1949" t="s">
        <v>327</v>
      </c>
      <c r="AV1949" t="s">
        <v>602</v>
      </c>
    </row>
    <row r="1950" spans="1:48" x14ac:dyDescent="0.25">
      <c r="A1950" t="s">
        <v>3323</v>
      </c>
      <c r="B1950" t="s">
        <v>302</v>
      </c>
      <c r="C1950" t="s">
        <v>62</v>
      </c>
      <c r="D1950">
        <v>99999</v>
      </c>
      <c r="F1950" s="109">
        <v>4000</v>
      </c>
      <c r="G1950" t="b">
        <v>0</v>
      </c>
      <c r="H1950" t="s">
        <v>341</v>
      </c>
      <c r="K1950" t="s">
        <v>393</v>
      </c>
      <c r="L1950" t="s">
        <v>303</v>
      </c>
      <c r="M1950" t="s">
        <v>323</v>
      </c>
      <c r="N1950" t="s">
        <v>63</v>
      </c>
      <c r="O1950">
        <v>39.9</v>
      </c>
      <c r="R1950">
        <v>309.89</v>
      </c>
      <c r="S1950">
        <v>59.9</v>
      </c>
      <c r="T1950" s="110">
        <v>0</v>
      </c>
      <c r="U1950">
        <v>42.99</v>
      </c>
      <c r="X1950">
        <v>137.1</v>
      </c>
      <c r="Y1950">
        <v>69.900000000000006</v>
      </c>
      <c r="Z1950">
        <v>69.900000000000006</v>
      </c>
      <c r="AA1950">
        <v>0</v>
      </c>
      <c r="AB1950" t="s">
        <v>363</v>
      </c>
      <c r="AF1950" t="s">
        <v>702</v>
      </c>
      <c r="AG1950" t="s">
        <v>702</v>
      </c>
      <c r="AH1950" t="s">
        <v>325</v>
      </c>
      <c r="AI1950">
        <v>99999</v>
      </c>
      <c r="AJ1950">
        <v>99999</v>
      </c>
      <c r="AK1950">
        <v>699</v>
      </c>
      <c r="AL1950" t="b">
        <v>1</v>
      </c>
      <c r="AM1950" t="b">
        <v>1</v>
      </c>
      <c r="AN1950" t="b">
        <v>0</v>
      </c>
      <c r="AO1950">
        <v>99999</v>
      </c>
      <c r="AP1950" t="s">
        <v>64</v>
      </c>
      <c r="AR1950" t="b">
        <v>0</v>
      </c>
      <c r="AS1950">
        <v>12</v>
      </c>
      <c r="AT1950" t="s">
        <v>327</v>
      </c>
      <c r="AV1950" t="s">
        <v>736</v>
      </c>
    </row>
    <row r="1951" spans="1:48" x14ac:dyDescent="0.25">
      <c r="A1951" t="s">
        <v>3323</v>
      </c>
      <c r="B1951" t="s">
        <v>302</v>
      </c>
      <c r="C1951" t="s">
        <v>62</v>
      </c>
      <c r="D1951">
        <v>99999</v>
      </c>
      <c r="F1951" s="109">
        <v>4000</v>
      </c>
      <c r="G1951" t="b">
        <v>0</v>
      </c>
      <c r="H1951" t="s">
        <v>341</v>
      </c>
      <c r="K1951" t="s">
        <v>393</v>
      </c>
      <c r="L1951" t="s">
        <v>303</v>
      </c>
      <c r="M1951" t="s">
        <v>323</v>
      </c>
      <c r="N1951" t="s">
        <v>63</v>
      </c>
      <c r="O1951" s="110">
        <v>49.9</v>
      </c>
      <c r="R1951" s="110">
        <v>355.69</v>
      </c>
      <c r="S1951" s="110">
        <v>130</v>
      </c>
      <c r="T1951" s="110">
        <v>0</v>
      </c>
      <c r="U1951" s="110">
        <v>34.99</v>
      </c>
      <c r="X1951">
        <v>120.79999999999998</v>
      </c>
      <c r="Y1951">
        <v>69.900000000000006</v>
      </c>
      <c r="Z1951">
        <v>69.900000000000006</v>
      </c>
      <c r="AA1951">
        <v>0</v>
      </c>
      <c r="AB1951" t="s">
        <v>363</v>
      </c>
      <c r="AF1951" t="s">
        <v>2212</v>
      </c>
      <c r="AG1951" t="s">
        <v>2212</v>
      </c>
      <c r="AH1951" t="s">
        <v>325</v>
      </c>
      <c r="AI1951">
        <v>99999</v>
      </c>
      <c r="AJ1951">
        <v>99999</v>
      </c>
      <c r="AK1951">
        <v>699</v>
      </c>
      <c r="AL1951" t="b">
        <v>1</v>
      </c>
      <c r="AM1951" t="b">
        <v>1</v>
      </c>
      <c r="AN1951" t="b">
        <v>0</v>
      </c>
      <c r="AO1951">
        <v>99999</v>
      </c>
      <c r="AP1951" t="s">
        <v>64</v>
      </c>
      <c r="AR1951" t="b">
        <v>0</v>
      </c>
      <c r="AS1951">
        <v>12</v>
      </c>
      <c r="AT1951" t="s">
        <v>327</v>
      </c>
      <c r="AV1951" t="s">
        <v>2246</v>
      </c>
    </row>
    <row r="1952" spans="1:48" x14ac:dyDescent="0.25">
      <c r="A1952" t="s">
        <v>3323</v>
      </c>
      <c r="B1952" t="s">
        <v>302</v>
      </c>
      <c r="C1952" t="s">
        <v>62</v>
      </c>
      <c r="D1952">
        <v>99999</v>
      </c>
      <c r="F1952" s="109">
        <v>4000</v>
      </c>
      <c r="G1952" t="b">
        <v>0</v>
      </c>
      <c r="H1952" t="s">
        <v>341</v>
      </c>
      <c r="K1952" t="s">
        <v>393</v>
      </c>
      <c r="L1952" t="s">
        <v>303</v>
      </c>
      <c r="M1952" t="s">
        <v>323</v>
      </c>
      <c r="N1952" t="s">
        <v>63</v>
      </c>
      <c r="O1952" s="110">
        <v>49.9</v>
      </c>
      <c r="R1952" s="110">
        <v>369.99</v>
      </c>
      <c r="S1952" s="110">
        <v>130</v>
      </c>
      <c r="T1952" s="110">
        <v>0</v>
      </c>
      <c r="U1952" s="110">
        <v>42.99</v>
      </c>
      <c r="X1952">
        <v>127.1</v>
      </c>
      <c r="Y1952">
        <v>69.900000000000006</v>
      </c>
      <c r="Z1952">
        <v>69.900000000000006</v>
      </c>
      <c r="AA1952">
        <v>0</v>
      </c>
      <c r="AB1952" t="s">
        <v>363</v>
      </c>
      <c r="AF1952" t="s">
        <v>2286</v>
      </c>
      <c r="AG1952" t="s">
        <v>2286</v>
      </c>
      <c r="AH1952" t="s">
        <v>325</v>
      </c>
      <c r="AI1952">
        <v>99999</v>
      </c>
      <c r="AJ1952">
        <v>99999</v>
      </c>
      <c r="AK1952">
        <v>699</v>
      </c>
      <c r="AL1952" t="b">
        <v>1</v>
      </c>
      <c r="AM1952" t="b">
        <v>1</v>
      </c>
      <c r="AN1952" t="b">
        <v>0</v>
      </c>
      <c r="AO1952">
        <v>99999</v>
      </c>
      <c r="AP1952" t="s">
        <v>64</v>
      </c>
      <c r="AR1952" t="b">
        <v>0</v>
      </c>
      <c r="AS1952">
        <v>12</v>
      </c>
      <c r="AT1952" t="s">
        <v>327</v>
      </c>
      <c r="AV1952" t="s">
        <v>2320</v>
      </c>
    </row>
    <row r="1953" spans="1:48" x14ac:dyDescent="0.25">
      <c r="A1953" t="s">
        <v>3323</v>
      </c>
      <c r="B1953" t="s">
        <v>302</v>
      </c>
      <c r="C1953" t="s">
        <v>62</v>
      </c>
      <c r="D1953">
        <v>99999</v>
      </c>
      <c r="F1953" s="109">
        <v>4000</v>
      </c>
      <c r="G1953" t="b">
        <v>0</v>
      </c>
      <c r="H1953" t="s">
        <v>341</v>
      </c>
      <c r="K1953" t="s">
        <v>393</v>
      </c>
      <c r="L1953" t="s">
        <v>303</v>
      </c>
      <c r="M1953" t="s">
        <v>323</v>
      </c>
      <c r="N1953" t="s">
        <v>63</v>
      </c>
      <c r="O1953" s="110">
        <v>49.9</v>
      </c>
      <c r="R1953" s="110">
        <v>384.99</v>
      </c>
      <c r="S1953" s="110">
        <v>130</v>
      </c>
      <c r="T1953" s="110">
        <v>0</v>
      </c>
      <c r="U1953" s="110">
        <v>42.99</v>
      </c>
      <c r="X1953">
        <v>142.1</v>
      </c>
      <c r="Y1953">
        <v>69.900000000000006</v>
      </c>
      <c r="Z1953">
        <v>69.900000000000006</v>
      </c>
      <c r="AA1953">
        <v>0</v>
      </c>
      <c r="AB1953" t="s">
        <v>363</v>
      </c>
      <c r="AF1953" t="s">
        <v>2353</v>
      </c>
      <c r="AG1953" t="s">
        <v>2353</v>
      </c>
      <c r="AH1953" t="s">
        <v>325</v>
      </c>
      <c r="AI1953">
        <v>99999</v>
      </c>
      <c r="AJ1953">
        <v>99999</v>
      </c>
      <c r="AK1953">
        <v>699</v>
      </c>
      <c r="AL1953" t="b">
        <v>1</v>
      </c>
      <c r="AM1953" t="b">
        <v>1</v>
      </c>
      <c r="AN1953" t="b">
        <v>0</v>
      </c>
      <c r="AO1953">
        <v>99999</v>
      </c>
      <c r="AP1953" t="s">
        <v>64</v>
      </c>
      <c r="AR1953" t="b">
        <v>0</v>
      </c>
      <c r="AS1953">
        <v>12</v>
      </c>
      <c r="AT1953" t="s">
        <v>327</v>
      </c>
      <c r="AV1953" t="s">
        <v>2387</v>
      </c>
    </row>
    <row r="1954" spans="1:48" x14ac:dyDescent="0.25">
      <c r="A1954" t="s">
        <v>3323</v>
      </c>
      <c r="B1954" t="s">
        <v>302</v>
      </c>
      <c r="C1954" t="s">
        <v>62</v>
      </c>
      <c r="D1954">
        <v>99999</v>
      </c>
      <c r="F1954" s="109">
        <v>4000</v>
      </c>
      <c r="G1954" t="b">
        <v>0</v>
      </c>
      <c r="H1954" t="s">
        <v>341</v>
      </c>
      <c r="K1954" t="s">
        <v>393</v>
      </c>
      <c r="L1954" t="s">
        <v>303</v>
      </c>
      <c r="M1954" t="s">
        <v>323</v>
      </c>
      <c r="N1954" t="s">
        <v>63</v>
      </c>
      <c r="O1954" s="110">
        <v>49.9</v>
      </c>
      <c r="R1954" s="110">
        <v>379.99</v>
      </c>
      <c r="S1954" s="110">
        <v>130</v>
      </c>
      <c r="T1954" s="110">
        <v>0</v>
      </c>
      <c r="U1954" s="110">
        <v>42.99</v>
      </c>
      <c r="X1954">
        <v>137.1</v>
      </c>
      <c r="Y1954">
        <v>69.900000000000006</v>
      </c>
      <c r="Z1954">
        <v>69.900000000000006</v>
      </c>
      <c r="AA1954">
        <v>0</v>
      </c>
      <c r="AB1954" t="s">
        <v>363</v>
      </c>
      <c r="AF1954" t="s">
        <v>2420</v>
      </c>
      <c r="AG1954" t="s">
        <v>2420</v>
      </c>
      <c r="AH1954" t="s">
        <v>325</v>
      </c>
      <c r="AI1954">
        <v>99999</v>
      </c>
      <c r="AJ1954">
        <v>99999</v>
      </c>
      <c r="AK1954">
        <v>699</v>
      </c>
      <c r="AL1954" t="b">
        <v>1</v>
      </c>
      <c r="AM1954" t="b">
        <v>1</v>
      </c>
      <c r="AN1954" t="b">
        <v>0</v>
      </c>
      <c r="AO1954">
        <v>99999</v>
      </c>
      <c r="AP1954" t="s">
        <v>64</v>
      </c>
      <c r="AR1954" t="b">
        <v>0</v>
      </c>
      <c r="AS1954">
        <v>12</v>
      </c>
      <c r="AT1954" t="s">
        <v>327</v>
      </c>
      <c r="AV1954" t="s">
        <v>2454</v>
      </c>
    </row>
    <row r="1955" spans="1:48" x14ac:dyDescent="0.25">
      <c r="A1955" t="s">
        <v>3323</v>
      </c>
      <c r="B1955" t="s">
        <v>302</v>
      </c>
      <c r="C1955" t="s">
        <v>62</v>
      </c>
      <c r="D1955">
        <v>99999</v>
      </c>
      <c r="F1955" s="109">
        <v>4000</v>
      </c>
      <c r="G1955" t="b">
        <v>0</v>
      </c>
      <c r="H1955" t="s">
        <v>341</v>
      </c>
      <c r="K1955" t="s">
        <v>364</v>
      </c>
      <c r="L1955" t="s">
        <v>303</v>
      </c>
      <c r="M1955" t="s">
        <v>323</v>
      </c>
      <c r="N1955" t="s">
        <v>63</v>
      </c>
      <c r="O1955">
        <v>29.9</v>
      </c>
      <c r="R1955">
        <v>259.89</v>
      </c>
      <c r="S1955">
        <v>39.9</v>
      </c>
      <c r="T1955" s="110">
        <v>0</v>
      </c>
      <c r="U1955">
        <v>42.99</v>
      </c>
      <c r="X1955">
        <v>127.1</v>
      </c>
      <c r="Y1955">
        <v>49.9</v>
      </c>
      <c r="Z1955">
        <v>49.9</v>
      </c>
      <c r="AA1955">
        <v>0</v>
      </c>
      <c r="AB1955" t="s">
        <v>363</v>
      </c>
      <c r="AF1955" t="s">
        <v>365</v>
      </c>
      <c r="AG1955" t="s">
        <v>365</v>
      </c>
      <c r="AH1955" t="s">
        <v>325</v>
      </c>
      <c r="AI1955">
        <v>99999</v>
      </c>
      <c r="AJ1955">
        <v>99999</v>
      </c>
      <c r="AK1955">
        <v>699</v>
      </c>
      <c r="AL1955" t="b">
        <v>1</v>
      </c>
      <c r="AM1955" t="b">
        <v>1</v>
      </c>
      <c r="AN1955" t="b">
        <v>0</v>
      </c>
      <c r="AO1955">
        <v>99999</v>
      </c>
      <c r="AP1955" t="s">
        <v>64</v>
      </c>
      <c r="AR1955" t="b">
        <v>0</v>
      </c>
      <c r="AS1955">
        <v>12</v>
      </c>
      <c r="AT1955" t="s">
        <v>327</v>
      </c>
      <c r="AV1955" t="s">
        <v>373</v>
      </c>
    </row>
    <row r="1956" spans="1:48" x14ac:dyDescent="0.25">
      <c r="A1956" t="s">
        <v>3323</v>
      </c>
      <c r="B1956" t="s">
        <v>302</v>
      </c>
      <c r="C1956" t="s">
        <v>62</v>
      </c>
      <c r="D1956">
        <v>99999</v>
      </c>
      <c r="F1956" s="109">
        <v>4000</v>
      </c>
      <c r="G1956" t="b">
        <v>0</v>
      </c>
      <c r="H1956" t="s">
        <v>341</v>
      </c>
      <c r="K1956" t="s">
        <v>364</v>
      </c>
      <c r="L1956" t="s">
        <v>303</v>
      </c>
      <c r="M1956" t="s">
        <v>323</v>
      </c>
      <c r="N1956" t="s">
        <v>63</v>
      </c>
      <c r="O1956" s="110">
        <v>29.9</v>
      </c>
      <c r="R1956" s="110">
        <v>274.89</v>
      </c>
      <c r="S1956" s="110">
        <v>39.9</v>
      </c>
      <c r="T1956" s="110">
        <v>0</v>
      </c>
      <c r="U1956" s="110">
        <v>42.99</v>
      </c>
      <c r="X1956">
        <v>142.1</v>
      </c>
      <c r="Y1956">
        <v>49.9</v>
      </c>
      <c r="Z1956">
        <v>49.9</v>
      </c>
      <c r="AA1956">
        <v>0</v>
      </c>
      <c r="AB1956" t="s">
        <v>363</v>
      </c>
      <c r="AF1956" t="s">
        <v>501</v>
      </c>
      <c r="AG1956" t="s">
        <v>501</v>
      </c>
      <c r="AH1956" t="s">
        <v>325</v>
      </c>
      <c r="AI1956">
        <v>99999</v>
      </c>
      <c r="AJ1956">
        <v>99999</v>
      </c>
      <c r="AK1956">
        <v>699</v>
      </c>
      <c r="AL1956" t="b">
        <v>1</v>
      </c>
      <c r="AM1956" t="b">
        <v>1</v>
      </c>
      <c r="AN1956" t="b">
        <v>0</v>
      </c>
      <c r="AO1956">
        <v>99999</v>
      </c>
      <c r="AP1956" t="s">
        <v>64</v>
      </c>
      <c r="AR1956" t="b">
        <v>0</v>
      </c>
      <c r="AS1956">
        <v>12</v>
      </c>
      <c r="AT1956" t="s">
        <v>327</v>
      </c>
      <c r="AV1956" t="s">
        <v>509</v>
      </c>
    </row>
    <row r="1957" spans="1:48" x14ac:dyDescent="0.25">
      <c r="A1957" t="s">
        <v>3323</v>
      </c>
      <c r="B1957" t="s">
        <v>302</v>
      </c>
      <c r="C1957" t="s">
        <v>62</v>
      </c>
      <c r="D1957">
        <v>99999</v>
      </c>
      <c r="F1957" s="109">
        <v>4000</v>
      </c>
      <c r="G1957" t="b">
        <v>0</v>
      </c>
      <c r="H1957" t="s">
        <v>341</v>
      </c>
      <c r="K1957" t="s">
        <v>364</v>
      </c>
      <c r="L1957" t="s">
        <v>303</v>
      </c>
      <c r="M1957" t="s">
        <v>323</v>
      </c>
      <c r="N1957" t="s">
        <v>63</v>
      </c>
      <c r="O1957">
        <v>29.9</v>
      </c>
      <c r="R1957">
        <v>289.89</v>
      </c>
      <c r="S1957">
        <v>59.9</v>
      </c>
      <c r="T1957" s="110">
        <v>0</v>
      </c>
      <c r="U1957">
        <v>42.99</v>
      </c>
      <c r="X1957">
        <v>137.1</v>
      </c>
      <c r="Y1957">
        <v>49.9</v>
      </c>
      <c r="Z1957">
        <v>49.9</v>
      </c>
      <c r="AA1957">
        <v>0</v>
      </c>
      <c r="AB1957" t="s">
        <v>363</v>
      </c>
      <c r="AF1957" t="s">
        <v>635</v>
      </c>
      <c r="AG1957" t="s">
        <v>635</v>
      </c>
      <c r="AH1957" t="s">
        <v>325</v>
      </c>
      <c r="AI1957">
        <v>99999</v>
      </c>
      <c r="AJ1957">
        <v>99999</v>
      </c>
      <c r="AK1957">
        <v>699</v>
      </c>
      <c r="AL1957" t="b">
        <v>1</v>
      </c>
      <c r="AM1957" t="b">
        <v>1</v>
      </c>
      <c r="AN1957" t="b">
        <v>0</v>
      </c>
      <c r="AO1957">
        <v>99999</v>
      </c>
      <c r="AP1957" t="s">
        <v>64</v>
      </c>
      <c r="AR1957" t="b">
        <v>0</v>
      </c>
      <c r="AS1957">
        <v>12</v>
      </c>
      <c r="AT1957" t="s">
        <v>327</v>
      </c>
      <c r="AV1957" t="s">
        <v>643</v>
      </c>
    </row>
    <row r="1958" spans="1:48" x14ac:dyDescent="0.25">
      <c r="A1958" t="s">
        <v>3323</v>
      </c>
      <c r="B1958" t="s">
        <v>302</v>
      </c>
      <c r="C1958" t="s">
        <v>62</v>
      </c>
      <c r="D1958">
        <v>99999</v>
      </c>
      <c r="F1958" s="109">
        <v>4000</v>
      </c>
      <c r="G1958" t="b">
        <v>0</v>
      </c>
      <c r="H1958" t="s">
        <v>341</v>
      </c>
      <c r="K1958" t="s">
        <v>364</v>
      </c>
      <c r="L1958" t="s">
        <v>303</v>
      </c>
      <c r="M1958" t="s">
        <v>323</v>
      </c>
      <c r="N1958" t="s">
        <v>63</v>
      </c>
      <c r="O1958" s="110">
        <v>39.9</v>
      </c>
      <c r="R1958" s="110">
        <v>259.89</v>
      </c>
      <c r="S1958" s="110">
        <v>39.9</v>
      </c>
      <c r="T1958" s="110">
        <v>0</v>
      </c>
      <c r="U1958" s="110">
        <v>42.99</v>
      </c>
      <c r="X1958">
        <v>127.1</v>
      </c>
      <c r="Y1958">
        <v>49.9</v>
      </c>
      <c r="Z1958">
        <v>49.9</v>
      </c>
      <c r="AA1958">
        <v>0</v>
      </c>
      <c r="AB1958" t="s">
        <v>363</v>
      </c>
      <c r="AF1958" t="s">
        <v>434</v>
      </c>
      <c r="AG1958" t="s">
        <v>434</v>
      </c>
      <c r="AH1958" t="s">
        <v>325</v>
      </c>
      <c r="AI1958">
        <v>99999</v>
      </c>
      <c r="AJ1958">
        <v>99999</v>
      </c>
      <c r="AK1958">
        <v>699</v>
      </c>
      <c r="AL1958" t="b">
        <v>1</v>
      </c>
      <c r="AM1958" t="b">
        <v>1</v>
      </c>
      <c r="AN1958" t="b">
        <v>0</v>
      </c>
      <c r="AO1958">
        <v>99999</v>
      </c>
      <c r="AP1958" t="s">
        <v>64</v>
      </c>
      <c r="AR1958" t="b">
        <v>0</v>
      </c>
      <c r="AS1958">
        <v>12</v>
      </c>
      <c r="AT1958" t="s">
        <v>327</v>
      </c>
      <c r="AV1958" t="s">
        <v>442</v>
      </c>
    </row>
    <row r="1959" spans="1:48" x14ac:dyDescent="0.25">
      <c r="A1959" t="s">
        <v>3323</v>
      </c>
      <c r="B1959" t="s">
        <v>302</v>
      </c>
      <c r="C1959" t="s">
        <v>62</v>
      </c>
      <c r="D1959">
        <v>99999</v>
      </c>
      <c r="F1959" s="109">
        <v>4000</v>
      </c>
      <c r="G1959" t="b">
        <v>0</v>
      </c>
      <c r="H1959" t="s">
        <v>341</v>
      </c>
      <c r="K1959" t="s">
        <v>364</v>
      </c>
      <c r="L1959" t="s">
        <v>303</v>
      </c>
      <c r="M1959" t="s">
        <v>323</v>
      </c>
      <c r="N1959" t="s">
        <v>63</v>
      </c>
      <c r="O1959">
        <v>39.9</v>
      </c>
      <c r="R1959">
        <v>274.89</v>
      </c>
      <c r="S1959">
        <v>39.9</v>
      </c>
      <c r="T1959" s="110">
        <v>0</v>
      </c>
      <c r="U1959">
        <v>42.99</v>
      </c>
      <c r="X1959">
        <v>142.1</v>
      </c>
      <c r="Y1959">
        <v>49.9</v>
      </c>
      <c r="Z1959">
        <v>49.9</v>
      </c>
      <c r="AA1959">
        <v>0</v>
      </c>
      <c r="AB1959" t="s">
        <v>363</v>
      </c>
      <c r="AF1959" t="s">
        <v>568</v>
      </c>
      <c r="AG1959" t="s">
        <v>568</v>
      </c>
      <c r="AH1959" t="s">
        <v>325</v>
      </c>
      <c r="AI1959">
        <v>99999</v>
      </c>
      <c r="AJ1959">
        <v>99999</v>
      </c>
      <c r="AK1959">
        <v>699</v>
      </c>
      <c r="AL1959" t="b">
        <v>1</v>
      </c>
      <c r="AM1959" t="b">
        <v>1</v>
      </c>
      <c r="AN1959" t="b">
        <v>0</v>
      </c>
      <c r="AO1959">
        <v>99999</v>
      </c>
      <c r="AP1959" t="s">
        <v>64</v>
      </c>
      <c r="AR1959" t="b">
        <v>0</v>
      </c>
      <c r="AS1959">
        <v>12</v>
      </c>
      <c r="AT1959" t="s">
        <v>327</v>
      </c>
      <c r="AV1959" t="s">
        <v>576</v>
      </c>
    </row>
    <row r="1960" spans="1:48" x14ac:dyDescent="0.25">
      <c r="A1960" t="s">
        <v>3323</v>
      </c>
      <c r="B1960" t="s">
        <v>302</v>
      </c>
      <c r="C1960" t="s">
        <v>62</v>
      </c>
      <c r="D1960">
        <v>99999</v>
      </c>
      <c r="F1960" s="109">
        <v>4000</v>
      </c>
      <c r="G1960" t="b">
        <v>0</v>
      </c>
      <c r="H1960" t="s">
        <v>341</v>
      </c>
      <c r="K1960" t="s">
        <v>364</v>
      </c>
      <c r="L1960" t="s">
        <v>303</v>
      </c>
      <c r="M1960" t="s">
        <v>323</v>
      </c>
      <c r="N1960" t="s">
        <v>63</v>
      </c>
      <c r="O1960">
        <v>39.9</v>
      </c>
      <c r="R1960">
        <v>289.89</v>
      </c>
      <c r="S1960">
        <v>59.9</v>
      </c>
      <c r="T1960" s="110">
        <v>0</v>
      </c>
      <c r="U1960">
        <v>42.99</v>
      </c>
      <c r="X1960">
        <v>137.1</v>
      </c>
      <c r="Y1960">
        <v>49.9</v>
      </c>
      <c r="Z1960">
        <v>49.9</v>
      </c>
      <c r="AA1960">
        <v>0</v>
      </c>
      <c r="AB1960" t="s">
        <v>363</v>
      </c>
      <c r="AF1960" t="s">
        <v>702</v>
      </c>
      <c r="AG1960" t="s">
        <v>702</v>
      </c>
      <c r="AH1960" t="s">
        <v>325</v>
      </c>
      <c r="AI1960">
        <v>99999</v>
      </c>
      <c r="AJ1960">
        <v>99999</v>
      </c>
      <c r="AK1960">
        <v>699</v>
      </c>
      <c r="AL1960" t="b">
        <v>1</v>
      </c>
      <c r="AM1960" t="b">
        <v>1</v>
      </c>
      <c r="AN1960" t="b">
        <v>0</v>
      </c>
      <c r="AO1960">
        <v>99999</v>
      </c>
      <c r="AP1960" t="s">
        <v>64</v>
      </c>
      <c r="AR1960" t="b">
        <v>0</v>
      </c>
      <c r="AS1960">
        <v>12</v>
      </c>
      <c r="AT1960" t="s">
        <v>327</v>
      </c>
      <c r="AV1960" t="s">
        <v>710</v>
      </c>
    </row>
    <row r="1961" spans="1:48" x14ac:dyDescent="0.25">
      <c r="A1961" t="s">
        <v>3323</v>
      </c>
      <c r="B1961" t="s">
        <v>302</v>
      </c>
      <c r="C1961" t="s">
        <v>62</v>
      </c>
      <c r="D1961">
        <v>99999</v>
      </c>
      <c r="F1961" s="109">
        <v>4000</v>
      </c>
      <c r="G1961" t="b">
        <v>0</v>
      </c>
      <c r="H1961" t="s">
        <v>341</v>
      </c>
      <c r="K1961" t="s">
        <v>364</v>
      </c>
      <c r="L1961" t="s">
        <v>303</v>
      </c>
      <c r="M1961" t="s">
        <v>323</v>
      </c>
      <c r="N1961" t="s">
        <v>63</v>
      </c>
      <c r="O1961" s="110">
        <v>49.9</v>
      </c>
      <c r="R1961" s="110">
        <v>335.68999999999994</v>
      </c>
      <c r="S1961" s="110">
        <v>130</v>
      </c>
      <c r="T1961" s="110">
        <v>0</v>
      </c>
      <c r="U1961" s="110">
        <v>34.99</v>
      </c>
      <c r="X1961">
        <v>120.79999999999998</v>
      </c>
      <c r="Y1961">
        <v>49.9</v>
      </c>
      <c r="Z1961">
        <v>49.9</v>
      </c>
      <c r="AA1961">
        <v>0</v>
      </c>
      <c r="AB1961" t="s">
        <v>363</v>
      </c>
      <c r="AF1961" t="s">
        <v>2212</v>
      </c>
      <c r="AG1961" t="s">
        <v>2212</v>
      </c>
      <c r="AH1961" t="s">
        <v>325</v>
      </c>
      <c r="AI1961">
        <v>99999</v>
      </c>
      <c r="AJ1961">
        <v>99999</v>
      </c>
      <c r="AK1961">
        <v>699</v>
      </c>
      <c r="AL1961" t="b">
        <v>1</v>
      </c>
      <c r="AM1961" t="b">
        <v>1</v>
      </c>
      <c r="AN1961" t="b">
        <v>0</v>
      </c>
      <c r="AO1961">
        <v>99999</v>
      </c>
      <c r="AP1961" t="s">
        <v>64</v>
      </c>
      <c r="AR1961" t="b">
        <v>0</v>
      </c>
      <c r="AS1961">
        <v>12</v>
      </c>
      <c r="AT1961" t="s">
        <v>327</v>
      </c>
      <c r="AV1961" t="s">
        <v>2220</v>
      </c>
    </row>
    <row r="1962" spans="1:48" x14ac:dyDescent="0.25">
      <c r="A1962" t="s">
        <v>3323</v>
      </c>
      <c r="B1962" t="s">
        <v>302</v>
      </c>
      <c r="C1962" t="s">
        <v>62</v>
      </c>
      <c r="D1962">
        <v>99999</v>
      </c>
      <c r="F1962" s="109">
        <v>4000</v>
      </c>
      <c r="G1962" t="b">
        <v>0</v>
      </c>
      <c r="H1962" t="s">
        <v>341</v>
      </c>
      <c r="K1962" t="s">
        <v>364</v>
      </c>
      <c r="L1962" t="s">
        <v>303</v>
      </c>
      <c r="M1962" t="s">
        <v>323</v>
      </c>
      <c r="N1962" t="s">
        <v>63</v>
      </c>
      <c r="O1962" s="110">
        <v>49.9</v>
      </c>
      <c r="R1962" s="110">
        <v>349.99</v>
      </c>
      <c r="S1962" s="110">
        <v>130</v>
      </c>
      <c r="T1962" s="110">
        <v>0</v>
      </c>
      <c r="U1962" s="110">
        <v>42.99</v>
      </c>
      <c r="X1962">
        <v>127.1</v>
      </c>
      <c r="Y1962">
        <v>49.9</v>
      </c>
      <c r="Z1962">
        <v>49.9</v>
      </c>
      <c r="AA1962">
        <v>0</v>
      </c>
      <c r="AB1962" t="s">
        <v>363</v>
      </c>
      <c r="AF1962" t="s">
        <v>2286</v>
      </c>
      <c r="AG1962" t="s">
        <v>2286</v>
      </c>
      <c r="AH1962" t="s">
        <v>325</v>
      </c>
      <c r="AI1962">
        <v>99999</v>
      </c>
      <c r="AJ1962">
        <v>99999</v>
      </c>
      <c r="AK1962">
        <v>699</v>
      </c>
      <c r="AL1962" t="b">
        <v>1</v>
      </c>
      <c r="AM1962" t="b">
        <v>1</v>
      </c>
      <c r="AN1962" t="b">
        <v>0</v>
      </c>
      <c r="AO1962">
        <v>99999</v>
      </c>
      <c r="AP1962" t="s">
        <v>64</v>
      </c>
      <c r="AR1962" t="b">
        <v>0</v>
      </c>
      <c r="AS1962">
        <v>12</v>
      </c>
      <c r="AT1962" t="s">
        <v>327</v>
      </c>
      <c r="AV1962" t="s">
        <v>2294</v>
      </c>
    </row>
    <row r="1963" spans="1:48" x14ac:dyDescent="0.25">
      <c r="A1963" t="s">
        <v>3323</v>
      </c>
      <c r="B1963" t="s">
        <v>302</v>
      </c>
      <c r="C1963" t="s">
        <v>62</v>
      </c>
      <c r="D1963">
        <v>99999</v>
      </c>
      <c r="F1963" s="109">
        <v>4000</v>
      </c>
      <c r="G1963" t="b">
        <v>0</v>
      </c>
      <c r="H1963" t="s">
        <v>341</v>
      </c>
      <c r="K1963" t="s">
        <v>364</v>
      </c>
      <c r="L1963" t="s">
        <v>303</v>
      </c>
      <c r="M1963" t="s">
        <v>323</v>
      </c>
      <c r="N1963" t="s">
        <v>63</v>
      </c>
      <c r="O1963" s="110">
        <v>49.9</v>
      </c>
      <c r="R1963" s="110">
        <v>364.99</v>
      </c>
      <c r="S1963" s="110">
        <v>130</v>
      </c>
      <c r="T1963" s="110">
        <v>0</v>
      </c>
      <c r="U1963" s="110">
        <v>42.99</v>
      </c>
      <c r="X1963">
        <v>142.1</v>
      </c>
      <c r="Y1963">
        <v>49.9</v>
      </c>
      <c r="Z1963">
        <v>49.9</v>
      </c>
      <c r="AA1963">
        <v>0</v>
      </c>
      <c r="AB1963" t="s">
        <v>363</v>
      </c>
      <c r="AF1963" t="s">
        <v>2353</v>
      </c>
      <c r="AG1963" t="s">
        <v>2353</v>
      </c>
      <c r="AH1963" t="s">
        <v>325</v>
      </c>
      <c r="AI1963">
        <v>99999</v>
      </c>
      <c r="AJ1963">
        <v>99999</v>
      </c>
      <c r="AK1963">
        <v>699</v>
      </c>
      <c r="AL1963" t="b">
        <v>1</v>
      </c>
      <c r="AM1963" t="b">
        <v>1</v>
      </c>
      <c r="AN1963" t="b">
        <v>0</v>
      </c>
      <c r="AO1963">
        <v>99999</v>
      </c>
      <c r="AP1963" t="s">
        <v>64</v>
      </c>
      <c r="AR1963" t="b">
        <v>0</v>
      </c>
      <c r="AS1963">
        <v>12</v>
      </c>
      <c r="AT1963" t="s">
        <v>327</v>
      </c>
      <c r="AV1963" t="s">
        <v>2361</v>
      </c>
    </row>
    <row r="1964" spans="1:48" x14ac:dyDescent="0.25">
      <c r="A1964" t="s">
        <v>3323</v>
      </c>
      <c r="B1964" t="s">
        <v>302</v>
      </c>
      <c r="C1964" t="s">
        <v>62</v>
      </c>
      <c r="D1964">
        <v>99999</v>
      </c>
      <c r="F1964" s="109">
        <v>4000</v>
      </c>
      <c r="G1964" t="b">
        <v>0</v>
      </c>
      <c r="H1964" t="s">
        <v>341</v>
      </c>
      <c r="K1964" t="s">
        <v>364</v>
      </c>
      <c r="L1964" t="s">
        <v>303</v>
      </c>
      <c r="M1964" t="s">
        <v>323</v>
      </c>
      <c r="N1964" t="s">
        <v>63</v>
      </c>
      <c r="O1964" s="110">
        <v>49.9</v>
      </c>
      <c r="R1964" s="110">
        <v>359.99</v>
      </c>
      <c r="S1964" s="110">
        <v>130</v>
      </c>
      <c r="T1964" s="110">
        <v>0</v>
      </c>
      <c r="U1964" s="110">
        <v>42.99</v>
      </c>
      <c r="X1964">
        <v>137.1</v>
      </c>
      <c r="Y1964">
        <v>49.9</v>
      </c>
      <c r="Z1964">
        <v>49.9</v>
      </c>
      <c r="AA1964">
        <v>0</v>
      </c>
      <c r="AB1964" t="s">
        <v>363</v>
      </c>
      <c r="AF1964" t="s">
        <v>2420</v>
      </c>
      <c r="AG1964" t="s">
        <v>2420</v>
      </c>
      <c r="AH1964" t="s">
        <v>325</v>
      </c>
      <c r="AI1964">
        <v>99999</v>
      </c>
      <c r="AJ1964">
        <v>99999</v>
      </c>
      <c r="AK1964">
        <v>699</v>
      </c>
      <c r="AL1964" t="b">
        <v>1</v>
      </c>
      <c r="AM1964" t="b">
        <v>1</v>
      </c>
      <c r="AN1964" t="b">
        <v>0</v>
      </c>
      <c r="AO1964">
        <v>99999</v>
      </c>
      <c r="AP1964" t="s">
        <v>64</v>
      </c>
      <c r="AR1964" t="b">
        <v>0</v>
      </c>
      <c r="AS1964">
        <v>12</v>
      </c>
      <c r="AT1964" t="s">
        <v>327</v>
      </c>
      <c r="AV1964" t="s">
        <v>2428</v>
      </c>
    </row>
    <row r="1965" spans="1:48" x14ac:dyDescent="0.25">
      <c r="A1965" t="s">
        <v>3323</v>
      </c>
      <c r="B1965" t="s">
        <v>302</v>
      </c>
      <c r="C1965" t="s">
        <v>62</v>
      </c>
      <c r="D1965">
        <v>99999</v>
      </c>
      <c r="F1965" s="109">
        <v>4000</v>
      </c>
      <c r="G1965" t="b">
        <v>0</v>
      </c>
      <c r="H1965" t="s">
        <v>341</v>
      </c>
      <c r="K1965" t="s">
        <v>379</v>
      </c>
      <c r="L1965" t="s">
        <v>303</v>
      </c>
      <c r="M1965" t="s">
        <v>323</v>
      </c>
      <c r="N1965" t="s">
        <v>63</v>
      </c>
      <c r="O1965">
        <v>29.9</v>
      </c>
      <c r="R1965">
        <v>269.89</v>
      </c>
      <c r="S1965">
        <v>39.9</v>
      </c>
      <c r="T1965" s="110">
        <v>0</v>
      </c>
      <c r="U1965">
        <v>42.99</v>
      </c>
      <c r="X1965">
        <v>127.1</v>
      </c>
      <c r="Y1965">
        <v>59.9</v>
      </c>
      <c r="Z1965">
        <v>59.9</v>
      </c>
      <c r="AA1965">
        <v>0</v>
      </c>
      <c r="AB1965" t="s">
        <v>363</v>
      </c>
      <c r="AF1965" t="s">
        <v>365</v>
      </c>
      <c r="AG1965" t="s">
        <v>365</v>
      </c>
      <c r="AH1965" t="s">
        <v>325</v>
      </c>
      <c r="AI1965">
        <v>99999</v>
      </c>
      <c r="AJ1965">
        <v>99999</v>
      </c>
      <c r="AK1965">
        <v>699</v>
      </c>
      <c r="AL1965" t="b">
        <v>1</v>
      </c>
      <c r="AM1965" t="b">
        <v>1</v>
      </c>
      <c r="AN1965" t="b">
        <v>0</v>
      </c>
      <c r="AO1965">
        <v>99999</v>
      </c>
      <c r="AP1965" t="s">
        <v>64</v>
      </c>
      <c r="AR1965" t="b">
        <v>0</v>
      </c>
      <c r="AS1965">
        <v>12</v>
      </c>
      <c r="AT1965" t="s">
        <v>327</v>
      </c>
      <c r="AV1965" t="s">
        <v>387</v>
      </c>
    </row>
    <row r="1966" spans="1:48" x14ac:dyDescent="0.25">
      <c r="A1966" t="s">
        <v>3323</v>
      </c>
      <c r="B1966" t="s">
        <v>302</v>
      </c>
      <c r="C1966" t="s">
        <v>62</v>
      </c>
      <c r="D1966">
        <v>99999</v>
      </c>
      <c r="F1966" s="109">
        <v>4000</v>
      </c>
      <c r="G1966" t="b">
        <v>0</v>
      </c>
      <c r="H1966" t="s">
        <v>341</v>
      </c>
      <c r="K1966" t="s">
        <v>379</v>
      </c>
      <c r="L1966" t="s">
        <v>303</v>
      </c>
      <c r="M1966" t="s">
        <v>323</v>
      </c>
      <c r="N1966" t="s">
        <v>63</v>
      </c>
      <c r="O1966">
        <v>29.9</v>
      </c>
      <c r="R1966">
        <v>284.89</v>
      </c>
      <c r="S1966">
        <v>39.9</v>
      </c>
      <c r="T1966" s="110">
        <v>0</v>
      </c>
      <c r="U1966">
        <v>42.99</v>
      </c>
      <c r="X1966">
        <v>142.1</v>
      </c>
      <c r="Y1966">
        <v>59.9</v>
      </c>
      <c r="Z1966">
        <v>59.9</v>
      </c>
      <c r="AA1966">
        <v>0</v>
      </c>
      <c r="AB1966" t="s">
        <v>363</v>
      </c>
      <c r="AF1966" t="s">
        <v>501</v>
      </c>
      <c r="AG1966" t="s">
        <v>501</v>
      </c>
      <c r="AH1966" t="s">
        <v>325</v>
      </c>
      <c r="AI1966">
        <v>99999</v>
      </c>
      <c r="AJ1966">
        <v>99999</v>
      </c>
      <c r="AK1966">
        <v>699</v>
      </c>
      <c r="AL1966" t="b">
        <v>1</v>
      </c>
      <c r="AM1966" t="b">
        <v>1</v>
      </c>
      <c r="AN1966" t="b">
        <v>0</v>
      </c>
      <c r="AO1966">
        <v>99999</v>
      </c>
      <c r="AP1966" t="s">
        <v>64</v>
      </c>
      <c r="AR1966" t="b">
        <v>0</v>
      </c>
      <c r="AS1966">
        <v>12</v>
      </c>
      <c r="AT1966" t="s">
        <v>327</v>
      </c>
      <c r="AV1966" t="s">
        <v>522</v>
      </c>
    </row>
    <row r="1967" spans="1:48" x14ac:dyDescent="0.25">
      <c r="A1967" t="s">
        <v>3323</v>
      </c>
      <c r="B1967" t="s">
        <v>302</v>
      </c>
      <c r="C1967" t="s">
        <v>62</v>
      </c>
      <c r="D1967">
        <v>99999</v>
      </c>
      <c r="F1967" s="109">
        <v>4000</v>
      </c>
      <c r="G1967" t="b">
        <v>0</v>
      </c>
      <c r="H1967" t="s">
        <v>341</v>
      </c>
      <c r="K1967" t="s">
        <v>379</v>
      </c>
      <c r="L1967" t="s">
        <v>303</v>
      </c>
      <c r="M1967" t="s">
        <v>323</v>
      </c>
      <c r="N1967" t="s">
        <v>63</v>
      </c>
      <c r="O1967">
        <v>29.9</v>
      </c>
      <c r="R1967">
        <v>299.89</v>
      </c>
      <c r="S1967">
        <v>59.9</v>
      </c>
      <c r="T1967" s="110">
        <v>0</v>
      </c>
      <c r="U1967">
        <v>42.99</v>
      </c>
      <c r="X1967">
        <v>137.1</v>
      </c>
      <c r="Y1967">
        <v>59.9</v>
      </c>
      <c r="Z1967">
        <v>59.9</v>
      </c>
      <c r="AA1967">
        <v>0</v>
      </c>
      <c r="AB1967" t="s">
        <v>363</v>
      </c>
      <c r="AF1967" t="s">
        <v>635</v>
      </c>
      <c r="AG1967" t="s">
        <v>635</v>
      </c>
      <c r="AH1967" t="s">
        <v>325</v>
      </c>
      <c r="AI1967">
        <v>99999</v>
      </c>
      <c r="AJ1967">
        <v>99999</v>
      </c>
      <c r="AK1967">
        <v>699</v>
      </c>
      <c r="AL1967" t="b">
        <v>1</v>
      </c>
      <c r="AM1967" t="b">
        <v>1</v>
      </c>
      <c r="AN1967" t="b">
        <v>0</v>
      </c>
      <c r="AO1967">
        <v>99999</v>
      </c>
      <c r="AP1967" t="s">
        <v>64</v>
      </c>
      <c r="AR1967" t="b">
        <v>0</v>
      </c>
      <c r="AS1967">
        <v>12</v>
      </c>
      <c r="AT1967" t="s">
        <v>327</v>
      </c>
      <c r="AV1967" t="s">
        <v>656</v>
      </c>
    </row>
    <row r="1968" spans="1:48" x14ac:dyDescent="0.25">
      <c r="A1968" t="s">
        <v>3323</v>
      </c>
      <c r="B1968" t="s">
        <v>302</v>
      </c>
      <c r="C1968" t="s">
        <v>62</v>
      </c>
      <c r="D1968">
        <v>99999</v>
      </c>
      <c r="F1968" s="109">
        <v>4000</v>
      </c>
      <c r="G1968" t="b">
        <v>0</v>
      </c>
      <c r="H1968" t="s">
        <v>341</v>
      </c>
      <c r="K1968" t="s">
        <v>379</v>
      </c>
      <c r="L1968" t="s">
        <v>303</v>
      </c>
      <c r="M1968" t="s">
        <v>323</v>
      </c>
      <c r="N1968" t="s">
        <v>63</v>
      </c>
      <c r="O1968" s="110">
        <v>39.9</v>
      </c>
      <c r="R1968" s="110">
        <v>269.89</v>
      </c>
      <c r="S1968" s="110">
        <v>39.9</v>
      </c>
      <c r="T1968" s="110">
        <v>0</v>
      </c>
      <c r="U1968" s="110">
        <v>42.99</v>
      </c>
      <c r="X1968">
        <v>127.1</v>
      </c>
      <c r="Y1968">
        <v>59.9</v>
      </c>
      <c r="Z1968">
        <v>59.9</v>
      </c>
      <c r="AA1968">
        <v>0</v>
      </c>
      <c r="AB1968" t="s">
        <v>363</v>
      </c>
      <c r="AF1968" t="s">
        <v>434</v>
      </c>
      <c r="AG1968" t="s">
        <v>434</v>
      </c>
      <c r="AH1968" t="s">
        <v>325</v>
      </c>
      <c r="AI1968">
        <v>99999</v>
      </c>
      <c r="AJ1968">
        <v>99999</v>
      </c>
      <c r="AK1968">
        <v>699</v>
      </c>
      <c r="AL1968" t="b">
        <v>1</v>
      </c>
      <c r="AM1968" t="b">
        <v>1</v>
      </c>
      <c r="AN1968" t="b">
        <v>0</v>
      </c>
      <c r="AO1968">
        <v>99999</v>
      </c>
      <c r="AP1968" t="s">
        <v>64</v>
      </c>
      <c r="AR1968" t="b">
        <v>0</v>
      </c>
      <c r="AS1968">
        <v>12</v>
      </c>
      <c r="AT1968" t="s">
        <v>327</v>
      </c>
      <c r="AV1968" t="s">
        <v>455</v>
      </c>
    </row>
    <row r="1969" spans="1:48" x14ac:dyDescent="0.25">
      <c r="A1969" t="s">
        <v>3323</v>
      </c>
      <c r="B1969" t="s">
        <v>302</v>
      </c>
      <c r="C1969" t="s">
        <v>62</v>
      </c>
      <c r="D1969">
        <v>99999</v>
      </c>
      <c r="F1969" s="109">
        <v>4000</v>
      </c>
      <c r="G1969" t="b">
        <v>0</v>
      </c>
      <c r="H1969" t="s">
        <v>341</v>
      </c>
      <c r="K1969" t="s">
        <v>379</v>
      </c>
      <c r="L1969" t="s">
        <v>303</v>
      </c>
      <c r="M1969" t="s">
        <v>323</v>
      </c>
      <c r="N1969" t="s">
        <v>63</v>
      </c>
      <c r="O1969">
        <v>39.9</v>
      </c>
      <c r="R1969">
        <v>284.89</v>
      </c>
      <c r="S1969">
        <v>39.9</v>
      </c>
      <c r="T1969" s="110">
        <v>0</v>
      </c>
      <c r="U1969">
        <v>42.99</v>
      </c>
      <c r="X1969">
        <v>142.1</v>
      </c>
      <c r="Y1969">
        <v>59.9</v>
      </c>
      <c r="Z1969">
        <v>59.9</v>
      </c>
      <c r="AA1969">
        <v>0</v>
      </c>
      <c r="AB1969" t="s">
        <v>363</v>
      </c>
      <c r="AF1969" t="s">
        <v>568</v>
      </c>
      <c r="AG1969" t="s">
        <v>568</v>
      </c>
      <c r="AH1969" t="s">
        <v>325</v>
      </c>
      <c r="AI1969">
        <v>99999</v>
      </c>
      <c r="AJ1969">
        <v>99999</v>
      </c>
      <c r="AK1969">
        <v>699</v>
      </c>
      <c r="AL1969" t="b">
        <v>1</v>
      </c>
      <c r="AM1969" t="b">
        <v>1</v>
      </c>
      <c r="AN1969" t="b">
        <v>0</v>
      </c>
      <c r="AO1969">
        <v>99999</v>
      </c>
      <c r="AP1969" t="s">
        <v>64</v>
      </c>
      <c r="AR1969" t="b">
        <v>0</v>
      </c>
      <c r="AS1969">
        <v>12</v>
      </c>
      <c r="AT1969" t="s">
        <v>327</v>
      </c>
      <c r="AV1969" t="s">
        <v>589</v>
      </c>
    </row>
    <row r="1970" spans="1:48" x14ac:dyDescent="0.25">
      <c r="A1970" t="s">
        <v>3323</v>
      </c>
      <c r="B1970" t="s">
        <v>302</v>
      </c>
      <c r="C1970" t="s">
        <v>62</v>
      </c>
      <c r="D1970">
        <v>99999</v>
      </c>
      <c r="F1970" s="109">
        <v>4000</v>
      </c>
      <c r="G1970" t="b">
        <v>0</v>
      </c>
      <c r="H1970" t="s">
        <v>341</v>
      </c>
      <c r="K1970" t="s">
        <v>379</v>
      </c>
      <c r="L1970" t="s">
        <v>303</v>
      </c>
      <c r="M1970" t="s">
        <v>323</v>
      </c>
      <c r="N1970" t="s">
        <v>63</v>
      </c>
      <c r="O1970">
        <v>39.9</v>
      </c>
      <c r="R1970">
        <v>299.89</v>
      </c>
      <c r="S1970">
        <v>59.9</v>
      </c>
      <c r="T1970" s="110">
        <v>0</v>
      </c>
      <c r="U1970">
        <v>42.99</v>
      </c>
      <c r="X1970">
        <v>137.1</v>
      </c>
      <c r="Y1970">
        <v>59.9</v>
      </c>
      <c r="Z1970">
        <v>59.9</v>
      </c>
      <c r="AA1970">
        <v>0</v>
      </c>
      <c r="AB1970" t="s">
        <v>363</v>
      </c>
      <c r="AF1970" t="s">
        <v>702</v>
      </c>
      <c r="AG1970" t="s">
        <v>702</v>
      </c>
      <c r="AH1970" t="s">
        <v>325</v>
      </c>
      <c r="AI1970">
        <v>99999</v>
      </c>
      <c r="AJ1970">
        <v>99999</v>
      </c>
      <c r="AK1970">
        <v>699</v>
      </c>
      <c r="AL1970" t="b">
        <v>1</v>
      </c>
      <c r="AM1970" t="b">
        <v>1</v>
      </c>
      <c r="AN1970" t="b">
        <v>0</v>
      </c>
      <c r="AO1970">
        <v>99999</v>
      </c>
      <c r="AP1970" t="s">
        <v>64</v>
      </c>
      <c r="AR1970" t="b">
        <v>0</v>
      </c>
      <c r="AS1970">
        <v>12</v>
      </c>
      <c r="AT1970" t="s">
        <v>327</v>
      </c>
      <c r="AV1970" t="s">
        <v>723</v>
      </c>
    </row>
    <row r="1971" spans="1:48" x14ac:dyDescent="0.25">
      <c r="A1971" t="s">
        <v>3323</v>
      </c>
      <c r="B1971" t="s">
        <v>302</v>
      </c>
      <c r="C1971" t="s">
        <v>62</v>
      </c>
      <c r="D1971">
        <v>99999</v>
      </c>
      <c r="F1971" s="109">
        <v>4000</v>
      </c>
      <c r="G1971" t="b">
        <v>0</v>
      </c>
      <c r="H1971" t="s">
        <v>341</v>
      </c>
      <c r="K1971" t="s">
        <v>379</v>
      </c>
      <c r="L1971" t="s">
        <v>303</v>
      </c>
      <c r="M1971" t="s">
        <v>323</v>
      </c>
      <c r="N1971" t="s">
        <v>63</v>
      </c>
      <c r="O1971" s="110">
        <v>49.9</v>
      </c>
      <c r="R1971" s="110">
        <v>345.68999999999994</v>
      </c>
      <c r="S1971" s="110">
        <v>130</v>
      </c>
      <c r="T1971" s="110">
        <v>0</v>
      </c>
      <c r="U1971" s="110">
        <v>34.99</v>
      </c>
      <c r="X1971">
        <v>120.79999999999998</v>
      </c>
      <c r="Y1971">
        <v>59.9</v>
      </c>
      <c r="Z1971">
        <v>59.9</v>
      </c>
      <c r="AA1971">
        <v>0</v>
      </c>
      <c r="AB1971" t="s">
        <v>363</v>
      </c>
      <c r="AF1971" t="s">
        <v>2212</v>
      </c>
      <c r="AG1971" t="s">
        <v>2212</v>
      </c>
      <c r="AH1971" t="s">
        <v>325</v>
      </c>
      <c r="AI1971">
        <v>99999</v>
      </c>
      <c r="AJ1971">
        <v>99999</v>
      </c>
      <c r="AK1971">
        <v>699</v>
      </c>
      <c r="AL1971" t="b">
        <v>1</v>
      </c>
      <c r="AM1971" t="b">
        <v>1</v>
      </c>
      <c r="AN1971" t="b">
        <v>0</v>
      </c>
      <c r="AO1971">
        <v>99999</v>
      </c>
      <c r="AP1971" t="s">
        <v>64</v>
      </c>
      <c r="AR1971" t="b">
        <v>0</v>
      </c>
      <c r="AS1971">
        <v>12</v>
      </c>
      <c r="AT1971" t="s">
        <v>327</v>
      </c>
      <c r="AV1971" t="s">
        <v>2233</v>
      </c>
    </row>
    <row r="1972" spans="1:48" x14ac:dyDescent="0.25">
      <c r="A1972" t="s">
        <v>3323</v>
      </c>
      <c r="B1972" t="s">
        <v>302</v>
      </c>
      <c r="C1972" t="s">
        <v>62</v>
      </c>
      <c r="D1972">
        <v>99999</v>
      </c>
      <c r="F1972" s="109">
        <v>4000</v>
      </c>
      <c r="G1972" t="b">
        <v>0</v>
      </c>
      <c r="H1972" t="s">
        <v>341</v>
      </c>
      <c r="K1972" t="s">
        <v>379</v>
      </c>
      <c r="L1972" t="s">
        <v>303</v>
      </c>
      <c r="M1972" t="s">
        <v>323</v>
      </c>
      <c r="N1972" t="s">
        <v>63</v>
      </c>
      <c r="O1972" s="110">
        <v>49.9</v>
      </c>
      <c r="R1972" s="110">
        <v>359.99</v>
      </c>
      <c r="S1972" s="110">
        <v>130</v>
      </c>
      <c r="T1972" s="110">
        <v>0</v>
      </c>
      <c r="U1972" s="110">
        <v>42.99</v>
      </c>
      <c r="X1972">
        <v>127.1</v>
      </c>
      <c r="Y1972">
        <v>59.9</v>
      </c>
      <c r="Z1972">
        <v>59.9</v>
      </c>
      <c r="AA1972">
        <v>0</v>
      </c>
      <c r="AB1972" t="s">
        <v>363</v>
      </c>
      <c r="AF1972" t="s">
        <v>2286</v>
      </c>
      <c r="AG1972" t="s">
        <v>2286</v>
      </c>
      <c r="AH1972" t="s">
        <v>325</v>
      </c>
      <c r="AI1972">
        <v>99999</v>
      </c>
      <c r="AJ1972">
        <v>99999</v>
      </c>
      <c r="AK1972">
        <v>699</v>
      </c>
      <c r="AL1972" t="b">
        <v>1</v>
      </c>
      <c r="AM1972" t="b">
        <v>1</v>
      </c>
      <c r="AN1972" t="b">
        <v>0</v>
      </c>
      <c r="AO1972">
        <v>99999</v>
      </c>
      <c r="AP1972" t="s">
        <v>64</v>
      </c>
      <c r="AR1972" t="b">
        <v>0</v>
      </c>
      <c r="AS1972">
        <v>12</v>
      </c>
      <c r="AT1972" t="s">
        <v>327</v>
      </c>
      <c r="AV1972" t="s">
        <v>2307</v>
      </c>
    </row>
    <row r="1973" spans="1:48" x14ac:dyDescent="0.25">
      <c r="A1973" t="s">
        <v>3323</v>
      </c>
      <c r="B1973" t="s">
        <v>302</v>
      </c>
      <c r="C1973" t="s">
        <v>62</v>
      </c>
      <c r="D1973">
        <v>99999</v>
      </c>
      <c r="F1973" s="109">
        <v>4000</v>
      </c>
      <c r="G1973" t="b">
        <v>0</v>
      </c>
      <c r="H1973" t="s">
        <v>341</v>
      </c>
      <c r="K1973" t="s">
        <v>379</v>
      </c>
      <c r="L1973" t="s">
        <v>303</v>
      </c>
      <c r="M1973" t="s">
        <v>323</v>
      </c>
      <c r="N1973" t="s">
        <v>63</v>
      </c>
      <c r="O1973" s="110">
        <v>49.9</v>
      </c>
      <c r="R1973" s="110">
        <v>374.99</v>
      </c>
      <c r="S1973" s="110">
        <v>130</v>
      </c>
      <c r="T1973" s="110">
        <v>0</v>
      </c>
      <c r="U1973" s="110">
        <v>42.99</v>
      </c>
      <c r="X1973">
        <v>142.1</v>
      </c>
      <c r="Y1973">
        <v>59.9</v>
      </c>
      <c r="Z1973">
        <v>59.9</v>
      </c>
      <c r="AA1973">
        <v>0</v>
      </c>
      <c r="AB1973" t="s">
        <v>363</v>
      </c>
      <c r="AF1973" t="s">
        <v>2353</v>
      </c>
      <c r="AG1973" t="s">
        <v>2353</v>
      </c>
      <c r="AH1973" t="s">
        <v>325</v>
      </c>
      <c r="AI1973">
        <v>99999</v>
      </c>
      <c r="AJ1973">
        <v>99999</v>
      </c>
      <c r="AK1973">
        <v>699</v>
      </c>
      <c r="AL1973" t="b">
        <v>1</v>
      </c>
      <c r="AM1973" t="b">
        <v>1</v>
      </c>
      <c r="AN1973" t="b">
        <v>0</v>
      </c>
      <c r="AO1973">
        <v>99999</v>
      </c>
      <c r="AP1973" t="s">
        <v>64</v>
      </c>
      <c r="AR1973" t="b">
        <v>0</v>
      </c>
      <c r="AS1973">
        <v>12</v>
      </c>
      <c r="AT1973" t="s">
        <v>327</v>
      </c>
      <c r="AV1973" t="s">
        <v>2374</v>
      </c>
    </row>
    <row r="1974" spans="1:48" x14ac:dyDescent="0.25">
      <c r="A1974" t="s">
        <v>3323</v>
      </c>
      <c r="B1974" t="s">
        <v>302</v>
      </c>
      <c r="C1974" t="s">
        <v>62</v>
      </c>
      <c r="D1974">
        <v>99999</v>
      </c>
      <c r="F1974" s="109">
        <v>4000</v>
      </c>
      <c r="G1974" t="b">
        <v>0</v>
      </c>
      <c r="H1974" t="s">
        <v>341</v>
      </c>
      <c r="K1974" t="s">
        <v>379</v>
      </c>
      <c r="L1974" t="s">
        <v>303</v>
      </c>
      <c r="M1974" t="s">
        <v>323</v>
      </c>
      <c r="N1974" t="s">
        <v>63</v>
      </c>
      <c r="O1974" s="110">
        <v>49.9</v>
      </c>
      <c r="R1974" s="110">
        <v>369.99</v>
      </c>
      <c r="S1974" s="110">
        <v>130</v>
      </c>
      <c r="T1974" s="110">
        <v>0</v>
      </c>
      <c r="U1974" s="110">
        <v>42.99</v>
      </c>
      <c r="X1974">
        <v>137.1</v>
      </c>
      <c r="Y1974">
        <v>59.9</v>
      </c>
      <c r="Z1974">
        <v>59.9</v>
      </c>
      <c r="AA1974">
        <v>0</v>
      </c>
      <c r="AB1974" t="s">
        <v>363</v>
      </c>
      <c r="AF1974" t="s">
        <v>2420</v>
      </c>
      <c r="AG1974" t="s">
        <v>2420</v>
      </c>
      <c r="AH1974" t="s">
        <v>325</v>
      </c>
      <c r="AI1974">
        <v>99999</v>
      </c>
      <c r="AJ1974">
        <v>99999</v>
      </c>
      <c r="AK1974">
        <v>699</v>
      </c>
      <c r="AL1974" t="b">
        <v>1</v>
      </c>
      <c r="AM1974" t="b">
        <v>1</v>
      </c>
      <c r="AN1974" t="b">
        <v>0</v>
      </c>
      <c r="AO1974">
        <v>99999</v>
      </c>
      <c r="AP1974" t="s">
        <v>64</v>
      </c>
      <c r="AR1974" t="b">
        <v>0</v>
      </c>
      <c r="AS1974">
        <v>12</v>
      </c>
      <c r="AT1974" t="s">
        <v>327</v>
      </c>
      <c r="AV1974" t="s">
        <v>2441</v>
      </c>
    </row>
    <row r="1975" spans="1:48" x14ac:dyDescent="0.25">
      <c r="A1975" t="s">
        <v>3323</v>
      </c>
      <c r="B1975" t="s">
        <v>302</v>
      </c>
      <c r="C1975" t="s">
        <v>62</v>
      </c>
      <c r="D1975">
        <v>99999</v>
      </c>
      <c r="F1975" s="109">
        <v>4000</v>
      </c>
      <c r="G1975" t="b">
        <v>0</v>
      </c>
      <c r="H1975" t="s">
        <v>341</v>
      </c>
      <c r="K1975" t="s">
        <v>61</v>
      </c>
      <c r="L1975" t="s">
        <v>303</v>
      </c>
      <c r="M1975" t="s">
        <v>323</v>
      </c>
      <c r="N1975" t="s">
        <v>63</v>
      </c>
      <c r="O1975">
        <v>29.9</v>
      </c>
      <c r="R1975">
        <v>254.89</v>
      </c>
      <c r="S1975">
        <v>39.9</v>
      </c>
      <c r="T1975" s="110">
        <v>0</v>
      </c>
      <c r="U1975">
        <v>42.99</v>
      </c>
      <c r="X1975">
        <v>127.1</v>
      </c>
      <c r="Y1975">
        <v>44.9</v>
      </c>
      <c r="Z1975">
        <v>44.9</v>
      </c>
      <c r="AA1975">
        <v>0</v>
      </c>
      <c r="AB1975" t="s">
        <v>324</v>
      </c>
      <c r="AF1975" t="s">
        <v>326</v>
      </c>
      <c r="AG1975" t="s">
        <v>326</v>
      </c>
      <c r="AH1975" t="s">
        <v>325</v>
      </c>
      <c r="AI1975">
        <v>99999</v>
      </c>
      <c r="AJ1975">
        <v>99999</v>
      </c>
      <c r="AK1975">
        <v>699</v>
      </c>
      <c r="AL1975" t="b">
        <v>1</v>
      </c>
      <c r="AM1975" t="b">
        <v>1</v>
      </c>
      <c r="AN1975" t="b">
        <v>0</v>
      </c>
      <c r="AO1975">
        <v>99999</v>
      </c>
      <c r="AP1975" t="s">
        <v>64</v>
      </c>
      <c r="AR1975" t="b">
        <v>0</v>
      </c>
      <c r="AS1975">
        <v>12</v>
      </c>
      <c r="AT1975" t="s">
        <v>327</v>
      </c>
      <c r="AV1975" t="s">
        <v>342</v>
      </c>
    </row>
    <row r="1976" spans="1:48" x14ac:dyDescent="0.25">
      <c r="A1976" t="s">
        <v>3323</v>
      </c>
      <c r="B1976" t="s">
        <v>302</v>
      </c>
      <c r="C1976" t="s">
        <v>62</v>
      </c>
      <c r="D1976">
        <v>99999</v>
      </c>
      <c r="F1976" s="109">
        <v>4000</v>
      </c>
      <c r="G1976" t="b">
        <v>0</v>
      </c>
      <c r="H1976" t="s">
        <v>341</v>
      </c>
      <c r="K1976" t="s">
        <v>61</v>
      </c>
      <c r="L1976" t="s">
        <v>303</v>
      </c>
      <c r="M1976" t="s">
        <v>323</v>
      </c>
      <c r="N1976" t="s">
        <v>63</v>
      </c>
      <c r="O1976">
        <v>29.9</v>
      </c>
      <c r="R1976">
        <v>269.89</v>
      </c>
      <c r="S1976">
        <v>39.9</v>
      </c>
      <c r="T1976" s="110">
        <v>0</v>
      </c>
      <c r="U1976">
        <v>42.99</v>
      </c>
      <c r="X1976">
        <v>142.1</v>
      </c>
      <c r="Y1976">
        <v>44.9</v>
      </c>
      <c r="Z1976">
        <v>44.9</v>
      </c>
      <c r="AA1976">
        <v>0</v>
      </c>
      <c r="AB1976" t="s">
        <v>324</v>
      </c>
      <c r="AF1976" t="s">
        <v>474</v>
      </c>
      <c r="AG1976" t="s">
        <v>474</v>
      </c>
      <c r="AH1976" t="s">
        <v>325</v>
      </c>
      <c r="AI1976">
        <v>99999</v>
      </c>
      <c r="AJ1976">
        <v>99999</v>
      </c>
      <c r="AK1976">
        <v>699</v>
      </c>
      <c r="AL1976" t="b">
        <v>1</v>
      </c>
      <c r="AM1976" t="b">
        <v>1</v>
      </c>
      <c r="AN1976" t="b">
        <v>0</v>
      </c>
      <c r="AO1976">
        <v>99999</v>
      </c>
      <c r="AP1976" t="s">
        <v>64</v>
      </c>
      <c r="AR1976" t="b">
        <v>0</v>
      </c>
      <c r="AS1976">
        <v>12</v>
      </c>
      <c r="AT1976" t="s">
        <v>327</v>
      </c>
      <c r="AV1976" t="s">
        <v>482</v>
      </c>
    </row>
    <row r="1977" spans="1:48" x14ac:dyDescent="0.25">
      <c r="A1977" t="s">
        <v>3323</v>
      </c>
      <c r="B1977" t="s">
        <v>302</v>
      </c>
      <c r="C1977" t="s">
        <v>62</v>
      </c>
      <c r="D1977">
        <v>99999</v>
      </c>
      <c r="F1977" s="109">
        <v>4000</v>
      </c>
      <c r="G1977" t="b">
        <v>0</v>
      </c>
      <c r="H1977" t="s">
        <v>341</v>
      </c>
      <c r="K1977" t="s">
        <v>61</v>
      </c>
      <c r="L1977" t="s">
        <v>303</v>
      </c>
      <c r="M1977" t="s">
        <v>323</v>
      </c>
      <c r="N1977" t="s">
        <v>63</v>
      </c>
      <c r="O1977">
        <v>29.9</v>
      </c>
      <c r="R1977">
        <v>284.89</v>
      </c>
      <c r="S1977">
        <v>59.9</v>
      </c>
      <c r="T1977" s="110">
        <v>0</v>
      </c>
      <c r="U1977">
        <v>42.99</v>
      </c>
      <c r="X1977">
        <v>137.1</v>
      </c>
      <c r="Y1977">
        <v>44.9</v>
      </c>
      <c r="Z1977">
        <v>44.9</v>
      </c>
      <c r="AA1977">
        <v>0</v>
      </c>
      <c r="AB1977" t="s">
        <v>324</v>
      </c>
      <c r="AF1977" t="s">
        <v>608</v>
      </c>
      <c r="AG1977" t="s">
        <v>608</v>
      </c>
      <c r="AH1977" t="s">
        <v>325</v>
      </c>
      <c r="AI1977">
        <v>99999</v>
      </c>
      <c r="AJ1977">
        <v>99999</v>
      </c>
      <c r="AK1977">
        <v>699</v>
      </c>
      <c r="AL1977" t="b">
        <v>1</v>
      </c>
      <c r="AM1977" t="b">
        <v>1</v>
      </c>
      <c r="AN1977" t="b">
        <v>0</v>
      </c>
      <c r="AO1977">
        <v>99999</v>
      </c>
      <c r="AP1977" t="s">
        <v>64</v>
      </c>
      <c r="AR1977" t="b">
        <v>0</v>
      </c>
      <c r="AS1977">
        <v>12</v>
      </c>
      <c r="AT1977" t="s">
        <v>327</v>
      </c>
      <c r="AV1977" t="s">
        <v>616</v>
      </c>
    </row>
    <row r="1978" spans="1:48" x14ac:dyDescent="0.25">
      <c r="A1978" t="s">
        <v>3323</v>
      </c>
      <c r="B1978" t="s">
        <v>302</v>
      </c>
      <c r="C1978" t="s">
        <v>62</v>
      </c>
      <c r="D1978">
        <v>99999</v>
      </c>
      <c r="F1978" s="109">
        <v>4000</v>
      </c>
      <c r="G1978" t="b">
        <v>0</v>
      </c>
      <c r="H1978" t="s">
        <v>341</v>
      </c>
      <c r="K1978" t="s">
        <v>61</v>
      </c>
      <c r="L1978" t="s">
        <v>303</v>
      </c>
      <c r="M1978" t="s">
        <v>323</v>
      </c>
      <c r="N1978" t="s">
        <v>63</v>
      </c>
      <c r="O1978" s="110">
        <v>39.9</v>
      </c>
      <c r="R1978" s="110">
        <v>254.89</v>
      </c>
      <c r="S1978" s="110">
        <v>39.9</v>
      </c>
      <c r="T1978" s="110">
        <v>0</v>
      </c>
      <c r="U1978" s="110">
        <v>42.99</v>
      </c>
      <c r="X1978">
        <v>127.1</v>
      </c>
      <c r="Y1978">
        <v>44.9</v>
      </c>
      <c r="Z1978">
        <v>44.9</v>
      </c>
      <c r="AA1978">
        <v>0</v>
      </c>
      <c r="AB1978" t="s">
        <v>324</v>
      </c>
      <c r="AF1978" t="s">
        <v>407</v>
      </c>
      <c r="AG1978" t="s">
        <v>407</v>
      </c>
      <c r="AH1978" t="s">
        <v>325</v>
      </c>
      <c r="AI1978">
        <v>99999</v>
      </c>
      <c r="AJ1978">
        <v>99999</v>
      </c>
      <c r="AK1978">
        <v>699</v>
      </c>
      <c r="AL1978" t="b">
        <v>1</v>
      </c>
      <c r="AM1978" t="b">
        <v>1</v>
      </c>
      <c r="AN1978" t="b">
        <v>0</v>
      </c>
      <c r="AO1978">
        <v>99999</v>
      </c>
      <c r="AP1978" t="s">
        <v>64</v>
      </c>
      <c r="AR1978" t="b">
        <v>0</v>
      </c>
      <c r="AS1978">
        <v>12</v>
      </c>
      <c r="AT1978" t="s">
        <v>327</v>
      </c>
      <c r="AV1978" t="s">
        <v>415</v>
      </c>
    </row>
    <row r="1979" spans="1:48" x14ac:dyDescent="0.25">
      <c r="A1979" t="s">
        <v>3323</v>
      </c>
      <c r="B1979" t="s">
        <v>302</v>
      </c>
      <c r="C1979" t="s">
        <v>62</v>
      </c>
      <c r="D1979">
        <v>99999</v>
      </c>
      <c r="F1979" s="109">
        <v>4000</v>
      </c>
      <c r="G1979" t="b">
        <v>0</v>
      </c>
      <c r="H1979" t="s">
        <v>341</v>
      </c>
      <c r="K1979" t="s">
        <v>61</v>
      </c>
      <c r="L1979" t="s">
        <v>303</v>
      </c>
      <c r="M1979" t="s">
        <v>323</v>
      </c>
      <c r="N1979" t="s">
        <v>63</v>
      </c>
      <c r="O1979">
        <v>39.9</v>
      </c>
      <c r="R1979">
        <v>269.89</v>
      </c>
      <c r="S1979">
        <v>39.9</v>
      </c>
      <c r="T1979" s="110">
        <v>0</v>
      </c>
      <c r="U1979">
        <v>42.99</v>
      </c>
      <c r="X1979">
        <v>142.1</v>
      </c>
      <c r="Y1979">
        <v>44.9</v>
      </c>
      <c r="Z1979">
        <v>44.9</v>
      </c>
      <c r="AA1979">
        <v>0</v>
      </c>
      <c r="AB1979" t="s">
        <v>324</v>
      </c>
      <c r="AF1979" t="s">
        <v>541</v>
      </c>
      <c r="AG1979" t="s">
        <v>541</v>
      </c>
      <c r="AH1979" t="s">
        <v>325</v>
      </c>
      <c r="AI1979">
        <v>99999</v>
      </c>
      <c r="AJ1979">
        <v>99999</v>
      </c>
      <c r="AK1979">
        <v>699</v>
      </c>
      <c r="AL1979" t="b">
        <v>1</v>
      </c>
      <c r="AM1979" t="b">
        <v>1</v>
      </c>
      <c r="AN1979" t="b">
        <v>0</v>
      </c>
      <c r="AO1979">
        <v>99999</v>
      </c>
      <c r="AP1979" t="s">
        <v>64</v>
      </c>
      <c r="AR1979" t="b">
        <v>0</v>
      </c>
      <c r="AS1979">
        <v>12</v>
      </c>
      <c r="AT1979" t="s">
        <v>327</v>
      </c>
      <c r="AV1979" t="s">
        <v>549</v>
      </c>
    </row>
    <row r="1980" spans="1:48" x14ac:dyDescent="0.25">
      <c r="A1980" t="s">
        <v>3323</v>
      </c>
      <c r="B1980" t="s">
        <v>302</v>
      </c>
      <c r="C1980" t="s">
        <v>62</v>
      </c>
      <c r="D1980">
        <v>99999</v>
      </c>
      <c r="F1980" s="109">
        <v>4000</v>
      </c>
      <c r="G1980" t="b">
        <v>0</v>
      </c>
      <c r="H1980" t="s">
        <v>341</v>
      </c>
      <c r="K1980" t="s">
        <v>61</v>
      </c>
      <c r="L1980" t="s">
        <v>303</v>
      </c>
      <c r="M1980" t="s">
        <v>323</v>
      </c>
      <c r="N1980" t="s">
        <v>63</v>
      </c>
      <c r="O1980">
        <v>39.9</v>
      </c>
      <c r="R1980">
        <v>284.89</v>
      </c>
      <c r="S1980">
        <v>59.9</v>
      </c>
      <c r="T1980" s="110">
        <v>0</v>
      </c>
      <c r="U1980">
        <v>42.99</v>
      </c>
      <c r="X1980">
        <v>137.1</v>
      </c>
      <c r="Y1980">
        <v>44.9</v>
      </c>
      <c r="Z1980">
        <v>44.9</v>
      </c>
      <c r="AA1980">
        <v>0</v>
      </c>
      <c r="AB1980" t="s">
        <v>324</v>
      </c>
      <c r="AF1980" t="s">
        <v>675</v>
      </c>
      <c r="AG1980" t="s">
        <v>675</v>
      </c>
      <c r="AH1980" t="s">
        <v>325</v>
      </c>
      <c r="AI1980">
        <v>99999</v>
      </c>
      <c r="AJ1980">
        <v>99999</v>
      </c>
      <c r="AK1980">
        <v>699</v>
      </c>
      <c r="AL1980" t="b">
        <v>1</v>
      </c>
      <c r="AM1980" t="b">
        <v>1</v>
      </c>
      <c r="AN1980" t="b">
        <v>0</v>
      </c>
      <c r="AO1980">
        <v>99999</v>
      </c>
      <c r="AP1980" t="s">
        <v>64</v>
      </c>
      <c r="AR1980" t="b">
        <v>0</v>
      </c>
      <c r="AS1980">
        <v>12</v>
      </c>
      <c r="AT1980" t="s">
        <v>327</v>
      </c>
      <c r="AV1980" t="s">
        <v>683</v>
      </c>
    </row>
    <row r="1981" spans="1:48" x14ac:dyDescent="0.25">
      <c r="A1981" t="s">
        <v>3323</v>
      </c>
      <c r="B1981" t="s">
        <v>302</v>
      </c>
      <c r="C1981" t="s">
        <v>62</v>
      </c>
      <c r="D1981">
        <v>99999</v>
      </c>
      <c r="F1981" s="109">
        <v>4000</v>
      </c>
      <c r="G1981" t="b">
        <v>0</v>
      </c>
      <c r="H1981" t="s">
        <v>341</v>
      </c>
      <c r="K1981" t="s">
        <v>61</v>
      </c>
      <c r="L1981" t="s">
        <v>303</v>
      </c>
      <c r="M1981" t="s">
        <v>323</v>
      </c>
      <c r="N1981" t="s">
        <v>63</v>
      </c>
      <c r="O1981" s="110">
        <v>49.9</v>
      </c>
      <c r="R1981" s="110">
        <v>330.68999999999994</v>
      </c>
      <c r="S1981" s="110">
        <v>130</v>
      </c>
      <c r="T1981" s="110">
        <v>0</v>
      </c>
      <c r="U1981" s="110">
        <v>34.99</v>
      </c>
      <c r="X1981">
        <v>120.79999999999998</v>
      </c>
      <c r="Y1981">
        <v>44.9</v>
      </c>
      <c r="Z1981">
        <v>44.9</v>
      </c>
      <c r="AA1981">
        <v>0</v>
      </c>
      <c r="AB1981" t="s">
        <v>324</v>
      </c>
      <c r="AF1981" t="s">
        <v>2185</v>
      </c>
      <c r="AG1981" t="s">
        <v>2185</v>
      </c>
      <c r="AH1981" t="s">
        <v>325</v>
      </c>
      <c r="AI1981">
        <v>99999</v>
      </c>
      <c r="AJ1981">
        <v>99999</v>
      </c>
      <c r="AK1981">
        <v>699</v>
      </c>
      <c r="AL1981" t="b">
        <v>1</v>
      </c>
      <c r="AM1981" t="b">
        <v>1</v>
      </c>
      <c r="AN1981" t="b">
        <v>0</v>
      </c>
      <c r="AO1981">
        <v>99999</v>
      </c>
      <c r="AP1981" t="s">
        <v>64</v>
      </c>
      <c r="AR1981" t="b">
        <v>0</v>
      </c>
      <c r="AS1981">
        <v>12</v>
      </c>
      <c r="AT1981" t="s">
        <v>327</v>
      </c>
      <c r="AV1981" t="s">
        <v>2193</v>
      </c>
    </row>
    <row r="1982" spans="1:48" x14ac:dyDescent="0.25">
      <c r="A1982" t="s">
        <v>3323</v>
      </c>
      <c r="B1982" t="s">
        <v>302</v>
      </c>
      <c r="C1982" t="s">
        <v>62</v>
      </c>
      <c r="D1982">
        <v>99999</v>
      </c>
      <c r="F1982" s="109">
        <v>4000</v>
      </c>
      <c r="G1982" t="b">
        <v>0</v>
      </c>
      <c r="H1982" t="s">
        <v>341</v>
      </c>
      <c r="K1982" t="s">
        <v>61</v>
      </c>
      <c r="L1982" t="s">
        <v>303</v>
      </c>
      <c r="M1982" t="s">
        <v>323</v>
      </c>
      <c r="N1982" t="s">
        <v>63</v>
      </c>
      <c r="O1982" s="110">
        <v>49.9</v>
      </c>
      <c r="R1982" s="110">
        <v>344.99</v>
      </c>
      <c r="S1982" s="110">
        <v>130</v>
      </c>
      <c r="T1982" s="110">
        <v>0</v>
      </c>
      <c r="U1982" s="110">
        <v>42.99</v>
      </c>
      <c r="X1982">
        <v>127.1</v>
      </c>
      <c r="Y1982">
        <v>44.9</v>
      </c>
      <c r="Z1982">
        <v>44.9</v>
      </c>
      <c r="AA1982">
        <v>0</v>
      </c>
      <c r="AB1982" t="s">
        <v>324</v>
      </c>
      <c r="AF1982" t="s">
        <v>2259</v>
      </c>
      <c r="AG1982" t="s">
        <v>2259</v>
      </c>
      <c r="AH1982" t="s">
        <v>325</v>
      </c>
      <c r="AI1982">
        <v>99999</v>
      </c>
      <c r="AJ1982">
        <v>99999</v>
      </c>
      <c r="AK1982">
        <v>699</v>
      </c>
      <c r="AL1982" t="b">
        <v>1</v>
      </c>
      <c r="AM1982" t="b">
        <v>1</v>
      </c>
      <c r="AN1982" t="b">
        <v>0</v>
      </c>
      <c r="AO1982">
        <v>99999</v>
      </c>
      <c r="AP1982" t="s">
        <v>64</v>
      </c>
      <c r="AR1982" t="b">
        <v>0</v>
      </c>
      <c r="AS1982">
        <v>12</v>
      </c>
      <c r="AT1982" t="s">
        <v>327</v>
      </c>
      <c r="AV1982" t="s">
        <v>2267</v>
      </c>
    </row>
    <row r="1983" spans="1:48" x14ac:dyDescent="0.25">
      <c r="A1983" t="s">
        <v>3323</v>
      </c>
      <c r="B1983" t="s">
        <v>302</v>
      </c>
      <c r="C1983" t="s">
        <v>62</v>
      </c>
      <c r="D1983">
        <v>99999</v>
      </c>
      <c r="F1983" s="109">
        <v>4000</v>
      </c>
      <c r="G1983" t="b">
        <v>0</v>
      </c>
      <c r="H1983" t="s">
        <v>341</v>
      </c>
      <c r="K1983" t="s">
        <v>61</v>
      </c>
      <c r="L1983" t="s">
        <v>303</v>
      </c>
      <c r="M1983" t="s">
        <v>323</v>
      </c>
      <c r="N1983" t="s">
        <v>63</v>
      </c>
      <c r="O1983" s="110">
        <v>49.9</v>
      </c>
      <c r="R1983" s="110">
        <v>359.99</v>
      </c>
      <c r="S1983" s="110">
        <v>130</v>
      </c>
      <c r="T1983" s="110">
        <v>0</v>
      </c>
      <c r="U1983" s="110">
        <v>42.99</v>
      </c>
      <c r="X1983">
        <v>142.1</v>
      </c>
      <c r="Y1983">
        <v>44.9</v>
      </c>
      <c r="Z1983">
        <v>44.9</v>
      </c>
      <c r="AA1983">
        <v>0</v>
      </c>
      <c r="AB1983" t="s">
        <v>324</v>
      </c>
      <c r="AF1983" t="s">
        <v>2326</v>
      </c>
      <c r="AG1983" t="s">
        <v>2326</v>
      </c>
      <c r="AH1983" t="s">
        <v>325</v>
      </c>
      <c r="AI1983">
        <v>99999</v>
      </c>
      <c r="AJ1983">
        <v>99999</v>
      </c>
      <c r="AK1983">
        <v>699</v>
      </c>
      <c r="AL1983" t="b">
        <v>1</v>
      </c>
      <c r="AM1983" t="b">
        <v>1</v>
      </c>
      <c r="AN1983" t="b">
        <v>0</v>
      </c>
      <c r="AO1983">
        <v>99999</v>
      </c>
      <c r="AP1983" t="s">
        <v>64</v>
      </c>
      <c r="AR1983" t="b">
        <v>0</v>
      </c>
      <c r="AS1983">
        <v>12</v>
      </c>
      <c r="AT1983" t="s">
        <v>327</v>
      </c>
      <c r="AV1983" t="s">
        <v>2334</v>
      </c>
    </row>
    <row r="1984" spans="1:48" x14ac:dyDescent="0.25">
      <c r="A1984" t="s">
        <v>3323</v>
      </c>
      <c r="B1984" t="s">
        <v>302</v>
      </c>
      <c r="C1984" t="s">
        <v>62</v>
      </c>
      <c r="D1984">
        <v>99999</v>
      </c>
      <c r="F1984" s="109">
        <v>4000</v>
      </c>
      <c r="G1984" t="b">
        <v>0</v>
      </c>
      <c r="H1984" t="s">
        <v>341</v>
      </c>
      <c r="K1984" t="s">
        <v>61</v>
      </c>
      <c r="L1984" t="s">
        <v>303</v>
      </c>
      <c r="M1984" t="s">
        <v>323</v>
      </c>
      <c r="N1984" t="s">
        <v>63</v>
      </c>
      <c r="O1984" s="110">
        <v>49.9</v>
      </c>
      <c r="R1984" s="110">
        <v>354.99</v>
      </c>
      <c r="S1984" s="110">
        <v>130</v>
      </c>
      <c r="T1984" s="110">
        <v>0</v>
      </c>
      <c r="U1984" s="110">
        <v>42.99</v>
      </c>
      <c r="X1984">
        <v>137.1</v>
      </c>
      <c r="Y1984">
        <v>44.9</v>
      </c>
      <c r="Z1984">
        <v>44.9</v>
      </c>
      <c r="AA1984">
        <v>0</v>
      </c>
      <c r="AB1984" t="s">
        <v>324</v>
      </c>
      <c r="AF1984" t="s">
        <v>2393</v>
      </c>
      <c r="AG1984" t="s">
        <v>2393</v>
      </c>
      <c r="AH1984" t="s">
        <v>325</v>
      </c>
      <c r="AI1984">
        <v>99999</v>
      </c>
      <c r="AJ1984">
        <v>99999</v>
      </c>
      <c r="AK1984">
        <v>699</v>
      </c>
      <c r="AL1984" t="b">
        <v>1</v>
      </c>
      <c r="AM1984" t="b">
        <v>1</v>
      </c>
      <c r="AN1984" t="b">
        <v>0</v>
      </c>
      <c r="AO1984">
        <v>99999</v>
      </c>
      <c r="AP1984" t="s">
        <v>64</v>
      </c>
      <c r="AR1984" t="b">
        <v>0</v>
      </c>
      <c r="AS1984">
        <v>12</v>
      </c>
      <c r="AT1984" t="s">
        <v>327</v>
      </c>
      <c r="AV1984" t="s">
        <v>2401</v>
      </c>
    </row>
    <row r="1985" spans="1:48" x14ac:dyDescent="0.25">
      <c r="A1985" t="s">
        <v>3323</v>
      </c>
      <c r="B1985" t="s">
        <v>302</v>
      </c>
      <c r="C1985" t="s">
        <v>62</v>
      </c>
      <c r="D1985">
        <v>99999</v>
      </c>
      <c r="F1985" s="109">
        <v>4000</v>
      </c>
      <c r="G1985" t="b">
        <v>1</v>
      </c>
      <c r="H1985" t="s">
        <v>343</v>
      </c>
      <c r="K1985" t="s">
        <v>349</v>
      </c>
      <c r="L1985" t="s">
        <v>303</v>
      </c>
      <c r="M1985" t="s">
        <v>323</v>
      </c>
      <c r="N1985" t="s">
        <v>63</v>
      </c>
      <c r="O1985">
        <v>29.9</v>
      </c>
      <c r="R1985">
        <v>289.89</v>
      </c>
      <c r="S1985">
        <v>39.9</v>
      </c>
      <c r="T1985" s="110">
        <v>0</v>
      </c>
      <c r="U1985">
        <v>42.99</v>
      </c>
      <c r="X1985">
        <v>162.09999999999997</v>
      </c>
      <c r="Y1985">
        <v>44.9</v>
      </c>
      <c r="Z1985">
        <v>44.9</v>
      </c>
      <c r="AA1985">
        <v>0</v>
      </c>
      <c r="AB1985" t="s">
        <v>324</v>
      </c>
      <c r="AF1985" t="s">
        <v>326</v>
      </c>
      <c r="AG1985" t="s">
        <v>326</v>
      </c>
      <c r="AH1985" t="s">
        <v>325</v>
      </c>
      <c r="AI1985">
        <v>99999</v>
      </c>
      <c r="AJ1985">
        <v>99999</v>
      </c>
      <c r="AK1985">
        <v>699</v>
      </c>
      <c r="AL1985" t="b">
        <v>1</v>
      </c>
      <c r="AM1985" t="b">
        <v>1</v>
      </c>
      <c r="AN1985" t="b">
        <v>1</v>
      </c>
      <c r="AO1985">
        <v>99999</v>
      </c>
      <c r="AP1985" t="s">
        <v>64</v>
      </c>
      <c r="AR1985" t="b">
        <v>0</v>
      </c>
      <c r="AS1985">
        <v>12</v>
      </c>
      <c r="AT1985" t="s">
        <v>327</v>
      </c>
      <c r="AV1985" t="s">
        <v>362</v>
      </c>
    </row>
    <row r="1986" spans="1:48" x14ac:dyDescent="0.25">
      <c r="A1986" t="s">
        <v>3323</v>
      </c>
      <c r="B1986" t="s">
        <v>302</v>
      </c>
      <c r="C1986" t="s">
        <v>62</v>
      </c>
      <c r="D1986">
        <v>99999</v>
      </c>
      <c r="F1986" s="109">
        <v>4000</v>
      </c>
      <c r="G1986" t="b">
        <v>1</v>
      </c>
      <c r="H1986" t="s">
        <v>343</v>
      </c>
      <c r="K1986" t="s">
        <v>349</v>
      </c>
      <c r="L1986" t="s">
        <v>303</v>
      </c>
      <c r="M1986" t="s">
        <v>323</v>
      </c>
      <c r="N1986" t="s">
        <v>63</v>
      </c>
      <c r="O1986" s="110">
        <v>29.9</v>
      </c>
      <c r="R1986" s="110">
        <v>304.89</v>
      </c>
      <c r="S1986" s="110">
        <v>39.9</v>
      </c>
      <c r="T1986" s="110">
        <v>0</v>
      </c>
      <c r="U1986" s="110">
        <v>42.99</v>
      </c>
      <c r="X1986">
        <v>177.09999999999997</v>
      </c>
      <c r="Y1986">
        <v>44.9</v>
      </c>
      <c r="Z1986">
        <v>44.9</v>
      </c>
      <c r="AA1986">
        <v>0</v>
      </c>
      <c r="AB1986" t="s">
        <v>324</v>
      </c>
      <c r="AF1986" t="s">
        <v>474</v>
      </c>
      <c r="AG1986" t="s">
        <v>474</v>
      </c>
      <c r="AH1986" t="s">
        <v>325</v>
      </c>
      <c r="AI1986">
        <v>99999</v>
      </c>
      <c r="AJ1986">
        <v>99999</v>
      </c>
      <c r="AK1986">
        <v>699</v>
      </c>
      <c r="AL1986" t="b">
        <v>1</v>
      </c>
      <c r="AM1986" t="b">
        <v>1</v>
      </c>
      <c r="AN1986" t="b">
        <v>1</v>
      </c>
      <c r="AO1986">
        <v>99999</v>
      </c>
      <c r="AP1986" t="s">
        <v>64</v>
      </c>
      <c r="AR1986" t="b">
        <v>0</v>
      </c>
      <c r="AS1986">
        <v>12</v>
      </c>
      <c r="AT1986" t="s">
        <v>327</v>
      </c>
      <c r="AV1986" t="s">
        <v>500</v>
      </c>
    </row>
    <row r="1987" spans="1:48" x14ac:dyDescent="0.25">
      <c r="A1987" t="s">
        <v>3323</v>
      </c>
      <c r="B1987" t="s">
        <v>302</v>
      </c>
      <c r="C1987" t="s">
        <v>62</v>
      </c>
      <c r="D1987">
        <v>99999</v>
      </c>
      <c r="F1987" s="109">
        <v>4000</v>
      </c>
      <c r="G1987" t="b">
        <v>1</v>
      </c>
      <c r="H1987" t="s">
        <v>343</v>
      </c>
      <c r="K1987" t="s">
        <v>349</v>
      </c>
      <c r="L1987" t="s">
        <v>303</v>
      </c>
      <c r="M1987" t="s">
        <v>323</v>
      </c>
      <c r="N1987" t="s">
        <v>63</v>
      </c>
      <c r="O1987">
        <v>29.9</v>
      </c>
      <c r="R1987">
        <v>319.89</v>
      </c>
      <c r="S1987">
        <v>59.9</v>
      </c>
      <c r="T1987" s="110">
        <v>0</v>
      </c>
      <c r="U1987">
        <v>42.99</v>
      </c>
      <c r="X1987">
        <v>172.09999999999997</v>
      </c>
      <c r="Y1987">
        <v>44.9</v>
      </c>
      <c r="Z1987">
        <v>44.9</v>
      </c>
      <c r="AA1987">
        <v>0</v>
      </c>
      <c r="AB1987" t="s">
        <v>324</v>
      </c>
      <c r="AF1987" t="s">
        <v>608</v>
      </c>
      <c r="AG1987" t="s">
        <v>608</v>
      </c>
      <c r="AH1987" t="s">
        <v>325</v>
      </c>
      <c r="AI1987">
        <v>99999</v>
      </c>
      <c r="AJ1987">
        <v>99999</v>
      </c>
      <c r="AK1987">
        <v>699</v>
      </c>
      <c r="AL1987" t="b">
        <v>1</v>
      </c>
      <c r="AM1987" t="b">
        <v>1</v>
      </c>
      <c r="AN1987" t="b">
        <v>1</v>
      </c>
      <c r="AO1987">
        <v>99999</v>
      </c>
      <c r="AP1987" t="s">
        <v>64</v>
      </c>
      <c r="AR1987" t="b">
        <v>0</v>
      </c>
      <c r="AS1987">
        <v>12</v>
      </c>
      <c r="AT1987" t="s">
        <v>327</v>
      </c>
      <c r="AV1987" t="s">
        <v>634</v>
      </c>
    </row>
    <row r="1988" spans="1:48" x14ac:dyDescent="0.25">
      <c r="A1988" t="s">
        <v>3323</v>
      </c>
      <c r="B1988" t="s">
        <v>302</v>
      </c>
      <c r="C1988" t="s">
        <v>62</v>
      </c>
      <c r="D1988">
        <v>99999</v>
      </c>
      <c r="F1988" s="109">
        <v>4000</v>
      </c>
      <c r="G1988" t="b">
        <v>1</v>
      </c>
      <c r="H1988" t="s">
        <v>343</v>
      </c>
      <c r="K1988" t="s">
        <v>349</v>
      </c>
      <c r="L1988" t="s">
        <v>303</v>
      </c>
      <c r="M1988" t="s">
        <v>323</v>
      </c>
      <c r="N1988" t="s">
        <v>63</v>
      </c>
      <c r="O1988" s="110">
        <v>39.9</v>
      </c>
      <c r="R1988" s="110">
        <v>289.89</v>
      </c>
      <c r="S1988" s="110">
        <v>39.9</v>
      </c>
      <c r="T1988" s="110">
        <v>0</v>
      </c>
      <c r="U1988" s="110">
        <v>42.99</v>
      </c>
      <c r="X1988">
        <v>162.09999999999997</v>
      </c>
      <c r="Y1988">
        <v>44.9</v>
      </c>
      <c r="Z1988">
        <v>44.9</v>
      </c>
      <c r="AA1988">
        <v>0</v>
      </c>
      <c r="AB1988" t="s">
        <v>324</v>
      </c>
      <c r="AF1988" t="s">
        <v>407</v>
      </c>
      <c r="AG1988" t="s">
        <v>407</v>
      </c>
      <c r="AH1988" t="s">
        <v>325</v>
      </c>
      <c r="AI1988">
        <v>99999</v>
      </c>
      <c r="AJ1988">
        <v>99999</v>
      </c>
      <c r="AK1988">
        <v>699</v>
      </c>
      <c r="AL1988" t="b">
        <v>1</v>
      </c>
      <c r="AM1988" t="b">
        <v>1</v>
      </c>
      <c r="AN1988" t="b">
        <v>1</v>
      </c>
      <c r="AO1988">
        <v>99999</v>
      </c>
      <c r="AP1988" t="s">
        <v>64</v>
      </c>
      <c r="AR1988" t="b">
        <v>0</v>
      </c>
      <c r="AS1988">
        <v>12</v>
      </c>
      <c r="AT1988" t="s">
        <v>327</v>
      </c>
      <c r="AV1988" t="s">
        <v>433</v>
      </c>
    </row>
    <row r="1989" spans="1:48" x14ac:dyDescent="0.25">
      <c r="A1989" t="s">
        <v>3323</v>
      </c>
      <c r="B1989" t="s">
        <v>302</v>
      </c>
      <c r="C1989" t="s">
        <v>62</v>
      </c>
      <c r="D1989">
        <v>99999</v>
      </c>
      <c r="F1989" s="109">
        <v>4000</v>
      </c>
      <c r="G1989" t="b">
        <v>1</v>
      </c>
      <c r="H1989" t="s">
        <v>343</v>
      </c>
      <c r="K1989" t="s">
        <v>349</v>
      </c>
      <c r="L1989" t="s">
        <v>303</v>
      </c>
      <c r="M1989" t="s">
        <v>323</v>
      </c>
      <c r="N1989" t="s">
        <v>63</v>
      </c>
      <c r="O1989">
        <v>39.9</v>
      </c>
      <c r="R1989">
        <v>304.89</v>
      </c>
      <c r="S1989">
        <v>39.9</v>
      </c>
      <c r="T1989" s="110">
        <v>0</v>
      </c>
      <c r="U1989">
        <v>42.99</v>
      </c>
      <c r="X1989">
        <v>177.09999999999997</v>
      </c>
      <c r="Y1989">
        <v>44.9</v>
      </c>
      <c r="Z1989">
        <v>44.9</v>
      </c>
      <c r="AA1989">
        <v>0</v>
      </c>
      <c r="AB1989" t="s">
        <v>324</v>
      </c>
      <c r="AF1989" t="s">
        <v>541</v>
      </c>
      <c r="AG1989" t="s">
        <v>541</v>
      </c>
      <c r="AH1989" t="s">
        <v>325</v>
      </c>
      <c r="AI1989">
        <v>99999</v>
      </c>
      <c r="AJ1989">
        <v>99999</v>
      </c>
      <c r="AK1989">
        <v>699</v>
      </c>
      <c r="AL1989" t="b">
        <v>1</v>
      </c>
      <c r="AM1989" t="b">
        <v>1</v>
      </c>
      <c r="AN1989" t="b">
        <v>1</v>
      </c>
      <c r="AO1989">
        <v>99999</v>
      </c>
      <c r="AP1989" t="s">
        <v>64</v>
      </c>
      <c r="AR1989" t="b">
        <v>0</v>
      </c>
      <c r="AS1989">
        <v>12</v>
      </c>
      <c r="AT1989" t="s">
        <v>327</v>
      </c>
      <c r="AV1989" t="s">
        <v>567</v>
      </c>
    </row>
    <row r="1990" spans="1:48" x14ac:dyDescent="0.25">
      <c r="A1990" t="s">
        <v>3323</v>
      </c>
      <c r="B1990" t="s">
        <v>302</v>
      </c>
      <c r="C1990" t="s">
        <v>62</v>
      </c>
      <c r="D1990">
        <v>99999</v>
      </c>
      <c r="F1990" s="109">
        <v>4000</v>
      </c>
      <c r="G1990" t="b">
        <v>1</v>
      </c>
      <c r="H1990" t="s">
        <v>343</v>
      </c>
      <c r="K1990" t="s">
        <v>349</v>
      </c>
      <c r="L1990" t="s">
        <v>303</v>
      </c>
      <c r="M1990" t="s">
        <v>323</v>
      </c>
      <c r="N1990" t="s">
        <v>63</v>
      </c>
      <c r="O1990">
        <v>39.9</v>
      </c>
      <c r="R1990">
        <v>319.89</v>
      </c>
      <c r="S1990">
        <v>59.9</v>
      </c>
      <c r="T1990" s="110">
        <v>0</v>
      </c>
      <c r="U1990">
        <v>42.99</v>
      </c>
      <c r="X1990">
        <v>172.09999999999997</v>
      </c>
      <c r="Y1990">
        <v>44.9</v>
      </c>
      <c r="Z1990">
        <v>44.9</v>
      </c>
      <c r="AA1990">
        <v>0</v>
      </c>
      <c r="AB1990" t="s">
        <v>324</v>
      </c>
      <c r="AF1990" t="s">
        <v>675</v>
      </c>
      <c r="AG1990" t="s">
        <v>675</v>
      </c>
      <c r="AH1990" t="s">
        <v>325</v>
      </c>
      <c r="AI1990">
        <v>99999</v>
      </c>
      <c r="AJ1990">
        <v>99999</v>
      </c>
      <c r="AK1990">
        <v>699</v>
      </c>
      <c r="AL1990" t="b">
        <v>1</v>
      </c>
      <c r="AM1990" t="b">
        <v>1</v>
      </c>
      <c r="AN1990" t="b">
        <v>1</v>
      </c>
      <c r="AO1990">
        <v>99999</v>
      </c>
      <c r="AP1990" t="s">
        <v>64</v>
      </c>
      <c r="AR1990" t="b">
        <v>0</v>
      </c>
      <c r="AS1990">
        <v>12</v>
      </c>
      <c r="AT1990" t="s">
        <v>327</v>
      </c>
      <c r="AV1990" t="s">
        <v>701</v>
      </c>
    </row>
    <row r="1991" spans="1:48" x14ac:dyDescent="0.25">
      <c r="A1991" t="s">
        <v>3323</v>
      </c>
      <c r="B1991" t="s">
        <v>302</v>
      </c>
      <c r="C1991" t="s">
        <v>62</v>
      </c>
      <c r="D1991">
        <v>99999</v>
      </c>
      <c r="F1991" s="109">
        <v>4000</v>
      </c>
      <c r="G1991" t="b">
        <v>1</v>
      </c>
      <c r="H1991" t="s">
        <v>343</v>
      </c>
      <c r="K1991" t="s">
        <v>349</v>
      </c>
      <c r="L1991" t="s">
        <v>303</v>
      </c>
      <c r="M1991" t="s">
        <v>323</v>
      </c>
      <c r="N1991" t="s">
        <v>63</v>
      </c>
      <c r="O1991" s="110">
        <v>49.9</v>
      </c>
      <c r="R1991" s="110">
        <v>330.68999999999994</v>
      </c>
      <c r="S1991" s="110">
        <v>130</v>
      </c>
      <c r="T1991" s="110">
        <v>0</v>
      </c>
      <c r="U1991" s="110">
        <v>34.99</v>
      </c>
      <c r="X1991">
        <v>120.79999999999995</v>
      </c>
      <c r="Y1991">
        <v>44.9</v>
      </c>
      <c r="Z1991">
        <v>44.9</v>
      </c>
      <c r="AA1991">
        <v>0</v>
      </c>
      <c r="AB1991" t="s">
        <v>324</v>
      </c>
      <c r="AF1991" t="s">
        <v>2185</v>
      </c>
      <c r="AG1991" t="s">
        <v>2185</v>
      </c>
      <c r="AH1991" t="s">
        <v>325</v>
      </c>
      <c r="AI1991">
        <v>99999</v>
      </c>
      <c r="AJ1991">
        <v>99999</v>
      </c>
      <c r="AK1991">
        <v>699</v>
      </c>
      <c r="AL1991" t="b">
        <v>1</v>
      </c>
      <c r="AM1991" t="b">
        <v>1</v>
      </c>
      <c r="AN1991" t="b">
        <v>1</v>
      </c>
      <c r="AO1991">
        <v>99999</v>
      </c>
      <c r="AP1991" t="s">
        <v>64</v>
      </c>
      <c r="AR1991" t="b">
        <v>0</v>
      </c>
      <c r="AS1991">
        <v>12</v>
      </c>
      <c r="AT1991" t="s">
        <v>327</v>
      </c>
      <c r="AV1991" t="s">
        <v>2211</v>
      </c>
    </row>
    <row r="1992" spans="1:48" x14ac:dyDescent="0.25">
      <c r="A1992" t="s">
        <v>3323</v>
      </c>
      <c r="B1992" t="s">
        <v>302</v>
      </c>
      <c r="C1992" t="s">
        <v>62</v>
      </c>
      <c r="D1992">
        <v>99999</v>
      </c>
      <c r="F1992" s="109">
        <v>4000</v>
      </c>
      <c r="G1992" t="b">
        <v>1</v>
      </c>
      <c r="H1992" t="s">
        <v>343</v>
      </c>
      <c r="K1992" t="s">
        <v>349</v>
      </c>
      <c r="L1992" t="s">
        <v>303</v>
      </c>
      <c r="M1992" t="s">
        <v>323</v>
      </c>
      <c r="N1992" t="s">
        <v>63</v>
      </c>
      <c r="O1992" s="110">
        <v>49.9</v>
      </c>
      <c r="R1992" s="110">
        <v>369.98999999999995</v>
      </c>
      <c r="S1992" s="110">
        <v>130</v>
      </c>
      <c r="T1992" s="110">
        <v>0</v>
      </c>
      <c r="U1992" s="110">
        <v>42.99</v>
      </c>
      <c r="X1992">
        <v>152.09999999999997</v>
      </c>
      <c r="Y1992">
        <v>44.9</v>
      </c>
      <c r="Z1992">
        <v>44.9</v>
      </c>
      <c r="AA1992">
        <v>0</v>
      </c>
      <c r="AB1992" t="s">
        <v>324</v>
      </c>
      <c r="AF1992" t="s">
        <v>2259</v>
      </c>
      <c r="AG1992" t="s">
        <v>2259</v>
      </c>
      <c r="AH1992" t="s">
        <v>325</v>
      </c>
      <c r="AI1992">
        <v>99999</v>
      </c>
      <c r="AJ1992">
        <v>99999</v>
      </c>
      <c r="AK1992">
        <v>699</v>
      </c>
      <c r="AL1992" t="b">
        <v>1</v>
      </c>
      <c r="AM1992" t="b">
        <v>1</v>
      </c>
      <c r="AN1992" t="b">
        <v>1</v>
      </c>
      <c r="AO1992">
        <v>99999</v>
      </c>
      <c r="AP1992" t="s">
        <v>64</v>
      </c>
      <c r="AR1992" t="b">
        <v>0</v>
      </c>
      <c r="AS1992">
        <v>12</v>
      </c>
      <c r="AT1992" t="s">
        <v>327</v>
      </c>
      <c r="AV1992" t="s">
        <v>2285</v>
      </c>
    </row>
    <row r="1993" spans="1:48" x14ac:dyDescent="0.25">
      <c r="A1993" t="s">
        <v>3323</v>
      </c>
      <c r="B1993" t="s">
        <v>302</v>
      </c>
      <c r="C1993" t="s">
        <v>62</v>
      </c>
      <c r="D1993">
        <v>99999</v>
      </c>
      <c r="F1993" s="109">
        <v>4000</v>
      </c>
      <c r="G1993" t="b">
        <v>1</v>
      </c>
      <c r="H1993" t="s">
        <v>343</v>
      </c>
      <c r="K1993" t="s">
        <v>349</v>
      </c>
      <c r="L1993" t="s">
        <v>303</v>
      </c>
      <c r="M1993" t="s">
        <v>323</v>
      </c>
      <c r="N1993" t="s">
        <v>63</v>
      </c>
      <c r="O1993" s="110">
        <v>49.9</v>
      </c>
      <c r="R1993" s="110">
        <v>344.98999999999995</v>
      </c>
      <c r="S1993" s="110">
        <v>130</v>
      </c>
      <c r="T1993" s="110">
        <v>0</v>
      </c>
      <c r="U1993" s="110">
        <v>42.99</v>
      </c>
      <c r="X1993">
        <v>127.09999999999997</v>
      </c>
      <c r="Y1993">
        <v>44.9</v>
      </c>
      <c r="Z1993">
        <v>44.9</v>
      </c>
      <c r="AA1993">
        <v>0</v>
      </c>
      <c r="AB1993" t="s">
        <v>324</v>
      </c>
      <c r="AF1993" t="s">
        <v>2326</v>
      </c>
      <c r="AG1993" t="s">
        <v>2326</v>
      </c>
      <c r="AH1993" t="s">
        <v>325</v>
      </c>
      <c r="AI1993">
        <v>99999</v>
      </c>
      <c r="AJ1993">
        <v>99999</v>
      </c>
      <c r="AK1993">
        <v>699</v>
      </c>
      <c r="AL1993" t="b">
        <v>1</v>
      </c>
      <c r="AM1993" t="b">
        <v>1</v>
      </c>
      <c r="AN1993" t="b">
        <v>1</v>
      </c>
      <c r="AO1993">
        <v>99999</v>
      </c>
      <c r="AP1993" t="s">
        <v>64</v>
      </c>
      <c r="AR1993" t="b">
        <v>0</v>
      </c>
      <c r="AS1993">
        <v>12</v>
      </c>
      <c r="AT1993" t="s">
        <v>327</v>
      </c>
      <c r="AV1993" t="s">
        <v>2352</v>
      </c>
    </row>
    <row r="1994" spans="1:48" x14ac:dyDescent="0.25">
      <c r="A1994" t="s">
        <v>3323</v>
      </c>
      <c r="B1994" t="s">
        <v>302</v>
      </c>
      <c r="C1994" t="s">
        <v>62</v>
      </c>
      <c r="D1994">
        <v>99999</v>
      </c>
      <c r="F1994" s="109">
        <v>4000</v>
      </c>
      <c r="G1994" t="b">
        <v>1</v>
      </c>
      <c r="H1994" t="s">
        <v>343</v>
      </c>
      <c r="K1994" t="s">
        <v>349</v>
      </c>
      <c r="L1994" t="s">
        <v>303</v>
      </c>
      <c r="M1994" t="s">
        <v>323</v>
      </c>
      <c r="N1994" t="s">
        <v>63</v>
      </c>
      <c r="O1994" s="110">
        <v>49.9</v>
      </c>
      <c r="R1994" s="110">
        <v>374.89</v>
      </c>
      <c r="S1994" s="110">
        <v>130</v>
      </c>
      <c r="T1994" s="110">
        <v>0</v>
      </c>
      <c r="U1994" s="110">
        <v>42.99</v>
      </c>
      <c r="X1994">
        <v>156.99999999999997</v>
      </c>
      <c r="Y1994">
        <v>44.9</v>
      </c>
      <c r="Z1994">
        <v>44.9</v>
      </c>
      <c r="AA1994">
        <v>0</v>
      </c>
      <c r="AB1994" t="s">
        <v>324</v>
      </c>
      <c r="AF1994" t="s">
        <v>2393</v>
      </c>
      <c r="AG1994" t="s">
        <v>2393</v>
      </c>
      <c r="AH1994" t="s">
        <v>325</v>
      </c>
      <c r="AI1994">
        <v>99999</v>
      </c>
      <c r="AJ1994">
        <v>99999</v>
      </c>
      <c r="AK1994">
        <v>699</v>
      </c>
      <c r="AL1994" t="b">
        <v>1</v>
      </c>
      <c r="AM1994" t="b">
        <v>1</v>
      </c>
      <c r="AN1994" t="b">
        <v>1</v>
      </c>
      <c r="AO1994">
        <v>99999</v>
      </c>
      <c r="AP1994" t="s">
        <v>64</v>
      </c>
      <c r="AR1994" t="b">
        <v>0</v>
      </c>
      <c r="AS1994">
        <v>12</v>
      </c>
      <c r="AT1994" t="s">
        <v>327</v>
      </c>
      <c r="AV1994" t="s">
        <v>2419</v>
      </c>
    </row>
    <row r="1995" spans="1:48" x14ac:dyDescent="0.25">
      <c r="A1995" t="s">
        <v>3323</v>
      </c>
      <c r="B1995" t="s">
        <v>302</v>
      </c>
      <c r="C1995" t="s">
        <v>62</v>
      </c>
      <c r="D1995">
        <v>99999</v>
      </c>
      <c r="F1995" s="109">
        <v>4000</v>
      </c>
      <c r="G1995" t="b">
        <v>1</v>
      </c>
      <c r="H1995" t="s">
        <v>343</v>
      </c>
      <c r="K1995" t="s">
        <v>393</v>
      </c>
      <c r="L1995" t="s">
        <v>303</v>
      </c>
      <c r="M1995" t="s">
        <v>323</v>
      </c>
      <c r="N1995" t="s">
        <v>63</v>
      </c>
      <c r="O1995" s="110">
        <v>29.9</v>
      </c>
      <c r="R1995" s="110">
        <v>314.89</v>
      </c>
      <c r="S1995" s="110">
        <v>39.9</v>
      </c>
      <c r="T1995" s="110">
        <v>0</v>
      </c>
      <c r="U1995" s="110">
        <v>42.99</v>
      </c>
      <c r="X1995">
        <v>162.09999999999997</v>
      </c>
      <c r="Y1995">
        <v>69.900000000000006</v>
      </c>
      <c r="Z1995">
        <v>69.900000000000006</v>
      </c>
      <c r="AA1995">
        <v>0</v>
      </c>
      <c r="AB1995" t="s">
        <v>363</v>
      </c>
      <c r="AF1995" t="s">
        <v>365</v>
      </c>
      <c r="AG1995" t="s">
        <v>365</v>
      </c>
      <c r="AH1995" t="s">
        <v>325</v>
      </c>
      <c r="AI1995">
        <v>99999</v>
      </c>
      <c r="AJ1995">
        <v>99999</v>
      </c>
      <c r="AK1995">
        <v>699</v>
      </c>
      <c r="AL1995" t="b">
        <v>1</v>
      </c>
      <c r="AM1995" t="b">
        <v>1</v>
      </c>
      <c r="AN1995" t="b">
        <v>1</v>
      </c>
      <c r="AO1995">
        <v>99999</v>
      </c>
      <c r="AP1995" t="s">
        <v>64</v>
      </c>
      <c r="AR1995" t="b">
        <v>0</v>
      </c>
      <c r="AS1995">
        <v>12</v>
      </c>
      <c r="AT1995" t="s">
        <v>327</v>
      </c>
      <c r="AV1995" t="s">
        <v>406</v>
      </c>
    </row>
    <row r="1996" spans="1:48" x14ac:dyDescent="0.25">
      <c r="A1996" t="s">
        <v>3323</v>
      </c>
      <c r="B1996" t="s">
        <v>302</v>
      </c>
      <c r="C1996" t="s">
        <v>62</v>
      </c>
      <c r="D1996">
        <v>99999</v>
      </c>
      <c r="F1996" s="109">
        <v>4000</v>
      </c>
      <c r="G1996" t="b">
        <v>1</v>
      </c>
      <c r="H1996" t="s">
        <v>343</v>
      </c>
      <c r="K1996" t="s">
        <v>393</v>
      </c>
      <c r="L1996" t="s">
        <v>303</v>
      </c>
      <c r="M1996" t="s">
        <v>323</v>
      </c>
      <c r="N1996" t="s">
        <v>63</v>
      </c>
      <c r="O1996">
        <v>29.9</v>
      </c>
      <c r="R1996">
        <v>329.89</v>
      </c>
      <c r="S1996">
        <v>39.9</v>
      </c>
      <c r="T1996" s="110">
        <v>0</v>
      </c>
      <c r="U1996">
        <v>42.99</v>
      </c>
      <c r="X1996">
        <v>177.09999999999997</v>
      </c>
      <c r="Y1996">
        <v>69.900000000000006</v>
      </c>
      <c r="Z1996">
        <v>69.900000000000006</v>
      </c>
      <c r="AA1996">
        <v>0</v>
      </c>
      <c r="AB1996" t="s">
        <v>363</v>
      </c>
      <c r="AF1996" t="s">
        <v>501</v>
      </c>
      <c r="AG1996" t="s">
        <v>501</v>
      </c>
      <c r="AH1996" t="s">
        <v>325</v>
      </c>
      <c r="AI1996">
        <v>99999</v>
      </c>
      <c r="AJ1996">
        <v>99999</v>
      </c>
      <c r="AK1996">
        <v>699</v>
      </c>
      <c r="AL1996" t="b">
        <v>1</v>
      </c>
      <c r="AM1996" t="b">
        <v>1</v>
      </c>
      <c r="AN1996" t="b">
        <v>1</v>
      </c>
      <c r="AO1996">
        <v>99999</v>
      </c>
      <c r="AP1996" t="s">
        <v>64</v>
      </c>
      <c r="AR1996" t="b">
        <v>0</v>
      </c>
      <c r="AS1996">
        <v>12</v>
      </c>
      <c r="AT1996" t="s">
        <v>327</v>
      </c>
      <c r="AV1996" t="s">
        <v>540</v>
      </c>
    </row>
    <row r="1997" spans="1:48" x14ac:dyDescent="0.25">
      <c r="A1997" t="s">
        <v>3323</v>
      </c>
      <c r="B1997" t="s">
        <v>302</v>
      </c>
      <c r="C1997" t="s">
        <v>62</v>
      </c>
      <c r="D1997">
        <v>99999</v>
      </c>
      <c r="F1997" s="109">
        <v>4000</v>
      </c>
      <c r="G1997" t="b">
        <v>1</v>
      </c>
      <c r="H1997" t="s">
        <v>343</v>
      </c>
      <c r="K1997" t="s">
        <v>393</v>
      </c>
      <c r="L1997" t="s">
        <v>303</v>
      </c>
      <c r="M1997" t="s">
        <v>323</v>
      </c>
      <c r="N1997" t="s">
        <v>63</v>
      </c>
      <c r="O1997">
        <v>29.9</v>
      </c>
      <c r="R1997">
        <v>344.89</v>
      </c>
      <c r="S1997">
        <v>59.9</v>
      </c>
      <c r="T1997" s="110">
        <v>0</v>
      </c>
      <c r="U1997">
        <v>42.99</v>
      </c>
      <c r="X1997">
        <v>172.09999999999997</v>
      </c>
      <c r="Y1997">
        <v>69.900000000000006</v>
      </c>
      <c r="Z1997">
        <v>69.900000000000006</v>
      </c>
      <c r="AA1997">
        <v>0</v>
      </c>
      <c r="AB1997" t="s">
        <v>363</v>
      </c>
      <c r="AF1997" t="s">
        <v>635</v>
      </c>
      <c r="AG1997" t="s">
        <v>635</v>
      </c>
      <c r="AH1997" t="s">
        <v>325</v>
      </c>
      <c r="AI1997">
        <v>99999</v>
      </c>
      <c r="AJ1997">
        <v>99999</v>
      </c>
      <c r="AK1997">
        <v>699</v>
      </c>
      <c r="AL1997" t="b">
        <v>1</v>
      </c>
      <c r="AM1997" t="b">
        <v>1</v>
      </c>
      <c r="AN1997" t="b">
        <v>1</v>
      </c>
      <c r="AO1997">
        <v>99999</v>
      </c>
      <c r="AP1997" t="s">
        <v>64</v>
      </c>
      <c r="AR1997" t="b">
        <v>0</v>
      </c>
      <c r="AS1997">
        <v>12</v>
      </c>
      <c r="AT1997" t="s">
        <v>327</v>
      </c>
      <c r="AV1997" t="s">
        <v>674</v>
      </c>
    </row>
    <row r="1998" spans="1:48" x14ac:dyDescent="0.25">
      <c r="A1998" t="s">
        <v>3323</v>
      </c>
      <c r="B1998" t="s">
        <v>302</v>
      </c>
      <c r="C1998" t="s">
        <v>62</v>
      </c>
      <c r="D1998">
        <v>99999</v>
      </c>
      <c r="F1998" s="109">
        <v>4000</v>
      </c>
      <c r="G1998" t="b">
        <v>1</v>
      </c>
      <c r="H1998" t="s">
        <v>343</v>
      </c>
      <c r="K1998" t="s">
        <v>393</v>
      </c>
      <c r="L1998" t="s">
        <v>303</v>
      </c>
      <c r="M1998" t="s">
        <v>323</v>
      </c>
      <c r="N1998" t="s">
        <v>63</v>
      </c>
      <c r="O1998">
        <v>39.9</v>
      </c>
      <c r="R1998">
        <v>314.89</v>
      </c>
      <c r="S1998">
        <v>39.9</v>
      </c>
      <c r="T1998" s="110">
        <v>0</v>
      </c>
      <c r="U1998">
        <v>42.99</v>
      </c>
      <c r="X1998">
        <v>162.09999999999997</v>
      </c>
      <c r="Y1998">
        <v>69.900000000000006</v>
      </c>
      <c r="Z1998">
        <v>69.900000000000006</v>
      </c>
      <c r="AA1998">
        <v>0</v>
      </c>
      <c r="AB1998" t="s">
        <v>363</v>
      </c>
      <c r="AF1998" t="s">
        <v>434</v>
      </c>
      <c r="AG1998" t="s">
        <v>434</v>
      </c>
      <c r="AH1998" t="s">
        <v>325</v>
      </c>
      <c r="AI1998">
        <v>99999</v>
      </c>
      <c r="AJ1998">
        <v>99999</v>
      </c>
      <c r="AK1998">
        <v>699</v>
      </c>
      <c r="AL1998" t="b">
        <v>1</v>
      </c>
      <c r="AM1998" t="b">
        <v>1</v>
      </c>
      <c r="AN1998" t="b">
        <v>1</v>
      </c>
      <c r="AO1998">
        <v>99999</v>
      </c>
      <c r="AP1998" t="s">
        <v>64</v>
      </c>
      <c r="AR1998" t="b">
        <v>0</v>
      </c>
      <c r="AS1998">
        <v>12</v>
      </c>
      <c r="AT1998" t="s">
        <v>327</v>
      </c>
      <c r="AV1998" t="s">
        <v>473</v>
      </c>
    </row>
    <row r="1999" spans="1:48" x14ac:dyDescent="0.25">
      <c r="A1999" t="s">
        <v>3323</v>
      </c>
      <c r="B1999" t="s">
        <v>302</v>
      </c>
      <c r="C1999" t="s">
        <v>62</v>
      </c>
      <c r="D1999">
        <v>99999</v>
      </c>
      <c r="F1999" s="109">
        <v>4000</v>
      </c>
      <c r="G1999" t="b">
        <v>1</v>
      </c>
      <c r="H1999" t="s">
        <v>343</v>
      </c>
      <c r="K1999" t="s">
        <v>393</v>
      </c>
      <c r="L1999" t="s">
        <v>303</v>
      </c>
      <c r="M1999" t="s">
        <v>323</v>
      </c>
      <c r="N1999" t="s">
        <v>63</v>
      </c>
      <c r="O1999">
        <v>39.9</v>
      </c>
      <c r="R1999">
        <v>329.89</v>
      </c>
      <c r="S1999">
        <v>39.9</v>
      </c>
      <c r="T1999" s="110">
        <v>0</v>
      </c>
      <c r="U1999">
        <v>42.99</v>
      </c>
      <c r="X1999">
        <v>177.09999999999997</v>
      </c>
      <c r="Y1999">
        <v>69.900000000000006</v>
      </c>
      <c r="Z1999">
        <v>69.900000000000006</v>
      </c>
      <c r="AA1999">
        <v>0</v>
      </c>
      <c r="AB1999" t="s">
        <v>363</v>
      </c>
      <c r="AF1999" t="s">
        <v>568</v>
      </c>
      <c r="AG1999" t="s">
        <v>568</v>
      </c>
      <c r="AH1999" t="s">
        <v>325</v>
      </c>
      <c r="AI1999">
        <v>99999</v>
      </c>
      <c r="AJ1999">
        <v>99999</v>
      </c>
      <c r="AK1999">
        <v>699</v>
      </c>
      <c r="AL1999" t="b">
        <v>1</v>
      </c>
      <c r="AM1999" t="b">
        <v>1</v>
      </c>
      <c r="AN1999" t="b">
        <v>1</v>
      </c>
      <c r="AO1999">
        <v>99999</v>
      </c>
      <c r="AP1999" t="s">
        <v>64</v>
      </c>
      <c r="AR1999" t="b">
        <v>0</v>
      </c>
      <c r="AS1999">
        <v>12</v>
      </c>
      <c r="AT1999" t="s">
        <v>327</v>
      </c>
      <c r="AV1999" t="s">
        <v>607</v>
      </c>
    </row>
    <row r="2000" spans="1:48" x14ac:dyDescent="0.25">
      <c r="A2000" t="s">
        <v>3323</v>
      </c>
      <c r="B2000" t="s">
        <v>302</v>
      </c>
      <c r="C2000" t="s">
        <v>62</v>
      </c>
      <c r="D2000">
        <v>99999</v>
      </c>
      <c r="F2000" s="109">
        <v>4000</v>
      </c>
      <c r="G2000" t="b">
        <v>1</v>
      </c>
      <c r="H2000" t="s">
        <v>343</v>
      </c>
      <c r="K2000" t="s">
        <v>393</v>
      </c>
      <c r="L2000" t="s">
        <v>303</v>
      </c>
      <c r="M2000" t="s">
        <v>323</v>
      </c>
      <c r="N2000" t="s">
        <v>63</v>
      </c>
      <c r="O2000">
        <v>39.9</v>
      </c>
      <c r="R2000">
        <v>344.89</v>
      </c>
      <c r="S2000">
        <v>59.9</v>
      </c>
      <c r="T2000" s="110">
        <v>0</v>
      </c>
      <c r="U2000">
        <v>42.99</v>
      </c>
      <c r="X2000">
        <v>172.09999999999997</v>
      </c>
      <c r="Y2000">
        <v>69.900000000000006</v>
      </c>
      <c r="Z2000">
        <v>69.900000000000006</v>
      </c>
      <c r="AA2000">
        <v>0</v>
      </c>
      <c r="AB2000" t="s">
        <v>363</v>
      </c>
      <c r="AF2000" t="s">
        <v>702</v>
      </c>
      <c r="AG2000" t="s">
        <v>702</v>
      </c>
      <c r="AH2000" t="s">
        <v>325</v>
      </c>
      <c r="AI2000">
        <v>99999</v>
      </c>
      <c r="AJ2000">
        <v>99999</v>
      </c>
      <c r="AK2000">
        <v>699</v>
      </c>
      <c r="AL2000" t="b">
        <v>1</v>
      </c>
      <c r="AM2000" t="b">
        <v>1</v>
      </c>
      <c r="AN2000" t="b">
        <v>1</v>
      </c>
      <c r="AO2000">
        <v>99999</v>
      </c>
      <c r="AP2000" t="s">
        <v>64</v>
      </c>
      <c r="AR2000" t="b">
        <v>0</v>
      </c>
      <c r="AS2000">
        <v>12</v>
      </c>
      <c r="AT2000" t="s">
        <v>327</v>
      </c>
      <c r="AV2000" t="s">
        <v>741</v>
      </c>
    </row>
    <row r="2001" spans="1:48" x14ac:dyDescent="0.25">
      <c r="A2001" t="s">
        <v>3323</v>
      </c>
      <c r="B2001" t="s">
        <v>302</v>
      </c>
      <c r="C2001" t="s">
        <v>62</v>
      </c>
      <c r="D2001">
        <v>99999</v>
      </c>
      <c r="F2001" s="109">
        <v>4000</v>
      </c>
      <c r="G2001" t="b">
        <v>1</v>
      </c>
      <c r="H2001" t="s">
        <v>343</v>
      </c>
      <c r="K2001" t="s">
        <v>393</v>
      </c>
      <c r="L2001" t="s">
        <v>303</v>
      </c>
      <c r="M2001" t="s">
        <v>323</v>
      </c>
      <c r="N2001" t="s">
        <v>63</v>
      </c>
      <c r="O2001" s="110">
        <v>49.9</v>
      </c>
      <c r="R2001" s="110">
        <v>355.68999999999994</v>
      </c>
      <c r="S2001" s="110">
        <v>130</v>
      </c>
      <c r="T2001" s="110">
        <v>0</v>
      </c>
      <c r="U2001" s="110">
        <v>34.99</v>
      </c>
      <c r="X2001">
        <v>120.79999999999995</v>
      </c>
      <c r="Y2001">
        <v>69.900000000000006</v>
      </c>
      <c r="Z2001">
        <v>69.900000000000006</v>
      </c>
      <c r="AA2001">
        <v>0</v>
      </c>
      <c r="AB2001" t="s">
        <v>363</v>
      </c>
      <c r="AF2001" t="s">
        <v>2212</v>
      </c>
      <c r="AG2001" t="s">
        <v>2212</v>
      </c>
      <c r="AH2001" t="s">
        <v>325</v>
      </c>
      <c r="AI2001">
        <v>99999</v>
      </c>
      <c r="AJ2001">
        <v>99999</v>
      </c>
      <c r="AK2001">
        <v>699</v>
      </c>
      <c r="AL2001" t="b">
        <v>1</v>
      </c>
      <c r="AM2001" t="b">
        <v>1</v>
      </c>
      <c r="AN2001" t="b">
        <v>1</v>
      </c>
      <c r="AO2001">
        <v>99999</v>
      </c>
      <c r="AP2001" t="s">
        <v>64</v>
      </c>
      <c r="AR2001" t="b">
        <v>0</v>
      </c>
      <c r="AS2001">
        <v>12</v>
      </c>
      <c r="AT2001" t="s">
        <v>327</v>
      </c>
      <c r="AV2001" t="s">
        <v>2251</v>
      </c>
    </row>
    <row r="2002" spans="1:48" x14ac:dyDescent="0.25">
      <c r="A2002" t="s">
        <v>3323</v>
      </c>
      <c r="B2002" t="s">
        <v>302</v>
      </c>
      <c r="C2002" t="s">
        <v>62</v>
      </c>
      <c r="D2002">
        <v>99999</v>
      </c>
      <c r="F2002" s="109">
        <v>4000</v>
      </c>
      <c r="G2002" t="b">
        <v>1</v>
      </c>
      <c r="H2002" t="s">
        <v>343</v>
      </c>
      <c r="K2002" t="s">
        <v>393</v>
      </c>
      <c r="L2002" t="s">
        <v>303</v>
      </c>
      <c r="M2002" t="s">
        <v>323</v>
      </c>
      <c r="N2002" t="s">
        <v>63</v>
      </c>
      <c r="O2002" s="110">
        <v>49.9</v>
      </c>
      <c r="R2002" s="110">
        <v>394.99</v>
      </c>
      <c r="S2002" s="110">
        <v>130</v>
      </c>
      <c r="T2002" s="110">
        <v>0</v>
      </c>
      <c r="U2002" s="110">
        <v>42.99</v>
      </c>
      <c r="X2002">
        <v>152.09999999999997</v>
      </c>
      <c r="Y2002">
        <v>69.900000000000006</v>
      </c>
      <c r="Z2002">
        <v>69.900000000000006</v>
      </c>
      <c r="AA2002">
        <v>0</v>
      </c>
      <c r="AB2002" t="s">
        <v>363</v>
      </c>
      <c r="AF2002" t="s">
        <v>2286</v>
      </c>
      <c r="AG2002" t="s">
        <v>2286</v>
      </c>
      <c r="AH2002" t="s">
        <v>325</v>
      </c>
      <c r="AI2002">
        <v>99999</v>
      </c>
      <c r="AJ2002">
        <v>99999</v>
      </c>
      <c r="AK2002">
        <v>699</v>
      </c>
      <c r="AL2002" t="b">
        <v>1</v>
      </c>
      <c r="AM2002" t="b">
        <v>1</v>
      </c>
      <c r="AN2002" t="b">
        <v>1</v>
      </c>
      <c r="AO2002">
        <v>99999</v>
      </c>
      <c r="AP2002" t="s">
        <v>64</v>
      </c>
      <c r="AR2002" t="b">
        <v>0</v>
      </c>
      <c r="AS2002">
        <v>12</v>
      </c>
      <c r="AT2002" t="s">
        <v>327</v>
      </c>
      <c r="AV2002" t="s">
        <v>2325</v>
      </c>
    </row>
    <row r="2003" spans="1:48" x14ac:dyDescent="0.25">
      <c r="A2003" t="s">
        <v>3323</v>
      </c>
      <c r="B2003" t="s">
        <v>302</v>
      </c>
      <c r="C2003" t="s">
        <v>62</v>
      </c>
      <c r="D2003">
        <v>99999</v>
      </c>
      <c r="F2003" s="109">
        <v>4000</v>
      </c>
      <c r="G2003" t="b">
        <v>1</v>
      </c>
      <c r="H2003" t="s">
        <v>343</v>
      </c>
      <c r="K2003" t="s">
        <v>393</v>
      </c>
      <c r="L2003" t="s">
        <v>303</v>
      </c>
      <c r="M2003" t="s">
        <v>323</v>
      </c>
      <c r="N2003" t="s">
        <v>63</v>
      </c>
      <c r="O2003" s="110">
        <v>49.9</v>
      </c>
      <c r="R2003" s="110">
        <v>369.99</v>
      </c>
      <c r="S2003" s="110">
        <v>130</v>
      </c>
      <c r="T2003" s="110">
        <v>0</v>
      </c>
      <c r="U2003" s="110">
        <v>42.99</v>
      </c>
      <c r="X2003">
        <v>127.09999999999997</v>
      </c>
      <c r="Y2003">
        <v>69.900000000000006</v>
      </c>
      <c r="Z2003">
        <v>69.900000000000006</v>
      </c>
      <c r="AA2003">
        <v>0</v>
      </c>
      <c r="AB2003" t="s">
        <v>363</v>
      </c>
      <c r="AF2003" t="s">
        <v>2353</v>
      </c>
      <c r="AG2003" t="s">
        <v>2353</v>
      </c>
      <c r="AH2003" t="s">
        <v>325</v>
      </c>
      <c r="AI2003">
        <v>99999</v>
      </c>
      <c r="AJ2003">
        <v>99999</v>
      </c>
      <c r="AK2003">
        <v>699</v>
      </c>
      <c r="AL2003" t="b">
        <v>1</v>
      </c>
      <c r="AM2003" t="b">
        <v>1</v>
      </c>
      <c r="AN2003" t="b">
        <v>1</v>
      </c>
      <c r="AO2003">
        <v>99999</v>
      </c>
      <c r="AP2003" t="s">
        <v>64</v>
      </c>
      <c r="AR2003" t="b">
        <v>0</v>
      </c>
      <c r="AS2003">
        <v>12</v>
      </c>
      <c r="AT2003" t="s">
        <v>327</v>
      </c>
      <c r="AV2003" t="s">
        <v>2392</v>
      </c>
    </row>
    <row r="2004" spans="1:48" x14ac:dyDescent="0.25">
      <c r="A2004" t="s">
        <v>3323</v>
      </c>
      <c r="B2004" t="s">
        <v>302</v>
      </c>
      <c r="C2004" t="s">
        <v>62</v>
      </c>
      <c r="D2004">
        <v>99999</v>
      </c>
      <c r="F2004" s="109">
        <v>4000</v>
      </c>
      <c r="G2004" t="b">
        <v>1</v>
      </c>
      <c r="H2004" t="s">
        <v>343</v>
      </c>
      <c r="K2004" t="s">
        <v>393</v>
      </c>
      <c r="L2004" t="s">
        <v>303</v>
      </c>
      <c r="M2004" t="s">
        <v>323</v>
      </c>
      <c r="N2004" t="s">
        <v>63</v>
      </c>
      <c r="O2004" s="110">
        <v>49.9</v>
      </c>
      <c r="R2004" s="110">
        <v>399.89</v>
      </c>
      <c r="S2004" s="110">
        <v>130</v>
      </c>
      <c r="T2004" s="110">
        <v>0</v>
      </c>
      <c r="U2004" s="110">
        <v>42.99</v>
      </c>
      <c r="X2004">
        <v>156.99999999999997</v>
      </c>
      <c r="Y2004">
        <v>69.900000000000006</v>
      </c>
      <c r="Z2004">
        <v>69.900000000000006</v>
      </c>
      <c r="AA2004">
        <v>0</v>
      </c>
      <c r="AB2004" t="s">
        <v>363</v>
      </c>
      <c r="AF2004" t="s">
        <v>2420</v>
      </c>
      <c r="AG2004" t="s">
        <v>2420</v>
      </c>
      <c r="AH2004" t="s">
        <v>325</v>
      </c>
      <c r="AI2004">
        <v>99999</v>
      </c>
      <c r="AJ2004">
        <v>99999</v>
      </c>
      <c r="AK2004">
        <v>699</v>
      </c>
      <c r="AL2004" t="b">
        <v>1</v>
      </c>
      <c r="AM2004" t="b">
        <v>1</v>
      </c>
      <c r="AN2004" t="b">
        <v>1</v>
      </c>
      <c r="AO2004">
        <v>99999</v>
      </c>
      <c r="AP2004" t="s">
        <v>64</v>
      </c>
      <c r="AR2004" t="b">
        <v>0</v>
      </c>
      <c r="AS2004">
        <v>12</v>
      </c>
      <c r="AT2004" t="s">
        <v>327</v>
      </c>
      <c r="AV2004" t="s">
        <v>2459</v>
      </c>
    </row>
    <row r="2005" spans="1:48" x14ac:dyDescent="0.25">
      <c r="A2005" t="s">
        <v>3323</v>
      </c>
      <c r="B2005" t="s">
        <v>302</v>
      </c>
      <c r="C2005" t="s">
        <v>62</v>
      </c>
      <c r="D2005">
        <v>99999</v>
      </c>
      <c r="F2005" s="109">
        <v>4000</v>
      </c>
      <c r="G2005" t="b">
        <v>1</v>
      </c>
      <c r="H2005" t="s">
        <v>343</v>
      </c>
      <c r="K2005" t="s">
        <v>364</v>
      </c>
      <c r="L2005" t="s">
        <v>303</v>
      </c>
      <c r="M2005" t="s">
        <v>323</v>
      </c>
      <c r="N2005" t="s">
        <v>63</v>
      </c>
      <c r="O2005">
        <v>29.9</v>
      </c>
      <c r="R2005">
        <v>294.89</v>
      </c>
      <c r="S2005">
        <v>39.9</v>
      </c>
      <c r="T2005" s="110">
        <v>0</v>
      </c>
      <c r="U2005">
        <v>42.99</v>
      </c>
      <c r="X2005">
        <v>162.09999999999997</v>
      </c>
      <c r="Y2005">
        <v>49.9</v>
      </c>
      <c r="Z2005">
        <v>49.9</v>
      </c>
      <c r="AA2005">
        <v>0</v>
      </c>
      <c r="AB2005" t="s">
        <v>363</v>
      </c>
      <c r="AF2005" t="s">
        <v>365</v>
      </c>
      <c r="AG2005" t="s">
        <v>365</v>
      </c>
      <c r="AH2005" t="s">
        <v>325</v>
      </c>
      <c r="AI2005">
        <v>99999</v>
      </c>
      <c r="AJ2005">
        <v>99999</v>
      </c>
      <c r="AK2005">
        <v>699</v>
      </c>
      <c r="AL2005" t="b">
        <v>1</v>
      </c>
      <c r="AM2005" t="b">
        <v>1</v>
      </c>
      <c r="AN2005" t="b">
        <v>1</v>
      </c>
      <c r="AO2005">
        <v>99999</v>
      </c>
      <c r="AP2005" t="s">
        <v>64</v>
      </c>
      <c r="AR2005" t="b">
        <v>0</v>
      </c>
      <c r="AS2005">
        <v>12</v>
      </c>
      <c r="AT2005" t="s">
        <v>327</v>
      </c>
      <c r="AV2005" t="s">
        <v>378</v>
      </c>
    </row>
    <row r="2006" spans="1:48" x14ac:dyDescent="0.25">
      <c r="A2006" t="s">
        <v>3323</v>
      </c>
      <c r="B2006" t="s">
        <v>302</v>
      </c>
      <c r="C2006" t="s">
        <v>62</v>
      </c>
      <c r="D2006">
        <v>99999</v>
      </c>
      <c r="F2006" s="109">
        <v>4000</v>
      </c>
      <c r="G2006" t="b">
        <v>1</v>
      </c>
      <c r="H2006" t="s">
        <v>343</v>
      </c>
      <c r="K2006" t="s">
        <v>364</v>
      </c>
      <c r="L2006" t="s">
        <v>303</v>
      </c>
      <c r="M2006" t="s">
        <v>323</v>
      </c>
      <c r="N2006" t="s">
        <v>63</v>
      </c>
      <c r="O2006">
        <v>29.9</v>
      </c>
      <c r="R2006">
        <v>309.89</v>
      </c>
      <c r="S2006">
        <v>39.9</v>
      </c>
      <c r="T2006" s="110">
        <v>0</v>
      </c>
      <c r="U2006">
        <v>42.99</v>
      </c>
      <c r="X2006">
        <v>177.09999999999997</v>
      </c>
      <c r="Y2006">
        <v>49.9</v>
      </c>
      <c r="Z2006">
        <v>49.9</v>
      </c>
      <c r="AA2006">
        <v>0</v>
      </c>
      <c r="AB2006" t="s">
        <v>363</v>
      </c>
      <c r="AF2006" t="s">
        <v>501</v>
      </c>
      <c r="AG2006" t="s">
        <v>501</v>
      </c>
      <c r="AH2006" t="s">
        <v>325</v>
      </c>
      <c r="AI2006">
        <v>99999</v>
      </c>
      <c r="AJ2006">
        <v>99999</v>
      </c>
      <c r="AK2006">
        <v>699</v>
      </c>
      <c r="AL2006" t="b">
        <v>1</v>
      </c>
      <c r="AM2006" t="b">
        <v>1</v>
      </c>
      <c r="AN2006" t="b">
        <v>1</v>
      </c>
      <c r="AO2006">
        <v>99999</v>
      </c>
      <c r="AP2006" t="s">
        <v>64</v>
      </c>
      <c r="AR2006" t="b">
        <v>0</v>
      </c>
      <c r="AS2006">
        <v>12</v>
      </c>
      <c r="AT2006" t="s">
        <v>327</v>
      </c>
      <c r="AV2006" t="s">
        <v>514</v>
      </c>
    </row>
    <row r="2007" spans="1:48" x14ac:dyDescent="0.25">
      <c r="A2007" t="s">
        <v>3323</v>
      </c>
      <c r="B2007" t="s">
        <v>302</v>
      </c>
      <c r="C2007" t="s">
        <v>62</v>
      </c>
      <c r="D2007">
        <v>99999</v>
      </c>
      <c r="F2007" s="109">
        <v>4000</v>
      </c>
      <c r="G2007" t="b">
        <v>1</v>
      </c>
      <c r="H2007" t="s">
        <v>343</v>
      </c>
      <c r="K2007" t="s">
        <v>364</v>
      </c>
      <c r="L2007" t="s">
        <v>303</v>
      </c>
      <c r="M2007" t="s">
        <v>323</v>
      </c>
      <c r="N2007" t="s">
        <v>63</v>
      </c>
      <c r="O2007">
        <v>29.9</v>
      </c>
      <c r="R2007">
        <v>324.89</v>
      </c>
      <c r="S2007">
        <v>59.9</v>
      </c>
      <c r="T2007" s="110">
        <v>0</v>
      </c>
      <c r="U2007">
        <v>42.99</v>
      </c>
      <c r="X2007">
        <v>172.09999999999997</v>
      </c>
      <c r="Y2007">
        <v>49.9</v>
      </c>
      <c r="Z2007">
        <v>49.9</v>
      </c>
      <c r="AA2007">
        <v>0</v>
      </c>
      <c r="AB2007" t="s">
        <v>363</v>
      </c>
      <c r="AF2007" t="s">
        <v>635</v>
      </c>
      <c r="AG2007" t="s">
        <v>635</v>
      </c>
      <c r="AH2007" t="s">
        <v>325</v>
      </c>
      <c r="AI2007">
        <v>99999</v>
      </c>
      <c r="AJ2007">
        <v>99999</v>
      </c>
      <c r="AK2007">
        <v>699</v>
      </c>
      <c r="AL2007" t="b">
        <v>1</v>
      </c>
      <c r="AM2007" t="b">
        <v>1</v>
      </c>
      <c r="AN2007" t="b">
        <v>1</v>
      </c>
      <c r="AO2007">
        <v>99999</v>
      </c>
      <c r="AP2007" t="s">
        <v>64</v>
      </c>
      <c r="AR2007" t="b">
        <v>0</v>
      </c>
      <c r="AS2007">
        <v>12</v>
      </c>
      <c r="AT2007" t="s">
        <v>327</v>
      </c>
      <c r="AV2007" t="s">
        <v>648</v>
      </c>
    </row>
    <row r="2008" spans="1:48" x14ac:dyDescent="0.25">
      <c r="A2008" t="s">
        <v>3323</v>
      </c>
      <c r="B2008" t="s">
        <v>302</v>
      </c>
      <c r="C2008" t="s">
        <v>62</v>
      </c>
      <c r="D2008">
        <v>99999</v>
      </c>
      <c r="F2008" s="109">
        <v>4000</v>
      </c>
      <c r="G2008" t="b">
        <v>1</v>
      </c>
      <c r="H2008" t="s">
        <v>343</v>
      </c>
      <c r="K2008" t="s">
        <v>364</v>
      </c>
      <c r="L2008" t="s">
        <v>303</v>
      </c>
      <c r="M2008" t="s">
        <v>323</v>
      </c>
      <c r="N2008" t="s">
        <v>63</v>
      </c>
      <c r="O2008" s="110">
        <v>39.9</v>
      </c>
      <c r="R2008" s="110">
        <v>294.89</v>
      </c>
      <c r="S2008" s="110">
        <v>39.9</v>
      </c>
      <c r="T2008" s="110">
        <v>0</v>
      </c>
      <c r="U2008" s="110">
        <v>42.99</v>
      </c>
      <c r="X2008">
        <v>162.09999999999997</v>
      </c>
      <c r="Y2008">
        <v>49.9</v>
      </c>
      <c r="Z2008">
        <v>49.9</v>
      </c>
      <c r="AA2008">
        <v>0</v>
      </c>
      <c r="AB2008" t="s">
        <v>363</v>
      </c>
      <c r="AF2008" t="s">
        <v>434</v>
      </c>
      <c r="AG2008" t="s">
        <v>434</v>
      </c>
      <c r="AH2008" t="s">
        <v>325</v>
      </c>
      <c r="AI2008">
        <v>99999</v>
      </c>
      <c r="AJ2008">
        <v>99999</v>
      </c>
      <c r="AK2008">
        <v>699</v>
      </c>
      <c r="AL2008" t="b">
        <v>1</v>
      </c>
      <c r="AM2008" t="b">
        <v>1</v>
      </c>
      <c r="AN2008" t="b">
        <v>1</v>
      </c>
      <c r="AO2008">
        <v>99999</v>
      </c>
      <c r="AP2008" t="s">
        <v>64</v>
      </c>
      <c r="AR2008" t="b">
        <v>0</v>
      </c>
      <c r="AS2008">
        <v>12</v>
      </c>
      <c r="AT2008" t="s">
        <v>327</v>
      </c>
      <c r="AV2008" t="s">
        <v>447</v>
      </c>
    </row>
    <row r="2009" spans="1:48" x14ac:dyDescent="0.25">
      <c r="A2009" t="s">
        <v>3323</v>
      </c>
      <c r="B2009" t="s">
        <v>302</v>
      </c>
      <c r="C2009" t="s">
        <v>62</v>
      </c>
      <c r="D2009">
        <v>99999</v>
      </c>
      <c r="F2009" s="109">
        <v>4000</v>
      </c>
      <c r="G2009" t="b">
        <v>1</v>
      </c>
      <c r="H2009" t="s">
        <v>343</v>
      </c>
      <c r="K2009" t="s">
        <v>364</v>
      </c>
      <c r="L2009" t="s">
        <v>303</v>
      </c>
      <c r="M2009" t="s">
        <v>323</v>
      </c>
      <c r="N2009" t="s">
        <v>63</v>
      </c>
      <c r="O2009">
        <v>39.9</v>
      </c>
      <c r="R2009">
        <v>309.89</v>
      </c>
      <c r="S2009">
        <v>39.9</v>
      </c>
      <c r="T2009" s="110">
        <v>0</v>
      </c>
      <c r="U2009">
        <v>42.99</v>
      </c>
      <c r="X2009">
        <v>177.09999999999997</v>
      </c>
      <c r="Y2009">
        <v>49.9</v>
      </c>
      <c r="Z2009">
        <v>49.9</v>
      </c>
      <c r="AA2009">
        <v>0</v>
      </c>
      <c r="AB2009" t="s">
        <v>363</v>
      </c>
      <c r="AF2009" t="s">
        <v>568</v>
      </c>
      <c r="AG2009" t="s">
        <v>568</v>
      </c>
      <c r="AH2009" t="s">
        <v>325</v>
      </c>
      <c r="AI2009">
        <v>99999</v>
      </c>
      <c r="AJ2009">
        <v>99999</v>
      </c>
      <c r="AK2009">
        <v>699</v>
      </c>
      <c r="AL2009" t="b">
        <v>1</v>
      </c>
      <c r="AM2009" t="b">
        <v>1</v>
      </c>
      <c r="AN2009" t="b">
        <v>1</v>
      </c>
      <c r="AO2009">
        <v>99999</v>
      </c>
      <c r="AP2009" t="s">
        <v>64</v>
      </c>
      <c r="AR2009" t="b">
        <v>0</v>
      </c>
      <c r="AS2009">
        <v>12</v>
      </c>
      <c r="AT2009" t="s">
        <v>327</v>
      </c>
      <c r="AV2009" t="s">
        <v>581</v>
      </c>
    </row>
    <row r="2010" spans="1:48" x14ac:dyDescent="0.25">
      <c r="A2010" t="s">
        <v>3323</v>
      </c>
      <c r="B2010" t="s">
        <v>302</v>
      </c>
      <c r="C2010" t="s">
        <v>62</v>
      </c>
      <c r="D2010">
        <v>99999</v>
      </c>
      <c r="F2010" s="109">
        <v>4000</v>
      </c>
      <c r="G2010" t="b">
        <v>1</v>
      </c>
      <c r="H2010" t="s">
        <v>343</v>
      </c>
      <c r="K2010" t="s">
        <v>364</v>
      </c>
      <c r="L2010" t="s">
        <v>303</v>
      </c>
      <c r="M2010" t="s">
        <v>323</v>
      </c>
      <c r="N2010" t="s">
        <v>63</v>
      </c>
      <c r="O2010">
        <v>39.9</v>
      </c>
      <c r="R2010">
        <v>324.89</v>
      </c>
      <c r="S2010">
        <v>59.9</v>
      </c>
      <c r="T2010" s="110">
        <v>0</v>
      </c>
      <c r="U2010">
        <v>42.99</v>
      </c>
      <c r="X2010">
        <v>172.09999999999997</v>
      </c>
      <c r="Y2010">
        <v>49.9</v>
      </c>
      <c r="Z2010">
        <v>49.9</v>
      </c>
      <c r="AA2010">
        <v>0</v>
      </c>
      <c r="AB2010" t="s">
        <v>363</v>
      </c>
      <c r="AF2010" t="s">
        <v>702</v>
      </c>
      <c r="AG2010" t="s">
        <v>702</v>
      </c>
      <c r="AH2010" t="s">
        <v>325</v>
      </c>
      <c r="AI2010">
        <v>99999</v>
      </c>
      <c r="AJ2010">
        <v>99999</v>
      </c>
      <c r="AK2010">
        <v>699</v>
      </c>
      <c r="AL2010" t="b">
        <v>1</v>
      </c>
      <c r="AM2010" t="b">
        <v>1</v>
      </c>
      <c r="AN2010" t="b">
        <v>1</v>
      </c>
      <c r="AO2010">
        <v>99999</v>
      </c>
      <c r="AP2010" t="s">
        <v>64</v>
      </c>
      <c r="AR2010" t="b">
        <v>0</v>
      </c>
      <c r="AS2010">
        <v>12</v>
      </c>
      <c r="AT2010" t="s">
        <v>327</v>
      </c>
      <c r="AV2010" t="s">
        <v>715</v>
      </c>
    </row>
    <row r="2011" spans="1:48" x14ac:dyDescent="0.25">
      <c r="A2011" t="s">
        <v>3323</v>
      </c>
      <c r="B2011" t="s">
        <v>302</v>
      </c>
      <c r="C2011" t="s">
        <v>62</v>
      </c>
      <c r="D2011">
        <v>99999</v>
      </c>
      <c r="F2011" s="109">
        <v>4000</v>
      </c>
      <c r="G2011" t="b">
        <v>1</v>
      </c>
      <c r="H2011" t="s">
        <v>343</v>
      </c>
      <c r="K2011" t="s">
        <v>364</v>
      </c>
      <c r="L2011" t="s">
        <v>303</v>
      </c>
      <c r="M2011" t="s">
        <v>323</v>
      </c>
      <c r="N2011" t="s">
        <v>63</v>
      </c>
      <c r="O2011" s="110">
        <v>49.9</v>
      </c>
      <c r="R2011" s="110">
        <v>335.68999999999994</v>
      </c>
      <c r="S2011" s="110">
        <v>130</v>
      </c>
      <c r="T2011" s="110">
        <v>0</v>
      </c>
      <c r="U2011" s="110">
        <v>34.99</v>
      </c>
      <c r="X2011">
        <v>120.79999999999995</v>
      </c>
      <c r="Y2011">
        <v>49.9</v>
      </c>
      <c r="Z2011">
        <v>49.9</v>
      </c>
      <c r="AA2011">
        <v>0</v>
      </c>
      <c r="AB2011" t="s">
        <v>363</v>
      </c>
      <c r="AF2011" t="s">
        <v>2212</v>
      </c>
      <c r="AG2011" t="s">
        <v>2212</v>
      </c>
      <c r="AH2011" t="s">
        <v>325</v>
      </c>
      <c r="AI2011">
        <v>99999</v>
      </c>
      <c r="AJ2011">
        <v>99999</v>
      </c>
      <c r="AK2011">
        <v>699</v>
      </c>
      <c r="AL2011" t="b">
        <v>1</v>
      </c>
      <c r="AM2011" t="b">
        <v>1</v>
      </c>
      <c r="AN2011" t="b">
        <v>1</v>
      </c>
      <c r="AO2011">
        <v>99999</v>
      </c>
      <c r="AP2011" t="s">
        <v>64</v>
      </c>
      <c r="AR2011" t="b">
        <v>0</v>
      </c>
      <c r="AS2011">
        <v>12</v>
      </c>
      <c r="AT2011" t="s">
        <v>327</v>
      </c>
      <c r="AV2011" t="s">
        <v>2225</v>
      </c>
    </row>
    <row r="2012" spans="1:48" x14ac:dyDescent="0.25">
      <c r="A2012" t="s">
        <v>3323</v>
      </c>
      <c r="B2012" t="s">
        <v>302</v>
      </c>
      <c r="C2012" t="s">
        <v>62</v>
      </c>
      <c r="D2012">
        <v>99999</v>
      </c>
      <c r="F2012" s="109">
        <v>4000</v>
      </c>
      <c r="G2012" t="b">
        <v>1</v>
      </c>
      <c r="H2012" t="s">
        <v>343</v>
      </c>
      <c r="K2012" t="s">
        <v>364</v>
      </c>
      <c r="L2012" t="s">
        <v>303</v>
      </c>
      <c r="M2012" t="s">
        <v>323</v>
      </c>
      <c r="N2012" t="s">
        <v>63</v>
      </c>
      <c r="O2012" s="110">
        <v>49.9</v>
      </c>
      <c r="R2012" s="110">
        <v>374.98999999999995</v>
      </c>
      <c r="S2012" s="110">
        <v>130</v>
      </c>
      <c r="T2012" s="110">
        <v>0</v>
      </c>
      <c r="U2012" s="110">
        <v>42.99</v>
      </c>
      <c r="X2012">
        <v>152.09999999999997</v>
      </c>
      <c r="Y2012">
        <v>49.9</v>
      </c>
      <c r="Z2012">
        <v>49.9</v>
      </c>
      <c r="AA2012">
        <v>0</v>
      </c>
      <c r="AB2012" t="s">
        <v>363</v>
      </c>
      <c r="AF2012" t="s">
        <v>2286</v>
      </c>
      <c r="AG2012" t="s">
        <v>2286</v>
      </c>
      <c r="AH2012" t="s">
        <v>325</v>
      </c>
      <c r="AI2012">
        <v>99999</v>
      </c>
      <c r="AJ2012">
        <v>99999</v>
      </c>
      <c r="AK2012">
        <v>699</v>
      </c>
      <c r="AL2012" t="b">
        <v>1</v>
      </c>
      <c r="AM2012" t="b">
        <v>1</v>
      </c>
      <c r="AN2012" t="b">
        <v>1</v>
      </c>
      <c r="AO2012">
        <v>99999</v>
      </c>
      <c r="AP2012" t="s">
        <v>64</v>
      </c>
      <c r="AR2012" t="b">
        <v>0</v>
      </c>
      <c r="AS2012">
        <v>12</v>
      </c>
      <c r="AT2012" t="s">
        <v>327</v>
      </c>
      <c r="AV2012" t="s">
        <v>2299</v>
      </c>
    </row>
    <row r="2013" spans="1:48" x14ac:dyDescent="0.25">
      <c r="A2013" t="s">
        <v>3323</v>
      </c>
      <c r="B2013" t="s">
        <v>302</v>
      </c>
      <c r="C2013" t="s">
        <v>62</v>
      </c>
      <c r="D2013">
        <v>99999</v>
      </c>
      <c r="F2013" s="109">
        <v>4000</v>
      </c>
      <c r="G2013" t="b">
        <v>1</v>
      </c>
      <c r="H2013" t="s">
        <v>343</v>
      </c>
      <c r="K2013" t="s">
        <v>364</v>
      </c>
      <c r="L2013" t="s">
        <v>303</v>
      </c>
      <c r="M2013" t="s">
        <v>323</v>
      </c>
      <c r="N2013" t="s">
        <v>63</v>
      </c>
      <c r="O2013" s="110">
        <v>49.9</v>
      </c>
      <c r="R2013" s="110">
        <v>349.98999999999995</v>
      </c>
      <c r="S2013" s="110">
        <v>130</v>
      </c>
      <c r="T2013" s="110">
        <v>0</v>
      </c>
      <c r="U2013" s="110">
        <v>42.99</v>
      </c>
      <c r="X2013">
        <v>127.09999999999997</v>
      </c>
      <c r="Y2013">
        <v>49.9</v>
      </c>
      <c r="Z2013">
        <v>49.9</v>
      </c>
      <c r="AA2013">
        <v>0</v>
      </c>
      <c r="AB2013" t="s">
        <v>363</v>
      </c>
      <c r="AF2013" t="s">
        <v>2353</v>
      </c>
      <c r="AG2013" t="s">
        <v>2353</v>
      </c>
      <c r="AH2013" t="s">
        <v>325</v>
      </c>
      <c r="AI2013">
        <v>99999</v>
      </c>
      <c r="AJ2013">
        <v>99999</v>
      </c>
      <c r="AK2013">
        <v>699</v>
      </c>
      <c r="AL2013" t="b">
        <v>1</v>
      </c>
      <c r="AM2013" t="b">
        <v>1</v>
      </c>
      <c r="AN2013" t="b">
        <v>1</v>
      </c>
      <c r="AO2013">
        <v>99999</v>
      </c>
      <c r="AP2013" t="s">
        <v>64</v>
      </c>
      <c r="AR2013" t="b">
        <v>0</v>
      </c>
      <c r="AS2013">
        <v>12</v>
      </c>
      <c r="AT2013" t="s">
        <v>327</v>
      </c>
      <c r="AV2013" t="s">
        <v>2366</v>
      </c>
    </row>
    <row r="2014" spans="1:48" x14ac:dyDescent="0.25">
      <c r="A2014" t="s">
        <v>3323</v>
      </c>
      <c r="B2014" t="s">
        <v>302</v>
      </c>
      <c r="C2014" t="s">
        <v>62</v>
      </c>
      <c r="D2014">
        <v>99999</v>
      </c>
      <c r="F2014" s="109">
        <v>4000</v>
      </c>
      <c r="G2014" t="b">
        <v>1</v>
      </c>
      <c r="H2014" t="s">
        <v>343</v>
      </c>
      <c r="K2014" t="s">
        <v>364</v>
      </c>
      <c r="L2014" t="s">
        <v>303</v>
      </c>
      <c r="M2014" t="s">
        <v>323</v>
      </c>
      <c r="N2014" t="s">
        <v>63</v>
      </c>
      <c r="O2014" s="110">
        <v>49.9</v>
      </c>
      <c r="R2014" s="110">
        <v>379.89</v>
      </c>
      <c r="S2014" s="110">
        <v>130</v>
      </c>
      <c r="T2014" s="110">
        <v>0</v>
      </c>
      <c r="U2014" s="110">
        <v>42.99</v>
      </c>
      <c r="X2014">
        <v>156.99999999999997</v>
      </c>
      <c r="Y2014">
        <v>49.9</v>
      </c>
      <c r="Z2014">
        <v>49.9</v>
      </c>
      <c r="AA2014">
        <v>0</v>
      </c>
      <c r="AB2014" t="s">
        <v>363</v>
      </c>
      <c r="AF2014" t="s">
        <v>2420</v>
      </c>
      <c r="AG2014" t="s">
        <v>2420</v>
      </c>
      <c r="AH2014" t="s">
        <v>325</v>
      </c>
      <c r="AI2014">
        <v>99999</v>
      </c>
      <c r="AJ2014">
        <v>99999</v>
      </c>
      <c r="AK2014">
        <v>699</v>
      </c>
      <c r="AL2014" t="b">
        <v>1</v>
      </c>
      <c r="AM2014" t="b">
        <v>1</v>
      </c>
      <c r="AN2014" t="b">
        <v>1</v>
      </c>
      <c r="AO2014">
        <v>99999</v>
      </c>
      <c r="AP2014" t="s">
        <v>64</v>
      </c>
      <c r="AR2014" t="b">
        <v>0</v>
      </c>
      <c r="AS2014">
        <v>12</v>
      </c>
      <c r="AT2014" t="s">
        <v>327</v>
      </c>
      <c r="AV2014" t="s">
        <v>2433</v>
      </c>
    </row>
    <row r="2015" spans="1:48" x14ac:dyDescent="0.25">
      <c r="A2015" t="s">
        <v>3323</v>
      </c>
      <c r="B2015" t="s">
        <v>302</v>
      </c>
      <c r="C2015" t="s">
        <v>62</v>
      </c>
      <c r="D2015">
        <v>99999</v>
      </c>
      <c r="F2015" s="109">
        <v>4000</v>
      </c>
      <c r="G2015" t="b">
        <v>1</v>
      </c>
      <c r="H2015" t="s">
        <v>343</v>
      </c>
      <c r="K2015" t="s">
        <v>379</v>
      </c>
      <c r="L2015" t="s">
        <v>303</v>
      </c>
      <c r="M2015" t="s">
        <v>323</v>
      </c>
      <c r="N2015" t="s">
        <v>63</v>
      </c>
      <c r="O2015">
        <v>29.9</v>
      </c>
      <c r="R2015">
        <v>304.89</v>
      </c>
      <c r="S2015">
        <v>39.9</v>
      </c>
      <c r="T2015" s="110">
        <v>0</v>
      </c>
      <c r="U2015">
        <v>42.99</v>
      </c>
      <c r="X2015">
        <v>162.09999999999997</v>
      </c>
      <c r="Y2015">
        <v>59.9</v>
      </c>
      <c r="Z2015">
        <v>59.9</v>
      </c>
      <c r="AA2015">
        <v>0</v>
      </c>
      <c r="AB2015" t="s">
        <v>363</v>
      </c>
      <c r="AF2015" t="s">
        <v>365</v>
      </c>
      <c r="AG2015" t="s">
        <v>365</v>
      </c>
      <c r="AH2015" t="s">
        <v>325</v>
      </c>
      <c r="AI2015">
        <v>99999</v>
      </c>
      <c r="AJ2015">
        <v>99999</v>
      </c>
      <c r="AK2015">
        <v>699</v>
      </c>
      <c r="AL2015" t="b">
        <v>1</v>
      </c>
      <c r="AM2015" t="b">
        <v>1</v>
      </c>
      <c r="AN2015" t="b">
        <v>1</v>
      </c>
      <c r="AO2015">
        <v>99999</v>
      </c>
      <c r="AP2015" t="s">
        <v>64</v>
      </c>
      <c r="AR2015" t="b">
        <v>0</v>
      </c>
      <c r="AS2015">
        <v>12</v>
      </c>
      <c r="AT2015" t="s">
        <v>327</v>
      </c>
      <c r="AV2015" t="s">
        <v>392</v>
      </c>
    </row>
    <row r="2016" spans="1:48" x14ac:dyDescent="0.25">
      <c r="A2016" t="s">
        <v>3323</v>
      </c>
      <c r="B2016" t="s">
        <v>302</v>
      </c>
      <c r="C2016" t="s">
        <v>62</v>
      </c>
      <c r="D2016">
        <v>99999</v>
      </c>
      <c r="F2016" s="109">
        <v>4000</v>
      </c>
      <c r="G2016" t="b">
        <v>1</v>
      </c>
      <c r="H2016" t="s">
        <v>343</v>
      </c>
      <c r="K2016" t="s">
        <v>379</v>
      </c>
      <c r="L2016" t="s">
        <v>303</v>
      </c>
      <c r="M2016" t="s">
        <v>323</v>
      </c>
      <c r="N2016" t="s">
        <v>63</v>
      </c>
      <c r="O2016">
        <v>29.9</v>
      </c>
      <c r="R2016">
        <v>319.89</v>
      </c>
      <c r="S2016">
        <v>39.9</v>
      </c>
      <c r="T2016" s="110">
        <v>0</v>
      </c>
      <c r="U2016">
        <v>42.99</v>
      </c>
      <c r="X2016">
        <v>177.09999999999997</v>
      </c>
      <c r="Y2016">
        <v>59.9</v>
      </c>
      <c r="Z2016">
        <v>59.9</v>
      </c>
      <c r="AA2016">
        <v>0</v>
      </c>
      <c r="AB2016" t="s">
        <v>363</v>
      </c>
      <c r="AF2016" t="s">
        <v>501</v>
      </c>
      <c r="AG2016" t="s">
        <v>501</v>
      </c>
      <c r="AH2016" t="s">
        <v>325</v>
      </c>
      <c r="AI2016">
        <v>99999</v>
      </c>
      <c r="AJ2016">
        <v>99999</v>
      </c>
      <c r="AK2016">
        <v>699</v>
      </c>
      <c r="AL2016" t="b">
        <v>1</v>
      </c>
      <c r="AM2016" t="b">
        <v>1</v>
      </c>
      <c r="AN2016" t="b">
        <v>1</v>
      </c>
      <c r="AO2016">
        <v>99999</v>
      </c>
      <c r="AP2016" t="s">
        <v>64</v>
      </c>
      <c r="AR2016" t="b">
        <v>0</v>
      </c>
      <c r="AS2016">
        <v>12</v>
      </c>
      <c r="AT2016" t="s">
        <v>327</v>
      </c>
      <c r="AV2016" t="s">
        <v>527</v>
      </c>
    </row>
    <row r="2017" spans="1:48" x14ac:dyDescent="0.25">
      <c r="A2017" t="s">
        <v>3323</v>
      </c>
      <c r="B2017" t="s">
        <v>302</v>
      </c>
      <c r="C2017" t="s">
        <v>62</v>
      </c>
      <c r="D2017">
        <v>99999</v>
      </c>
      <c r="F2017" s="109">
        <v>4000</v>
      </c>
      <c r="G2017" t="b">
        <v>1</v>
      </c>
      <c r="H2017" t="s">
        <v>343</v>
      </c>
      <c r="K2017" t="s">
        <v>379</v>
      </c>
      <c r="L2017" t="s">
        <v>303</v>
      </c>
      <c r="M2017" t="s">
        <v>323</v>
      </c>
      <c r="N2017" t="s">
        <v>63</v>
      </c>
      <c r="O2017">
        <v>29.9</v>
      </c>
      <c r="R2017">
        <v>334.89</v>
      </c>
      <c r="S2017">
        <v>59.9</v>
      </c>
      <c r="T2017" s="110">
        <v>0</v>
      </c>
      <c r="U2017">
        <v>42.99</v>
      </c>
      <c r="X2017">
        <v>172.09999999999997</v>
      </c>
      <c r="Y2017">
        <v>59.9</v>
      </c>
      <c r="Z2017">
        <v>59.9</v>
      </c>
      <c r="AA2017">
        <v>0</v>
      </c>
      <c r="AB2017" t="s">
        <v>363</v>
      </c>
      <c r="AF2017" t="s">
        <v>635</v>
      </c>
      <c r="AG2017" t="s">
        <v>635</v>
      </c>
      <c r="AH2017" t="s">
        <v>325</v>
      </c>
      <c r="AI2017">
        <v>99999</v>
      </c>
      <c r="AJ2017">
        <v>99999</v>
      </c>
      <c r="AK2017">
        <v>699</v>
      </c>
      <c r="AL2017" t="b">
        <v>1</v>
      </c>
      <c r="AM2017" t="b">
        <v>1</v>
      </c>
      <c r="AN2017" t="b">
        <v>1</v>
      </c>
      <c r="AO2017">
        <v>99999</v>
      </c>
      <c r="AP2017" t="s">
        <v>64</v>
      </c>
      <c r="AR2017" t="b">
        <v>0</v>
      </c>
      <c r="AS2017">
        <v>12</v>
      </c>
      <c r="AT2017" t="s">
        <v>327</v>
      </c>
      <c r="AV2017" t="s">
        <v>661</v>
      </c>
    </row>
    <row r="2018" spans="1:48" x14ac:dyDescent="0.25">
      <c r="A2018" t="s">
        <v>3323</v>
      </c>
      <c r="B2018" t="s">
        <v>302</v>
      </c>
      <c r="C2018" t="s">
        <v>62</v>
      </c>
      <c r="D2018">
        <v>99999</v>
      </c>
      <c r="F2018" s="109">
        <v>4000</v>
      </c>
      <c r="G2018" t="b">
        <v>1</v>
      </c>
      <c r="H2018" t="s">
        <v>343</v>
      </c>
      <c r="K2018" t="s">
        <v>379</v>
      </c>
      <c r="L2018" t="s">
        <v>303</v>
      </c>
      <c r="M2018" t="s">
        <v>323</v>
      </c>
      <c r="N2018" t="s">
        <v>63</v>
      </c>
      <c r="O2018" s="110">
        <v>39.9</v>
      </c>
      <c r="R2018" s="110">
        <v>304.89</v>
      </c>
      <c r="S2018" s="110">
        <v>39.9</v>
      </c>
      <c r="T2018" s="110">
        <v>0</v>
      </c>
      <c r="U2018" s="110">
        <v>42.99</v>
      </c>
      <c r="X2018">
        <v>162.09999999999997</v>
      </c>
      <c r="Y2018">
        <v>59.9</v>
      </c>
      <c r="Z2018">
        <v>59.9</v>
      </c>
      <c r="AA2018">
        <v>0</v>
      </c>
      <c r="AB2018" t="s">
        <v>363</v>
      </c>
      <c r="AF2018" t="s">
        <v>434</v>
      </c>
      <c r="AG2018" t="s">
        <v>434</v>
      </c>
      <c r="AH2018" t="s">
        <v>325</v>
      </c>
      <c r="AI2018">
        <v>99999</v>
      </c>
      <c r="AJ2018">
        <v>99999</v>
      </c>
      <c r="AK2018">
        <v>699</v>
      </c>
      <c r="AL2018" t="b">
        <v>1</v>
      </c>
      <c r="AM2018" t="b">
        <v>1</v>
      </c>
      <c r="AN2018" t="b">
        <v>1</v>
      </c>
      <c r="AO2018">
        <v>99999</v>
      </c>
      <c r="AP2018" t="s">
        <v>64</v>
      </c>
      <c r="AR2018" t="b">
        <v>0</v>
      </c>
      <c r="AS2018">
        <v>12</v>
      </c>
      <c r="AT2018" t="s">
        <v>327</v>
      </c>
      <c r="AV2018" t="s">
        <v>460</v>
      </c>
    </row>
    <row r="2019" spans="1:48" x14ac:dyDescent="0.25">
      <c r="A2019" t="s">
        <v>3323</v>
      </c>
      <c r="B2019" t="s">
        <v>302</v>
      </c>
      <c r="C2019" t="s">
        <v>62</v>
      </c>
      <c r="D2019">
        <v>99999</v>
      </c>
      <c r="F2019" s="109">
        <v>4000</v>
      </c>
      <c r="G2019" t="b">
        <v>1</v>
      </c>
      <c r="H2019" t="s">
        <v>343</v>
      </c>
      <c r="K2019" t="s">
        <v>379</v>
      </c>
      <c r="L2019" t="s">
        <v>303</v>
      </c>
      <c r="M2019" t="s">
        <v>323</v>
      </c>
      <c r="N2019" t="s">
        <v>63</v>
      </c>
      <c r="O2019">
        <v>39.9</v>
      </c>
      <c r="R2019">
        <v>319.89</v>
      </c>
      <c r="S2019">
        <v>39.9</v>
      </c>
      <c r="T2019" s="110">
        <v>0</v>
      </c>
      <c r="U2019">
        <v>42.99</v>
      </c>
      <c r="X2019">
        <v>177.09999999999997</v>
      </c>
      <c r="Y2019">
        <v>59.9</v>
      </c>
      <c r="Z2019">
        <v>59.9</v>
      </c>
      <c r="AA2019">
        <v>0</v>
      </c>
      <c r="AB2019" t="s">
        <v>363</v>
      </c>
      <c r="AF2019" t="s">
        <v>568</v>
      </c>
      <c r="AG2019" t="s">
        <v>568</v>
      </c>
      <c r="AH2019" t="s">
        <v>325</v>
      </c>
      <c r="AI2019">
        <v>99999</v>
      </c>
      <c r="AJ2019">
        <v>99999</v>
      </c>
      <c r="AK2019">
        <v>699</v>
      </c>
      <c r="AL2019" t="b">
        <v>1</v>
      </c>
      <c r="AM2019" t="b">
        <v>1</v>
      </c>
      <c r="AN2019" t="b">
        <v>1</v>
      </c>
      <c r="AO2019">
        <v>99999</v>
      </c>
      <c r="AP2019" t="s">
        <v>64</v>
      </c>
      <c r="AR2019" t="b">
        <v>0</v>
      </c>
      <c r="AS2019">
        <v>12</v>
      </c>
      <c r="AT2019" t="s">
        <v>327</v>
      </c>
      <c r="AV2019" t="s">
        <v>594</v>
      </c>
    </row>
    <row r="2020" spans="1:48" x14ac:dyDescent="0.25">
      <c r="A2020" t="s">
        <v>3323</v>
      </c>
      <c r="B2020" t="s">
        <v>302</v>
      </c>
      <c r="C2020" t="s">
        <v>62</v>
      </c>
      <c r="D2020">
        <v>99999</v>
      </c>
      <c r="F2020" s="109">
        <v>4000</v>
      </c>
      <c r="G2020" t="b">
        <v>1</v>
      </c>
      <c r="H2020" t="s">
        <v>343</v>
      </c>
      <c r="K2020" t="s">
        <v>379</v>
      </c>
      <c r="L2020" t="s">
        <v>303</v>
      </c>
      <c r="M2020" t="s">
        <v>323</v>
      </c>
      <c r="N2020" t="s">
        <v>63</v>
      </c>
      <c r="O2020">
        <v>39.9</v>
      </c>
      <c r="R2020">
        <v>334.89</v>
      </c>
      <c r="S2020">
        <v>59.9</v>
      </c>
      <c r="T2020" s="110">
        <v>0</v>
      </c>
      <c r="U2020">
        <v>42.99</v>
      </c>
      <c r="X2020">
        <v>172.09999999999997</v>
      </c>
      <c r="Y2020">
        <v>59.9</v>
      </c>
      <c r="Z2020">
        <v>59.9</v>
      </c>
      <c r="AA2020">
        <v>0</v>
      </c>
      <c r="AB2020" t="s">
        <v>363</v>
      </c>
      <c r="AF2020" t="s">
        <v>702</v>
      </c>
      <c r="AG2020" t="s">
        <v>702</v>
      </c>
      <c r="AH2020" t="s">
        <v>325</v>
      </c>
      <c r="AI2020">
        <v>99999</v>
      </c>
      <c r="AJ2020">
        <v>99999</v>
      </c>
      <c r="AK2020">
        <v>699</v>
      </c>
      <c r="AL2020" t="b">
        <v>1</v>
      </c>
      <c r="AM2020" t="b">
        <v>1</v>
      </c>
      <c r="AN2020" t="b">
        <v>1</v>
      </c>
      <c r="AO2020">
        <v>99999</v>
      </c>
      <c r="AP2020" t="s">
        <v>64</v>
      </c>
      <c r="AR2020" t="b">
        <v>0</v>
      </c>
      <c r="AS2020">
        <v>12</v>
      </c>
      <c r="AT2020" t="s">
        <v>327</v>
      </c>
      <c r="AV2020" t="s">
        <v>728</v>
      </c>
    </row>
    <row r="2021" spans="1:48" x14ac:dyDescent="0.25">
      <c r="A2021" t="s">
        <v>3323</v>
      </c>
      <c r="B2021" t="s">
        <v>302</v>
      </c>
      <c r="C2021" t="s">
        <v>62</v>
      </c>
      <c r="D2021">
        <v>99999</v>
      </c>
      <c r="F2021" s="109">
        <v>4000</v>
      </c>
      <c r="G2021" t="b">
        <v>1</v>
      </c>
      <c r="H2021" t="s">
        <v>343</v>
      </c>
      <c r="K2021" t="s">
        <v>379</v>
      </c>
      <c r="L2021" t="s">
        <v>303</v>
      </c>
      <c r="M2021" t="s">
        <v>323</v>
      </c>
      <c r="N2021" t="s">
        <v>63</v>
      </c>
      <c r="O2021" s="110">
        <v>49.9</v>
      </c>
      <c r="R2021" s="110">
        <v>345.68999999999994</v>
      </c>
      <c r="S2021" s="110">
        <v>130</v>
      </c>
      <c r="T2021" s="110">
        <v>0</v>
      </c>
      <c r="U2021" s="110">
        <v>34.99</v>
      </c>
      <c r="X2021">
        <v>120.79999999999995</v>
      </c>
      <c r="Y2021">
        <v>59.9</v>
      </c>
      <c r="Z2021">
        <v>59.9</v>
      </c>
      <c r="AA2021">
        <v>0</v>
      </c>
      <c r="AB2021" t="s">
        <v>363</v>
      </c>
      <c r="AF2021" t="s">
        <v>2212</v>
      </c>
      <c r="AG2021" t="s">
        <v>2212</v>
      </c>
      <c r="AH2021" t="s">
        <v>325</v>
      </c>
      <c r="AI2021">
        <v>99999</v>
      </c>
      <c r="AJ2021">
        <v>99999</v>
      </c>
      <c r="AK2021">
        <v>699</v>
      </c>
      <c r="AL2021" t="b">
        <v>1</v>
      </c>
      <c r="AM2021" t="b">
        <v>1</v>
      </c>
      <c r="AN2021" t="b">
        <v>1</v>
      </c>
      <c r="AO2021">
        <v>99999</v>
      </c>
      <c r="AP2021" t="s">
        <v>64</v>
      </c>
      <c r="AR2021" t="b">
        <v>0</v>
      </c>
      <c r="AS2021">
        <v>12</v>
      </c>
      <c r="AT2021" t="s">
        <v>327</v>
      </c>
      <c r="AV2021" t="s">
        <v>2238</v>
      </c>
    </row>
    <row r="2022" spans="1:48" x14ac:dyDescent="0.25">
      <c r="A2022" t="s">
        <v>3323</v>
      </c>
      <c r="B2022" t="s">
        <v>302</v>
      </c>
      <c r="C2022" t="s">
        <v>62</v>
      </c>
      <c r="D2022">
        <v>99999</v>
      </c>
      <c r="F2022" s="109">
        <v>4000</v>
      </c>
      <c r="G2022" t="b">
        <v>1</v>
      </c>
      <c r="H2022" t="s">
        <v>343</v>
      </c>
      <c r="K2022" t="s">
        <v>379</v>
      </c>
      <c r="L2022" t="s">
        <v>303</v>
      </c>
      <c r="M2022" t="s">
        <v>323</v>
      </c>
      <c r="N2022" t="s">
        <v>63</v>
      </c>
      <c r="O2022" s="110">
        <v>49.9</v>
      </c>
      <c r="R2022" s="110">
        <v>384.98999999999995</v>
      </c>
      <c r="S2022" s="110">
        <v>130</v>
      </c>
      <c r="T2022" s="110">
        <v>0</v>
      </c>
      <c r="U2022" s="110">
        <v>42.99</v>
      </c>
      <c r="X2022">
        <v>152.09999999999997</v>
      </c>
      <c r="Y2022">
        <v>59.9</v>
      </c>
      <c r="Z2022">
        <v>59.9</v>
      </c>
      <c r="AA2022">
        <v>0</v>
      </c>
      <c r="AB2022" t="s">
        <v>363</v>
      </c>
      <c r="AF2022" t="s">
        <v>2286</v>
      </c>
      <c r="AG2022" t="s">
        <v>2286</v>
      </c>
      <c r="AH2022" t="s">
        <v>325</v>
      </c>
      <c r="AI2022">
        <v>99999</v>
      </c>
      <c r="AJ2022">
        <v>99999</v>
      </c>
      <c r="AK2022">
        <v>699</v>
      </c>
      <c r="AL2022" t="b">
        <v>1</v>
      </c>
      <c r="AM2022" t="b">
        <v>1</v>
      </c>
      <c r="AN2022" t="b">
        <v>1</v>
      </c>
      <c r="AO2022">
        <v>99999</v>
      </c>
      <c r="AP2022" t="s">
        <v>64</v>
      </c>
      <c r="AR2022" t="b">
        <v>0</v>
      </c>
      <c r="AS2022">
        <v>12</v>
      </c>
      <c r="AT2022" t="s">
        <v>327</v>
      </c>
      <c r="AV2022" t="s">
        <v>2312</v>
      </c>
    </row>
    <row r="2023" spans="1:48" x14ac:dyDescent="0.25">
      <c r="A2023" t="s">
        <v>3323</v>
      </c>
      <c r="B2023" t="s">
        <v>302</v>
      </c>
      <c r="C2023" t="s">
        <v>62</v>
      </c>
      <c r="D2023">
        <v>99999</v>
      </c>
      <c r="F2023" s="109">
        <v>4000</v>
      </c>
      <c r="G2023" t="b">
        <v>1</v>
      </c>
      <c r="H2023" t="s">
        <v>343</v>
      </c>
      <c r="K2023" t="s">
        <v>379</v>
      </c>
      <c r="L2023" t="s">
        <v>303</v>
      </c>
      <c r="M2023" t="s">
        <v>323</v>
      </c>
      <c r="N2023" t="s">
        <v>63</v>
      </c>
      <c r="O2023" s="110">
        <v>49.9</v>
      </c>
      <c r="R2023" s="110">
        <v>359.98999999999995</v>
      </c>
      <c r="S2023" s="110">
        <v>130</v>
      </c>
      <c r="T2023" s="110">
        <v>0</v>
      </c>
      <c r="U2023" s="110">
        <v>42.99</v>
      </c>
      <c r="X2023">
        <v>127.09999999999997</v>
      </c>
      <c r="Y2023">
        <v>59.9</v>
      </c>
      <c r="Z2023">
        <v>59.9</v>
      </c>
      <c r="AA2023">
        <v>0</v>
      </c>
      <c r="AB2023" t="s">
        <v>363</v>
      </c>
      <c r="AF2023" t="s">
        <v>2353</v>
      </c>
      <c r="AG2023" t="s">
        <v>2353</v>
      </c>
      <c r="AH2023" t="s">
        <v>325</v>
      </c>
      <c r="AI2023">
        <v>99999</v>
      </c>
      <c r="AJ2023">
        <v>99999</v>
      </c>
      <c r="AK2023">
        <v>699</v>
      </c>
      <c r="AL2023" t="b">
        <v>1</v>
      </c>
      <c r="AM2023" t="b">
        <v>1</v>
      </c>
      <c r="AN2023" t="b">
        <v>1</v>
      </c>
      <c r="AO2023">
        <v>99999</v>
      </c>
      <c r="AP2023" t="s">
        <v>64</v>
      </c>
      <c r="AR2023" t="b">
        <v>0</v>
      </c>
      <c r="AS2023">
        <v>12</v>
      </c>
      <c r="AT2023" t="s">
        <v>327</v>
      </c>
      <c r="AV2023" t="s">
        <v>2379</v>
      </c>
    </row>
    <row r="2024" spans="1:48" x14ac:dyDescent="0.25">
      <c r="A2024" t="s">
        <v>3323</v>
      </c>
      <c r="B2024" t="s">
        <v>302</v>
      </c>
      <c r="C2024" t="s">
        <v>62</v>
      </c>
      <c r="D2024">
        <v>99999</v>
      </c>
      <c r="F2024" s="109">
        <v>4000</v>
      </c>
      <c r="G2024" t="b">
        <v>1</v>
      </c>
      <c r="H2024" t="s">
        <v>343</v>
      </c>
      <c r="K2024" t="s">
        <v>379</v>
      </c>
      <c r="L2024" t="s">
        <v>303</v>
      </c>
      <c r="M2024" t="s">
        <v>323</v>
      </c>
      <c r="N2024" t="s">
        <v>63</v>
      </c>
      <c r="O2024" s="110">
        <v>49.9</v>
      </c>
      <c r="R2024" s="110">
        <v>389.89</v>
      </c>
      <c r="S2024" s="110">
        <v>130</v>
      </c>
      <c r="T2024" s="110">
        <v>0</v>
      </c>
      <c r="U2024" s="110">
        <v>42.99</v>
      </c>
      <c r="X2024">
        <v>156.99999999999997</v>
      </c>
      <c r="Y2024">
        <v>59.9</v>
      </c>
      <c r="Z2024">
        <v>59.9</v>
      </c>
      <c r="AA2024">
        <v>0</v>
      </c>
      <c r="AB2024" t="s">
        <v>363</v>
      </c>
      <c r="AF2024" t="s">
        <v>2420</v>
      </c>
      <c r="AG2024" t="s">
        <v>2420</v>
      </c>
      <c r="AH2024" t="s">
        <v>325</v>
      </c>
      <c r="AI2024">
        <v>99999</v>
      </c>
      <c r="AJ2024">
        <v>99999</v>
      </c>
      <c r="AK2024">
        <v>699</v>
      </c>
      <c r="AL2024" t="b">
        <v>1</v>
      </c>
      <c r="AM2024" t="b">
        <v>1</v>
      </c>
      <c r="AN2024" t="b">
        <v>1</v>
      </c>
      <c r="AO2024">
        <v>99999</v>
      </c>
      <c r="AP2024" t="s">
        <v>64</v>
      </c>
      <c r="AR2024" t="b">
        <v>0</v>
      </c>
      <c r="AS2024">
        <v>12</v>
      </c>
      <c r="AT2024" t="s">
        <v>327</v>
      </c>
      <c r="AV2024" t="s">
        <v>2446</v>
      </c>
    </row>
    <row r="2025" spans="1:48" x14ac:dyDescent="0.25">
      <c r="A2025" t="s">
        <v>3323</v>
      </c>
      <c r="B2025" t="s">
        <v>302</v>
      </c>
      <c r="C2025" t="s">
        <v>62</v>
      </c>
      <c r="D2025">
        <v>99999</v>
      </c>
      <c r="F2025" s="109">
        <v>4000</v>
      </c>
      <c r="G2025" t="b">
        <v>1</v>
      </c>
      <c r="H2025" t="s">
        <v>343</v>
      </c>
      <c r="K2025" t="s">
        <v>61</v>
      </c>
      <c r="L2025" t="s">
        <v>303</v>
      </c>
      <c r="M2025" t="s">
        <v>323</v>
      </c>
      <c r="N2025" t="s">
        <v>63</v>
      </c>
      <c r="O2025">
        <v>29.9</v>
      </c>
      <c r="R2025">
        <v>289.89</v>
      </c>
      <c r="S2025">
        <v>39.9</v>
      </c>
      <c r="T2025" s="110">
        <v>0</v>
      </c>
      <c r="U2025">
        <v>42.99</v>
      </c>
      <c r="X2025">
        <v>162.09999999999997</v>
      </c>
      <c r="Y2025">
        <v>44.9</v>
      </c>
      <c r="Z2025">
        <v>44.9</v>
      </c>
      <c r="AA2025">
        <v>0</v>
      </c>
      <c r="AB2025" t="s">
        <v>324</v>
      </c>
      <c r="AF2025" t="s">
        <v>326</v>
      </c>
      <c r="AG2025" t="s">
        <v>326</v>
      </c>
      <c r="AH2025" t="s">
        <v>325</v>
      </c>
      <c r="AI2025">
        <v>99999</v>
      </c>
      <c r="AJ2025">
        <v>99999</v>
      </c>
      <c r="AK2025">
        <v>699</v>
      </c>
      <c r="AL2025" t="b">
        <v>1</v>
      </c>
      <c r="AM2025" t="b">
        <v>1</v>
      </c>
      <c r="AN2025" t="b">
        <v>1</v>
      </c>
      <c r="AO2025">
        <v>99999</v>
      </c>
      <c r="AP2025" t="s">
        <v>64</v>
      </c>
      <c r="AR2025" t="b">
        <v>0</v>
      </c>
      <c r="AS2025">
        <v>12</v>
      </c>
      <c r="AT2025" t="s">
        <v>327</v>
      </c>
      <c r="AV2025" t="s">
        <v>348</v>
      </c>
    </row>
    <row r="2026" spans="1:48" x14ac:dyDescent="0.25">
      <c r="A2026" t="s">
        <v>3323</v>
      </c>
      <c r="B2026" t="s">
        <v>302</v>
      </c>
      <c r="C2026" t="s">
        <v>62</v>
      </c>
      <c r="D2026">
        <v>99999</v>
      </c>
      <c r="F2026" s="109">
        <v>4000</v>
      </c>
      <c r="G2026" t="b">
        <v>1</v>
      </c>
      <c r="H2026" t="s">
        <v>343</v>
      </c>
      <c r="K2026" t="s">
        <v>61</v>
      </c>
      <c r="L2026" t="s">
        <v>303</v>
      </c>
      <c r="M2026" t="s">
        <v>323</v>
      </c>
      <c r="N2026" t="s">
        <v>63</v>
      </c>
      <c r="O2026" s="110">
        <v>29.9</v>
      </c>
      <c r="R2026" s="110">
        <v>304.89</v>
      </c>
      <c r="S2026" s="110">
        <v>39.9</v>
      </c>
      <c r="T2026" s="110">
        <v>0</v>
      </c>
      <c r="U2026" s="110">
        <v>42.99</v>
      </c>
      <c r="X2026">
        <v>177.09999999999997</v>
      </c>
      <c r="Y2026">
        <v>44.9</v>
      </c>
      <c r="Z2026">
        <v>44.9</v>
      </c>
      <c r="AA2026">
        <v>0</v>
      </c>
      <c r="AB2026" t="s">
        <v>324</v>
      </c>
      <c r="AF2026" t="s">
        <v>474</v>
      </c>
      <c r="AG2026" t="s">
        <v>474</v>
      </c>
      <c r="AH2026" t="s">
        <v>325</v>
      </c>
      <c r="AI2026">
        <v>99999</v>
      </c>
      <c r="AJ2026">
        <v>99999</v>
      </c>
      <c r="AK2026">
        <v>699</v>
      </c>
      <c r="AL2026" t="b">
        <v>1</v>
      </c>
      <c r="AM2026" t="b">
        <v>1</v>
      </c>
      <c r="AN2026" t="b">
        <v>1</v>
      </c>
      <c r="AO2026">
        <v>99999</v>
      </c>
      <c r="AP2026" t="s">
        <v>64</v>
      </c>
      <c r="AR2026" t="b">
        <v>0</v>
      </c>
      <c r="AS2026">
        <v>12</v>
      </c>
      <c r="AT2026" t="s">
        <v>327</v>
      </c>
      <c r="AV2026" t="s">
        <v>487</v>
      </c>
    </row>
    <row r="2027" spans="1:48" x14ac:dyDescent="0.25">
      <c r="A2027" t="s">
        <v>3323</v>
      </c>
      <c r="B2027" t="s">
        <v>302</v>
      </c>
      <c r="C2027" t="s">
        <v>62</v>
      </c>
      <c r="D2027">
        <v>99999</v>
      </c>
      <c r="F2027" s="109">
        <v>4000</v>
      </c>
      <c r="G2027" t="b">
        <v>1</v>
      </c>
      <c r="H2027" t="s">
        <v>343</v>
      </c>
      <c r="K2027" t="s">
        <v>61</v>
      </c>
      <c r="L2027" t="s">
        <v>303</v>
      </c>
      <c r="M2027" t="s">
        <v>323</v>
      </c>
      <c r="N2027" t="s">
        <v>63</v>
      </c>
      <c r="O2027">
        <v>29.9</v>
      </c>
      <c r="R2027">
        <v>319.89</v>
      </c>
      <c r="S2027">
        <v>59.9</v>
      </c>
      <c r="T2027" s="110">
        <v>0</v>
      </c>
      <c r="U2027">
        <v>42.99</v>
      </c>
      <c r="X2027">
        <v>172.09999999999997</v>
      </c>
      <c r="Y2027">
        <v>44.9</v>
      </c>
      <c r="Z2027">
        <v>44.9</v>
      </c>
      <c r="AA2027">
        <v>0</v>
      </c>
      <c r="AB2027" t="s">
        <v>324</v>
      </c>
      <c r="AF2027" t="s">
        <v>608</v>
      </c>
      <c r="AG2027" t="s">
        <v>608</v>
      </c>
      <c r="AH2027" t="s">
        <v>325</v>
      </c>
      <c r="AI2027">
        <v>99999</v>
      </c>
      <c r="AJ2027">
        <v>99999</v>
      </c>
      <c r="AK2027">
        <v>699</v>
      </c>
      <c r="AL2027" t="b">
        <v>1</v>
      </c>
      <c r="AM2027" t="b">
        <v>1</v>
      </c>
      <c r="AN2027" t="b">
        <v>1</v>
      </c>
      <c r="AO2027">
        <v>99999</v>
      </c>
      <c r="AP2027" t="s">
        <v>64</v>
      </c>
      <c r="AR2027" t="b">
        <v>0</v>
      </c>
      <c r="AS2027">
        <v>12</v>
      </c>
      <c r="AT2027" t="s">
        <v>327</v>
      </c>
      <c r="AV2027" t="s">
        <v>621</v>
      </c>
    </row>
    <row r="2028" spans="1:48" x14ac:dyDescent="0.25">
      <c r="A2028" t="s">
        <v>3323</v>
      </c>
      <c r="B2028" t="s">
        <v>302</v>
      </c>
      <c r="C2028" t="s">
        <v>62</v>
      </c>
      <c r="D2028">
        <v>99999</v>
      </c>
      <c r="F2028" s="109">
        <v>4000</v>
      </c>
      <c r="G2028" t="b">
        <v>1</v>
      </c>
      <c r="H2028" t="s">
        <v>343</v>
      </c>
      <c r="K2028" t="s">
        <v>61</v>
      </c>
      <c r="L2028" t="s">
        <v>303</v>
      </c>
      <c r="M2028" t="s">
        <v>323</v>
      </c>
      <c r="N2028" t="s">
        <v>63</v>
      </c>
      <c r="O2028" s="110">
        <v>39.9</v>
      </c>
      <c r="R2028" s="110">
        <v>289.89</v>
      </c>
      <c r="S2028" s="110">
        <v>39.9</v>
      </c>
      <c r="T2028" s="110">
        <v>0</v>
      </c>
      <c r="U2028" s="110">
        <v>42.99</v>
      </c>
      <c r="X2028">
        <v>162.09999999999997</v>
      </c>
      <c r="Y2028">
        <v>44.9</v>
      </c>
      <c r="Z2028">
        <v>44.9</v>
      </c>
      <c r="AA2028">
        <v>0</v>
      </c>
      <c r="AB2028" t="s">
        <v>324</v>
      </c>
      <c r="AF2028" t="s">
        <v>407</v>
      </c>
      <c r="AG2028" t="s">
        <v>407</v>
      </c>
      <c r="AH2028" t="s">
        <v>325</v>
      </c>
      <c r="AI2028">
        <v>99999</v>
      </c>
      <c r="AJ2028">
        <v>99999</v>
      </c>
      <c r="AK2028">
        <v>699</v>
      </c>
      <c r="AL2028" t="b">
        <v>1</v>
      </c>
      <c r="AM2028" t="b">
        <v>1</v>
      </c>
      <c r="AN2028" t="b">
        <v>1</v>
      </c>
      <c r="AO2028">
        <v>99999</v>
      </c>
      <c r="AP2028" t="s">
        <v>64</v>
      </c>
      <c r="AR2028" t="b">
        <v>0</v>
      </c>
      <c r="AS2028">
        <v>12</v>
      </c>
      <c r="AT2028" t="s">
        <v>327</v>
      </c>
      <c r="AV2028" t="s">
        <v>420</v>
      </c>
    </row>
    <row r="2029" spans="1:48" x14ac:dyDescent="0.25">
      <c r="A2029" t="s">
        <v>3323</v>
      </c>
      <c r="B2029" t="s">
        <v>302</v>
      </c>
      <c r="C2029" t="s">
        <v>62</v>
      </c>
      <c r="D2029">
        <v>99999</v>
      </c>
      <c r="F2029" s="109">
        <v>4000</v>
      </c>
      <c r="G2029" t="b">
        <v>1</v>
      </c>
      <c r="H2029" t="s">
        <v>343</v>
      </c>
      <c r="K2029" t="s">
        <v>61</v>
      </c>
      <c r="L2029" t="s">
        <v>303</v>
      </c>
      <c r="M2029" t="s">
        <v>323</v>
      </c>
      <c r="N2029" t="s">
        <v>63</v>
      </c>
      <c r="O2029">
        <v>39.9</v>
      </c>
      <c r="R2029">
        <v>304.89</v>
      </c>
      <c r="S2029">
        <v>39.9</v>
      </c>
      <c r="T2029" s="110">
        <v>0</v>
      </c>
      <c r="U2029">
        <v>42.99</v>
      </c>
      <c r="X2029">
        <v>177.09999999999997</v>
      </c>
      <c r="Y2029">
        <v>44.9</v>
      </c>
      <c r="Z2029">
        <v>44.9</v>
      </c>
      <c r="AA2029">
        <v>0</v>
      </c>
      <c r="AB2029" t="s">
        <v>324</v>
      </c>
      <c r="AF2029" t="s">
        <v>541</v>
      </c>
      <c r="AG2029" t="s">
        <v>541</v>
      </c>
      <c r="AH2029" t="s">
        <v>325</v>
      </c>
      <c r="AI2029">
        <v>99999</v>
      </c>
      <c r="AJ2029">
        <v>99999</v>
      </c>
      <c r="AK2029">
        <v>699</v>
      </c>
      <c r="AL2029" t="b">
        <v>1</v>
      </c>
      <c r="AM2029" t="b">
        <v>1</v>
      </c>
      <c r="AN2029" t="b">
        <v>1</v>
      </c>
      <c r="AO2029">
        <v>99999</v>
      </c>
      <c r="AP2029" t="s">
        <v>64</v>
      </c>
      <c r="AR2029" t="b">
        <v>0</v>
      </c>
      <c r="AS2029">
        <v>12</v>
      </c>
      <c r="AT2029" t="s">
        <v>327</v>
      </c>
      <c r="AV2029" t="s">
        <v>554</v>
      </c>
    </row>
    <row r="2030" spans="1:48" x14ac:dyDescent="0.25">
      <c r="A2030" t="s">
        <v>3323</v>
      </c>
      <c r="B2030" t="s">
        <v>302</v>
      </c>
      <c r="C2030" t="s">
        <v>62</v>
      </c>
      <c r="D2030">
        <v>99999</v>
      </c>
      <c r="F2030" s="109">
        <v>4000</v>
      </c>
      <c r="G2030" t="b">
        <v>1</v>
      </c>
      <c r="H2030" t="s">
        <v>343</v>
      </c>
      <c r="K2030" t="s">
        <v>61</v>
      </c>
      <c r="L2030" t="s">
        <v>303</v>
      </c>
      <c r="M2030" t="s">
        <v>323</v>
      </c>
      <c r="N2030" t="s">
        <v>63</v>
      </c>
      <c r="O2030">
        <v>39.9</v>
      </c>
      <c r="R2030">
        <v>319.89</v>
      </c>
      <c r="S2030">
        <v>59.9</v>
      </c>
      <c r="T2030" s="110">
        <v>0</v>
      </c>
      <c r="U2030">
        <v>42.99</v>
      </c>
      <c r="X2030">
        <v>172.09999999999997</v>
      </c>
      <c r="Y2030">
        <v>44.9</v>
      </c>
      <c r="Z2030">
        <v>44.9</v>
      </c>
      <c r="AA2030">
        <v>0</v>
      </c>
      <c r="AB2030" t="s">
        <v>324</v>
      </c>
      <c r="AF2030" t="s">
        <v>675</v>
      </c>
      <c r="AG2030" t="s">
        <v>675</v>
      </c>
      <c r="AH2030" t="s">
        <v>325</v>
      </c>
      <c r="AI2030">
        <v>99999</v>
      </c>
      <c r="AJ2030">
        <v>99999</v>
      </c>
      <c r="AK2030">
        <v>699</v>
      </c>
      <c r="AL2030" t="b">
        <v>1</v>
      </c>
      <c r="AM2030" t="b">
        <v>1</v>
      </c>
      <c r="AN2030" t="b">
        <v>1</v>
      </c>
      <c r="AO2030">
        <v>99999</v>
      </c>
      <c r="AP2030" t="s">
        <v>64</v>
      </c>
      <c r="AR2030" t="b">
        <v>0</v>
      </c>
      <c r="AS2030">
        <v>12</v>
      </c>
      <c r="AT2030" t="s">
        <v>327</v>
      </c>
      <c r="AV2030" t="s">
        <v>688</v>
      </c>
    </row>
    <row r="2031" spans="1:48" x14ac:dyDescent="0.25">
      <c r="A2031" t="s">
        <v>3323</v>
      </c>
      <c r="B2031" t="s">
        <v>302</v>
      </c>
      <c r="C2031" t="s">
        <v>62</v>
      </c>
      <c r="D2031">
        <v>99999</v>
      </c>
      <c r="F2031" s="109">
        <v>4000</v>
      </c>
      <c r="G2031" t="b">
        <v>1</v>
      </c>
      <c r="H2031" t="s">
        <v>343</v>
      </c>
      <c r="K2031" t="s">
        <v>61</v>
      </c>
      <c r="L2031" t="s">
        <v>303</v>
      </c>
      <c r="M2031" t="s">
        <v>323</v>
      </c>
      <c r="N2031" t="s">
        <v>63</v>
      </c>
      <c r="O2031" s="110">
        <v>49.9</v>
      </c>
      <c r="R2031" s="110">
        <v>330.68999999999994</v>
      </c>
      <c r="S2031" s="110">
        <v>130</v>
      </c>
      <c r="T2031" s="110">
        <v>0</v>
      </c>
      <c r="U2031" s="110">
        <v>34.99</v>
      </c>
      <c r="X2031">
        <v>120.79999999999995</v>
      </c>
      <c r="Y2031">
        <v>44.9</v>
      </c>
      <c r="Z2031">
        <v>44.9</v>
      </c>
      <c r="AA2031">
        <v>0</v>
      </c>
      <c r="AB2031" t="s">
        <v>324</v>
      </c>
      <c r="AF2031" t="s">
        <v>2185</v>
      </c>
      <c r="AG2031" t="s">
        <v>2185</v>
      </c>
      <c r="AH2031" t="s">
        <v>325</v>
      </c>
      <c r="AI2031">
        <v>99999</v>
      </c>
      <c r="AJ2031">
        <v>99999</v>
      </c>
      <c r="AK2031">
        <v>699</v>
      </c>
      <c r="AL2031" t="b">
        <v>1</v>
      </c>
      <c r="AM2031" t="b">
        <v>1</v>
      </c>
      <c r="AN2031" t="b">
        <v>1</v>
      </c>
      <c r="AO2031">
        <v>99999</v>
      </c>
      <c r="AP2031" t="s">
        <v>64</v>
      </c>
      <c r="AR2031" t="b">
        <v>0</v>
      </c>
      <c r="AS2031">
        <v>12</v>
      </c>
      <c r="AT2031" t="s">
        <v>327</v>
      </c>
      <c r="AV2031" t="s">
        <v>2198</v>
      </c>
    </row>
    <row r="2032" spans="1:48" x14ac:dyDescent="0.25">
      <c r="A2032" t="s">
        <v>3323</v>
      </c>
      <c r="B2032" t="s">
        <v>302</v>
      </c>
      <c r="C2032" t="s">
        <v>62</v>
      </c>
      <c r="D2032">
        <v>99999</v>
      </c>
      <c r="F2032" s="109">
        <v>4000</v>
      </c>
      <c r="G2032" t="b">
        <v>1</v>
      </c>
      <c r="H2032" t="s">
        <v>343</v>
      </c>
      <c r="K2032" t="s">
        <v>61</v>
      </c>
      <c r="L2032" t="s">
        <v>303</v>
      </c>
      <c r="M2032" t="s">
        <v>323</v>
      </c>
      <c r="N2032" t="s">
        <v>63</v>
      </c>
      <c r="O2032" s="110">
        <v>49.9</v>
      </c>
      <c r="R2032" s="110">
        <v>369.98999999999995</v>
      </c>
      <c r="S2032" s="110">
        <v>130</v>
      </c>
      <c r="T2032" s="110">
        <v>0</v>
      </c>
      <c r="U2032" s="110">
        <v>42.99</v>
      </c>
      <c r="X2032">
        <v>152.09999999999997</v>
      </c>
      <c r="Y2032">
        <v>44.9</v>
      </c>
      <c r="Z2032">
        <v>44.9</v>
      </c>
      <c r="AA2032">
        <v>0</v>
      </c>
      <c r="AB2032" t="s">
        <v>324</v>
      </c>
      <c r="AF2032" t="s">
        <v>2259</v>
      </c>
      <c r="AG2032" t="s">
        <v>2259</v>
      </c>
      <c r="AH2032" t="s">
        <v>325</v>
      </c>
      <c r="AI2032">
        <v>99999</v>
      </c>
      <c r="AJ2032">
        <v>99999</v>
      </c>
      <c r="AK2032">
        <v>699</v>
      </c>
      <c r="AL2032" t="b">
        <v>1</v>
      </c>
      <c r="AM2032" t="b">
        <v>1</v>
      </c>
      <c r="AN2032" t="b">
        <v>1</v>
      </c>
      <c r="AO2032">
        <v>99999</v>
      </c>
      <c r="AP2032" t="s">
        <v>64</v>
      </c>
      <c r="AR2032" t="b">
        <v>0</v>
      </c>
      <c r="AS2032">
        <v>12</v>
      </c>
      <c r="AT2032" t="s">
        <v>327</v>
      </c>
      <c r="AV2032" t="s">
        <v>2272</v>
      </c>
    </row>
    <row r="2033" spans="1:48" x14ac:dyDescent="0.25">
      <c r="A2033" t="s">
        <v>3323</v>
      </c>
      <c r="B2033" t="s">
        <v>302</v>
      </c>
      <c r="C2033" t="s">
        <v>62</v>
      </c>
      <c r="D2033">
        <v>99999</v>
      </c>
      <c r="F2033" s="109">
        <v>4000</v>
      </c>
      <c r="G2033" t="b">
        <v>1</v>
      </c>
      <c r="H2033" t="s">
        <v>343</v>
      </c>
      <c r="K2033" t="s">
        <v>61</v>
      </c>
      <c r="L2033" t="s">
        <v>303</v>
      </c>
      <c r="M2033" t="s">
        <v>323</v>
      </c>
      <c r="N2033" t="s">
        <v>63</v>
      </c>
      <c r="O2033" s="110">
        <v>49.9</v>
      </c>
      <c r="R2033" s="110">
        <v>344.98999999999995</v>
      </c>
      <c r="S2033" s="110">
        <v>130</v>
      </c>
      <c r="T2033" s="110">
        <v>0</v>
      </c>
      <c r="U2033" s="110">
        <v>42.99</v>
      </c>
      <c r="X2033">
        <v>127.09999999999997</v>
      </c>
      <c r="Y2033">
        <v>44.9</v>
      </c>
      <c r="Z2033">
        <v>44.9</v>
      </c>
      <c r="AA2033">
        <v>0</v>
      </c>
      <c r="AB2033" t="s">
        <v>324</v>
      </c>
      <c r="AF2033" t="s">
        <v>2326</v>
      </c>
      <c r="AG2033" t="s">
        <v>2326</v>
      </c>
      <c r="AH2033" t="s">
        <v>325</v>
      </c>
      <c r="AI2033">
        <v>99999</v>
      </c>
      <c r="AJ2033">
        <v>99999</v>
      </c>
      <c r="AK2033">
        <v>699</v>
      </c>
      <c r="AL2033" t="b">
        <v>1</v>
      </c>
      <c r="AM2033" t="b">
        <v>1</v>
      </c>
      <c r="AN2033" t="b">
        <v>1</v>
      </c>
      <c r="AO2033">
        <v>99999</v>
      </c>
      <c r="AP2033" t="s">
        <v>64</v>
      </c>
      <c r="AR2033" t="b">
        <v>0</v>
      </c>
      <c r="AS2033">
        <v>12</v>
      </c>
      <c r="AT2033" t="s">
        <v>327</v>
      </c>
      <c r="AV2033" t="s">
        <v>2339</v>
      </c>
    </row>
    <row r="2034" spans="1:48" x14ac:dyDescent="0.25">
      <c r="A2034" t="s">
        <v>3323</v>
      </c>
      <c r="B2034" t="s">
        <v>302</v>
      </c>
      <c r="C2034" t="s">
        <v>62</v>
      </c>
      <c r="D2034">
        <v>99999</v>
      </c>
      <c r="F2034" s="109">
        <v>4000</v>
      </c>
      <c r="G2034" t="b">
        <v>1</v>
      </c>
      <c r="H2034" t="s">
        <v>343</v>
      </c>
      <c r="K2034" t="s">
        <v>61</v>
      </c>
      <c r="L2034" t="s">
        <v>303</v>
      </c>
      <c r="M2034" t="s">
        <v>323</v>
      </c>
      <c r="N2034" t="s">
        <v>63</v>
      </c>
      <c r="O2034" s="110">
        <v>49.9</v>
      </c>
      <c r="R2034" s="110">
        <v>374.89</v>
      </c>
      <c r="S2034" s="110">
        <v>130</v>
      </c>
      <c r="T2034" s="110">
        <v>0</v>
      </c>
      <c r="U2034" s="110">
        <v>42.99</v>
      </c>
      <c r="X2034">
        <v>156.99999999999997</v>
      </c>
      <c r="Y2034">
        <v>44.9</v>
      </c>
      <c r="Z2034">
        <v>44.9</v>
      </c>
      <c r="AA2034">
        <v>0</v>
      </c>
      <c r="AB2034" t="s">
        <v>324</v>
      </c>
      <c r="AF2034" t="s">
        <v>2393</v>
      </c>
      <c r="AG2034" t="s">
        <v>2393</v>
      </c>
      <c r="AH2034" t="s">
        <v>325</v>
      </c>
      <c r="AI2034">
        <v>99999</v>
      </c>
      <c r="AJ2034">
        <v>99999</v>
      </c>
      <c r="AK2034">
        <v>699</v>
      </c>
      <c r="AL2034" t="b">
        <v>1</v>
      </c>
      <c r="AM2034" t="b">
        <v>1</v>
      </c>
      <c r="AN2034" t="b">
        <v>1</v>
      </c>
      <c r="AO2034">
        <v>99999</v>
      </c>
      <c r="AP2034" t="s">
        <v>64</v>
      </c>
      <c r="AR2034" t="b">
        <v>0</v>
      </c>
      <c r="AS2034">
        <v>12</v>
      </c>
      <c r="AT2034" t="s">
        <v>327</v>
      </c>
      <c r="AV2034" t="s">
        <v>2406</v>
      </c>
    </row>
    <row r="2035" spans="1:48" x14ac:dyDescent="0.25">
      <c r="A2035" t="s">
        <v>3323</v>
      </c>
      <c r="B2035" t="s">
        <v>302</v>
      </c>
      <c r="C2035" t="s">
        <v>62</v>
      </c>
      <c r="D2035">
        <v>99999</v>
      </c>
      <c r="F2035" s="109">
        <v>4000</v>
      </c>
      <c r="G2035" t="b">
        <v>1</v>
      </c>
      <c r="H2035" t="s">
        <v>339</v>
      </c>
      <c r="K2035" t="s">
        <v>349</v>
      </c>
      <c r="L2035" t="s">
        <v>303</v>
      </c>
      <c r="M2035" t="s">
        <v>323</v>
      </c>
      <c r="N2035" t="s">
        <v>63</v>
      </c>
      <c r="O2035">
        <v>29.9</v>
      </c>
      <c r="R2035">
        <v>254.88999999999996</v>
      </c>
      <c r="S2035">
        <v>39.9</v>
      </c>
      <c r="T2035" s="110">
        <v>0</v>
      </c>
      <c r="U2035">
        <v>42.99</v>
      </c>
      <c r="X2035">
        <v>127.09999999999997</v>
      </c>
      <c r="Y2035">
        <v>44.9</v>
      </c>
      <c r="Z2035">
        <v>44.9</v>
      </c>
      <c r="AA2035">
        <v>0</v>
      </c>
      <c r="AB2035" t="s">
        <v>324</v>
      </c>
      <c r="AF2035" t="s">
        <v>326</v>
      </c>
      <c r="AG2035" t="s">
        <v>326</v>
      </c>
      <c r="AH2035" t="s">
        <v>325</v>
      </c>
      <c r="AI2035">
        <v>99999</v>
      </c>
      <c r="AJ2035">
        <v>99999</v>
      </c>
      <c r="AK2035">
        <v>699</v>
      </c>
      <c r="AL2035" t="b">
        <v>1</v>
      </c>
      <c r="AM2035" t="b">
        <v>1</v>
      </c>
      <c r="AN2035" t="b">
        <v>1</v>
      </c>
      <c r="AO2035">
        <v>99999</v>
      </c>
      <c r="AP2035" t="s">
        <v>64</v>
      </c>
      <c r="AR2035" t="b">
        <v>0</v>
      </c>
      <c r="AS2035">
        <v>12</v>
      </c>
      <c r="AT2035" t="s">
        <v>327</v>
      </c>
      <c r="AV2035" t="s">
        <v>360</v>
      </c>
    </row>
    <row r="2036" spans="1:48" x14ac:dyDescent="0.25">
      <c r="A2036" t="s">
        <v>3323</v>
      </c>
      <c r="B2036" t="s">
        <v>302</v>
      </c>
      <c r="C2036" t="s">
        <v>62</v>
      </c>
      <c r="D2036">
        <v>99999</v>
      </c>
      <c r="F2036" s="109">
        <v>4000</v>
      </c>
      <c r="G2036" t="b">
        <v>1</v>
      </c>
      <c r="H2036" t="s">
        <v>339</v>
      </c>
      <c r="K2036" t="s">
        <v>349</v>
      </c>
      <c r="L2036" t="s">
        <v>303</v>
      </c>
      <c r="M2036" t="s">
        <v>323</v>
      </c>
      <c r="N2036" t="s">
        <v>63</v>
      </c>
      <c r="O2036" s="110">
        <v>29.9</v>
      </c>
      <c r="R2036" s="110">
        <v>269.89</v>
      </c>
      <c r="S2036" s="110">
        <v>39.9</v>
      </c>
      <c r="T2036" s="110">
        <v>0</v>
      </c>
      <c r="U2036" s="110">
        <v>42.99</v>
      </c>
      <c r="X2036">
        <v>142.09999999999997</v>
      </c>
      <c r="Y2036">
        <v>44.9</v>
      </c>
      <c r="Z2036">
        <v>44.9</v>
      </c>
      <c r="AA2036">
        <v>0</v>
      </c>
      <c r="AB2036" t="s">
        <v>324</v>
      </c>
      <c r="AF2036" t="s">
        <v>474</v>
      </c>
      <c r="AG2036" t="s">
        <v>474</v>
      </c>
      <c r="AH2036" t="s">
        <v>325</v>
      </c>
      <c r="AI2036">
        <v>99999</v>
      </c>
      <c r="AJ2036">
        <v>99999</v>
      </c>
      <c r="AK2036">
        <v>699</v>
      </c>
      <c r="AL2036" t="b">
        <v>1</v>
      </c>
      <c r="AM2036" t="b">
        <v>1</v>
      </c>
      <c r="AN2036" t="b">
        <v>1</v>
      </c>
      <c r="AO2036">
        <v>99999</v>
      </c>
      <c r="AP2036" t="s">
        <v>64</v>
      </c>
      <c r="AR2036" t="b">
        <v>0</v>
      </c>
      <c r="AS2036">
        <v>12</v>
      </c>
      <c r="AT2036" t="s">
        <v>327</v>
      </c>
      <c r="AV2036" t="s">
        <v>498</v>
      </c>
    </row>
    <row r="2037" spans="1:48" x14ac:dyDescent="0.25">
      <c r="A2037" t="s">
        <v>3323</v>
      </c>
      <c r="B2037" t="s">
        <v>302</v>
      </c>
      <c r="C2037" t="s">
        <v>62</v>
      </c>
      <c r="D2037">
        <v>99999</v>
      </c>
      <c r="F2037" s="109">
        <v>4000</v>
      </c>
      <c r="G2037" t="b">
        <v>1</v>
      </c>
      <c r="H2037" t="s">
        <v>339</v>
      </c>
      <c r="K2037" t="s">
        <v>349</v>
      </c>
      <c r="L2037" t="s">
        <v>303</v>
      </c>
      <c r="M2037" t="s">
        <v>323</v>
      </c>
      <c r="N2037" t="s">
        <v>63</v>
      </c>
      <c r="O2037">
        <v>29.9</v>
      </c>
      <c r="R2037">
        <v>284.89</v>
      </c>
      <c r="S2037">
        <v>59.9</v>
      </c>
      <c r="T2037" s="110">
        <v>0</v>
      </c>
      <c r="U2037">
        <v>42.99</v>
      </c>
      <c r="X2037">
        <v>137.09999999999997</v>
      </c>
      <c r="Y2037">
        <v>44.9</v>
      </c>
      <c r="Z2037">
        <v>44.9</v>
      </c>
      <c r="AA2037">
        <v>0</v>
      </c>
      <c r="AB2037" t="s">
        <v>324</v>
      </c>
      <c r="AF2037" t="s">
        <v>608</v>
      </c>
      <c r="AG2037" t="s">
        <v>608</v>
      </c>
      <c r="AH2037" t="s">
        <v>325</v>
      </c>
      <c r="AI2037">
        <v>99999</v>
      </c>
      <c r="AJ2037">
        <v>99999</v>
      </c>
      <c r="AK2037">
        <v>699</v>
      </c>
      <c r="AL2037" t="b">
        <v>1</v>
      </c>
      <c r="AM2037" t="b">
        <v>1</v>
      </c>
      <c r="AN2037" t="b">
        <v>1</v>
      </c>
      <c r="AO2037">
        <v>99999</v>
      </c>
      <c r="AP2037" t="s">
        <v>64</v>
      </c>
      <c r="AR2037" t="b">
        <v>0</v>
      </c>
      <c r="AS2037">
        <v>12</v>
      </c>
      <c r="AT2037" t="s">
        <v>327</v>
      </c>
      <c r="AV2037" t="s">
        <v>632</v>
      </c>
    </row>
    <row r="2038" spans="1:48" x14ac:dyDescent="0.25">
      <c r="A2038" t="s">
        <v>3323</v>
      </c>
      <c r="B2038" t="s">
        <v>302</v>
      </c>
      <c r="C2038" t="s">
        <v>62</v>
      </c>
      <c r="D2038">
        <v>99999</v>
      </c>
      <c r="F2038" s="109">
        <v>4000</v>
      </c>
      <c r="G2038" t="b">
        <v>1</v>
      </c>
      <c r="H2038" t="s">
        <v>339</v>
      </c>
      <c r="K2038" t="s">
        <v>349</v>
      </c>
      <c r="L2038" t="s">
        <v>303</v>
      </c>
      <c r="M2038" t="s">
        <v>323</v>
      </c>
      <c r="N2038" t="s">
        <v>63</v>
      </c>
      <c r="O2038" s="110">
        <v>39.9</v>
      </c>
      <c r="R2038" s="110">
        <v>254.88999999999996</v>
      </c>
      <c r="S2038" s="110">
        <v>39.9</v>
      </c>
      <c r="T2038" s="110">
        <v>0</v>
      </c>
      <c r="U2038" s="110">
        <v>42.99</v>
      </c>
      <c r="X2038">
        <v>127.09999999999997</v>
      </c>
      <c r="Y2038">
        <v>44.9</v>
      </c>
      <c r="Z2038">
        <v>44.9</v>
      </c>
      <c r="AA2038">
        <v>0</v>
      </c>
      <c r="AB2038" t="s">
        <v>324</v>
      </c>
      <c r="AF2038" t="s">
        <v>407</v>
      </c>
      <c r="AG2038" t="s">
        <v>407</v>
      </c>
      <c r="AH2038" t="s">
        <v>325</v>
      </c>
      <c r="AI2038">
        <v>99999</v>
      </c>
      <c r="AJ2038">
        <v>99999</v>
      </c>
      <c r="AK2038">
        <v>699</v>
      </c>
      <c r="AL2038" t="b">
        <v>1</v>
      </c>
      <c r="AM2038" t="b">
        <v>1</v>
      </c>
      <c r="AN2038" t="b">
        <v>1</v>
      </c>
      <c r="AO2038">
        <v>99999</v>
      </c>
      <c r="AP2038" t="s">
        <v>64</v>
      </c>
      <c r="AR2038" t="b">
        <v>0</v>
      </c>
      <c r="AS2038">
        <v>12</v>
      </c>
      <c r="AT2038" t="s">
        <v>327</v>
      </c>
      <c r="AV2038" t="s">
        <v>431</v>
      </c>
    </row>
    <row r="2039" spans="1:48" x14ac:dyDescent="0.25">
      <c r="A2039" t="s">
        <v>3323</v>
      </c>
      <c r="B2039" t="s">
        <v>302</v>
      </c>
      <c r="C2039" t="s">
        <v>62</v>
      </c>
      <c r="D2039">
        <v>99999</v>
      </c>
      <c r="F2039" s="109">
        <v>4000</v>
      </c>
      <c r="G2039" t="b">
        <v>1</v>
      </c>
      <c r="H2039" t="s">
        <v>339</v>
      </c>
      <c r="K2039" t="s">
        <v>349</v>
      </c>
      <c r="L2039" t="s">
        <v>303</v>
      </c>
      <c r="M2039" t="s">
        <v>323</v>
      </c>
      <c r="N2039" t="s">
        <v>63</v>
      </c>
      <c r="O2039">
        <v>39.9</v>
      </c>
      <c r="R2039">
        <v>269.89</v>
      </c>
      <c r="S2039">
        <v>39.9</v>
      </c>
      <c r="T2039" s="110">
        <v>0</v>
      </c>
      <c r="U2039">
        <v>42.99</v>
      </c>
      <c r="X2039">
        <v>142.09999999999997</v>
      </c>
      <c r="Y2039">
        <v>44.9</v>
      </c>
      <c r="Z2039">
        <v>44.9</v>
      </c>
      <c r="AA2039">
        <v>0</v>
      </c>
      <c r="AB2039" t="s">
        <v>324</v>
      </c>
      <c r="AF2039" t="s">
        <v>541</v>
      </c>
      <c r="AG2039" t="s">
        <v>541</v>
      </c>
      <c r="AH2039" t="s">
        <v>325</v>
      </c>
      <c r="AI2039">
        <v>99999</v>
      </c>
      <c r="AJ2039">
        <v>99999</v>
      </c>
      <c r="AK2039">
        <v>699</v>
      </c>
      <c r="AL2039" t="b">
        <v>1</v>
      </c>
      <c r="AM2039" t="b">
        <v>1</v>
      </c>
      <c r="AN2039" t="b">
        <v>1</v>
      </c>
      <c r="AO2039">
        <v>99999</v>
      </c>
      <c r="AP2039" t="s">
        <v>64</v>
      </c>
      <c r="AR2039" t="b">
        <v>0</v>
      </c>
      <c r="AS2039">
        <v>12</v>
      </c>
      <c r="AT2039" t="s">
        <v>327</v>
      </c>
      <c r="AV2039" t="s">
        <v>565</v>
      </c>
    </row>
    <row r="2040" spans="1:48" x14ac:dyDescent="0.25">
      <c r="A2040" t="s">
        <v>3323</v>
      </c>
      <c r="B2040" t="s">
        <v>302</v>
      </c>
      <c r="C2040" t="s">
        <v>62</v>
      </c>
      <c r="D2040">
        <v>99999</v>
      </c>
      <c r="F2040" s="109">
        <v>4000</v>
      </c>
      <c r="G2040" t="b">
        <v>1</v>
      </c>
      <c r="H2040" t="s">
        <v>339</v>
      </c>
      <c r="K2040" t="s">
        <v>349</v>
      </c>
      <c r="L2040" t="s">
        <v>303</v>
      </c>
      <c r="M2040" t="s">
        <v>323</v>
      </c>
      <c r="N2040" t="s">
        <v>63</v>
      </c>
      <c r="O2040">
        <v>39.9</v>
      </c>
      <c r="R2040">
        <v>284.89</v>
      </c>
      <c r="S2040">
        <v>59.9</v>
      </c>
      <c r="T2040" s="110">
        <v>0</v>
      </c>
      <c r="U2040">
        <v>42.99</v>
      </c>
      <c r="X2040">
        <v>137.09999999999997</v>
      </c>
      <c r="Y2040">
        <v>44.9</v>
      </c>
      <c r="Z2040">
        <v>44.9</v>
      </c>
      <c r="AA2040">
        <v>0</v>
      </c>
      <c r="AB2040" t="s">
        <v>324</v>
      </c>
      <c r="AF2040" t="s">
        <v>675</v>
      </c>
      <c r="AG2040" t="s">
        <v>675</v>
      </c>
      <c r="AH2040" t="s">
        <v>325</v>
      </c>
      <c r="AI2040">
        <v>99999</v>
      </c>
      <c r="AJ2040">
        <v>99999</v>
      </c>
      <c r="AK2040">
        <v>699</v>
      </c>
      <c r="AL2040" t="b">
        <v>1</v>
      </c>
      <c r="AM2040" t="b">
        <v>1</v>
      </c>
      <c r="AN2040" t="b">
        <v>1</v>
      </c>
      <c r="AO2040">
        <v>99999</v>
      </c>
      <c r="AP2040" t="s">
        <v>64</v>
      </c>
      <c r="AR2040" t="b">
        <v>0</v>
      </c>
      <c r="AS2040">
        <v>12</v>
      </c>
      <c r="AT2040" t="s">
        <v>327</v>
      </c>
      <c r="AV2040" t="s">
        <v>699</v>
      </c>
    </row>
    <row r="2041" spans="1:48" x14ac:dyDescent="0.25">
      <c r="A2041" t="s">
        <v>3323</v>
      </c>
      <c r="B2041" t="s">
        <v>302</v>
      </c>
      <c r="C2041" t="s">
        <v>62</v>
      </c>
      <c r="D2041">
        <v>99999</v>
      </c>
      <c r="F2041" s="109">
        <v>4000</v>
      </c>
      <c r="G2041" t="b">
        <v>1</v>
      </c>
      <c r="H2041" t="s">
        <v>339</v>
      </c>
      <c r="K2041" t="s">
        <v>349</v>
      </c>
      <c r="L2041" t="s">
        <v>303</v>
      </c>
      <c r="M2041" t="s">
        <v>323</v>
      </c>
      <c r="N2041" t="s">
        <v>63</v>
      </c>
      <c r="O2041" s="110">
        <v>49.9</v>
      </c>
      <c r="R2041" s="110">
        <v>330.68999999999994</v>
      </c>
      <c r="S2041" s="110">
        <v>130</v>
      </c>
      <c r="T2041" s="110">
        <v>0</v>
      </c>
      <c r="U2041" s="110">
        <v>34.99</v>
      </c>
      <c r="X2041">
        <v>120.79999999999995</v>
      </c>
      <c r="Y2041">
        <v>44.9</v>
      </c>
      <c r="Z2041">
        <v>44.9</v>
      </c>
      <c r="AA2041">
        <v>0</v>
      </c>
      <c r="AB2041" t="s">
        <v>324</v>
      </c>
      <c r="AF2041" t="s">
        <v>2185</v>
      </c>
      <c r="AG2041" t="s">
        <v>2185</v>
      </c>
      <c r="AH2041" t="s">
        <v>325</v>
      </c>
      <c r="AI2041">
        <v>99999</v>
      </c>
      <c r="AJ2041">
        <v>99999</v>
      </c>
      <c r="AK2041">
        <v>699</v>
      </c>
      <c r="AL2041" t="b">
        <v>1</v>
      </c>
      <c r="AM2041" t="b">
        <v>1</v>
      </c>
      <c r="AN2041" t="b">
        <v>1</v>
      </c>
      <c r="AO2041">
        <v>99999</v>
      </c>
      <c r="AP2041" t="s">
        <v>64</v>
      </c>
      <c r="AR2041" t="b">
        <v>0</v>
      </c>
      <c r="AS2041">
        <v>12</v>
      </c>
      <c r="AT2041" t="s">
        <v>327</v>
      </c>
      <c r="AV2041" t="s">
        <v>2209</v>
      </c>
    </row>
    <row r="2042" spans="1:48" x14ac:dyDescent="0.25">
      <c r="A2042" t="s">
        <v>3323</v>
      </c>
      <c r="B2042" t="s">
        <v>302</v>
      </c>
      <c r="C2042" t="s">
        <v>62</v>
      </c>
      <c r="D2042">
        <v>99999</v>
      </c>
      <c r="F2042" s="109">
        <v>4000</v>
      </c>
      <c r="G2042" t="b">
        <v>1</v>
      </c>
      <c r="H2042" t="s">
        <v>339</v>
      </c>
      <c r="K2042" t="s">
        <v>349</v>
      </c>
      <c r="L2042" t="s">
        <v>303</v>
      </c>
      <c r="M2042" t="s">
        <v>323</v>
      </c>
      <c r="N2042" t="s">
        <v>63</v>
      </c>
      <c r="O2042" s="110">
        <v>49.9</v>
      </c>
      <c r="R2042" s="110">
        <v>344.98999999999995</v>
      </c>
      <c r="S2042" s="110">
        <v>130</v>
      </c>
      <c r="T2042" s="110">
        <v>0</v>
      </c>
      <c r="U2042" s="110">
        <v>42.99</v>
      </c>
      <c r="X2042">
        <v>127.09999999999997</v>
      </c>
      <c r="Y2042">
        <v>44.9</v>
      </c>
      <c r="Z2042">
        <v>44.9</v>
      </c>
      <c r="AA2042">
        <v>0</v>
      </c>
      <c r="AB2042" t="s">
        <v>324</v>
      </c>
      <c r="AF2042" t="s">
        <v>2259</v>
      </c>
      <c r="AG2042" t="s">
        <v>2259</v>
      </c>
      <c r="AH2042" t="s">
        <v>325</v>
      </c>
      <c r="AI2042">
        <v>99999</v>
      </c>
      <c r="AJ2042">
        <v>99999</v>
      </c>
      <c r="AK2042">
        <v>699</v>
      </c>
      <c r="AL2042" t="b">
        <v>1</v>
      </c>
      <c r="AM2042" t="b">
        <v>1</v>
      </c>
      <c r="AN2042" t="b">
        <v>1</v>
      </c>
      <c r="AO2042">
        <v>99999</v>
      </c>
      <c r="AP2042" t="s">
        <v>64</v>
      </c>
      <c r="AR2042" t="b">
        <v>0</v>
      </c>
      <c r="AS2042">
        <v>12</v>
      </c>
      <c r="AT2042" t="s">
        <v>327</v>
      </c>
      <c r="AV2042" t="s">
        <v>2283</v>
      </c>
    </row>
    <row r="2043" spans="1:48" x14ac:dyDescent="0.25">
      <c r="A2043" t="s">
        <v>3323</v>
      </c>
      <c r="B2043" t="s">
        <v>302</v>
      </c>
      <c r="C2043" t="s">
        <v>62</v>
      </c>
      <c r="D2043">
        <v>99999</v>
      </c>
      <c r="F2043" s="109">
        <v>4000</v>
      </c>
      <c r="G2043" t="b">
        <v>1</v>
      </c>
      <c r="H2043" t="s">
        <v>339</v>
      </c>
      <c r="K2043" t="s">
        <v>349</v>
      </c>
      <c r="L2043" t="s">
        <v>303</v>
      </c>
      <c r="M2043" t="s">
        <v>323</v>
      </c>
      <c r="N2043" t="s">
        <v>63</v>
      </c>
      <c r="O2043" s="110">
        <v>49.9</v>
      </c>
      <c r="R2043" s="110">
        <v>359.98999999999995</v>
      </c>
      <c r="S2043" s="110">
        <v>130</v>
      </c>
      <c r="T2043" s="110">
        <v>0</v>
      </c>
      <c r="U2043" s="110">
        <v>42.99</v>
      </c>
      <c r="X2043">
        <v>142.09999999999997</v>
      </c>
      <c r="Y2043">
        <v>44.9</v>
      </c>
      <c r="Z2043">
        <v>44.9</v>
      </c>
      <c r="AA2043">
        <v>0</v>
      </c>
      <c r="AB2043" t="s">
        <v>324</v>
      </c>
      <c r="AF2043" t="s">
        <v>2326</v>
      </c>
      <c r="AG2043" t="s">
        <v>2326</v>
      </c>
      <c r="AH2043" t="s">
        <v>325</v>
      </c>
      <c r="AI2043">
        <v>99999</v>
      </c>
      <c r="AJ2043">
        <v>99999</v>
      </c>
      <c r="AK2043">
        <v>699</v>
      </c>
      <c r="AL2043" t="b">
        <v>1</v>
      </c>
      <c r="AM2043" t="b">
        <v>1</v>
      </c>
      <c r="AN2043" t="b">
        <v>1</v>
      </c>
      <c r="AO2043">
        <v>99999</v>
      </c>
      <c r="AP2043" t="s">
        <v>64</v>
      </c>
      <c r="AR2043" t="b">
        <v>0</v>
      </c>
      <c r="AS2043">
        <v>12</v>
      </c>
      <c r="AT2043" t="s">
        <v>327</v>
      </c>
      <c r="AV2043" t="s">
        <v>2350</v>
      </c>
    </row>
    <row r="2044" spans="1:48" x14ac:dyDescent="0.25">
      <c r="A2044" t="s">
        <v>3323</v>
      </c>
      <c r="B2044" t="s">
        <v>302</v>
      </c>
      <c r="C2044" t="s">
        <v>62</v>
      </c>
      <c r="D2044">
        <v>99999</v>
      </c>
      <c r="F2044" s="109">
        <v>4000</v>
      </c>
      <c r="G2044" t="b">
        <v>1</v>
      </c>
      <c r="H2044" t="s">
        <v>339</v>
      </c>
      <c r="K2044" t="s">
        <v>349</v>
      </c>
      <c r="L2044" t="s">
        <v>303</v>
      </c>
      <c r="M2044" t="s">
        <v>323</v>
      </c>
      <c r="N2044" t="s">
        <v>63</v>
      </c>
      <c r="O2044" s="110">
        <v>49.9</v>
      </c>
      <c r="R2044" s="110">
        <v>354.98999999999995</v>
      </c>
      <c r="S2044" s="110">
        <v>130</v>
      </c>
      <c r="T2044" s="110">
        <v>0</v>
      </c>
      <c r="U2044" s="110">
        <v>42.99</v>
      </c>
      <c r="X2044">
        <v>137.09999999999997</v>
      </c>
      <c r="Y2044">
        <v>44.9</v>
      </c>
      <c r="Z2044">
        <v>44.9</v>
      </c>
      <c r="AA2044">
        <v>0</v>
      </c>
      <c r="AB2044" t="s">
        <v>324</v>
      </c>
      <c r="AF2044" t="s">
        <v>2393</v>
      </c>
      <c r="AG2044" t="s">
        <v>2393</v>
      </c>
      <c r="AH2044" t="s">
        <v>325</v>
      </c>
      <c r="AI2044">
        <v>99999</v>
      </c>
      <c r="AJ2044">
        <v>99999</v>
      </c>
      <c r="AK2044">
        <v>699</v>
      </c>
      <c r="AL2044" t="b">
        <v>1</v>
      </c>
      <c r="AM2044" t="b">
        <v>1</v>
      </c>
      <c r="AN2044" t="b">
        <v>1</v>
      </c>
      <c r="AO2044">
        <v>99999</v>
      </c>
      <c r="AP2044" t="s">
        <v>64</v>
      </c>
      <c r="AR2044" t="b">
        <v>0</v>
      </c>
      <c r="AS2044">
        <v>12</v>
      </c>
      <c r="AT2044" t="s">
        <v>327</v>
      </c>
      <c r="AV2044" t="s">
        <v>2417</v>
      </c>
    </row>
    <row r="2045" spans="1:48" x14ac:dyDescent="0.25">
      <c r="A2045" t="s">
        <v>3323</v>
      </c>
      <c r="B2045" t="s">
        <v>302</v>
      </c>
      <c r="C2045" t="s">
        <v>62</v>
      </c>
      <c r="D2045">
        <v>99999</v>
      </c>
      <c r="F2045" s="109">
        <v>4000</v>
      </c>
      <c r="G2045" t="b">
        <v>1</v>
      </c>
      <c r="H2045" t="s">
        <v>339</v>
      </c>
      <c r="K2045" t="s">
        <v>393</v>
      </c>
      <c r="L2045" t="s">
        <v>303</v>
      </c>
      <c r="M2045" t="s">
        <v>323</v>
      </c>
      <c r="N2045" t="s">
        <v>63</v>
      </c>
      <c r="O2045" s="110">
        <v>29.9</v>
      </c>
      <c r="R2045" s="110">
        <v>279.89</v>
      </c>
      <c r="S2045" s="110">
        <v>39.9</v>
      </c>
      <c r="T2045" s="110">
        <v>0</v>
      </c>
      <c r="U2045" s="110">
        <v>42.99</v>
      </c>
      <c r="X2045">
        <v>127.09999999999997</v>
      </c>
      <c r="Y2045">
        <v>69.900000000000006</v>
      </c>
      <c r="Z2045">
        <v>69.900000000000006</v>
      </c>
      <c r="AA2045">
        <v>0</v>
      </c>
      <c r="AB2045" t="s">
        <v>363</v>
      </c>
      <c r="AF2045" t="s">
        <v>365</v>
      </c>
      <c r="AG2045" t="s">
        <v>365</v>
      </c>
      <c r="AH2045" t="s">
        <v>325</v>
      </c>
      <c r="AI2045">
        <v>99999</v>
      </c>
      <c r="AJ2045">
        <v>99999</v>
      </c>
      <c r="AK2045">
        <v>699</v>
      </c>
      <c r="AL2045" t="b">
        <v>1</v>
      </c>
      <c r="AM2045" t="b">
        <v>1</v>
      </c>
      <c r="AN2045" t="b">
        <v>1</v>
      </c>
      <c r="AO2045">
        <v>99999</v>
      </c>
      <c r="AP2045" t="s">
        <v>64</v>
      </c>
      <c r="AR2045" t="b">
        <v>0</v>
      </c>
      <c r="AS2045">
        <v>12</v>
      </c>
      <c r="AT2045" t="s">
        <v>327</v>
      </c>
      <c r="AV2045" t="s">
        <v>404</v>
      </c>
    </row>
    <row r="2046" spans="1:48" x14ac:dyDescent="0.25">
      <c r="A2046" t="s">
        <v>3323</v>
      </c>
      <c r="B2046" t="s">
        <v>302</v>
      </c>
      <c r="C2046" t="s">
        <v>62</v>
      </c>
      <c r="D2046">
        <v>99999</v>
      </c>
      <c r="F2046" s="109">
        <v>4000</v>
      </c>
      <c r="G2046" t="b">
        <v>1</v>
      </c>
      <c r="H2046" t="s">
        <v>339</v>
      </c>
      <c r="K2046" t="s">
        <v>393</v>
      </c>
      <c r="L2046" t="s">
        <v>303</v>
      </c>
      <c r="M2046" t="s">
        <v>323</v>
      </c>
      <c r="N2046" t="s">
        <v>63</v>
      </c>
      <c r="O2046">
        <v>29.9</v>
      </c>
      <c r="R2046">
        <v>294.89</v>
      </c>
      <c r="S2046">
        <v>39.9</v>
      </c>
      <c r="T2046" s="110">
        <v>0</v>
      </c>
      <c r="U2046">
        <v>42.99</v>
      </c>
      <c r="X2046">
        <v>142.09999999999997</v>
      </c>
      <c r="Y2046">
        <v>69.900000000000006</v>
      </c>
      <c r="Z2046">
        <v>69.900000000000006</v>
      </c>
      <c r="AA2046">
        <v>0</v>
      </c>
      <c r="AB2046" t="s">
        <v>363</v>
      </c>
      <c r="AF2046" t="s">
        <v>501</v>
      </c>
      <c r="AG2046" t="s">
        <v>501</v>
      </c>
      <c r="AH2046" t="s">
        <v>325</v>
      </c>
      <c r="AI2046">
        <v>99999</v>
      </c>
      <c r="AJ2046">
        <v>99999</v>
      </c>
      <c r="AK2046">
        <v>699</v>
      </c>
      <c r="AL2046" t="b">
        <v>1</v>
      </c>
      <c r="AM2046" t="b">
        <v>1</v>
      </c>
      <c r="AN2046" t="b">
        <v>1</v>
      </c>
      <c r="AO2046">
        <v>99999</v>
      </c>
      <c r="AP2046" t="s">
        <v>64</v>
      </c>
      <c r="AR2046" t="b">
        <v>0</v>
      </c>
      <c r="AS2046">
        <v>12</v>
      </c>
      <c r="AT2046" t="s">
        <v>327</v>
      </c>
      <c r="AV2046" t="s">
        <v>538</v>
      </c>
    </row>
    <row r="2047" spans="1:48" x14ac:dyDescent="0.25">
      <c r="A2047" t="s">
        <v>3323</v>
      </c>
      <c r="B2047" t="s">
        <v>302</v>
      </c>
      <c r="C2047" t="s">
        <v>62</v>
      </c>
      <c r="D2047">
        <v>99999</v>
      </c>
      <c r="F2047" s="109">
        <v>4000</v>
      </c>
      <c r="G2047" t="b">
        <v>1</v>
      </c>
      <c r="H2047" t="s">
        <v>339</v>
      </c>
      <c r="K2047" t="s">
        <v>393</v>
      </c>
      <c r="L2047" t="s">
        <v>303</v>
      </c>
      <c r="M2047" t="s">
        <v>323</v>
      </c>
      <c r="N2047" t="s">
        <v>63</v>
      </c>
      <c r="O2047">
        <v>29.9</v>
      </c>
      <c r="R2047">
        <v>309.89</v>
      </c>
      <c r="S2047">
        <v>59.9</v>
      </c>
      <c r="T2047" s="110">
        <v>0</v>
      </c>
      <c r="U2047">
        <v>42.99</v>
      </c>
      <c r="X2047">
        <v>137.09999999999997</v>
      </c>
      <c r="Y2047">
        <v>69.900000000000006</v>
      </c>
      <c r="Z2047">
        <v>69.900000000000006</v>
      </c>
      <c r="AA2047">
        <v>0</v>
      </c>
      <c r="AB2047" t="s">
        <v>363</v>
      </c>
      <c r="AF2047" t="s">
        <v>635</v>
      </c>
      <c r="AG2047" t="s">
        <v>635</v>
      </c>
      <c r="AH2047" t="s">
        <v>325</v>
      </c>
      <c r="AI2047">
        <v>99999</v>
      </c>
      <c r="AJ2047">
        <v>99999</v>
      </c>
      <c r="AK2047">
        <v>699</v>
      </c>
      <c r="AL2047" t="b">
        <v>1</v>
      </c>
      <c r="AM2047" t="b">
        <v>1</v>
      </c>
      <c r="AN2047" t="b">
        <v>1</v>
      </c>
      <c r="AO2047">
        <v>99999</v>
      </c>
      <c r="AP2047" t="s">
        <v>64</v>
      </c>
      <c r="AR2047" t="b">
        <v>0</v>
      </c>
      <c r="AS2047">
        <v>12</v>
      </c>
      <c r="AT2047" t="s">
        <v>327</v>
      </c>
      <c r="AV2047" t="s">
        <v>672</v>
      </c>
    </row>
    <row r="2048" spans="1:48" x14ac:dyDescent="0.25">
      <c r="A2048" t="s">
        <v>3323</v>
      </c>
      <c r="B2048" t="s">
        <v>302</v>
      </c>
      <c r="C2048" t="s">
        <v>62</v>
      </c>
      <c r="D2048">
        <v>99999</v>
      </c>
      <c r="F2048" s="109">
        <v>4000</v>
      </c>
      <c r="G2048" t="b">
        <v>1</v>
      </c>
      <c r="H2048" t="s">
        <v>339</v>
      </c>
      <c r="K2048" t="s">
        <v>393</v>
      </c>
      <c r="L2048" t="s">
        <v>303</v>
      </c>
      <c r="M2048" t="s">
        <v>323</v>
      </c>
      <c r="N2048" t="s">
        <v>63</v>
      </c>
      <c r="O2048">
        <v>39.9</v>
      </c>
      <c r="R2048">
        <v>279.89</v>
      </c>
      <c r="S2048">
        <v>39.9</v>
      </c>
      <c r="T2048" s="110">
        <v>0</v>
      </c>
      <c r="U2048">
        <v>42.99</v>
      </c>
      <c r="X2048">
        <v>127.09999999999997</v>
      </c>
      <c r="Y2048">
        <v>69.900000000000006</v>
      </c>
      <c r="Z2048">
        <v>69.900000000000006</v>
      </c>
      <c r="AA2048">
        <v>0</v>
      </c>
      <c r="AB2048" t="s">
        <v>363</v>
      </c>
      <c r="AF2048" t="s">
        <v>434</v>
      </c>
      <c r="AG2048" t="s">
        <v>434</v>
      </c>
      <c r="AH2048" t="s">
        <v>325</v>
      </c>
      <c r="AI2048">
        <v>99999</v>
      </c>
      <c r="AJ2048">
        <v>99999</v>
      </c>
      <c r="AK2048">
        <v>699</v>
      </c>
      <c r="AL2048" t="b">
        <v>1</v>
      </c>
      <c r="AM2048" t="b">
        <v>1</v>
      </c>
      <c r="AN2048" t="b">
        <v>1</v>
      </c>
      <c r="AO2048">
        <v>99999</v>
      </c>
      <c r="AP2048" t="s">
        <v>64</v>
      </c>
      <c r="AR2048" t="b">
        <v>0</v>
      </c>
      <c r="AS2048">
        <v>12</v>
      </c>
      <c r="AT2048" t="s">
        <v>327</v>
      </c>
      <c r="AV2048" t="s">
        <v>471</v>
      </c>
    </row>
    <row r="2049" spans="1:48" x14ac:dyDescent="0.25">
      <c r="A2049" t="s">
        <v>3323</v>
      </c>
      <c r="B2049" t="s">
        <v>302</v>
      </c>
      <c r="C2049" t="s">
        <v>62</v>
      </c>
      <c r="D2049">
        <v>99999</v>
      </c>
      <c r="F2049" s="109">
        <v>4000</v>
      </c>
      <c r="G2049" t="b">
        <v>1</v>
      </c>
      <c r="H2049" t="s">
        <v>339</v>
      </c>
      <c r="K2049" t="s">
        <v>393</v>
      </c>
      <c r="L2049" t="s">
        <v>303</v>
      </c>
      <c r="M2049" t="s">
        <v>323</v>
      </c>
      <c r="N2049" t="s">
        <v>63</v>
      </c>
      <c r="O2049">
        <v>39.9</v>
      </c>
      <c r="R2049">
        <v>294.89</v>
      </c>
      <c r="S2049">
        <v>39.9</v>
      </c>
      <c r="T2049" s="110">
        <v>0</v>
      </c>
      <c r="U2049">
        <v>42.99</v>
      </c>
      <c r="X2049">
        <v>142.09999999999997</v>
      </c>
      <c r="Y2049">
        <v>69.900000000000006</v>
      </c>
      <c r="Z2049">
        <v>69.900000000000006</v>
      </c>
      <c r="AA2049">
        <v>0</v>
      </c>
      <c r="AB2049" t="s">
        <v>363</v>
      </c>
      <c r="AF2049" t="s">
        <v>568</v>
      </c>
      <c r="AG2049" t="s">
        <v>568</v>
      </c>
      <c r="AH2049" t="s">
        <v>325</v>
      </c>
      <c r="AI2049">
        <v>99999</v>
      </c>
      <c r="AJ2049">
        <v>99999</v>
      </c>
      <c r="AK2049">
        <v>699</v>
      </c>
      <c r="AL2049" t="b">
        <v>1</v>
      </c>
      <c r="AM2049" t="b">
        <v>1</v>
      </c>
      <c r="AN2049" t="b">
        <v>1</v>
      </c>
      <c r="AO2049">
        <v>99999</v>
      </c>
      <c r="AP2049" t="s">
        <v>64</v>
      </c>
      <c r="AR2049" t="b">
        <v>0</v>
      </c>
      <c r="AS2049">
        <v>12</v>
      </c>
      <c r="AT2049" t="s">
        <v>327</v>
      </c>
      <c r="AV2049" t="s">
        <v>605</v>
      </c>
    </row>
    <row r="2050" spans="1:48" x14ac:dyDescent="0.25">
      <c r="A2050" t="s">
        <v>3323</v>
      </c>
      <c r="B2050" t="s">
        <v>302</v>
      </c>
      <c r="C2050" t="s">
        <v>62</v>
      </c>
      <c r="D2050">
        <v>99999</v>
      </c>
      <c r="F2050" s="109">
        <v>4000</v>
      </c>
      <c r="G2050" t="b">
        <v>1</v>
      </c>
      <c r="H2050" t="s">
        <v>339</v>
      </c>
      <c r="K2050" t="s">
        <v>393</v>
      </c>
      <c r="L2050" t="s">
        <v>303</v>
      </c>
      <c r="M2050" t="s">
        <v>323</v>
      </c>
      <c r="N2050" t="s">
        <v>63</v>
      </c>
      <c r="O2050">
        <v>39.9</v>
      </c>
      <c r="R2050">
        <v>309.89</v>
      </c>
      <c r="S2050">
        <v>59.9</v>
      </c>
      <c r="T2050" s="110">
        <v>0</v>
      </c>
      <c r="U2050">
        <v>42.99</v>
      </c>
      <c r="X2050">
        <v>137.09999999999997</v>
      </c>
      <c r="Y2050">
        <v>69.900000000000006</v>
      </c>
      <c r="Z2050">
        <v>69.900000000000006</v>
      </c>
      <c r="AA2050">
        <v>0</v>
      </c>
      <c r="AB2050" t="s">
        <v>363</v>
      </c>
      <c r="AF2050" t="s">
        <v>702</v>
      </c>
      <c r="AG2050" t="s">
        <v>702</v>
      </c>
      <c r="AH2050" t="s">
        <v>325</v>
      </c>
      <c r="AI2050">
        <v>99999</v>
      </c>
      <c r="AJ2050">
        <v>99999</v>
      </c>
      <c r="AK2050">
        <v>699</v>
      </c>
      <c r="AL2050" t="b">
        <v>1</v>
      </c>
      <c r="AM2050" t="b">
        <v>1</v>
      </c>
      <c r="AN2050" t="b">
        <v>1</v>
      </c>
      <c r="AO2050">
        <v>99999</v>
      </c>
      <c r="AP2050" t="s">
        <v>64</v>
      </c>
      <c r="AR2050" t="b">
        <v>0</v>
      </c>
      <c r="AS2050">
        <v>12</v>
      </c>
      <c r="AT2050" t="s">
        <v>327</v>
      </c>
      <c r="AV2050" t="s">
        <v>739</v>
      </c>
    </row>
    <row r="2051" spans="1:48" x14ac:dyDescent="0.25">
      <c r="A2051" t="s">
        <v>3323</v>
      </c>
      <c r="B2051" t="s">
        <v>302</v>
      </c>
      <c r="C2051" t="s">
        <v>62</v>
      </c>
      <c r="D2051">
        <v>99999</v>
      </c>
      <c r="F2051" s="109">
        <v>4000</v>
      </c>
      <c r="G2051" t="b">
        <v>1</v>
      </c>
      <c r="H2051" t="s">
        <v>339</v>
      </c>
      <c r="K2051" t="s">
        <v>393</v>
      </c>
      <c r="L2051" t="s">
        <v>303</v>
      </c>
      <c r="M2051" t="s">
        <v>323</v>
      </c>
      <c r="N2051" t="s">
        <v>63</v>
      </c>
      <c r="O2051" s="110">
        <v>49.9</v>
      </c>
      <c r="R2051" s="110">
        <v>355.68999999999994</v>
      </c>
      <c r="S2051" s="110">
        <v>130</v>
      </c>
      <c r="T2051" s="110">
        <v>0</v>
      </c>
      <c r="U2051" s="110">
        <v>34.99</v>
      </c>
      <c r="X2051">
        <v>120.79999999999995</v>
      </c>
      <c r="Y2051">
        <v>69.900000000000006</v>
      </c>
      <c r="Z2051">
        <v>69.900000000000006</v>
      </c>
      <c r="AA2051">
        <v>0</v>
      </c>
      <c r="AB2051" t="s">
        <v>363</v>
      </c>
      <c r="AF2051" t="s">
        <v>2212</v>
      </c>
      <c r="AG2051" t="s">
        <v>2212</v>
      </c>
      <c r="AH2051" t="s">
        <v>325</v>
      </c>
      <c r="AI2051">
        <v>99999</v>
      </c>
      <c r="AJ2051">
        <v>99999</v>
      </c>
      <c r="AK2051">
        <v>699</v>
      </c>
      <c r="AL2051" t="b">
        <v>1</v>
      </c>
      <c r="AM2051" t="b">
        <v>1</v>
      </c>
      <c r="AN2051" t="b">
        <v>1</v>
      </c>
      <c r="AO2051">
        <v>99999</v>
      </c>
      <c r="AP2051" t="s">
        <v>64</v>
      </c>
      <c r="AR2051" t="b">
        <v>0</v>
      </c>
      <c r="AS2051">
        <v>12</v>
      </c>
      <c r="AT2051" t="s">
        <v>327</v>
      </c>
      <c r="AV2051" t="s">
        <v>2249</v>
      </c>
    </row>
    <row r="2052" spans="1:48" x14ac:dyDescent="0.25">
      <c r="A2052" t="s">
        <v>3323</v>
      </c>
      <c r="B2052" t="s">
        <v>302</v>
      </c>
      <c r="C2052" t="s">
        <v>62</v>
      </c>
      <c r="D2052">
        <v>99999</v>
      </c>
      <c r="F2052" s="109">
        <v>4000</v>
      </c>
      <c r="G2052" t="b">
        <v>1</v>
      </c>
      <c r="H2052" t="s">
        <v>339</v>
      </c>
      <c r="K2052" t="s">
        <v>393</v>
      </c>
      <c r="L2052" t="s">
        <v>303</v>
      </c>
      <c r="M2052" t="s">
        <v>323</v>
      </c>
      <c r="N2052" t="s">
        <v>63</v>
      </c>
      <c r="O2052" s="110">
        <v>49.9</v>
      </c>
      <c r="R2052" s="110">
        <v>369.99</v>
      </c>
      <c r="S2052" s="110">
        <v>130</v>
      </c>
      <c r="T2052" s="110">
        <v>0</v>
      </c>
      <c r="U2052" s="110">
        <v>42.99</v>
      </c>
      <c r="X2052">
        <v>127.09999999999997</v>
      </c>
      <c r="Y2052">
        <v>69.900000000000006</v>
      </c>
      <c r="Z2052">
        <v>69.900000000000006</v>
      </c>
      <c r="AA2052">
        <v>0</v>
      </c>
      <c r="AB2052" t="s">
        <v>363</v>
      </c>
      <c r="AF2052" t="s">
        <v>2286</v>
      </c>
      <c r="AG2052" t="s">
        <v>2286</v>
      </c>
      <c r="AH2052" t="s">
        <v>325</v>
      </c>
      <c r="AI2052">
        <v>99999</v>
      </c>
      <c r="AJ2052">
        <v>99999</v>
      </c>
      <c r="AK2052">
        <v>699</v>
      </c>
      <c r="AL2052" t="b">
        <v>1</v>
      </c>
      <c r="AM2052" t="b">
        <v>1</v>
      </c>
      <c r="AN2052" t="b">
        <v>1</v>
      </c>
      <c r="AO2052">
        <v>99999</v>
      </c>
      <c r="AP2052" t="s">
        <v>64</v>
      </c>
      <c r="AR2052" t="b">
        <v>0</v>
      </c>
      <c r="AS2052">
        <v>12</v>
      </c>
      <c r="AT2052" t="s">
        <v>327</v>
      </c>
      <c r="AV2052" t="s">
        <v>2323</v>
      </c>
    </row>
    <row r="2053" spans="1:48" x14ac:dyDescent="0.25">
      <c r="A2053" t="s">
        <v>3323</v>
      </c>
      <c r="B2053" t="s">
        <v>302</v>
      </c>
      <c r="C2053" t="s">
        <v>62</v>
      </c>
      <c r="D2053">
        <v>99999</v>
      </c>
      <c r="F2053" s="109">
        <v>4000</v>
      </c>
      <c r="G2053" t="b">
        <v>1</v>
      </c>
      <c r="H2053" t="s">
        <v>339</v>
      </c>
      <c r="K2053" t="s">
        <v>393</v>
      </c>
      <c r="L2053" t="s">
        <v>303</v>
      </c>
      <c r="M2053" t="s">
        <v>323</v>
      </c>
      <c r="N2053" t="s">
        <v>63</v>
      </c>
      <c r="O2053" s="110">
        <v>49.9</v>
      </c>
      <c r="R2053" s="110">
        <v>384.99</v>
      </c>
      <c r="S2053" s="110">
        <v>130</v>
      </c>
      <c r="T2053" s="110">
        <v>0</v>
      </c>
      <c r="U2053" s="110">
        <v>42.99</v>
      </c>
      <c r="X2053">
        <v>142.09999999999997</v>
      </c>
      <c r="Y2053">
        <v>69.900000000000006</v>
      </c>
      <c r="Z2053">
        <v>69.900000000000006</v>
      </c>
      <c r="AA2053">
        <v>0</v>
      </c>
      <c r="AB2053" t="s">
        <v>363</v>
      </c>
      <c r="AF2053" t="s">
        <v>2353</v>
      </c>
      <c r="AG2053" t="s">
        <v>2353</v>
      </c>
      <c r="AH2053" t="s">
        <v>325</v>
      </c>
      <c r="AI2053">
        <v>99999</v>
      </c>
      <c r="AJ2053">
        <v>99999</v>
      </c>
      <c r="AK2053">
        <v>699</v>
      </c>
      <c r="AL2053" t="b">
        <v>1</v>
      </c>
      <c r="AM2053" t="b">
        <v>1</v>
      </c>
      <c r="AN2053" t="b">
        <v>1</v>
      </c>
      <c r="AO2053">
        <v>99999</v>
      </c>
      <c r="AP2053" t="s">
        <v>64</v>
      </c>
      <c r="AR2053" t="b">
        <v>0</v>
      </c>
      <c r="AS2053">
        <v>12</v>
      </c>
      <c r="AT2053" t="s">
        <v>327</v>
      </c>
      <c r="AV2053" t="s">
        <v>2390</v>
      </c>
    </row>
    <row r="2054" spans="1:48" x14ac:dyDescent="0.25">
      <c r="A2054" t="s">
        <v>3323</v>
      </c>
      <c r="B2054" t="s">
        <v>302</v>
      </c>
      <c r="C2054" t="s">
        <v>62</v>
      </c>
      <c r="D2054">
        <v>99999</v>
      </c>
      <c r="F2054" s="109">
        <v>4000</v>
      </c>
      <c r="G2054" t="b">
        <v>1</v>
      </c>
      <c r="H2054" t="s">
        <v>339</v>
      </c>
      <c r="K2054" t="s">
        <v>393</v>
      </c>
      <c r="L2054" t="s">
        <v>303</v>
      </c>
      <c r="M2054" t="s">
        <v>323</v>
      </c>
      <c r="N2054" t="s">
        <v>63</v>
      </c>
      <c r="O2054" s="110">
        <v>49.9</v>
      </c>
      <c r="R2054" s="110">
        <v>379.99</v>
      </c>
      <c r="S2054" s="110">
        <v>130</v>
      </c>
      <c r="T2054" s="110">
        <v>0</v>
      </c>
      <c r="U2054" s="110">
        <v>42.99</v>
      </c>
      <c r="X2054">
        <v>137.09999999999997</v>
      </c>
      <c r="Y2054">
        <v>69.900000000000006</v>
      </c>
      <c r="Z2054">
        <v>69.900000000000006</v>
      </c>
      <c r="AA2054">
        <v>0</v>
      </c>
      <c r="AB2054" t="s">
        <v>363</v>
      </c>
      <c r="AF2054" t="s">
        <v>2420</v>
      </c>
      <c r="AG2054" t="s">
        <v>2420</v>
      </c>
      <c r="AH2054" t="s">
        <v>325</v>
      </c>
      <c r="AI2054">
        <v>99999</v>
      </c>
      <c r="AJ2054">
        <v>99999</v>
      </c>
      <c r="AK2054">
        <v>699</v>
      </c>
      <c r="AL2054" t="b">
        <v>1</v>
      </c>
      <c r="AM2054" t="b">
        <v>1</v>
      </c>
      <c r="AN2054" t="b">
        <v>1</v>
      </c>
      <c r="AO2054">
        <v>99999</v>
      </c>
      <c r="AP2054" t="s">
        <v>64</v>
      </c>
      <c r="AR2054" t="b">
        <v>0</v>
      </c>
      <c r="AS2054">
        <v>12</v>
      </c>
      <c r="AT2054" t="s">
        <v>327</v>
      </c>
      <c r="AV2054" t="s">
        <v>2457</v>
      </c>
    </row>
    <row r="2055" spans="1:48" x14ac:dyDescent="0.25">
      <c r="A2055" t="s">
        <v>3323</v>
      </c>
      <c r="B2055" t="s">
        <v>302</v>
      </c>
      <c r="C2055" t="s">
        <v>62</v>
      </c>
      <c r="D2055">
        <v>99999</v>
      </c>
      <c r="F2055" s="109">
        <v>4000</v>
      </c>
      <c r="G2055" t="b">
        <v>1</v>
      </c>
      <c r="H2055" t="s">
        <v>339</v>
      </c>
      <c r="K2055" t="s">
        <v>364</v>
      </c>
      <c r="L2055" t="s">
        <v>303</v>
      </c>
      <c r="M2055" t="s">
        <v>323</v>
      </c>
      <c r="N2055" t="s">
        <v>63</v>
      </c>
      <c r="O2055">
        <v>29.9</v>
      </c>
      <c r="R2055">
        <v>259.89</v>
      </c>
      <c r="S2055">
        <v>39.9</v>
      </c>
      <c r="T2055" s="110">
        <v>0</v>
      </c>
      <c r="U2055">
        <v>42.99</v>
      </c>
      <c r="X2055">
        <v>127.09999999999997</v>
      </c>
      <c r="Y2055">
        <v>49.9</v>
      </c>
      <c r="Z2055">
        <v>49.9</v>
      </c>
      <c r="AA2055">
        <v>0</v>
      </c>
      <c r="AB2055" t="s">
        <v>363</v>
      </c>
      <c r="AF2055" t="s">
        <v>365</v>
      </c>
      <c r="AG2055" t="s">
        <v>365</v>
      </c>
      <c r="AH2055" t="s">
        <v>325</v>
      </c>
      <c r="AI2055">
        <v>99999</v>
      </c>
      <c r="AJ2055">
        <v>99999</v>
      </c>
      <c r="AK2055">
        <v>699</v>
      </c>
      <c r="AL2055" t="b">
        <v>1</v>
      </c>
      <c r="AM2055" t="b">
        <v>1</v>
      </c>
      <c r="AN2055" t="b">
        <v>1</v>
      </c>
      <c r="AO2055">
        <v>99999</v>
      </c>
      <c r="AP2055" t="s">
        <v>64</v>
      </c>
      <c r="AR2055" t="b">
        <v>0</v>
      </c>
      <c r="AS2055">
        <v>12</v>
      </c>
      <c r="AT2055" t="s">
        <v>327</v>
      </c>
      <c r="AV2055" t="s">
        <v>376</v>
      </c>
    </row>
    <row r="2056" spans="1:48" x14ac:dyDescent="0.25">
      <c r="A2056" t="s">
        <v>3323</v>
      </c>
      <c r="B2056" t="s">
        <v>302</v>
      </c>
      <c r="C2056" t="s">
        <v>62</v>
      </c>
      <c r="D2056">
        <v>99999</v>
      </c>
      <c r="F2056" s="109">
        <v>4000</v>
      </c>
      <c r="G2056" t="b">
        <v>1</v>
      </c>
      <c r="H2056" t="s">
        <v>339</v>
      </c>
      <c r="K2056" t="s">
        <v>364</v>
      </c>
      <c r="L2056" t="s">
        <v>303</v>
      </c>
      <c r="M2056" t="s">
        <v>323</v>
      </c>
      <c r="N2056" t="s">
        <v>63</v>
      </c>
      <c r="O2056">
        <v>29.9</v>
      </c>
      <c r="R2056">
        <v>274.89</v>
      </c>
      <c r="S2056">
        <v>39.9</v>
      </c>
      <c r="T2056" s="110">
        <v>0</v>
      </c>
      <c r="U2056">
        <v>42.99</v>
      </c>
      <c r="X2056">
        <v>142.09999999999997</v>
      </c>
      <c r="Y2056">
        <v>49.9</v>
      </c>
      <c r="Z2056">
        <v>49.9</v>
      </c>
      <c r="AA2056">
        <v>0</v>
      </c>
      <c r="AB2056" t="s">
        <v>363</v>
      </c>
      <c r="AF2056" t="s">
        <v>501</v>
      </c>
      <c r="AG2056" t="s">
        <v>501</v>
      </c>
      <c r="AH2056" t="s">
        <v>325</v>
      </c>
      <c r="AI2056">
        <v>99999</v>
      </c>
      <c r="AJ2056">
        <v>99999</v>
      </c>
      <c r="AK2056">
        <v>699</v>
      </c>
      <c r="AL2056" t="b">
        <v>1</v>
      </c>
      <c r="AM2056" t="b">
        <v>1</v>
      </c>
      <c r="AN2056" t="b">
        <v>1</v>
      </c>
      <c r="AO2056">
        <v>99999</v>
      </c>
      <c r="AP2056" t="s">
        <v>64</v>
      </c>
      <c r="AR2056" t="b">
        <v>0</v>
      </c>
      <c r="AS2056">
        <v>12</v>
      </c>
      <c r="AT2056" t="s">
        <v>327</v>
      </c>
      <c r="AV2056" t="s">
        <v>512</v>
      </c>
    </row>
    <row r="2057" spans="1:48" x14ac:dyDescent="0.25">
      <c r="A2057" t="s">
        <v>3323</v>
      </c>
      <c r="B2057" t="s">
        <v>302</v>
      </c>
      <c r="C2057" t="s">
        <v>62</v>
      </c>
      <c r="D2057">
        <v>99999</v>
      </c>
      <c r="F2057" s="109">
        <v>4000</v>
      </c>
      <c r="G2057" t="b">
        <v>1</v>
      </c>
      <c r="H2057" t="s">
        <v>339</v>
      </c>
      <c r="K2057" t="s">
        <v>364</v>
      </c>
      <c r="L2057" t="s">
        <v>303</v>
      </c>
      <c r="M2057" t="s">
        <v>323</v>
      </c>
      <c r="N2057" t="s">
        <v>63</v>
      </c>
      <c r="O2057">
        <v>29.9</v>
      </c>
      <c r="R2057">
        <v>289.89</v>
      </c>
      <c r="S2057">
        <v>59.9</v>
      </c>
      <c r="T2057" s="110">
        <v>0</v>
      </c>
      <c r="U2057">
        <v>42.99</v>
      </c>
      <c r="X2057">
        <v>137.09999999999997</v>
      </c>
      <c r="Y2057">
        <v>49.9</v>
      </c>
      <c r="Z2057">
        <v>49.9</v>
      </c>
      <c r="AA2057">
        <v>0</v>
      </c>
      <c r="AB2057" t="s">
        <v>363</v>
      </c>
      <c r="AF2057" t="s">
        <v>635</v>
      </c>
      <c r="AG2057" t="s">
        <v>635</v>
      </c>
      <c r="AH2057" t="s">
        <v>325</v>
      </c>
      <c r="AI2057">
        <v>99999</v>
      </c>
      <c r="AJ2057">
        <v>99999</v>
      </c>
      <c r="AK2057">
        <v>699</v>
      </c>
      <c r="AL2057" t="b">
        <v>1</v>
      </c>
      <c r="AM2057" t="b">
        <v>1</v>
      </c>
      <c r="AN2057" t="b">
        <v>1</v>
      </c>
      <c r="AO2057">
        <v>99999</v>
      </c>
      <c r="AP2057" t="s">
        <v>64</v>
      </c>
      <c r="AR2057" t="b">
        <v>0</v>
      </c>
      <c r="AS2057">
        <v>12</v>
      </c>
      <c r="AT2057" t="s">
        <v>327</v>
      </c>
      <c r="AV2057" t="s">
        <v>646</v>
      </c>
    </row>
    <row r="2058" spans="1:48" x14ac:dyDescent="0.25">
      <c r="A2058" t="s">
        <v>3323</v>
      </c>
      <c r="B2058" t="s">
        <v>302</v>
      </c>
      <c r="C2058" t="s">
        <v>62</v>
      </c>
      <c r="D2058">
        <v>99999</v>
      </c>
      <c r="F2058" s="109">
        <v>4000</v>
      </c>
      <c r="G2058" t="b">
        <v>1</v>
      </c>
      <c r="H2058" t="s">
        <v>339</v>
      </c>
      <c r="K2058" t="s">
        <v>364</v>
      </c>
      <c r="L2058" t="s">
        <v>303</v>
      </c>
      <c r="M2058" t="s">
        <v>323</v>
      </c>
      <c r="N2058" t="s">
        <v>63</v>
      </c>
      <c r="O2058" s="110">
        <v>39.9</v>
      </c>
      <c r="R2058" s="110">
        <v>259.89</v>
      </c>
      <c r="S2058" s="110">
        <v>39.9</v>
      </c>
      <c r="T2058" s="110">
        <v>0</v>
      </c>
      <c r="U2058" s="110">
        <v>42.99</v>
      </c>
      <c r="X2058">
        <v>127.09999999999997</v>
      </c>
      <c r="Y2058">
        <v>49.9</v>
      </c>
      <c r="Z2058">
        <v>49.9</v>
      </c>
      <c r="AA2058">
        <v>0</v>
      </c>
      <c r="AB2058" t="s">
        <v>363</v>
      </c>
      <c r="AF2058" t="s">
        <v>434</v>
      </c>
      <c r="AG2058" t="s">
        <v>434</v>
      </c>
      <c r="AH2058" t="s">
        <v>325</v>
      </c>
      <c r="AI2058">
        <v>99999</v>
      </c>
      <c r="AJ2058">
        <v>99999</v>
      </c>
      <c r="AK2058">
        <v>699</v>
      </c>
      <c r="AL2058" t="b">
        <v>1</v>
      </c>
      <c r="AM2058" t="b">
        <v>1</v>
      </c>
      <c r="AN2058" t="b">
        <v>1</v>
      </c>
      <c r="AO2058">
        <v>99999</v>
      </c>
      <c r="AP2058" t="s">
        <v>64</v>
      </c>
      <c r="AR2058" t="b">
        <v>0</v>
      </c>
      <c r="AS2058">
        <v>12</v>
      </c>
      <c r="AT2058" t="s">
        <v>327</v>
      </c>
      <c r="AV2058" t="s">
        <v>445</v>
      </c>
    </row>
    <row r="2059" spans="1:48" x14ac:dyDescent="0.25">
      <c r="A2059" t="s">
        <v>3323</v>
      </c>
      <c r="B2059" t="s">
        <v>302</v>
      </c>
      <c r="C2059" t="s">
        <v>62</v>
      </c>
      <c r="D2059">
        <v>99999</v>
      </c>
      <c r="F2059" s="109">
        <v>4000</v>
      </c>
      <c r="G2059" t="b">
        <v>1</v>
      </c>
      <c r="H2059" t="s">
        <v>339</v>
      </c>
      <c r="K2059" t="s">
        <v>364</v>
      </c>
      <c r="L2059" t="s">
        <v>303</v>
      </c>
      <c r="M2059" t="s">
        <v>323</v>
      </c>
      <c r="N2059" t="s">
        <v>63</v>
      </c>
      <c r="O2059">
        <v>39.9</v>
      </c>
      <c r="R2059">
        <v>274.89</v>
      </c>
      <c r="S2059">
        <v>39.9</v>
      </c>
      <c r="T2059" s="110">
        <v>0</v>
      </c>
      <c r="U2059">
        <v>42.99</v>
      </c>
      <c r="X2059">
        <v>142.09999999999997</v>
      </c>
      <c r="Y2059">
        <v>49.9</v>
      </c>
      <c r="Z2059">
        <v>49.9</v>
      </c>
      <c r="AA2059">
        <v>0</v>
      </c>
      <c r="AB2059" t="s">
        <v>363</v>
      </c>
      <c r="AF2059" t="s">
        <v>568</v>
      </c>
      <c r="AG2059" t="s">
        <v>568</v>
      </c>
      <c r="AH2059" t="s">
        <v>325</v>
      </c>
      <c r="AI2059">
        <v>99999</v>
      </c>
      <c r="AJ2059">
        <v>99999</v>
      </c>
      <c r="AK2059">
        <v>699</v>
      </c>
      <c r="AL2059" t="b">
        <v>1</v>
      </c>
      <c r="AM2059" t="b">
        <v>1</v>
      </c>
      <c r="AN2059" t="b">
        <v>1</v>
      </c>
      <c r="AO2059">
        <v>99999</v>
      </c>
      <c r="AP2059" t="s">
        <v>64</v>
      </c>
      <c r="AR2059" t="b">
        <v>0</v>
      </c>
      <c r="AS2059">
        <v>12</v>
      </c>
      <c r="AT2059" t="s">
        <v>327</v>
      </c>
      <c r="AV2059" t="s">
        <v>579</v>
      </c>
    </row>
    <row r="2060" spans="1:48" x14ac:dyDescent="0.25">
      <c r="A2060" t="s">
        <v>3323</v>
      </c>
      <c r="B2060" t="s">
        <v>302</v>
      </c>
      <c r="C2060" t="s">
        <v>62</v>
      </c>
      <c r="D2060">
        <v>99999</v>
      </c>
      <c r="F2060" s="109">
        <v>4000</v>
      </c>
      <c r="G2060" t="b">
        <v>1</v>
      </c>
      <c r="H2060" t="s">
        <v>339</v>
      </c>
      <c r="K2060" t="s">
        <v>364</v>
      </c>
      <c r="L2060" t="s">
        <v>303</v>
      </c>
      <c r="M2060" t="s">
        <v>323</v>
      </c>
      <c r="N2060" t="s">
        <v>63</v>
      </c>
      <c r="O2060">
        <v>39.9</v>
      </c>
      <c r="R2060">
        <v>289.89</v>
      </c>
      <c r="S2060">
        <v>59.9</v>
      </c>
      <c r="T2060" s="110">
        <v>0</v>
      </c>
      <c r="U2060">
        <v>42.99</v>
      </c>
      <c r="X2060">
        <v>137.09999999999997</v>
      </c>
      <c r="Y2060">
        <v>49.9</v>
      </c>
      <c r="Z2060">
        <v>49.9</v>
      </c>
      <c r="AA2060">
        <v>0</v>
      </c>
      <c r="AB2060" t="s">
        <v>363</v>
      </c>
      <c r="AF2060" t="s">
        <v>702</v>
      </c>
      <c r="AG2060" t="s">
        <v>702</v>
      </c>
      <c r="AH2060" t="s">
        <v>325</v>
      </c>
      <c r="AI2060">
        <v>99999</v>
      </c>
      <c r="AJ2060">
        <v>99999</v>
      </c>
      <c r="AK2060">
        <v>699</v>
      </c>
      <c r="AL2060" t="b">
        <v>1</v>
      </c>
      <c r="AM2060" t="b">
        <v>1</v>
      </c>
      <c r="AN2060" t="b">
        <v>1</v>
      </c>
      <c r="AO2060">
        <v>99999</v>
      </c>
      <c r="AP2060" t="s">
        <v>64</v>
      </c>
      <c r="AR2060" t="b">
        <v>0</v>
      </c>
      <c r="AS2060">
        <v>12</v>
      </c>
      <c r="AT2060" t="s">
        <v>327</v>
      </c>
      <c r="AV2060" t="s">
        <v>713</v>
      </c>
    </row>
    <row r="2061" spans="1:48" x14ac:dyDescent="0.25">
      <c r="A2061" t="s">
        <v>3323</v>
      </c>
      <c r="B2061" t="s">
        <v>302</v>
      </c>
      <c r="C2061" t="s">
        <v>62</v>
      </c>
      <c r="D2061">
        <v>99999</v>
      </c>
      <c r="F2061" s="109">
        <v>4000</v>
      </c>
      <c r="G2061" t="b">
        <v>1</v>
      </c>
      <c r="H2061" t="s">
        <v>339</v>
      </c>
      <c r="K2061" t="s">
        <v>364</v>
      </c>
      <c r="L2061" t="s">
        <v>303</v>
      </c>
      <c r="M2061" t="s">
        <v>323</v>
      </c>
      <c r="N2061" t="s">
        <v>63</v>
      </c>
      <c r="O2061" s="110">
        <v>49.9</v>
      </c>
      <c r="R2061" s="110">
        <v>335.68999999999994</v>
      </c>
      <c r="S2061" s="110">
        <v>130</v>
      </c>
      <c r="T2061" s="110">
        <v>0</v>
      </c>
      <c r="U2061" s="110">
        <v>34.99</v>
      </c>
      <c r="X2061">
        <v>120.79999999999995</v>
      </c>
      <c r="Y2061">
        <v>49.9</v>
      </c>
      <c r="Z2061">
        <v>49.9</v>
      </c>
      <c r="AA2061">
        <v>0</v>
      </c>
      <c r="AB2061" t="s">
        <v>363</v>
      </c>
      <c r="AF2061" t="s">
        <v>2212</v>
      </c>
      <c r="AG2061" t="s">
        <v>2212</v>
      </c>
      <c r="AH2061" t="s">
        <v>325</v>
      </c>
      <c r="AI2061">
        <v>99999</v>
      </c>
      <c r="AJ2061">
        <v>99999</v>
      </c>
      <c r="AK2061">
        <v>699</v>
      </c>
      <c r="AL2061" t="b">
        <v>1</v>
      </c>
      <c r="AM2061" t="b">
        <v>1</v>
      </c>
      <c r="AN2061" t="b">
        <v>1</v>
      </c>
      <c r="AO2061">
        <v>99999</v>
      </c>
      <c r="AP2061" t="s">
        <v>64</v>
      </c>
      <c r="AR2061" t="b">
        <v>0</v>
      </c>
      <c r="AS2061">
        <v>12</v>
      </c>
      <c r="AT2061" t="s">
        <v>327</v>
      </c>
      <c r="AV2061" t="s">
        <v>2223</v>
      </c>
    </row>
    <row r="2062" spans="1:48" x14ac:dyDescent="0.25">
      <c r="A2062" t="s">
        <v>3323</v>
      </c>
      <c r="B2062" t="s">
        <v>302</v>
      </c>
      <c r="C2062" t="s">
        <v>62</v>
      </c>
      <c r="D2062">
        <v>99999</v>
      </c>
      <c r="F2062" s="109">
        <v>4000</v>
      </c>
      <c r="G2062" t="b">
        <v>1</v>
      </c>
      <c r="H2062" t="s">
        <v>339</v>
      </c>
      <c r="K2062" t="s">
        <v>364</v>
      </c>
      <c r="L2062" t="s">
        <v>303</v>
      </c>
      <c r="M2062" t="s">
        <v>323</v>
      </c>
      <c r="N2062" t="s">
        <v>63</v>
      </c>
      <c r="O2062" s="110">
        <v>49.9</v>
      </c>
      <c r="R2062" s="110">
        <v>349.98999999999995</v>
      </c>
      <c r="S2062" s="110">
        <v>130</v>
      </c>
      <c r="T2062" s="110">
        <v>0</v>
      </c>
      <c r="U2062" s="110">
        <v>42.99</v>
      </c>
      <c r="X2062">
        <v>127.09999999999997</v>
      </c>
      <c r="Y2062">
        <v>49.9</v>
      </c>
      <c r="Z2062">
        <v>49.9</v>
      </c>
      <c r="AA2062">
        <v>0</v>
      </c>
      <c r="AB2062" t="s">
        <v>363</v>
      </c>
      <c r="AF2062" t="s">
        <v>2286</v>
      </c>
      <c r="AG2062" t="s">
        <v>2286</v>
      </c>
      <c r="AH2062" t="s">
        <v>325</v>
      </c>
      <c r="AI2062">
        <v>99999</v>
      </c>
      <c r="AJ2062">
        <v>99999</v>
      </c>
      <c r="AK2062">
        <v>699</v>
      </c>
      <c r="AL2062" t="b">
        <v>1</v>
      </c>
      <c r="AM2062" t="b">
        <v>1</v>
      </c>
      <c r="AN2062" t="b">
        <v>1</v>
      </c>
      <c r="AO2062">
        <v>99999</v>
      </c>
      <c r="AP2062" t="s">
        <v>64</v>
      </c>
      <c r="AR2062" t="b">
        <v>0</v>
      </c>
      <c r="AS2062">
        <v>12</v>
      </c>
      <c r="AT2062" t="s">
        <v>327</v>
      </c>
      <c r="AV2062" t="s">
        <v>2297</v>
      </c>
    </row>
    <row r="2063" spans="1:48" x14ac:dyDescent="0.25">
      <c r="A2063" t="s">
        <v>3323</v>
      </c>
      <c r="B2063" t="s">
        <v>302</v>
      </c>
      <c r="C2063" t="s">
        <v>62</v>
      </c>
      <c r="D2063">
        <v>99999</v>
      </c>
      <c r="F2063" s="109">
        <v>4000</v>
      </c>
      <c r="G2063" t="b">
        <v>1</v>
      </c>
      <c r="H2063" t="s">
        <v>339</v>
      </c>
      <c r="K2063" t="s">
        <v>364</v>
      </c>
      <c r="L2063" t="s">
        <v>303</v>
      </c>
      <c r="M2063" t="s">
        <v>323</v>
      </c>
      <c r="N2063" t="s">
        <v>63</v>
      </c>
      <c r="O2063" s="110">
        <v>49.9</v>
      </c>
      <c r="R2063" s="110">
        <v>364.98999999999995</v>
      </c>
      <c r="S2063" s="110">
        <v>130</v>
      </c>
      <c r="T2063" s="110">
        <v>0</v>
      </c>
      <c r="U2063" s="110">
        <v>42.99</v>
      </c>
      <c r="X2063">
        <v>142.09999999999997</v>
      </c>
      <c r="Y2063">
        <v>49.9</v>
      </c>
      <c r="Z2063">
        <v>49.9</v>
      </c>
      <c r="AA2063">
        <v>0</v>
      </c>
      <c r="AB2063" t="s">
        <v>363</v>
      </c>
      <c r="AF2063" t="s">
        <v>2353</v>
      </c>
      <c r="AG2063" t="s">
        <v>2353</v>
      </c>
      <c r="AH2063" t="s">
        <v>325</v>
      </c>
      <c r="AI2063">
        <v>99999</v>
      </c>
      <c r="AJ2063">
        <v>99999</v>
      </c>
      <c r="AK2063">
        <v>699</v>
      </c>
      <c r="AL2063" t="b">
        <v>1</v>
      </c>
      <c r="AM2063" t="b">
        <v>1</v>
      </c>
      <c r="AN2063" t="b">
        <v>1</v>
      </c>
      <c r="AO2063">
        <v>99999</v>
      </c>
      <c r="AP2063" t="s">
        <v>64</v>
      </c>
      <c r="AR2063" t="b">
        <v>0</v>
      </c>
      <c r="AS2063">
        <v>12</v>
      </c>
      <c r="AT2063" t="s">
        <v>327</v>
      </c>
      <c r="AV2063" t="s">
        <v>2364</v>
      </c>
    </row>
    <row r="2064" spans="1:48" x14ac:dyDescent="0.25">
      <c r="A2064" t="s">
        <v>3323</v>
      </c>
      <c r="B2064" t="s">
        <v>302</v>
      </c>
      <c r="C2064" t="s">
        <v>62</v>
      </c>
      <c r="D2064">
        <v>99999</v>
      </c>
      <c r="F2064" s="109">
        <v>4000</v>
      </c>
      <c r="G2064" t="b">
        <v>1</v>
      </c>
      <c r="H2064" t="s">
        <v>339</v>
      </c>
      <c r="K2064" t="s">
        <v>364</v>
      </c>
      <c r="L2064" t="s">
        <v>303</v>
      </c>
      <c r="M2064" t="s">
        <v>323</v>
      </c>
      <c r="N2064" t="s">
        <v>63</v>
      </c>
      <c r="O2064" s="110">
        <v>49.9</v>
      </c>
      <c r="R2064" s="110">
        <v>359.98999999999995</v>
      </c>
      <c r="S2064" s="110">
        <v>130</v>
      </c>
      <c r="T2064" s="110">
        <v>0</v>
      </c>
      <c r="U2064" s="110">
        <v>42.99</v>
      </c>
      <c r="X2064">
        <v>137.09999999999997</v>
      </c>
      <c r="Y2064">
        <v>49.9</v>
      </c>
      <c r="Z2064">
        <v>49.9</v>
      </c>
      <c r="AA2064">
        <v>0</v>
      </c>
      <c r="AB2064" t="s">
        <v>363</v>
      </c>
      <c r="AF2064" t="s">
        <v>2420</v>
      </c>
      <c r="AG2064" t="s">
        <v>2420</v>
      </c>
      <c r="AH2064" t="s">
        <v>325</v>
      </c>
      <c r="AI2064">
        <v>99999</v>
      </c>
      <c r="AJ2064">
        <v>99999</v>
      </c>
      <c r="AK2064">
        <v>699</v>
      </c>
      <c r="AL2064" t="b">
        <v>1</v>
      </c>
      <c r="AM2064" t="b">
        <v>1</v>
      </c>
      <c r="AN2064" t="b">
        <v>1</v>
      </c>
      <c r="AO2064">
        <v>99999</v>
      </c>
      <c r="AP2064" t="s">
        <v>64</v>
      </c>
      <c r="AR2064" t="b">
        <v>0</v>
      </c>
      <c r="AS2064">
        <v>12</v>
      </c>
      <c r="AT2064" t="s">
        <v>327</v>
      </c>
      <c r="AV2064" t="s">
        <v>2431</v>
      </c>
    </row>
    <row r="2065" spans="1:48" x14ac:dyDescent="0.25">
      <c r="A2065" t="s">
        <v>3323</v>
      </c>
      <c r="B2065" t="s">
        <v>302</v>
      </c>
      <c r="C2065" t="s">
        <v>62</v>
      </c>
      <c r="D2065">
        <v>99999</v>
      </c>
      <c r="F2065" s="109">
        <v>4000</v>
      </c>
      <c r="G2065" t="b">
        <v>1</v>
      </c>
      <c r="H2065" t="s">
        <v>339</v>
      </c>
      <c r="K2065" t="s">
        <v>379</v>
      </c>
      <c r="L2065" t="s">
        <v>303</v>
      </c>
      <c r="M2065" t="s">
        <v>323</v>
      </c>
      <c r="N2065" t="s">
        <v>63</v>
      </c>
      <c r="O2065">
        <v>29.9</v>
      </c>
      <c r="R2065">
        <v>269.89</v>
      </c>
      <c r="S2065">
        <v>39.9</v>
      </c>
      <c r="T2065" s="110">
        <v>0</v>
      </c>
      <c r="U2065">
        <v>42.99</v>
      </c>
      <c r="X2065">
        <v>127.09999999999997</v>
      </c>
      <c r="Y2065">
        <v>59.9</v>
      </c>
      <c r="Z2065">
        <v>59.9</v>
      </c>
      <c r="AA2065">
        <v>0</v>
      </c>
      <c r="AB2065" t="s">
        <v>363</v>
      </c>
      <c r="AF2065" t="s">
        <v>365</v>
      </c>
      <c r="AG2065" t="s">
        <v>365</v>
      </c>
      <c r="AH2065" t="s">
        <v>325</v>
      </c>
      <c r="AI2065">
        <v>99999</v>
      </c>
      <c r="AJ2065">
        <v>99999</v>
      </c>
      <c r="AK2065">
        <v>699</v>
      </c>
      <c r="AL2065" t="b">
        <v>1</v>
      </c>
      <c r="AM2065" t="b">
        <v>1</v>
      </c>
      <c r="AN2065" t="b">
        <v>1</v>
      </c>
      <c r="AO2065">
        <v>99999</v>
      </c>
      <c r="AP2065" t="s">
        <v>64</v>
      </c>
      <c r="AR2065" t="b">
        <v>0</v>
      </c>
      <c r="AS2065">
        <v>12</v>
      </c>
      <c r="AT2065" t="s">
        <v>327</v>
      </c>
      <c r="AV2065" t="s">
        <v>390</v>
      </c>
    </row>
    <row r="2066" spans="1:48" x14ac:dyDescent="0.25">
      <c r="A2066" t="s">
        <v>3323</v>
      </c>
      <c r="B2066" t="s">
        <v>302</v>
      </c>
      <c r="C2066" t="s">
        <v>62</v>
      </c>
      <c r="D2066">
        <v>99999</v>
      </c>
      <c r="F2066" s="109">
        <v>4000</v>
      </c>
      <c r="G2066" t="b">
        <v>1</v>
      </c>
      <c r="H2066" t="s">
        <v>339</v>
      </c>
      <c r="K2066" t="s">
        <v>379</v>
      </c>
      <c r="L2066" t="s">
        <v>303</v>
      </c>
      <c r="M2066" t="s">
        <v>323</v>
      </c>
      <c r="N2066" t="s">
        <v>63</v>
      </c>
      <c r="O2066" s="110">
        <v>29.9</v>
      </c>
      <c r="R2066" s="110">
        <v>284.89</v>
      </c>
      <c r="S2066" s="110">
        <v>39.9</v>
      </c>
      <c r="T2066" s="110">
        <v>0</v>
      </c>
      <c r="U2066" s="110">
        <v>42.99</v>
      </c>
      <c r="X2066">
        <v>142.09999999999997</v>
      </c>
      <c r="Y2066">
        <v>59.9</v>
      </c>
      <c r="Z2066">
        <v>59.9</v>
      </c>
      <c r="AA2066">
        <v>0</v>
      </c>
      <c r="AB2066" t="s">
        <v>363</v>
      </c>
      <c r="AF2066" t="s">
        <v>501</v>
      </c>
      <c r="AG2066" t="s">
        <v>501</v>
      </c>
      <c r="AH2066" t="s">
        <v>325</v>
      </c>
      <c r="AI2066">
        <v>99999</v>
      </c>
      <c r="AJ2066">
        <v>99999</v>
      </c>
      <c r="AK2066">
        <v>699</v>
      </c>
      <c r="AL2066" t="b">
        <v>1</v>
      </c>
      <c r="AM2066" t="b">
        <v>1</v>
      </c>
      <c r="AN2066" t="b">
        <v>1</v>
      </c>
      <c r="AO2066">
        <v>99999</v>
      </c>
      <c r="AP2066" t="s">
        <v>64</v>
      </c>
      <c r="AR2066" t="b">
        <v>0</v>
      </c>
      <c r="AS2066">
        <v>12</v>
      </c>
      <c r="AT2066" t="s">
        <v>327</v>
      </c>
      <c r="AV2066" t="s">
        <v>525</v>
      </c>
    </row>
    <row r="2067" spans="1:48" x14ac:dyDescent="0.25">
      <c r="A2067" t="s">
        <v>3323</v>
      </c>
      <c r="B2067" t="s">
        <v>302</v>
      </c>
      <c r="C2067" t="s">
        <v>62</v>
      </c>
      <c r="D2067">
        <v>99999</v>
      </c>
      <c r="F2067" s="109">
        <v>4000</v>
      </c>
      <c r="G2067" t="b">
        <v>1</v>
      </c>
      <c r="H2067" t="s">
        <v>339</v>
      </c>
      <c r="K2067" t="s">
        <v>379</v>
      </c>
      <c r="L2067" t="s">
        <v>303</v>
      </c>
      <c r="M2067" t="s">
        <v>323</v>
      </c>
      <c r="N2067" t="s">
        <v>63</v>
      </c>
      <c r="O2067">
        <v>29.9</v>
      </c>
      <c r="R2067">
        <v>299.89</v>
      </c>
      <c r="S2067">
        <v>59.9</v>
      </c>
      <c r="T2067" s="110">
        <v>0</v>
      </c>
      <c r="U2067">
        <v>42.99</v>
      </c>
      <c r="X2067">
        <v>137.09999999999997</v>
      </c>
      <c r="Y2067">
        <v>59.9</v>
      </c>
      <c r="Z2067">
        <v>59.9</v>
      </c>
      <c r="AA2067">
        <v>0</v>
      </c>
      <c r="AB2067" t="s">
        <v>363</v>
      </c>
      <c r="AF2067" t="s">
        <v>635</v>
      </c>
      <c r="AG2067" t="s">
        <v>635</v>
      </c>
      <c r="AH2067" t="s">
        <v>325</v>
      </c>
      <c r="AI2067">
        <v>99999</v>
      </c>
      <c r="AJ2067">
        <v>99999</v>
      </c>
      <c r="AK2067">
        <v>699</v>
      </c>
      <c r="AL2067" t="b">
        <v>1</v>
      </c>
      <c r="AM2067" t="b">
        <v>1</v>
      </c>
      <c r="AN2067" t="b">
        <v>1</v>
      </c>
      <c r="AO2067">
        <v>99999</v>
      </c>
      <c r="AP2067" t="s">
        <v>64</v>
      </c>
      <c r="AR2067" t="b">
        <v>0</v>
      </c>
      <c r="AS2067">
        <v>12</v>
      </c>
      <c r="AT2067" t="s">
        <v>327</v>
      </c>
      <c r="AV2067" t="s">
        <v>659</v>
      </c>
    </row>
    <row r="2068" spans="1:48" x14ac:dyDescent="0.25">
      <c r="A2068" t="s">
        <v>3323</v>
      </c>
      <c r="B2068" t="s">
        <v>302</v>
      </c>
      <c r="C2068" t="s">
        <v>62</v>
      </c>
      <c r="D2068">
        <v>99999</v>
      </c>
      <c r="F2068" s="109">
        <v>4000</v>
      </c>
      <c r="G2068" t="b">
        <v>1</v>
      </c>
      <c r="H2068" t="s">
        <v>339</v>
      </c>
      <c r="K2068" t="s">
        <v>379</v>
      </c>
      <c r="L2068" t="s">
        <v>303</v>
      </c>
      <c r="M2068" t="s">
        <v>323</v>
      </c>
      <c r="N2068" t="s">
        <v>63</v>
      </c>
      <c r="O2068" s="110">
        <v>39.9</v>
      </c>
      <c r="R2068" s="110">
        <v>269.89</v>
      </c>
      <c r="S2068" s="110">
        <v>39.9</v>
      </c>
      <c r="T2068" s="110">
        <v>0</v>
      </c>
      <c r="U2068" s="110">
        <v>42.99</v>
      </c>
      <c r="X2068">
        <v>127.09999999999997</v>
      </c>
      <c r="Y2068">
        <v>59.9</v>
      </c>
      <c r="Z2068">
        <v>59.9</v>
      </c>
      <c r="AA2068">
        <v>0</v>
      </c>
      <c r="AB2068" t="s">
        <v>363</v>
      </c>
      <c r="AF2068" t="s">
        <v>434</v>
      </c>
      <c r="AG2068" t="s">
        <v>434</v>
      </c>
      <c r="AH2068" t="s">
        <v>325</v>
      </c>
      <c r="AI2068">
        <v>99999</v>
      </c>
      <c r="AJ2068">
        <v>99999</v>
      </c>
      <c r="AK2068">
        <v>699</v>
      </c>
      <c r="AL2068" t="b">
        <v>1</v>
      </c>
      <c r="AM2068" t="b">
        <v>1</v>
      </c>
      <c r="AN2068" t="b">
        <v>1</v>
      </c>
      <c r="AO2068">
        <v>99999</v>
      </c>
      <c r="AP2068" t="s">
        <v>64</v>
      </c>
      <c r="AR2068" t="b">
        <v>0</v>
      </c>
      <c r="AS2068">
        <v>12</v>
      </c>
      <c r="AT2068" t="s">
        <v>327</v>
      </c>
      <c r="AV2068" t="s">
        <v>458</v>
      </c>
    </row>
    <row r="2069" spans="1:48" x14ac:dyDescent="0.25">
      <c r="A2069" t="s">
        <v>3323</v>
      </c>
      <c r="B2069" t="s">
        <v>302</v>
      </c>
      <c r="C2069" t="s">
        <v>62</v>
      </c>
      <c r="D2069">
        <v>99999</v>
      </c>
      <c r="F2069" s="109">
        <v>4000</v>
      </c>
      <c r="G2069" t="b">
        <v>1</v>
      </c>
      <c r="H2069" t="s">
        <v>339</v>
      </c>
      <c r="K2069" t="s">
        <v>379</v>
      </c>
      <c r="L2069" t="s">
        <v>303</v>
      </c>
      <c r="M2069" t="s">
        <v>323</v>
      </c>
      <c r="N2069" t="s">
        <v>63</v>
      </c>
      <c r="O2069">
        <v>39.9</v>
      </c>
      <c r="R2069">
        <v>284.89</v>
      </c>
      <c r="S2069">
        <v>39.9</v>
      </c>
      <c r="T2069" s="110">
        <v>0</v>
      </c>
      <c r="U2069">
        <v>42.99</v>
      </c>
      <c r="X2069">
        <v>142.09999999999997</v>
      </c>
      <c r="Y2069">
        <v>59.9</v>
      </c>
      <c r="Z2069">
        <v>59.9</v>
      </c>
      <c r="AA2069">
        <v>0</v>
      </c>
      <c r="AB2069" t="s">
        <v>363</v>
      </c>
      <c r="AF2069" t="s">
        <v>568</v>
      </c>
      <c r="AG2069" t="s">
        <v>568</v>
      </c>
      <c r="AH2069" t="s">
        <v>325</v>
      </c>
      <c r="AI2069">
        <v>99999</v>
      </c>
      <c r="AJ2069">
        <v>99999</v>
      </c>
      <c r="AK2069">
        <v>699</v>
      </c>
      <c r="AL2069" t="b">
        <v>1</v>
      </c>
      <c r="AM2069" t="b">
        <v>1</v>
      </c>
      <c r="AN2069" t="b">
        <v>1</v>
      </c>
      <c r="AO2069">
        <v>99999</v>
      </c>
      <c r="AP2069" t="s">
        <v>64</v>
      </c>
      <c r="AR2069" t="b">
        <v>0</v>
      </c>
      <c r="AS2069">
        <v>12</v>
      </c>
      <c r="AT2069" t="s">
        <v>327</v>
      </c>
      <c r="AV2069" t="s">
        <v>592</v>
      </c>
    </row>
    <row r="2070" spans="1:48" x14ac:dyDescent="0.25">
      <c r="A2070" t="s">
        <v>3323</v>
      </c>
      <c r="B2070" t="s">
        <v>302</v>
      </c>
      <c r="C2070" t="s">
        <v>62</v>
      </c>
      <c r="D2070">
        <v>99999</v>
      </c>
      <c r="F2070" s="109">
        <v>4000</v>
      </c>
      <c r="G2070" t="b">
        <v>1</v>
      </c>
      <c r="H2070" t="s">
        <v>339</v>
      </c>
      <c r="K2070" t="s">
        <v>379</v>
      </c>
      <c r="L2070" t="s">
        <v>303</v>
      </c>
      <c r="M2070" t="s">
        <v>323</v>
      </c>
      <c r="N2070" t="s">
        <v>63</v>
      </c>
      <c r="O2070">
        <v>39.9</v>
      </c>
      <c r="R2070">
        <v>299.89</v>
      </c>
      <c r="S2070">
        <v>59.9</v>
      </c>
      <c r="T2070" s="110">
        <v>0</v>
      </c>
      <c r="U2070">
        <v>42.99</v>
      </c>
      <c r="X2070">
        <v>137.09999999999997</v>
      </c>
      <c r="Y2070">
        <v>59.9</v>
      </c>
      <c r="Z2070">
        <v>59.9</v>
      </c>
      <c r="AA2070">
        <v>0</v>
      </c>
      <c r="AB2070" t="s">
        <v>363</v>
      </c>
      <c r="AF2070" t="s">
        <v>702</v>
      </c>
      <c r="AG2070" t="s">
        <v>702</v>
      </c>
      <c r="AH2070" t="s">
        <v>325</v>
      </c>
      <c r="AI2070">
        <v>99999</v>
      </c>
      <c r="AJ2070">
        <v>99999</v>
      </c>
      <c r="AK2070">
        <v>699</v>
      </c>
      <c r="AL2070" t="b">
        <v>1</v>
      </c>
      <c r="AM2070" t="b">
        <v>1</v>
      </c>
      <c r="AN2070" t="b">
        <v>1</v>
      </c>
      <c r="AO2070">
        <v>99999</v>
      </c>
      <c r="AP2070" t="s">
        <v>64</v>
      </c>
      <c r="AR2070" t="b">
        <v>0</v>
      </c>
      <c r="AS2070">
        <v>12</v>
      </c>
      <c r="AT2070" t="s">
        <v>327</v>
      </c>
      <c r="AV2070" t="s">
        <v>726</v>
      </c>
    </row>
    <row r="2071" spans="1:48" x14ac:dyDescent="0.25">
      <c r="A2071" t="s">
        <v>3323</v>
      </c>
      <c r="B2071" t="s">
        <v>302</v>
      </c>
      <c r="C2071" t="s">
        <v>62</v>
      </c>
      <c r="D2071">
        <v>99999</v>
      </c>
      <c r="F2071" s="109">
        <v>4000</v>
      </c>
      <c r="G2071" t="b">
        <v>1</v>
      </c>
      <c r="H2071" t="s">
        <v>339</v>
      </c>
      <c r="K2071" t="s">
        <v>379</v>
      </c>
      <c r="L2071" t="s">
        <v>303</v>
      </c>
      <c r="M2071" t="s">
        <v>323</v>
      </c>
      <c r="N2071" t="s">
        <v>63</v>
      </c>
      <c r="O2071" s="110">
        <v>49.9</v>
      </c>
      <c r="R2071" s="110">
        <v>345.68999999999994</v>
      </c>
      <c r="S2071" s="110">
        <v>130</v>
      </c>
      <c r="T2071" s="110">
        <v>0</v>
      </c>
      <c r="U2071" s="110">
        <v>34.99</v>
      </c>
      <c r="X2071">
        <v>120.79999999999995</v>
      </c>
      <c r="Y2071">
        <v>59.9</v>
      </c>
      <c r="Z2071">
        <v>59.9</v>
      </c>
      <c r="AA2071">
        <v>0</v>
      </c>
      <c r="AB2071" t="s">
        <v>363</v>
      </c>
      <c r="AF2071" t="s">
        <v>2212</v>
      </c>
      <c r="AG2071" t="s">
        <v>2212</v>
      </c>
      <c r="AH2071" t="s">
        <v>325</v>
      </c>
      <c r="AI2071">
        <v>99999</v>
      </c>
      <c r="AJ2071">
        <v>99999</v>
      </c>
      <c r="AK2071">
        <v>699</v>
      </c>
      <c r="AL2071" t="b">
        <v>1</v>
      </c>
      <c r="AM2071" t="b">
        <v>1</v>
      </c>
      <c r="AN2071" t="b">
        <v>1</v>
      </c>
      <c r="AO2071">
        <v>99999</v>
      </c>
      <c r="AP2071" t="s">
        <v>64</v>
      </c>
      <c r="AR2071" t="b">
        <v>0</v>
      </c>
      <c r="AS2071">
        <v>12</v>
      </c>
      <c r="AT2071" t="s">
        <v>327</v>
      </c>
      <c r="AV2071" t="s">
        <v>2236</v>
      </c>
    </row>
    <row r="2072" spans="1:48" x14ac:dyDescent="0.25">
      <c r="A2072" t="s">
        <v>3323</v>
      </c>
      <c r="B2072" t="s">
        <v>302</v>
      </c>
      <c r="C2072" t="s">
        <v>62</v>
      </c>
      <c r="D2072">
        <v>99999</v>
      </c>
      <c r="F2072" s="109">
        <v>4000</v>
      </c>
      <c r="G2072" t="b">
        <v>1</v>
      </c>
      <c r="H2072" t="s">
        <v>339</v>
      </c>
      <c r="K2072" t="s">
        <v>379</v>
      </c>
      <c r="L2072" t="s">
        <v>303</v>
      </c>
      <c r="M2072" t="s">
        <v>323</v>
      </c>
      <c r="N2072" t="s">
        <v>63</v>
      </c>
      <c r="O2072" s="110">
        <v>49.9</v>
      </c>
      <c r="R2072" s="110">
        <v>359.98999999999995</v>
      </c>
      <c r="S2072" s="110">
        <v>130</v>
      </c>
      <c r="T2072" s="110">
        <v>0</v>
      </c>
      <c r="U2072" s="110">
        <v>42.99</v>
      </c>
      <c r="X2072">
        <v>127.09999999999997</v>
      </c>
      <c r="Y2072">
        <v>59.9</v>
      </c>
      <c r="Z2072">
        <v>59.9</v>
      </c>
      <c r="AA2072">
        <v>0</v>
      </c>
      <c r="AB2072" t="s">
        <v>363</v>
      </c>
      <c r="AF2072" t="s">
        <v>2286</v>
      </c>
      <c r="AG2072" t="s">
        <v>2286</v>
      </c>
      <c r="AH2072" t="s">
        <v>325</v>
      </c>
      <c r="AI2072">
        <v>99999</v>
      </c>
      <c r="AJ2072">
        <v>99999</v>
      </c>
      <c r="AK2072">
        <v>699</v>
      </c>
      <c r="AL2072" t="b">
        <v>1</v>
      </c>
      <c r="AM2072" t="b">
        <v>1</v>
      </c>
      <c r="AN2072" t="b">
        <v>1</v>
      </c>
      <c r="AO2072">
        <v>99999</v>
      </c>
      <c r="AP2072" t="s">
        <v>64</v>
      </c>
      <c r="AR2072" t="b">
        <v>0</v>
      </c>
      <c r="AS2072">
        <v>12</v>
      </c>
      <c r="AT2072" t="s">
        <v>327</v>
      </c>
      <c r="AV2072" t="s">
        <v>2310</v>
      </c>
    </row>
    <row r="2073" spans="1:48" x14ac:dyDescent="0.25">
      <c r="A2073" t="s">
        <v>3323</v>
      </c>
      <c r="B2073" t="s">
        <v>302</v>
      </c>
      <c r="C2073" t="s">
        <v>62</v>
      </c>
      <c r="D2073">
        <v>99999</v>
      </c>
      <c r="F2073" s="109">
        <v>4000</v>
      </c>
      <c r="G2073" t="b">
        <v>1</v>
      </c>
      <c r="H2073" t="s">
        <v>339</v>
      </c>
      <c r="K2073" t="s">
        <v>379</v>
      </c>
      <c r="L2073" t="s">
        <v>303</v>
      </c>
      <c r="M2073" t="s">
        <v>323</v>
      </c>
      <c r="N2073" t="s">
        <v>63</v>
      </c>
      <c r="O2073" s="110">
        <v>49.9</v>
      </c>
      <c r="R2073" s="110">
        <v>374.98999999999995</v>
      </c>
      <c r="S2073" s="110">
        <v>130</v>
      </c>
      <c r="T2073" s="110">
        <v>0</v>
      </c>
      <c r="U2073" s="110">
        <v>42.99</v>
      </c>
      <c r="X2073">
        <v>142.09999999999997</v>
      </c>
      <c r="Y2073">
        <v>59.9</v>
      </c>
      <c r="Z2073">
        <v>59.9</v>
      </c>
      <c r="AA2073">
        <v>0</v>
      </c>
      <c r="AB2073" t="s">
        <v>363</v>
      </c>
      <c r="AF2073" t="s">
        <v>2353</v>
      </c>
      <c r="AG2073" t="s">
        <v>2353</v>
      </c>
      <c r="AH2073" t="s">
        <v>325</v>
      </c>
      <c r="AI2073">
        <v>99999</v>
      </c>
      <c r="AJ2073">
        <v>99999</v>
      </c>
      <c r="AK2073">
        <v>699</v>
      </c>
      <c r="AL2073" t="b">
        <v>1</v>
      </c>
      <c r="AM2073" t="b">
        <v>1</v>
      </c>
      <c r="AN2073" t="b">
        <v>1</v>
      </c>
      <c r="AO2073">
        <v>99999</v>
      </c>
      <c r="AP2073" t="s">
        <v>64</v>
      </c>
      <c r="AR2073" t="b">
        <v>0</v>
      </c>
      <c r="AS2073">
        <v>12</v>
      </c>
      <c r="AT2073" t="s">
        <v>327</v>
      </c>
      <c r="AV2073" t="s">
        <v>2377</v>
      </c>
    </row>
    <row r="2074" spans="1:48" x14ac:dyDescent="0.25">
      <c r="A2074" t="s">
        <v>3323</v>
      </c>
      <c r="B2074" t="s">
        <v>302</v>
      </c>
      <c r="C2074" t="s">
        <v>62</v>
      </c>
      <c r="D2074">
        <v>99999</v>
      </c>
      <c r="F2074" s="109">
        <v>4000</v>
      </c>
      <c r="G2074" t="b">
        <v>1</v>
      </c>
      <c r="H2074" t="s">
        <v>339</v>
      </c>
      <c r="K2074" t="s">
        <v>379</v>
      </c>
      <c r="L2074" t="s">
        <v>303</v>
      </c>
      <c r="M2074" t="s">
        <v>323</v>
      </c>
      <c r="N2074" t="s">
        <v>63</v>
      </c>
      <c r="O2074" s="110">
        <v>49.9</v>
      </c>
      <c r="R2074" s="110">
        <v>369.98999999999995</v>
      </c>
      <c r="S2074" s="110">
        <v>130</v>
      </c>
      <c r="T2074" s="110">
        <v>0</v>
      </c>
      <c r="U2074" s="110">
        <v>42.99</v>
      </c>
      <c r="X2074">
        <v>137.09999999999997</v>
      </c>
      <c r="Y2074">
        <v>59.9</v>
      </c>
      <c r="Z2074">
        <v>59.9</v>
      </c>
      <c r="AA2074">
        <v>0</v>
      </c>
      <c r="AB2074" t="s">
        <v>363</v>
      </c>
      <c r="AF2074" t="s">
        <v>2420</v>
      </c>
      <c r="AG2074" t="s">
        <v>2420</v>
      </c>
      <c r="AH2074" t="s">
        <v>325</v>
      </c>
      <c r="AI2074">
        <v>99999</v>
      </c>
      <c r="AJ2074">
        <v>99999</v>
      </c>
      <c r="AK2074">
        <v>699</v>
      </c>
      <c r="AL2074" t="b">
        <v>1</v>
      </c>
      <c r="AM2074" t="b">
        <v>1</v>
      </c>
      <c r="AN2074" t="b">
        <v>1</v>
      </c>
      <c r="AO2074">
        <v>99999</v>
      </c>
      <c r="AP2074" t="s">
        <v>64</v>
      </c>
      <c r="AR2074" t="b">
        <v>0</v>
      </c>
      <c r="AS2074">
        <v>12</v>
      </c>
      <c r="AT2074" t="s">
        <v>327</v>
      </c>
      <c r="AV2074" t="s">
        <v>2444</v>
      </c>
    </row>
    <row r="2075" spans="1:48" x14ac:dyDescent="0.25">
      <c r="A2075" t="s">
        <v>3323</v>
      </c>
      <c r="B2075" t="s">
        <v>302</v>
      </c>
      <c r="C2075" t="s">
        <v>62</v>
      </c>
      <c r="D2075">
        <v>99999</v>
      </c>
      <c r="F2075" s="109">
        <v>4000</v>
      </c>
      <c r="G2075" t="b">
        <v>1</v>
      </c>
      <c r="H2075" t="s">
        <v>339</v>
      </c>
      <c r="K2075" t="s">
        <v>61</v>
      </c>
      <c r="L2075" t="s">
        <v>303</v>
      </c>
      <c r="M2075" t="s">
        <v>323</v>
      </c>
      <c r="N2075" t="s">
        <v>63</v>
      </c>
      <c r="O2075">
        <v>29.9</v>
      </c>
      <c r="R2075">
        <v>254.88999999999996</v>
      </c>
      <c r="S2075">
        <v>39.9</v>
      </c>
      <c r="T2075" s="110">
        <v>0</v>
      </c>
      <c r="U2075">
        <v>42.99</v>
      </c>
      <c r="X2075">
        <v>127.09999999999997</v>
      </c>
      <c r="Y2075">
        <v>44.9</v>
      </c>
      <c r="Z2075">
        <v>44.9</v>
      </c>
      <c r="AA2075">
        <v>0</v>
      </c>
      <c r="AB2075" t="s">
        <v>324</v>
      </c>
      <c r="AF2075" t="s">
        <v>326</v>
      </c>
      <c r="AG2075" t="s">
        <v>326</v>
      </c>
      <c r="AH2075" t="s">
        <v>325</v>
      </c>
      <c r="AI2075">
        <v>99999</v>
      </c>
      <c r="AJ2075">
        <v>99999</v>
      </c>
      <c r="AK2075">
        <v>699</v>
      </c>
      <c r="AL2075" t="b">
        <v>1</v>
      </c>
      <c r="AM2075" t="b">
        <v>1</v>
      </c>
      <c r="AN2075" t="b">
        <v>1</v>
      </c>
      <c r="AO2075">
        <v>99999</v>
      </c>
      <c r="AP2075" t="s">
        <v>64</v>
      </c>
      <c r="AR2075" t="b">
        <v>0</v>
      </c>
      <c r="AS2075">
        <v>12</v>
      </c>
      <c r="AT2075" t="s">
        <v>327</v>
      </c>
      <c r="AV2075" t="s">
        <v>346</v>
      </c>
    </row>
    <row r="2076" spans="1:48" x14ac:dyDescent="0.25">
      <c r="A2076" t="s">
        <v>3323</v>
      </c>
      <c r="B2076" t="s">
        <v>302</v>
      </c>
      <c r="C2076" t="s">
        <v>62</v>
      </c>
      <c r="D2076">
        <v>99999</v>
      </c>
      <c r="F2076" s="109">
        <v>4000</v>
      </c>
      <c r="G2076" t="b">
        <v>1</v>
      </c>
      <c r="H2076" t="s">
        <v>339</v>
      </c>
      <c r="K2076" t="s">
        <v>61</v>
      </c>
      <c r="L2076" t="s">
        <v>303</v>
      </c>
      <c r="M2076" t="s">
        <v>323</v>
      </c>
      <c r="N2076" t="s">
        <v>63</v>
      </c>
      <c r="O2076" s="110">
        <v>29.9</v>
      </c>
      <c r="R2076" s="110">
        <v>269.89</v>
      </c>
      <c r="S2076" s="110">
        <v>39.9</v>
      </c>
      <c r="T2076" s="110">
        <v>0</v>
      </c>
      <c r="U2076" s="110">
        <v>42.99</v>
      </c>
      <c r="X2076">
        <v>142.09999999999997</v>
      </c>
      <c r="Y2076">
        <v>44.9</v>
      </c>
      <c r="Z2076">
        <v>44.9</v>
      </c>
      <c r="AA2076">
        <v>0</v>
      </c>
      <c r="AB2076" t="s">
        <v>324</v>
      </c>
      <c r="AF2076" t="s">
        <v>474</v>
      </c>
      <c r="AG2076" t="s">
        <v>474</v>
      </c>
      <c r="AH2076" t="s">
        <v>325</v>
      </c>
      <c r="AI2076">
        <v>99999</v>
      </c>
      <c r="AJ2076">
        <v>99999</v>
      </c>
      <c r="AK2076">
        <v>699</v>
      </c>
      <c r="AL2076" t="b">
        <v>1</v>
      </c>
      <c r="AM2076" t="b">
        <v>1</v>
      </c>
      <c r="AN2076" t="b">
        <v>1</v>
      </c>
      <c r="AO2076">
        <v>99999</v>
      </c>
      <c r="AP2076" t="s">
        <v>64</v>
      </c>
      <c r="AR2076" t="b">
        <v>0</v>
      </c>
      <c r="AS2076">
        <v>12</v>
      </c>
      <c r="AT2076" t="s">
        <v>327</v>
      </c>
      <c r="AV2076" t="s">
        <v>485</v>
      </c>
    </row>
    <row r="2077" spans="1:48" x14ac:dyDescent="0.25">
      <c r="A2077" t="s">
        <v>3323</v>
      </c>
      <c r="B2077" t="s">
        <v>302</v>
      </c>
      <c r="C2077" t="s">
        <v>62</v>
      </c>
      <c r="D2077">
        <v>99999</v>
      </c>
      <c r="F2077" s="109">
        <v>4000</v>
      </c>
      <c r="G2077" t="b">
        <v>1</v>
      </c>
      <c r="H2077" t="s">
        <v>339</v>
      </c>
      <c r="K2077" t="s">
        <v>61</v>
      </c>
      <c r="L2077" t="s">
        <v>303</v>
      </c>
      <c r="M2077" t="s">
        <v>323</v>
      </c>
      <c r="N2077" t="s">
        <v>63</v>
      </c>
      <c r="O2077">
        <v>29.9</v>
      </c>
      <c r="R2077">
        <v>284.89</v>
      </c>
      <c r="S2077">
        <v>59.9</v>
      </c>
      <c r="T2077" s="110">
        <v>0</v>
      </c>
      <c r="U2077">
        <v>42.99</v>
      </c>
      <c r="X2077">
        <v>137.09999999999997</v>
      </c>
      <c r="Y2077">
        <v>44.9</v>
      </c>
      <c r="Z2077">
        <v>44.9</v>
      </c>
      <c r="AA2077">
        <v>0</v>
      </c>
      <c r="AB2077" t="s">
        <v>324</v>
      </c>
      <c r="AF2077" t="s">
        <v>608</v>
      </c>
      <c r="AG2077" t="s">
        <v>608</v>
      </c>
      <c r="AH2077" t="s">
        <v>325</v>
      </c>
      <c r="AI2077">
        <v>99999</v>
      </c>
      <c r="AJ2077">
        <v>99999</v>
      </c>
      <c r="AK2077">
        <v>699</v>
      </c>
      <c r="AL2077" t="b">
        <v>1</v>
      </c>
      <c r="AM2077" t="b">
        <v>1</v>
      </c>
      <c r="AN2077" t="b">
        <v>1</v>
      </c>
      <c r="AO2077">
        <v>99999</v>
      </c>
      <c r="AP2077" t="s">
        <v>64</v>
      </c>
      <c r="AR2077" t="b">
        <v>0</v>
      </c>
      <c r="AS2077">
        <v>12</v>
      </c>
      <c r="AT2077" t="s">
        <v>327</v>
      </c>
      <c r="AV2077" t="s">
        <v>619</v>
      </c>
    </row>
    <row r="2078" spans="1:48" x14ac:dyDescent="0.25">
      <c r="A2078" t="s">
        <v>3323</v>
      </c>
      <c r="B2078" t="s">
        <v>302</v>
      </c>
      <c r="C2078" t="s">
        <v>62</v>
      </c>
      <c r="D2078">
        <v>99999</v>
      </c>
      <c r="F2078" s="109">
        <v>4000</v>
      </c>
      <c r="G2078" t="b">
        <v>1</v>
      </c>
      <c r="H2078" t="s">
        <v>339</v>
      </c>
      <c r="K2078" t="s">
        <v>61</v>
      </c>
      <c r="L2078" t="s">
        <v>303</v>
      </c>
      <c r="M2078" t="s">
        <v>323</v>
      </c>
      <c r="N2078" t="s">
        <v>63</v>
      </c>
      <c r="O2078" s="110">
        <v>39.9</v>
      </c>
      <c r="R2078" s="110">
        <v>254.88999999999996</v>
      </c>
      <c r="S2078" s="110">
        <v>39.9</v>
      </c>
      <c r="T2078" s="110">
        <v>0</v>
      </c>
      <c r="U2078" s="110">
        <v>42.99</v>
      </c>
      <c r="X2078">
        <v>127.09999999999997</v>
      </c>
      <c r="Y2078">
        <v>44.9</v>
      </c>
      <c r="Z2078">
        <v>44.9</v>
      </c>
      <c r="AA2078">
        <v>0</v>
      </c>
      <c r="AB2078" t="s">
        <v>324</v>
      </c>
      <c r="AF2078" t="s">
        <v>407</v>
      </c>
      <c r="AG2078" t="s">
        <v>407</v>
      </c>
      <c r="AH2078" t="s">
        <v>325</v>
      </c>
      <c r="AI2078">
        <v>99999</v>
      </c>
      <c r="AJ2078">
        <v>99999</v>
      </c>
      <c r="AK2078">
        <v>699</v>
      </c>
      <c r="AL2078" t="b">
        <v>1</v>
      </c>
      <c r="AM2078" t="b">
        <v>1</v>
      </c>
      <c r="AN2078" t="b">
        <v>1</v>
      </c>
      <c r="AO2078">
        <v>99999</v>
      </c>
      <c r="AP2078" t="s">
        <v>64</v>
      </c>
      <c r="AR2078" t="b">
        <v>0</v>
      </c>
      <c r="AS2078">
        <v>12</v>
      </c>
      <c r="AT2078" t="s">
        <v>327</v>
      </c>
      <c r="AV2078" t="s">
        <v>418</v>
      </c>
    </row>
    <row r="2079" spans="1:48" x14ac:dyDescent="0.25">
      <c r="A2079" t="s">
        <v>3323</v>
      </c>
      <c r="B2079" t="s">
        <v>302</v>
      </c>
      <c r="C2079" t="s">
        <v>62</v>
      </c>
      <c r="D2079">
        <v>99999</v>
      </c>
      <c r="F2079" s="109">
        <v>4000</v>
      </c>
      <c r="G2079" t="b">
        <v>1</v>
      </c>
      <c r="H2079" t="s">
        <v>339</v>
      </c>
      <c r="K2079" t="s">
        <v>61</v>
      </c>
      <c r="L2079" t="s">
        <v>303</v>
      </c>
      <c r="M2079" t="s">
        <v>323</v>
      </c>
      <c r="N2079" t="s">
        <v>63</v>
      </c>
      <c r="O2079">
        <v>39.9</v>
      </c>
      <c r="R2079">
        <v>269.89</v>
      </c>
      <c r="S2079">
        <v>39.9</v>
      </c>
      <c r="T2079" s="110">
        <v>0</v>
      </c>
      <c r="U2079">
        <v>42.99</v>
      </c>
      <c r="X2079">
        <v>142.09999999999997</v>
      </c>
      <c r="Y2079">
        <v>44.9</v>
      </c>
      <c r="Z2079">
        <v>44.9</v>
      </c>
      <c r="AA2079">
        <v>0</v>
      </c>
      <c r="AB2079" t="s">
        <v>324</v>
      </c>
      <c r="AF2079" t="s">
        <v>541</v>
      </c>
      <c r="AG2079" t="s">
        <v>541</v>
      </c>
      <c r="AH2079" t="s">
        <v>325</v>
      </c>
      <c r="AI2079">
        <v>99999</v>
      </c>
      <c r="AJ2079">
        <v>99999</v>
      </c>
      <c r="AK2079">
        <v>699</v>
      </c>
      <c r="AL2079" t="b">
        <v>1</v>
      </c>
      <c r="AM2079" t="b">
        <v>1</v>
      </c>
      <c r="AN2079" t="b">
        <v>1</v>
      </c>
      <c r="AO2079">
        <v>99999</v>
      </c>
      <c r="AP2079" t="s">
        <v>64</v>
      </c>
      <c r="AR2079" t="b">
        <v>0</v>
      </c>
      <c r="AS2079">
        <v>12</v>
      </c>
      <c r="AT2079" t="s">
        <v>327</v>
      </c>
      <c r="AV2079" t="s">
        <v>552</v>
      </c>
    </row>
    <row r="2080" spans="1:48" x14ac:dyDescent="0.25">
      <c r="A2080" t="s">
        <v>3323</v>
      </c>
      <c r="B2080" t="s">
        <v>302</v>
      </c>
      <c r="C2080" t="s">
        <v>62</v>
      </c>
      <c r="D2080">
        <v>99999</v>
      </c>
      <c r="F2080" s="109">
        <v>4000</v>
      </c>
      <c r="G2080" t="b">
        <v>1</v>
      </c>
      <c r="H2080" t="s">
        <v>339</v>
      </c>
      <c r="K2080" t="s">
        <v>61</v>
      </c>
      <c r="L2080" t="s">
        <v>303</v>
      </c>
      <c r="M2080" t="s">
        <v>323</v>
      </c>
      <c r="N2080" t="s">
        <v>63</v>
      </c>
      <c r="O2080">
        <v>39.9</v>
      </c>
      <c r="R2080">
        <v>284.89</v>
      </c>
      <c r="S2080">
        <v>59.9</v>
      </c>
      <c r="T2080" s="110">
        <v>0</v>
      </c>
      <c r="U2080">
        <v>42.99</v>
      </c>
      <c r="X2080">
        <v>137.09999999999997</v>
      </c>
      <c r="Y2080">
        <v>44.9</v>
      </c>
      <c r="Z2080">
        <v>44.9</v>
      </c>
      <c r="AA2080">
        <v>0</v>
      </c>
      <c r="AB2080" t="s">
        <v>324</v>
      </c>
      <c r="AF2080" t="s">
        <v>675</v>
      </c>
      <c r="AG2080" t="s">
        <v>675</v>
      </c>
      <c r="AH2080" t="s">
        <v>325</v>
      </c>
      <c r="AI2080">
        <v>99999</v>
      </c>
      <c r="AJ2080">
        <v>99999</v>
      </c>
      <c r="AK2080">
        <v>699</v>
      </c>
      <c r="AL2080" t="b">
        <v>1</v>
      </c>
      <c r="AM2080" t="b">
        <v>1</v>
      </c>
      <c r="AN2080" t="b">
        <v>1</v>
      </c>
      <c r="AO2080">
        <v>99999</v>
      </c>
      <c r="AP2080" t="s">
        <v>64</v>
      </c>
      <c r="AR2080" t="b">
        <v>0</v>
      </c>
      <c r="AS2080">
        <v>12</v>
      </c>
      <c r="AT2080" t="s">
        <v>327</v>
      </c>
      <c r="AV2080" t="s">
        <v>686</v>
      </c>
    </row>
    <row r="2081" spans="1:48" x14ac:dyDescent="0.25">
      <c r="A2081" t="s">
        <v>3323</v>
      </c>
      <c r="B2081" t="s">
        <v>302</v>
      </c>
      <c r="C2081" t="s">
        <v>62</v>
      </c>
      <c r="D2081">
        <v>99999</v>
      </c>
      <c r="F2081" s="109">
        <v>4000</v>
      </c>
      <c r="G2081" t="b">
        <v>1</v>
      </c>
      <c r="H2081" t="s">
        <v>339</v>
      </c>
      <c r="K2081" t="s">
        <v>61</v>
      </c>
      <c r="L2081" t="s">
        <v>303</v>
      </c>
      <c r="M2081" t="s">
        <v>323</v>
      </c>
      <c r="N2081" t="s">
        <v>63</v>
      </c>
      <c r="O2081" s="110">
        <v>49.9</v>
      </c>
      <c r="R2081" s="110">
        <v>330.68999999999994</v>
      </c>
      <c r="S2081" s="110">
        <v>130</v>
      </c>
      <c r="T2081" s="110">
        <v>0</v>
      </c>
      <c r="U2081" s="110">
        <v>34.99</v>
      </c>
      <c r="X2081">
        <v>120.79999999999995</v>
      </c>
      <c r="Y2081">
        <v>44.9</v>
      </c>
      <c r="Z2081">
        <v>44.9</v>
      </c>
      <c r="AA2081">
        <v>0</v>
      </c>
      <c r="AB2081" t="s">
        <v>324</v>
      </c>
      <c r="AF2081" t="s">
        <v>2185</v>
      </c>
      <c r="AG2081" t="s">
        <v>2185</v>
      </c>
      <c r="AH2081" t="s">
        <v>325</v>
      </c>
      <c r="AI2081">
        <v>99999</v>
      </c>
      <c r="AJ2081">
        <v>99999</v>
      </c>
      <c r="AK2081">
        <v>699</v>
      </c>
      <c r="AL2081" t="b">
        <v>1</v>
      </c>
      <c r="AM2081" t="b">
        <v>1</v>
      </c>
      <c r="AN2081" t="b">
        <v>1</v>
      </c>
      <c r="AO2081">
        <v>99999</v>
      </c>
      <c r="AP2081" t="s">
        <v>64</v>
      </c>
      <c r="AR2081" t="b">
        <v>0</v>
      </c>
      <c r="AS2081">
        <v>12</v>
      </c>
      <c r="AT2081" t="s">
        <v>327</v>
      </c>
      <c r="AV2081" t="s">
        <v>2196</v>
      </c>
    </row>
    <row r="2082" spans="1:48" x14ac:dyDescent="0.25">
      <c r="A2082" t="s">
        <v>3323</v>
      </c>
      <c r="B2082" t="s">
        <v>302</v>
      </c>
      <c r="C2082" t="s">
        <v>62</v>
      </c>
      <c r="D2082">
        <v>99999</v>
      </c>
      <c r="F2082" s="109">
        <v>4000</v>
      </c>
      <c r="G2082" t="b">
        <v>1</v>
      </c>
      <c r="H2082" t="s">
        <v>339</v>
      </c>
      <c r="K2082" t="s">
        <v>61</v>
      </c>
      <c r="L2082" t="s">
        <v>303</v>
      </c>
      <c r="M2082" t="s">
        <v>323</v>
      </c>
      <c r="N2082" t="s">
        <v>63</v>
      </c>
      <c r="O2082" s="110">
        <v>49.9</v>
      </c>
      <c r="R2082" s="110">
        <v>344.98999999999995</v>
      </c>
      <c r="S2082" s="110">
        <v>130</v>
      </c>
      <c r="T2082" s="110">
        <v>0</v>
      </c>
      <c r="U2082" s="110">
        <v>42.99</v>
      </c>
      <c r="X2082">
        <v>127.09999999999997</v>
      </c>
      <c r="Y2082">
        <v>44.9</v>
      </c>
      <c r="Z2082">
        <v>44.9</v>
      </c>
      <c r="AA2082">
        <v>0</v>
      </c>
      <c r="AB2082" t="s">
        <v>324</v>
      </c>
      <c r="AF2082" t="s">
        <v>2259</v>
      </c>
      <c r="AG2082" t="s">
        <v>2259</v>
      </c>
      <c r="AH2082" t="s">
        <v>325</v>
      </c>
      <c r="AI2082">
        <v>99999</v>
      </c>
      <c r="AJ2082">
        <v>99999</v>
      </c>
      <c r="AK2082">
        <v>699</v>
      </c>
      <c r="AL2082" t="b">
        <v>1</v>
      </c>
      <c r="AM2082" t="b">
        <v>1</v>
      </c>
      <c r="AN2082" t="b">
        <v>1</v>
      </c>
      <c r="AO2082">
        <v>99999</v>
      </c>
      <c r="AP2082" t="s">
        <v>64</v>
      </c>
      <c r="AR2082" t="b">
        <v>0</v>
      </c>
      <c r="AS2082">
        <v>12</v>
      </c>
      <c r="AT2082" t="s">
        <v>327</v>
      </c>
      <c r="AV2082" t="s">
        <v>2270</v>
      </c>
    </row>
    <row r="2083" spans="1:48" x14ac:dyDescent="0.25">
      <c r="A2083" t="s">
        <v>3323</v>
      </c>
      <c r="B2083" t="s">
        <v>302</v>
      </c>
      <c r="C2083" t="s">
        <v>62</v>
      </c>
      <c r="D2083">
        <v>99999</v>
      </c>
      <c r="F2083" s="109">
        <v>4000</v>
      </c>
      <c r="G2083" t="b">
        <v>1</v>
      </c>
      <c r="H2083" t="s">
        <v>339</v>
      </c>
      <c r="K2083" t="s">
        <v>61</v>
      </c>
      <c r="L2083" t="s">
        <v>303</v>
      </c>
      <c r="M2083" t="s">
        <v>323</v>
      </c>
      <c r="N2083" t="s">
        <v>63</v>
      </c>
      <c r="O2083" s="110">
        <v>49.9</v>
      </c>
      <c r="R2083" s="110">
        <v>359.98999999999995</v>
      </c>
      <c r="S2083" s="110">
        <v>130</v>
      </c>
      <c r="T2083" s="110">
        <v>0</v>
      </c>
      <c r="U2083" s="110">
        <v>42.99</v>
      </c>
      <c r="X2083">
        <v>142.09999999999997</v>
      </c>
      <c r="Y2083">
        <v>44.9</v>
      </c>
      <c r="Z2083">
        <v>44.9</v>
      </c>
      <c r="AA2083">
        <v>0</v>
      </c>
      <c r="AB2083" t="s">
        <v>324</v>
      </c>
      <c r="AF2083" t="s">
        <v>2326</v>
      </c>
      <c r="AG2083" t="s">
        <v>2326</v>
      </c>
      <c r="AH2083" t="s">
        <v>325</v>
      </c>
      <c r="AI2083">
        <v>99999</v>
      </c>
      <c r="AJ2083">
        <v>99999</v>
      </c>
      <c r="AK2083">
        <v>699</v>
      </c>
      <c r="AL2083" t="b">
        <v>1</v>
      </c>
      <c r="AM2083" t="b">
        <v>1</v>
      </c>
      <c r="AN2083" t="b">
        <v>1</v>
      </c>
      <c r="AO2083">
        <v>99999</v>
      </c>
      <c r="AP2083" t="s">
        <v>64</v>
      </c>
      <c r="AR2083" t="b">
        <v>0</v>
      </c>
      <c r="AS2083">
        <v>12</v>
      </c>
      <c r="AT2083" t="s">
        <v>327</v>
      </c>
      <c r="AV2083" t="s">
        <v>2337</v>
      </c>
    </row>
    <row r="2084" spans="1:48" x14ac:dyDescent="0.25">
      <c r="A2084" t="s">
        <v>3323</v>
      </c>
      <c r="B2084" t="s">
        <v>302</v>
      </c>
      <c r="C2084" t="s">
        <v>62</v>
      </c>
      <c r="D2084">
        <v>99999</v>
      </c>
      <c r="F2084" s="109">
        <v>4000</v>
      </c>
      <c r="G2084" t="b">
        <v>1</v>
      </c>
      <c r="H2084" t="s">
        <v>339</v>
      </c>
      <c r="K2084" t="s">
        <v>61</v>
      </c>
      <c r="L2084" t="s">
        <v>303</v>
      </c>
      <c r="M2084" t="s">
        <v>323</v>
      </c>
      <c r="N2084" t="s">
        <v>63</v>
      </c>
      <c r="O2084" s="110">
        <v>49.9</v>
      </c>
      <c r="R2084" s="110">
        <v>354.98999999999995</v>
      </c>
      <c r="S2084" s="110">
        <v>130</v>
      </c>
      <c r="T2084" s="110">
        <v>0</v>
      </c>
      <c r="U2084" s="110">
        <v>42.99</v>
      </c>
      <c r="X2084">
        <v>137.09999999999997</v>
      </c>
      <c r="Y2084">
        <v>44.9</v>
      </c>
      <c r="Z2084">
        <v>44.9</v>
      </c>
      <c r="AA2084">
        <v>0</v>
      </c>
      <c r="AB2084" t="s">
        <v>324</v>
      </c>
      <c r="AF2084" t="s">
        <v>2393</v>
      </c>
      <c r="AG2084" t="s">
        <v>2393</v>
      </c>
      <c r="AH2084" t="s">
        <v>325</v>
      </c>
      <c r="AI2084">
        <v>99999</v>
      </c>
      <c r="AJ2084">
        <v>99999</v>
      </c>
      <c r="AK2084">
        <v>699</v>
      </c>
      <c r="AL2084" t="b">
        <v>1</v>
      </c>
      <c r="AM2084" t="b">
        <v>1</v>
      </c>
      <c r="AN2084" t="b">
        <v>1</v>
      </c>
      <c r="AO2084">
        <v>99999</v>
      </c>
      <c r="AP2084" t="s">
        <v>64</v>
      </c>
      <c r="AR2084" t="b">
        <v>0</v>
      </c>
      <c r="AS2084">
        <v>12</v>
      </c>
      <c r="AT2084" t="s">
        <v>327</v>
      </c>
      <c r="AV2084" t="s">
        <v>2404</v>
      </c>
    </row>
    <row r="2085" spans="1:48" x14ac:dyDescent="0.25">
      <c r="A2085" t="s">
        <v>3323</v>
      </c>
      <c r="B2085" t="s">
        <v>302</v>
      </c>
      <c r="C2085" t="s">
        <v>62</v>
      </c>
      <c r="D2085">
        <v>99999</v>
      </c>
      <c r="F2085" s="109">
        <v>4000</v>
      </c>
      <c r="G2085" t="b">
        <v>1</v>
      </c>
      <c r="H2085" t="s">
        <v>337</v>
      </c>
      <c r="K2085" t="s">
        <v>349</v>
      </c>
      <c r="L2085" t="s">
        <v>303</v>
      </c>
      <c r="M2085" t="s">
        <v>323</v>
      </c>
      <c r="N2085" t="s">
        <v>63</v>
      </c>
      <c r="O2085">
        <v>29.9</v>
      </c>
      <c r="R2085">
        <v>229.89</v>
      </c>
      <c r="S2085">
        <v>39.9</v>
      </c>
      <c r="T2085" s="110">
        <v>0</v>
      </c>
      <c r="U2085">
        <v>42.99</v>
      </c>
      <c r="X2085">
        <v>102.1</v>
      </c>
      <c r="Y2085">
        <v>44.9</v>
      </c>
      <c r="Z2085">
        <v>44.9</v>
      </c>
      <c r="AA2085">
        <v>0</v>
      </c>
      <c r="AB2085" t="s">
        <v>324</v>
      </c>
      <c r="AF2085" t="s">
        <v>326</v>
      </c>
      <c r="AG2085" t="s">
        <v>326</v>
      </c>
      <c r="AH2085" t="s">
        <v>325</v>
      </c>
      <c r="AI2085">
        <v>99999</v>
      </c>
      <c r="AJ2085">
        <v>99999</v>
      </c>
      <c r="AK2085">
        <v>699</v>
      </c>
      <c r="AL2085" t="b">
        <v>1</v>
      </c>
      <c r="AM2085" t="b">
        <v>1</v>
      </c>
      <c r="AN2085" t="b">
        <v>1</v>
      </c>
      <c r="AO2085">
        <v>99999</v>
      </c>
      <c r="AP2085" t="s">
        <v>64</v>
      </c>
      <c r="AR2085" t="b">
        <v>0</v>
      </c>
      <c r="AS2085">
        <v>12</v>
      </c>
      <c r="AT2085" t="s">
        <v>327</v>
      </c>
      <c r="AV2085" t="s">
        <v>359</v>
      </c>
    </row>
    <row r="2086" spans="1:48" x14ac:dyDescent="0.25">
      <c r="A2086" t="s">
        <v>3323</v>
      </c>
      <c r="B2086" t="s">
        <v>302</v>
      </c>
      <c r="C2086" t="s">
        <v>62</v>
      </c>
      <c r="D2086">
        <v>99999</v>
      </c>
      <c r="F2086" s="109">
        <v>4000</v>
      </c>
      <c r="G2086" t="b">
        <v>1</v>
      </c>
      <c r="H2086" t="s">
        <v>337</v>
      </c>
      <c r="K2086" t="s">
        <v>349</v>
      </c>
      <c r="L2086" t="s">
        <v>303</v>
      </c>
      <c r="M2086" t="s">
        <v>323</v>
      </c>
      <c r="N2086" t="s">
        <v>63</v>
      </c>
      <c r="O2086">
        <v>29.9</v>
      </c>
      <c r="R2086">
        <v>244.89</v>
      </c>
      <c r="S2086">
        <v>39.9</v>
      </c>
      <c r="T2086" s="110">
        <v>0</v>
      </c>
      <c r="U2086">
        <v>42.99</v>
      </c>
      <c r="X2086">
        <v>117.1</v>
      </c>
      <c r="Y2086">
        <v>44.9</v>
      </c>
      <c r="Z2086">
        <v>44.9</v>
      </c>
      <c r="AA2086">
        <v>0</v>
      </c>
      <c r="AB2086" t="s">
        <v>324</v>
      </c>
      <c r="AF2086" t="s">
        <v>474</v>
      </c>
      <c r="AG2086" t="s">
        <v>474</v>
      </c>
      <c r="AH2086" t="s">
        <v>325</v>
      </c>
      <c r="AI2086">
        <v>99999</v>
      </c>
      <c r="AJ2086">
        <v>99999</v>
      </c>
      <c r="AK2086">
        <v>699</v>
      </c>
      <c r="AL2086" t="b">
        <v>1</v>
      </c>
      <c r="AM2086" t="b">
        <v>1</v>
      </c>
      <c r="AN2086" t="b">
        <v>1</v>
      </c>
      <c r="AO2086">
        <v>99999</v>
      </c>
      <c r="AP2086" t="s">
        <v>64</v>
      </c>
      <c r="AR2086" t="b">
        <v>0</v>
      </c>
      <c r="AS2086">
        <v>12</v>
      </c>
      <c r="AT2086" t="s">
        <v>327</v>
      </c>
      <c r="AV2086" t="s">
        <v>497</v>
      </c>
    </row>
    <row r="2087" spans="1:48" x14ac:dyDescent="0.25">
      <c r="A2087" t="s">
        <v>3323</v>
      </c>
      <c r="B2087" t="s">
        <v>302</v>
      </c>
      <c r="C2087" t="s">
        <v>62</v>
      </c>
      <c r="D2087">
        <v>99999</v>
      </c>
      <c r="F2087" s="109">
        <v>4000</v>
      </c>
      <c r="G2087" t="b">
        <v>1</v>
      </c>
      <c r="H2087" t="s">
        <v>337</v>
      </c>
      <c r="K2087" t="s">
        <v>349</v>
      </c>
      <c r="L2087" t="s">
        <v>303</v>
      </c>
      <c r="M2087" t="s">
        <v>323</v>
      </c>
      <c r="N2087" t="s">
        <v>63</v>
      </c>
      <c r="O2087">
        <v>29.9</v>
      </c>
      <c r="R2087">
        <v>259.89</v>
      </c>
      <c r="S2087">
        <v>59.9</v>
      </c>
      <c r="T2087" s="110">
        <v>0</v>
      </c>
      <c r="U2087">
        <v>42.99</v>
      </c>
      <c r="X2087">
        <v>112.1</v>
      </c>
      <c r="Y2087">
        <v>44.9</v>
      </c>
      <c r="Z2087">
        <v>44.9</v>
      </c>
      <c r="AA2087">
        <v>0</v>
      </c>
      <c r="AB2087" t="s">
        <v>324</v>
      </c>
      <c r="AF2087" t="s">
        <v>608</v>
      </c>
      <c r="AG2087" t="s">
        <v>608</v>
      </c>
      <c r="AH2087" t="s">
        <v>325</v>
      </c>
      <c r="AI2087">
        <v>99999</v>
      </c>
      <c r="AJ2087">
        <v>99999</v>
      </c>
      <c r="AK2087">
        <v>699</v>
      </c>
      <c r="AL2087" t="b">
        <v>1</v>
      </c>
      <c r="AM2087" t="b">
        <v>1</v>
      </c>
      <c r="AN2087" t="b">
        <v>1</v>
      </c>
      <c r="AO2087">
        <v>99999</v>
      </c>
      <c r="AP2087" t="s">
        <v>64</v>
      </c>
      <c r="AR2087" t="b">
        <v>0</v>
      </c>
      <c r="AS2087">
        <v>12</v>
      </c>
      <c r="AT2087" t="s">
        <v>327</v>
      </c>
      <c r="AV2087" t="s">
        <v>631</v>
      </c>
    </row>
    <row r="2088" spans="1:48" x14ac:dyDescent="0.25">
      <c r="A2088" t="s">
        <v>3323</v>
      </c>
      <c r="B2088" t="s">
        <v>302</v>
      </c>
      <c r="C2088" t="s">
        <v>62</v>
      </c>
      <c r="D2088">
        <v>99999</v>
      </c>
      <c r="F2088" s="109">
        <v>4000</v>
      </c>
      <c r="G2088" t="b">
        <v>1</v>
      </c>
      <c r="H2088" t="s">
        <v>337</v>
      </c>
      <c r="K2088" t="s">
        <v>349</v>
      </c>
      <c r="L2088" t="s">
        <v>303</v>
      </c>
      <c r="M2088" t="s">
        <v>323</v>
      </c>
      <c r="N2088" t="s">
        <v>63</v>
      </c>
      <c r="O2088" s="110">
        <v>39.9</v>
      </c>
      <c r="R2088" s="110">
        <v>229.89</v>
      </c>
      <c r="S2088" s="110">
        <v>39.9</v>
      </c>
      <c r="T2088" s="110">
        <v>0</v>
      </c>
      <c r="U2088" s="110">
        <v>42.99</v>
      </c>
      <c r="X2088">
        <v>102.1</v>
      </c>
      <c r="Y2088">
        <v>44.9</v>
      </c>
      <c r="Z2088">
        <v>44.9</v>
      </c>
      <c r="AA2088">
        <v>0</v>
      </c>
      <c r="AB2088" t="s">
        <v>324</v>
      </c>
      <c r="AF2088" t="s">
        <v>407</v>
      </c>
      <c r="AG2088" t="s">
        <v>407</v>
      </c>
      <c r="AH2088" t="s">
        <v>325</v>
      </c>
      <c r="AI2088">
        <v>99999</v>
      </c>
      <c r="AJ2088">
        <v>99999</v>
      </c>
      <c r="AK2088">
        <v>699</v>
      </c>
      <c r="AL2088" t="b">
        <v>1</v>
      </c>
      <c r="AM2088" t="b">
        <v>1</v>
      </c>
      <c r="AN2088" t="b">
        <v>1</v>
      </c>
      <c r="AO2088">
        <v>99999</v>
      </c>
      <c r="AP2088" t="s">
        <v>64</v>
      </c>
      <c r="AR2088" t="b">
        <v>0</v>
      </c>
      <c r="AS2088">
        <v>12</v>
      </c>
      <c r="AT2088" t="s">
        <v>327</v>
      </c>
      <c r="AV2088" t="s">
        <v>430</v>
      </c>
    </row>
    <row r="2089" spans="1:48" x14ac:dyDescent="0.25">
      <c r="A2089" t="s">
        <v>3323</v>
      </c>
      <c r="B2089" t="s">
        <v>302</v>
      </c>
      <c r="C2089" t="s">
        <v>62</v>
      </c>
      <c r="D2089">
        <v>99999</v>
      </c>
      <c r="F2089" s="109">
        <v>4000</v>
      </c>
      <c r="G2089" t="b">
        <v>1</v>
      </c>
      <c r="H2089" t="s">
        <v>337</v>
      </c>
      <c r="K2089" t="s">
        <v>349</v>
      </c>
      <c r="L2089" t="s">
        <v>303</v>
      </c>
      <c r="M2089" t="s">
        <v>323</v>
      </c>
      <c r="N2089" t="s">
        <v>63</v>
      </c>
      <c r="O2089">
        <v>39.9</v>
      </c>
      <c r="R2089">
        <v>244.89</v>
      </c>
      <c r="S2089">
        <v>39.9</v>
      </c>
      <c r="T2089" s="110">
        <v>0</v>
      </c>
      <c r="U2089">
        <v>42.99</v>
      </c>
      <c r="X2089">
        <v>117.1</v>
      </c>
      <c r="Y2089">
        <v>44.9</v>
      </c>
      <c r="Z2089">
        <v>44.9</v>
      </c>
      <c r="AA2089">
        <v>0</v>
      </c>
      <c r="AB2089" t="s">
        <v>324</v>
      </c>
      <c r="AF2089" t="s">
        <v>541</v>
      </c>
      <c r="AG2089" t="s">
        <v>541</v>
      </c>
      <c r="AH2089" t="s">
        <v>325</v>
      </c>
      <c r="AI2089">
        <v>99999</v>
      </c>
      <c r="AJ2089">
        <v>99999</v>
      </c>
      <c r="AK2089">
        <v>699</v>
      </c>
      <c r="AL2089" t="b">
        <v>1</v>
      </c>
      <c r="AM2089" t="b">
        <v>1</v>
      </c>
      <c r="AN2089" t="b">
        <v>1</v>
      </c>
      <c r="AO2089">
        <v>99999</v>
      </c>
      <c r="AP2089" t="s">
        <v>64</v>
      </c>
      <c r="AR2089" t="b">
        <v>0</v>
      </c>
      <c r="AS2089">
        <v>12</v>
      </c>
      <c r="AT2089" t="s">
        <v>327</v>
      </c>
      <c r="AV2089" t="s">
        <v>564</v>
      </c>
    </row>
    <row r="2090" spans="1:48" x14ac:dyDescent="0.25">
      <c r="A2090" t="s">
        <v>3323</v>
      </c>
      <c r="B2090" t="s">
        <v>302</v>
      </c>
      <c r="C2090" t="s">
        <v>62</v>
      </c>
      <c r="D2090">
        <v>99999</v>
      </c>
      <c r="F2090" s="109">
        <v>4000</v>
      </c>
      <c r="G2090" t="b">
        <v>1</v>
      </c>
      <c r="H2090" t="s">
        <v>337</v>
      </c>
      <c r="K2090" t="s">
        <v>349</v>
      </c>
      <c r="L2090" t="s">
        <v>303</v>
      </c>
      <c r="M2090" t="s">
        <v>323</v>
      </c>
      <c r="N2090" t="s">
        <v>63</v>
      </c>
      <c r="O2090">
        <v>39.9</v>
      </c>
      <c r="R2090">
        <v>259.89</v>
      </c>
      <c r="S2090">
        <v>59.9</v>
      </c>
      <c r="T2090" s="110">
        <v>0</v>
      </c>
      <c r="U2090">
        <v>42.99</v>
      </c>
      <c r="X2090">
        <v>112.1</v>
      </c>
      <c r="Y2090">
        <v>44.9</v>
      </c>
      <c r="Z2090">
        <v>44.9</v>
      </c>
      <c r="AA2090">
        <v>0</v>
      </c>
      <c r="AB2090" t="s">
        <v>324</v>
      </c>
      <c r="AF2090" t="s">
        <v>675</v>
      </c>
      <c r="AG2090" t="s">
        <v>675</v>
      </c>
      <c r="AH2090" t="s">
        <v>325</v>
      </c>
      <c r="AI2090">
        <v>99999</v>
      </c>
      <c r="AJ2090">
        <v>99999</v>
      </c>
      <c r="AK2090">
        <v>699</v>
      </c>
      <c r="AL2090" t="b">
        <v>1</v>
      </c>
      <c r="AM2090" t="b">
        <v>1</v>
      </c>
      <c r="AN2090" t="b">
        <v>1</v>
      </c>
      <c r="AO2090">
        <v>99999</v>
      </c>
      <c r="AP2090" t="s">
        <v>64</v>
      </c>
      <c r="AR2090" t="b">
        <v>0</v>
      </c>
      <c r="AS2090">
        <v>12</v>
      </c>
      <c r="AT2090" t="s">
        <v>327</v>
      </c>
      <c r="AV2090" t="s">
        <v>698</v>
      </c>
    </row>
    <row r="2091" spans="1:48" x14ac:dyDescent="0.25">
      <c r="A2091" t="s">
        <v>3323</v>
      </c>
      <c r="B2091" t="s">
        <v>302</v>
      </c>
      <c r="C2091" t="s">
        <v>62</v>
      </c>
      <c r="D2091">
        <v>99999</v>
      </c>
      <c r="F2091" s="109">
        <v>4000</v>
      </c>
      <c r="G2091" t="b">
        <v>1</v>
      </c>
      <c r="H2091" t="s">
        <v>337</v>
      </c>
      <c r="K2091" t="s">
        <v>349</v>
      </c>
      <c r="L2091" t="s">
        <v>303</v>
      </c>
      <c r="M2091" t="s">
        <v>323</v>
      </c>
      <c r="N2091" t="s">
        <v>63</v>
      </c>
      <c r="O2091" s="110">
        <v>49.9</v>
      </c>
      <c r="R2091" s="110">
        <v>305.68999999999994</v>
      </c>
      <c r="S2091" s="110">
        <v>130</v>
      </c>
      <c r="T2091" s="110">
        <v>0</v>
      </c>
      <c r="U2091" s="110">
        <v>34.99</v>
      </c>
      <c r="X2091">
        <v>95.799999999999983</v>
      </c>
      <c r="Y2091">
        <v>44.9</v>
      </c>
      <c r="Z2091">
        <v>44.9</v>
      </c>
      <c r="AA2091">
        <v>0</v>
      </c>
      <c r="AB2091" t="s">
        <v>324</v>
      </c>
      <c r="AF2091" t="s">
        <v>2185</v>
      </c>
      <c r="AG2091" t="s">
        <v>2185</v>
      </c>
      <c r="AH2091" t="s">
        <v>325</v>
      </c>
      <c r="AI2091">
        <v>99999</v>
      </c>
      <c r="AJ2091">
        <v>99999</v>
      </c>
      <c r="AK2091">
        <v>699</v>
      </c>
      <c r="AL2091" t="b">
        <v>1</v>
      </c>
      <c r="AM2091" t="b">
        <v>1</v>
      </c>
      <c r="AN2091" t="b">
        <v>1</v>
      </c>
      <c r="AO2091">
        <v>99999</v>
      </c>
      <c r="AP2091" t="s">
        <v>64</v>
      </c>
      <c r="AR2091" t="b">
        <v>0</v>
      </c>
      <c r="AS2091">
        <v>12</v>
      </c>
      <c r="AT2091" t="s">
        <v>327</v>
      </c>
      <c r="AV2091" t="s">
        <v>2208</v>
      </c>
    </row>
    <row r="2092" spans="1:48" x14ac:dyDescent="0.25">
      <c r="A2092" t="s">
        <v>3323</v>
      </c>
      <c r="B2092" t="s">
        <v>302</v>
      </c>
      <c r="C2092" t="s">
        <v>62</v>
      </c>
      <c r="D2092">
        <v>99999</v>
      </c>
      <c r="F2092" s="109">
        <v>4000</v>
      </c>
      <c r="G2092" t="b">
        <v>1</v>
      </c>
      <c r="H2092" t="s">
        <v>337</v>
      </c>
      <c r="K2092" t="s">
        <v>349</v>
      </c>
      <c r="L2092" t="s">
        <v>303</v>
      </c>
      <c r="M2092" t="s">
        <v>323</v>
      </c>
      <c r="N2092" t="s">
        <v>63</v>
      </c>
      <c r="O2092" s="110">
        <v>49.9</v>
      </c>
      <c r="R2092" s="110">
        <v>319.99</v>
      </c>
      <c r="S2092" s="110">
        <v>130</v>
      </c>
      <c r="T2092" s="110">
        <v>0</v>
      </c>
      <c r="U2092" s="110">
        <v>42.99</v>
      </c>
      <c r="X2092">
        <v>102.1</v>
      </c>
      <c r="Y2092">
        <v>44.9</v>
      </c>
      <c r="Z2092">
        <v>44.9</v>
      </c>
      <c r="AA2092">
        <v>0</v>
      </c>
      <c r="AB2092" t="s">
        <v>324</v>
      </c>
      <c r="AF2092" t="s">
        <v>2259</v>
      </c>
      <c r="AG2092" t="s">
        <v>2259</v>
      </c>
      <c r="AH2092" t="s">
        <v>325</v>
      </c>
      <c r="AI2092">
        <v>99999</v>
      </c>
      <c r="AJ2092">
        <v>99999</v>
      </c>
      <c r="AK2092">
        <v>699</v>
      </c>
      <c r="AL2092" t="b">
        <v>1</v>
      </c>
      <c r="AM2092" t="b">
        <v>1</v>
      </c>
      <c r="AN2092" t="b">
        <v>1</v>
      </c>
      <c r="AO2092">
        <v>99999</v>
      </c>
      <c r="AP2092" t="s">
        <v>64</v>
      </c>
      <c r="AR2092" t="b">
        <v>0</v>
      </c>
      <c r="AS2092">
        <v>12</v>
      </c>
      <c r="AT2092" t="s">
        <v>327</v>
      </c>
      <c r="AV2092" t="s">
        <v>2282</v>
      </c>
    </row>
    <row r="2093" spans="1:48" x14ac:dyDescent="0.25">
      <c r="A2093" t="s">
        <v>3323</v>
      </c>
      <c r="B2093" t="s">
        <v>302</v>
      </c>
      <c r="C2093" t="s">
        <v>62</v>
      </c>
      <c r="D2093">
        <v>99999</v>
      </c>
      <c r="F2093" s="109">
        <v>4000</v>
      </c>
      <c r="G2093" t="b">
        <v>1</v>
      </c>
      <c r="H2093" t="s">
        <v>337</v>
      </c>
      <c r="K2093" t="s">
        <v>349</v>
      </c>
      <c r="L2093" t="s">
        <v>303</v>
      </c>
      <c r="M2093" t="s">
        <v>323</v>
      </c>
      <c r="N2093" t="s">
        <v>63</v>
      </c>
      <c r="O2093" s="110">
        <v>49.9</v>
      </c>
      <c r="R2093" s="110">
        <v>334.99</v>
      </c>
      <c r="S2093" s="110">
        <v>130</v>
      </c>
      <c r="T2093" s="110">
        <v>0</v>
      </c>
      <c r="U2093" s="110">
        <v>42.99</v>
      </c>
      <c r="X2093">
        <v>117.1</v>
      </c>
      <c r="Y2093">
        <v>44.9</v>
      </c>
      <c r="Z2093">
        <v>44.9</v>
      </c>
      <c r="AA2093">
        <v>0</v>
      </c>
      <c r="AB2093" t="s">
        <v>324</v>
      </c>
      <c r="AF2093" t="s">
        <v>2326</v>
      </c>
      <c r="AG2093" t="s">
        <v>2326</v>
      </c>
      <c r="AH2093" t="s">
        <v>325</v>
      </c>
      <c r="AI2093">
        <v>99999</v>
      </c>
      <c r="AJ2093">
        <v>99999</v>
      </c>
      <c r="AK2093">
        <v>699</v>
      </c>
      <c r="AL2093" t="b">
        <v>1</v>
      </c>
      <c r="AM2093" t="b">
        <v>1</v>
      </c>
      <c r="AN2093" t="b">
        <v>1</v>
      </c>
      <c r="AO2093">
        <v>99999</v>
      </c>
      <c r="AP2093" t="s">
        <v>64</v>
      </c>
      <c r="AR2093" t="b">
        <v>0</v>
      </c>
      <c r="AS2093">
        <v>12</v>
      </c>
      <c r="AT2093" t="s">
        <v>327</v>
      </c>
      <c r="AV2093" t="s">
        <v>2349</v>
      </c>
    </row>
    <row r="2094" spans="1:48" x14ac:dyDescent="0.25">
      <c r="A2094" t="s">
        <v>3323</v>
      </c>
      <c r="B2094" t="s">
        <v>302</v>
      </c>
      <c r="C2094" t="s">
        <v>62</v>
      </c>
      <c r="D2094">
        <v>99999</v>
      </c>
      <c r="F2094" s="109">
        <v>4000</v>
      </c>
      <c r="G2094" t="b">
        <v>1</v>
      </c>
      <c r="H2094" t="s">
        <v>337</v>
      </c>
      <c r="K2094" t="s">
        <v>349</v>
      </c>
      <c r="L2094" t="s">
        <v>303</v>
      </c>
      <c r="M2094" t="s">
        <v>323</v>
      </c>
      <c r="N2094" t="s">
        <v>63</v>
      </c>
      <c r="O2094" s="110">
        <v>49.9</v>
      </c>
      <c r="R2094" s="110">
        <v>329.99</v>
      </c>
      <c r="S2094" s="110">
        <v>130</v>
      </c>
      <c r="T2094" s="110">
        <v>0</v>
      </c>
      <c r="U2094" s="110">
        <v>42.99</v>
      </c>
      <c r="X2094">
        <v>112.1</v>
      </c>
      <c r="Y2094">
        <v>44.9</v>
      </c>
      <c r="Z2094">
        <v>44.9</v>
      </c>
      <c r="AA2094">
        <v>0</v>
      </c>
      <c r="AB2094" t="s">
        <v>324</v>
      </c>
      <c r="AF2094" t="s">
        <v>2393</v>
      </c>
      <c r="AG2094" t="s">
        <v>2393</v>
      </c>
      <c r="AH2094" t="s">
        <v>325</v>
      </c>
      <c r="AI2094">
        <v>99999</v>
      </c>
      <c r="AJ2094">
        <v>99999</v>
      </c>
      <c r="AK2094">
        <v>699</v>
      </c>
      <c r="AL2094" t="b">
        <v>1</v>
      </c>
      <c r="AM2094" t="b">
        <v>1</v>
      </c>
      <c r="AN2094" t="b">
        <v>1</v>
      </c>
      <c r="AO2094">
        <v>99999</v>
      </c>
      <c r="AP2094" t="s">
        <v>64</v>
      </c>
      <c r="AR2094" t="b">
        <v>0</v>
      </c>
      <c r="AS2094">
        <v>12</v>
      </c>
      <c r="AT2094" t="s">
        <v>327</v>
      </c>
      <c r="AV2094" t="s">
        <v>2416</v>
      </c>
    </row>
    <row r="2095" spans="1:48" x14ac:dyDescent="0.25">
      <c r="A2095" t="s">
        <v>3323</v>
      </c>
      <c r="B2095" t="s">
        <v>302</v>
      </c>
      <c r="C2095" t="s">
        <v>62</v>
      </c>
      <c r="D2095">
        <v>99999</v>
      </c>
      <c r="F2095" s="109">
        <v>4000</v>
      </c>
      <c r="G2095" t="b">
        <v>1</v>
      </c>
      <c r="H2095" t="s">
        <v>337</v>
      </c>
      <c r="K2095" t="s">
        <v>393</v>
      </c>
      <c r="L2095" t="s">
        <v>303</v>
      </c>
      <c r="M2095" t="s">
        <v>323</v>
      </c>
      <c r="N2095" t="s">
        <v>63</v>
      </c>
      <c r="O2095">
        <v>29.9</v>
      </c>
      <c r="R2095">
        <v>254.89000000000001</v>
      </c>
      <c r="S2095">
        <v>39.9</v>
      </c>
      <c r="T2095" s="110">
        <v>0</v>
      </c>
      <c r="U2095">
        <v>42.99</v>
      </c>
      <c r="X2095">
        <v>102.1</v>
      </c>
      <c r="Y2095">
        <v>69.900000000000006</v>
      </c>
      <c r="Z2095">
        <v>69.900000000000006</v>
      </c>
      <c r="AA2095">
        <v>0</v>
      </c>
      <c r="AB2095" t="s">
        <v>363</v>
      </c>
      <c r="AF2095" t="s">
        <v>365</v>
      </c>
      <c r="AG2095" t="s">
        <v>365</v>
      </c>
      <c r="AH2095" t="s">
        <v>325</v>
      </c>
      <c r="AI2095">
        <v>99999</v>
      </c>
      <c r="AJ2095">
        <v>99999</v>
      </c>
      <c r="AK2095">
        <v>699</v>
      </c>
      <c r="AL2095" t="b">
        <v>1</v>
      </c>
      <c r="AM2095" t="b">
        <v>1</v>
      </c>
      <c r="AN2095" t="b">
        <v>1</v>
      </c>
      <c r="AO2095">
        <v>99999</v>
      </c>
      <c r="AP2095" t="s">
        <v>64</v>
      </c>
      <c r="AR2095" t="b">
        <v>0</v>
      </c>
      <c r="AS2095">
        <v>12</v>
      </c>
      <c r="AT2095" t="s">
        <v>327</v>
      </c>
      <c r="AV2095" t="s">
        <v>403</v>
      </c>
    </row>
    <row r="2096" spans="1:48" x14ac:dyDescent="0.25">
      <c r="A2096" t="s">
        <v>3323</v>
      </c>
      <c r="B2096" t="s">
        <v>302</v>
      </c>
      <c r="C2096" t="s">
        <v>62</v>
      </c>
      <c r="D2096">
        <v>99999</v>
      </c>
      <c r="F2096" s="109">
        <v>4000</v>
      </c>
      <c r="G2096" t="b">
        <v>1</v>
      </c>
      <c r="H2096" t="s">
        <v>337</v>
      </c>
      <c r="K2096" t="s">
        <v>393</v>
      </c>
      <c r="L2096" t="s">
        <v>303</v>
      </c>
      <c r="M2096" t="s">
        <v>323</v>
      </c>
      <c r="N2096" t="s">
        <v>63</v>
      </c>
      <c r="O2096">
        <v>29.9</v>
      </c>
      <c r="R2096">
        <v>269.89</v>
      </c>
      <c r="S2096">
        <v>39.9</v>
      </c>
      <c r="T2096" s="110">
        <v>0</v>
      </c>
      <c r="U2096">
        <v>42.99</v>
      </c>
      <c r="X2096">
        <v>117.1</v>
      </c>
      <c r="Y2096">
        <v>69.900000000000006</v>
      </c>
      <c r="Z2096">
        <v>69.900000000000006</v>
      </c>
      <c r="AA2096">
        <v>0</v>
      </c>
      <c r="AB2096" t="s">
        <v>363</v>
      </c>
      <c r="AF2096" t="s">
        <v>501</v>
      </c>
      <c r="AG2096" t="s">
        <v>501</v>
      </c>
      <c r="AH2096" t="s">
        <v>325</v>
      </c>
      <c r="AI2096">
        <v>99999</v>
      </c>
      <c r="AJ2096">
        <v>99999</v>
      </c>
      <c r="AK2096">
        <v>699</v>
      </c>
      <c r="AL2096" t="b">
        <v>1</v>
      </c>
      <c r="AM2096" t="b">
        <v>1</v>
      </c>
      <c r="AN2096" t="b">
        <v>1</v>
      </c>
      <c r="AO2096">
        <v>99999</v>
      </c>
      <c r="AP2096" t="s">
        <v>64</v>
      </c>
      <c r="AR2096" t="b">
        <v>0</v>
      </c>
      <c r="AS2096">
        <v>12</v>
      </c>
      <c r="AT2096" t="s">
        <v>327</v>
      </c>
      <c r="AV2096" t="s">
        <v>537</v>
      </c>
    </row>
    <row r="2097" spans="1:48" x14ac:dyDescent="0.25">
      <c r="A2097" t="s">
        <v>3323</v>
      </c>
      <c r="B2097" t="s">
        <v>302</v>
      </c>
      <c r="C2097" t="s">
        <v>62</v>
      </c>
      <c r="D2097">
        <v>99999</v>
      </c>
      <c r="F2097" s="109">
        <v>4000</v>
      </c>
      <c r="G2097" t="b">
        <v>1</v>
      </c>
      <c r="H2097" t="s">
        <v>337</v>
      </c>
      <c r="K2097" t="s">
        <v>393</v>
      </c>
      <c r="L2097" t="s">
        <v>303</v>
      </c>
      <c r="M2097" t="s">
        <v>323</v>
      </c>
      <c r="N2097" t="s">
        <v>63</v>
      </c>
      <c r="O2097">
        <v>29.9</v>
      </c>
      <c r="R2097">
        <v>284.89</v>
      </c>
      <c r="S2097">
        <v>59.9</v>
      </c>
      <c r="T2097" s="110">
        <v>0</v>
      </c>
      <c r="U2097">
        <v>42.99</v>
      </c>
      <c r="X2097">
        <v>112.1</v>
      </c>
      <c r="Y2097">
        <v>69.900000000000006</v>
      </c>
      <c r="Z2097">
        <v>69.900000000000006</v>
      </c>
      <c r="AA2097">
        <v>0</v>
      </c>
      <c r="AB2097" t="s">
        <v>363</v>
      </c>
      <c r="AF2097" t="s">
        <v>635</v>
      </c>
      <c r="AG2097" t="s">
        <v>635</v>
      </c>
      <c r="AH2097" t="s">
        <v>325</v>
      </c>
      <c r="AI2097">
        <v>99999</v>
      </c>
      <c r="AJ2097">
        <v>99999</v>
      </c>
      <c r="AK2097">
        <v>699</v>
      </c>
      <c r="AL2097" t="b">
        <v>1</v>
      </c>
      <c r="AM2097" t="b">
        <v>1</v>
      </c>
      <c r="AN2097" t="b">
        <v>1</v>
      </c>
      <c r="AO2097">
        <v>99999</v>
      </c>
      <c r="AP2097" t="s">
        <v>64</v>
      </c>
      <c r="AR2097" t="b">
        <v>0</v>
      </c>
      <c r="AS2097">
        <v>12</v>
      </c>
      <c r="AT2097" t="s">
        <v>327</v>
      </c>
      <c r="AV2097" t="s">
        <v>671</v>
      </c>
    </row>
    <row r="2098" spans="1:48" x14ac:dyDescent="0.25">
      <c r="A2098" t="s">
        <v>3323</v>
      </c>
      <c r="B2098" t="s">
        <v>302</v>
      </c>
      <c r="C2098" t="s">
        <v>62</v>
      </c>
      <c r="D2098">
        <v>99999</v>
      </c>
      <c r="F2098" s="109">
        <v>4000</v>
      </c>
      <c r="G2098" t="b">
        <v>1</v>
      </c>
      <c r="H2098" t="s">
        <v>337</v>
      </c>
      <c r="K2098" t="s">
        <v>393</v>
      </c>
      <c r="L2098" t="s">
        <v>303</v>
      </c>
      <c r="M2098" t="s">
        <v>323</v>
      </c>
      <c r="N2098" t="s">
        <v>63</v>
      </c>
      <c r="O2098">
        <v>39.9</v>
      </c>
      <c r="R2098">
        <v>254.89000000000001</v>
      </c>
      <c r="S2098">
        <v>39.9</v>
      </c>
      <c r="T2098" s="110">
        <v>0</v>
      </c>
      <c r="U2098">
        <v>42.99</v>
      </c>
      <c r="X2098">
        <v>102.1</v>
      </c>
      <c r="Y2098">
        <v>69.900000000000006</v>
      </c>
      <c r="Z2098">
        <v>69.900000000000006</v>
      </c>
      <c r="AA2098">
        <v>0</v>
      </c>
      <c r="AB2098" t="s">
        <v>363</v>
      </c>
      <c r="AF2098" t="s">
        <v>434</v>
      </c>
      <c r="AG2098" t="s">
        <v>434</v>
      </c>
      <c r="AH2098" t="s">
        <v>325</v>
      </c>
      <c r="AI2098">
        <v>99999</v>
      </c>
      <c r="AJ2098">
        <v>99999</v>
      </c>
      <c r="AK2098">
        <v>699</v>
      </c>
      <c r="AL2098" t="b">
        <v>1</v>
      </c>
      <c r="AM2098" t="b">
        <v>1</v>
      </c>
      <c r="AN2098" t="b">
        <v>1</v>
      </c>
      <c r="AO2098">
        <v>99999</v>
      </c>
      <c r="AP2098" t="s">
        <v>64</v>
      </c>
      <c r="AR2098" t="b">
        <v>0</v>
      </c>
      <c r="AS2098">
        <v>12</v>
      </c>
      <c r="AT2098" t="s">
        <v>327</v>
      </c>
      <c r="AV2098" t="s">
        <v>470</v>
      </c>
    </row>
    <row r="2099" spans="1:48" x14ac:dyDescent="0.25">
      <c r="A2099" t="s">
        <v>3323</v>
      </c>
      <c r="B2099" t="s">
        <v>302</v>
      </c>
      <c r="C2099" t="s">
        <v>62</v>
      </c>
      <c r="D2099">
        <v>99999</v>
      </c>
      <c r="F2099" s="109">
        <v>4000</v>
      </c>
      <c r="G2099" t="b">
        <v>1</v>
      </c>
      <c r="H2099" t="s">
        <v>337</v>
      </c>
      <c r="K2099" t="s">
        <v>393</v>
      </c>
      <c r="L2099" t="s">
        <v>303</v>
      </c>
      <c r="M2099" t="s">
        <v>323</v>
      </c>
      <c r="N2099" t="s">
        <v>63</v>
      </c>
      <c r="O2099">
        <v>39.9</v>
      </c>
      <c r="R2099">
        <v>269.89</v>
      </c>
      <c r="S2099">
        <v>39.9</v>
      </c>
      <c r="T2099" s="110">
        <v>0</v>
      </c>
      <c r="U2099">
        <v>42.99</v>
      </c>
      <c r="X2099">
        <v>117.1</v>
      </c>
      <c r="Y2099">
        <v>69.900000000000006</v>
      </c>
      <c r="Z2099">
        <v>69.900000000000006</v>
      </c>
      <c r="AA2099">
        <v>0</v>
      </c>
      <c r="AB2099" t="s">
        <v>363</v>
      </c>
      <c r="AF2099" t="s">
        <v>568</v>
      </c>
      <c r="AG2099" t="s">
        <v>568</v>
      </c>
      <c r="AH2099" t="s">
        <v>325</v>
      </c>
      <c r="AI2099">
        <v>99999</v>
      </c>
      <c r="AJ2099">
        <v>99999</v>
      </c>
      <c r="AK2099">
        <v>699</v>
      </c>
      <c r="AL2099" t="b">
        <v>1</v>
      </c>
      <c r="AM2099" t="b">
        <v>1</v>
      </c>
      <c r="AN2099" t="b">
        <v>1</v>
      </c>
      <c r="AO2099">
        <v>99999</v>
      </c>
      <c r="AP2099" t="s">
        <v>64</v>
      </c>
      <c r="AR2099" t="b">
        <v>0</v>
      </c>
      <c r="AS2099">
        <v>12</v>
      </c>
      <c r="AT2099" t="s">
        <v>327</v>
      </c>
      <c r="AV2099" t="s">
        <v>604</v>
      </c>
    </row>
    <row r="2100" spans="1:48" x14ac:dyDescent="0.25">
      <c r="A2100" t="s">
        <v>3323</v>
      </c>
      <c r="B2100" t="s">
        <v>302</v>
      </c>
      <c r="C2100" t="s">
        <v>62</v>
      </c>
      <c r="D2100">
        <v>99999</v>
      </c>
      <c r="F2100" s="109">
        <v>4000</v>
      </c>
      <c r="G2100" t="b">
        <v>1</v>
      </c>
      <c r="H2100" t="s">
        <v>337</v>
      </c>
      <c r="K2100" t="s">
        <v>393</v>
      </c>
      <c r="L2100" t="s">
        <v>303</v>
      </c>
      <c r="M2100" t="s">
        <v>323</v>
      </c>
      <c r="N2100" t="s">
        <v>63</v>
      </c>
      <c r="O2100">
        <v>39.9</v>
      </c>
      <c r="R2100">
        <v>284.89</v>
      </c>
      <c r="S2100">
        <v>59.9</v>
      </c>
      <c r="T2100" s="110">
        <v>0</v>
      </c>
      <c r="U2100">
        <v>42.99</v>
      </c>
      <c r="X2100">
        <v>112.1</v>
      </c>
      <c r="Y2100">
        <v>69.900000000000006</v>
      </c>
      <c r="Z2100">
        <v>69.900000000000006</v>
      </c>
      <c r="AA2100">
        <v>0</v>
      </c>
      <c r="AB2100" t="s">
        <v>363</v>
      </c>
      <c r="AF2100" t="s">
        <v>702</v>
      </c>
      <c r="AG2100" t="s">
        <v>702</v>
      </c>
      <c r="AH2100" t="s">
        <v>325</v>
      </c>
      <c r="AI2100">
        <v>99999</v>
      </c>
      <c r="AJ2100">
        <v>99999</v>
      </c>
      <c r="AK2100">
        <v>699</v>
      </c>
      <c r="AL2100" t="b">
        <v>1</v>
      </c>
      <c r="AM2100" t="b">
        <v>1</v>
      </c>
      <c r="AN2100" t="b">
        <v>1</v>
      </c>
      <c r="AO2100">
        <v>99999</v>
      </c>
      <c r="AP2100" t="s">
        <v>64</v>
      </c>
      <c r="AR2100" t="b">
        <v>0</v>
      </c>
      <c r="AS2100">
        <v>12</v>
      </c>
      <c r="AT2100" t="s">
        <v>327</v>
      </c>
      <c r="AV2100" t="s">
        <v>738</v>
      </c>
    </row>
    <row r="2101" spans="1:48" x14ac:dyDescent="0.25">
      <c r="A2101" t="s">
        <v>3323</v>
      </c>
      <c r="B2101" t="s">
        <v>302</v>
      </c>
      <c r="C2101" t="s">
        <v>62</v>
      </c>
      <c r="D2101">
        <v>99999</v>
      </c>
      <c r="F2101" s="109">
        <v>4000</v>
      </c>
      <c r="G2101" t="b">
        <v>1</v>
      </c>
      <c r="H2101" t="s">
        <v>337</v>
      </c>
      <c r="K2101" t="s">
        <v>393</v>
      </c>
      <c r="L2101" t="s">
        <v>303</v>
      </c>
      <c r="M2101" t="s">
        <v>323</v>
      </c>
      <c r="N2101" t="s">
        <v>63</v>
      </c>
      <c r="O2101" s="110">
        <v>49.9</v>
      </c>
      <c r="R2101" s="110">
        <v>330.69</v>
      </c>
      <c r="S2101" s="110">
        <v>130</v>
      </c>
      <c r="T2101" s="110">
        <v>0</v>
      </c>
      <c r="U2101" s="110">
        <v>34.99</v>
      </c>
      <c r="X2101">
        <v>95.799999999999983</v>
      </c>
      <c r="Y2101">
        <v>69.900000000000006</v>
      </c>
      <c r="Z2101">
        <v>69.900000000000006</v>
      </c>
      <c r="AA2101">
        <v>0</v>
      </c>
      <c r="AB2101" t="s">
        <v>363</v>
      </c>
      <c r="AF2101" t="s">
        <v>2212</v>
      </c>
      <c r="AG2101" t="s">
        <v>2212</v>
      </c>
      <c r="AH2101" t="s">
        <v>325</v>
      </c>
      <c r="AI2101">
        <v>99999</v>
      </c>
      <c r="AJ2101">
        <v>99999</v>
      </c>
      <c r="AK2101">
        <v>699</v>
      </c>
      <c r="AL2101" t="b">
        <v>1</v>
      </c>
      <c r="AM2101" t="b">
        <v>1</v>
      </c>
      <c r="AN2101" t="b">
        <v>1</v>
      </c>
      <c r="AO2101">
        <v>99999</v>
      </c>
      <c r="AP2101" t="s">
        <v>64</v>
      </c>
      <c r="AR2101" t="b">
        <v>0</v>
      </c>
      <c r="AS2101">
        <v>12</v>
      </c>
      <c r="AT2101" t="s">
        <v>327</v>
      </c>
      <c r="AV2101" t="s">
        <v>2248</v>
      </c>
    </row>
    <row r="2102" spans="1:48" x14ac:dyDescent="0.25">
      <c r="A2102" t="s">
        <v>3323</v>
      </c>
      <c r="B2102" t="s">
        <v>302</v>
      </c>
      <c r="C2102" t="s">
        <v>62</v>
      </c>
      <c r="D2102">
        <v>99999</v>
      </c>
      <c r="F2102" s="109">
        <v>4000</v>
      </c>
      <c r="G2102" t="b">
        <v>1</v>
      </c>
      <c r="H2102" t="s">
        <v>337</v>
      </c>
      <c r="K2102" t="s">
        <v>393</v>
      </c>
      <c r="L2102" t="s">
        <v>303</v>
      </c>
      <c r="M2102" t="s">
        <v>323</v>
      </c>
      <c r="N2102" t="s">
        <v>63</v>
      </c>
      <c r="O2102" s="110">
        <v>49.9</v>
      </c>
      <c r="R2102" s="110">
        <v>344.99</v>
      </c>
      <c r="S2102" s="110">
        <v>130</v>
      </c>
      <c r="T2102" s="110">
        <v>0</v>
      </c>
      <c r="U2102" s="110">
        <v>42.99</v>
      </c>
      <c r="X2102">
        <v>102.1</v>
      </c>
      <c r="Y2102">
        <v>69.900000000000006</v>
      </c>
      <c r="Z2102">
        <v>69.900000000000006</v>
      </c>
      <c r="AA2102">
        <v>0</v>
      </c>
      <c r="AB2102" t="s">
        <v>363</v>
      </c>
      <c r="AF2102" t="s">
        <v>2286</v>
      </c>
      <c r="AG2102" t="s">
        <v>2286</v>
      </c>
      <c r="AH2102" t="s">
        <v>325</v>
      </c>
      <c r="AI2102">
        <v>99999</v>
      </c>
      <c r="AJ2102">
        <v>99999</v>
      </c>
      <c r="AK2102">
        <v>699</v>
      </c>
      <c r="AL2102" t="b">
        <v>1</v>
      </c>
      <c r="AM2102" t="b">
        <v>1</v>
      </c>
      <c r="AN2102" t="b">
        <v>1</v>
      </c>
      <c r="AO2102">
        <v>99999</v>
      </c>
      <c r="AP2102" t="s">
        <v>64</v>
      </c>
      <c r="AR2102" t="b">
        <v>0</v>
      </c>
      <c r="AS2102">
        <v>12</v>
      </c>
      <c r="AT2102" t="s">
        <v>327</v>
      </c>
      <c r="AV2102" t="s">
        <v>2322</v>
      </c>
    </row>
    <row r="2103" spans="1:48" x14ac:dyDescent="0.25">
      <c r="A2103" t="s">
        <v>3323</v>
      </c>
      <c r="B2103" t="s">
        <v>302</v>
      </c>
      <c r="C2103" t="s">
        <v>62</v>
      </c>
      <c r="D2103">
        <v>99999</v>
      </c>
      <c r="F2103" s="109">
        <v>4000</v>
      </c>
      <c r="G2103" t="b">
        <v>1</v>
      </c>
      <c r="H2103" t="s">
        <v>337</v>
      </c>
      <c r="K2103" t="s">
        <v>393</v>
      </c>
      <c r="L2103" t="s">
        <v>303</v>
      </c>
      <c r="M2103" t="s">
        <v>323</v>
      </c>
      <c r="N2103" t="s">
        <v>63</v>
      </c>
      <c r="O2103" s="110">
        <v>49.9</v>
      </c>
      <c r="R2103" s="110">
        <v>359.99</v>
      </c>
      <c r="S2103" s="110">
        <v>130</v>
      </c>
      <c r="T2103" s="110">
        <v>0</v>
      </c>
      <c r="U2103" s="110">
        <v>42.99</v>
      </c>
      <c r="X2103">
        <v>117.1</v>
      </c>
      <c r="Y2103">
        <v>69.900000000000006</v>
      </c>
      <c r="Z2103">
        <v>69.900000000000006</v>
      </c>
      <c r="AA2103">
        <v>0</v>
      </c>
      <c r="AB2103" t="s">
        <v>363</v>
      </c>
      <c r="AF2103" t="s">
        <v>2353</v>
      </c>
      <c r="AG2103" t="s">
        <v>2353</v>
      </c>
      <c r="AH2103" t="s">
        <v>325</v>
      </c>
      <c r="AI2103">
        <v>99999</v>
      </c>
      <c r="AJ2103">
        <v>99999</v>
      </c>
      <c r="AK2103">
        <v>699</v>
      </c>
      <c r="AL2103" t="b">
        <v>1</v>
      </c>
      <c r="AM2103" t="b">
        <v>1</v>
      </c>
      <c r="AN2103" t="b">
        <v>1</v>
      </c>
      <c r="AO2103">
        <v>99999</v>
      </c>
      <c r="AP2103" t="s">
        <v>64</v>
      </c>
      <c r="AR2103" t="b">
        <v>0</v>
      </c>
      <c r="AS2103">
        <v>12</v>
      </c>
      <c r="AT2103" t="s">
        <v>327</v>
      </c>
      <c r="AV2103" t="s">
        <v>2389</v>
      </c>
    </row>
    <row r="2104" spans="1:48" x14ac:dyDescent="0.25">
      <c r="A2104" t="s">
        <v>3323</v>
      </c>
      <c r="B2104" t="s">
        <v>302</v>
      </c>
      <c r="C2104" t="s">
        <v>62</v>
      </c>
      <c r="D2104">
        <v>99999</v>
      </c>
      <c r="F2104" s="109">
        <v>4000</v>
      </c>
      <c r="G2104" t="b">
        <v>1</v>
      </c>
      <c r="H2104" t="s">
        <v>337</v>
      </c>
      <c r="K2104" t="s">
        <v>393</v>
      </c>
      <c r="L2104" t="s">
        <v>303</v>
      </c>
      <c r="M2104" t="s">
        <v>323</v>
      </c>
      <c r="N2104" t="s">
        <v>63</v>
      </c>
      <c r="O2104" s="110">
        <v>49.9</v>
      </c>
      <c r="R2104" s="110">
        <v>354.99</v>
      </c>
      <c r="S2104" s="110">
        <v>130</v>
      </c>
      <c r="T2104" s="110">
        <v>0</v>
      </c>
      <c r="U2104" s="110">
        <v>42.99</v>
      </c>
      <c r="X2104">
        <v>112.1</v>
      </c>
      <c r="Y2104">
        <v>69.900000000000006</v>
      </c>
      <c r="Z2104">
        <v>69.900000000000006</v>
      </c>
      <c r="AA2104">
        <v>0</v>
      </c>
      <c r="AB2104" t="s">
        <v>363</v>
      </c>
      <c r="AF2104" t="s">
        <v>2420</v>
      </c>
      <c r="AG2104" t="s">
        <v>2420</v>
      </c>
      <c r="AH2104" t="s">
        <v>325</v>
      </c>
      <c r="AI2104">
        <v>99999</v>
      </c>
      <c r="AJ2104">
        <v>99999</v>
      </c>
      <c r="AK2104">
        <v>699</v>
      </c>
      <c r="AL2104" t="b">
        <v>1</v>
      </c>
      <c r="AM2104" t="b">
        <v>1</v>
      </c>
      <c r="AN2104" t="b">
        <v>1</v>
      </c>
      <c r="AO2104">
        <v>99999</v>
      </c>
      <c r="AP2104" t="s">
        <v>64</v>
      </c>
      <c r="AR2104" t="b">
        <v>0</v>
      </c>
      <c r="AS2104">
        <v>12</v>
      </c>
      <c r="AT2104" t="s">
        <v>327</v>
      </c>
      <c r="AV2104" t="s">
        <v>2456</v>
      </c>
    </row>
    <row r="2105" spans="1:48" x14ac:dyDescent="0.25">
      <c r="A2105" t="s">
        <v>3323</v>
      </c>
      <c r="B2105" t="s">
        <v>302</v>
      </c>
      <c r="C2105" t="s">
        <v>62</v>
      </c>
      <c r="D2105">
        <v>99999</v>
      </c>
      <c r="F2105" s="109">
        <v>4000</v>
      </c>
      <c r="G2105" t="b">
        <v>1</v>
      </c>
      <c r="H2105" t="s">
        <v>337</v>
      </c>
      <c r="K2105" t="s">
        <v>364</v>
      </c>
      <c r="L2105" t="s">
        <v>303</v>
      </c>
      <c r="M2105" t="s">
        <v>323</v>
      </c>
      <c r="N2105" t="s">
        <v>63</v>
      </c>
      <c r="O2105">
        <v>29.9</v>
      </c>
      <c r="R2105">
        <v>234.89</v>
      </c>
      <c r="S2105">
        <v>39.9</v>
      </c>
      <c r="T2105" s="110">
        <v>0</v>
      </c>
      <c r="U2105">
        <v>42.99</v>
      </c>
      <c r="X2105">
        <v>102.1</v>
      </c>
      <c r="Y2105">
        <v>49.9</v>
      </c>
      <c r="Z2105">
        <v>49.9</v>
      </c>
      <c r="AA2105">
        <v>0</v>
      </c>
      <c r="AB2105" t="s">
        <v>363</v>
      </c>
      <c r="AF2105" t="s">
        <v>365</v>
      </c>
      <c r="AG2105" t="s">
        <v>365</v>
      </c>
      <c r="AH2105" t="s">
        <v>325</v>
      </c>
      <c r="AI2105">
        <v>99999</v>
      </c>
      <c r="AJ2105">
        <v>99999</v>
      </c>
      <c r="AK2105">
        <v>699</v>
      </c>
      <c r="AL2105" t="b">
        <v>1</v>
      </c>
      <c r="AM2105" t="b">
        <v>1</v>
      </c>
      <c r="AN2105" t="b">
        <v>1</v>
      </c>
      <c r="AO2105">
        <v>99999</v>
      </c>
      <c r="AP2105" t="s">
        <v>64</v>
      </c>
      <c r="AR2105" t="b">
        <v>0</v>
      </c>
      <c r="AS2105">
        <v>12</v>
      </c>
      <c r="AT2105" t="s">
        <v>327</v>
      </c>
      <c r="AV2105" t="s">
        <v>375</v>
      </c>
    </row>
    <row r="2106" spans="1:48" x14ac:dyDescent="0.25">
      <c r="A2106" t="s">
        <v>3323</v>
      </c>
      <c r="B2106" t="s">
        <v>302</v>
      </c>
      <c r="C2106" t="s">
        <v>62</v>
      </c>
      <c r="D2106">
        <v>99999</v>
      </c>
      <c r="F2106" s="109">
        <v>4000</v>
      </c>
      <c r="G2106" t="b">
        <v>1</v>
      </c>
      <c r="H2106" t="s">
        <v>337</v>
      </c>
      <c r="K2106" t="s">
        <v>364</v>
      </c>
      <c r="L2106" t="s">
        <v>303</v>
      </c>
      <c r="M2106" t="s">
        <v>323</v>
      </c>
      <c r="N2106" t="s">
        <v>63</v>
      </c>
      <c r="O2106" s="110">
        <v>29.9</v>
      </c>
      <c r="R2106" s="110">
        <v>249.89</v>
      </c>
      <c r="S2106" s="110">
        <v>39.9</v>
      </c>
      <c r="T2106" s="110">
        <v>0</v>
      </c>
      <c r="U2106" s="110">
        <v>42.99</v>
      </c>
      <c r="X2106">
        <v>117.1</v>
      </c>
      <c r="Y2106">
        <v>49.9</v>
      </c>
      <c r="Z2106">
        <v>49.9</v>
      </c>
      <c r="AA2106">
        <v>0</v>
      </c>
      <c r="AB2106" t="s">
        <v>363</v>
      </c>
      <c r="AF2106" t="s">
        <v>501</v>
      </c>
      <c r="AG2106" t="s">
        <v>501</v>
      </c>
      <c r="AH2106" t="s">
        <v>325</v>
      </c>
      <c r="AI2106">
        <v>99999</v>
      </c>
      <c r="AJ2106">
        <v>99999</v>
      </c>
      <c r="AK2106">
        <v>699</v>
      </c>
      <c r="AL2106" t="b">
        <v>1</v>
      </c>
      <c r="AM2106" t="b">
        <v>1</v>
      </c>
      <c r="AN2106" t="b">
        <v>1</v>
      </c>
      <c r="AO2106">
        <v>99999</v>
      </c>
      <c r="AP2106" t="s">
        <v>64</v>
      </c>
      <c r="AR2106" t="b">
        <v>0</v>
      </c>
      <c r="AS2106">
        <v>12</v>
      </c>
      <c r="AT2106" t="s">
        <v>327</v>
      </c>
      <c r="AV2106" t="s">
        <v>511</v>
      </c>
    </row>
    <row r="2107" spans="1:48" x14ac:dyDescent="0.25">
      <c r="A2107" t="s">
        <v>3323</v>
      </c>
      <c r="B2107" t="s">
        <v>302</v>
      </c>
      <c r="C2107" t="s">
        <v>62</v>
      </c>
      <c r="D2107">
        <v>99999</v>
      </c>
      <c r="F2107" s="109">
        <v>4000</v>
      </c>
      <c r="G2107" t="b">
        <v>1</v>
      </c>
      <c r="H2107" t="s">
        <v>337</v>
      </c>
      <c r="K2107" t="s">
        <v>364</v>
      </c>
      <c r="L2107" t="s">
        <v>303</v>
      </c>
      <c r="M2107" t="s">
        <v>323</v>
      </c>
      <c r="N2107" t="s">
        <v>63</v>
      </c>
      <c r="O2107">
        <v>29.9</v>
      </c>
      <c r="R2107">
        <v>264.89</v>
      </c>
      <c r="S2107">
        <v>59.9</v>
      </c>
      <c r="T2107" s="110">
        <v>0</v>
      </c>
      <c r="U2107">
        <v>42.99</v>
      </c>
      <c r="X2107">
        <v>112.1</v>
      </c>
      <c r="Y2107">
        <v>49.9</v>
      </c>
      <c r="Z2107">
        <v>49.9</v>
      </c>
      <c r="AA2107">
        <v>0</v>
      </c>
      <c r="AB2107" t="s">
        <v>363</v>
      </c>
      <c r="AF2107" t="s">
        <v>635</v>
      </c>
      <c r="AG2107" t="s">
        <v>635</v>
      </c>
      <c r="AH2107" t="s">
        <v>325</v>
      </c>
      <c r="AI2107">
        <v>99999</v>
      </c>
      <c r="AJ2107">
        <v>99999</v>
      </c>
      <c r="AK2107">
        <v>699</v>
      </c>
      <c r="AL2107" t="b">
        <v>1</v>
      </c>
      <c r="AM2107" t="b">
        <v>1</v>
      </c>
      <c r="AN2107" t="b">
        <v>1</v>
      </c>
      <c r="AO2107">
        <v>99999</v>
      </c>
      <c r="AP2107" t="s">
        <v>64</v>
      </c>
      <c r="AR2107" t="b">
        <v>0</v>
      </c>
      <c r="AS2107">
        <v>12</v>
      </c>
      <c r="AT2107" t="s">
        <v>327</v>
      </c>
      <c r="AV2107" t="s">
        <v>645</v>
      </c>
    </row>
    <row r="2108" spans="1:48" x14ac:dyDescent="0.25">
      <c r="A2108" t="s">
        <v>3323</v>
      </c>
      <c r="B2108" t="s">
        <v>302</v>
      </c>
      <c r="C2108" t="s">
        <v>62</v>
      </c>
      <c r="D2108">
        <v>99999</v>
      </c>
      <c r="F2108" s="109">
        <v>4000</v>
      </c>
      <c r="G2108" t="b">
        <v>1</v>
      </c>
      <c r="H2108" t="s">
        <v>337</v>
      </c>
      <c r="K2108" t="s">
        <v>364</v>
      </c>
      <c r="L2108" t="s">
        <v>303</v>
      </c>
      <c r="M2108" t="s">
        <v>323</v>
      </c>
      <c r="N2108" t="s">
        <v>63</v>
      </c>
      <c r="O2108" s="110">
        <v>39.9</v>
      </c>
      <c r="R2108" s="110">
        <v>234.89</v>
      </c>
      <c r="S2108" s="110">
        <v>39.9</v>
      </c>
      <c r="T2108" s="110">
        <v>0</v>
      </c>
      <c r="U2108" s="110">
        <v>42.99</v>
      </c>
      <c r="X2108">
        <v>102.1</v>
      </c>
      <c r="Y2108">
        <v>49.9</v>
      </c>
      <c r="Z2108">
        <v>49.9</v>
      </c>
      <c r="AA2108">
        <v>0</v>
      </c>
      <c r="AB2108" t="s">
        <v>363</v>
      </c>
      <c r="AF2108" t="s">
        <v>434</v>
      </c>
      <c r="AG2108" t="s">
        <v>434</v>
      </c>
      <c r="AH2108" t="s">
        <v>325</v>
      </c>
      <c r="AI2108">
        <v>99999</v>
      </c>
      <c r="AJ2108">
        <v>99999</v>
      </c>
      <c r="AK2108">
        <v>699</v>
      </c>
      <c r="AL2108" t="b">
        <v>1</v>
      </c>
      <c r="AM2108" t="b">
        <v>1</v>
      </c>
      <c r="AN2108" t="b">
        <v>1</v>
      </c>
      <c r="AO2108">
        <v>99999</v>
      </c>
      <c r="AP2108" t="s">
        <v>64</v>
      </c>
      <c r="AR2108" t="b">
        <v>0</v>
      </c>
      <c r="AS2108">
        <v>12</v>
      </c>
      <c r="AT2108" t="s">
        <v>327</v>
      </c>
      <c r="AV2108" t="s">
        <v>444</v>
      </c>
    </row>
    <row r="2109" spans="1:48" x14ac:dyDescent="0.25">
      <c r="A2109" t="s">
        <v>3323</v>
      </c>
      <c r="B2109" t="s">
        <v>302</v>
      </c>
      <c r="C2109" t="s">
        <v>62</v>
      </c>
      <c r="D2109">
        <v>99999</v>
      </c>
      <c r="F2109" s="109">
        <v>4000</v>
      </c>
      <c r="G2109" t="b">
        <v>1</v>
      </c>
      <c r="H2109" t="s">
        <v>337</v>
      </c>
      <c r="K2109" t="s">
        <v>364</v>
      </c>
      <c r="L2109" t="s">
        <v>303</v>
      </c>
      <c r="M2109" t="s">
        <v>323</v>
      </c>
      <c r="N2109" t="s">
        <v>63</v>
      </c>
      <c r="O2109">
        <v>39.9</v>
      </c>
      <c r="R2109">
        <v>249.89</v>
      </c>
      <c r="S2109">
        <v>39.9</v>
      </c>
      <c r="T2109" s="110">
        <v>0</v>
      </c>
      <c r="U2109">
        <v>42.99</v>
      </c>
      <c r="X2109">
        <v>117.1</v>
      </c>
      <c r="Y2109">
        <v>49.9</v>
      </c>
      <c r="Z2109">
        <v>49.9</v>
      </c>
      <c r="AA2109">
        <v>0</v>
      </c>
      <c r="AB2109" t="s">
        <v>363</v>
      </c>
      <c r="AF2109" t="s">
        <v>568</v>
      </c>
      <c r="AG2109" t="s">
        <v>568</v>
      </c>
      <c r="AH2109" t="s">
        <v>325</v>
      </c>
      <c r="AI2109">
        <v>99999</v>
      </c>
      <c r="AJ2109">
        <v>99999</v>
      </c>
      <c r="AK2109">
        <v>699</v>
      </c>
      <c r="AL2109" t="b">
        <v>1</v>
      </c>
      <c r="AM2109" t="b">
        <v>1</v>
      </c>
      <c r="AN2109" t="b">
        <v>1</v>
      </c>
      <c r="AO2109">
        <v>99999</v>
      </c>
      <c r="AP2109" t="s">
        <v>64</v>
      </c>
      <c r="AR2109" t="b">
        <v>0</v>
      </c>
      <c r="AS2109">
        <v>12</v>
      </c>
      <c r="AT2109" t="s">
        <v>327</v>
      </c>
      <c r="AV2109" t="s">
        <v>578</v>
      </c>
    </row>
    <row r="2110" spans="1:48" x14ac:dyDescent="0.25">
      <c r="A2110" t="s">
        <v>3323</v>
      </c>
      <c r="B2110" t="s">
        <v>302</v>
      </c>
      <c r="C2110" t="s">
        <v>62</v>
      </c>
      <c r="D2110">
        <v>99999</v>
      </c>
      <c r="F2110" s="109">
        <v>4000</v>
      </c>
      <c r="G2110" t="b">
        <v>1</v>
      </c>
      <c r="H2110" t="s">
        <v>337</v>
      </c>
      <c r="K2110" t="s">
        <v>364</v>
      </c>
      <c r="L2110" t="s">
        <v>303</v>
      </c>
      <c r="M2110" t="s">
        <v>323</v>
      </c>
      <c r="N2110" t="s">
        <v>63</v>
      </c>
      <c r="O2110">
        <v>39.9</v>
      </c>
      <c r="R2110">
        <v>264.89</v>
      </c>
      <c r="S2110">
        <v>59.9</v>
      </c>
      <c r="T2110" s="110">
        <v>0</v>
      </c>
      <c r="U2110">
        <v>42.99</v>
      </c>
      <c r="X2110">
        <v>112.1</v>
      </c>
      <c r="Y2110">
        <v>49.9</v>
      </c>
      <c r="Z2110">
        <v>49.9</v>
      </c>
      <c r="AA2110">
        <v>0</v>
      </c>
      <c r="AB2110" t="s">
        <v>363</v>
      </c>
      <c r="AF2110" t="s">
        <v>702</v>
      </c>
      <c r="AG2110" t="s">
        <v>702</v>
      </c>
      <c r="AH2110" t="s">
        <v>325</v>
      </c>
      <c r="AI2110">
        <v>99999</v>
      </c>
      <c r="AJ2110">
        <v>99999</v>
      </c>
      <c r="AK2110">
        <v>699</v>
      </c>
      <c r="AL2110" t="b">
        <v>1</v>
      </c>
      <c r="AM2110" t="b">
        <v>1</v>
      </c>
      <c r="AN2110" t="b">
        <v>1</v>
      </c>
      <c r="AO2110">
        <v>99999</v>
      </c>
      <c r="AP2110" t="s">
        <v>64</v>
      </c>
      <c r="AR2110" t="b">
        <v>0</v>
      </c>
      <c r="AS2110">
        <v>12</v>
      </c>
      <c r="AT2110" t="s">
        <v>327</v>
      </c>
      <c r="AV2110" t="s">
        <v>712</v>
      </c>
    </row>
    <row r="2111" spans="1:48" x14ac:dyDescent="0.25">
      <c r="A2111" t="s">
        <v>3323</v>
      </c>
      <c r="B2111" t="s">
        <v>302</v>
      </c>
      <c r="C2111" t="s">
        <v>62</v>
      </c>
      <c r="D2111">
        <v>99999</v>
      </c>
      <c r="F2111" s="109">
        <v>4000</v>
      </c>
      <c r="G2111" t="b">
        <v>1</v>
      </c>
      <c r="H2111" t="s">
        <v>337</v>
      </c>
      <c r="K2111" t="s">
        <v>364</v>
      </c>
      <c r="L2111" t="s">
        <v>303</v>
      </c>
      <c r="M2111" t="s">
        <v>323</v>
      </c>
      <c r="N2111" t="s">
        <v>63</v>
      </c>
      <c r="O2111" s="110">
        <v>49.9</v>
      </c>
      <c r="R2111" s="110">
        <v>310.68999999999994</v>
      </c>
      <c r="S2111" s="110">
        <v>130</v>
      </c>
      <c r="T2111" s="110">
        <v>0</v>
      </c>
      <c r="U2111" s="110">
        <v>34.99</v>
      </c>
      <c r="X2111">
        <v>95.799999999999983</v>
      </c>
      <c r="Y2111">
        <v>49.9</v>
      </c>
      <c r="Z2111">
        <v>49.9</v>
      </c>
      <c r="AA2111">
        <v>0</v>
      </c>
      <c r="AB2111" t="s">
        <v>363</v>
      </c>
      <c r="AF2111" t="s">
        <v>2212</v>
      </c>
      <c r="AG2111" t="s">
        <v>2212</v>
      </c>
      <c r="AH2111" t="s">
        <v>325</v>
      </c>
      <c r="AI2111">
        <v>99999</v>
      </c>
      <c r="AJ2111">
        <v>99999</v>
      </c>
      <c r="AK2111">
        <v>699</v>
      </c>
      <c r="AL2111" t="b">
        <v>1</v>
      </c>
      <c r="AM2111" t="b">
        <v>1</v>
      </c>
      <c r="AN2111" t="b">
        <v>1</v>
      </c>
      <c r="AO2111">
        <v>99999</v>
      </c>
      <c r="AP2111" t="s">
        <v>64</v>
      </c>
      <c r="AR2111" t="b">
        <v>0</v>
      </c>
      <c r="AS2111">
        <v>12</v>
      </c>
      <c r="AT2111" t="s">
        <v>327</v>
      </c>
      <c r="AV2111" t="s">
        <v>2222</v>
      </c>
    </row>
    <row r="2112" spans="1:48" x14ac:dyDescent="0.25">
      <c r="A2112" t="s">
        <v>3323</v>
      </c>
      <c r="B2112" t="s">
        <v>302</v>
      </c>
      <c r="C2112" t="s">
        <v>62</v>
      </c>
      <c r="D2112">
        <v>99999</v>
      </c>
      <c r="F2112" s="109">
        <v>4000</v>
      </c>
      <c r="G2112" t="b">
        <v>1</v>
      </c>
      <c r="H2112" t="s">
        <v>337</v>
      </c>
      <c r="K2112" t="s">
        <v>364</v>
      </c>
      <c r="L2112" t="s">
        <v>303</v>
      </c>
      <c r="M2112" t="s">
        <v>323</v>
      </c>
      <c r="N2112" t="s">
        <v>63</v>
      </c>
      <c r="O2112" s="110">
        <v>49.9</v>
      </c>
      <c r="R2112" s="110">
        <v>324.99</v>
      </c>
      <c r="S2112" s="110">
        <v>130</v>
      </c>
      <c r="T2112" s="110">
        <v>0</v>
      </c>
      <c r="U2112" s="110">
        <v>42.99</v>
      </c>
      <c r="X2112">
        <v>102.1</v>
      </c>
      <c r="Y2112">
        <v>49.9</v>
      </c>
      <c r="Z2112">
        <v>49.9</v>
      </c>
      <c r="AA2112">
        <v>0</v>
      </c>
      <c r="AB2112" t="s">
        <v>363</v>
      </c>
      <c r="AF2112" t="s">
        <v>2286</v>
      </c>
      <c r="AG2112" t="s">
        <v>2286</v>
      </c>
      <c r="AH2112" t="s">
        <v>325</v>
      </c>
      <c r="AI2112">
        <v>99999</v>
      </c>
      <c r="AJ2112">
        <v>99999</v>
      </c>
      <c r="AK2112">
        <v>699</v>
      </c>
      <c r="AL2112" t="b">
        <v>1</v>
      </c>
      <c r="AM2112" t="b">
        <v>1</v>
      </c>
      <c r="AN2112" t="b">
        <v>1</v>
      </c>
      <c r="AO2112">
        <v>99999</v>
      </c>
      <c r="AP2112" t="s">
        <v>64</v>
      </c>
      <c r="AR2112" t="b">
        <v>0</v>
      </c>
      <c r="AS2112">
        <v>12</v>
      </c>
      <c r="AT2112" t="s">
        <v>327</v>
      </c>
      <c r="AV2112" t="s">
        <v>2296</v>
      </c>
    </row>
    <row r="2113" spans="1:48" x14ac:dyDescent="0.25">
      <c r="A2113" t="s">
        <v>3323</v>
      </c>
      <c r="B2113" t="s">
        <v>302</v>
      </c>
      <c r="C2113" t="s">
        <v>62</v>
      </c>
      <c r="D2113">
        <v>99999</v>
      </c>
      <c r="F2113" s="109">
        <v>4000</v>
      </c>
      <c r="G2113" t="b">
        <v>1</v>
      </c>
      <c r="H2113" t="s">
        <v>337</v>
      </c>
      <c r="K2113" t="s">
        <v>364</v>
      </c>
      <c r="L2113" t="s">
        <v>303</v>
      </c>
      <c r="M2113" t="s">
        <v>323</v>
      </c>
      <c r="N2113" t="s">
        <v>63</v>
      </c>
      <c r="O2113" s="110">
        <v>49.9</v>
      </c>
      <c r="R2113" s="110">
        <v>339.99</v>
      </c>
      <c r="S2113" s="110">
        <v>130</v>
      </c>
      <c r="T2113" s="110">
        <v>0</v>
      </c>
      <c r="U2113" s="110">
        <v>42.99</v>
      </c>
      <c r="X2113">
        <v>117.1</v>
      </c>
      <c r="Y2113">
        <v>49.9</v>
      </c>
      <c r="Z2113">
        <v>49.9</v>
      </c>
      <c r="AA2113">
        <v>0</v>
      </c>
      <c r="AB2113" t="s">
        <v>363</v>
      </c>
      <c r="AF2113" t="s">
        <v>2353</v>
      </c>
      <c r="AG2113" t="s">
        <v>2353</v>
      </c>
      <c r="AH2113" t="s">
        <v>325</v>
      </c>
      <c r="AI2113">
        <v>99999</v>
      </c>
      <c r="AJ2113">
        <v>99999</v>
      </c>
      <c r="AK2113">
        <v>699</v>
      </c>
      <c r="AL2113" t="b">
        <v>1</v>
      </c>
      <c r="AM2113" t="b">
        <v>1</v>
      </c>
      <c r="AN2113" t="b">
        <v>1</v>
      </c>
      <c r="AO2113">
        <v>99999</v>
      </c>
      <c r="AP2113" t="s">
        <v>64</v>
      </c>
      <c r="AR2113" t="b">
        <v>0</v>
      </c>
      <c r="AS2113">
        <v>12</v>
      </c>
      <c r="AT2113" t="s">
        <v>327</v>
      </c>
      <c r="AV2113" t="s">
        <v>2363</v>
      </c>
    </row>
    <row r="2114" spans="1:48" x14ac:dyDescent="0.25">
      <c r="A2114" t="s">
        <v>3323</v>
      </c>
      <c r="B2114" t="s">
        <v>302</v>
      </c>
      <c r="C2114" t="s">
        <v>62</v>
      </c>
      <c r="D2114">
        <v>99999</v>
      </c>
      <c r="F2114" s="109">
        <v>4000</v>
      </c>
      <c r="G2114" t="b">
        <v>1</v>
      </c>
      <c r="H2114" t="s">
        <v>337</v>
      </c>
      <c r="K2114" t="s">
        <v>364</v>
      </c>
      <c r="L2114" t="s">
        <v>303</v>
      </c>
      <c r="M2114" t="s">
        <v>323</v>
      </c>
      <c r="N2114" t="s">
        <v>63</v>
      </c>
      <c r="O2114" s="110">
        <v>49.9</v>
      </c>
      <c r="R2114" s="110">
        <v>334.99</v>
      </c>
      <c r="S2114" s="110">
        <v>130</v>
      </c>
      <c r="T2114" s="110">
        <v>0</v>
      </c>
      <c r="U2114" s="110">
        <v>42.99</v>
      </c>
      <c r="X2114">
        <v>112.1</v>
      </c>
      <c r="Y2114">
        <v>49.9</v>
      </c>
      <c r="Z2114">
        <v>49.9</v>
      </c>
      <c r="AA2114">
        <v>0</v>
      </c>
      <c r="AB2114" t="s">
        <v>363</v>
      </c>
      <c r="AF2114" t="s">
        <v>2420</v>
      </c>
      <c r="AG2114" t="s">
        <v>2420</v>
      </c>
      <c r="AH2114" t="s">
        <v>325</v>
      </c>
      <c r="AI2114">
        <v>99999</v>
      </c>
      <c r="AJ2114">
        <v>99999</v>
      </c>
      <c r="AK2114">
        <v>699</v>
      </c>
      <c r="AL2114" t="b">
        <v>1</v>
      </c>
      <c r="AM2114" t="b">
        <v>1</v>
      </c>
      <c r="AN2114" t="b">
        <v>1</v>
      </c>
      <c r="AO2114">
        <v>99999</v>
      </c>
      <c r="AP2114" t="s">
        <v>64</v>
      </c>
      <c r="AR2114" t="b">
        <v>0</v>
      </c>
      <c r="AS2114">
        <v>12</v>
      </c>
      <c r="AT2114" t="s">
        <v>327</v>
      </c>
      <c r="AV2114" t="s">
        <v>2430</v>
      </c>
    </row>
    <row r="2115" spans="1:48" x14ac:dyDescent="0.25">
      <c r="A2115" t="s">
        <v>3323</v>
      </c>
      <c r="B2115" t="s">
        <v>302</v>
      </c>
      <c r="C2115" t="s">
        <v>62</v>
      </c>
      <c r="D2115">
        <v>99999</v>
      </c>
      <c r="F2115" s="109">
        <v>4000</v>
      </c>
      <c r="G2115" t="b">
        <v>1</v>
      </c>
      <c r="H2115" t="s">
        <v>337</v>
      </c>
      <c r="K2115" t="s">
        <v>379</v>
      </c>
      <c r="L2115" t="s">
        <v>303</v>
      </c>
      <c r="M2115" t="s">
        <v>323</v>
      </c>
      <c r="N2115" t="s">
        <v>63</v>
      </c>
      <c r="O2115">
        <v>29.9</v>
      </c>
      <c r="R2115">
        <v>244.89</v>
      </c>
      <c r="S2115">
        <v>39.9</v>
      </c>
      <c r="T2115" s="110">
        <v>0</v>
      </c>
      <c r="U2115">
        <v>42.99</v>
      </c>
      <c r="X2115">
        <v>102.1</v>
      </c>
      <c r="Y2115">
        <v>59.9</v>
      </c>
      <c r="Z2115">
        <v>59.9</v>
      </c>
      <c r="AA2115">
        <v>0</v>
      </c>
      <c r="AB2115" t="s">
        <v>363</v>
      </c>
      <c r="AF2115" t="s">
        <v>365</v>
      </c>
      <c r="AG2115" t="s">
        <v>365</v>
      </c>
      <c r="AH2115" t="s">
        <v>325</v>
      </c>
      <c r="AI2115">
        <v>99999</v>
      </c>
      <c r="AJ2115">
        <v>99999</v>
      </c>
      <c r="AK2115">
        <v>699</v>
      </c>
      <c r="AL2115" t="b">
        <v>1</v>
      </c>
      <c r="AM2115" t="b">
        <v>1</v>
      </c>
      <c r="AN2115" t="b">
        <v>1</v>
      </c>
      <c r="AO2115">
        <v>99999</v>
      </c>
      <c r="AP2115" t="s">
        <v>64</v>
      </c>
      <c r="AR2115" t="b">
        <v>0</v>
      </c>
      <c r="AS2115">
        <v>12</v>
      </c>
      <c r="AT2115" t="s">
        <v>327</v>
      </c>
      <c r="AV2115" t="s">
        <v>389</v>
      </c>
    </row>
    <row r="2116" spans="1:48" x14ac:dyDescent="0.25">
      <c r="A2116" t="s">
        <v>3323</v>
      </c>
      <c r="B2116" t="s">
        <v>302</v>
      </c>
      <c r="C2116" t="s">
        <v>62</v>
      </c>
      <c r="D2116">
        <v>99999</v>
      </c>
      <c r="F2116" s="109">
        <v>4000</v>
      </c>
      <c r="G2116" t="b">
        <v>1</v>
      </c>
      <c r="H2116" t="s">
        <v>337</v>
      </c>
      <c r="K2116" t="s">
        <v>379</v>
      </c>
      <c r="L2116" t="s">
        <v>303</v>
      </c>
      <c r="M2116" t="s">
        <v>323</v>
      </c>
      <c r="N2116" t="s">
        <v>63</v>
      </c>
      <c r="O2116">
        <v>29.9</v>
      </c>
      <c r="R2116">
        <v>259.89</v>
      </c>
      <c r="S2116">
        <v>39.9</v>
      </c>
      <c r="T2116" s="110">
        <v>0</v>
      </c>
      <c r="U2116">
        <v>42.99</v>
      </c>
      <c r="X2116">
        <v>117.1</v>
      </c>
      <c r="Y2116">
        <v>59.9</v>
      </c>
      <c r="Z2116">
        <v>59.9</v>
      </c>
      <c r="AA2116">
        <v>0</v>
      </c>
      <c r="AB2116" t="s">
        <v>363</v>
      </c>
      <c r="AF2116" t="s">
        <v>501</v>
      </c>
      <c r="AG2116" t="s">
        <v>501</v>
      </c>
      <c r="AH2116" t="s">
        <v>325</v>
      </c>
      <c r="AI2116">
        <v>99999</v>
      </c>
      <c r="AJ2116">
        <v>99999</v>
      </c>
      <c r="AK2116">
        <v>699</v>
      </c>
      <c r="AL2116" t="b">
        <v>1</v>
      </c>
      <c r="AM2116" t="b">
        <v>1</v>
      </c>
      <c r="AN2116" t="b">
        <v>1</v>
      </c>
      <c r="AO2116">
        <v>99999</v>
      </c>
      <c r="AP2116" t="s">
        <v>64</v>
      </c>
      <c r="AR2116" t="b">
        <v>0</v>
      </c>
      <c r="AS2116">
        <v>12</v>
      </c>
      <c r="AT2116" t="s">
        <v>327</v>
      </c>
      <c r="AV2116" t="s">
        <v>524</v>
      </c>
    </row>
    <row r="2117" spans="1:48" x14ac:dyDescent="0.25">
      <c r="A2117" t="s">
        <v>3323</v>
      </c>
      <c r="B2117" t="s">
        <v>302</v>
      </c>
      <c r="C2117" t="s">
        <v>62</v>
      </c>
      <c r="D2117">
        <v>99999</v>
      </c>
      <c r="F2117" s="109">
        <v>4000</v>
      </c>
      <c r="G2117" t="b">
        <v>1</v>
      </c>
      <c r="H2117" t="s">
        <v>337</v>
      </c>
      <c r="K2117" t="s">
        <v>379</v>
      </c>
      <c r="L2117" t="s">
        <v>303</v>
      </c>
      <c r="M2117" t="s">
        <v>323</v>
      </c>
      <c r="N2117" t="s">
        <v>63</v>
      </c>
      <c r="O2117">
        <v>29.9</v>
      </c>
      <c r="R2117">
        <v>274.89</v>
      </c>
      <c r="S2117">
        <v>59.9</v>
      </c>
      <c r="T2117" s="110">
        <v>0</v>
      </c>
      <c r="U2117">
        <v>42.99</v>
      </c>
      <c r="X2117">
        <v>112.1</v>
      </c>
      <c r="Y2117">
        <v>59.9</v>
      </c>
      <c r="Z2117">
        <v>59.9</v>
      </c>
      <c r="AA2117">
        <v>0</v>
      </c>
      <c r="AB2117" t="s">
        <v>363</v>
      </c>
      <c r="AF2117" t="s">
        <v>635</v>
      </c>
      <c r="AG2117" t="s">
        <v>635</v>
      </c>
      <c r="AH2117" t="s">
        <v>325</v>
      </c>
      <c r="AI2117">
        <v>99999</v>
      </c>
      <c r="AJ2117">
        <v>99999</v>
      </c>
      <c r="AK2117">
        <v>699</v>
      </c>
      <c r="AL2117" t="b">
        <v>1</v>
      </c>
      <c r="AM2117" t="b">
        <v>1</v>
      </c>
      <c r="AN2117" t="b">
        <v>1</v>
      </c>
      <c r="AO2117">
        <v>99999</v>
      </c>
      <c r="AP2117" t="s">
        <v>64</v>
      </c>
      <c r="AR2117" t="b">
        <v>0</v>
      </c>
      <c r="AS2117">
        <v>12</v>
      </c>
      <c r="AT2117" t="s">
        <v>327</v>
      </c>
      <c r="AV2117" t="s">
        <v>658</v>
      </c>
    </row>
    <row r="2118" spans="1:48" x14ac:dyDescent="0.25">
      <c r="A2118" t="s">
        <v>3323</v>
      </c>
      <c r="B2118" t="s">
        <v>302</v>
      </c>
      <c r="C2118" t="s">
        <v>62</v>
      </c>
      <c r="D2118">
        <v>99999</v>
      </c>
      <c r="F2118" s="109">
        <v>4000</v>
      </c>
      <c r="G2118" t="b">
        <v>1</v>
      </c>
      <c r="H2118" t="s">
        <v>337</v>
      </c>
      <c r="K2118" t="s">
        <v>379</v>
      </c>
      <c r="L2118" t="s">
        <v>303</v>
      </c>
      <c r="M2118" t="s">
        <v>323</v>
      </c>
      <c r="N2118" t="s">
        <v>63</v>
      </c>
      <c r="O2118" s="110">
        <v>39.9</v>
      </c>
      <c r="R2118" s="110">
        <v>244.89</v>
      </c>
      <c r="S2118" s="110">
        <v>39.9</v>
      </c>
      <c r="T2118" s="110">
        <v>0</v>
      </c>
      <c r="U2118" s="110">
        <v>42.99</v>
      </c>
      <c r="X2118">
        <v>102.1</v>
      </c>
      <c r="Y2118">
        <v>59.9</v>
      </c>
      <c r="Z2118">
        <v>59.9</v>
      </c>
      <c r="AA2118">
        <v>0</v>
      </c>
      <c r="AB2118" t="s">
        <v>363</v>
      </c>
      <c r="AF2118" t="s">
        <v>434</v>
      </c>
      <c r="AG2118" t="s">
        <v>434</v>
      </c>
      <c r="AH2118" t="s">
        <v>325</v>
      </c>
      <c r="AI2118">
        <v>99999</v>
      </c>
      <c r="AJ2118">
        <v>99999</v>
      </c>
      <c r="AK2118">
        <v>699</v>
      </c>
      <c r="AL2118" t="b">
        <v>1</v>
      </c>
      <c r="AM2118" t="b">
        <v>1</v>
      </c>
      <c r="AN2118" t="b">
        <v>1</v>
      </c>
      <c r="AO2118">
        <v>99999</v>
      </c>
      <c r="AP2118" t="s">
        <v>64</v>
      </c>
      <c r="AR2118" t="b">
        <v>0</v>
      </c>
      <c r="AS2118">
        <v>12</v>
      </c>
      <c r="AT2118" t="s">
        <v>327</v>
      </c>
      <c r="AV2118" t="s">
        <v>457</v>
      </c>
    </row>
    <row r="2119" spans="1:48" x14ac:dyDescent="0.25">
      <c r="A2119" t="s">
        <v>3323</v>
      </c>
      <c r="B2119" t="s">
        <v>302</v>
      </c>
      <c r="C2119" t="s">
        <v>62</v>
      </c>
      <c r="D2119">
        <v>99999</v>
      </c>
      <c r="F2119" s="109">
        <v>4000</v>
      </c>
      <c r="G2119" t="b">
        <v>1</v>
      </c>
      <c r="H2119" t="s">
        <v>337</v>
      </c>
      <c r="K2119" t="s">
        <v>379</v>
      </c>
      <c r="L2119" t="s">
        <v>303</v>
      </c>
      <c r="M2119" t="s">
        <v>323</v>
      </c>
      <c r="N2119" t="s">
        <v>63</v>
      </c>
      <c r="O2119">
        <v>39.9</v>
      </c>
      <c r="R2119">
        <v>259.89</v>
      </c>
      <c r="S2119">
        <v>39.9</v>
      </c>
      <c r="T2119" s="110">
        <v>0</v>
      </c>
      <c r="U2119">
        <v>42.99</v>
      </c>
      <c r="X2119">
        <v>117.1</v>
      </c>
      <c r="Y2119">
        <v>59.9</v>
      </c>
      <c r="Z2119">
        <v>59.9</v>
      </c>
      <c r="AA2119">
        <v>0</v>
      </c>
      <c r="AB2119" t="s">
        <v>363</v>
      </c>
      <c r="AF2119" t="s">
        <v>568</v>
      </c>
      <c r="AG2119" t="s">
        <v>568</v>
      </c>
      <c r="AH2119" t="s">
        <v>325</v>
      </c>
      <c r="AI2119">
        <v>99999</v>
      </c>
      <c r="AJ2119">
        <v>99999</v>
      </c>
      <c r="AK2119">
        <v>699</v>
      </c>
      <c r="AL2119" t="b">
        <v>1</v>
      </c>
      <c r="AM2119" t="b">
        <v>1</v>
      </c>
      <c r="AN2119" t="b">
        <v>1</v>
      </c>
      <c r="AO2119">
        <v>99999</v>
      </c>
      <c r="AP2119" t="s">
        <v>64</v>
      </c>
      <c r="AR2119" t="b">
        <v>0</v>
      </c>
      <c r="AS2119">
        <v>12</v>
      </c>
      <c r="AT2119" t="s">
        <v>327</v>
      </c>
      <c r="AV2119" t="s">
        <v>591</v>
      </c>
    </row>
    <row r="2120" spans="1:48" x14ac:dyDescent="0.25">
      <c r="A2120" t="s">
        <v>3323</v>
      </c>
      <c r="B2120" t="s">
        <v>302</v>
      </c>
      <c r="C2120" t="s">
        <v>62</v>
      </c>
      <c r="D2120">
        <v>99999</v>
      </c>
      <c r="F2120" s="109">
        <v>4000</v>
      </c>
      <c r="G2120" t="b">
        <v>1</v>
      </c>
      <c r="H2120" t="s">
        <v>337</v>
      </c>
      <c r="K2120" t="s">
        <v>379</v>
      </c>
      <c r="L2120" t="s">
        <v>303</v>
      </c>
      <c r="M2120" t="s">
        <v>323</v>
      </c>
      <c r="N2120" t="s">
        <v>63</v>
      </c>
      <c r="O2120">
        <v>39.9</v>
      </c>
      <c r="R2120">
        <v>274.89</v>
      </c>
      <c r="S2120">
        <v>59.9</v>
      </c>
      <c r="T2120" s="110">
        <v>0</v>
      </c>
      <c r="U2120">
        <v>42.99</v>
      </c>
      <c r="X2120">
        <v>112.1</v>
      </c>
      <c r="Y2120">
        <v>59.9</v>
      </c>
      <c r="Z2120">
        <v>59.9</v>
      </c>
      <c r="AA2120">
        <v>0</v>
      </c>
      <c r="AB2120" t="s">
        <v>363</v>
      </c>
      <c r="AF2120" t="s">
        <v>702</v>
      </c>
      <c r="AG2120" t="s">
        <v>702</v>
      </c>
      <c r="AH2120" t="s">
        <v>325</v>
      </c>
      <c r="AI2120">
        <v>99999</v>
      </c>
      <c r="AJ2120">
        <v>99999</v>
      </c>
      <c r="AK2120">
        <v>699</v>
      </c>
      <c r="AL2120" t="b">
        <v>1</v>
      </c>
      <c r="AM2120" t="b">
        <v>1</v>
      </c>
      <c r="AN2120" t="b">
        <v>1</v>
      </c>
      <c r="AO2120">
        <v>99999</v>
      </c>
      <c r="AP2120" t="s">
        <v>64</v>
      </c>
      <c r="AR2120" t="b">
        <v>0</v>
      </c>
      <c r="AS2120">
        <v>12</v>
      </c>
      <c r="AT2120" t="s">
        <v>327</v>
      </c>
      <c r="AV2120" t="s">
        <v>725</v>
      </c>
    </row>
    <row r="2121" spans="1:48" x14ac:dyDescent="0.25">
      <c r="A2121" t="s">
        <v>3323</v>
      </c>
      <c r="B2121" t="s">
        <v>302</v>
      </c>
      <c r="C2121" t="s">
        <v>62</v>
      </c>
      <c r="D2121">
        <v>99999</v>
      </c>
      <c r="F2121" s="109">
        <v>4000</v>
      </c>
      <c r="G2121" t="b">
        <v>1</v>
      </c>
      <c r="H2121" t="s">
        <v>337</v>
      </c>
      <c r="K2121" t="s">
        <v>379</v>
      </c>
      <c r="L2121" t="s">
        <v>303</v>
      </c>
      <c r="M2121" t="s">
        <v>323</v>
      </c>
      <c r="N2121" t="s">
        <v>63</v>
      </c>
      <c r="O2121" s="110">
        <v>49.9</v>
      </c>
      <c r="R2121" s="110">
        <v>320.68999999999994</v>
      </c>
      <c r="S2121" s="110">
        <v>130</v>
      </c>
      <c r="T2121" s="110">
        <v>0</v>
      </c>
      <c r="U2121" s="110">
        <v>34.99</v>
      </c>
      <c r="X2121">
        <v>95.799999999999983</v>
      </c>
      <c r="Y2121">
        <v>59.9</v>
      </c>
      <c r="Z2121">
        <v>59.9</v>
      </c>
      <c r="AA2121">
        <v>0</v>
      </c>
      <c r="AB2121" t="s">
        <v>363</v>
      </c>
      <c r="AF2121" t="s">
        <v>2212</v>
      </c>
      <c r="AG2121" t="s">
        <v>2212</v>
      </c>
      <c r="AH2121" t="s">
        <v>325</v>
      </c>
      <c r="AI2121">
        <v>99999</v>
      </c>
      <c r="AJ2121">
        <v>99999</v>
      </c>
      <c r="AK2121">
        <v>699</v>
      </c>
      <c r="AL2121" t="b">
        <v>1</v>
      </c>
      <c r="AM2121" t="b">
        <v>1</v>
      </c>
      <c r="AN2121" t="b">
        <v>1</v>
      </c>
      <c r="AO2121">
        <v>99999</v>
      </c>
      <c r="AP2121" t="s">
        <v>64</v>
      </c>
      <c r="AR2121" t="b">
        <v>0</v>
      </c>
      <c r="AS2121">
        <v>12</v>
      </c>
      <c r="AT2121" t="s">
        <v>327</v>
      </c>
      <c r="AV2121" t="s">
        <v>2235</v>
      </c>
    </row>
    <row r="2122" spans="1:48" x14ac:dyDescent="0.25">
      <c r="A2122" t="s">
        <v>3323</v>
      </c>
      <c r="B2122" t="s">
        <v>302</v>
      </c>
      <c r="C2122" t="s">
        <v>62</v>
      </c>
      <c r="D2122">
        <v>99999</v>
      </c>
      <c r="F2122" s="109">
        <v>4000</v>
      </c>
      <c r="G2122" t="b">
        <v>1</v>
      </c>
      <c r="H2122" t="s">
        <v>337</v>
      </c>
      <c r="K2122" t="s">
        <v>379</v>
      </c>
      <c r="L2122" t="s">
        <v>303</v>
      </c>
      <c r="M2122" t="s">
        <v>323</v>
      </c>
      <c r="N2122" t="s">
        <v>63</v>
      </c>
      <c r="O2122" s="110">
        <v>49.9</v>
      </c>
      <c r="R2122" s="110">
        <v>334.99</v>
      </c>
      <c r="S2122" s="110">
        <v>130</v>
      </c>
      <c r="T2122" s="110">
        <v>0</v>
      </c>
      <c r="U2122" s="110">
        <v>42.99</v>
      </c>
      <c r="X2122">
        <v>102.1</v>
      </c>
      <c r="Y2122">
        <v>59.9</v>
      </c>
      <c r="Z2122">
        <v>59.9</v>
      </c>
      <c r="AA2122">
        <v>0</v>
      </c>
      <c r="AB2122" t="s">
        <v>363</v>
      </c>
      <c r="AF2122" t="s">
        <v>2286</v>
      </c>
      <c r="AG2122" t="s">
        <v>2286</v>
      </c>
      <c r="AH2122" t="s">
        <v>325</v>
      </c>
      <c r="AI2122">
        <v>99999</v>
      </c>
      <c r="AJ2122">
        <v>99999</v>
      </c>
      <c r="AK2122">
        <v>699</v>
      </c>
      <c r="AL2122" t="b">
        <v>1</v>
      </c>
      <c r="AM2122" t="b">
        <v>1</v>
      </c>
      <c r="AN2122" t="b">
        <v>1</v>
      </c>
      <c r="AO2122">
        <v>99999</v>
      </c>
      <c r="AP2122" t="s">
        <v>64</v>
      </c>
      <c r="AR2122" t="b">
        <v>0</v>
      </c>
      <c r="AS2122">
        <v>12</v>
      </c>
      <c r="AT2122" t="s">
        <v>327</v>
      </c>
      <c r="AV2122" t="s">
        <v>2309</v>
      </c>
    </row>
    <row r="2123" spans="1:48" x14ac:dyDescent="0.25">
      <c r="A2123" t="s">
        <v>3323</v>
      </c>
      <c r="B2123" t="s">
        <v>302</v>
      </c>
      <c r="C2123" t="s">
        <v>62</v>
      </c>
      <c r="D2123">
        <v>99999</v>
      </c>
      <c r="F2123" s="109">
        <v>4000</v>
      </c>
      <c r="G2123" t="b">
        <v>1</v>
      </c>
      <c r="H2123" t="s">
        <v>337</v>
      </c>
      <c r="K2123" t="s">
        <v>379</v>
      </c>
      <c r="L2123" t="s">
        <v>303</v>
      </c>
      <c r="M2123" t="s">
        <v>323</v>
      </c>
      <c r="N2123" t="s">
        <v>63</v>
      </c>
      <c r="O2123" s="110">
        <v>49.9</v>
      </c>
      <c r="R2123" s="110">
        <v>349.99</v>
      </c>
      <c r="S2123" s="110">
        <v>130</v>
      </c>
      <c r="T2123" s="110">
        <v>0</v>
      </c>
      <c r="U2123" s="110">
        <v>42.99</v>
      </c>
      <c r="X2123">
        <v>117.1</v>
      </c>
      <c r="Y2123">
        <v>59.9</v>
      </c>
      <c r="Z2123">
        <v>59.9</v>
      </c>
      <c r="AA2123">
        <v>0</v>
      </c>
      <c r="AB2123" t="s">
        <v>363</v>
      </c>
      <c r="AF2123" t="s">
        <v>2353</v>
      </c>
      <c r="AG2123" t="s">
        <v>2353</v>
      </c>
      <c r="AH2123" t="s">
        <v>325</v>
      </c>
      <c r="AI2123">
        <v>99999</v>
      </c>
      <c r="AJ2123">
        <v>99999</v>
      </c>
      <c r="AK2123">
        <v>699</v>
      </c>
      <c r="AL2123" t="b">
        <v>1</v>
      </c>
      <c r="AM2123" t="b">
        <v>1</v>
      </c>
      <c r="AN2123" t="b">
        <v>1</v>
      </c>
      <c r="AO2123">
        <v>99999</v>
      </c>
      <c r="AP2123" t="s">
        <v>64</v>
      </c>
      <c r="AR2123" t="b">
        <v>0</v>
      </c>
      <c r="AS2123">
        <v>12</v>
      </c>
      <c r="AT2123" t="s">
        <v>327</v>
      </c>
      <c r="AV2123" t="s">
        <v>2376</v>
      </c>
    </row>
    <row r="2124" spans="1:48" x14ac:dyDescent="0.25">
      <c r="A2124" t="s">
        <v>3323</v>
      </c>
      <c r="B2124" t="s">
        <v>302</v>
      </c>
      <c r="C2124" t="s">
        <v>62</v>
      </c>
      <c r="D2124">
        <v>99999</v>
      </c>
      <c r="F2124" s="109">
        <v>4000</v>
      </c>
      <c r="G2124" t="b">
        <v>1</v>
      </c>
      <c r="H2124" t="s">
        <v>337</v>
      </c>
      <c r="K2124" t="s">
        <v>379</v>
      </c>
      <c r="L2124" t="s">
        <v>303</v>
      </c>
      <c r="M2124" t="s">
        <v>323</v>
      </c>
      <c r="N2124" t="s">
        <v>63</v>
      </c>
      <c r="O2124" s="110">
        <v>49.9</v>
      </c>
      <c r="R2124" s="110">
        <v>344.99</v>
      </c>
      <c r="S2124" s="110">
        <v>130</v>
      </c>
      <c r="T2124" s="110">
        <v>0</v>
      </c>
      <c r="U2124" s="110">
        <v>42.99</v>
      </c>
      <c r="X2124">
        <v>112.1</v>
      </c>
      <c r="Y2124">
        <v>59.9</v>
      </c>
      <c r="Z2124">
        <v>59.9</v>
      </c>
      <c r="AA2124">
        <v>0</v>
      </c>
      <c r="AB2124" t="s">
        <v>363</v>
      </c>
      <c r="AF2124" t="s">
        <v>2420</v>
      </c>
      <c r="AG2124" t="s">
        <v>2420</v>
      </c>
      <c r="AH2124" t="s">
        <v>325</v>
      </c>
      <c r="AI2124">
        <v>99999</v>
      </c>
      <c r="AJ2124">
        <v>99999</v>
      </c>
      <c r="AK2124">
        <v>699</v>
      </c>
      <c r="AL2124" t="b">
        <v>1</v>
      </c>
      <c r="AM2124" t="b">
        <v>1</v>
      </c>
      <c r="AN2124" t="b">
        <v>1</v>
      </c>
      <c r="AO2124">
        <v>99999</v>
      </c>
      <c r="AP2124" t="s">
        <v>64</v>
      </c>
      <c r="AR2124" t="b">
        <v>0</v>
      </c>
      <c r="AS2124">
        <v>12</v>
      </c>
      <c r="AT2124" t="s">
        <v>327</v>
      </c>
      <c r="AV2124" t="s">
        <v>2443</v>
      </c>
    </row>
    <row r="2125" spans="1:48" x14ac:dyDescent="0.25">
      <c r="A2125" t="s">
        <v>3323</v>
      </c>
      <c r="B2125" t="s">
        <v>302</v>
      </c>
      <c r="C2125" t="s">
        <v>62</v>
      </c>
      <c r="D2125">
        <v>99999</v>
      </c>
      <c r="F2125" s="109">
        <v>4000</v>
      </c>
      <c r="G2125" t="b">
        <v>1</v>
      </c>
      <c r="H2125" t="s">
        <v>337</v>
      </c>
      <c r="K2125" t="s">
        <v>61</v>
      </c>
      <c r="L2125" t="s">
        <v>303</v>
      </c>
      <c r="M2125" t="s">
        <v>323</v>
      </c>
      <c r="N2125" t="s">
        <v>63</v>
      </c>
      <c r="O2125">
        <v>29.9</v>
      </c>
      <c r="R2125">
        <v>229.89</v>
      </c>
      <c r="S2125">
        <v>39.9</v>
      </c>
      <c r="T2125" s="110">
        <v>0</v>
      </c>
      <c r="U2125">
        <v>42.99</v>
      </c>
      <c r="X2125">
        <v>102.1</v>
      </c>
      <c r="Y2125">
        <v>44.9</v>
      </c>
      <c r="Z2125">
        <v>44.9</v>
      </c>
      <c r="AA2125">
        <v>0</v>
      </c>
      <c r="AB2125" t="s">
        <v>324</v>
      </c>
      <c r="AF2125" t="s">
        <v>326</v>
      </c>
      <c r="AG2125" t="s">
        <v>326</v>
      </c>
      <c r="AH2125" t="s">
        <v>325</v>
      </c>
      <c r="AI2125">
        <v>99999</v>
      </c>
      <c r="AJ2125">
        <v>99999</v>
      </c>
      <c r="AK2125">
        <v>699</v>
      </c>
      <c r="AL2125" t="b">
        <v>1</v>
      </c>
      <c r="AM2125" t="b">
        <v>1</v>
      </c>
      <c r="AN2125" t="b">
        <v>1</v>
      </c>
      <c r="AO2125">
        <v>99999</v>
      </c>
      <c r="AP2125" t="s">
        <v>64</v>
      </c>
      <c r="AR2125" t="b">
        <v>0</v>
      </c>
      <c r="AS2125">
        <v>12</v>
      </c>
      <c r="AT2125" t="s">
        <v>327</v>
      </c>
      <c r="AV2125" t="s">
        <v>345</v>
      </c>
    </row>
    <row r="2126" spans="1:48" x14ac:dyDescent="0.25">
      <c r="A2126" t="s">
        <v>3323</v>
      </c>
      <c r="B2126" t="s">
        <v>302</v>
      </c>
      <c r="C2126" t="s">
        <v>62</v>
      </c>
      <c r="D2126">
        <v>99999</v>
      </c>
      <c r="F2126" s="109">
        <v>4000</v>
      </c>
      <c r="G2126" t="b">
        <v>1</v>
      </c>
      <c r="H2126" t="s">
        <v>337</v>
      </c>
      <c r="K2126" t="s">
        <v>61</v>
      </c>
      <c r="L2126" t="s">
        <v>303</v>
      </c>
      <c r="M2126" t="s">
        <v>323</v>
      </c>
      <c r="N2126" t="s">
        <v>63</v>
      </c>
      <c r="O2126">
        <v>29.9</v>
      </c>
      <c r="R2126">
        <v>244.89</v>
      </c>
      <c r="S2126">
        <v>39.9</v>
      </c>
      <c r="T2126" s="110">
        <v>0</v>
      </c>
      <c r="U2126">
        <v>42.99</v>
      </c>
      <c r="X2126">
        <v>117.1</v>
      </c>
      <c r="Y2126">
        <v>44.9</v>
      </c>
      <c r="Z2126">
        <v>44.9</v>
      </c>
      <c r="AA2126">
        <v>0</v>
      </c>
      <c r="AB2126" t="s">
        <v>324</v>
      </c>
      <c r="AF2126" t="s">
        <v>474</v>
      </c>
      <c r="AG2126" t="s">
        <v>474</v>
      </c>
      <c r="AH2126" t="s">
        <v>325</v>
      </c>
      <c r="AI2126">
        <v>99999</v>
      </c>
      <c r="AJ2126">
        <v>99999</v>
      </c>
      <c r="AK2126">
        <v>699</v>
      </c>
      <c r="AL2126" t="b">
        <v>1</v>
      </c>
      <c r="AM2126" t="b">
        <v>1</v>
      </c>
      <c r="AN2126" t="b">
        <v>1</v>
      </c>
      <c r="AO2126">
        <v>99999</v>
      </c>
      <c r="AP2126" t="s">
        <v>64</v>
      </c>
      <c r="AR2126" t="b">
        <v>0</v>
      </c>
      <c r="AS2126">
        <v>12</v>
      </c>
      <c r="AT2126" t="s">
        <v>327</v>
      </c>
      <c r="AV2126" t="s">
        <v>484</v>
      </c>
    </row>
    <row r="2127" spans="1:48" x14ac:dyDescent="0.25">
      <c r="A2127" t="s">
        <v>3323</v>
      </c>
      <c r="B2127" t="s">
        <v>302</v>
      </c>
      <c r="C2127" t="s">
        <v>62</v>
      </c>
      <c r="D2127">
        <v>99999</v>
      </c>
      <c r="F2127" s="109">
        <v>4000</v>
      </c>
      <c r="G2127" t="b">
        <v>1</v>
      </c>
      <c r="H2127" t="s">
        <v>337</v>
      </c>
      <c r="K2127" t="s">
        <v>61</v>
      </c>
      <c r="L2127" t="s">
        <v>303</v>
      </c>
      <c r="M2127" t="s">
        <v>323</v>
      </c>
      <c r="N2127" t="s">
        <v>63</v>
      </c>
      <c r="O2127">
        <v>29.9</v>
      </c>
      <c r="R2127">
        <v>259.89</v>
      </c>
      <c r="S2127">
        <v>59.9</v>
      </c>
      <c r="T2127" s="110">
        <v>0</v>
      </c>
      <c r="U2127">
        <v>42.99</v>
      </c>
      <c r="X2127">
        <v>112.1</v>
      </c>
      <c r="Y2127">
        <v>44.9</v>
      </c>
      <c r="Z2127">
        <v>44.9</v>
      </c>
      <c r="AA2127">
        <v>0</v>
      </c>
      <c r="AB2127" t="s">
        <v>324</v>
      </c>
      <c r="AF2127" t="s">
        <v>608</v>
      </c>
      <c r="AG2127" t="s">
        <v>608</v>
      </c>
      <c r="AH2127" t="s">
        <v>325</v>
      </c>
      <c r="AI2127">
        <v>99999</v>
      </c>
      <c r="AJ2127">
        <v>99999</v>
      </c>
      <c r="AK2127">
        <v>699</v>
      </c>
      <c r="AL2127" t="b">
        <v>1</v>
      </c>
      <c r="AM2127" t="b">
        <v>1</v>
      </c>
      <c r="AN2127" t="b">
        <v>1</v>
      </c>
      <c r="AO2127">
        <v>99999</v>
      </c>
      <c r="AP2127" t="s">
        <v>64</v>
      </c>
      <c r="AR2127" t="b">
        <v>0</v>
      </c>
      <c r="AS2127">
        <v>12</v>
      </c>
      <c r="AT2127" t="s">
        <v>327</v>
      </c>
      <c r="AV2127" t="s">
        <v>618</v>
      </c>
    </row>
    <row r="2128" spans="1:48" x14ac:dyDescent="0.25">
      <c r="A2128" t="s">
        <v>3323</v>
      </c>
      <c r="B2128" t="s">
        <v>302</v>
      </c>
      <c r="C2128" t="s">
        <v>62</v>
      </c>
      <c r="D2128">
        <v>99999</v>
      </c>
      <c r="F2128" s="109">
        <v>4000</v>
      </c>
      <c r="G2128" t="b">
        <v>1</v>
      </c>
      <c r="H2128" t="s">
        <v>337</v>
      </c>
      <c r="K2128" t="s">
        <v>61</v>
      </c>
      <c r="L2128" t="s">
        <v>303</v>
      </c>
      <c r="M2128" t="s">
        <v>323</v>
      </c>
      <c r="N2128" t="s">
        <v>63</v>
      </c>
      <c r="O2128" s="110">
        <v>39.9</v>
      </c>
      <c r="R2128" s="110">
        <v>229.89</v>
      </c>
      <c r="S2128" s="110">
        <v>39.9</v>
      </c>
      <c r="T2128" s="110">
        <v>0</v>
      </c>
      <c r="U2128" s="110">
        <v>42.99</v>
      </c>
      <c r="X2128">
        <v>102.1</v>
      </c>
      <c r="Y2128">
        <v>44.9</v>
      </c>
      <c r="Z2128">
        <v>44.9</v>
      </c>
      <c r="AA2128">
        <v>0</v>
      </c>
      <c r="AB2128" t="s">
        <v>324</v>
      </c>
      <c r="AF2128" t="s">
        <v>407</v>
      </c>
      <c r="AG2128" t="s">
        <v>407</v>
      </c>
      <c r="AH2128" t="s">
        <v>325</v>
      </c>
      <c r="AI2128">
        <v>99999</v>
      </c>
      <c r="AJ2128">
        <v>99999</v>
      </c>
      <c r="AK2128">
        <v>699</v>
      </c>
      <c r="AL2128" t="b">
        <v>1</v>
      </c>
      <c r="AM2128" t="b">
        <v>1</v>
      </c>
      <c r="AN2128" t="b">
        <v>1</v>
      </c>
      <c r="AO2128">
        <v>99999</v>
      </c>
      <c r="AP2128" t="s">
        <v>64</v>
      </c>
      <c r="AR2128" t="b">
        <v>0</v>
      </c>
      <c r="AS2128">
        <v>12</v>
      </c>
      <c r="AT2128" t="s">
        <v>327</v>
      </c>
      <c r="AV2128" t="s">
        <v>417</v>
      </c>
    </row>
    <row r="2129" spans="1:48" x14ac:dyDescent="0.25">
      <c r="A2129" t="s">
        <v>3323</v>
      </c>
      <c r="B2129" t="s">
        <v>302</v>
      </c>
      <c r="C2129" t="s">
        <v>62</v>
      </c>
      <c r="D2129">
        <v>99999</v>
      </c>
      <c r="F2129" s="109">
        <v>4000</v>
      </c>
      <c r="G2129" t="b">
        <v>1</v>
      </c>
      <c r="H2129" t="s">
        <v>337</v>
      </c>
      <c r="K2129" t="s">
        <v>61</v>
      </c>
      <c r="L2129" t="s">
        <v>303</v>
      </c>
      <c r="M2129" t="s">
        <v>323</v>
      </c>
      <c r="N2129" t="s">
        <v>63</v>
      </c>
      <c r="O2129">
        <v>39.9</v>
      </c>
      <c r="R2129">
        <v>244.89</v>
      </c>
      <c r="S2129">
        <v>39.9</v>
      </c>
      <c r="T2129" s="110">
        <v>0</v>
      </c>
      <c r="U2129">
        <v>42.99</v>
      </c>
      <c r="X2129">
        <v>117.1</v>
      </c>
      <c r="Y2129">
        <v>44.9</v>
      </c>
      <c r="Z2129">
        <v>44.9</v>
      </c>
      <c r="AA2129">
        <v>0</v>
      </c>
      <c r="AB2129" t="s">
        <v>324</v>
      </c>
      <c r="AF2129" t="s">
        <v>541</v>
      </c>
      <c r="AG2129" t="s">
        <v>541</v>
      </c>
      <c r="AH2129" t="s">
        <v>325</v>
      </c>
      <c r="AI2129">
        <v>99999</v>
      </c>
      <c r="AJ2129">
        <v>99999</v>
      </c>
      <c r="AK2129">
        <v>699</v>
      </c>
      <c r="AL2129" t="b">
        <v>1</v>
      </c>
      <c r="AM2129" t="b">
        <v>1</v>
      </c>
      <c r="AN2129" t="b">
        <v>1</v>
      </c>
      <c r="AO2129">
        <v>99999</v>
      </c>
      <c r="AP2129" t="s">
        <v>64</v>
      </c>
      <c r="AR2129" t="b">
        <v>0</v>
      </c>
      <c r="AS2129">
        <v>12</v>
      </c>
      <c r="AT2129" t="s">
        <v>327</v>
      </c>
      <c r="AV2129" t="s">
        <v>551</v>
      </c>
    </row>
    <row r="2130" spans="1:48" x14ac:dyDescent="0.25">
      <c r="A2130" t="s">
        <v>3323</v>
      </c>
      <c r="B2130" t="s">
        <v>302</v>
      </c>
      <c r="C2130" t="s">
        <v>62</v>
      </c>
      <c r="D2130">
        <v>99999</v>
      </c>
      <c r="F2130" s="109">
        <v>4000</v>
      </c>
      <c r="G2130" t="b">
        <v>1</v>
      </c>
      <c r="H2130" t="s">
        <v>337</v>
      </c>
      <c r="K2130" t="s">
        <v>61</v>
      </c>
      <c r="L2130" t="s">
        <v>303</v>
      </c>
      <c r="M2130" t="s">
        <v>323</v>
      </c>
      <c r="N2130" t="s">
        <v>63</v>
      </c>
      <c r="O2130">
        <v>39.9</v>
      </c>
      <c r="R2130">
        <v>259.89</v>
      </c>
      <c r="S2130">
        <v>59.9</v>
      </c>
      <c r="T2130" s="110">
        <v>0</v>
      </c>
      <c r="U2130">
        <v>42.99</v>
      </c>
      <c r="X2130">
        <v>112.1</v>
      </c>
      <c r="Y2130">
        <v>44.9</v>
      </c>
      <c r="Z2130">
        <v>44.9</v>
      </c>
      <c r="AA2130">
        <v>0</v>
      </c>
      <c r="AB2130" t="s">
        <v>324</v>
      </c>
      <c r="AF2130" t="s">
        <v>675</v>
      </c>
      <c r="AG2130" t="s">
        <v>675</v>
      </c>
      <c r="AH2130" t="s">
        <v>325</v>
      </c>
      <c r="AI2130">
        <v>99999</v>
      </c>
      <c r="AJ2130">
        <v>99999</v>
      </c>
      <c r="AK2130">
        <v>699</v>
      </c>
      <c r="AL2130" t="b">
        <v>1</v>
      </c>
      <c r="AM2130" t="b">
        <v>1</v>
      </c>
      <c r="AN2130" t="b">
        <v>1</v>
      </c>
      <c r="AO2130">
        <v>99999</v>
      </c>
      <c r="AP2130" t="s">
        <v>64</v>
      </c>
      <c r="AR2130" t="b">
        <v>0</v>
      </c>
      <c r="AS2130">
        <v>12</v>
      </c>
      <c r="AT2130" t="s">
        <v>327</v>
      </c>
      <c r="AV2130" t="s">
        <v>685</v>
      </c>
    </row>
    <row r="2131" spans="1:48" x14ac:dyDescent="0.25">
      <c r="A2131" t="s">
        <v>3323</v>
      </c>
      <c r="B2131" t="s">
        <v>302</v>
      </c>
      <c r="C2131" t="s">
        <v>62</v>
      </c>
      <c r="D2131">
        <v>99999</v>
      </c>
      <c r="F2131" s="109">
        <v>4000</v>
      </c>
      <c r="G2131" t="b">
        <v>1</v>
      </c>
      <c r="H2131" t="s">
        <v>337</v>
      </c>
      <c r="K2131" t="s">
        <v>61</v>
      </c>
      <c r="L2131" t="s">
        <v>303</v>
      </c>
      <c r="M2131" t="s">
        <v>323</v>
      </c>
      <c r="N2131" t="s">
        <v>63</v>
      </c>
      <c r="O2131" s="110">
        <v>49.9</v>
      </c>
      <c r="R2131" s="110">
        <v>305.68999999999994</v>
      </c>
      <c r="S2131" s="110">
        <v>130</v>
      </c>
      <c r="T2131" s="110">
        <v>0</v>
      </c>
      <c r="U2131" s="110">
        <v>34.99</v>
      </c>
      <c r="X2131">
        <v>95.799999999999983</v>
      </c>
      <c r="Y2131">
        <v>44.9</v>
      </c>
      <c r="Z2131">
        <v>44.9</v>
      </c>
      <c r="AA2131">
        <v>0</v>
      </c>
      <c r="AB2131" t="s">
        <v>324</v>
      </c>
      <c r="AF2131" t="s">
        <v>2185</v>
      </c>
      <c r="AG2131" t="s">
        <v>2185</v>
      </c>
      <c r="AH2131" t="s">
        <v>325</v>
      </c>
      <c r="AI2131">
        <v>99999</v>
      </c>
      <c r="AJ2131">
        <v>99999</v>
      </c>
      <c r="AK2131">
        <v>699</v>
      </c>
      <c r="AL2131" t="b">
        <v>1</v>
      </c>
      <c r="AM2131" t="b">
        <v>1</v>
      </c>
      <c r="AN2131" t="b">
        <v>1</v>
      </c>
      <c r="AO2131">
        <v>99999</v>
      </c>
      <c r="AP2131" t="s">
        <v>64</v>
      </c>
      <c r="AR2131" t="b">
        <v>0</v>
      </c>
      <c r="AS2131">
        <v>12</v>
      </c>
      <c r="AT2131" t="s">
        <v>327</v>
      </c>
      <c r="AV2131" t="s">
        <v>2195</v>
      </c>
    </row>
    <row r="2132" spans="1:48" x14ac:dyDescent="0.25">
      <c r="A2132" t="s">
        <v>3323</v>
      </c>
      <c r="B2132" t="s">
        <v>302</v>
      </c>
      <c r="C2132" t="s">
        <v>62</v>
      </c>
      <c r="D2132">
        <v>99999</v>
      </c>
      <c r="F2132" s="109">
        <v>4000</v>
      </c>
      <c r="G2132" t="b">
        <v>1</v>
      </c>
      <c r="H2132" t="s">
        <v>337</v>
      </c>
      <c r="K2132" t="s">
        <v>61</v>
      </c>
      <c r="L2132" t="s">
        <v>303</v>
      </c>
      <c r="M2132" t="s">
        <v>323</v>
      </c>
      <c r="N2132" t="s">
        <v>63</v>
      </c>
      <c r="O2132" s="110">
        <v>49.9</v>
      </c>
      <c r="R2132" s="110">
        <v>319.99</v>
      </c>
      <c r="S2132" s="110">
        <v>130</v>
      </c>
      <c r="T2132" s="110">
        <v>0</v>
      </c>
      <c r="U2132" s="110">
        <v>42.99</v>
      </c>
      <c r="X2132">
        <v>102.1</v>
      </c>
      <c r="Y2132">
        <v>44.9</v>
      </c>
      <c r="Z2132">
        <v>44.9</v>
      </c>
      <c r="AA2132">
        <v>0</v>
      </c>
      <c r="AB2132" t="s">
        <v>324</v>
      </c>
      <c r="AF2132" t="s">
        <v>2259</v>
      </c>
      <c r="AG2132" t="s">
        <v>2259</v>
      </c>
      <c r="AH2132" t="s">
        <v>325</v>
      </c>
      <c r="AI2132">
        <v>99999</v>
      </c>
      <c r="AJ2132">
        <v>99999</v>
      </c>
      <c r="AK2132">
        <v>699</v>
      </c>
      <c r="AL2132" t="b">
        <v>1</v>
      </c>
      <c r="AM2132" t="b">
        <v>1</v>
      </c>
      <c r="AN2132" t="b">
        <v>1</v>
      </c>
      <c r="AO2132">
        <v>99999</v>
      </c>
      <c r="AP2132" t="s">
        <v>64</v>
      </c>
      <c r="AR2132" t="b">
        <v>0</v>
      </c>
      <c r="AS2132">
        <v>12</v>
      </c>
      <c r="AT2132" t="s">
        <v>327</v>
      </c>
      <c r="AV2132" t="s">
        <v>2269</v>
      </c>
    </row>
    <row r="2133" spans="1:48" x14ac:dyDescent="0.25">
      <c r="A2133" t="s">
        <v>3323</v>
      </c>
      <c r="B2133" t="s">
        <v>302</v>
      </c>
      <c r="C2133" t="s">
        <v>62</v>
      </c>
      <c r="D2133">
        <v>99999</v>
      </c>
      <c r="F2133" s="109">
        <v>4000</v>
      </c>
      <c r="G2133" t="b">
        <v>1</v>
      </c>
      <c r="H2133" t="s">
        <v>337</v>
      </c>
      <c r="K2133" t="s">
        <v>61</v>
      </c>
      <c r="L2133" t="s">
        <v>303</v>
      </c>
      <c r="M2133" t="s">
        <v>323</v>
      </c>
      <c r="N2133" t="s">
        <v>63</v>
      </c>
      <c r="O2133" s="110">
        <v>49.9</v>
      </c>
      <c r="R2133" s="110">
        <v>334.99</v>
      </c>
      <c r="S2133" s="110">
        <v>130</v>
      </c>
      <c r="T2133" s="110">
        <v>0</v>
      </c>
      <c r="U2133" s="110">
        <v>42.99</v>
      </c>
      <c r="X2133">
        <v>117.1</v>
      </c>
      <c r="Y2133">
        <v>44.9</v>
      </c>
      <c r="Z2133">
        <v>44.9</v>
      </c>
      <c r="AA2133">
        <v>0</v>
      </c>
      <c r="AB2133" t="s">
        <v>324</v>
      </c>
      <c r="AF2133" t="s">
        <v>2326</v>
      </c>
      <c r="AG2133" t="s">
        <v>2326</v>
      </c>
      <c r="AH2133" t="s">
        <v>325</v>
      </c>
      <c r="AI2133">
        <v>99999</v>
      </c>
      <c r="AJ2133">
        <v>99999</v>
      </c>
      <c r="AK2133">
        <v>699</v>
      </c>
      <c r="AL2133" t="b">
        <v>1</v>
      </c>
      <c r="AM2133" t="b">
        <v>1</v>
      </c>
      <c r="AN2133" t="b">
        <v>1</v>
      </c>
      <c r="AO2133">
        <v>99999</v>
      </c>
      <c r="AP2133" t="s">
        <v>64</v>
      </c>
      <c r="AR2133" t="b">
        <v>0</v>
      </c>
      <c r="AS2133">
        <v>12</v>
      </c>
      <c r="AT2133" t="s">
        <v>327</v>
      </c>
      <c r="AV2133" t="s">
        <v>2336</v>
      </c>
    </row>
    <row r="2134" spans="1:48" x14ac:dyDescent="0.25">
      <c r="A2134" t="s">
        <v>3323</v>
      </c>
      <c r="B2134" t="s">
        <v>302</v>
      </c>
      <c r="C2134" t="s">
        <v>62</v>
      </c>
      <c r="D2134">
        <v>99999</v>
      </c>
      <c r="F2134" s="109">
        <v>4000</v>
      </c>
      <c r="G2134" t="b">
        <v>1</v>
      </c>
      <c r="H2134" t="s">
        <v>337</v>
      </c>
      <c r="K2134" t="s">
        <v>61</v>
      </c>
      <c r="L2134" t="s">
        <v>303</v>
      </c>
      <c r="M2134" t="s">
        <v>323</v>
      </c>
      <c r="N2134" t="s">
        <v>63</v>
      </c>
      <c r="O2134" s="110">
        <v>49.9</v>
      </c>
      <c r="R2134" s="110">
        <v>329.99</v>
      </c>
      <c r="S2134" s="110">
        <v>130</v>
      </c>
      <c r="T2134" s="110">
        <v>0</v>
      </c>
      <c r="U2134" s="110">
        <v>42.99</v>
      </c>
      <c r="X2134">
        <v>112.1</v>
      </c>
      <c r="Y2134">
        <v>44.9</v>
      </c>
      <c r="Z2134">
        <v>44.9</v>
      </c>
      <c r="AA2134">
        <v>0</v>
      </c>
      <c r="AB2134" t="s">
        <v>324</v>
      </c>
      <c r="AF2134" t="s">
        <v>2393</v>
      </c>
      <c r="AG2134" t="s">
        <v>2393</v>
      </c>
      <c r="AH2134" t="s">
        <v>325</v>
      </c>
      <c r="AI2134">
        <v>99999</v>
      </c>
      <c r="AJ2134">
        <v>99999</v>
      </c>
      <c r="AK2134">
        <v>699</v>
      </c>
      <c r="AL2134" t="b">
        <v>1</v>
      </c>
      <c r="AM2134" t="b">
        <v>1</v>
      </c>
      <c r="AN2134" t="b">
        <v>1</v>
      </c>
      <c r="AO2134">
        <v>99999</v>
      </c>
      <c r="AP2134" t="s">
        <v>64</v>
      </c>
      <c r="AR2134" t="b">
        <v>0</v>
      </c>
      <c r="AS2134">
        <v>12</v>
      </c>
      <c r="AT2134" t="s">
        <v>327</v>
      </c>
      <c r="AV2134" t="s">
        <v>2403</v>
      </c>
    </row>
    <row r="2135" spans="1:48" x14ac:dyDescent="0.25">
      <c r="A2135" t="s">
        <v>3323</v>
      </c>
      <c r="B2135" t="s">
        <v>302</v>
      </c>
      <c r="C2135" t="s">
        <v>62</v>
      </c>
      <c r="D2135">
        <v>99999</v>
      </c>
      <c r="F2135" s="109">
        <v>4000</v>
      </c>
      <c r="G2135" t="b">
        <v>1</v>
      </c>
      <c r="H2135" t="s">
        <v>341</v>
      </c>
      <c r="K2135" t="s">
        <v>349</v>
      </c>
      <c r="L2135" t="s">
        <v>303</v>
      </c>
      <c r="M2135" t="s">
        <v>323</v>
      </c>
      <c r="N2135" t="s">
        <v>63</v>
      </c>
      <c r="O2135">
        <v>29.9</v>
      </c>
      <c r="R2135">
        <v>254.88999999999996</v>
      </c>
      <c r="S2135">
        <v>39.9</v>
      </c>
      <c r="T2135" s="110">
        <v>0</v>
      </c>
      <c r="U2135">
        <v>42.99</v>
      </c>
      <c r="X2135">
        <v>127.09999999999997</v>
      </c>
      <c r="Y2135">
        <v>44.9</v>
      </c>
      <c r="Z2135">
        <v>44.9</v>
      </c>
      <c r="AA2135">
        <v>0</v>
      </c>
      <c r="AB2135" t="s">
        <v>324</v>
      </c>
      <c r="AF2135" t="s">
        <v>326</v>
      </c>
      <c r="AG2135" t="s">
        <v>326</v>
      </c>
      <c r="AH2135" t="s">
        <v>325</v>
      </c>
      <c r="AI2135">
        <v>99999</v>
      </c>
      <c r="AJ2135">
        <v>99999</v>
      </c>
      <c r="AK2135">
        <v>699</v>
      </c>
      <c r="AL2135" t="b">
        <v>1</v>
      </c>
      <c r="AM2135" t="b">
        <v>1</v>
      </c>
      <c r="AN2135" t="b">
        <v>1</v>
      </c>
      <c r="AO2135">
        <v>99999</v>
      </c>
      <c r="AP2135" t="s">
        <v>64</v>
      </c>
      <c r="AR2135" t="b">
        <v>0</v>
      </c>
      <c r="AS2135">
        <v>12</v>
      </c>
      <c r="AT2135" t="s">
        <v>327</v>
      </c>
      <c r="AV2135" t="s">
        <v>361</v>
      </c>
    </row>
    <row r="2136" spans="1:48" x14ac:dyDescent="0.25">
      <c r="A2136" t="s">
        <v>3323</v>
      </c>
      <c r="B2136" t="s">
        <v>302</v>
      </c>
      <c r="C2136" t="s">
        <v>62</v>
      </c>
      <c r="D2136">
        <v>99999</v>
      </c>
      <c r="F2136" s="109">
        <v>4000</v>
      </c>
      <c r="G2136" t="b">
        <v>1</v>
      </c>
      <c r="H2136" t="s">
        <v>341</v>
      </c>
      <c r="K2136" t="s">
        <v>349</v>
      </c>
      <c r="L2136" t="s">
        <v>303</v>
      </c>
      <c r="M2136" t="s">
        <v>323</v>
      </c>
      <c r="N2136" t="s">
        <v>63</v>
      </c>
      <c r="O2136">
        <v>29.9</v>
      </c>
      <c r="R2136">
        <v>269.89</v>
      </c>
      <c r="S2136">
        <v>39.9</v>
      </c>
      <c r="T2136" s="110">
        <v>0</v>
      </c>
      <c r="U2136">
        <v>42.99</v>
      </c>
      <c r="X2136">
        <v>142.09999999999997</v>
      </c>
      <c r="Y2136">
        <v>44.9</v>
      </c>
      <c r="Z2136">
        <v>44.9</v>
      </c>
      <c r="AA2136">
        <v>0</v>
      </c>
      <c r="AB2136" t="s">
        <v>324</v>
      </c>
      <c r="AF2136" t="s">
        <v>474</v>
      </c>
      <c r="AG2136" t="s">
        <v>474</v>
      </c>
      <c r="AH2136" t="s">
        <v>325</v>
      </c>
      <c r="AI2136">
        <v>99999</v>
      </c>
      <c r="AJ2136">
        <v>99999</v>
      </c>
      <c r="AK2136">
        <v>699</v>
      </c>
      <c r="AL2136" t="b">
        <v>1</v>
      </c>
      <c r="AM2136" t="b">
        <v>1</v>
      </c>
      <c r="AN2136" t="b">
        <v>1</v>
      </c>
      <c r="AO2136">
        <v>99999</v>
      </c>
      <c r="AP2136" t="s">
        <v>64</v>
      </c>
      <c r="AR2136" t="b">
        <v>0</v>
      </c>
      <c r="AS2136">
        <v>12</v>
      </c>
      <c r="AT2136" t="s">
        <v>327</v>
      </c>
      <c r="AV2136" t="s">
        <v>499</v>
      </c>
    </row>
    <row r="2137" spans="1:48" x14ac:dyDescent="0.25">
      <c r="A2137" t="s">
        <v>3323</v>
      </c>
      <c r="B2137" t="s">
        <v>302</v>
      </c>
      <c r="C2137" t="s">
        <v>62</v>
      </c>
      <c r="D2137">
        <v>99999</v>
      </c>
      <c r="F2137" s="109">
        <v>4000</v>
      </c>
      <c r="G2137" t="b">
        <v>1</v>
      </c>
      <c r="H2137" t="s">
        <v>341</v>
      </c>
      <c r="K2137" t="s">
        <v>349</v>
      </c>
      <c r="L2137" t="s">
        <v>303</v>
      </c>
      <c r="M2137" t="s">
        <v>323</v>
      </c>
      <c r="N2137" t="s">
        <v>63</v>
      </c>
      <c r="O2137">
        <v>29.9</v>
      </c>
      <c r="R2137">
        <v>284.89</v>
      </c>
      <c r="S2137">
        <v>59.9</v>
      </c>
      <c r="T2137" s="110">
        <v>0</v>
      </c>
      <c r="U2137">
        <v>42.99</v>
      </c>
      <c r="X2137">
        <v>137.09999999999997</v>
      </c>
      <c r="Y2137">
        <v>44.9</v>
      </c>
      <c r="Z2137">
        <v>44.9</v>
      </c>
      <c r="AA2137">
        <v>0</v>
      </c>
      <c r="AB2137" t="s">
        <v>324</v>
      </c>
      <c r="AF2137" t="s">
        <v>608</v>
      </c>
      <c r="AG2137" t="s">
        <v>608</v>
      </c>
      <c r="AH2137" t="s">
        <v>325</v>
      </c>
      <c r="AI2137">
        <v>99999</v>
      </c>
      <c r="AJ2137">
        <v>99999</v>
      </c>
      <c r="AK2137">
        <v>699</v>
      </c>
      <c r="AL2137" t="b">
        <v>1</v>
      </c>
      <c r="AM2137" t="b">
        <v>1</v>
      </c>
      <c r="AN2137" t="b">
        <v>1</v>
      </c>
      <c r="AO2137">
        <v>99999</v>
      </c>
      <c r="AP2137" t="s">
        <v>64</v>
      </c>
      <c r="AR2137" t="b">
        <v>0</v>
      </c>
      <c r="AS2137">
        <v>12</v>
      </c>
      <c r="AT2137" t="s">
        <v>327</v>
      </c>
      <c r="AV2137" t="s">
        <v>633</v>
      </c>
    </row>
    <row r="2138" spans="1:48" x14ac:dyDescent="0.25">
      <c r="A2138" t="s">
        <v>3323</v>
      </c>
      <c r="B2138" t="s">
        <v>302</v>
      </c>
      <c r="C2138" t="s">
        <v>62</v>
      </c>
      <c r="D2138">
        <v>99999</v>
      </c>
      <c r="F2138" s="109">
        <v>4000</v>
      </c>
      <c r="G2138" t="b">
        <v>1</v>
      </c>
      <c r="H2138" t="s">
        <v>341</v>
      </c>
      <c r="K2138" t="s">
        <v>349</v>
      </c>
      <c r="L2138" t="s">
        <v>303</v>
      </c>
      <c r="M2138" t="s">
        <v>323</v>
      </c>
      <c r="N2138" t="s">
        <v>63</v>
      </c>
      <c r="O2138" s="110">
        <v>39.9</v>
      </c>
      <c r="R2138" s="110">
        <v>254.88999999999996</v>
      </c>
      <c r="S2138" s="110">
        <v>39.9</v>
      </c>
      <c r="T2138" s="110">
        <v>0</v>
      </c>
      <c r="U2138" s="110">
        <v>42.99</v>
      </c>
      <c r="X2138">
        <v>127.09999999999997</v>
      </c>
      <c r="Y2138">
        <v>44.9</v>
      </c>
      <c r="Z2138">
        <v>44.9</v>
      </c>
      <c r="AA2138">
        <v>0</v>
      </c>
      <c r="AB2138" t="s">
        <v>324</v>
      </c>
      <c r="AF2138" t="s">
        <v>407</v>
      </c>
      <c r="AG2138" t="s">
        <v>407</v>
      </c>
      <c r="AH2138" t="s">
        <v>325</v>
      </c>
      <c r="AI2138">
        <v>99999</v>
      </c>
      <c r="AJ2138">
        <v>99999</v>
      </c>
      <c r="AK2138">
        <v>699</v>
      </c>
      <c r="AL2138" t="b">
        <v>1</v>
      </c>
      <c r="AM2138" t="b">
        <v>1</v>
      </c>
      <c r="AN2138" t="b">
        <v>1</v>
      </c>
      <c r="AO2138">
        <v>99999</v>
      </c>
      <c r="AP2138" t="s">
        <v>64</v>
      </c>
      <c r="AR2138" t="b">
        <v>0</v>
      </c>
      <c r="AS2138">
        <v>12</v>
      </c>
      <c r="AT2138" t="s">
        <v>327</v>
      </c>
      <c r="AV2138" t="s">
        <v>432</v>
      </c>
    </row>
    <row r="2139" spans="1:48" x14ac:dyDescent="0.25">
      <c r="A2139" t="s">
        <v>3323</v>
      </c>
      <c r="B2139" t="s">
        <v>302</v>
      </c>
      <c r="C2139" t="s">
        <v>62</v>
      </c>
      <c r="D2139">
        <v>99999</v>
      </c>
      <c r="F2139" s="109">
        <v>4000</v>
      </c>
      <c r="G2139" t="b">
        <v>1</v>
      </c>
      <c r="H2139" t="s">
        <v>341</v>
      </c>
      <c r="K2139" t="s">
        <v>349</v>
      </c>
      <c r="L2139" t="s">
        <v>303</v>
      </c>
      <c r="M2139" t="s">
        <v>323</v>
      </c>
      <c r="N2139" t="s">
        <v>63</v>
      </c>
      <c r="O2139">
        <v>39.9</v>
      </c>
      <c r="R2139">
        <v>269.89</v>
      </c>
      <c r="S2139">
        <v>39.9</v>
      </c>
      <c r="T2139" s="110">
        <v>0</v>
      </c>
      <c r="U2139">
        <v>42.99</v>
      </c>
      <c r="X2139">
        <v>142.09999999999997</v>
      </c>
      <c r="Y2139">
        <v>44.9</v>
      </c>
      <c r="Z2139">
        <v>44.9</v>
      </c>
      <c r="AA2139">
        <v>0</v>
      </c>
      <c r="AB2139" t="s">
        <v>324</v>
      </c>
      <c r="AF2139" t="s">
        <v>541</v>
      </c>
      <c r="AG2139" t="s">
        <v>541</v>
      </c>
      <c r="AH2139" t="s">
        <v>325</v>
      </c>
      <c r="AI2139">
        <v>99999</v>
      </c>
      <c r="AJ2139">
        <v>99999</v>
      </c>
      <c r="AK2139">
        <v>699</v>
      </c>
      <c r="AL2139" t="b">
        <v>1</v>
      </c>
      <c r="AM2139" t="b">
        <v>1</v>
      </c>
      <c r="AN2139" t="b">
        <v>1</v>
      </c>
      <c r="AO2139">
        <v>99999</v>
      </c>
      <c r="AP2139" t="s">
        <v>64</v>
      </c>
      <c r="AR2139" t="b">
        <v>0</v>
      </c>
      <c r="AS2139">
        <v>12</v>
      </c>
      <c r="AT2139" t="s">
        <v>327</v>
      </c>
      <c r="AV2139" t="s">
        <v>566</v>
      </c>
    </row>
    <row r="2140" spans="1:48" x14ac:dyDescent="0.25">
      <c r="A2140" t="s">
        <v>3323</v>
      </c>
      <c r="B2140" t="s">
        <v>302</v>
      </c>
      <c r="C2140" t="s">
        <v>62</v>
      </c>
      <c r="D2140">
        <v>99999</v>
      </c>
      <c r="F2140" s="109">
        <v>4000</v>
      </c>
      <c r="G2140" t="b">
        <v>1</v>
      </c>
      <c r="H2140" t="s">
        <v>341</v>
      </c>
      <c r="K2140" t="s">
        <v>349</v>
      </c>
      <c r="L2140" t="s">
        <v>303</v>
      </c>
      <c r="M2140" t="s">
        <v>323</v>
      </c>
      <c r="N2140" t="s">
        <v>63</v>
      </c>
      <c r="O2140">
        <v>39.9</v>
      </c>
      <c r="R2140">
        <v>284.89</v>
      </c>
      <c r="S2140">
        <v>59.9</v>
      </c>
      <c r="T2140" s="110">
        <v>0</v>
      </c>
      <c r="U2140">
        <v>42.99</v>
      </c>
      <c r="X2140">
        <v>137.09999999999997</v>
      </c>
      <c r="Y2140">
        <v>44.9</v>
      </c>
      <c r="Z2140">
        <v>44.9</v>
      </c>
      <c r="AA2140">
        <v>0</v>
      </c>
      <c r="AB2140" t="s">
        <v>324</v>
      </c>
      <c r="AF2140" t="s">
        <v>675</v>
      </c>
      <c r="AG2140" t="s">
        <v>675</v>
      </c>
      <c r="AH2140" t="s">
        <v>325</v>
      </c>
      <c r="AI2140">
        <v>99999</v>
      </c>
      <c r="AJ2140">
        <v>99999</v>
      </c>
      <c r="AK2140">
        <v>699</v>
      </c>
      <c r="AL2140" t="b">
        <v>1</v>
      </c>
      <c r="AM2140" t="b">
        <v>1</v>
      </c>
      <c r="AN2140" t="b">
        <v>1</v>
      </c>
      <c r="AO2140">
        <v>99999</v>
      </c>
      <c r="AP2140" t="s">
        <v>64</v>
      </c>
      <c r="AR2140" t="b">
        <v>0</v>
      </c>
      <c r="AS2140">
        <v>12</v>
      </c>
      <c r="AT2140" t="s">
        <v>327</v>
      </c>
      <c r="AV2140" t="s">
        <v>700</v>
      </c>
    </row>
    <row r="2141" spans="1:48" x14ac:dyDescent="0.25">
      <c r="A2141" t="s">
        <v>3323</v>
      </c>
      <c r="B2141" t="s">
        <v>302</v>
      </c>
      <c r="C2141" t="s">
        <v>62</v>
      </c>
      <c r="D2141">
        <v>99999</v>
      </c>
      <c r="F2141" s="109">
        <v>4000</v>
      </c>
      <c r="G2141" t="b">
        <v>1</v>
      </c>
      <c r="H2141" t="s">
        <v>341</v>
      </c>
      <c r="K2141" t="s">
        <v>349</v>
      </c>
      <c r="L2141" t="s">
        <v>303</v>
      </c>
      <c r="M2141" t="s">
        <v>323</v>
      </c>
      <c r="N2141" t="s">
        <v>63</v>
      </c>
      <c r="O2141" s="110">
        <v>49.9</v>
      </c>
      <c r="R2141" s="110">
        <v>330.68999999999994</v>
      </c>
      <c r="S2141" s="110">
        <v>130</v>
      </c>
      <c r="T2141" s="110">
        <v>0</v>
      </c>
      <c r="U2141" s="110">
        <v>34.99</v>
      </c>
      <c r="X2141">
        <v>120.79999999999995</v>
      </c>
      <c r="Y2141">
        <v>44.9</v>
      </c>
      <c r="Z2141">
        <v>44.9</v>
      </c>
      <c r="AA2141">
        <v>0</v>
      </c>
      <c r="AB2141" t="s">
        <v>324</v>
      </c>
      <c r="AF2141" t="s">
        <v>2185</v>
      </c>
      <c r="AG2141" t="s">
        <v>2185</v>
      </c>
      <c r="AH2141" t="s">
        <v>325</v>
      </c>
      <c r="AI2141">
        <v>99999</v>
      </c>
      <c r="AJ2141">
        <v>99999</v>
      </c>
      <c r="AK2141">
        <v>699</v>
      </c>
      <c r="AL2141" t="b">
        <v>1</v>
      </c>
      <c r="AM2141" t="b">
        <v>1</v>
      </c>
      <c r="AN2141" t="b">
        <v>1</v>
      </c>
      <c r="AO2141">
        <v>99999</v>
      </c>
      <c r="AP2141" t="s">
        <v>64</v>
      </c>
      <c r="AR2141" t="b">
        <v>0</v>
      </c>
      <c r="AS2141">
        <v>12</v>
      </c>
      <c r="AT2141" t="s">
        <v>327</v>
      </c>
      <c r="AV2141" t="s">
        <v>2210</v>
      </c>
    </row>
    <row r="2142" spans="1:48" x14ac:dyDescent="0.25">
      <c r="A2142" t="s">
        <v>3323</v>
      </c>
      <c r="B2142" t="s">
        <v>302</v>
      </c>
      <c r="C2142" t="s">
        <v>62</v>
      </c>
      <c r="D2142">
        <v>99999</v>
      </c>
      <c r="F2142" s="109">
        <v>4000</v>
      </c>
      <c r="G2142" t="b">
        <v>1</v>
      </c>
      <c r="H2142" t="s">
        <v>341</v>
      </c>
      <c r="K2142" t="s">
        <v>349</v>
      </c>
      <c r="L2142" t="s">
        <v>303</v>
      </c>
      <c r="M2142" t="s">
        <v>323</v>
      </c>
      <c r="N2142" t="s">
        <v>63</v>
      </c>
      <c r="O2142" s="110">
        <v>49.9</v>
      </c>
      <c r="R2142" s="110">
        <v>344.98999999999995</v>
      </c>
      <c r="S2142" s="110">
        <v>130</v>
      </c>
      <c r="T2142" s="110">
        <v>0</v>
      </c>
      <c r="U2142" s="110">
        <v>42.99</v>
      </c>
      <c r="X2142">
        <v>127.09999999999997</v>
      </c>
      <c r="Y2142">
        <v>44.9</v>
      </c>
      <c r="Z2142">
        <v>44.9</v>
      </c>
      <c r="AA2142">
        <v>0</v>
      </c>
      <c r="AB2142" t="s">
        <v>324</v>
      </c>
      <c r="AF2142" t="s">
        <v>2259</v>
      </c>
      <c r="AG2142" t="s">
        <v>2259</v>
      </c>
      <c r="AH2142" t="s">
        <v>325</v>
      </c>
      <c r="AI2142">
        <v>99999</v>
      </c>
      <c r="AJ2142">
        <v>99999</v>
      </c>
      <c r="AK2142">
        <v>699</v>
      </c>
      <c r="AL2142" t="b">
        <v>1</v>
      </c>
      <c r="AM2142" t="b">
        <v>1</v>
      </c>
      <c r="AN2142" t="b">
        <v>1</v>
      </c>
      <c r="AO2142">
        <v>99999</v>
      </c>
      <c r="AP2142" t="s">
        <v>64</v>
      </c>
      <c r="AR2142" t="b">
        <v>0</v>
      </c>
      <c r="AS2142">
        <v>12</v>
      </c>
      <c r="AT2142" t="s">
        <v>327</v>
      </c>
      <c r="AV2142" t="s">
        <v>2284</v>
      </c>
    </row>
    <row r="2143" spans="1:48" x14ac:dyDescent="0.25">
      <c r="A2143" t="s">
        <v>3323</v>
      </c>
      <c r="B2143" t="s">
        <v>302</v>
      </c>
      <c r="C2143" t="s">
        <v>62</v>
      </c>
      <c r="D2143">
        <v>99999</v>
      </c>
      <c r="F2143" s="109">
        <v>4000</v>
      </c>
      <c r="G2143" t="b">
        <v>1</v>
      </c>
      <c r="H2143" t="s">
        <v>341</v>
      </c>
      <c r="K2143" t="s">
        <v>349</v>
      </c>
      <c r="L2143" t="s">
        <v>303</v>
      </c>
      <c r="M2143" t="s">
        <v>323</v>
      </c>
      <c r="N2143" t="s">
        <v>63</v>
      </c>
      <c r="O2143" s="110">
        <v>49.9</v>
      </c>
      <c r="R2143" s="110">
        <v>359.98999999999995</v>
      </c>
      <c r="S2143" s="110">
        <v>130</v>
      </c>
      <c r="T2143" s="110">
        <v>0</v>
      </c>
      <c r="U2143" s="110">
        <v>42.99</v>
      </c>
      <c r="X2143">
        <v>142.09999999999997</v>
      </c>
      <c r="Y2143">
        <v>44.9</v>
      </c>
      <c r="Z2143">
        <v>44.9</v>
      </c>
      <c r="AA2143">
        <v>0</v>
      </c>
      <c r="AB2143" t="s">
        <v>324</v>
      </c>
      <c r="AF2143" t="s">
        <v>2326</v>
      </c>
      <c r="AG2143" t="s">
        <v>2326</v>
      </c>
      <c r="AH2143" t="s">
        <v>325</v>
      </c>
      <c r="AI2143">
        <v>99999</v>
      </c>
      <c r="AJ2143">
        <v>99999</v>
      </c>
      <c r="AK2143">
        <v>699</v>
      </c>
      <c r="AL2143" t="b">
        <v>1</v>
      </c>
      <c r="AM2143" t="b">
        <v>1</v>
      </c>
      <c r="AN2143" t="b">
        <v>1</v>
      </c>
      <c r="AO2143">
        <v>99999</v>
      </c>
      <c r="AP2143" t="s">
        <v>64</v>
      </c>
      <c r="AR2143" t="b">
        <v>0</v>
      </c>
      <c r="AS2143">
        <v>12</v>
      </c>
      <c r="AT2143" t="s">
        <v>327</v>
      </c>
      <c r="AV2143" t="s">
        <v>2351</v>
      </c>
    </row>
    <row r="2144" spans="1:48" x14ac:dyDescent="0.25">
      <c r="A2144" t="s">
        <v>3323</v>
      </c>
      <c r="B2144" t="s">
        <v>302</v>
      </c>
      <c r="C2144" t="s">
        <v>62</v>
      </c>
      <c r="D2144">
        <v>99999</v>
      </c>
      <c r="F2144" s="109">
        <v>4000</v>
      </c>
      <c r="G2144" t="b">
        <v>1</v>
      </c>
      <c r="H2144" t="s">
        <v>341</v>
      </c>
      <c r="K2144" t="s">
        <v>349</v>
      </c>
      <c r="L2144" t="s">
        <v>303</v>
      </c>
      <c r="M2144" t="s">
        <v>323</v>
      </c>
      <c r="N2144" t="s">
        <v>63</v>
      </c>
      <c r="O2144" s="110">
        <v>49.9</v>
      </c>
      <c r="R2144" s="110">
        <v>354.98999999999995</v>
      </c>
      <c r="S2144" s="110">
        <v>130</v>
      </c>
      <c r="T2144" s="110">
        <v>0</v>
      </c>
      <c r="U2144" s="110">
        <v>42.99</v>
      </c>
      <c r="X2144">
        <v>137.09999999999997</v>
      </c>
      <c r="Y2144">
        <v>44.9</v>
      </c>
      <c r="Z2144">
        <v>44.9</v>
      </c>
      <c r="AA2144">
        <v>0</v>
      </c>
      <c r="AB2144" t="s">
        <v>324</v>
      </c>
      <c r="AF2144" t="s">
        <v>2393</v>
      </c>
      <c r="AG2144" t="s">
        <v>2393</v>
      </c>
      <c r="AH2144" t="s">
        <v>325</v>
      </c>
      <c r="AI2144">
        <v>99999</v>
      </c>
      <c r="AJ2144">
        <v>99999</v>
      </c>
      <c r="AK2144">
        <v>699</v>
      </c>
      <c r="AL2144" t="b">
        <v>1</v>
      </c>
      <c r="AM2144" t="b">
        <v>1</v>
      </c>
      <c r="AN2144" t="b">
        <v>1</v>
      </c>
      <c r="AO2144">
        <v>99999</v>
      </c>
      <c r="AP2144" t="s">
        <v>64</v>
      </c>
      <c r="AR2144" t="b">
        <v>0</v>
      </c>
      <c r="AS2144">
        <v>12</v>
      </c>
      <c r="AT2144" t="s">
        <v>327</v>
      </c>
      <c r="AV2144" t="s">
        <v>2418</v>
      </c>
    </row>
    <row r="2145" spans="1:48" x14ac:dyDescent="0.25">
      <c r="A2145" t="s">
        <v>3323</v>
      </c>
      <c r="B2145" t="s">
        <v>302</v>
      </c>
      <c r="C2145" t="s">
        <v>62</v>
      </c>
      <c r="D2145">
        <v>99999</v>
      </c>
      <c r="F2145" s="109">
        <v>4000</v>
      </c>
      <c r="G2145" t="b">
        <v>1</v>
      </c>
      <c r="H2145" t="s">
        <v>341</v>
      </c>
      <c r="K2145" t="s">
        <v>393</v>
      </c>
      <c r="L2145" t="s">
        <v>303</v>
      </c>
      <c r="M2145" t="s">
        <v>323</v>
      </c>
      <c r="N2145" t="s">
        <v>63</v>
      </c>
      <c r="O2145" s="110">
        <v>29.9</v>
      </c>
      <c r="R2145" s="110">
        <v>279.89</v>
      </c>
      <c r="S2145" s="110">
        <v>39.9</v>
      </c>
      <c r="T2145" s="110">
        <v>0</v>
      </c>
      <c r="U2145" s="110">
        <v>42.99</v>
      </c>
      <c r="X2145">
        <v>127.09999999999997</v>
      </c>
      <c r="Y2145">
        <v>69.900000000000006</v>
      </c>
      <c r="Z2145">
        <v>69.900000000000006</v>
      </c>
      <c r="AA2145">
        <v>0</v>
      </c>
      <c r="AB2145" t="s">
        <v>363</v>
      </c>
      <c r="AF2145" t="s">
        <v>365</v>
      </c>
      <c r="AG2145" t="s">
        <v>365</v>
      </c>
      <c r="AH2145" t="s">
        <v>325</v>
      </c>
      <c r="AI2145">
        <v>99999</v>
      </c>
      <c r="AJ2145">
        <v>99999</v>
      </c>
      <c r="AK2145">
        <v>699</v>
      </c>
      <c r="AL2145" t="b">
        <v>1</v>
      </c>
      <c r="AM2145" t="b">
        <v>1</v>
      </c>
      <c r="AN2145" t="b">
        <v>1</v>
      </c>
      <c r="AO2145">
        <v>99999</v>
      </c>
      <c r="AP2145" t="s">
        <v>64</v>
      </c>
      <c r="AR2145" t="b">
        <v>0</v>
      </c>
      <c r="AS2145">
        <v>12</v>
      </c>
      <c r="AT2145" t="s">
        <v>327</v>
      </c>
      <c r="AV2145" t="s">
        <v>405</v>
      </c>
    </row>
    <row r="2146" spans="1:48" x14ac:dyDescent="0.25">
      <c r="A2146" t="s">
        <v>3323</v>
      </c>
      <c r="B2146" t="s">
        <v>302</v>
      </c>
      <c r="C2146" t="s">
        <v>62</v>
      </c>
      <c r="D2146">
        <v>99999</v>
      </c>
      <c r="F2146" s="109">
        <v>4000</v>
      </c>
      <c r="G2146" t="b">
        <v>1</v>
      </c>
      <c r="H2146" t="s">
        <v>341</v>
      </c>
      <c r="K2146" t="s">
        <v>393</v>
      </c>
      <c r="L2146" t="s">
        <v>303</v>
      </c>
      <c r="M2146" t="s">
        <v>323</v>
      </c>
      <c r="N2146" t="s">
        <v>63</v>
      </c>
      <c r="O2146">
        <v>29.9</v>
      </c>
      <c r="R2146">
        <v>294.89</v>
      </c>
      <c r="S2146">
        <v>39.9</v>
      </c>
      <c r="T2146" s="110">
        <v>0</v>
      </c>
      <c r="U2146">
        <v>42.99</v>
      </c>
      <c r="X2146">
        <v>142.09999999999997</v>
      </c>
      <c r="Y2146">
        <v>69.900000000000006</v>
      </c>
      <c r="Z2146">
        <v>69.900000000000006</v>
      </c>
      <c r="AA2146">
        <v>0</v>
      </c>
      <c r="AB2146" t="s">
        <v>363</v>
      </c>
      <c r="AF2146" t="s">
        <v>501</v>
      </c>
      <c r="AG2146" t="s">
        <v>501</v>
      </c>
      <c r="AH2146" t="s">
        <v>325</v>
      </c>
      <c r="AI2146">
        <v>99999</v>
      </c>
      <c r="AJ2146">
        <v>99999</v>
      </c>
      <c r="AK2146">
        <v>699</v>
      </c>
      <c r="AL2146" t="b">
        <v>1</v>
      </c>
      <c r="AM2146" t="b">
        <v>1</v>
      </c>
      <c r="AN2146" t="b">
        <v>1</v>
      </c>
      <c r="AO2146">
        <v>99999</v>
      </c>
      <c r="AP2146" t="s">
        <v>64</v>
      </c>
      <c r="AR2146" t="b">
        <v>0</v>
      </c>
      <c r="AS2146">
        <v>12</v>
      </c>
      <c r="AT2146" t="s">
        <v>327</v>
      </c>
      <c r="AV2146" t="s">
        <v>539</v>
      </c>
    </row>
    <row r="2147" spans="1:48" x14ac:dyDescent="0.25">
      <c r="A2147" t="s">
        <v>3323</v>
      </c>
      <c r="B2147" t="s">
        <v>302</v>
      </c>
      <c r="C2147" t="s">
        <v>62</v>
      </c>
      <c r="D2147">
        <v>99999</v>
      </c>
      <c r="F2147" s="109">
        <v>4000</v>
      </c>
      <c r="G2147" t="b">
        <v>1</v>
      </c>
      <c r="H2147" t="s">
        <v>341</v>
      </c>
      <c r="K2147" t="s">
        <v>393</v>
      </c>
      <c r="L2147" t="s">
        <v>303</v>
      </c>
      <c r="M2147" t="s">
        <v>323</v>
      </c>
      <c r="N2147" t="s">
        <v>63</v>
      </c>
      <c r="O2147">
        <v>29.9</v>
      </c>
      <c r="R2147">
        <v>309.89</v>
      </c>
      <c r="S2147">
        <v>59.9</v>
      </c>
      <c r="T2147" s="110">
        <v>0</v>
      </c>
      <c r="U2147">
        <v>42.99</v>
      </c>
      <c r="X2147">
        <v>137.09999999999997</v>
      </c>
      <c r="Y2147">
        <v>69.900000000000006</v>
      </c>
      <c r="Z2147">
        <v>69.900000000000006</v>
      </c>
      <c r="AA2147">
        <v>0</v>
      </c>
      <c r="AB2147" t="s">
        <v>363</v>
      </c>
      <c r="AF2147" t="s">
        <v>635</v>
      </c>
      <c r="AG2147" t="s">
        <v>635</v>
      </c>
      <c r="AH2147" t="s">
        <v>325</v>
      </c>
      <c r="AI2147">
        <v>99999</v>
      </c>
      <c r="AJ2147">
        <v>99999</v>
      </c>
      <c r="AK2147">
        <v>699</v>
      </c>
      <c r="AL2147" t="b">
        <v>1</v>
      </c>
      <c r="AM2147" t="b">
        <v>1</v>
      </c>
      <c r="AN2147" t="b">
        <v>1</v>
      </c>
      <c r="AO2147">
        <v>99999</v>
      </c>
      <c r="AP2147" t="s">
        <v>64</v>
      </c>
      <c r="AR2147" t="b">
        <v>0</v>
      </c>
      <c r="AS2147">
        <v>12</v>
      </c>
      <c r="AT2147" t="s">
        <v>327</v>
      </c>
      <c r="AV2147" t="s">
        <v>673</v>
      </c>
    </row>
    <row r="2148" spans="1:48" x14ac:dyDescent="0.25">
      <c r="A2148" t="s">
        <v>3323</v>
      </c>
      <c r="B2148" t="s">
        <v>302</v>
      </c>
      <c r="C2148" t="s">
        <v>62</v>
      </c>
      <c r="D2148">
        <v>99999</v>
      </c>
      <c r="F2148" s="109">
        <v>4000</v>
      </c>
      <c r="G2148" t="b">
        <v>1</v>
      </c>
      <c r="H2148" t="s">
        <v>341</v>
      </c>
      <c r="K2148" t="s">
        <v>393</v>
      </c>
      <c r="L2148" t="s">
        <v>303</v>
      </c>
      <c r="M2148" t="s">
        <v>323</v>
      </c>
      <c r="N2148" t="s">
        <v>63</v>
      </c>
      <c r="O2148">
        <v>39.9</v>
      </c>
      <c r="R2148">
        <v>279.89</v>
      </c>
      <c r="S2148">
        <v>39.9</v>
      </c>
      <c r="T2148" s="110">
        <v>0</v>
      </c>
      <c r="U2148">
        <v>42.99</v>
      </c>
      <c r="X2148">
        <v>127.09999999999997</v>
      </c>
      <c r="Y2148">
        <v>69.900000000000006</v>
      </c>
      <c r="Z2148">
        <v>69.900000000000006</v>
      </c>
      <c r="AA2148">
        <v>0</v>
      </c>
      <c r="AB2148" t="s">
        <v>363</v>
      </c>
      <c r="AF2148" t="s">
        <v>434</v>
      </c>
      <c r="AG2148" t="s">
        <v>434</v>
      </c>
      <c r="AH2148" t="s">
        <v>325</v>
      </c>
      <c r="AI2148">
        <v>99999</v>
      </c>
      <c r="AJ2148">
        <v>99999</v>
      </c>
      <c r="AK2148">
        <v>699</v>
      </c>
      <c r="AL2148" t="b">
        <v>1</v>
      </c>
      <c r="AM2148" t="b">
        <v>1</v>
      </c>
      <c r="AN2148" t="b">
        <v>1</v>
      </c>
      <c r="AO2148">
        <v>99999</v>
      </c>
      <c r="AP2148" t="s">
        <v>64</v>
      </c>
      <c r="AR2148" t="b">
        <v>0</v>
      </c>
      <c r="AS2148">
        <v>12</v>
      </c>
      <c r="AT2148" t="s">
        <v>327</v>
      </c>
      <c r="AV2148" t="s">
        <v>472</v>
      </c>
    </row>
    <row r="2149" spans="1:48" x14ac:dyDescent="0.25">
      <c r="A2149" t="s">
        <v>3323</v>
      </c>
      <c r="B2149" t="s">
        <v>302</v>
      </c>
      <c r="C2149" t="s">
        <v>62</v>
      </c>
      <c r="D2149">
        <v>99999</v>
      </c>
      <c r="F2149" s="109">
        <v>4000</v>
      </c>
      <c r="G2149" t="b">
        <v>1</v>
      </c>
      <c r="H2149" t="s">
        <v>341</v>
      </c>
      <c r="K2149" t="s">
        <v>393</v>
      </c>
      <c r="L2149" t="s">
        <v>303</v>
      </c>
      <c r="M2149" t="s">
        <v>323</v>
      </c>
      <c r="N2149" t="s">
        <v>63</v>
      </c>
      <c r="O2149">
        <v>39.9</v>
      </c>
      <c r="R2149">
        <v>294.89</v>
      </c>
      <c r="S2149">
        <v>39.9</v>
      </c>
      <c r="T2149" s="110">
        <v>0</v>
      </c>
      <c r="U2149">
        <v>42.99</v>
      </c>
      <c r="X2149">
        <v>142.09999999999997</v>
      </c>
      <c r="Y2149">
        <v>69.900000000000006</v>
      </c>
      <c r="Z2149">
        <v>69.900000000000006</v>
      </c>
      <c r="AA2149">
        <v>0</v>
      </c>
      <c r="AB2149" t="s">
        <v>363</v>
      </c>
      <c r="AF2149" t="s">
        <v>568</v>
      </c>
      <c r="AG2149" t="s">
        <v>568</v>
      </c>
      <c r="AH2149" t="s">
        <v>325</v>
      </c>
      <c r="AI2149">
        <v>99999</v>
      </c>
      <c r="AJ2149">
        <v>99999</v>
      </c>
      <c r="AK2149">
        <v>699</v>
      </c>
      <c r="AL2149" t="b">
        <v>1</v>
      </c>
      <c r="AM2149" t="b">
        <v>1</v>
      </c>
      <c r="AN2149" t="b">
        <v>1</v>
      </c>
      <c r="AO2149">
        <v>99999</v>
      </c>
      <c r="AP2149" t="s">
        <v>64</v>
      </c>
      <c r="AR2149" t="b">
        <v>0</v>
      </c>
      <c r="AS2149">
        <v>12</v>
      </c>
      <c r="AT2149" t="s">
        <v>327</v>
      </c>
      <c r="AV2149" t="s">
        <v>606</v>
      </c>
    </row>
    <row r="2150" spans="1:48" x14ac:dyDescent="0.25">
      <c r="A2150" t="s">
        <v>3323</v>
      </c>
      <c r="B2150" t="s">
        <v>302</v>
      </c>
      <c r="C2150" t="s">
        <v>62</v>
      </c>
      <c r="D2150">
        <v>99999</v>
      </c>
      <c r="F2150" s="109">
        <v>4000</v>
      </c>
      <c r="G2150" t="b">
        <v>1</v>
      </c>
      <c r="H2150" t="s">
        <v>341</v>
      </c>
      <c r="K2150" t="s">
        <v>393</v>
      </c>
      <c r="L2150" t="s">
        <v>303</v>
      </c>
      <c r="M2150" t="s">
        <v>323</v>
      </c>
      <c r="N2150" t="s">
        <v>63</v>
      </c>
      <c r="O2150">
        <v>39.9</v>
      </c>
      <c r="R2150">
        <v>309.89</v>
      </c>
      <c r="S2150">
        <v>59.9</v>
      </c>
      <c r="T2150" s="110">
        <v>0</v>
      </c>
      <c r="U2150">
        <v>42.99</v>
      </c>
      <c r="X2150">
        <v>137.09999999999997</v>
      </c>
      <c r="Y2150">
        <v>69.900000000000006</v>
      </c>
      <c r="Z2150">
        <v>69.900000000000006</v>
      </c>
      <c r="AA2150">
        <v>0</v>
      </c>
      <c r="AB2150" t="s">
        <v>363</v>
      </c>
      <c r="AF2150" t="s">
        <v>702</v>
      </c>
      <c r="AG2150" t="s">
        <v>702</v>
      </c>
      <c r="AH2150" t="s">
        <v>325</v>
      </c>
      <c r="AI2150">
        <v>99999</v>
      </c>
      <c r="AJ2150">
        <v>99999</v>
      </c>
      <c r="AK2150">
        <v>699</v>
      </c>
      <c r="AL2150" t="b">
        <v>1</v>
      </c>
      <c r="AM2150" t="b">
        <v>1</v>
      </c>
      <c r="AN2150" t="b">
        <v>1</v>
      </c>
      <c r="AO2150">
        <v>99999</v>
      </c>
      <c r="AP2150" t="s">
        <v>64</v>
      </c>
      <c r="AR2150" t="b">
        <v>0</v>
      </c>
      <c r="AS2150">
        <v>12</v>
      </c>
      <c r="AT2150" t="s">
        <v>327</v>
      </c>
      <c r="AV2150" t="s">
        <v>740</v>
      </c>
    </row>
    <row r="2151" spans="1:48" x14ac:dyDescent="0.25">
      <c r="A2151" t="s">
        <v>3323</v>
      </c>
      <c r="B2151" t="s">
        <v>302</v>
      </c>
      <c r="C2151" t="s">
        <v>62</v>
      </c>
      <c r="D2151">
        <v>99999</v>
      </c>
      <c r="F2151" s="109">
        <v>4000</v>
      </c>
      <c r="G2151" t="b">
        <v>1</v>
      </c>
      <c r="H2151" t="s">
        <v>341</v>
      </c>
      <c r="K2151" t="s">
        <v>393</v>
      </c>
      <c r="L2151" t="s">
        <v>303</v>
      </c>
      <c r="M2151" t="s">
        <v>323</v>
      </c>
      <c r="N2151" t="s">
        <v>63</v>
      </c>
      <c r="O2151" s="110">
        <v>49.9</v>
      </c>
      <c r="R2151" s="110">
        <v>355.68999999999994</v>
      </c>
      <c r="S2151" s="110">
        <v>130</v>
      </c>
      <c r="T2151" s="110">
        <v>0</v>
      </c>
      <c r="U2151" s="110">
        <v>34.99</v>
      </c>
      <c r="X2151">
        <v>120.79999999999995</v>
      </c>
      <c r="Y2151">
        <v>69.900000000000006</v>
      </c>
      <c r="Z2151">
        <v>69.900000000000006</v>
      </c>
      <c r="AA2151">
        <v>0</v>
      </c>
      <c r="AB2151" t="s">
        <v>363</v>
      </c>
      <c r="AF2151" t="s">
        <v>2212</v>
      </c>
      <c r="AG2151" t="s">
        <v>2212</v>
      </c>
      <c r="AH2151" t="s">
        <v>325</v>
      </c>
      <c r="AI2151">
        <v>99999</v>
      </c>
      <c r="AJ2151">
        <v>99999</v>
      </c>
      <c r="AK2151">
        <v>699</v>
      </c>
      <c r="AL2151" t="b">
        <v>1</v>
      </c>
      <c r="AM2151" t="b">
        <v>1</v>
      </c>
      <c r="AN2151" t="b">
        <v>1</v>
      </c>
      <c r="AO2151">
        <v>99999</v>
      </c>
      <c r="AP2151" t="s">
        <v>64</v>
      </c>
      <c r="AR2151" t="b">
        <v>0</v>
      </c>
      <c r="AS2151">
        <v>12</v>
      </c>
      <c r="AT2151" t="s">
        <v>327</v>
      </c>
      <c r="AV2151" t="s">
        <v>2250</v>
      </c>
    </row>
    <row r="2152" spans="1:48" x14ac:dyDescent="0.25">
      <c r="A2152" t="s">
        <v>3323</v>
      </c>
      <c r="B2152" t="s">
        <v>302</v>
      </c>
      <c r="C2152" t="s">
        <v>62</v>
      </c>
      <c r="D2152">
        <v>99999</v>
      </c>
      <c r="F2152" s="109">
        <v>4000</v>
      </c>
      <c r="G2152" t="b">
        <v>1</v>
      </c>
      <c r="H2152" t="s">
        <v>341</v>
      </c>
      <c r="K2152" t="s">
        <v>393</v>
      </c>
      <c r="L2152" t="s">
        <v>303</v>
      </c>
      <c r="M2152" t="s">
        <v>323</v>
      </c>
      <c r="N2152" t="s">
        <v>63</v>
      </c>
      <c r="O2152" s="110">
        <v>49.9</v>
      </c>
      <c r="R2152" s="110">
        <v>369.99</v>
      </c>
      <c r="S2152" s="110">
        <v>130</v>
      </c>
      <c r="T2152" s="110">
        <v>0</v>
      </c>
      <c r="U2152" s="110">
        <v>42.99</v>
      </c>
      <c r="X2152">
        <v>127.09999999999997</v>
      </c>
      <c r="Y2152">
        <v>69.900000000000006</v>
      </c>
      <c r="Z2152">
        <v>69.900000000000006</v>
      </c>
      <c r="AA2152">
        <v>0</v>
      </c>
      <c r="AB2152" t="s">
        <v>363</v>
      </c>
      <c r="AF2152" t="s">
        <v>2286</v>
      </c>
      <c r="AG2152" t="s">
        <v>2286</v>
      </c>
      <c r="AH2152" t="s">
        <v>325</v>
      </c>
      <c r="AI2152">
        <v>99999</v>
      </c>
      <c r="AJ2152">
        <v>99999</v>
      </c>
      <c r="AK2152">
        <v>699</v>
      </c>
      <c r="AL2152" t="b">
        <v>1</v>
      </c>
      <c r="AM2152" t="b">
        <v>1</v>
      </c>
      <c r="AN2152" t="b">
        <v>1</v>
      </c>
      <c r="AO2152">
        <v>99999</v>
      </c>
      <c r="AP2152" t="s">
        <v>64</v>
      </c>
      <c r="AR2152" t="b">
        <v>0</v>
      </c>
      <c r="AS2152">
        <v>12</v>
      </c>
      <c r="AT2152" t="s">
        <v>327</v>
      </c>
      <c r="AV2152" t="s">
        <v>2324</v>
      </c>
    </row>
    <row r="2153" spans="1:48" x14ac:dyDescent="0.25">
      <c r="A2153" t="s">
        <v>3323</v>
      </c>
      <c r="B2153" t="s">
        <v>302</v>
      </c>
      <c r="C2153" t="s">
        <v>62</v>
      </c>
      <c r="D2153">
        <v>99999</v>
      </c>
      <c r="F2153" s="109">
        <v>4000</v>
      </c>
      <c r="G2153" t="b">
        <v>1</v>
      </c>
      <c r="H2153" t="s">
        <v>341</v>
      </c>
      <c r="K2153" t="s">
        <v>393</v>
      </c>
      <c r="L2153" t="s">
        <v>303</v>
      </c>
      <c r="M2153" t="s">
        <v>323</v>
      </c>
      <c r="N2153" t="s">
        <v>63</v>
      </c>
      <c r="O2153" s="110">
        <v>49.9</v>
      </c>
      <c r="R2153" s="110">
        <v>384.99</v>
      </c>
      <c r="S2153" s="110">
        <v>130</v>
      </c>
      <c r="T2153" s="110">
        <v>0</v>
      </c>
      <c r="U2153" s="110">
        <v>42.99</v>
      </c>
      <c r="X2153">
        <v>142.09999999999997</v>
      </c>
      <c r="Y2153">
        <v>69.900000000000006</v>
      </c>
      <c r="Z2153">
        <v>69.900000000000006</v>
      </c>
      <c r="AA2153">
        <v>0</v>
      </c>
      <c r="AB2153" t="s">
        <v>363</v>
      </c>
      <c r="AF2153" t="s">
        <v>2353</v>
      </c>
      <c r="AG2153" t="s">
        <v>2353</v>
      </c>
      <c r="AH2153" t="s">
        <v>325</v>
      </c>
      <c r="AI2153">
        <v>99999</v>
      </c>
      <c r="AJ2153">
        <v>99999</v>
      </c>
      <c r="AK2153">
        <v>699</v>
      </c>
      <c r="AL2153" t="b">
        <v>1</v>
      </c>
      <c r="AM2153" t="b">
        <v>1</v>
      </c>
      <c r="AN2153" t="b">
        <v>1</v>
      </c>
      <c r="AO2153">
        <v>99999</v>
      </c>
      <c r="AP2153" t="s">
        <v>64</v>
      </c>
      <c r="AR2153" t="b">
        <v>0</v>
      </c>
      <c r="AS2153">
        <v>12</v>
      </c>
      <c r="AT2153" t="s">
        <v>327</v>
      </c>
      <c r="AV2153" t="s">
        <v>2391</v>
      </c>
    </row>
    <row r="2154" spans="1:48" x14ac:dyDescent="0.25">
      <c r="A2154" t="s">
        <v>3323</v>
      </c>
      <c r="B2154" t="s">
        <v>302</v>
      </c>
      <c r="C2154" t="s">
        <v>62</v>
      </c>
      <c r="D2154">
        <v>99999</v>
      </c>
      <c r="F2154" s="109">
        <v>4000</v>
      </c>
      <c r="G2154" t="b">
        <v>1</v>
      </c>
      <c r="H2154" t="s">
        <v>341</v>
      </c>
      <c r="K2154" t="s">
        <v>393</v>
      </c>
      <c r="L2154" t="s">
        <v>303</v>
      </c>
      <c r="M2154" t="s">
        <v>323</v>
      </c>
      <c r="N2154" t="s">
        <v>63</v>
      </c>
      <c r="O2154" s="110">
        <v>49.9</v>
      </c>
      <c r="R2154" s="110">
        <v>379.99</v>
      </c>
      <c r="S2154" s="110">
        <v>130</v>
      </c>
      <c r="T2154" s="110">
        <v>0</v>
      </c>
      <c r="U2154" s="110">
        <v>42.99</v>
      </c>
      <c r="X2154">
        <v>137.09999999999997</v>
      </c>
      <c r="Y2154">
        <v>69.900000000000006</v>
      </c>
      <c r="Z2154">
        <v>69.900000000000006</v>
      </c>
      <c r="AA2154">
        <v>0</v>
      </c>
      <c r="AB2154" t="s">
        <v>363</v>
      </c>
      <c r="AF2154" t="s">
        <v>2420</v>
      </c>
      <c r="AG2154" t="s">
        <v>2420</v>
      </c>
      <c r="AH2154" t="s">
        <v>325</v>
      </c>
      <c r="AI2154">
        <v>99999</v>
      </c>
      <c r="AJ2154">
        <v>99999</v>
      </c>
      <c r="AK2154">
        <v>699</v>
      </c>
      <c r="AL2154" t="b">
        <v>1</v>
      </c>
      <c r="AM2154" t="b">
        <v>1</v>
      </c>
      <c r="AN2154" t="b">
        <v>1</v>
      </c>
      <c r="AO2154">
        <v>99999</v>
      </c>
      <c r="AP2154" t="s">
        <v>64</v>
      </c>
      <c r="AR2154" t="b">
        <v>0</v>
      </c>
      <c r="AS2154">
        <v>12</v>
      </c>
      <c r="AT2154" t="s">
        <v>327</v>
      </c>
      <c r="AV2154" t="s">
        <v>2458</v>
      </c>
    </row>
    <row r="2155" spans="1:48" x14ac:dyDescent="0.25">
      <c r="A2155" t="s">
        <v>3323</v>
      </c>
      <c r="B2155" t="s">
        <v>302</v>
      </c>
      <c r="C2155" t="s">
        <v>62</v>
      </c>
      <c r="D2155">
        <v>99999</v>
      </c>
      <c r="F2155" s="109">
        <v>4000</v>
      </c>
      <c r="G2155" t="b">
        <v>1</v>
      </c>
      <c r="H2155" t="s">
        <v>341</v>
      </c>
      <c r="K2155" t="s">
        <v>364</v>
      </c>
      <c r="L2155" t="s">
        <v>303</v>
      </c>
      <c r="M2155" t="s">
        <v>323</v>
      </c>
      <c r="N2155" t="s">
        <v>63</v>
      </c>
      <c r="O2155">
        <v>29.9</v>
      </c>
      <c r="R2155">
        <v>259.89</v>
      </c>
      <c r="S2155">
        <v>39.9</v>
      </c>
      <c r="T2155" s="110">
        <v>0</v>
      </c>
      <c r="U2155">
        <v>42.99</v>
      </c>
      <c r="X2155">
        <v>127.09999999999997</v>
      </c>
      <c r="Y2155">
        <v>49.9</v>
      </c>
      <c r="Z2155">
        <v>49.9</v>
      </c>
      <c r="AA2155">
        <v>0</v>
      </c>
      <c r="AB2155" t="s">
        <v>363</v>
      </c>
      <c r="AF2155" t="s">
        <v>365</v>
      </c>
      <c r="AG2155" t="s">
        <v>365</v>
      </c>
      <c r="AH2155" t="s">
        <v>325</v>
      </c>
      <c r="AI2155">
        <v>99999</v>
      </c>
      <c r="AJ2155">
        <v>99999</v>
      </c>
      <c r="AK2155">
        <v>699</v>
      </c>
      <c r="AL2155" t="b">
        <v>1</v>
      </c>
      <c r="AM2155" t="b">
        <v>1</v>
      </c>
      <c r="AN2155" t="b">
        <v>1</v>
      </c>
      <c r="AO2155">
        <v>99999</v>
      </c>
      <c r="AP2155" t="s">
        <v>64</v>
      </c>
      <c r="AR2155" t="b">
        <v>0</v>
      </c>
      <c r="AS2155">
        <v>12</v>
      </c>
      <c r="AT2155" t="s">
        <v>327</v>
      </c>
      <c r="AV2155" t="s">
        <v>377</v>
      </c>
    </row>
    <row r="2156" spans="1:48" x14ac:dyDescent="0.25">
      <c r="A2156" t="s">
        <v>3323</v>
      </c>
      <c r="B2156" t="s">
        <v>302</v>
      </c>
      <c r="C2156" t="s">
        <v>62</v>
      </c>
      <c r="D2156">
        <v>99999</v>
      </c>
      <c r="F2156" s="109">
        <v>4000</v>
      </c>
      <c r="G2156" t="b">
        <v>1</v>
      </c>
      <c r="H2156" t="s">
        <v>341</v>
      </c>
      <c r="K2156" t="s">
        <v>364</v>
      </c>
      <c r="L2156" t="s">
        <v>303</v>
      </c>
      <c r="M2156" t="s">
        <v>323</v>
      </c>
      <c r="N2156" t="s">
        <v>63</v>
      </c>
      <c r="O2156">
        <v>29.9</v>
      </c>
      <c r="R2156">
        <v>274.89</v>
      </c>
      <c r="S2156">
        <v>39.9</v>
      </c>
      <c r="T2156" s="110">
        <v>0</v>
      </c>
      <c r="U2156">
        <v>42.99</v>
      </c>
      <c r="X2156">
        <v>142.09999999999997</v>
      </c>
      <c r="Y2156">
        <v>49.9</v>
      </c>
      <c r="Z2156">
        <v>49.9</v>
      </c>
      <c r="AA2156">
        <v>0</v>
      </c>
      <c r="AB2156" t="s">
        <v>363</v>
      </c>
      <c r="AF2156" t="s">
        <v>501</v>
      </c>
      <c r="AG2156" t="s">
        <v>501</v>
      </c>
      <c r="AH2156" t="s">
        <v>325</v>
      </c>
      <c r="AI2156">
        <v>99999</v>
      </c>
      <c r="AJ2156">
        <v>99999</v>
      </c>
      <c r="AK2156">
        <v>699</v>
      </c>
      <c r="AL2156" t="b">
        <v>1</v>
      </c>
      <c r="AM2156" t="b">
        <v>1</v>
      </c>
      <c r="AN2156" t="b">
        <v>1</v>
      </c>
      <c r="AO2156">
        <v>99999</v>
      </c>
      <c r="AP2156" t="s">
        <v>64</v>
      </c>
      <c r="AR2156" t="b">
        <v>0</v>
      </c>
      <c r="AS2156">
        <v>12</v>
      </c>
      <c r="AT2156" t="s">
        <v>327</v>
      </c>
      <c r="AV2156" t="s">
        <v>513</v>
      </c>
    </row>
    <row r="2157" spans="1:48" x14ac:dyDescent="0.25">
      <c r="A2157" t="s">
        <v>3323</v>
      </c>
      <c r="B2157" t="s">
        <v>302</v>
      </c>
      <c r="C2157" t="s">
        <v>62</v>
      </c>
      <c r="D2157">
        <v>99999</v>
      </c>
      <c r="F2157" s="109">
        <v>4000</v>
      </c>
      <c r="G2157" t="b">
        <v>1</v>
      </c>
      <c r="H2157" t="s">
        <v>341</v>
      </c>
      <c r="K2157" t="s">
        <v>364</v>
      </c>
      <c r="L2157" t="s">
        <v>303</v>
      </c>
      <c r="M2157" t="s">
        <v>323</v>
      </c>
      <c r="N2157" t="s">
        <v>63</v>
      </c>
      <c r="O2157">
        <v>29.9</v>
      </c>
      <c r="R2157">
        <v>289.89</v>
      </c>
      <c r="S2157">
        <v>59.9</v>
      </c>
      <c r="T2157" s="110">
        <v>0</v>
      </c>
      <c r="U2157">
        <v>42.99</v>
      </c>
      <c r="X2157">
        <v>137.09999999999997</v>
      </c>
      <c r="Y2157">
        <v>49.9</v>
      </c>
      <c r="Z2157">
        <v>49.9</v>
      </c>
      <c r="AA2157">
        <v>0</v>
      </c>
      <c r="AB2157" t="s">
        <v>363</v>
      </c>
      <c r="AF2157" t="s">
        <v>635</v>
      </c>
      <c r="AG2157" t="s">
        <v>635</v>
      </c>
      <c r="AH2157" t="s">
        <v>325</v>
      </c>
      <c r="AI2157">
        <v>99999</v>
      </c>
      <c r="AJ2157">
        <v>99999</v>
      </c>
      <c r="AK2157">
        <v>699</v>
      </c>
      <c r="AL2157" t="b">
        <v>1</v>
      </c>
      <c r="AM2157" t="b">
        <v>1</v>
      </c>
      <c r="AN2157" t="b">
        <v>1</v>
      </c>
      <c r="AO2157">
        <v>99999</v>
      </c>
      <c r="AP2157" t="s">
        <v>64</v>
      </c>
      <c r="AR2157" t="b">
        <v>0</v>
      </c>
      <c r="AS2157">
        <v>12</v>
      </c>
      <c r="AT2157" t="s">
        <v>327</v>
      </c>
      <c r="AV2157" t="s">
        <v>647</v>
      </c>
    </row>
    <row r="2158" spans="1:48" x14ac:dyDescent="0.25">
      <c r="A2158" t="s">
        <v>3323</v>
      </c>
      <c r="B2158" t="s">
        <v>302</v>
      </c>
      <c r="C2158" t="s">
        <v>62</v>
      </c>
      <c r="D2158">
        <v>99999</v>
      </c>
      <c r="F2158" s="109">
        <v>4000</v>
      </c>
      <c r="G2158" t="b">
        <v>1</v>
      </c>
      <c r="H2158" t="s">
        <v>341</v>
      </c>
      <c r="K2158" t="s">
        <v>364</v>
      </c>
      <c r="L2158" t="s">
        <v>303</v>
      </c>
      <c r="M2158" t="s">
        <v>323</v>
      </c>
      <c r="N2158" t="s">
        <v>63</v>
      </c>
      <c r="O2158" s="110">
        <v>39.9</v>
      </c>
      <c r="R2158" s="110">
        <v>259.89</v>
      </c>
      <c r="S2158" s="110">
        <v>39.9</v>
      </c>
      <c r="T2158" s="110">
        <v>0</v>
      </c>
      <c r="U2158" s="110">
        <v>42.99</v>
      </c>
      <c r="X2158">
        <v>127.09999999999997</v>
      </c>
      <c r="Y2158">
        <v>49.9</v>
      </c>
      <c r="Z2158">
        <v>49.9</v>
      </c>
      <c r="AA2158">
        <v>0</v>
      </c>
      <c r="AB2158" t="s">
        <v>363</v>
      </c>
      <c r="AF2158" t="s">
        <v>434</v>
      </c>
      <c r="AG2158" t="s">
        <v>434</v>
      </c>
      <c r="AH2158" t="s">
        <v>325</v>
      </c>
      <c r="AI2158">
        <v>99999</v>
      </c>
      <c r="AJ2158">
        <v>99999</v>
      </c>
      <c r="AK2158">
        <v>699</v>
      </c>
      <c r="AL2158" t="b">
        <v>1</v>
      </c>
      <c r="AM2158" t="b">
        <v>1</v>
      </c>
      <c r="AN2158" t="b">
        <v>1</v>
      </c>
      <c r="AO2158">
        <v>99999</v>
      </c>
      <c r="AP2158" t="s">
        <v>64</v>
      </c>
      <c r="AR2158" t="b">
        <v>0</v>
      </c>
      <c r="AS2158">
        <v>12</v>
      </c>
      <c r="AT2158" t="s">
        <v>327</v>
      </c>
      <c r="AV2158" t="s">
        <v>446</v>
      </c>
    </row>
    <row r="2159" spans="1:48" x14ac:dyDescent="0.25">
      <c r="A2159" t="s">
        <v>3323</v>
      </c>
      <c r="B2159" t="s">
        <v>302</v>
      </c>
      <c r="C2159" t="s">
        <v>62</v>
      </c>
      <c r="D2159">
        <v>99999</v>
      </c>
      <c r="F2159" s="109">
        <v>4000</v>
      </c>
      <c r="G2159" t="b">
        <v>1</v>
      </c>
      <c r="H2159" t="s">
        <v>341</v>
      </c>
      <c r="K2159" t="s">
        <v>364</v>
      </c>
      <c r="L2159" t="s">
        <v>303</v>
      </c>
      <c r="M2159" t="s">
        <v>323</v>
      </c>
      <c r="N2159" t="s">
        <v>63</v>
      </c>
      <c r="O2159">
        <v>39.9</v>
      </c>
      <c r="R2159">
        <v>274.89</v>
      </c>
      <c r="S2159">
        <v>39.9</v>
      </c>
      <c r="T2159" s="110">
        <v>0</v>
      </c>
      <c r="U2159">
        <v>42.99</v>
      </c>
      <c r="X2159">
        <v>142.09999999999997</v>
      </c>
      <c r="Y2159">
        <v>49.9</v>
      </c>
      <c r="Z2159">
        <v>49.9</v>
      </c>
      <c r="AA2159">
        <v>0</v>
      </c>
      <c r="AB2159" t="s">
        <v>363</v>
      </c>
      <c r="AF2159" t="s">
        <v>568</v>
      </c>
      <c r="AG2159" t="s">
        <v>568</v>
      </c>
      <c r="AH2159" t="s">
        <v>325</v>
      </c>
      <c r="AI2159">
        <v>99999</v>
      </c>
      <c r="AJ2159">
        <v>99999</v>
      </c>
      <c r="AK2159">
        <v>699</v>
      </c>
      <c r="AL2159" t="b">
        <v>1</v>
      </c>
      <c r="AM2159" t="b">
        <v>1</v>
      </c>
      <c r="AN2159" t="b">
        <v>1</v>
      </c>
      <c r="AO2159">
        <v>99999</v>
      </c>
      <c r="AP2159" t="s">
        <v>64</v>
      </c>
      <c r="AR2159" t="b">
        <v>0</v>
      </c>
      <c r="AS2159">
        <v>12</v>
      </c>
      <c r="AT2159" t="s">
        <v>327</v>
      </c>
      <c r="AV2159" t="s">
        <v>580</v>
      </c>
    </row>
    <row r="2160" spans="1:48" x14ac:dyDescent="0.25">
      <c r="A2160" t="s">
        <v>3323</v>
      </c>
      <c r="B2160" t="s">
        <v>302</v>
      </c>
      <c r="C2160" t="s">
        <v>62</v>
      </c>
      <c r="D2160">
        <v>99999</v>
      </c>
      <c r="F2160" s="109">
        <v>4000</v>
      </c>
      <c r="G2160" t="b">
        <v>1</v>
      </c>
      <c r="H2160" t="s">
        <v>341</v>
      </c>
      <c r="K2160" t="s">
        <v>364</v>
      </c>
      <c r="L2160" t="s">
        <v>303</v>
      </c>
      <c r="M2160" t="s">
        <v>323</v>
      </c>
      <c r="N2160" t="s">
        <v>63</v>
      </c>
      <c r="O2160">
        <v>39.9</v>
      </c>
      <c r="R2160">
        <v>289.89</v>
      </c>
      <c r="S2160">
        <v>59.9</v>
      </c>
      <c r="T2160" s="110">
        <v>0</v>
      </c>
      <c r="U2160">
        <v>42.99</v>
      </c>
      <c r="X2160">
        <v>137.09999999999997</v>
      </c>
      <c r="Y2160">
        <v>49.9</v>
      </c>
      <c r="Z2160">
        <v>49.9</v>
      </c>
      <c r="AA2160">
        <v>0</v>
      </c>
      <c r="AB2160" t="s">
        <v>363</v>
      </c>
      <c r="AF2160" t="s">
        <v>702</v>
      </c>
      <c r="AG2160" t="s">
        <v>702</v>
      </c>
      <c r="AH2160" t="s">
        <v>325</v>
      </c>
      <c r="AI2160">
        <v>99999</v>
      </c>
      <c r="AJ2160">
        <v>99999</v>
      </c>
      <c r="AK2160">
        <v>699</v>
      </c>
      <c r="AL2160" t="b">
        <v>1</v>
      </c>
      <c r="AM2160" t="b">
        <v>1</v>
      </c>
      <c r="AN2160" t="b">
        <v>1</v>
      </c>
      <c r="AO2160">
        <v>99999</v>
      </c>
      <c r="AP2160" t="s">
        <v>64</v>
      </c>
      <c r="AR2160" t="b">
        <v>0</v>
      </c>
      <c r="AS2160">
        <v>12</v>
      </c>
      <c r="AT2160" t="s">
        <v>327</v>
      </c>
      <c r="AV2160" t="s">
        <v>714</v>
      </c>
    </row>
    <row r="2161" spans="1:48" x14ac:dyDescent="0.25">
      <c r="A2161" t="s">
        <v>3323</v>
      </c>
      <c r="B2161" t="s">
        <v>302</v>
      </c>
      <c r="C2161" t="s">
        <v>62</v>
      </c>
      <c r="D2161">
        <v>99999</v>
      </c>
      <c r="F2161" s="109">
        <v>4000</v>
      </c>
      <c r="G2161" t="b">
        <v>1</v>
      </c>
      <c r="H2161" t="s">
        <v>341</v>
      </c>
      <c r="K2161" t="s">
        <v>364</v>
      </c>
      <c r="L2161" t="s">
        <v>303</v>
      </c>
      <c r="M2161" t="s">
        <v>323</v>
      </c>
      <c r="N2161" t="s">
        <v>63</v>
      </c>
      <c r="O2161" s="110">
        <v>49.9</v>
      </c>
      <c r="R2161" s="110">
        <v>335.68999999999994</v>
      </c>
      <c r="S2161" s="110">
        <v>130</v>
      </c>
      <c r="T2161" s="110">
        <v>0</v>
      </c>
      <c r="U2161" s="110">
        <v>34.99</v>
      </c>
      <c r="X2161">
        <v>120.79999999999995</v>
      </c>
      <c r="Y2161">
        <v>49.9</v>
      </c>
      <c r="Z2161">
        <v>49.9</v>
      </c>
      <c r="AA2161">
        <v>0</v>
      </c>
      <c r="AB2161" t="s">
        <v>363</v>
      </c>
      <c r="AF2161" t="s">
        <v>2212</v>
      </c>
      <c r="AG2161" t="s">
        <v>2212</v>
      </c>
      <c r="AH2161" t="s">
        <v>325</v>
      </c>
      <c r="AI2161">
        <v>99999</v>
      </c>
      <c r="AJ2161">
        <v>99999</v>
      </c>
      <c r="AK2161">
        <v>699</v>
      </c>
      <c r="AL2161" t="b">
        <v>1</v>
      </c>
      <c r="AM2161" t="b">
        <v>1</v>
      </c>
      <c r="AN2161" t="b">
        <v>1</v>
      </c>
      <c r="AO2161">
        <v>99999</v>
      </c>
      <c r="AP2161" t="s">
        <v>64</v>
      </c>
      <c r="AR2161" t="b">
        <v>0</v>
      </c>
      <c r="AS2161">
        <v>12</v>
      </c>
      <c r="AT2161" t="s">
        <v>327</v>
      </c>
      <c r="AV2161" t="s">
        <v>2224</v>
      </c>
    </row>
    <row r="2162" spans="1:48" x14ac:dyDescent="0.25">
      <c r="A2162" t="s">
        <v>3323</v>
      </c>
      <c r="B2162" t="s">
        <v>302</v>
      </c>
      <c r="C2162" t="s">
        <v>62</v>
      </c>
      <c r="D2162">
        <v>99999</v>
      </c>
      <c r="F2162" s="109">
        <v>4000</v>
      </c>
      <c r="G2162" t="b">
        <v>1</v>
      </c>
      <c r="H2162" t="s">
        <v>341</v>
      </c>
      <c r="K2162" t="s">
        <v>364</v>
      </c>
      <c r="L2162" t="s">
        <v>303</v>
      </c>
      <c r="M2162" t="s">
        <v>323</v>
      </c>
      <c r="N2162" t="s">
        <v>63</v>
      </c>
      <c r="O2162" s="110">
        <v>49.9</v>
      </c>
      <c r="R2162" s="110">
        <v>349.98999999999995</v>
      </c>
      <c r="S2162" s="110">
        <v>130</v>
      </c>
      <c r="T2162" s="110">
        <v>0</v>
      </c>
      <c r="U2162" s="110">
        <v>42.99</v>
      </c>
      <c r="X2162">
        <v>127.09999999999997</v>
      </c>
      <c r="Y2162">
        <v>49.9</v>
      </c>
      <c r="Z2162">
        <v>49.9</v>
      </c>
      <c r="AA2162">
        <v>0</v>
      </c>
      <c r="AB2162" t="s">
        <v>363</v>
      </c>
      <c r="AF2162" t="s">
        <v>2286</v>
      </c>
      <c r="AG2162" t="s">
        <v>2286</v>
      </c>
      <c r="AH2162" t="s">
        <v>325</v>
      </c>
      <c r="AI2162">
        <v>99999</v>
      </c>
      <c r="AJ2162">
        <v>99999</v>
      </c>
      <c r="AK2162">
        <v>699</v>
      </c>
      <c r="AL2162" t="b">
        <v>1</v>
      </c>
      <c r="AM2162" t="b">
        <v>1</v>
      </c>
      <c r="AN2162" t="b">
        <v>1</v>
      </c>
      <c r="AO2162">
        <v>99999</v>
      </c>
      <c r="AP2162" t="s">
        <v>64</v>
      </c>
      <c r="AR2162" t="b">
        <v>0</v>
      </c>
      <c r="AS2162">
        <v>12</v>
      </c>
      <c r="AT2162" t="s">
        <v>327</v>
      </c>
      <c r="AV2162" t="s">
        <v>2298</v>
      </c>
    </row>
    <row r="2163" spans="1:48" x14ac:dyDescent="0.25">
      <c r="A2163" t="s">
        <v>3323</v>
      </c>
      <c r="B2163" t="s">
        <v>302</v>
      </c>
      <c r="C2163" t="s">
        <v>62</v>
      </c>
      <c r="D2163">
        <v>99999</v>
      </c>
      <c r="F2163" s="109">
        <v>4000</v>
      </c>
      <c r="G2163" t="b">
        <v>1</v>
      </c>
      <c r="H2163" t="s">
        <v>341</v>
      </c>
      <c r="K2163" t="s">
        <v>364</v>
      </c>
      <c r="L2163" t="s">
        <v>303</v>
      </c>
      <c r="M2163" t="s">
        <v>323</v>
      </c>
      <c r="N2163" t="s">
        <v>63</v>
      </c>
      <c r="O2163" s="110">
        <v>49.9</v>
      </c>
      <c r="R2163" s="110">
        <v>364.98999999999995</v>
      </c>
      <c r="S2163" s="110">
        <v>130</v>
      </c>
      <c r="T2163" s="110">
        <v>0</v>
      </c>
      <c r="U2163" s="110">
        <v>42.99</v>
      </c>
      <c r="X2163">
        <v>142.09999999999997</v>
      </c>
      <c r="Y2163">
        <v>49.9</v>
      </c>
      <c r="Z2163">
        <v>49.9</v>
      </c>
      <c r="AA2163">
        <v>0</v>
      </c>
      <c r="AB2163" t="s">
        <v>363</v>
      </c>
      <c r="AF2163" t="s">
        <v>2353</v>
      </c>
      <c r="AG2163" t="s">
        <v>2353</v>
      </c>
      <c r="AH2163" t="s">
        <v>325</v>
      </c>
      <c r="AI2163">
        <v>99999</v>
      </c>
      <c r="AJ2163">
        <v>99999</v>
      </c>
      <c r="AK2163">
        <v>699</v>
      </c>
      <c r="AL2163" t="b">
        <v>1</v>
      </c>
      <c r="AM2163" t="b">
        <v>1</v>
      </c>
      <c r="AN2163" t="b">
        <v>1</v>
      </c>
      <c r="AO2163">
        <v>99999</v>
      </c>
      <c r="AP2163" t="s">
        <v>64</v>
      </c>
      <c r="AR2163" t="b">
        <v>0</v>
      </c>
      <c r="AS2163">
        <v>12</v>
      </c>
      <c r="AT2163" t="s">
        <v>327</v>
      </c>
      <c r="AV2163" t="s">
        <v>2365</v>
      </c>
    </row>
    <row r="2164" spans="1:48" x14ac:dyDescent="0.25">
      <c r="A2164" t="s">
        <v>3323</v>
      </c>
      <c r="B2164" t="s">
        <v>302</v>
      </c>
      <c r="C2164" t="s">
        <v>62</v>
      </c>
      <c r="D2164">
        <v>99999</v>
      </c>
      <c r="F2164" s="109">
        <v>4000</v>
      </c>
      <c r="G2164" t="b">
        <v>1</v>
      </c>
      <c r="H2164" t="s">
        <v>341</v>
      </c>
      <c r="K2164" t="s">
        <v>364</v>
      </c>
      <c r="L2164" t="s">
        <v>303</v>
      </c>
      <c r="M2164" t="s">
        <v>323</v>
      </c>
      <c r="N2164" t="s">
        <v>63</v>
      </c>
      <c r="O2164" s="110">
        <v>49.9</v>
      </c>
      <c r="R2164" s="110">
        <v>359.98999999999995</v>
      </c>
      <c r="S2164" s="110">
        <v>130</v>
      </c>
      <c r="T2164" s="110">
        <v>0</v>
      </c>
      <c r="U2164" s="110">
        <v>42.99</v>
      </c>
      <c r="X2164">
        <v>137.09999999999997</v>
      </c>
      <c r="Y2164">
        <v>49.9</v>
      </c>
      <c r="Z2164">
        <v>49.9</v>
      </c>
      <c r="AA2164">
        <v>0</v>
      </c>
      <c r="AB2164" t="s">
        <v>363</v>
      </c>
      <c r="AF2164" t="s">
        <v>2420</v>
      </c>
      <c r="AG2164" t="s">
        <v>2420</v>
      </c>
      <c r="AH2164" t="s">
        <v>325</v>
      </c>
      <c r="AI2164">
        <v>99999</v>
      </c>
      <c r="AJ2164">
        <v>99999</v>
      </c>
      <c r="AK2164">
        <v>699</v>
      </c>
      <c r="AL2164" t="b">
        <v>1</v>
      </c>
      <c r="AM2164" t="b">
        <v>1</v>
      </c>
      <c r="AN2164" t="b">
        <v>1</v>
      </c>
      <c r="AO2164">
        <v>99999</v>
      </c>
      <c r="AP2164" t="s">
        <v>64</v>
      </c>
      <c r="AR2164" t="b">
        <v>0</v>
      </c>
      <c r="AS2164">
        <v>12</v>
      </c>
      <c r="AT2164" t="s">
        <v>327</v>
      </c>
      <c r="AV2164" t="s">
        <v>2432</v>
      </c>
    </row>
    <row r="2165" spans="1:48" x14ac:dyDescent="0.25">
      <c r="A2165" t="s">
        <v>3323</v>
      </c>
      <c r="B2165" t="s">
        <v>302</v>
      </c>
      <c r="C2165" t="s">
        <v>62</v>
      </c>
      <c r="D2165">
        <v>99999</v>
      </c>
      <c r="F2165" s="109">
        <v>4000</v>
      </c>
      <c r="G2165" t="b">
        <v>1</v>
      </c>
      <c r="H2165" t="s">
        <v>341</v>
      </c>
      <c r="K2165" t="s">
        <v>379</v>
      </c>
      <c r="L2165" t="s">
        <v>303</v>
      </c>
      <c r="M2165" t="s">
        <v>323</v>
      </c>
      <c r="N2165" t="s">
        <v>63</v>
      </c>
      <c r="O2165">
        <v>29.9</v>
      </c>
      <c r="R2165">
        <v>269.89</v>
      </c>
      <c r="S2165">
        <v>39.9</v>
      </c>
      <c r="T2165" s="110">
        <v>0</v>
      </c>
      <c r="U2165">
        <v>42.99</v>
      </c>
      <c r="X2165">
        <v>127.09999999999997</v>
      </c>
      <c r="Y2165">
        <v>59.9</v>
      </c>
      <c r="Z2165">
        <v>59.9</v>
      </c>
      <c r="AA2165">
        <v>0</v>
      </c>
      <c r="AB2165" t="s">
        <v>363</v>
      </c>
      <c r="AF2165" t="s">
        <v>365</v>
      </c>
      <c r="AG2165" t="s">
        <v>365</v>
      </c>
      <c r="AH2165" t="s">
        <v>325</v>
      </c>
      <c r="AI2165">
        <v>99999</v>
      </c>
      <c r="AJ2165">
        <v>99999</v>
      </c>
      <c r="AK2165">
        <v>699</v>
      </c>
      <c r="AL2165" t="b">
        <v>1</v>
      </c>
      <c r="AM2165" t="b">
        <v>1</v>
      </c>
      <c r="AN2165" t="b">
        <v>1</v>
      </c>
      <c r="AO2165">
        <v>99999</v>
      </c>
      <c r="AP2165" t="s">
        <v>64</v>
      </c>
      <c r="AR2165" t="b">
        <v>0</v>
      </c>
      <c r="AS2165">
        <v>12</v>
      </c>
      <c r="AT2165" t="s">
        <v>327</v>
      </c>
      <c r="AV2165" t="s">
        <v>391</v>
      </c>
    </row>
    <row r="2166" spans="1:48" x14ac:dyDescent="0.25">
      <c r="A2166" t="s">
        <v>3323</v>
      </c>
      <c r="B2166" t="s">
        <v>302</v>
      </c>
      <c r="C2166" t="s">
        <v>62</v>
      </c>
      <c r="D2166">
        <v>99999</v>
      </c>
      <c r="F2166" s="109">
        <v>4000</v>
      </c>
      <c r="G2166" t="b">
        <v>1</v>
      </c>
      <c r="H2166" t="s">
        <v>341</v>
      </c>
      <c r="K2166" t="s">
        <v>379</v>
      </c>
      <c r="L2166" t="s">
        <v>303</v>
      </c>
      <c r="M2166" t="s">
        <v>323</v>
      </c>
      <c r="N2166" t="s">
        <v>63</v>
      </c>
      <c r="O2166">
        <v>29.9</v>
      </c>
      <c r="R2166">
        <v>284.89</v>
      </c>
      <c r="S2166">
        <v>39.9</v>
      </c>
      <c r="T2166" s="110">
        <v>0</v>
      </c>
      <c r="U2166">
        <v>42.99</v>
      </c>
      <c r="X2166">
        <v>142.09999999999997</v>
      </c>
      <c r="Y2166">
        <v>59.9</v>
      </c>
      <c r="Z2166">
        <v>59.9</v>
      </c>
      <c r="AA2166">
        <v>0</v>
      </c>
      <c r="AB2166" t="s">
        <v>363</v>
      </c>
      <c r="AF2166" t="s">
        <v>501</v>
      </c>
      <c r="AG2166" t="s">
        <v>501</v>
      </c>
      <c r="AH2166" t="s">
        <v>325</v>
      </c>
      <c r="AI2166">
        <v>99999</v>
      </c>
      <c r="AJ2166">
        <v>99999</v>
      </c>
      <c r="AK2166">
        <v>699</v>
      </c>
      <c r="AL2166" t="b">
        <v>1</v>
      </c>
      <c r="AM2166" t="b">
        <v>1</v>
      </c>
      <c r="AN2166" t="b">
        <v>1</v>
      </c>
      <c r="AO2166">
        <v>99999</v>
      </c>
      <c r="AP2166" t="s">
        <v>64</v>
      </c>
      <c r="AR2166" t="b">
        <v>0</v>
      </c>
      <c r="AS2166">
        <v>12</v>
      </c>
      <c r="AT2166" t="s">
        <v>327</v>
      </c>
      <c r="AV2166" t="s">
        <v>526</v>
      </c>
    </row>
    <row r="2167" spans="1:48" x14ac:dyDescent="0.25">
      <c r="A2167" t="s">
        <v>3323</v>
      </c>
      <c r="B2167" t="s">
        <v>302</v>
      </c>
      <c r="C2167" t="s">
        <v>62</v>
      </c>
      <c r="D2167">
        <v>99999</v>
      </c>
      <c r="F2167" s="109">
        <v>4000</v>
      </c>
      <c r="G2167" t="b">
        <v>1</v>
      </c>
      <c r="H2167" t="s">
        <v>341</v>
      </c>
      <c r="K2167" t="s">
        <v>379</v>
      </c>
      <c r="L2167" t="s">
        <v>303</v>
      </c>
      <c r="M2167" t="s">
        <v>323</v>
      </c>
      <c r="N2167" t="s">
        <v>63</v>
      </c>
      <c r="O2167">
        <v>29.9</v>
      </c>
      <c r="R2167">
        <v>299.89</v>
      </c>
      <c r="S2167">
        <v>59.9</v>
      </c>
      <c r="T2167" s="110">
        <v>0</v>
      </c>
      <c r="U2167">
        <v>42.99</v>
      </c>
      <c r="X2167">
        <v>137.09999999999997</v>
      </c>
      <c r="Y2167">
        <v>59.9</v>
      </c>
      <c r="Z2167">
        <v>59.9</v>
      </c>
      <c r="AA2167">
        <v>0</v>
      </c>
      <c r="AB2167" t="s">
        <v>363</v>
      </c>
      <c r="AF2167" t="s">
        <v>635</v>
      </c>
      <c r="AG2167" t="s">
        <v>635</v>
      </c>
      <c r="AH2167" t="s">
        <v>325</v>
      </c>
      <c r="AI2167">
        <v>99999</v>
      </c>
      <c r="AJ2167">
        <v>99999</v>
      </c>
      <c r="AK2167">
        <v>699</v>
      </c>
      <c r="AL2167" t="b">
        <v>1</v>
      </c>
      <c r="AM2167" t="b">
        <v>1</v>
      </c>
      <c r="AN2167" t="b">
        <v>1</v>
      </c>
      <c r="AO2167">
        <v>99999</v>
      </c>
      <c r="AP2167" t="s">
        <v>64</v>
      </c>
      <c r="AR2167" t="b">
        <v>0</v>
      </c>
      <c r="AS2167">
        <v>12</v>
      </c>
      <c r="AT2167" t="s">
        <v>327</v>
      </c>
      <c r="AV2167" t="s">
        <v>660</v>
      </c>
    </row>
    <row r="2168" spans="1:48" x14ac:dyDescent="0.25">
      <c r="A2168" t="s">
        <v>3323</v>
      </c>
      <c r="B2168" t="s">
        <v>302</v>
      </c>
      <c r="C2168" t="s">
        <v>62</v>
      </c>
      <c r="D2168">
        <v>99999</v>
      </c>
      <c r="F2168" s="109">
        <v>4000</v>
      </c>
      <c r="G2168" t="b">
        <v>1</v>
      </c>
      <c r="H2168" t="s">
        <v>341</v>
      </c>
      <c r="K2168" t="s">
        <v>379</v>
      </c>
      <c r="L2168" t="s">
        <v>303</v>
      </c>
      <c r="M2168" t="s">
        <v>323</v>
      </c>
      <c r="N2168" t="s">
        <v>63</v>
      </c>
      <c r="O2168" s="110">
        <v>39.9</v>
      </c>
      <c r="R2168" s="110">
        <v>269.89</v>
      </c>
      <c r="S2168" s="110">
        <v>39.9</v>
      </c>
      <c r="T2168" s="110">
        <v>0</v>
      </c>
      <c r="U2168" s="110">
        <v>42.99</v>
      </c>
      <c r="X2168">
        <v>127.09999999999997</v>
      </c>
      <c r="Y2168">
        <v>59.9</v>
      </c>
      <c r="Z2168">
        <v>59.9</v>
      </c>
      <c r="AA2168">
        <v>0</v>
      </c>
      <c r="AB2168" t="s">
        <v>363</v>
      </c>
      <c r="AF2168" t="s">
        <v>434</v>
      </c>
      <c r="AG2168" t="s">
        <v>434</v>
      </c>
      <c r="AH2168" t="s">
        <v>325</v>
      </c>
      <c r="AI2168">
        <v>99999</v>
      </c>
      <c r="AJ2168">
        <v>99999</v>
      </c>
      <c r="AK2168">
        <v>699</v>
      </c>
      <c r="AL2168" t="b">
        <v>1</v>
      </c>
      <c r="AM2168" t="b">
        <v>1</v>
      </c>
      <c r="AN2168" t="b">
        <v>1</v>
      </c>
      <c r="AO2168">
        <v>99999</v>
      </c>
      <c r="AP2168" t="s">
        <v>64</v>
      </c>
      <c r="AR2168" t="b">
        <v>0</v>
      </c>
      <c r="AS2168">
        <v>12</v>
      </c>
      <c r="AT2168" t="s">
        <v>327</v>
      </c>
      <c r="AV2168" t="s">
        <v>459</v>
      </c>
    </row>
    <row r="2169" spans="1:48" x14ac:dyDescent="0.25">
      <c r="A2169" t="s">
        <v>3323</v>
      </c>
      <c r="B2169" t="s">
        <v>302</v>
      </c>
      <c r="C2169" t="s">
        <v>62</v>
      </c>
      <c r="D2169">
        <v>99999</v>
      </c>
      <c r="F2169" s="109">
        <v>4000</v>
      </c>
      <c r="G2169" t="b">
        <v>1</v>
      </c>
      <c r="H2169" t="s">
        <v>341</v>
      </c>
      <c r="K2169" t="s">
        <v>379</v>
      </c>
      <c r="L2169" t="s">
        <v>303</v>
      </c>
      <c r="M2169" t="s">
        <v>323</v>
      </c>
      <c r="N2169" t="s">
        <v>63</v>
      </c>
      <c r="O2169">
        <v>39.9</v>
      </c>
      <c r="R2169">
        <v>284.89</v>
      </c>
      <c r="S2169">
        <v>39.9</v>
      </c>
      <c r="T2169" s="110">
        <v>0</v>
      </c>
      <c r="U2169">
        <v>42.99</v>
      </c>
      <c r="X2169">
        <v>142.09999999999997</v>
      </c>
      <c r="Y2169">
        <v>59.9</v>
      </c>
      <c r="Z2169">
        <v>59.9</v>
      </c>
      <c r="AA2169">
        <v>0</v>
      </c>
      <c r="AB2169" t="s">
        <v>363</v>
      </c>
      <c r="AF2169" t="s">
        <v>568</v>
      </c>
      <c r="AG2169" t="s">
        <v>568</v>
      </c>
      <c r="AH2169" t="s">
        <v>325</v>
      </c>
      <c r="AI2169">
        <v>99999</v>
      </c>
      <c r="AJ2169">
        <v>99999</v>
      </c>
      <c r="AK2169">
        <v>699</v>
      </c>
      <c r="AL2169" t="b">
        <v>1</v>
      </c>
      <c r="AM2169" t="b">
        <v>1</v>
      </c>
      <c r="AN2169" t="b">
        <v>1</v>
      </c>
      <c r="AO2169">
        <v>99999</v>
      </c>
      <c r="AP2169" t="s">
        <v>64</v>
      </c>
      <c r="AR2169" t="b">
        <v>0</v>
      </c>
      <c r="AS2169">
        <v>12</v>
      </c>
      <c r="AT2169" t="s">
        <v>327</v>
      </c>
      <c r="AV2169" t="s">
        <v>593</v>
      </c>
    </row>
    <row r="2170" spans="1:48" x14ac:dyDescent="0.25">
      <c r="A2170" t="s">
        <v>3323</v>
      </c>
      <c r="B2170" t="s">
        <v>302</v>
      </c>
      <c r="C2170" t="s">
        <v>62</v>
      </c>
      <c r="D2170">
        <v>99999</v>
      </c>
      <c r="F2170" s="109">
        <v>4000</v>
      </c>
      <c r="G2170" t="b">
        <v>1</v>
      </c>
      <c r="H2170" t="s">
        <v>341</v>
      </c>
      <c r="K2170" t="s">
        <v>379</v>
      </c>
      <c r="L2170" t="s">
        <v>303</v>
      </c>
      <c r="M2170" t="s">
        <v>323</v>
      </c>
      <c r="N2170" t="s">
        <v>63</v>
      </c>
      <c r="O2170">
        <v>39.9</v>
      </c>
      <c r="R2170">
        <v>299.89</v>
      </c>
      <c r="S2170">
        <v>59.9</v>
      </c>
      <c r="T2170" s="110">
        <v>0</v>
      </c>
      <c r="U2170">
        <v>42.99</v>
      </c>
      <c r="X2170">
        <v>137.09999999999997</v>
      </c>
      <c r="Y2170">
        <v>59.9</v>
      </c>
      <c r="Z2170">
        <v>59.9</v>
      </c>
      <c r="AA2170">
        <v>0</v>
      </c>
      <c r="AB2170" t="s">
        <v>363</v>
      </c>
      <c r="AF2170" t="s">
        <v>702</v>
      </c>
      <c r="AG2170" t="s">
        <v>702</v>
      </c>
      <c r="AH2170" t="s">
        <v>325</v>
      </c>
      <c r="AI2170">
        <v>99999</v>
      </c>
      <c r="AJ2170">
        <v>99999</v>
      </c>
      <c r="AK2170">
        <v>699</v>
      </c>
      <c r="AL2170" t="b">
        <v>1</v>
      </c>
      <c r="AM2170" t="b">
        <v>1</v>
      </c>
      <c r="AN2170" t="b">
        <v>1</v>
      </c>
      <c r="AO2170">
        <v>99999</v>
      </c>
      <c r="AP2170" t="s">
        <v>64</v>
      </c>
      <c r="AR2170" t="b">
        <v>0</v>
      </c>
      <c r="AS2170">
        <v>12</v>
      </c>
      <c r="AT2170" t="s">
        <v>327</v>
      </c>
      <c r="AV2170" t="s">
        <v>727</v>
      </c>
    </row>
    <row r="2171" spans="1:48" x14ac:dyDescent="0.25">
      <c r="A2171" t="s">
        <v>3323</v>
      </c>
      <c r="B2171" t="s">
        <v>302</v>
      </c>
      <c r="C2171" t="s">
        <v>62</v>
      </c>
      <c r="D2171">
        <v>99999</v>
      </c>
      <c r="F2171" s="109">
        <v>4000</v>
      </c>
      <c r="G2171" t="b">
        <v>1</v>
      </c>
      <c r="H2171" t="s">
        <v>341</v>
      </c>
      <c r="K2171" t="s">
        <v>379</v>
      </c>
      <c r="L2171" t="s">
        <v>303</v>
      </c>
      <c r="M2171" t="s">
        <v>323</v>
      </c>
      <c r="N2171" t="s">
        <v>63</v>
      </c>
      <c r="O2171" s="110">
        <v>49.9</v>
      </c>
      <c r="R2171" s="110">
        <v>345.68999999999994</v>
      </c>
      <c r="S2171" s="110">
        <v>130</v>
      </c>
      <c r="T2171" s="110">
        <v>0</v>
      </c>
      <c r="U2171" s="110">
        <v>34.99</v>
      </c>
      <c r="X2171">
        <v>120.79999999999995</v>
      </c>
      <c r="Y2171">
        <v>59.9</v>
      </c>
      <c r="Z2171">
        <v>59.9</v>
      </c>
      <c r="AA2171">
        <v>0</v>
      </c>
      <c r="AB2171" t="s">
        <v>363</v>
      </c>
      <c r="AF2171" t="s">
        <v>2212</v>
      </c>
      <c r="AG2171" t="s">
        <v>2212</v>
      </c>
      <c r="AH2171" t="s">
        <v>325</v>
      </c>
      <c r="AI2171">
        <v>99999</v>
      </c>
      <c r="AJ2171">
        <v>99999</v>
      </c>
      <c r="AK2171">
        <v>699</v>
      </c>
      <c r="AL2171" t="b">
        <v>1</v>
      </c>
      <c r="AM2171" t="b">
        <v>1</v>
      </c>
      <c r="AN2171" t="b">
        <v>1</v>
      </c>
      <c r="AO2171">
        <v>99999</v>
      </c>
      <c r="AP2171" t="s">
        <v>64</v>
      </c>
      <c r="AR2171" t="b">
        <v>0</v>
      </c>
      <c r="AS2171">
        <v>12</v>
      </c>
      <c r="AT2171" t="s">
        <v>327</v>
      </c>
      <c r="AV2171" t="s">
        <v>2237</v>
      </c>
    </row>
    <row r="2172" spans="1:48" x14ac:dyDescent="0.25">
      <c r="A2172" t="s">
        <v>3323</v>
      </c>
      <c r="B2172" t="s">
        <v>302</v>
      </c>
      <c r="C2172" t="s">
        <v>62</v>
      </c>
      <c r="D2172">
        <v>99999</v>
      </c>
      <c r="F2172" s="109">
        <v>4000</v>
      </c>
      <c r="G2172" t="b">
        <v>1</v>
      </c>
      <c r="H2172" t="s">
        <v>341</v>
      </c>
      <c r="K2172" t="s">
        <v>379</v>
      </c>
      <c r="L2172" t="s">
        <v>303</v>
      </c>
      <c r="M2172" t="s">
        <v>323</v>
      </c>
      <c r="N2172" t="s">
        <v>63</v>
      </c>
      <c r="O2172" s="110">
        <v>49.9</v>
      </c>
      <c r="R2172" s="110">
        <v>359.98999999999995</v>
      </c>
      <c r="S2172" s="110">
        <v>130</v>
      </c>
      <c r="T2172" s="110">
        <v>0</v>
      </c>
      <c r="U2172" s="110">
        <v>42.99</v>
      </c>
      <c r="X2172">
        <v>127.09999999999997</v>
      </c>
      <c r="Y2172">
        <v>59.9</v>
      </c>
      <c r="Z2172">
        <v>59.9</v>
      </c>
      <c r="AA2172">
        <v>0</v>
      </c>
      <c r="AB2172" t="s">
        <v>363</v>
      </c>
      <c r="AF2172" t="s">
        <v>2286</v>
      </c>
      <c r="AG2172" t="s">
        <v>2286</v>
      </c>
      <c r="AH2172" t="s">
        <v>325</v>
      </c>
      <c r="AI2172">
        <v>99999</v>
      </c>
      <c r="AJ2172">
        <v>99999</v>
      </c>
      <c r="AK2172">
        <v>699</v>
      </c>
      <c r="AL2172" t="b">
        <v>1</v>
      </c>
      <c r="AM2172" t="b">
        <v>1</v>
      </c>
      <c r="AN2172" t="b">
        <v>1</v>
      </c>
      <c r="AO2172">
        <v>99999</v>
      </c>
      <c r="AP2172" t="s">
        <v>64</v>
      </c>
      <c r="AR2172" t="b">
        <v>0</v>
      </c>
      <c r="AS2172">
        <v>12</v>
      </c>
      <c r="AT2172" t="s">
        <v>327</v>
      </c>
      <c r="AV2172" t="s">
        <v>2311</v>
      </c>
    </row>
    <row r="2173" spans="1:48" x14ac:dyDescent="0.25">
      <c r="A2173" t="s">
        <v>3323</v>
      </c>
      <c r="B2173" t="s">
        <v>302</v>
      </c>
      <c r="C2173" t="s">
        <v>62</v>
      </c>
      <c r="D2173">
        <v>99999</v>
      </c>
      <c r="F2173" s="109">
        <v>4000</v>
      </c>
      <c r="G2173" t="b">
        <v>1</v>
      </c>
      <c r="H2173" t="s">
        <v>341</v>
      </c>
      <c r="K2173" t="s">
        <v>379</v>
      </c>
      <c r="L2173" t="s">
        <v>303</v>
      </c>
      <c r="M2173" t="s">
        <v>323</v>
      </c>
      <c r="N2173" t="s">
        <v>63</v>
      </c>
      <c r="O2173" s="110">
        <v>49.9</v>
      </c>
      <c r="R2173" s="110">
        <v>374.98999999999995</v>
      </c>
      <c r="S2173" s="110">
        <v>130</v>
      </c>
      <c r="T2173" s="110">
        <v>0</v>
      </c>
      <c r="U2173" s="110">
        <v>42.99</v>
      </c>
      <c r="X2173">
        <v>142.09999999999997</v>
      </c>
      <c r="Y2173">
        <v>59.9</v>
      </c>
      <c r="Z2173">
        <v>59.9</v>
      </c>
      <c r="AA2173">
        <v>0</v>
      </c>
      <c r="AB2173" t="s">
        <v>363</v>
      </c>
      <c r="AF2173" t="s">
        <v>2353</v>
      </c>
      <c r="AG2173" t="s">
        <v>2353</v>
      </c>
      <c r="AH2173" t="s">
        <v>325</v>
      </c>
      <c r="AI2173">
        <v>99999</v>
      </c>
      <c r="AJ2173">
        <v>99999</v>
      </c>
      <c r="AK2173">
        <v>699</v>
      </c>
      <c r="AL2173" t="b">
        <v>1</v>
      </c>
      <c r="AM2173" t="b">
        <v>1</v>
      </c>
      <c r="AN2173" t="b">
        <v>1</v>
      </c>
      <c r="AO2173">
        <v>99999</v>
      </c>
      <c r="AP2173" t="s">
        <v>64</v>
      </c>
      <c r="AR2173" t="b">
        <v>0</v>
      </c>
      <c r="AS2173">
        <v>12</v>
      </c>
      <c r="AT2173" t="s">
        <v>327</v>
      </c>
      <c r="AV2173" t="s">
        <v>2378</v>
      </c>
    </row>
    <row r="2174" spans="1:48" x14ac:dyDescent="0.25">
      <c r="A2174" t="s">
        <v>3323</v>
      </c>
      <c r="B2174" t="s">
        <v>302</v>
      </c>
      <c r="C2174" t="s">
        <v>62</v>
      </c>
      <c r="D2174">
        <v>99999</v>
      </c>
      <c r="F2174" s="109">
        <v>4000</v>
      </c>
      <c r="G2174" t="b">
        <v>1</v>
      </c>
      <c r="H2174" t="s">
        <v>341</v>
      </c>
      <c r="K2174" t="s">
        <v>379</v>
      </c>
      <c r="L2174" t="s">
        <v>303</v>
      </c>
      <c r="M2174" t="s">
        <v>323</v>
      </c>
      <c r="N2174" t="s">
        <v>63</v>
      </c>
      <c r="O2174" s="110">
        <v>49.9</v>
      </c>
      <c r="R2174" s="110">
        <v>369.98999999999995</v>
      </c>
      <c r="S2174" s="110">
        <v>130</v>
      </c>
      <c r="T2174" s="110">
        <v>0</v>
      </c>
      <c r="U2174" s="110">
        <v>42.99</v>
      </c>
      <c r="X2174">
        <v>137.09999999999997</v>
      </c>
      <c r="Y2174">
        <v>59.9</v>
      </c>
      <c r="Z2174">
        <v>59.9</v>
      </c>
      <c r="AA2174">
        <v>0</v>
      </c>
      <c r="AB2174" t="s">
        <v>363</v>
      </c>
      <c r="AF2174" t="s">
        <v>2420</v>
      </c>
      <c r="AG2174" t="s">
        <v>2420</v>
      </c>
      <c r="AH2174" t="s">
        <v>325</v>
      </c>
      <c r="AI2174">
        <v>99999</v>
      </c>
      <c r="AJ2174">
        <v>99999</v>
      </c>
      <c r="AK2174">
        <v>699</v>
      </c>
      <c r="AL2174" t="b">
        <v>1</v>
      </c>
      <c r="AM2174" t="b">
        <v>1</v>
      </c>
      <c r="AN2174" t="b">
        <v>1</v>
      </c>
      <c r="AO2174">
        <v>99999</v>
      </c>
      <c r="AP2174" t="s">
        <v>64</v>
      </c>
      <c r="AR2174" t="b">
        <v>0</v>
      </c>
      <c r="AS2174">
        <v>12</v>
      </c>
      <c r="AT2174" t="s">
        <v>327</v>
      </c>
      <c r="AV2174" t="s">
        <v>2445</v>
      </c>
    </row>
    <row r="2175" spans="1:48" x14ac:dyDescent="0.25">
      <c r="A2175" t="s">
        <v>3323</v>
      </c>
      <c r="B2175" t="s">
        <v>302</v>
      </c>
      <c r="C2175" t="s">
        <v>62</v>
      </c>
      <c r="D2175">
        <v>99999</v>
      </c>
      <c r="F2175" s="109">
        <v>4000</v>
      </c>
      <c r="G2175" t="b">
        <v>1</v>
      </c>
      <c r="H2175" t="s">
        <v>341</v>
      </c>
      <c r="K2175" t="s">
        <v>61</v>
      </c>
      <c r="L2175" t="s">
        <v>303</v>
      </c>
      <c r="M2175" t="s">
        <v>323</v>
      </c>
      <c r="N2175" t="s">
        <v>63</v>
      </c>
      <c r="O2175">
        <v>29.9</v>
      </c>
      <c r="R2175">
        <v>254.88999999999996</v>
      </c>
      <c r="S2175">
        <v>39.9</v>
      </c>
      <c r="T2175" s="110">
        <v>0</v>
      </c>
      <c r="U2175">
        <v>42.99</v>
      </c>
      <c r="X2175">
        <v>127.09999999999997</v>
      </c>
      <c r="Y2175">
        <v>44.9</v>
      </c>
      <c r="Z2175">
        <v>44.9</v>
      </c>
      <c r="AA2175">
        <v>0</v>
      </c>
      <c r="AB2175" t="s">
        <v>324</v>
      </c>
      <c r="AF2175" t="s">
        <v>326</v>
      </c>
      <c r="AG2175" t="s">
        <v>326</v>
      </c>
      <c r="AH2175" t="s">
        <v>325</v>
      </c>
      <c r="AI2175">
        <v>99999</v>
      </c>
      <c r="AJ2175">
        <v>99999</v>
      </c>
      <c r="AK2175">
        <v>699</v>
      </c>
      <c r="AL2175" t="b">
        <v>1</v>
      </c>
      <c r="AM2175" t="b">
        <v>1</v>
      </c>
      <c r="AN2175" t="b">
        <v>1</v>
      </c>
      <c r="AO2175">
        <v>99999</v>
      </c>
      <c r="AP2175" t="s">
        <v>64</v>
      </c>
      <c r="AR2175" t="b">
        <v>0</v>
      </c>
      <c r="AS2175">
        <v>12</v>
      </c>
      <c r="AT2175" t="s">
        <v>327</v>
      </c>
      <c r="AV2175" t="s">
        <v>347</v>
      </c>
    </row>
    <row r="2176" spans="1:48" x14ac:dyDescent="0.25">
      <c r="A2176" t="s">
        <v>3323</v>
      </c>
      <c r="B2176" t="s">
        <v>302</v>
      </c>
      <c r="C2176" t="s">
        <v>62</v>
      </c>
      <c r="D2176">
        <v>99999</v>
      </c>
      <c r="F2176" s="109">
        <v>4000</v>
      </c>
      <c r="G2176" t="b">
        <v>1</v>
      </c>
      <c r="H2176" t="s">
        <v>341</v>
      </c>
      <c r="K2176" t="s">
        <v>61</v>
      </c>
      <c r="L2176" t="s">
        <v>303</v>
      </c>
      <c r="M2176" t="s">
        <v>323</v>
      </c>
      <c r="N2176" t="s">
        <v>63</v>
      </c>
      <c r="O2176">
        <v>29.9</v>
      </c>
      <c r="R2176">
        <v>269.89</v>
      </c>
      <c r="S2176">
        <v>39.9</v>
      </c>
      <c r="T2176" s="110">
        <v>0</v>
      </c>
      <c r="U2176">
        <v>42.99</v>
      </c>
      <c r="X2176">
        <v>142.09999999999997</v>
      </c>
      <c r="Y2176">
        <v>44.9</v>
      </c>
      <c r="Z2176">
        <v>44.9</v>
      </c>
      <c r="AA2176">
        <v>0</v>
      </c>
      <c r="AB2176" t="s">
        <v>324</v>
      </c>
      <c r="AF2176" t="s">
        <v>474</v>
      </c>
      <c r="AG2176" t="s">
        <v>474</v>
      </c>
      <c r="AH2176" t="s">
        <v>325</v>
      </c>
      <c r="AI2176">
        <v>99999</v>
      </c>
      <c r="AJ2176">
        <v>99999</v>
      </c>
      <c r="AK2176">
        <v>699</v>
      </c>
      <c r="AL2176" t="b">
        <v>1</v>
      </c>
      <c r="AM2176" t="b">
        <v>1</v>
      </c>
      <c r="AN2176" t="b">
        <v>1</v>
      </c>
      <c r="AO2176">
        <v>99999</v>
      </c>
      <c r="AP2176" t="s">
        <v>64</v>
      </c>
      <c r="AR2176" t="b">
        <v>0</v>
      </c>
      <c r="AS2176">
        <v>12</v>
      </c>
      <c r="AT2176" t="s">
        <v>327</v>
      </c>
      <c r="AV2176" t="s">
        <v>486</v>
      </c>
    </row>
    <row r="2177" spans="1:48" x14ac:dyDescent="0.25">
      <c r="A2177" t="s">
        <v>3323</v>
      </c>
      <c r="B2177" t="s">
        <v>302</v>
      </c>
      <c r="C2177" t="s">
        <v>62</v>
      </c>
      <c r="D2177">
        <v>99999</v>
      </c>
      <c r="F2177" s="109">
        <v>4000</v>
      </c>
      <c r="G2177" t="b">
        <v>1</v>
      </c>
      <c r="H2177" t="s">
        <v>341</v>
      </c>
      <c r="K2177" t="s">
        <v>61</v>
      </c>
      <c r="L2177" t="s">
        <v>303</v>
      </c>
      <c r="M2177" t="s">
        <v>323</v>
      </c>
      <c r="N2177" t="s">
        <v>63</v>
      </c>
      <c r="O2177">
        <v>29.9</v>
      </c>
      <c r="R2177">
        <v>284.89</v>
      </c>
      <c r="S2177">
        <v>59.9</v>
      </c>
      <c r="T2177" s="110">
        <v>0</v>
      </c>
      <c r="U2177">
        <v>42.99</v>
      </c>
      <c r="X2177">
        <v>137.09999999999997</v>
      </c>
      <c r="Y2177">
        <v>44.9</v>
      </c>
      <c r="Z2177">
        <v>44.9</v>
      </c>
      <c r="AA2177">
        <v>0</v>
      </c>
      <c r="AB2177" t="s">
        <v>324</v>
      </c>
      <c r="AF2177" t="s">
        <v>608</v>
      </c>
      <c r="AG2177" t="s">
        <v>608</v>
      </c>
      <c r="AH2177" t="s">
        <v>325</v>
      </c>
      <c r="AI2177">
        <v>99999</v>
      </c>
      <c r="AJ2177">
        <v>99999</v>
      </c>
      <c r="AK2177">
        <v>699</v>
      </c>
      <c r="AL2177" t="b">
        <v>1</v>
      </c>
      <c r="AM2177" t="b">
        <v>1</v>
      </c>
      <c r="AN2177" t="b">
        <v>1</v>
      </c>
      <c r="AO2177">
        <v>99999</v>
      </c>
      <c r="AP2177" t="s">
        <v>64</v>
      </c>
      <c r="AR2177" t="b">
        <v>0</v>
      </c>
      <c r="AS2177">
        <v>12</v>
      </c>
      <c r="AT2177" t="s">
        <v>327</v>
      </c>
      <c r="AV2177" t="s">
        <v>620</v>
      </c>
    </row>
    <row r="2178" spans="1:48" x14ac:dyDescent="0.25">
      <c r="A2178" t="s">
        <v>3323</v>
      </c>
      <c r="B2178" t="s">
        <v>302</v>
      </c>
      <c r="C2178" t="s">
        <v>62</v>
      </c>
      <c r="D2178">
        <v>99999</v>
      </c>
      <c r="F2178" s="109">
        <v>4000</v>
      </c>
      <c r="G2178" t="b">
        <v>1</v>
      </c>
      <c r="H2178" t="s">
        <v>341</v>
      </c>
      <c r="K2178" t="s">
        <v>61</v>
      </c>
      <c r="L2178" t="s">
        <v>303</v>
      </c>
      <c r="M2178" t="s">
        <v>323</v>
      </c>
      <c r="N2178" t="s">
        <v>63</v>
      </c>
      <c r="O2178" s="110">
        <v>39.9</v>
      </c>
      <c r="R2178" s="110">
        <v>254.88999999999996</v>
      </c>
      <c r="S2178" s="110">
        <v>39.9</v>
      </c>
      <c r="T2178" s="110">
        <v>0</v>
      </c>
      <c r="U2178" s="110">
        <v>42.99</v>
      </c>
      <c r="X2178">
        <v>127.09999999999997</v>
      </c>
      <c r="Y2178">
        <v>44.9</v>
      </c>
      <c r="Z2178">
        <v>44.9</v>
      </c>
      <c r="AA2178">
        <v>0</v>
      </c>
      <c r="AB2178" t="s">
        <v>324</v>
      </c>
      <c r="AF2178" t="s">
        <v>407</v>
      </c>
      <c r="AG2178" t="s">
        <v>407</v>
      </c>
      <c r="AH2178" t="s">
        <v>325</v>
      </c>
      <c r="AI2178">
        <v>99999</v>
      </c>
      <c r="AJ2178">
        <v>99999</v>
      </c>
      <c r="AK2178">
        <v>699</v>
      </c>
      <c r="AL2178" t="b">
        <v>1</v>
      </c>
      <c r="AM2178" t="b">
        <v>1</v>
      </c>
      <c r="AN2178" t="b">
        <v>1</v>
      </c>
      <c r="AO2178">
        <v>99999</v>
      </c>
      <c r="AP2178" t="s">
        <v>64</v>
      </c>
      <c r="AR2178" t="b">
        <v>0</v>
      </c>
      <c r="AS2178">
        <v>12</v>
      </c>
      <c r="AT2178" t="s">
        <v>327</v>
      </c>
      <c r="AV2178" t="s">
        <v>419</v>
      </c>
    </row>
    <row r="2179" spans="1:48" x14ac:dyDescent="0.25">
      <c r="A2179" t="s">
        <v>3323</v>
      </c>
      <c r="B2179" t="s">
        <v>302</v>
      </c>
      <c r="C2179" t="s">
        <v>62</v>
      </c>
      <c r="D2179">
        <v>99999</v>
      </c>
      <c r="F2179" s="109">
        <v>4000</v>
      </c>
      <c r="G2179" t="b">
        <v>1</v>
      </c>
      <c r="H2179" t="s">
        <v>341</v>
      </c>
      <c r="K2179" t="s">
        <v>61</v>
      </c>
      <c r="L2179" t="s">
        <v>303</v>
      </c>
      <c r="M2179" t="s">
        <v>323</v>
      </c>
      <c r="N2179" t="s">
        <v>63</v>
      </c>
      <c r="O2179">
        <v>39.9</v>
      </c>
      <c r="R2179">
        <v>269.89</v>
      </c>
      <c r="S2179">
        <v>39.9</v>
      </c>
      <c r="T2179" s="110">
        <v>0</v>
      </c>
      <c r="U2179">
        <v>42.99</v>
      </c>
      <c r="X2179">
        <v>142.09999999999997</v>
      </c>
      <c r="Y2179">
        <v>44.9</v>
      </c>
      <c r="Z2179">
        <v>44.9</v>
      </c>
      <c r="AA2179">
        <v>0</v>
      </c>
      <c r="AB2179" t="s">
        <v>324</v>
      </c>
      <c r="AF2179" t="s">
        <v>541</v>
      </c>
      <c r="AG2179" t="s">
        <v>541</v>
      </c>
      <c r="AH2179" t="s">
        <v>325</v>
      </c>
      <c r="AI2179">
        <v>99999</v>
      </c>
      <c r="AJ2179">
        <v>99999</v>
      </c>
      <c r="AK2179">
        <v>699</v>
      </c>
      <c r="AL2179" t="b">
        <v>1</v>
      </c>
      <c r="AM2179" t="b">
        <v>1</v>
      </c>
      <c r="AN2179" t="b">
        <v>1</v>
      </c>
      <c r="AO2179">
        <v>99999</v>
      </c>
      <c r="AP2179" t="s">
        <v>64</v>
      </c>
      <c r="AR2179" t="b">
        <v>0</v>
      </c>
      <c r="AS2179">
        <v>12</v>
      </c>
      <c r="AT2179" t="s">
        <v>327</v>
      </c>
      <c r="AV2179" t="s">
        <v>553</v>
      </c>
    </row>
    <row r="2180" spans="1:48" x14ac:dyDescent="0.25">
      <c r="A2180" t="s">
        <v>3323</v>
      </c>
      <c r="B2180" t="s">
        <v>302</v>
      </c>
      <c r="C2180" t="s">
        <v>62</v>
      </c>
      <c r="D2180">
        <v>99999</v>
      </c>
      <c r="F2180" s="109">
        <v>4000</v>
      </c>
      <c r="G2180" t="b">
        <v>1</v>
      </c>
      <c r="H2180" t="s">
        <v>341</v>
      </c>
      <c r="K2180" t="s">
        <v>61</v>
      </c>
      <c r="L2180" t="s">
        <v>303</v>
      </c>
      <c r="M2180" t="s">
        <v>323</v>
      </c>
      <c r="N2180" t="s">
        <v>63</v>
      </c>
      <c r="O2180">
        <v>39.9</v>
      </c>
      <c r="R2180">
        <v>284.89</v>
      </c>
      <c r="S2180">
        <v>59.9</v>
      </c>
      <c r="T2180" s="110">
        <v>0</v>
      </c>
      <c r="U2180">
        <v>42.99</v>
      </c>
      <c r="X2180">
        <v>137.09999999999997</v>
      </c>
      <c r="Y2180">
        <v>44.9</v>
      </c>
      <c r="Z2180">
        <v>44.9</v>
      </c>
      <c r="AA2180">
        <v>0</v>
      </c>
      <c r="AB2180" t="s">
        <v>324</v>
      </c>
      <c r="AF2180" t="s">
        <v>675</v>
      </c>
      <c r="AG2180" t="s">
        <v>675</v>
      </c>
      <c r="AH2180" t="s">
        <v>325</v>
      </c>
      <c r="AI2180">
        <v>99999</v>
      </c>
      <c r="AJ2180">
        <v>99999</v>
      </c>
      <c r="AK2180">
        <v>699</v>
      </c>
      <c r="AL2180" t="b">
        <v>1</v>
      </c>
      <c r="AM2180" t="b">
        <v>1</v>
      </c>
      <c r="AN2180" t="b">
        <v>1</v>
      </c>
      <c r="AO2180">
        <v>99999</v>
      </c>
      <c r="AP2180" t="s">
        <v>64</v>
      </c>
      <c r="AR2180" t="b">
        <v>0</v>
      </c>
      <c r="AS2180">
        <v>12</v>
      </c>
      <c r="AT2180" t="s">
        <v>327</v>
      </c>
      <c r="AV2180" t="s">
        <v>687</v>
      </c>
    </row>
    <row r="2181" spans="1:48" x14ac:dyDescent="0.25">
      <c r="A2181" t="s">
        <v>3323</v>
      </c>
      <c r="B2181" t="s">
        <v>302</v>
      </c>
      <c r="C2181" t="s">
        <v>62</v>
      </c>
      <c r="D2181">
        <v>99999</v>
      </c>
      <c r="F2181" s="109">
        <v>4000</v>
      </c>
      <c r="G2181" t="b">
        <v>1</v>
      </c>
      <c r="H2181" t="s">
        <v>341</v>
      </c>
      <c r="K2181" t="s">
        <v>61</v>
      </c>
      <c r="L2181" t="s">
        <v>303</v>
      </c>
      <c r="M2181" t="s">
        <v>323</v>
      </c>
      <c r="N2181" t="s">
        <v>63</v>
      </c>
      <c r="O2181" s="110">
        <v>49.9</v>
      </c>
      <c r="R2181" s="110">
        <v>330.68999999999994</v>
      </c>
      <c r="S2181" s="110">
        <v>130</v>
      </c>
      <c r="T2181" s="110">
        <v>0</v>
      </c>
      <c r="U2181" s="110">
        <v>34.99</v>
      </c>
      <c r="X2181">
        <v>120.79999999999995</v>
      </c>
      <c r="Y2181">
        <v>44.9</v>
      </c>
      <c r="Z2181">
        <v>44.9</v>
      </c>
      <c r="AA2181">
        <v>0</v>
      </c>
      <c r="AB2181" t="s">
        <v>324</v>
      </c>
      <c r="AF2181" t="s">
        <v>2185</v>
      </c>
      <c r="AG2181" t="s">
        <v>2185</v>
      </c>
      <c r="AH2181" t="s">
        <v>325</v>
      </c>
      <c r="AI2181">
        <v>99999</v>
      </c>
      <c r="AJ2181">
        <v>99999</v>
      </c>
      <c r="AK2181">
        <v>699</v>
      </c>
      <c r="AL2181" t="b">
        <v>1</v>
      </c>
      <c r="AM2181" t="b">
        <v>1</v>
      </c>
      <c r="AN2181" t="b">
        <v>1</v>
      </c>
      <c r="AO2181">
        <v>99999</v>
      </c>
      <c r="AP2181" t="s">
        <v>64</v>
      </c>
      <c r="AR2181" t="b">
        <v>0</v>
      </c>
      <c r="AS2181">
        <v>12</v>
      </c>
      <c r="AT2181" t="s">
        <v>327</v>
      </c>
      <c r="AV2181" t="s">
        <v>2197</v>
      </c>
    </row>
    <row r="2182" spans="1:48" x14ac:dyDescent="0.25">
      <c r="A2182" t="s">
        <v>3323</v>
      </c>
      <c r="B2182" t="s">
        <v>302</v>
      </c>
      <c r="C2182" t="s">
        <v>62</v>
      </c>
      <c r="D2182">
        <v>99999</v>
      </c>
      <c r="F2182" s="109">
        <v>4000</v>
      </c>
      <c r="G2182" t="b">
        <v>1</v>
      </c>
      <c r="H2182" t="s">
        <v>341</v>
      </c>
      <c r="K2182" t="s">
        <v>61</v>
      </c>
      <c r="L2182" t="s">
        <v>303</v>
      </c>
      <c r="M2182" t="s">
        <v>323</v>
      </c>
      <c r="N2182" t="s">
        <v>63</v>
      </c>
      <c r="O2182" s="110">
        <v>49.9</v>
      </c>
      <c r="R2182" s="110">
        <v>344.98999999999995</v>
      </c>
      <c r="S2182" s="110">
        <v>130</v>
      </c>
      <c r="T2182" s="110">
        <v>0</v>
      </c>
      <c r="U2182" s="110">
        <v>42.99</v>
      </c>
      <c r="X2182">
        <v>127.09999999999997</v>
      </c>
      <c r="Y2182">
        <v>44.9</v>
      </c>
      <c r="Z2182">
        <v>44.9</v>
      </c>
      <c r="AA2182">
        <v>0</v>
      </c>
      <c r="AB2182" t="s">
        <v>324</v>
      </c>
      <c r="AF2182" t="s">
        <v>2259</v>
      </c>
      <c r="AG2182" t="s">
        <v>2259</v>
      </c>
      <c r="AH2182" t="s">
        <v>325</v>
      </c>
      <c r="AI2182">
        <v>99999</v>
      </c>
      <c r="AJ2182">
        <v>99999</v>
      </c>
      <c r="AK2182">
        <v>699</v>
      </c>
      <c r="AL2182" t="b">
        <v>1</v>
      </c>
      <c r="AM2182" t="b">
        <v>1</v>
      </c>
      <c r="AN2182" t="b">
        <v>1</v>
      </c>
      <c r="AO2182">
        <v>99999</v>
      </c>
      <c r="AP2182" t="s">
        <v>64</v>
      </c>
      <c r="AR2182" t="b">
        <v>0</v>
      </c>
      <c r="AS2182">
        <v>12</v>
      </c>
      <c r="AT2182" t="s">
        <v>327</v>
      </c>
      <c r="AV2182" t="s">
        <v>2271</v>
      </c>
    </row>
    <row r="2183" spans="1:48" x14ac:dyDescent="0.25">
      <c r="A2183" t="s">
        <v>3323</v>
      </c>
      <c r="B2183" t="s">
        <v>302</v>
      </c>
      <c r="C2183" t="s">
        <v>62</v>
      </c>
      <c r="D2183">
        <v>99999</v>
      </c>
      <c r="F2183" s="109">
        <v>4000</v>
      </c>
      <c r="G2183" t="b">
        <v>1</v>
      </c>
      <c r="H2183" t="s">
        <v>341</v>
      </c>
      <c r="K2183" t="s">
        <v>61</v>
      </c>
      <c r="L2183" t="s">
        <v>303</v>
      </c>
      <c r="M2183" t="s">
        <v>323</v>
      </c>
      <c r="N2183" t="s">
        <v>63</v>
      </c>
      <c r="O2183" s="110">
        <v>49.9</v>
      </c>
      <c r="R2183" s="110">
        <v>359.98999999999995</v>
      </c>
      <c r="S2183" s="110">
        <v>130</v>
      </c>
      <c r="T2183" s="110">
        <v>0</v>
      </c>
      <c r="U2183" s="110">
        <v>42.99</v>
      </c>
      <c r="X2183">
        <v>142.09999999999997</v>
      </c>
      <c r="Y2183">
        <v>44.9</v>
      </c>
      <c r="Z2183">
        <v>44.9</v>
      </c>
      <c r="AA2183">
        <v>0</v>
      </c>
      <c r="AB2183" t="s">
        <v>324</v>
      </c>
      <c r="AF2183" t="s">
        <v>2326</v>
      </c>
      <c r="AG2183" t="s">
        <v>2326</v>
      </c>
      <c r="AH2183" t="s">
        <v>325</v>
      </c>
      <c r="AI2183">
        <v>99999</v>
      </c>
      <c r="AJ2183">
        <v>99999</v>
      </c>
      <c r="AK2183">
        <v>699</v>
      </c>
      <c r="AL2183" t="b">
        <v>1</v>
      </c>
      <c r="AM2183" t="b">
        <v>1</v>
      </c>
      <c r="AN2183" t="b">
        <v>1</v>
      </c>
      <c r="AO2183">
        <v>99999</v>
      </c>
      <c r="AP2183" t="s">
        <v>64</v>
      </c>
      <c r="AR2183" t="b">
        <v>0</v>
      </c>
      <c r="AS2183">
        <v>12</v>
      </c>
      <c r="AT2183" t="s">
        <v>327</v>
      </c>
      <c r="AV2183" t="s">
        <v>2338</v>
      </c>
    </row>
    <row r="2184" spans="1:48" x14ac:dyDescent="0.25">
      <c r="A2184" t="s">
        <v>3323</v>
      </c>
      <c r="B2184" t="s">
        <v>302</v>
      </c>
      <c r="C2184" t="s">
        <v>62</v>
      </c>
      <c r="D2184">
        <v>99999</v>
      </c>
      <c r="F2184" s="109">
        <v>4000</v>
      </c>
      <c r="G2184" t="b">
        <v>1</v>
      </c>
      <c r="H2184" t="s">
        <v>341</v>
      </c>
      <c r="K2184" t="s">
        <v>61</v>
      </c>
      <c r="L2184" t="s">
        <v>303</v>
      </c>
      <c r="M2184" t="s">
        <v>323</v>
      </c>
      <c r="N2184" t="s">
        <v>63</v>
      </c>
      <c r="O2184" s="110">
        <v>49.9</v>
      </c>
      <c r="R2184" s="110">
        <v>354.98999999999995</v>
      </c>
      <c r="S2184" s="110">
        <v>130</v>
      </c>
      <c r="T2184" s="110">
        <v>0</v>
      </c>
      <c r="U2184" s="110">
        <v>42.99</v>
      </c>
      <c r="X2184">
        <v>137.09999999999997</v>
      </c>
      <c r="Y2184">
        <v>44.9</v>
      </c>
      <c r="Z2184">
        <v>44.9</v>
      </c>
      <c r="AA2184">
        <v>0</v>
      </c>
      <c r="AB2184" t="s">
        <v>324</v>
      </c>
      <c r="AF2184" t="s">
        <v>2393</v>
      </c>
      <c r="AG2184" t="s">
        <v>2393</v>
      </c>
      <c r="AH2184" t="s">
        <v>325</v>
      </c>
      <c r="AI2184">
        <v>99999</v>
      </c>
      <c r="AJ2184">
        <v>99999</v>
      </c>
      <c r="AK2184">
        <v>699</v>
      </c>
      <c r="AL2184" t="b">
        <v>1</v>
      </c>
      <c r="AM2184" t="b">
        <v>1</v>
      </c>
      <c r="AN2184" t="b">
        <v>1</v>
      </c>
      <c r="AO2184">
        <v>99999</v>
      </c>
      <c r="AP2184" t="s">
        <v>64</v>
      </c>
      <c r="AR2184" t="b">
        <v>0</v>
      </c>
      <c r="AS2184">
        <v>12</v>
      </c>
      <c r="AT2184" t="s">
        <v>327</v>
      </c>
      <c r="AV2184" t="s">
        <v>2405</v>
      </c>
    </row>
    <row r="2185" spans="1:48" x14ac:dyDescent="0.25">
      <c r="A2185" t="s">
        <v>3323</v>
      </c>
      <c r="B2185" t="s">
        <v>302</v>
      </c>
      <c r="C2185" t="s">
        <v>62</v>
      </c>
      <c r="D2185">
        <v>99999</v>
      </c>
      <c r="F2185" s="109">
        <v>7000</v>
      </c>
      <c r="G2185" t="b">
        <v>0</v>
      </c>
      <c r="H2185" t="s">
        <v>742</v>
      </c>
      <c r="K2185" t="s">
        <v>349</v>
      </c>
      <c r="L2185" t="s">
        <v>303</v>
      </c>
      <c r="M2185" t="s">
        <v>323</v>
      </c>
      <c r="N2185" t="s">
        <v>63</v>
      </c>
      <c r="O2185" s="110">
        <v>29.9</v>
      </c>
      <c r="R2185" s="110">
        <v>187.69000000000003</v>
      </c>
      <c r="S2185" s="110">
        <v>69.900000000000006</v>
      </c>
      <c r="T2185" s="110">
        <v>0</v>
      </c>
      <c r="U2185" s="110">
        <v>42.99</v>
      </c>
      <c r="X2185">
        <v>29.9</v>
      </c>
      <c r="Y2185">
        <v>44.9</v>
      </c>
      <c r="Z2185">
        <v>44.9</v>
      </c>
      <c r="AA2185">
        <v>0</v>
      </c>
      <c r="AB2185" t="s">
        <v>324</v>
      </c>
      <c r="AF2185" t="s">
        <v>1026</v>
      </c>
      <c r="AG2185" t="s">
        <v>1026</v>
      </c>
      <c r="AH2185" t="s">
        <v>758</v>
      </c>
      <c r="AI2185">
        <v>99999</v>
      </c>
      <c r="AJ2185">
        <v>99999</v>
      </c>
      <c r="AK2185">
        <v>699</v>
      </c>
      <c r="AL2185" t="b">
        <v>1</v>
      </c>
      <c r="AM2185" t="b">
        <v>1</v>
      </c>
      <c r="AN2185" t="b">
        <v>0</v>
      </c>
      <c r="AO2185">
        <v>99999</v>
      </c>
      <c r="AP2185" t="s">
        <v>64</v>
      </c>
      <c r="AR2185" t="b">
        <v>0</v>
      </c>
      <c r="AS2185">
        <v>12</v>
      </c>
      <c r="AT2185" t="s">
        <v>327</v>
      </c>
      <c r="AV2185" t="s">
        <v>1028</v>
      </c>
    </row>
    <row r="2186" spans="1:48" x14ac:dyDescent="0.25">
      <c r="A2186" t="s">
        <v>3323</v>
      </c>
      <c r="B2186" t="s">
        <v>302</v>
      </c>
      <c r="C2186" t="s">
        <v>62</v>
      </c>
      <c r="D2186">
        <v>99999</v>
      </c>
      <c r="F2186" s="109">
        <v>7000</v>
      </c>
      <c r="G2186" t="b">
        <v>0</v>
      </c>
      <c r="H2186" t="s">
        <v>742</v>
      </c>
      <c r="K2186" t="s">
        <v>349</v>
      </c>
      <c r="L2186" t="s">
        <v>303</v>
      </c>
      <c r="M2186" t="s">
        <v>323</v>
      </c>
      <c r="N2186" t="s">
        <v>63</v>
      </c>
      <c r="O2186" s="110">
        <v>39.9</v>
      </c>
      <c r="R2186" s="110">
        <v>187.69000000000003</v>
      </c>
      <c r="S2186" s="110">
        <v>69.900000000000006</v>
      </c>
      <c r="T2186" s="110">
        <v>0</v>
      </c>
      <c r="U2186" s="110">
        <v>42.99</v>
      </c>
      <c r="X2186">
        <v>29.9</v>
      </c>
      <c r="Y2186">
        <v>44.9</v>
      </c>
      <c r="Z2186">
        <v>44.9</v>
      </c>
      <c r="AA2186">
        <v>0</v>
      </c>
      <c r="AB2186" t="s">
        <v>324</v>
      </c>
      <c r="AF2186" t="s">
        <v>1033</v>
      </c>
      <c r="AG2186" t="s">
        <v>1033</v>
      </c>
      <c r="AH2186" t="s">
        <v>758</v>
      </c>
      <c r="AI2186">
        <v>99999</v>
      </c>
      <c r="AJ2186">
        <v>99999</v>
      </c>
      <c r="AK2186">
        <v>699</v>
      </c>
      <c r="AL2186" t="b">
        <v>1</v>
      </c>
      <c r="AM2186" t="b">
        <v>1</v>
      </c>
      <c r="AN2186" t="b">
        <v>0</v>
      </c>
      <c r="AO2186">
        <v>99999</v>
      </c>
      <c r="AP2186" t="s">
        <v>64</v>
      </c>
      <c r="AR2186" t="b">
        <v>0</v>
      </c>
      <c r="AS2186">
        <v>12</v>
      </c>
      <c r="AT2186" t="s">
        <v>327</v>
      </c>
      <c r="AV2186" t="s">
        <v>1035</v>
      </c>
    </row>
    <row r="2187" spans="1:48" x14ac:dyDescent="0.25">
      <c r="A2187" t="s">
        <v>3323</v>
      </c>
      <c r="B2187" t="s">
        <v>302</v>
      </c>
      <c r="C2187" t="s">
        <v>62</v>
      </c>
      <c r="D2187">
        <v>99999</v>
      </c>
      <c r="F2187" s="109">
        <v>7000</v>
      </c>
      <c r="G2187" t="b">
        <v>0</v>
      </c>
      <c r="H2187" t="s">
        <v>742</v>
      </c>
      <c r="K2187" t="s">
        <v>349</v>
      </c>
      <c r="L2187" t="s">
        <v>303</v>
      </c>
      <c r="M2187" t="s">
        <v>323</v>
      </c>
      <c r="N2187" t="s">
        <v>63</v>
      </c>
      <c r="O2187" s="110">
        <v>49.9</v>
      </c>
      <c r="R2187" s="110">
        <v>239.79</v>
      </c>
      <c r="S2187" s="110">
        <v>130</v>
      </c>
      <c r="T2187" s="110">
        <v>0</v>
      </c>
      <c r="U2187" s="110">
        <v>34.99</v>
      </c>
      <c r="X2187">
        <v>29.9</v>
      </c>
      <c r="Y2187">
        <v>44.9</v>
      </c>
      <c r="Z2187">
        <v>44.9</v>
      </c>
      <c r="AA2187">
        <v>0</v>
      </c>
      <c r="AB2187" t="s">
        <v>324</v>
      </c>
      <c r="AF2187" t="s">
        <v>2534</v>
      </c>
      <c r="AG2187" t="s">
        <v>2534</v>
      </c>
      <c r="AH2187" t="s">
        <v>758</v>
      </c>
      <c r="AI2187">
        <v>99999</v>
      </c>
      <c r="AJ2187">
        <v>99999</v>
      </c>
      <c r="AK2187">
        <v>699</v>
      </c>
      <c r="AL2187" t="b">
        <v>1</v>
      </c>
      <c r="AM2187" t="b">
        <v>1</v>
      </c>
      <c r="AN2187" t="b">
        <v>0</v>
      </c>
      <c r="AO2187">
        <v>99999</v>
      </c>
      <c r="AP2187" t="s">
        <v>64</v>
      </c>
      <c r="AR2187" t="b">
        <v>0</v>
      </c>
      <c r="AS2187">
        <v>12</v>
      </c>
      <c r="AT2187" t="s">
        <v>327</v>
      </c>
      <c r="AV2187" t="s">
        <v>2536</v>
      </c>
    </row>
    <row r="2188" spans="1:48" x14ac:dyDescent="0.25">
      <c r="A2188" t="s">
        <v>3323</v>
      </c>
      <c r="B2188" t="s">
        <v>302</v>
      </c>
      <c r="C2188" t="s">
        <v>62</v>
      </c>
      <c r="D2188">
        <v>99999</v>
      </c>
      <c r="F2188" s="109">
        <v>7000</v>
      </c>
      <c r="G2188" t="b">
        <v>0</v>
      </c>
      <c r="H2188" t="s">
        <v>742</v>
      </c>
      <c r="K2188" t="s">
        <v>349</v>
      </c>
      <c r="L2188" t="s">
        <v>303</v>
      </c>
      <c r="M2188" t="s">
        <v>323</v>
      </c>
      <c r="N2188" t="s">
        <v>63</v>
      </c>
      <c r="O2188" s="110">
        <v>49.9</v>
      </c>
      <c r="R2188" s="110">
        <v>247.79</v>
      </c>
      <c r="S2188" s="110">
        <v>130</v>
      </c>
      <c r="T2188" s="110">
        <v>0</v>
      </c>
      <c r="U2188" s="110">
        <v>42.99</v>
      </c>
      <c r="X2188">
        <v>29.9</v>
      </c>
      <c r="Y2188">
        <v>44.9</v>
      </c>
      <c r="Z2188">
        <v>44.9</v>
      </c>
      <c r="AA2188">
        <v>0</v>
      </c>
      <c r="AB2188" t="s">
        <v>324</v>
      </c>
      <c r="AF2188" t="s">
        <v>2670</v>
      </c>
      <c r="AG2188" t="s">
        <v>2670</v>
      </c>
      <c r="AH2188" t="s">
        <v>758</v>
      </c>
      <c r="AI2188">
        <v>99999</v>
      </c>
      <c r="AJ2188">
        <v>99999</v>
      </c>
      <c r="AK2188">
        <v>699</v>
      </c>
      <c r="AL2188" t="b">
        <v>1</v>
      </c>
      <c r="AM2188" t="b">
        <v>1</v>
      </c>
      <c r="AN2188" t="b">
        <v>0</v>
      </c>
      <c r="AO2188">
        <v>99999</v>
      </c>
      <c r="AP2188" t="s">
        <v>64</v>
      </c>
      <c r="AR2188" t="b">
        <v>0</v>
      </c>
      <c r="AS2188">
        <v>12</v>
      </c>
      <c r="AT2188" t="s">
        <v>327</v>
      </c>
      <c r="AV2188" t="s">
        <v>2672</v>
      </c>
    </row>
    <row r="2189" spans="1:48" x14ac:dyDescent="0.25">
      <c r="A2189" t="s">
        <v>3323</v>
      </c>
      <c r="B2189" t="s">
        <v>302</v>
      </c>
      <c r="C2189" t="s">
        <v>62</v>
      </c>
      <c r="D2189">
        <v>99999</v>
      </c>
      <c r="F2189" s="109">
        <v>7000</v>
      </c>
      <c r="G2189" t="b">
        <v>0</v>
      </c>
      <c r="H2189" t="s">
        <v>742</v>
      </c>
      <c r="K2189" t="s">
        <v>393</v>
      </c>
      <c r="L2189" t="s">
        <v>303</v>
      </c>
      <c r="M2189" t="s">
        <v>323</v>
      </c>
      <c r="N2189" t="s">
        <v>63</v>
      </c>
      <c r="O2189" s="110">
        <v>29.9</v>
      </c>
      <c r="R2189" s="110">
        <v>212.69000000000003</v>
      </c>
      <c r="S2189" s="110">
        <v>69.900000000000006</v>
      </c>
      <c r="T2189" s="110">
        <v>0</v>
      </c>
      <c r="U2189" s="110">
        <v>42.99</v>
      </c>
      <c r="X2189">
        <v>29.9</v>
      </c>
      <c r="Y2189">
        <v>69.900000000000006</v>
      </c>
      <c r="Z2189">
        <v>69.900000000000006</v>
      </c>
      <c r="AA2189">
        <v>0</v>
      </c>
      <c r="AB2189" t="s">
        <v>363</v>
      </c>
      <c r="AF2189" t="s">
        <v>1029</v>
      </c>
      <c r="AG2189" t="s">
        <v>1029</v>
      </c>
      <c r="AH2189" t="s">
        <v>758</v>
      </c>
      <c r="AI2189">
        <v>99999</v>
      </c>
      <c r="AJ2189">
        <v>99999</v>
      </c>
      <c r="AK2189">
        <v>699</v>
      </c>
      <c r="AL2189" t="b">
        <v>1</v>
      </c>
      <c r="AM2189" t="b">
        <v>1</v>
      </c>
      <c r="AN2189" t="b">
        <v>0</v>
      </c>
      <c r="AO2189">
        <v>99999</v>
      </c>
      <c r="AP2189" t="s">
        <v>64</v>
      </c>
      <c r="AR2189" t="b">
        <v>0</v>
      </c>
      <c r="AS2189">
        <v>12</v>
      </c>
      <c r="AT2189" t="s">
        <v>327</v>
      </c>
      <c r="AV2189" t="s">
        <v>1032</v>
      </c>
    </row>
    <row r="2190" spans="1:48" x14ac:dyDescent="0.25">
      <c r="A2190" t="s">
        <v>3323</v>
      </c>
      <c r="B2190" t="s">
        <v>302</v>
      </c>
      <c r="C2190" t="s">
        <v>62</v>
      </c>
      <c r="D2190">
        <v>99999</v>
      </c>
      <c r="F2190" s="109">
        <v>7000</v>
      </c>
      <c r="G2190" t="b">
        <v>0</v>
      </c>
      <c r="H2190" t="s">
        <v>742</v>
      </c>
      <c r="K2190" t="s">
        <v>393</v>
      </c>
      <c r="L2190" t="s">
        <v>303</v>
      </c>
      <c r="M2190" t="s">
        <v>323</v>
      </c>
      <c r="N2190" t="s">
        <v>63</v>
      </c>
      <c r="O2190" s="110">
        <v>39.9</v>
      </c>
      <c r="R2190" s="110">
        <v>212.69000000000003</v>
      </c>
      <c r="S2190" s="110">
        <v>69.900000000000006</v>
      </c>
      <c r="T2190" s="110">
        <v>0</v>
      </c>
      <c r="U2190" s="110">
        <v>42.99</v>
      </c>
      <c r="X2190">
        <v>29.9</v>
      </c>
      <c r="Y2190">
        <v>69.900000000000006</v>
      </c>
      <c r="Z2190">
        <v>69.900000000000006</v>
      </c>
      <c r="AA2190">
        <v>0</v>
      </c>
      <c r="AB2190" t="s">
        <v>363</v>
      </c>
      <c r="AF2190" t="s">
        <v>1036</v>
      </c>
      <c r="AG2190" t="s">
        <v>1036</v>
      </c>
      <c r="AH2190" t="s">
        <v>758</v>
      </c>
      <c r="AI2190">
        <v>99999</v>
      </c>
      <c r="AJ2190">
        <v>99999</v>
      </c>
      <c r="AK2190">
        <v>699</v>
      </c>
      <c r="AL2190" t="b">
        <v>1</v>
      </c>
      <c r="AM2190" t="b">
        <v>1</v>
      </c>
      <c r="AN2190" t="b">
        <v>0</v>
      </c>
      <c r="AO2190">
        <v>99999</v>
      </c>
      <c r="AP2190" t="s">
        <v>64</v>
      </c>
      <c r="AR2190" t="b">
        <v>0</v>
      </c>
      <c r="AS2190">
        <v>12</v>
      </c>
      <c r="AT2190" t="s">
        <v>327</v>
      </c>
      <c r="AV2190" t="s">
        <v>1039</v>
      </c>
    </row>
    <row r="2191" spans="1:48" x14ac:dyDescent="0.25">
      <c r="A2191" t="s">
        <v>3323</v>
      </c>
      <c r="B2191" t="s">
        <v>302</v>
      </c>
      <c r="C2191" t="s">
        <v>62</v>
      </c>
      <c r="D2191">
        <v>99999</v>
      </c>
      <c r="F2191" s="109">
        <v>7000</v>
      </c>
      <c r="G2191" t="b">
        <v>0</v>
      </c>
      <c r="H2191" t="s">
        <v>742</v>
      </c>
      <c r="K2191" t="s">
        <v>393</v>
      </c>
      <c r="L2191" t="s">
        <v>303</v>
      </c>
      <c r="M2191" t="s">
        <v>323</v>
      </c>
      <c r="N2191" t="s">
        <v>63</v>
      </c>
      <c r="O2191" s="110">
        <v>49.9</v>
      </c>
      <c r="R2191" s="110">
        <v>264.79000000000002</v>
      </c>
      <c r="S2191" s="110">
        <v>130</v>
      </c>
      <c r="T2191" s="110">
        <v>0</v>
      </c>
      <c r="U2191" s="110">
        <v>34.99</v>
      </c>
      <c r="X2191">
        <v>29.9</v>
      </c>
      <c r="Y2191">
        <v>69.900000000000006</v>
      </c>
      <c r="Z2191">
        <v>69.900000000000006</v>
      </c>
      <c r="AA2191">
        <v>0</v>
      </c>
      <c r="AB2191" t="s">
        <v>363</v>
      </c>
      <c r="AF2191" t="s">
        <v>2537</v>
      </c>
      <c r="AG2191" t="s">
        <v>2537</v>
      </c>
      <c r="AH2191" t="s">
        <v>758</v>
      </c>
      <c r="AI2191">
        <v>99999</v>
      </c>
      <c r="AJ2191">
        <v>99999</v>
      </c>
      <c r="AK2191">
        <v>699</v>
      </c>
      <c r="AL2191" t="b">
        <v>1</v>
      </c>
      <c r="AM2191" t="b">
        <v>1</v>
      </c>
      <c r="AN2191" t="b">
        <v>0</v>
      </c>
      <c r="AO2191">
        <v>99999</v>
      </c>
      <c r="AP2191" t="s">
        <v>64</v>
      </c>
      <c r="AR2191" t="b">
        <v>0</v>
      </c>
      <c r="AS2191">
        <v>12</v>
      </c>
      <c r="AT2191" t="s">
        <v>327</v>
      </c>
      <c r="AV2191" t="s">
        <v>2540</v>
      </c>
    </row>
    <row r="2192" spans="1:48" x14ac:dyDescent="0.25">
      <c r="A2192" t="s">
        <v>3323</v>
      </c>
      <c r="B2192" t="s">
        <v>302</v>
      </c>
      <c r="C2192" t="s">
        <v>62</v>
      </c>
      <c r="D2192">
        <v>99999</v>
      </c>
      <c r="F2192" s="109">
        <v>7000</v>
      </c>
      <c r="G2192" t="b">
        <v>0</v>
      </c>
      <c r="H2192" t="s">
        <v>742</v>
      </c>
      <c r="K2192" t="s">
        <v>393</v>
      </c>
      <c r="L2192" t="s">
        <v>303</v>
      </c>
      <c r="M2192" t="s">
        <v>323</v>
      </c>
      <c r="N2192" t="s">
        <v>63</v>
      </c>
      <c r="O2192" s="110">
        <v>49.9</v>
      </c>
      <c r="R2192" s="110">
        <v>272.79000000000002</v>
      </c>
      <c r="S2192" s="110">
        <v>130</v>
      </c>
      <c r="T2192" s="110">
        <v>0</v>
      </c>
      <c r="U2192" s="110">
        <v>42.99</v>
      </c>
      <c r="X2192">
        <v>29.9</v>
      </c>
      <c r="Y2192">
        <v>69.900000000000006</v>
      </c>
      <c r="Z2192">
        <v>69.900000000000006</v>
      </c>
      <c r="AA2192">
        <v>0</v>
      </c>
      <c r="AB2192" t="s">
        <v>363</v>
      </c>
      <c r="AF2192" t="s">
        <v>2673</v>
      </c>
      <c r="AG2192" t="s">
        <v>2673</v>
      </c>
      <c r="AH2192" t="s">
        <v>758</v>
      </c>
      <c r="AI2192">
        <v>99999</v>
      </c>
      <c r="AJ2192">
        <v>99999</v>
      </c>
      <c r="AK2192">
        <v>699</v>
      </c>
      <c r="AL2192" t="b">
        <v>1</v>
      </c>
      <c r="AM2192" t="b">
        <v>1</v>
      </c>
      <c r="AN2192" t="b">
        <v>0</v>
      </c>
      <c r="AO2192">
        <v>99999</v>
      </c>
      <c r="AP2192" t="s">
        <v>64</v>
      </c>
      <c r="AR2192" t="b">
        <v>0</v>
      </c>
      <c r="AS2192">
        <v>12</v>
      </c>
      <c r="AT2192" t="s">
        <v>327</v>
      </c>
      <c r="AV2192" t="s">
        <v>2676</v>
      </c>
    </row>
    <row r="2193" spans="1:48" x14ac:dyDescent="0.25">
      <c r="A2193" t="s">
        <v>3323</v>
      </c>
      <c r="B2193" t="s">
        <v>302</v>
      </c>
      <c r="C2193" t="s">
        <v>62</v>
      </c>
      <c r="D2193">
        <v>99999</v>
      </c>
      <c r="F2193" s="109">
        <v>7000</v>
      </c>
      <c r="G2193" t="b">
        <v>0</v>
      </c>
      <c r="H2193" t="s">
        <v>742</v>
      </c>
      <c r="K2193" t="s">
        <v>364</v>
      </c>
      <c r="L2193" t="s">
        <v>303</v>
      </c>
      <c r="M2193" t="s">
        <v>323</v>
      </c>
      <c r="N2193" t="s">
        <v>63</v>
      </c>
      <c r="O2193" s="110">
        <v>29.9</v>
      </c>
      <c r="R2193" s="110">
        <v>192.69000000000003</v>
      </c>
      <c r="S2193" s="110">
        <v>69.900000000000006</v>
      </c>
      <c r="T2193" s="110">
        <v>0</v>
      </c>
      <c r="U2193" s="110">
        <v>42.99</v>
      </c>
      <c r="X2193">
        <v>29.9</v>
      </c>
      <c r="Y2193">
        <v>49.9</v>
      </c>
      <c r="Z2193">
        <v>49.9</v>
      </c>
      <c r="AA2193">
        <v>0</v>
      </c>
      <c r="AB2193" t="s">
        <v>363</v>
      </c>
      <c r="AF2193" t="s">
        <v>1029</v>
      </c>
      <c r="AG2193" t="s">
        <v>1029</v>
      </c>
      <c r="AH2193" t="s">
        <v>758</v>
      </c>
      <c r="AI2193">
        <v>99999</v>
      </c>
      <c r="AJ2193">
        <v>99999</v>
      </c>
      <c r="AK2193">
        <v>699</v>
      </c>
      <c r="AL2193" t="b">
        <v>1</v>
      </c>
      <c r="AM2193" t="b">
        <v>1</v>
      </c>
      <c r="AN2193" t="b">
        <v>0</v>
      </c>
      <c r="AO2193">
        <v>99999</v>
      </c>
      <c r="AP2193" t="s">
        <v>64</v>
      </c>
      <c r="AR2193" t="b">
        <v>0</v>
      </c>
      <c r="AS2193">
        <v>12</v>
      </c>
      <c r="AT2193" t="s">
        <v>327</v>
      </c>
      <c r="AV2193" t="s">
        <v>1030</v>
      </c>
    </row>
    <row r="2194" spans="1:48" x14ac:dyDescent="0.25">
      <c r="A2194" t="s">
        <v>3323</v>
      </c>
      <c r="B2194" t="s">
        <v>302</v>
      </c>
      <c r="C2194" t="s">
        <v>62</v>
      </c>
      <c r="D2194">
        <v>99999</v>
      </c>
      <c r="F2194" s="109">
        <v>7000</v>
      </c>
      <c r="G2194" t="b">
        <v>0</v>
      </c>
      <c r="H2194" t="s">
        <v>742</v>
      </c>
      <c r="K2194" t="s">
        <v>364</v>
      </c>
      <c r="L2194" t="s">
        <v>303</v>
      </c>
      <c r="M2194" t="s">
        <v>323</v>
      </c>
      <c r="N2194" t="s">
        <v>63</v>
      </c>
      <c r="O2194" s="110">
        <v>39.9</v>
      </c>
      <c r="R2194" s="110">
        <v>192.69000000000003</v>
      </c>
      <c r="S2194" s="110">
        <v>69.900000000000006</v>
      </c>
      <c r="T2194" s="110">
        <v>0</v>
      </c>
      <c r="U2194" s="110">
        <v>42.99</v>
      </c>
      <c r="X2194">
        <v>29.9</v>
      </c>
      <c r="Y2194">
        <v>49.9</v>
      </c>
      <c r="Z2194">
        <v>49.9</v>
      </c>
      <c r="AA2194">
        <v>0</v>
      </c>
      <c r="AB2194" t="s">
        <v>363</v>
      </c>
      <c r="AF2194" t="s">
        <v>1036</v>
      </c>
      <c r="AG2194" t="s">
        <v>1036</v>
      </c>
      <c r="AH2194" t="s">
        <v>758</v>
      </c>
      <c r="AI2194">
        <v>99999</v>
      </c>
      <c r="AJ2194">
        <v>99999</v>
      </c>
      <c r="AK2194">
        <v>699</v>
      </c>
      <c r="AL2194" t="b">
        <v>1</v>
      </c>
      <c r="AM2194" t="b">
        <v>1</v>
      </c>
      <c r="AN2194" t="b">
        <v>0</v>
      </c>
      <c r="AO2194">
        <v>99999</v>
      </c>
      <c r="AP2194" t="s">
        <v>64</v>
      </c>
      <c r="AR2194" t="b">
        <v>0</v>
      </c>
      <c r="AS2194">
        <v>12</v>
      </c>
      <c r="AT2194" t="s">
        <v>327</v>
      </c>
      <c r="AV2194" t="s">
        <v>1037</v>
      </c>
    </row>
    <row r="2195" spans="1:48" x14ac:dyDescent="0.25">
      <c r="A2195" t="s">
        <v>3323</v>
      </c>
      <c r="B2195" t="s">
        <v>302</v>
      </c>
      <c r="C2195" t="s">
        <v>62</v>
      </c>
      <c r="D2195">
        <v>99999</v>
      </c>
      <c r="F2195" s="109">
        <v>7000</v>
      </c>
      <c r="G2195" t="b">
        <v>0</v>
      </c>
      <c r="H2195" t="s">
        <v>742</v>
      </c>
      <c r="K2195" t="s">
        <v>364</v>
      </c>
      <c r="L2195" t="s">
        <v>303</v>
      </c>
      <c r="M2195" t="s">
        <v>323</v>
      </c>
      <c r="N2195" t="s">
        <v>63</v>
      </c>
      <c r="O2195" s="110">
        <v>49.9</v>
      </c>
      <c r="R2195" s="110">
        <v>244.79</v>
      </c>
      <c r="S2195" s="110">
        <v>130</v>
      </c>
      <c r="T2195" s="110">
        <v>0</v>
      </c>
      <c r="U2195" s="110">
        <v>34.99</v>
      </c>
      <c r="X2195">
        <v>29.9</v>
      </c>
      <c r="Y2195">
        <v>49.9</v>
      </c>
      <c r="Z2195">
        <v>49.9</v>
      </c>
      <c r="AA2195">
        <v>0</v>
      </c>
      <c r="AB2195" t="s">
        <v>363</v>
      </c>
      <c r="AF2195" t="s">
        <v>2537</v>
      </c>
      <c r="AG2195" t="s">
        <v>2537</v>
      </c>
      <c r="AH2195" t="s">
        <v>758</v>
      </c>
      <c r="AI2195">
        <v>99999</v>
      </c>
      <c r="AJ2195">
        <v>99999</v>
      </c>
      <c r="AK2195">
        <v>699</v>
      </c>
      <c r="AL2195" t="b">
        <v>1</v>
      </c>
      <c r="AM2195" t="b">
        <v>1</v>
      </c>
      <c r="AN2195" t="b">
        <v>0</v>
      </c>
      <c r="AO2195">
        <v>99999</v>
      </c>
      <c r="AP2195" t="s">
        <v>64</v>
      </c>
      <c r="AR2195" t="b">
        <v>0</v>
      </c>
      <c r="AS2195">
        <v>12</v>
      </c>
      <c r="AT2195" t="s">
        <v>327</v>
      </c>
      <c r="AV2195" t="s">
        <v>2538</v>
      </c>
    </row>
    <row r="2196" spans="1:48" x14ac:dyDescent="0.25">
      <c r="A2196" t="s">
        <v>3323</v>
      </c>
      <c r="B2196" t="s">
        <v>302</v>
      </c>
      <c r="C2196" t="s">
        <v>62</v>
      </c>
      <c r="D2196">
        <v>99999</v>
      </c>
      <c r="F2196" s="109">
        <v>7000</v>
      </c>
      <c r="G2196" t="b">
        <v>0</v>
      </c>
      <c r="H2196" t="s">
        <v>742</v>
      </c>
      <c r="K2196" t="s">
        <v>364</v>
      </c>
      <c r="L2196" t="s">
        <v>303</v>
      </c>
      <c r="M2196" t="s">
        <v>323</v>
      </c>
      <c r="N2196" t="s">
        <v>63</v>
      </c>
      <c r="O2196" s="110">
        <v>49.9</v>
      </c>
      <c r="R2196" s="110">
        <v>252.79</v>
      </c>
      <c r="S2196" s="110">
        <v>130</v>
      </c>
      <c r="T2196" s="110">
        <v>0</v>
      </c>
      <c r="U2196" s="110">
        <v>42.99</v>
      </c>
      <c r="X2196">
        <v>29.9</v>
      </c>
      <c r="Y2196">
        <v>49.9</v>
      </c>
      <c r="Z2196">
        <v>49.9</v>
      </c>
      <c r="AA2196">
        <v>0</v>
      </c>
      <c r="AB2196" t="s">
        <v>363</v>
      </c>
      <c r="AF2196" t="s">
        <v>2673</v>
      </c>
      <c r="AG2196" t="s">
        <v>2673</v>
      </c>
      <c r="AH2196" t="s">
        <v>758</v>
      </c>
      <c r="AI2196">
        <v>99999</v>
      </c>
      <c r="AJ2196">
        <v>99999</v>
      </c>
      <c r="AK2196">
        <v>699</v>
      </c>
      <c r="AL2196" t="b">
        <v>1</v>
      </c>
      <c r="AM2196" t="b">
        <v>1</v>
      </c>
      <c r="AN2196" t="b">
        <v>0</v>
      </c>
      <c r="AO2196">
        <v>99999</v>
      </c>
      <c r="AP2196" t="s">
        <v>64</v>
      </c>
      <c r="AR2196" t="b">
        <v>0</v>
      </c>
      <c r="AS2196">
        <v>12</v>
      </c>
      <c r="AT2196" t="s">
        <v>327</v>
      </c>
      <c r="AV2196" t="s">
        <v>2674</v>
      </c>
    </row>
    <row r="2197" spans="1:48" x14ac:dyDescent="0.25">
      <c r="A2197" t="s">
        <v>3323</v>
      </c>
      <c r="B2197" t="s">
        <v>302</v>
      </c>
      <c r="C2197" t="s">
        <v>62</v>
      </c>
      <c r="D2197">
        <v>99999</v>
      </c>
      <c r="F2197" s="109">
        <v>7000</v>
      </c>
      <c r="G2197" t="b">
        <v>0</v>
      </c>
      <c r="H2197" t="s">
        <v>742</v>
      </c>
      <c r="K2197" t="s">
        <v>379</v>
      </c>
      <c r="L2197" t="s">
        <v>303</v>
      </c>
      <c r="M2197" t="s">
        <v>323</v>
      </c>
      <c r="N2197" t="s">
        <v>63</v>
      </c>
      <c r="O2197" s="110">
        <v>29.9</v>
      </c>
      <c r="R2197" s="110">
        <v>202.69000000000003</v>
      </c>
      <c r="S2197" s="110">
        <v>69.900000000000006</v>
      </c>
      <c r="T2197" s="110">
        <v>0</v>
      </c>
      <c r="U2197" s="110">
        <v>42.99</v>
      </c>
      <c r="X2197">
        <v>29.9</v>
      </c>
      <c r="Y2197">
        <v>59.9</v>
      </c>
      <c r="Z2197">
        <v>59.9</v>
      </c>
      <c r="AA2197">
        <v>0</v>
      </c>
      <c r="AB2197" t="s">
        <v>363</v>
      </c>
      <c r="AF2197" t="s">
        <v>1029</v>
      </c>
      <c r="AG2197" t="s">
        <v>1029</v>
      </c>
      <c r="AH2197" t="s">
        <v>758</v>
      </c>
      <c r="AI2197">
        <v>99999</v>
      </c>
      <c r="AJ2197">
        <v>99999</v>
      </c>
      <c r="AK2197">
        <v>699</v>
      </c>
      <c r="AL2197" t="b">
        <v>1</v>
      </c>
      <c r="AM2197" t="b">
        <v>1</v>
      </c>
      <c r="AN2197" t="b">
        <v>0</v>
      </c>
      <c r="AO2197">
        <v>99999</v>
      </c>
      <c r="AP2197" t="s">
        <v>64</v>
      </c>
      <c r="AR2197" t="b">
        <v>0</v>
      </c>
      <c r="AS2197">
        <v>12</v>
      </c>
      <c r="AT2197" t="s">
        <v>327</v>
      </c>
      <c r="AV2197" t="s">
        <v>1031</v>
      </c>
    </row>
    <row r="2198" spans="1:48" x14ac:dyDescent="0.25">
      <c r="A2198" t="s">
        <v>3323</v>
      </c>
      <c r="B2198" t="s">
        <v>302</v>
      </c>
      <c r="C2198" t="s">
        <v>62</v>
      </c>
      <c r="D2198">
        <v>99999</v>
      </c>
      <c r="F2198" s="109">
        <v>7000</v>
      </c>
      <c r="G2198" t="b">
        <v>0</v>
      </c>
      <c r="H2198" t="s">
        <v>742</v>
      </c>
      <c r="K2198" t="s">
        <v>379</v>
      </c>
      <c r="L2198" t="s">
        <v>303</v>
      </c>
      <c r="M2198" t="s">
        <v>323</v>
      </c>
      <c r="N2198" t="s">
        <v>63</v>
      </c>
      <c r="O2198" s="110">
        <v>39.9</v>
      </c>
      <c r="R2198" s="110">
        <v>202.69000000000003</v>
      </c>
      <c r="S2198" s="110">
        <v>69.900000000000006</v>
      </c>
      <c r="T2198" s="110">
        <v>0</v>
      </c>
      <c r="U2198" s="110">
        <v>42.99</v>
      </c>
      <c r="X2198">
        <v>29.9</v>
      </c>
      <c r="Y2198">
        <v>59.9</v>
      </c>
      <c r="Z2198">
        <v>59.9</v>
      </c>
      <c r="AA2198">
        <v>0</v>
      </c>
      <c r="AB2198" t="s">
        <v>363</v>
      </c>
      <c r="AF2198" t="s">
        <v>1036</v>
      </c>
      <c r="AG2198" t="s">
        <v>1036</v>
      </c>
      <c r="AH2198" t="s">
        <v>758</v>
      </c>
      <c r="AI2198">
        <v>99999</v>
      </c>
      <c r="AJ2198">
        <v>99999</v>
      </c>
      <c r="AK2198">
        <v>699</v>
      </c>
      <c r="AL2198" t="b">
        <v>1</v>
      </c>
      <c r="AM2198" t="b">
        <v>1</v>
      </c>
      <c r="AN2198" t="b">
        <v>0</v>
      </c>
      <c r="AO2198">
        <v>99999</v>
      </c>
      <c r="AP2198" t="s">
        <v>64</v>
      </c>
      <c r="AR2198" t="b">
        <v>0</v>
      </c>
      <c r="AS2198">
        <v>12</v>
      </c>
      <c r="AT2198" t="s">
        <v>327</v>
      </c>
      <c r="AV2198" t="s">
        <v>1038</v>
      </c>
    </row>
    <row r="2199" spans="1:48" x14ac:dyDescent="0.25">
      <c r="A2199" t="s">
        <v>3323</v>
      </c>
      <c r="B2199" t="s">
        <v>302</v>
      </c>
      <c r="C2199" t="s">
        <v>62</v>
      </c>
      <c r="D2199">
        <v>99999</v>
      </c>
      <c r="F2199" s="109">
        <v>7000</v>
      </c>
      <c r="G2199" t="b">
        <v>0</v>
      </c>
      <c r="H2199" t="s">
        <v>742</v>
      </c>
      <c r="K2199" t="s">
        <v>379</v>
      </c>
      <c r="L2199" t="s">
        <v>303</v>
      </c>
      <c r="M2199" t="s">
        <v>323</v>
      </c>
      <c r="N2199" t="s">
        <v>63</v>
      </c>
      <c r="O2199" s="110">
        <v>49.9</v>
      </c>
      <c r="R2199" s="110">
        <v>254.79</v>
      </c>
      <c r="S2199" s="110">
        <v>130</v>
      </c>
      <c r="T2199" s="110">
        <v>0</v>
      </c>
      <c r="U2199" s="110">
        <v>34.99</v>
      </c>
      <c r="X2199">
        <v>29.9</v>
      </c>
      <c r="Y2199">
        <v>59.9</v>
      </c>
      <c r="Z2199">
        <v>59.9</v>
      </c>
      <c r="AA2199">
        <v>0</v>
      </c>
      <c r="AB2199" t="s">
        <v>363</v>
      </c>
      <c r="AF2199" t="s">
        <v>2537</v>
      </c>
      <c r="AG2199" t="s">
        <v>2537</v>
      </c>
      <c r="AH2199" t="s">
        <v>758</v>
      </c>
      <c r="AI2199">
        <v>99999</v>
      </c>
      <c r="AJ2199">
        <v>99999</v>
      </c>
      <c r="AK2199">
        <v>699</v>
      </c>
      <c r="AL2199" t="b">
        <v>1</v>
      </c>
      <c r="AM2199" t="b">
        <v>1</v>
      </c>
      <c r="AN2199" t="b">
        <v>0</v>
      </c>
      <c r="AO2199">
        <v>99999</v>
      </c>
      <c r="AP2199" t="s">
        <v>64</v>
      </c>
      <c r="AR2199" t="b">
        <v>0</v>
      </c>
      <c r="AS2199">
        <v>12</v>
      </c>
      <c r="AT2199" t="s">
        <v>327</v>
      </c>
      <c r="AV2199" t="s">
        <v>2539</v>
      </c>
    </row>
    <row r="2200" spans="1:48" x14ac:dyDescent="0.25">
      <c r="A2200" t="s">
        <v>3323</v>
      </c>
      <c r="B2200" t="s">
        <v>302</v>
      </c>
      <c r="C2200" t="s">
        <v>62</v>
      </c>
      <c r="D2200">
        <v>99999</v>
      </c>
      <c r="F2200" s="109">
        <v>7000</v>
      </c>
      <c r="G2200" t="b">
        <v>0</v>
      </c>
      <c r="H2200" t="s">
        <v>742</v>
      </c>
      <c r="K2200" t="s">
        <v>379</v>
      </c>
      <c r="L2200" t="s">
        <v>303</v>
      </c>
      <c r="M2200" t="s">
        <v>323</v>
      </c>
      <c r="N2200" t="s">
        <v>63</v>
      </c>
      <c r="O2200" s="110">
        <v>49.9</v>
      </c>
      <c r="R2200" s="110">
        <v>262.78999999999996</v>
      </c>
      <c r="S2200" s="110">
        <v>130</v>
      </c>
      <c r="T2200" s="110">
        <v>0</v>
      </c>
      <c r="U2200" s="110">
        <v>42.99</v>
      </c>
      <c r="X2200">
        <v>29.9</v>
      </c>
      <c r="Y2200">
        <v>59.9</v>
      </c>
      <c r="Z2200">
        <v>59.9</v>
      </c>
      <c r="AA2200">
        <v>0</v>
      </c>
      <c r="AB2200" t="s">
        <v>363</v>
      </c>
      <c r="AF2200" t="s">
        <v>2673</v>
      </c>
      <c r="AG2200" t="s">
        <v>2673</v>
      </c>
      <c r="AH2200" t="s">
        <v>758</v>
      </c>
      <c r="AI2200">
        <v>99999</v>
      </c>
      <c r="AJ2200">
        <v>99999</v>
      </c>
      <c r="AK2200">
        <v>699</v>
      </c>
      <c r="AL2200" t="b">
        <v>1</v>
      </c>
      <c r="AM2200" t="b">
        <v>1</v>
      </c>
      <c r="AN2200" t="b">
        <v>0</v>
      </c>
      <c r="AO2200">
        <v>99999</v>
      </c>
      <c r="AP2200" t="s">
        <v>64</v>
      </c>
      <c r="AR2200" t="b">
        <v>0</v>
      </c>
      <c r="AS2200">
        <v>12</v>
      </c>
      <c r="AT2200" t="s">
        <v>327</v>
      </c>
      <c r="AV2200" t="s">
        <v>2675</v>
      </c>
    </row>
    <row r="2201" spans="1:48" x14ac:dyDescent="0.25">
      <c r="A2201" t="s">
        <v>3323</v>
      </c>
      <c r="B2201" t="s">
        <v>302</v>
      </c>
      <c r="C2201" t="s">
        <v>62</v>
      </c>
      <c r="D2201">
        <v>99999</v>
      </c>
      <c r="F2201" s="109">
        <v>7000</v>
      </c>
      <c r="G2201" t="b">
        <v>0</v>
      </c>
      <c r="H2201" t="s">
        <v>742</v>
      </c>
      <c r="K2201" t="s">
        <v>61</v>
      </c>
      <c r="L2201" t="s">
        <v>303</v>
      </c>
      <c r="M2201" t="s">
        <v>323</v>
      </c>
      <c r="N2201" t="s">
        <v>63</v>
      </c>
      <c r="O2201" s="110">
        <v>29.9</v>
      </c>
      <c r="R2201" s="110">
        <v>187.69000000000003</v>
      </c>
      <c r="S2201" s="110">
        <v>69.900000000000006</v>
      </c>
      <c r="T2201" s="110">
        <v>0</v>
      </c>
      <c r="U2201" s="110">
        <v>42.99</v>
      </c>
      <c r="X2201">
        <v>29.9</v>
      </c>
      <c r="Y2201">
        <v>44.9</v>
      </c>
      <c r="Z2201">
        <v>44.9</v>
      </c>
      <c r="AA2201">
        <v>0</v>
      </c>
      <c r="AB2201" t="s">
        <v>324</v>
      </c>
      <c r="AF2201" t="s">
        <v>1026</v>
      </c>
      <c r="AG2201" t="s">
        <v>1026</v>
      </c>
      <c r="AH2201" t="s">
        <v>758</v>
      </c>
      <c r="AI2201">
        <v>99999</v>
      </c>
      <c r="AJ2201">
        <v>99999</v>
      </c>
      <c r="AK2201">
        <v>699</v>
      </c>
      <c r="AL2201" t="b">
        <v>1</v>
      </c>
      <c r="AM2201" t="b">
        <v>1</v>
      </c>
      <c r="AN2201" t="b">
        <v>0</v>
      </c>
      <c r="AO2201">
        <v>99999</v>
      </c>
      <c r="AP2201" t="s">
        <v>64</v>
      </c>
      <c r="AR2201" t="b">
        <v>0</v>
      </c>
      <c r="AS2201">
        <v>12</v>
      </c>
      <c r="AT2201" t="s">
        <v>327</v>
      </c>
      <c r="AV2201" t="s">
        <v>1027</v>
      </c>
    </row>
    <row r="2202" spans="1:48" x14ac:dyDescent="0.25">
      <c r="A2202" t="s">
        <v>3323</v>
      </c>
      <c r="B2202" t="s">
        <v>302</v>
      </c>
      <c r="C2202" t="s">
        <v>62</v>
      </c>
      <c r="D2202">
        <v>99999</v>
      </c>
      <c r="F2202" s="109">
        <v>7000</v>
      </c>
      <c r="G2202" t="b">
        <v>0</v>
      </c>
      <c r="H2202" t="s">
        <v>742</v>
      </c>
      <c r="K2202" t="s">
        <v>61</v>
      </c>
      <c r="L2202" t="s">
        <v>303</v>
      </c>
      <c r="M2202" t="s">
        <v>323</v>
      </c>
      <c r="N2202" t="s">
        <v>63</v>
      </c>
      <c r="O2202" s="110">
        <v>39.9</v>
      </c>
      <c r="R2202" s="110">
        <v>187.69000000000003</v>
      </c>
      <c r="S2202" s="110">
        <v>69.900000000000006</v>
      </c>
      <c r="T2202" s="110">
        <v>0</v>
      </c>
      <c r="U2202" s="110">
        <v>42.99</v>
      </c>
      <c r="X2202">
        <v>29.9</v>
      </c>
      <c r="Y2202">
        <v>44.9</v>
      </c>
      <c r="Z2202">
        <v>44.9</v>
      </c>
      <c r="AA2202">
        <v>0</v>
      </c>
      <c r="AB2202" t="s">
        <v>324</v>
      </c>
      <c r="AF2202" t="s">
        <v>1033</v>
      </c>
      <c r="AG2202" t="s">
        <v>1033</v>
      </c>
      <c r="AH2202" t="s">
        <v>758</v>
      </c>
      <c r="AI2202">
        <v>99999</v>
      </c>
      <c r="AJ2202">
        <v>99999</v>
      </c>
      <c r="AK2202">
        <v>699</v>
      </c>
      <c r="AL2202" t="b">
        <v>1</v>
      </c>
      <c r="AM2202" t="b">
        <v>1</v>
      </c>
      <c r="AN2202" t="b">
        <v>0</v>
      </c>
      <c r="AO2202">
        <v>99999</v>
      </c>
      <c r="AP2202" t="s">
        <v>64</v>
      </c>
      <c r="AR2202" t="b">
        <v>0</v>
      </c>
      <c r="AS2202">
        <v>12</v>
      </c>
      <c r="AT2202" t="s">
        <v>327</v>
      </c>
      <c r="AV2202" t="s">
        <v>1034</v>
      </c>
    </row>
    <row r="2203" spans="1:48" x14ac:dyDescent="0.25">
      <c r="A2203" t="s">
        <v>3323</v>
      </c>
      <c r="B2203" t="s">
        <v>302</v>
      </c>
      <c r="C2203" t="s">
        <v>62</v>
      </c>
      <c r="D2203">
        <v>99999</v>
      </c>
      <c r="F2203" s="109">
        <v>7000</v>
      </c>
      <c r="G2203" t="b">
        <v>0</v>
      </c>
      <c r="H2203" t="s">
        <v>742</v>
      </c>
      <c r="K2203" t="s">
        <v>61</v>
      </c>
      <c r="L2203" t="s">
        <v>303</v>
      </c>
      <c r="M2203" t="s">
        <v>323</v>
      </c>
      <c r="N2203" t="s">
        <v>63</v>
      </c>
      <c r="O2203" s="110">
        <v>49.9</v>
      </c>
      <c r="R2203" s="110">
        <v>239.79</v>
      </c>
      <c r="S2203" s="110">
        <v>130</v>
      </c>
      <c r="T2203" s="110">
        <v>0</v>
      </c>
      <c r="U2203" s="110">
        <v>34.99</v>
      </c>
      <c r="X2203">
        <v>29.9</v>
      </c>
      <c r="Y2203">
        <v>44.9</v>
      </c>
      <c r="Z2203">
        <v>44.9</v>
      </c>
      <c r="AA2203">
        <v>0</v>
      </c>
      <c r="AB2203" t="s">
        <v>324</v>
      </c>
      <c r="AF2203" t="s">
        <v>2534</v>
      </c>
      <c r="AG2203" t="s">
        <v>2534</v>
      </c>
      <c r="AH2203" t="s">
        <v>758</v>
      </c>
      <c r="AI2203">
        <v>99999</v>
      </c>
      <c r="AJ2203">
        <v>99999</v>
      </c>
      <c r="AK2203">
        <v>699</v>
      </c>
      <c r="AL2203" t="b">
        <v>1</v>
      </c>
      <c r="AM2203" t="b">
        <v>1</v>
      </c>
      <c r="AN2203" t="b">
        <v>0</v>
      </c>
      <c r="AO2203">
        <v>99999</v>
      </c>
      <c r="AP2203" t="s">
        <v>64</v>
      </c>
      <c r="AR2203" t="b">
        <v>0</v>
      </c>
      <c r="AS2203">
        <v>12</v>
      </c>
      <c r="AT2203" t="s">
        <v>327</v>
      </c>
      <c r="AV2203" t="s">
        <v>2535</v>
      </c>
    </row>
    <row r="2204" spans="1:48" x14ac:dyDescent="0.25">
      <c r="A2204" t="s">
        <v>3323</v>
      </c>
      <c r="B2204" t="s">
        <v>302</v>
      </c>
      <c r="C2204" t="s">
        <v>62</v>
      </c>
      <c r="D2204">
        <v>99999</v>
      </c>
      <c r="F2204" s="109">
        <v>7000</v>
      </c>
      <c r="G2204" t="b">
        <v>0</v>
      </c>
      <c r="H2204" t="s">
        <v>742</v>
      </c>
      <c r="K2204" t="s">
        <v>61</v>
      </c>
      <c r="L2204" t="s">
        <v>303</v>
      </c>
      <c r="M2204" t="s">
        <v>323</v>
      </c>
      <c r="N2204" t="s">
        <v>63</v>
      </c>
      <c r="O2204" s="110">
        <v>49.9</v>
      </c>
      <c r="R2204" s="110">
        <v>247.79</v>
      </c>
      <c r="S2204" s="110">
        <v>130</v>
      </c>
      <c r="T2204" s="110">
        <v>0</v>
      </c>
      <c r="U2204" s="110">
        <v>42.99</v>
      </c>
      <c r="X2204">
        <v>29.9</v>
      </c>
      <c r="Y2204">
        <v>44.9</v>
      </c>
      <c r="Z2204">
        <v>44.9</v>
      </c>
      <c r="AA2204">
        <v>0</v>
      </c>
      <c r="AB2204" t="s">
        <v>324</v>
      </c>
      <c r="AF2204" t="s">
        <v>2670</v>
      </c>
      <c r="AG2204" t="s">
        <v>2670</v>
      </c>
      <c r="AH2204" t="s">
        <v>758</v>
      </c>
      <c r="AI2204">
        <v>99999</v>
      </c>
      <c r="AJ2204">
        <v>99999</v>
      </c>
      <c r="AK2204">
        <v>699</v>
      </c>
      <c r="AL2204" t="b">
        <v>1</v>
      </c>
      <c r="AM2204" t="b">
        <v>1</v>
      </c>
      <c r="AN2204" t="b">
        <v>0</v>
      </c>
      <c r="AO2204">
        <v>99999</v>
      </c>
      <c r="AP2204" t="s">
        <v>64</v>
      </c>
      <c r="AR2204" t="b">
        <v>0</v>
      </c>
      <c r="AS2204">
        <v>12</v>
      </c>
      <c r="AT2204" t="s">
        <v>327</v>
      </c>
      <c r="AV2204" t="s">
        <v>2671</v>
      </c>
    </row>
    <row r="2205" spans="1:48" x14ac:dyDescent="0.25">
      <c r="A2205" t="s">
        <v>3323</v>
      </c>
      <c r="B2205" t="s">
        <v>302</v>
      </c>
      <c r="C2205" t="s">
        <v>62</v>
      </c>
      <c r="D2205">
        <v>99999</v>
      </c>
      <c r="F2205" s="109">
        <v>7000</v>
      </c>
      <c r="G2205" t="b">
        <v>0</v>
      </c>
      <c r="H2205" t="s">
        <v>335</v>
      </c>
      <c r="K2205" t="s">
        <v>349</v>
      </c>
      <c r="L2205" t="s">
        <v>303</v>
      </c>
      <c r="M2205" t="s">
        <v>323</v>
      </c>
      <c r="N2205" t="s">
        <v>63</v>
      </c>
      <c r="O2205" s="110">
        <v>29.9</v>
      </c>
      <c r="R2205" s="110">
        <v>299.89</v>
      </c>
      <c r="S2205" s="110">
        <v>69.900000000000006</v>
      </c>
      <c r="T2205" s="110">
        <v>0</v>
      </c>
      <c r="U2205" s="110">
        <v>42.99</v>
      </c>
      <c r="X2205">
        <v>142.09999999999997</v>
      </c>
      <c r="Y2205">
        <v>44.9</v>
      </c>
      <c r="Z2205">
        <v>44.9</v>
      </c>
      <c r="AA2205">
        <v>0</v>
      </c>
      <c r="AB2205" t="s">
        <v>324</v>
      </c>
      <c r="AF2205" t="s">
        <v>757</v>
      </c>
      <c r="AG2205" t="s">
        <v>757</v>
      </c>
      <c r="AH2205" t="s">
        <v>758</v>
      </c>
      <c r="AI2205">
        <v>99999</v>
      </c>
      <c r="AJ2205">
        <v>99999</v>
      </c>
      <c r="AK2205">
        <v>699</v>
      </c>
      <c r="AL2205" t="b">
        <v>1</v>
      </c>
      <c r="AM2205" t="b">
        <v>1</v>
      </c>
      <c r="AN2205" t="b">
        <v>0</v>
      </c>
      <c r="AO2205">
        <v>99999</v>
      </c>
      <c r="AP2205" t="s">
        <v>64</v>
      </c>
      <c r="AR2205" t="b">
        <v>0</v>
      </c>
      <c r="AS2205">
        <v>12</v>
      </c>
      <c r="AT2205" t="s">
        <v>327</v>
      </c>
      <c r="AV2205" t="s">
        <v>776</v>
      </c>
    </row>
    <row r="2206" spans="1:48" x14ac:dyDescent="0.25">
      <c r="A2206" t="s">
        <v>3323</v>
      </c>
      <c r="B2206" t="s">
        <v>302</v>
      </c>
      <c r="C2206" t="s">
        <v>62</v>
      </c>
      <c r="D2206">
        <v>99999</v>
      </c>
      <c r="F2206" s="109">
        <v>7000</v>
      </c>
      <c r="G2206" t="b">
        <v>0</v>
      </c>
      <c r="H2206" t="s">
        <v>335</v>
      </c>
      <c r="K2206" t="s">
        <v>349</v>
      </c>
      <c r="L2206" t="s">
        <v>303</v>
      </c>
      <c r="M2206" t="s">
        <v>323</v>
      </c>
      <c r="N2206" t="s">
        <v>63</v>
      </c>
      <c r="O2206" s="110">
        <v>29.9</v>
      </c>
      <c r="R2206" s="110">
        <v>314.89</v>
      </c>
      <c r="S2206" s="110">
        <v>69.900000000000006</v>
      </c>
      <c r="T2206" s="110">
        <v>0</v>
      </c>
      <c r="U2206" s="110">
        <v>42.99</v>
      </c>
      <c r="X2206">
        <v>157.09999999999997</v>
      </c>
      <c r="Y2206">
        <v>44.9</v>
      </c>
      <c r="Z2206">
        <v>44.9</v>
      </c>
      <c r="AA2206">
        <v>0</v>
      </c>
      <c r="AB2206" t="s">
        <v>324</v>
      </c>
      <c r="AF2206" t="s">
        <v>892</v>
      </c>
      <c r="AG2206" t="s">
        <v>892</v>
      </c>
      <c r="AH2206" t="s">
        <v>758</v>
      </c>
      <c r="AI2206">
        <v>99999</v>
      </c>
      <c r="AJ2206">
        <v>99999</v>
      </c>
      <c r="AK2206">
        <v>699</v>
      </c>
      <c r="AL2206" t="b">
        <v>1</v>
      </c>
      <c r="AM2206" t="b">
        <v>1</v>
      </c>
      <c r="AN2206" t="b">
        <v>0</v>
      </c>
      <c r="AO2206">
        <v>99999</v>
      </c>
      <c r="AP2206" t="s">
        <v>64</v>
      </c>
      <c r="AR2206" t="b">
        <v>0</v>
      </c>
      <c r="AS2206">
        <v>12</v>
      </c>
      <c r="AT2206" t="s">
        <v>327</v>
      </c>
      <c r="AV2206" t="s">
        <v>910</v>
      </c>
    </row>
    <row r="2207" spans="1:48" x14ac:dyDescent="0.25">
      <c r="A2207" t="s">
        <v>3323</v>
      </c>
      <c r="B2207" t="s">
        <v>302</v>
      </c>
      <c r="C2207" t="s">
        <v>62</v>
      </c>
      <c r="D2207">
        <v>99999</v>
      </c>
      <c r="F2207" s="109">
        <v>7000</v>
      </c>
      <c r="G2207" t="b">
        <v>0</v>
      </c>
      <c r="H2207" t="s">
        <v>335</v>
      </c>
      <c r="K2207" t="s">
        <v>349</v>
      </c>
      <c r="L2207" t="s">
        <v>303</v>
      </c>
      <c r="M2207" t="s">
        <v>323</v>
      </c>
      <c r="N2207" t="s">
        <v>63</v>
      </c>
      <c r="O2207" s="110">
        <v>29.9</v>
      </c>
      <c r="R2207" s="110">
        <v>329.89</v>
      </c>
      <c r="S2207" s="110">
        <v>70</v>
      </c>
      <c r="T2207" s="110">
        <v>0</v>
      </c>
      <c r="U2207" s="110">
        <v>42.99</v>
      </c>
      <c r="X2207">
        <v>171.99999999999997</v>
      </c>
      <c r="Y2207">
        <v>44.9</v>
      </c>
      <c r="Z2207">
        <v>44.9</v>
      </c>
      <c r="AA2207">
        <v>0</v>
      </c>
      <c r="AB2207" t="s">
        <v>324</v>
      </c>
      <c r="AF2207" t="s">
        <v>1040</v>
      </c>
      <c r="AG2207" t="s">
        <v>1040</v>
      </c>
      <c r="AH2207" t="s">
        <v>758</v>
      </c>
      <c r="AI2207">
        <v>99999</v>
      </c>
      <c r="AJ2207">
        <v>99999</v>
      </c>
      <c r="AK2207">
        <v>699</v>
      </c>
      <c r="AL2207" t="b">
        <v>1</v>
      </c>
      <c r="AM2207" t="b">
        <v>1</v>
      </c>
      <c r="AN2207" t="b">
        <v>0</v>
      </c>
      <c r="AO2207">
        <v>99999</v>
      </c>
      <c r="AP2207" t="s">
        <v>64</v>
      </c>
      <c r="AR2207" t="b">
        <v>0</v>
      </c>
      <c r="AS2207">
        <v>12</v>
      </c>
      <c r="AT2207" t="s">
        <v>327</v>
      </c>
      <c r="AV2207" t="s">
        <v>1058</v>
      </c>
    </row>
    <row r="2208" spans="1:48" x14ac:dyDescent="0.25">
      <c r="A2208" t="s">
        <v>3323</v>
      </c>
      <c r="B2208" t="s">
        <v>302</v>
      </c>
      <c r="C2208" t="s">
        <v>62</v>
      </c>
      <c r="D2208">
        <v>99999</v>
      </c>
      <c r="F2208" s="109">
        <v>7000</v>
      </c>
      <c r="G2208" t="b">
        <v>0</v>
      </c>
      <c r="H2208" t="s">
        <v>335</v>
      </c>
      <c r="K2208" t="s">
        <v>349</v>
      </c>
      <c r="L2208" t="s">
        <v>303</v>
      </c>
      <c r="M2208" t="s">
        <v>323</v>
      </c>
      <c r="N2208" t="s">
        <v>63</v>
      </c>
      <c r="O2208" s="110">
        <v>39.9</v>
      </c>
      <c r="R2208" s="110">
        <v>299.89</v>
      </c>
      <c r="S2208" s="110">
        <v>69.900000000000006</v>
      </c>
      <c r="T2208" s="110">
        <v>0</v>
      </c>
      <c r="U2208" s="110">
        <v>42.99</v>
      </c>
      <c r="X2208">
        <v>142.09999999999997</v>
      </c>
      <c r="Y2208">
        <v>44.9</v>
      </c>
      <c r="Z2208">
        <v>44.9</v>
      </c>
      <c r="AA2208">
        <v>0</v>
      </c>
      <c r="AB2208" t="s">
        <v>324</v>
      </c>
      <c r="AF2208" t="s">
        <v>825</v>
      </c>
      <c r="AG2208" t="s">
        <v>825</v>
      </c>
      <c r="AH2208" t="s">
        <v>758</v>
      </c>
      <c r="AI2208">
        <v>99999</v>
      </c>
      <c r="AJ2208">
        <v>99999</v>
      </c>
      <c r="AK2208">
        <v>699</v>
      </c>
      <c r="AL2208" t="b">
        <v>1</v>
      </c>
      <c r="AM2208" t="b">
        <v>1</v>
      </c>
      <c r="AN2208" t="b">
        <v>0</v>
      </c>
      <c r="AO2208">
        <v>99999</v>
      </c>
      <c r="AP2208" t="s">
        <v>64</v>
      </c>
      <c r="AR2208" t="b">
        <v>0</v>
      </c>
      <c r="AS2208">
        <v>12</v>
      </c>
      <c r="AT2208" t="s">
        <v>327</v>
      </c>
      <c r="AV2208" t="s">
        <v>843</v>
      </c>
    </row>
    <row r="2209" spans="1:48" x14ac:dyDescent="0.25">
      <c r="A2209" t="s">
        <v>3323</v>
      </c>
      <c r="B2209" t="s">
        <v>302</v>
      </c>
      <c r="C2209" t="s">
        <v>62</v>
      </c>
      <c r="D2209">
        <v>99999</v>
      </c>
      <c r="F2209" s="109">
        <v>7000</v>
      </c>
      <c r="G2209" t="b">
        <v>0</v>
      </c>
      <c r="H2209" t="s">
        <v>335</v>
      </c>
      <c r="K2209" t="s">
        <v>349</v>
      </c>
      <c r="L2209" t="s">
        <v>303</v>
      </c>
      <c r="M2209" t="s">
        <v>323</v>
      </c>
      <c r="N2209" t="s">
        <v>63</v>
      </c>
      <c r="O2209" s="110">
        <v>39.9</v>
      </c>
      <c r="R2209" s="110">
        <v>314.89</v>
      </c>
      <c r="S2209" s="110">
        <v>69.900000000000006</v>
      </c>
      <c r="T2209" s="110">
        <v>0</v>
      </c>
      <c r="U2209" s="110">
        <v>42.99</v>
      </c>
      <c r="X2209">
        <v>157.09999999999997</v>
      </c>
      <c r="Y2209">
        <v>44.9</v>
      </c>
      <c r="Z2209">
        <v>44.9</v>
      </c>
      <c r="AA2209">
        <v>0</v>
      </c>
      <c r="AB2209" t="s">
        <v>324</v>
      </c>
      <c r="AF2209" t="s">
        <v>959</v>
      </c>
      <c r="AG2209" t="s">
        <v>959</v>
      </c>
      <c r="AH2209" t="s">
        <v>758</v>
      </c>
      <c r="AI2209">
        <v>99999</v>
      </c>
      <c r="AJ2209">
        <v>99999</v>
      </c>
      <c r="AK2209">
        <v>699</v>
      </c>
      <c r="AL2209" t="b">
        <v>1</v>
      </c>
      <c r="AM2209" t="b">
        <v>1</v>
      </c>
      <c r="AN2209" t="b">
        <v>0</v>
      </c>
      <c r="AO2209">
        <v>99999</v>
      </c>
      <c r="AP2209" t="s">
        <v>64</v>
      </c>
      <c r="AR2209" t="b">
        <v>0</v>
      </c>
      <c r="AS2209">
        <v>12</v>
      </c>
      <c r="AT2209" t="s">
        <v>327</v>
      </c>
      <c r="AV2209" t="s">
        <v>977</v>
      </c>
    </row>
    <row r="2210" spans="1:48" x14ac:dyDescent="0.25">
      <c r="A2210" t="s">
        <v>3323</v>
      </c>
      <c r="B2210" t="s">
        <v>302</v>
      </c>
      <c r="C2210" t="s">
        <v>62</v>
      </c>
      <c r="D2210">
        <v>99999</v>
      </c>
      <c r="F2210" s="109">
        <v>7000</v>
      </c>
      <c r="G2210" t="b">
        <v>0</v>
      </c>
      <c r="H2210" t="s">
        <v>335</v>
      </c>
      <c r="K2210" t="s">
        <v>349</v>
      </c>
      <c r="L2210" t="s">
        <v>303</v>
      </c>
      <c r="M2210" t="s">
        <v>323</v>
      </c>
      <c r="N2210" t="s">
        <v>63</v>
      </c>
      <c r="O2210" s="110">
        <v>39.9</v>
      </c>
      <c r="R2210" s="110">
        <v>329.89</v>
      </c>
      <c r="S2210" s="110">
        <v>70</v>
      </c>
      <c r="T2210" s="110">
        <v>0</v>
      </c>
      <c r="U2210" s="110">
        <v>42.99</v>
      </c>
      <c r="X2210">
        <v>171.99999999999997</v>
      </c>
      <c r="Y2210">
        <v>44.9</v>
      </c>
      <c r="Z2210">
        <v>44.9</v>
      </c>
      <c r="AA2210">
        <v>0</v>
      </c>
      <c r="AB2210" t="s">
        <v>324</v>
      </c>
      <c r="AF2210" t="s">
        <v>1107</v>
      </c>
      <c r="AG2210" t="s">
        <v>1107</v>
      </c>
      <c r="AH2210" t="s">
        <v>758</v>
      </c>
      <c r="AI2210">
        <v>99999</v>
      </c>
      <c r="AJ2210">
        <v>99999</v>
      </c>
      <c r="AK2210">
        <v>699</v>
      </c>
      <c r="AL2210" t="b">
        <v>1</v>
      </c>
      <c r="AM2210" t="b">
        <v>1</v>
      </c>
      <c r="AN2210" t="b">
        <v>0</v>
      </c>
      <c r="AO2210">
        <v>99999</v>
      </c>
      <c r="AP2210" t="s">
        <v>64</v>
      </c>
      <c r="AR2210" t="b">
        <v>0</v>
      </c>
      <c r="AS2210">
        <v>12</v>
      </c>
      <c r="AT2210" t="s">
        <v>327</v>
      </c>
      <c r="AV2210" t="s">
        <v>1125</v>
      </c>
    </row>
    <row r="2211" spans="1:48" x14ac:dyDescent="0.25">
      <c r="A2211" t="s">
        <v>3323</v>
      </c>
      <c r="B2211" t="s">
        <v>302</v>
      </c>
      <c r="C2211" t="s">
        <v>62</v>
      </c>
      <c r="D2211">
        <v>99999</v>
      </c>
      <c r="F2211" s="109">
        <v>7000</v>
      </c>
      <c r="G2211" t="b">
        <v>0</v>
      </c>
      <c r="H2211" t="s">
        <v>335</v>
      </c>
      <c r="K2211" t="s">
        <v>349</v>
      </c>
      <c r="L2211" t="s">
        <v>303</v>
      </c>
      <c r="M2211" t="s">
        <v>323</v>
      </c>
      <c r="N2211" t="s">
        <v>63</v>
      </c>
      <c r="O2211" s="110">
        <v>49.9</v>
      </c>
      <c r="R2211" s="110">
        <v>345.68999999999994</v>
      </c>
      <c r="S2211" s="110">
        <v>130</v>
      </c>
      <c r="T2211" s="110">
        <v>0</v>
      </c>
      <c r="U2211" s="110">
        <v>34.99</v>
      </c>
      <c r="X2211">
        <v>135.79999999999995</v>
      </c>
      <c r="Y2211">
        <v>44.9</v>
      </c>
      <c r="Z2211">
        <v>44.9</v>
      </c>
      <c r="AA2211">
        <v>0</v>
      </c>
      <c r="AB2211" t="s">
        <v>324</v>
      </c>
      <c r="AF2211" t="s">
        <v>2467</v>
      </c>
      <c r="AG2211" t="s">
        <v>2467</v>
      </c>
      <c r="AH2211" t="s">
        <v>758</v>
      </c>
      <c r="AI2211">
        <v>99999</v>
      </c>
      <c r="AJ2211">
        <v>99999</v>
      </c>
      <c r="AK2211">
        <v>699</v>
      </c>
      <c r="AL2211" t="b">
        <v>1</v>
      </c>
      <c r="AM2211" t="b">
        <v>1</v>
      </c>
      <c r="AN2211" t="b">
        <v>0</v>
      </c>
      <c r="AO2211">
        <v>99999</v>
      </c>
      <c r="AP2211" t="s">
        <v>64</v>
      </c>
      <c r="AR2211" t="b">
        <v>0</v>
      </c>
      <c r="AS2211">
        <v>12</v>
      </c>
      <c r="AT2211" t="s">
        <v>327</v>
      </c>
      <c r="AV2211" t="s">
        <v>2485</v>
      </c>
    </row>
    <row r="2212" spans="1:48" x14ac:dyDescent="0.25">
      <c r="A2212" t="s">
        <v>3323</v>
      </c>
      <c r="B2212" t="s">
        <v>302</v>
      </c>
      <c r="C2212" t="s">
        <v>62</v>
      </c>
      <c r="D2212">
        <v>99999</v>
      </c>
      <c r="F2212" s="109">
        <v>7000</v>
      </c>
      <c r="G2212" t="b">
        <v>0</v>
      </c>
      <c r="H2212" t="s">
        <v>335</v>
      </c>
      <c r="K2212" t="s">
        <v>349</v>
      </c>
      <c r="L2212" t="s">
        <v>303</v>
      </c>
      <c r="M2212" t="s">
        <v>323</v>
      </c>
      <c r="N2212" t="s">
        <v>63</v>
      </c>
      <c r="O2212" s="110">
        <v>49.9</v>
      </c>
      <c r="R2212" s="110">
        <v>359.98999999999995</v>
      </c>
      <c r="S2212" s="110">
        <v>130</v>
      </c>
      <c r="T2212" s="110">
        <v>0</v>
      </c>
      <c r="U2212" s="110">
        <v>42.99</v>
      </c>
      <c r="X2212">
        <v>142.09999999999997</v>
      </c>
      <c r="Y2212">
        <v>44.9</v>
      </c>
      <c r="Z2212">
        <v>44.9</v>
      </c>
      <c r="AA2212">
        <v>0</v>
      </c>
      <c r="AB2212" t="s">
        <v>324</v>
      </c>
      <c r="AF2212" t="s">
        <v>2541</v>
      </c>
      <c r="AG2212" t="s">
        <v>2541</v>
      </c>
      <c r="AH2212" t="s">
        <v>758</v>
      </c>
      <c r="AI2212">
        <v>99999</v>
      </c>
      <c r="AJ2212">
        <v>99999</v>
      </c>
      <c r="AK2212">
        <v>699</v>
      </c>
      <c r="AL2212" t="b">
        <v>1</v>
      </c>
      <c r="AM2212" t="b">
        <v>1</v>
      </c>
      <c r="AN2212" t="b">
        <v>0</v>
      </c>
      <c r="AO2212">
        <v>99999</v>
      </c>
      <c r="AP2212" t="s">
        <v>64</v>
      </c>
      <c r="AR2212" t="b">
        <v>0</v>
      </c>
      <c r="AS2212">
        <v>12</v>
      </c>
      <c r="AT2212" t="s">
        <v>327</v>
      </c>
      <c r="AV2212" t="s">
        <v>2559</v>
      </c>
    </row>
    <row r="2213" spans="1:48" x14ac:dyDescent="0.25">
      <c r="A2213" t="s">
        <v>3323</v>
      </c>
      <c r="B2213" t="s">
        <v>302</v>
      </c>
      <c r="C2213" t="s">
        <v>62</v>
      </c>
      <c r="D2213">
        <v>99999</v>
      </c>
      <c r="F2213" s="109">
        <v>7000</v>
      </c>
      <c r="G2213" t="b">
        <v>0</v>
      </c>
      <c r="H2213" t="s">
        <v>335</v>
      </c>
      <c r="K2213" t="s">
        <v>349</v>
      </c>
      <c r="L2213" t="s">
        <v>303</v>
      </c>
      <c r="M2213" t="s">
        <v>323</v>
      </c>
      <c r="N2213" t="s">
        <v>63</v>
      </c>
      <c r="O2213" s="110">
        <v>49.9</v>
      </c>
      <c r="R2213" s="110">
        <v>374.98999999999995</v>
      </c>
      <c r="S2213" s="110">
        <v>130</v>
      </c>
      <c r="T2213" s="110">
        <v>0</v>
      </c>
      <c r="U2213" s="110">
        <v>42.99</v>
      </c>
      <c r="X2213">
        <v>157.09999999999997</v>
      </c>
      <c r="Y2213">
        <v>44.9</v>
      </c>
      <c r="Z2213">
        <v>44.9</v>
      </c>
      <c r="AA2213">
        <v>0</v>
      </c>
      <c r="AB2213" t="s">
        <v>324</v>
      </c>
      <c r="AF2213" t="s">
        <v>2608</v>
      </c>
      <c r="AG2213" t="s">
        <v>2608</v>
      </c>
      <c r="AH2213" t="s">
        <v>758</v>
      </c>
      <c r="AI2213">
        <v>99999</v>
      </c>
      <c r="AJ2213">
        <v>99999</v>
      </c>
      <c r="AK2213">
        <v>699</v>
      </c>
      <c r="AL2213" t="b">
        <v>1</v>
      </c>
      <c r="AM2213" t="b">
        <v>1</v>
      </c>
      <c r="AN2213" t="b">
        <v>0</v>
      </c>
      <c r="AO2213">
        <v>99999</v>
      </c>
      <c r="AP2213" t="s">
        <v>64</v>
      </c>
      <c r="AR2213" t="b">
        <v>0</v>
      </c>
      <c r="AS2213">
        <v>12</v>
      </c>
      <c r="AT2213" t="s">
        <v>327</v>
      </c>
      <c r="AV2213" t="s">
        <v>2625</v>
      </c>
    </row>
    <row r="2214" spans="1:48" x14ac:dyDescent="0.25">
      <c r="A2214" t="s">
        <v>3323</v>
      </c>
      <c r="B2214" t="s">
        <v>302</v>
      </c>
      <c r="C2214" t="s">
        <v>62</v>
      </c>
      <c r="D2214">
        <v>99999</v>
      </c>
      <c r="F2214" s="109">
        <v>7000</v>
      </c>
      <c r="G2214" t="b">
        <v>0</v>
      </c>
      <c r="H2214" t="s">
        <v>335</v>
      </c>
      <c r="K2214" t="s">
        <v>349</v>
      </c>
      <c r="L2214" t="s">
        <v>303</v>
      </c>
      <c r="M2214" t="s">
        <v>323</v>
      </c>
      <c r="N2214" t="s">
        <v>63</v>
      </c>
      <c r="O2214" s="110">
        <v>49.9</v>
      </c>
      <c r="R2214" s="110">
        <v>389.89</v>
      </c>
      <c r="S2214" s="110">
        <v>130</v>
      </c>
      <c r="T2214" s="110">
        <v>0</v>
      </c>
      <c r="U2214" s="110">
        <v>42.99</v>
      </c>
      <c r="X2214">
        <v>171.99999999999997</v>
      </c>
      <c r="Y2214">
        <v>44.9</v>
      </c>
      <c r="Z2214">
        <v>44.9</v>
      </c>
      <c r="AA2214">
        <v>0</v>
      </c>
      <c r="AB2214" t="s">
        <v>324</v>
      </c>
      <c r="AF2214" t="s">
        <v>2677</v>
      </c>
      <c r="AG2214" t="s">
        <v>2677</v>
      </c>
      <c r="AH2214" t="s">
        <v>758</v>
      </c>
      <c r="AI2214">
        <v>99999</v>
      </c>
      <c r="AJ2214">
        <v>99999</v>
      </c>
      <c r="AK2214">
        <v>699</v>
      </c>
      <c r="AL2214" t="b">
        <v>1</v>
      </c>
      <c r="AM2214" t="b">
        <v>1</v>
      </c>
      <c r="AN2214" t="b">
        <v>0</v>
      </c>
      <c r="AO2214">
        <v>99999</v>
      </c>
      <c r="AP2214" t="s">
        <v>64</v>
      </c>
      <c r="AR2214" t="b">
        <v>0</v>
      </c>
      <c r="AS2214">
        <v>12</v>
      </c>
      <c r="AT2214" t="s">
        <v>327</v>
      </c>
      <c r="AV2214" t="s">
        <v>2695</v>
      </c>
    </row>
    <row r="2215" spans="1:48" x14ac:dyDescent="0.25">
      <c r="A2215" t="s">
        <v>3323</v>
      </c>
      <c r="B2215" t="s">
        <v>302</v>
      </c>
      <c r="C2215" t="s">
        <v>62</v>
      </c>
      <c r="D2215">
        <v>99999</v>
      </c>
      <c r="F2215" s="109">
        <v>7000</v>
      </c>
      <c r="G2215" t="b">
        <v>0</v>
      </c>
      <c r="H2215" t="s">
        <v>335</v>
      </c>
      <c r="K2215" t="s">
        <v>393</v>
      </c>
      <c r="L2215" t="s">
        <v>303</v>
      </c>
      <c r="M2215" t="s">
        <v>323</v>
      </c>
      <c r="N2215" t="s">
        <v>63</v>
      </c>
      <c r="O2215" s="110">
        <v>29.9</v>
      </c>
      <c r="R2215" s="110">
        <v>324.89</v>
      </c>
      <c r="S2215" s="110">
        <v>69.900000000000006</v>
      </c>
      <c r="T2215" s="110">
        <v>0</v>
      </c>
      <c r="U2215" s="110">
        <v>42.99</v>
      </c>
      <c r="X2215">
        <v>142.09999999999997</v>
      </c>
      <c r="Y2215">
        <v>69.900000000000006</v>
      </c>
      <c r="Z2215">
        <v>69.900000000000006</v>
      </c>
      <c r="AA2215">
        <v>0</v>
      </c>
      <c r="AB2215" t="s">
        <v>363</v>
      </c>
      <c r="AF2215" t="s">
        <v>785</v>
      </c>
      <c r="AG2215" t="s">
        <v>785</v>
      </c>
      <c r="AH2215" t="s">
        <v>758</v>
      </c>
      <c r="AI2215">
        <v>99999</v>
      </c>
      <c r="AJ2215">
        <v>99999</v>
      </c>
      <c r="AK2215">
        <v>699</v>
      </c>
      <c r="AL2215" t="b">
        <v>1</v>
      </c>
      <c r="AM2215" t="b">
        <v>1</v>
      </c>
      <c r="AN2215" t="b">
        <v>0</v>
      </c>
      <c r="AO2215">
        <v>99999</v>
      </c>
      <c r="AP2215" t="s">
        <v>64</v>
      </c>
      <c r="AR2215" t="b">
        <v>0</v>
      </c>
      <c r="AS2215">
        <v>12</v>
      </c>
      <c r="AT2215" t="s">
        <v>327</v>
      </c>
      <c r="AV2215" t="s">
        <v>816</v>
      </c>
    </row>
    <row r="2216" spans="1:48" x14ac:dyDescent="0.25">
      <c r="A2216" t="s">
        <v>3323</v>
      </c>
      <c r="B2216" t="s">
        <v>302</v>
      </c>
      <c r="C2216" t="s">
        <v>62</v>
      </c>
      <c r="D2216">
        <v>99999</v>
      </c>
      <c r="F2216" s="109">
        <v>7000</v>
      </c>
      <c r="G2216" t="b">
        <v>0</v>
      </c>
      <c r="H2216" t="s">
        <v>335</v>
      </c>
      <c r="K2216" t="s">
        <v>393</v>
      </c>
      <c r="L2216" t="s">
        <v>303</v>
      </c>
      <c r="M2216" t="s">
        <v>323</v>
      </c>
      <c r="N2216" t="s">
        <v>63</v>
      </c>
      <c r="O2216" s="110">
        <v>29.9</v>
      </c>
      <c r="R2216" s="110">
        <v>339.89</v>
      </c>
      <c r="S2216" s="110">
        <v>69.900000000000006</v>
      </c>
      <c r="T2216" s="110">
        <v>0</v>
      </c>
      <c r="U2216" s="110">
        <v>42.99</v>
      </c>
      <c r="X2216">
        <v>157.09999999999997</v>
      </c>
      <c r="Y2216">
        <v>69.900000000000006</v>
      </c>
      <c r="Z2216">
        <v>69.900000000000006</v>
      </c>
      <c r="AA2216">
        <v>0</v>
      </c>
      <c r="AB2216" t="s">
        <v>363</v>
      </c>
      <c r="AF2216" t="s">
        <v>919</v>
      </c>
      <c r="AG2216" t="s">
        <v>919</v>
      </c>
      <c r="AH2216" t="s">
        <v>758</v>
      </c>
      <c r="AI2216">
        <v>99999</v>
      </c>
      <c r="AJ2216">
        <v>99999</v>
      </c>
      <c r="AK2216">
        <v>699</v>
      </c>
      <c r="AL2216" t="b">
        <v>1</v>
      </c>
      <c r="AM2216" t="b">
        <v>1</v>
      </c>
      <c r="AN2216" t="b">
        <v>0</v>
      </c>
      <c r="AO2216">
        <v>99999</v>
      </c>
      <c r="AP2216" t="s">
        <v>64</v>
      </c>
      <c r="AR2216" t="b">
        <v>0</v>
      </c>
      <c r="AS2216">
        <v>12</v>
      </c>
      <c r="AT2216" t="s">
        <v>327</v>
      </c>
      <c r="AV2216" t="s">
        <v>950</v>
      </c>
    </row>
    <row r="2217" spans="1:48" x14ac:dyDescent="0.25">
      <c r="A2217" t="s">
        <v>3323</v>
      </c>
      <c r="B2217" t="s">
        <v>302</v>
      </c>
      <c r="C2217" t="s">
        <v>62</v>
      </c>
      <c r="D2217">
        <v>99999</v>
      </c>
      <c r="F2217" s="109">
        <v>7000</v>
      </c>
      <c r="G2217" t="b">
        <v>0</v>
      </c>
      <c r="H2217" t="s">
        <v>335</v>
      </c>
      <c r="K2217" t="s">
        <v>393</v>
      </c>
      <c r="L2217" t="s">
        <v>303</v>
      </c>
      <c r="M2217" t="s">
        <v>323</v>
      </c>
      <c r="N2217" t="s">
        <v>63</v>
      </c>
      <c r="O2217" s="110">
        <v>29.9</v>
      </c>
      <c r="R2217" s="110">
        <v>354.89</v>
      </c>
      <c r="S2217" s="110">
        <v>70</v>
      </c>
      <c r="T2217" s="110">
        <v>0</v>
      </c>
      <c r="U2217" s="110">
        <v>42.99</v>
      </c>
      <c r="X2217">
        <v>171.99999999999997</v>
      </c>
      <c r="Y2217">
        <v>69.900000000000006</v>
      </c>
      <c r="Z2217">
        <v>69.900000000000006</v>
      </c>
      <c r="AA2217">
        <v>0</v>
      </c>
      <c r="AB2217" t="s">
        <v>363</v>
      </c>
      <c r="AF2217" t="s">
        <v>1067</v>
      </c>
      <c r="AG2217" t="s">
        <v>1067</v>
      </c>
      <c r="AH2217" t="s">
        <v>758</v>
      </c>
      <c r="AI2217">
        <v>99999</v>
      </c>
      <c r="AJ2217">
        <v>99999</v>
      </c>
      <c r="AK2217">
        <v>699</v>
      </c>
      <c r="AL2217" t="b">
        <v>1</v>
      </c>
      <c r="AM2217" t="b">
        <v>1</v>
      </c>
      <c r="AN2217" t="b">
        <v>0</v>
      </c>
      <c r="AO2217">
        <v>99999</v>
      </c>
      <c r="AP2217" t="s">
        <v>64</v>
      </c>
      <c r="AR2217" t="b">
        <v>0</v>
      </c>
      <c r="AS2217">
        <v>12</v>
      </c>
      <c r="AT2217" t="s">
        <v>327</v>
      </c>
      <c r="AV2217" t="s">
        <v>1098</v>
      </c>
    </row>
    <row r="2218" spans="1:48" x14ac:dyDescent="0.25">
      <c r="A2218" t="s">
        <v>3323</v>
      </c>
      <c r="B2218" t="s">
        <v>302</v>
      </c>
      <c r="C2218" t="s">
        <v>62</v>
      </c>
      <c r="D2218">
        <v>99999</v>
      </c>
      <c r="F2218" s="109">
        <v>7000</v>
      </c>
      <c r="G2218" t="b">
        <v>0</v>
      </c>
      <c r="H2218" t="s">
        <v>335</v>
      </c>
      <c r="K2218" t="s">
        <v>393</v>
      </c>
      <c r="L2218" t="s">
        <v>303</v>
      </c>
      <c r="M2218" t="s">
        <v>323</v>
      </c>
      <c r="N2218" t="s">
        <v>63</v>
      </c>
      <c r="O2218" s="110">
        <v>39.9</v>
      </c>
      <c r="R2218" s="110">
        <v>324.89</v>
      </c>
      <c r="S2218" s="110">
        <v>69.900000000000006</v>
      </c>
      <c r="T2218" s="110">
        <v>0</v>
      </c>
      <c r="U2218" s="110">
        <v>42.99</v>
      </c>
      <c r="X2218">
        <v>142.09999999999997</v>
      </c>
      <c r="Y2218">
        <v>69.900000000000006</v>
      </c>
      <c r="Z2218">
        <v>69.900000000000006</v>
      </c>
      <c r="AA2218">
        <v>0</v>
      </c>
      <c r="AB2218" t="s">
        <v>363</v>
      </c>
      <c r="AF2218" t="s">
        <v>852</v>
      </c>
      <c r="AG2218" t="s">
        <v>852</v>
      </c>
      <c r="AH2218" t="s">
        <v>758</v>
      </c>
      <c r="AI2218">
        <v>99999</v>
      </c>
      <c r="AJ2218">
        <v>99999</v>
      </c>
      <c r="AK2218">
        <v>699</v>
      </c>
      <c r="AL2218" t="b">
        <v>1</v>
      </c>
      <c r="AM2218" t="b">
        <v>1</v>
      </c>
      <c r="AN2218" t="b">
        <v>0</v>
      </c>
      <c r="AO2218">
        <v>99999</v>
      </c>
      <c r="AP2218" t="s">
        <v>64</v>
      </c>
      <c r="AR2218" t="b">
        <v>0</v>
      </c>
      <c r="AS2218">
        <v>12</v>
      </c>
      <c r="AT2218" t="s">
        <v>327</v>
      </c>
      <c r="AV2218" t="s">
        <v>883</v>
      </c>
    </row>
    <row r="2219" spans="1:48" x14ac:dyDescent="0.25">
      <c r="A2219" t="s">
        <v>3323</v>
      </c>
      <c r="B2219" t="s">
        <v>302</v>
      </c>
      <c r="C2219" t="s">
        <v>62</v>
      </c>
      <c r="D2219">
        <v>99999</v>
      </c>
      <c r="F2219" s="109">
        <v>7000</v>
      </c>
      <c r="G2219" t="b">
        <v>0</v>
      </c>
      <c r="H2219" t="s">
        <v>335</v>
      </c>
      <c r="K2219" t="s">
        <v>393</v>
      </c>
      <c r="L2219" t="s">
        <v>303</v>
      </c>
      <c r="M2219" t="s">
        <v>323</v>
      </c>
      <c r="N2219" t="s">
        <v>63</v>
      </c>
      <c r="O2219" s="110">
        <v>39.9</v>
      </c>
      <c r="R2219" s="110">
        <v>339.89</v>
      </c>
      <c r="S2219" s="110">
        <v>69.900000000000006</v>
      </c>
      <c r="T2219" s="110">
        <v>0</v>
      </c>
      <c r="U2219" s="110">
        <v>42.99</v>
      </c>
      <c r="X2219">
        <v>157.09999999999997</v>
      </c>
      <c r="Y2219">
        <v>69.900000000000006</v>
      </c>
      <c r="Z2219">
        <v>69.900000000000006</v>
      </c>
      <c r="AA2219">
        <v>0</v>
      </c>
      <c r="AB2219" t="s">
        <v>363</v>
      </c>
      <c r="AF2219" t="s">
        <v>986</v>
      </c>
      <c r="AG2219" t="s">
        <v>986</v>
      </c>
      <c r="AH2219" t="s">
        <v>758</v>
      </c>
      <c r="AI2219">
        <v>99999</v>
      </c>
      <c r="AJ2219">
        <v>99999</v>
      </c>
      <c r="AK2219">
        <v>699</v>
      </c>
      <c r="AL2219" t="b">
        <v>1</v>
      </c>
      <c r="AM2219" t="b">
        <v>1</v>
      </c>
      <c r="AN2219" t="b">
        <v>0</v>
      </c>
      <c r="AO2219">
        <v>99999</v>
      </c>
      <c r="AP2219" t="s">
        <v>64</v>
      </c>
      <c r="AR2219" t="b">
        <v>0</v>
      </c>
      <c r="AS2219">
        <v>12</v>
      </c>
      <c r="AT2219" t="s">
        <v>327</v>
      </c>
      <c r="AV2219" t="s">
        <v>1017</v>
      </c>
    </row>
    <row r="2220" spans="1:48" x14ac:dyDescent="0.25">
      <c r="A2220" t="s">
        <v>3323</v>
      </c>
      <c r="B2220" t="s">
        <v>302</v>
      </c>
      <c r="C2220" t="s">
        <v>62</v>
      </c>
      <c r="D2220">
        <v>99999</v>
      </c>
      <c r="F2220" s="109">
        <v>7000</v>
      </c>
      <c r="G2220" t="b">
        <v>0</v>
      </c>
      <c r="H2220" t="s">
        <v>335</v>
      </c>
      <c r="K2220" t="s">
        <v>393</v>
      </c>
      <c r="L2220" t="s">
        <v>303</v>
      </c>
      <c r="M2220" t="s">
        <v>323</v>
      </c>
      <c r="N2220" t="s">
        <v>63</v>
      </c>
      <c r="O2220" s="110">
        <v>39.9</v>
      </c>
      <c r="R2220" s="110">
        <v>354.89</v>
      </c>
      <c r="S2220" s="110">
        <v>70</v>
      </c>
      <c r="T2220" s="110">
        <v>0</v>
      </c>
      <c r="U2220" s="110">
        <v>42.99</v>
      </c>
      <c r="X2220">
        <v>171.99999999999997</v>
      </c>
      <c r="Y2220">
        <v>69.900000000000006</v>
      </c>
      <c r="Z2220">
        <v>69.900000000000006</v>
      </c>
      <c r="AA2220">
        <v>0</v>
      </c>
      <c r="AB2220" t="s">
        <v>363</v>
      </c>
      <c r="AF2220" t="s">
        <v>1134</v>
      </c>
      <c r="AG2220" t="s">
        <v>1134</v>
      </c>
      <c r="AH2220" t="s">
        <v>758</v>
      </c>
      <c r="AI2220">
        <v>99999</v>
      </c>
      <c r="AJ2220">
        <v>99999</v>
      </c>
      <c r="AK2220">
        <v>699</v>
      </c>
      <c r="AL2220" t="b">
        <v>1</v>
      </c>
      <c r="AM2220" t="b">
        <v>1</v>
      </c>
      <c r="AN2220" t="b">
        <v>0</v>
      </c>
      <c r="AO2220">
        <v>99999</v>
      </c>
      <c r="AP2220" t="s">
        <v>64</v>
      </c>
      <c r="AR2220" t="b">
        <v>0</v>
      </c>
      <c r="AS2220">
        <v>12</v>
      </c>
      <c r="AT2220" t="s">
        <v>327</v>
      </c>
      <c r="AV2220" t="s">
        <v>1165</v>
      </c>
    </row>
    <row r="2221" spans="1:48" x14ac:dyDescent="0.25">
      <c r="A2221" t="s">
        <v>3323</v>
      </c>
      <c r="B2221" t="s">
        <v>302</v>
      </c>
      <c r="C2221" t="s">
        <v>62</v>
      </c>
      <c r="D2221">
        <v>99999</v>
      </c>
      <c r="F2221" s="109">
        <v>7000</v>
      </c>
      <c r="G2221" t="b">
        <v>0</v>
      </c>
      <c r="H2221" t="s">
        <v>335</v>
      </c>
      <c r="K2221" t="s">
        <v>393</v>
      </c>
      <c r="L2221" t="s">
        <v>303</v>
      </c>
      <c r="M2221" t="s">
        <v>323</v>
      </c>
      <c r="N2221" t="s">
        <v>63</v>
      </c>
      <c r="O2221" s="110">
        <v>49.9</v>
      </c>
      <c r="R2221" s="110">
        <v>370.68999999999994</v>
      </c>
      <c r="S2221" s="110">
        <v>130</v>
      </c>
      <c r="T2221" s="110">
        <v>0</v>
      </c>
      <c r="U2221" s="110">
        <v>34.99</v>
      </c>
      <c r="X2221">
        <v>135.79999999999995</v>
      </c>
      <c r="Y2221">
        <v>69.900000000000006</v>
      </c>
      <c r="Z2221">
        <v>69.900000000000006</v>
      </c>
      <c r="AA2221">
        <v>0</v>
      </c>
      <c r="AB2221" t="s">
        <v>363</v>
      </c>
      <c r="AF2221" t="s">
        <v>2494</v>
      </c>
      <c r="AG2221" t="s">
        <v>2494</v>
      </c>
      <c r="AH2221" t="s">
        <v>758</v>
      </c>
      <c r="AI2221">
        <v>99999</v>
      </c>
      <c r="AJ2221">
        <v>99999</v>
      </c>
      <c r="AK2221">
        <v>699</v>
      </c>
      <c r="AL2221" t="b">
        <v>1</v>
      </c>
      <c r="AM2221" t="b">
        <v>1</v>
      </c>
      <c r="AN2221" t="b">
        <v>0</v>
      </c>
      <c r="AO2221">
        <v>99999</v>
      </c>
      <c r="AP2221" t="s">
        <v>64</v>
      </c>
      <c r="AR2221" t="b">
        <v>0</v>
      </c>
      <c r="AS2221">
        <v>12</v>
      </c>
      <c r="AT2221" t="s">
        <v>327</v>
      </c>
      <c r="AV2221" t="s">
        <v>2525</v>
      </c>
    </row>
    <row r="2222" spans="1:48" x14ac:dyDescent="0.25">
      <c r="A2222" t="s">
        <v>3323</v>
      </c>
      <c r="B2222" t="s">
        <v>302</v>
      </c>
      <c r="C2222" t="s">
        <v>62</v>
      </c>
      <c r="D2222">
        <v>99999</v>
      </c>
      <c r="F2222" s="109">
        <v>7000</v>
      </c>
      <c r="G2222" t="b">
        <v>0</v>
      </c>
      <c r="H2222" t="s">
        <v>335</v>
      </c>
      <c r="K2222" t="s">
        <v>393</v>
      </c>
      <c r="L2222" t="s">
        <v>303</v>
      </c>
      <c r="M2222" t="s">
        <v>323</v>
      </c>
      <c r="N2222" t="s">
        <v>63</v>
      </c>
      <c r="O2222" s="110">
        <v>49.9</v>
      </c>
      <c r="R2222" s="110">
        <v>384.99</v>
      </c>
      <c r="S2222" s="110">
        <v>130</v>
      </c>
      <c r="T2222" s="110">
        <v>0</v>
      </c>
      <c r="U2222" s="110">
        <v>42.99</v>
      </c>
      <c r="X2222">
        <v>142.09999999999997</v>
      </c>
      <c r="Y2222">
        <v>69.900000000000006</v>
      </c>
      <c r="Z2222">
        <v>69.900000000000006</v>
      </c>
      <c r="AA2222">
        <v>0</v>
      </c>
      <c r="AB2222" t="s">
        <v>363</v>
      </c>
      <c r="AF2222" t="s">
        <v>2568</v>
      </c>
      <c r="AG2222" t="s">
        <v>2568</v>
      </c>
      <c r="AH2222" t="s">
        <v>758</v>
      </c>
      <c r="AI2222">
        <v>99999</v>
      </c>
      <c r="AJ2222">
        <v>99999</v>
      </c>
      <c r="AK2222">
        <v>699</v>
      </c>
      <c r="AL2222" t="b">
        <v>1</v>
      </c>
      <c r="AM2222" t="b">
        <v>1</v>
      </c>
      <c r="AN2222" t="b">
        <v>0</v>
      </c>
      <c r="AO2222">
        <v>99999</v>
      </c>
      <c r="AP2222" t="s">
        <v>64</v>
      </c>
      <c r="AR2222" t="b">
        <v>0</v>
      </c>
      <c r="AS2222">
        <v>12</v>
      </c>
      <c r="AT2222" t="s">
        <v>327</v>
      </c>
      <c r="AV2222" t="s">
        <v>2599</v>
      </c>
    </row>
    <row r="2223" spans="1:48" x14ac:dyDescent="0.25">
      <c r="A2223" t="s">
        <v>3323</v>
      </c>
      <c r="B2223" t="s">
        <v>302</v>
      </c>
      <c r="C2223" t="s">
        <v>62</v>
      </c>
      <c r="D2223">
        <v>99999</v>
      </c>
      <c r="F2223" s="109">
        <v>7000</v>
      </c>
      <c r="G2223" t="b">
        <v>0</v>
      </c>
      <c r="H2223" t="s">
        <v>335</v>
      </c>
      <c r="K2223" t="s">
        <v>393</v>
      </c>
      <c r="L2223" t="s">
        <v>303</v>
      </c>
      <c r="M2223" t="s">
        <v>323</v>
      </c>
      <c r="N2223" t="s">
        <v>63</v>
      </c>
      <c r="O2223" s="110">
        <v>49.9</v>
      </c>
      <c r="R2223" s="110">
        <v>399.99</v>
      </c>
      <c r="S2223" s="110">
        <v>130</v>
      </c>
      <c r="T2223" s="110">
        <v>0</v>
      </c>
      <c r="U2223" s="110">
        <v>42.99</v>
      </c>
      <c r="X2223">
        <v>157.09999999999997</v>
      </c>
      <c r="Y2223">
        <v>69.900000000000006</v>
      </c>
      <c r="Z2223">
        <v>69.900000000000006</v>
      </c>
      <c r="AA2223">
        <v>0</v>
      </c>
      <c r="AB2223" t="s">
        <v>363</v>
      </c>
      <c r="AF2223" t="s">
        <v>2633</v>
      </c>
      <c r="AG2223" t="s">
        <v>2633</v>
      </c>
      <c r="AH2223" t="s">
        <v>758</v>
      </c>
      <c r="AI2223">
        <v>99999</v>
      </c>
      <c r="AJ2223">
        <v>99999</v>
      </c>
      <c r="AK2223">
        <v>699</v>
      </c>
      <c r="AL2223" t="b">
        <v>1</v>
      </c>
      <c r="AM2223" t="b">
        <v>1</v>
      </c>
      <c r="AN2223" t="b">
        <v>0</v>
      </c>
      <c r="AO2223">
        <v>99999</v>
      </c>
      <c r="AP2223" t="s">
        <v>64</v>
      </c>
      <c r="AR2223" t="b">
        <v>0</v>
      </c>
      <c r="AS2223">
        <v>12</v>
      </c>
      <c r="AT2223" t="s">
        <v>327</v>
      </c>
      <c r="AV2223" t="s">
        <v>2662</v>
      </c>
    </row>
    <row r="2224" spans="1:48" x14ac:dyDescent="0.25">
      <c r="A2224" t="s">
        <v>3323</v>
      </c>
      <c r="B2224" t="s">
        <v>302</v>
      </c>
      <c r="C2224" t="s">
        <v>62</v>
      </c>
      <c r="D2224">
        <v>99999</v>
      </c>
      <c r="F2224" s="109">
        <v>7000</v>
      </c>
      <c r="G2224" t="b">
        <v>0</v>
      </c>
      <c r="H2224" t="s">
        <v>335</v>
      </c>
      <c r="K2224" t="s">
        <v>393</v>
      </c>
      <c r="L2224" t="s">
        <v>303</v>
      </c>
      <c r="M2224" t="s">
        <v>323</v>
      </c>
      <c r="N2224" t="s">
        <v>63</v>
      </c>
      <c r="O2224" s="110">
        <v>49.9</v>
      </c>
      <c r="R2224" s="110">
        <v>414.89</v>
      </c>
      <c r="S2224" s="110">
        <v>130</v>
      </c>
      <c r="T2224" s="110">
        <v>0</v>
      </c>
      <c r="U2224" s="110">
        <v>42.99</v>
      </c>
      <c r="X2224">
        <v>171.99999999999997</v>
      </c>
      <c r="Y2224">
        <v>69.900000000000006</v>
      </c>
      <c r="Z2224">
        <v>69.900000000000006</v>
      </c>
      <c r="AA2224">
        <v>0</v>
      </c>
      <c r="AB2224" t="s">
        <v>363</v>
      </c>
      <c r="AF2224" t="s">
        <v>2704</v>
      </c>
      <c r="AG2224" t="s">
        <v>2704</v>
      </c>
      <c r="AH2224" t="s">
        <v>758</v>
      </c>
      <c r="AI2224">
        <v>99999</v>
      </c>
      <c r="AJ2224">
        <v>99999</v>
      </c>
      <c r="AK2224">
        <v>699</v>
      </c>
      <c r="AL2224" t="b">
        <v>1</v>
      </c>
      <c r="AM2224" t="b">
        <v>1</v>
      </c>
      <c r="AN2224" t="b">
        <v>0</v>
      </c>
      <c r="AO2224">
        <v>99999</v>
      </c>
      <c r="AP2224" t="s">
        <v>64</v>
      </c>
      <c r="AR2224" t="b">
        <v>0</v>
      </c>
      <c r="AS2224">
        <v>12</v>
      </c>
      <c r="AT2224" t="s">
        <v>327</v>
      </c>
      <c r="AV2224" t="s">
        <v>2735</v>
      </c>
    </row>
    <row r="2225" spans="1:48" x14ac:dyDescent="0.25">
      <c r="A2225" t="s">
        <v>3323</v>
      </c>
      <c r="B2225" t="s">
        <v>302</v>
      </c>
      <c r="C2225" t="s">
        <v>62</v>
      </c>
      <c r="D2225">
        <v>99999</v>
      </c>
      <c r="F2225" s="109">
        <v>7000</v>
      </c>
      <c r="G2225" t="b">
        <v>0</v>
      </c>
      <c r="H2225" t="s">
        <v>335</v>
      </c>
      <c r="K2225" t="s">
        <v>364</v>
      </c>
      <c r="L2225" t="s">
        <v>303</v>
      </c>
      <c r="M2225" t="s">
        <v>323</v>
      </c>
      <c r="N2225" t="s">
        <v>63</v>
      </c>
      <c r="O2225" s="110">
        <v>29.9</v>
      </c>
      <c r="R2225" s="110">
        <v>304.89</v>
      </c>
      <c r="S2225" s="110">
        <v>69.900000000000006</v>
      </c>
      <c r="T2225" s="110">
        <v>0</v>
      </c>
      <c r="U2225" s="110">
        <v>42.99</v>
      </c>
      <c r="X2225">
        <v>142.09999999999997</v>
      </c>
      <c r="Y2225">
        <v>49.9</v>
      </c>
      <c r="Z2225">
        <v>49.9</v>
      </c>
      <c r="AA2225">
        <v>0</v>
      </c>
      <c r="AB2225" t="s">
        <v>363</v>
      </c>
      <c r="AF2225" t="s">
        <v>785</v>
      </c>
      <c r="AG2225" t="s">
        <v>785</v>
      </c>
      <c r="AH2225" t="s">
        <v>758</v>
      </c>
      <c r="AI2225">
        <v>99999</v>
      </c>
      <c r="AJ2225">
        <v>99999</v>
      </c>
      <c r="AK2225">
        <v>699</v>
      </c>
      <c r="AL2225" t="b">
        <v>1</v>
      </c>
      <c r="AM2225" t="b">
        <v>1</v>
      </c>
      <c r="AN2225" t="b">
        <v>0</v>
      </c>
      <c r="AO2225">
        <v>99999</v>
      </c>
      <c r="AP2225" t="s">
        <v>64</v>
      </c>
      <c r="AR2225" t="b">
        <v>0</v>
      </c>
      <c r="AS2225">
        <v>12</v>
      </c>
      <c r="AT2225" t="s">
        <v>327</v>
      </c>
      <c r="AV2225" t="s">
        <v>790</v>
      </c>
    </row>
    <row r="2226" spans="1:48" x14ac:dyDescent="0.25">
      <c r="A2226" t="s">
        <v>3323</v>
      </c>
      <c r="B2226" t="s">
        <v>302</v>
      </c>
      <c r="C2226" t="s">
        <v>62</v>
      </c>
      <c r="D2226">
        <v>99999</v>
      </c>
      <c r="F2226" s="109">
        <v>7000</v>
      </c>
      <c r="G2226" t="b">
        <v>0</v>
      </c>
      <c r="H2226" t="s">
        <v>335</v>
      </c>
      <c r="K2226" t="s">
        <v>364</v>
      </c>
      <c r="L2226" t="s">
        <v>303</v>
      </c>
      <c r="M2226" t="s">
        <v>323</v>
      </c>
      <c r="N2226" t="s">
        <v>63</v>
      </c>
      <c r="O2226" s="110">
        <v>29.9</v>
      </c>
      <c r="R2226" s="110">
        <v>319.89</v>
      </c>
      <c r="S2226" s="110">
        <v>69.900000000000006</v>
      </c>
      <c r="T2226" s="110">
        <v>0</v>
      </c>
      <c r="U2226" s="110">
        <v>42.99</v>
      </c>
      <c r="X2226">
        <v>157.09999999999997</v>
      </c>
      <c r="Y2226">
        <v>49.9</v>
      </c>
      <c r="Z2226">
        <v>49.9</v>
      </c>
      <c r="AA2226">
        <v>0</v>
      </c>
      <c r="AB2226" t="s">
        <v>363</v>
      </c>
      <c r="AF2226" t="s">
        <v>919</v>
      </c>
      <c r="AG2226" t="s">
        <v>919</v>
      </c>
      <c r="AH2226" t="s">
        <v>758</v>
      </c>
      <c r="AI2226">
        <v>99999</v>
      </c>
      <c r="AJ2226">
        <v>99999</v>
      </c>
      <c r="AK2226">
        <v>699</v>
      </c>
      <c r="AL2226" t="b">
        <v>1</v>
      </c>
      <c r="AM2226" t="b">
        <v>1</v>
      </c>
      <c r="AN2226" t="b">
        <v>0</v>
      </c>
      <c r="AO2226">
        <v>99999</v>
      </c>
      <c r="AP2226" t="s">
        <v>64</v>
      </c>
      <c r="AR2226" t="b">
        <v>0</v>
      </c>
      <c r="AS2226">
        <v>12</v>
      </c>
      <c r="AT2226" t="s">
        <v>327</v>
      </c>
      <c r="AV2226" t="s">
        <v>924</v>
      </c>
    </row>
    <row r="2227" spans="1:48" x14ac:dyDescent="0.25">
      <c r="A2227" t="s">
        <v>3323</v>
      </c>
      <c r="B2227" t="s">
        <v>302</v>
      </c>
      <c r="C2227" t="s">
        <v>62</v>
      </c>
      <c r="D2227">
        <v>99999</v>
      </c>
      <c r="F2227" s="109">
        <v>7000</v>
      </c>
      <c r="G2227" t="b">
        <v>0</v>
      </c>
      <c r="H2227" t="s">
        <v>335</v>
      </c>
      <c r="K2227" t="s">
        <v>364</v>
      </c>
      <c r="L2227" t="s">
        <v>303</v>
      </c>
      <c r="M2227" t="s">
        <v>323</v>
      </c>
      <c r="N2227" t="s">
        <v>63</v>
      </c>
      <c r="O2227" s="110">
        <v>29.9</v>
      </c>
      <c r="R2227" s="110">
        <v>334.89</v>
      </c>
      <c r="S2227" s="110">
        <v>70</v>
      </c>
      <c r="T2227" s="110">
        <v>0</v>
      </c>
      <c r="U2227" s="110">
        <v>42.99</v>
      </c>
      <c r="X2227">
        <v>171.99999999999997</v>
      </c>
      <c r="Y2227">
        <v>49.9</v>
      </c>
      <c r="Z2227">
        <v>49.9</v>
      </c>
      <c r="AA2227">
        <v>0</v>
      </c>
      <c r="AB2227" t="s">
        <v>363</v>
      </c>
      <c r="AF2227" t="s">
        <v>1067</v>
      </c>
      <c r="AG2227" t="s">
        <v>1067</v>
      </c>
      <c r="AH2227" t="s">
        <v>758</v>
      </c>
      <c r="AI2227">
        <v>99999</v>
      </c>
      <c r="AJ2227">
        <v>99999</v>
      </c>
      <c r="AK2227">
        <v>699</v>
      </c>
      <c r="AL2227" t="b">
        <v>1</v>
      </c>
      <c r="AM2227" t="b">
        <v>1</v>
      </c>
      <c r="AN2227" t="b">
        <v>0</v>
      </c>
      <c r="AO2227">
        <v>99999</v>
      </c>
      <c r="AP2227" t="s">
        <v>64</v>
      </c>
      <c r="AR2227" t="b">
        <v>0</v>
      </c>
      <c r="AS2227">
        <v>12</v>
      </c>
      <c r="AT2227" t="s">
        <v>327</v>
      </c>
      <c r="AV2227" t="s">
        <v>1072</v>
      </c>
    </row>
    <row r="2228" spans="1:48" x14ac:dyDescent="0.25">
      <c r="A2228" t="s">
        <v>3323</v>
      </c>
      <c r="B2228" t="s">
        <v>302</v>
      </c>
      <c r="C2228" t="s">
        <v>62</v>
      </c>
      <c r="D2228">
        <v>99999</v>
      </c>
      <c r="F2228" s="109">
        <v>7000</v>
      </c>
      <c r="G2228" t="b">
        <v>0</v>
      </c>
      <c r="H2228" t="s">
        <v>335</v>
      </c>
      <c r="K2228" t="s">
        <v>364</v>
      </c>
      <c r="L2228" t="s">
        <v>303</v>
      </c>
      <c r="M2228" t="s">
        <v>323</v>
      </c>
      <c r="N2228" t="s">
        <v>63</v>
      </c>
      <c r="O2228" s="110">
        <v>39.9</v>
      </c>
      <c r="R2228" s="110">
        <v>304.89</v>
      </c>
      <c r="S2228" s="110">
        <v>69.900000000000006</v>
      </c>
      <c r="T2228" s="110">
        <v>0</v>
      </c>
      <c r="U2228" s="110">
        <v>42.99</v>
      </c>
      <c r="X2228">
        <v>142.09999999999997</v>
      </c>
      <c r="Y2228">
        <v>49.9</v>
      </c>
      <c r="Z2228">
        <v>49.9</v>
      </c>
      <c r="AA2228">
        <v>0</v>
      </c>
      <c r="AB2228" t="s">
        <v>363</v>
      </c>
      <c r="AF2228" t="s">
        <v>852</v>
      </c>
      <c r="AG2228" t="s">
        <v>852</v>
      </c>
      <c r="AH2228" t="s">
        <v>758</v>
      </c>
      <c r="AI2228">
        <v>99999</v>
      </c>
      <c r="AJ2228">
        <v>99999</v>
      </c>
      <c r="AK2228">
        <v>699</v>
      </c>
      <c r="AL2228" t="b">
        <v>1</v>
      </c>
      <c r="AM2228" t="b">
        <v>1</v>
      </c>
      <c r="AN2228" t="b">
        <v>0</v>
      </c>
      <c r="AO2228">
        <v>99999</v>
      </c>
      <c r="AP2228" t="s">
        <v>64</v>
      </c>
      <c r="AR2228" t="b">
        <v>0</v>
      </c>
      <c r="AS2228">
        <v>12</v>
      </c>
      <c r="AT2228" t="s">
        <v>327</v>
      </c>
      <c r="AV2228" t="s">
        <v>857</v>
      </c>
    </row>
    <row r="2229" spans="1:48" x14ac:dyDescent="0.25">
      <c r="A2229" t="s">
        <v>3323</v>
      </c>
      <c r="B2229" t="s">
        <v>302</v>
      </c>
      <c r="C2229" t="s">
        <v>62</v>
      </c>
      <c r="D2229">
        <v>99999</v>
      </c>
      <c r="F2229" s="109">
        <v>7000</v>
      </c>
      <c r="G2229" t="b">
        <v>0</v>
      </c>
      <c r="H2229" t="s">
        <v>335</v>
      </c>
      <c r="K2229" t="s">
        <v>364</v>
      </c>
      <c r="L2229" t="s">
        <v>303</v>
      </c>
      <c r="M2229" t="s">
        <v>323</v>
      </c>
      <c r="N2229" t="s">
        <v>63</v>
      </c>
      <c r="O2229" s="110">
        <v>39.9</v>
      </c>
      <c r="R2229" s="110">
        <v>319.89</v>
      </c>
      <c r="S2229" s="110">
        <v>69.900000000000006</v>
      </c>
      <c r="T2229" s="110">
        <v>0</v>
      </c>
      <c r="U2229" s="110">
        <v>42.99</v>
      </c>
      <c r="X2229">
        <v>157.09999999999997</v>
      </c>
      <c r="Y2229">
        <v>49.9</v>
      </c>
      <c r="Z2229">
        <v>49.9</v>
      </c>
      <c r="AA2229">
        <v>0</v>
      </c>
      <c r="AB2229" t="s">
        <v>363</v>
      </c>
      <c r="AF2229" t="s">
        <v>986</v>
      </c>
      <c r="AG2229" t="s">
        <v>986</v>
      </c>
      <c r="AH2229" t="s">
        <v>758</v>
      </c>
      <c r="AI2229">
        <v>99999</v>
      </c>
      <c r="AJ2229">
        <v>99999</v>
      </c>
      <c r="AK2229">
        <v>699</v>
      </c>
      <c r="AL2229" t="b">
        <v>1</v>
      </c>
      <c r="AM2229" t="b">
        <v>1</v>
      </c>
      <c r="AN2229" t="b">
        <v>0</v>
      </c>
      <c r="AO2229">
        <v>99999</v>
      </c>
      <c r="AP2229" t="s">
        <v>64</v>
      </c>
      <c r="AR2229" t="b">
        <v>0</v>
      </c>
      <c r="AS2229">
        <v>12</v>
      </c>
      <c r="AT2229" t="s">
        <v>327</v>
      </c>
      <c r="AV2229" t="s">
        <v>991</v>
      </c>
    </row>
    <row r="2230" spans="1:48" x14ac:dyDescent="0.25">
      <c r="A2230" t="s">
        <v>3323</v>
      </c>
      <c r="B2230" t="s">
        <v>302</v>
      </c>
      <c r="C2230" t="s">
        <v>62</v>
      </c>
      <c r="D2230">
        <v>99999</v>
      </c>
      <c r="F2230" s="109">
        <v>7000</v>
      </c>
      <c r="G2230" t="b">
        <v>0</v>
      </c>
      <c r="H2230" t="s">
        <v>335</v>
      </c>
      <c r="K2230" t="s">
        <v>364</v>
      </c>
      <c r="L2230" t="s">
        <v>303</v>
      </c>
      <c r="M2230" t="s">
        <v>323</v>
      </c>
      <c r="N2230" t="s">
        <v>63</v>
      </c>
      <c r="O2230" s="110">
        <v>39.9</v>
      </c>
      <c r="R2230" s="110">
        <v>334.89</v>
      </c>
      <c r="S2230" s="110">
        <v>70</v>
      </c>
      <c r="T2230" s="110">
        <v>0</v>
      </c>
      <c r="U2230" s="110">
        <v>42.99</v>
      </c>
      <c r="X2230">
        <v>171.99999999999997</v>
      </c>
      <c r="Y2230">
        <v>49.9</v>
      </c>
      <c r="Z2230">
        <v>49.9</v>
      </c>
      <c r="AA2230">
        <v>0</v>
      </c>
      <c r="AB2230" t="s">
        <v>363</v>
      </c>
      <c r="AF2230" t="s">
        <v>1134</v>
      </c>
      <c r="AG2230" t="s">
        <v>1134</v>
      </c>
      <c r="AH2230" t="s">
        <v>758</v>
      </c>
      <c r="AI2230">
        <v>99999</v>
      </c>
      <c r="AJ2230">
        <v>99999</v>
      </c>
      <c r="AK2230">
        <v>699</v>
      </c>
      <c r="AL2230" t="b">
        <v>1</v>
      </c>
      <c r="AM2230" t="b">
        <v>1</v>
      </c>
      <c r="AN2230" t="b">
        <v>0</v>
      </c>
      <c r="AO2230">
        <v>99999</v>
      </c>
      <c r="AP2230" t="s">
        <v>64</v>
      </c>
      <c r="AR2230" t="b">
        <v>0</v>
      </c>
      <c r="AS2230">
        <v>12</v>
      </c>
      <c r="AT2230" t="s">
        <v>327</v>
      </c>
      <c r="AV2230" t="s">
        <v>1139</v>
      </c>
    </row>
    <row r="2231" spans="1:48" x14ac:dyDescent="0.25">
      <c r="A2231" t="s">
        <v>3323</v>
      </c>
      <c r="B2231" t="s">
        <v>302</v>
      </c>
      <c r="C2231" t="s">
        <v>62</v>
      </c>
      <c r="D2231">
        <v>99999</v>
      </c>
      <c r="F2231" s="109">
        <v>7000</v>
      </c>
      <c r="G2231" t="b">
        <v>0</v>
      </c>
      <c r="H2231" t="s">
        <v>335</v>
      </c>
      <c r="K2231" t="s">
        <v>364</v>
      </c>
      <c r="L2231" t="s">
        <v>303</v>
      </c>
      <c r="M2231" t="s">
        <v>323</v>
      </c>
      <c r="N2231" t="s">
        <v>63</v>
      </c>
      <c r="O2231" s="110">
        <v>49.9</v>
      </c>
      <c r="R2231" s="110">
        <v>350.68999999999994</v>
      </c>
      <c r="S2231" s="110">
        <v>130</v>
      </c>
      <c r="T2231" s="110">
        <v>0</v>
      </c>
      <c r="U2231" s="110">
        <v>34.99</v>
      </c>
      <c r="X2231">
        <v>135.79999999999995</v>
      </c>
      <c r="Y2231">
        <v>49.9</v>
      </c>
      <c r="Z2231">
        <v>49.9</v>
      </c>
      <c r="AA2231">
        <v>0</v>
      </c>
      <c r="AB2231" t="s">
        <v>363</v>
      </c>
      <c r="AF2231" t="s">
        <v>2494</v>
      </c>
      <c r="AG2231" t="s">
        <v>2494</v>
      </c>
      <c r="AH2231" t="s">
        <v>758</v>
      </c>
      <c r="AI2231">
        <v>99999</v>
      </c>
      <c r="AJ2231">
        <v>99999</v>
      </c>
      <c r="AK2231">
        <v>699</v>
      </c>
      <c r="AL2231" t="b">
        <v>1</v>
      </c>
      <c r="AM2231" t="b">
        <v>1</v>
      </c>
      <c r="AN2231" t="b">
        <v>0</v>
      </c>
      <c r="AO2231">
        <v>99999</v>
      </c>
      <c r="AP2231" t="s">
        <v>64</v>
      </c>
      <c r="AR2231" t="b">
        <v>0</v>
      </c>
      <c r="AS2231">
        <v>12</v>
      </c>
      <c r="AT2231" t="s">
        <v>327</v>
      </c>
      <c r="AV2231" t="s">
        <v>2499</v>
      </c>
    </row>
    <row r="2232" spans="1:48" x14ac:dyDescent="0.25">
      <c r="A2232" t="s">
        <v>3323</v>
      </c>
      <c r="B2232" t="s">
        <v>302</v>
      </c>
      <c r="C2232" t="s">
        <v>62</v>
      </c>
      <c r="D2232">
        <v>99999</v>
      </c>
      <c r="F2232" s="109">
        <v>7000</v>
      </c>
      <c r="G2232" t="b">
        <v>0</v>
      </c>
      <c r="H2232" t="s">
        <v>335</v>
      </c>
      <c r="K2232" t="s">
        <v>364</v>
      </c>
      <c r="L2232" t="s">
        <v>303</v>
      </c>
      <c r="M2232" t="s">
        <v>323</v>
      </c>
      <c r="N2232" t="s">
        <v>63</v>
      </c>
      <c r="O2232" s="110">
        <v>49.9</v>
      </c>
      <c r="R2232" s="110">
        <v>364.98999999999995</v>
      </c>
      <c r="S2232" s="110">
        <v>130</v>
      </c>
      <c r="T2232" s="110">
        <v>0</v>
      </c>
      <c r="U2232" s="110">
        <v>42.99</v>
      </c>
      <c r="X2232">
        <v>142.09999999999997</v>
      </c>
      <c r="Y2232">
        <v>49.9</v>
      </c>
      <c r="Z2232">
        <v>49.9</v>
      </c>
      <c r="AA2232">
        <v>0</v>
      </c>
      <c r="AB2232" t="s">
        <v>363</v>
      </c>
      <c r="AF2232" t="s">
        <v>2568</v>
      </c>
      <c r="AG2232" t="s">
        <v>2568</v>
      </c>
      <c r="AH2232" t="s">
        <v>758</v>
      </c>
      <c r="AI2232">
        <v>99999</v>
      </c>
      <c r="AJ2232">
        <v>99999</v>
      </c>
      <c r="AK2232">
        <v>699</v>
      </c>
      <c r="AL2232" t="b">
        <v>1</v>
      </c>
      <c r="AM2232" t="b">
        <v>1</v>
      </c>
      <c r="AN2232" t="b">
        <v>0</v>
      </c>
      <c r="AO2232">
        <v>99999</v>
      </c>
      <c r="AP2232" t="s">
        <v>64</v>
      </c>
      <c r="AR2232" t="b">
        <v>0</v>
      </c>
      <c r="AS2232">
        <v>12</v>
      </c>
      <c r="AT2232" t="s">
        <v>327</v>
      </c>
      <c r="AV2232" t="s">
        <v>2573</v>
      </c>
    </row>
    <row r="2233" spans="1:48" x14ac:dyDescent="0.25">
      <c r="A2233" t="s">
        <v>3323</v>
      </c>
      <c r="B2233" t="s">
        <v>302</v>
      </c>
      <c r="C2233" t="s">
        <v>62</v>
      </c>
      <c r="D2233">
        <v>99999</v>
      </c>
      <c r="F2233" s="109">
        <v>7000</v>
      </c>
      <c r="G2233" t="b">
        <v>0</v>
      </c>
      <c r="H2233" t="s">
        <v>335</v>
      </c>
      <c r="K2233" t="s">
        <v>364</v>
      </c>
      <c r="L2233" t="s">
        <v>303</v>
      </c>
      <c r="M2233" t="s">
        <v>323</v>
      </c>
      <c r="N2233" t="s">
        <v>63</v>
      </c>
      <c r="O2233" s="110">
        <v>49.9</v>
      </c>
      <c r="R2233" s="110">
        <v>379.98999999999995</v>
      </c>
      <c r="S2233" s="110">
        <v>130</v>
      </c>
      <c r="T2233" s="110">
        <v>0</v>
      </c>
      <c r="U2233" s="110">
        <v>42.99</v>
      </c>
      <c r="X2233">
        <v>157.09999999999997</v>
      </c>
      <c r="Y2233">
        <v>49.9</v>
      </c>
      <c r="Z2233">
        <v>49.9</v>
      </c>
      <c r="AA2233">
        <v>0</v>
      </c>
      <c r="AB2233" t="s">
        <v>363</v>
      </c>
      <c r="AF2233" t="s">
        <v>2633</v>
      </c>
      <c r="AG2233" t="s">
        <v>2633</v>
      </c>
      <c r="AH2233" t="s">
        <v>758</v>
      </c>
      <c r="AI2233">
        <v>99999</v>
      </c>
      <c r="AJ2233">
        <v>99999</v>
      </c>
      <c r="AK2233">
        <v>699</v>
      </c>
      <c r="AL2233" t="b">
        <v>1</v>
      </c>
      <c r="AM2233" t="b">
        <v>1</v>
      </c>
      <c r="AN2233" t="b">
        <v>0</v>
      </c>
      <c r="AO2233">
        <v>99999</v>
      </c>
      <c r="AP2233" t="s">
        <v>64</v>
      </c>
      <c r="AR2233" t="b">
        <v>0</v>
      </c>
      <c r="AS2233">
        <v>12</v>
      </c>
      <c r="AT2233" t="s">
        <v>327</v>
      </c>
      <c r="AV2233" t="s">
        <v>2638</v>
      </c>
    </row>
    <row r="2234" spans="1:48" x14ac:dyDescent="0.25">
      <c r="A2234" t="s">
        <v>3323</v>
      </c>
      <c r="B2234" t="s">
        <v>302</v>
      </c>
      <c r="C2234" t="s">
        <v>62</v>
      </c>
      <c r="D2234">
        <v>99999</v>
      </c>
      <c r="F2234" s="109">
        <v>7000</v>
      </c>
      <c r="G2234" t="b">
        <v>0</v>
      </c>
      <c r="H2234" t="s">
        <v>335</v>
      </c>
      <c r="K2234" t="s">
        <v>364</v>
      </c>
      <c r="L2234" t="s">
        <v>303</v>
      </c>
      <c r="M2234" t="s">
        <v>323</v>
      </c>
      <c r="N2234" t="s">
        <v>63</v>
      </c>
      <c r="O2234" s="110">
        <v>49.9</v>
      </c>
      <c r="R2234" s="110">
        <v>394.89</v>
      </c>
      <c r="S2234" s="110">
        <v>130</v>
      </c>
      <c r="T2234" s="110">
        <v>0</v>
      </c>
      <c r="U2234" s="110">
        <v>42.99</v>
      </c>
      <c r="X2234">
        <v>171.99999999999997</v>
      </c>
      <c r="Y2234">
        <v>49.9</v>
      </c>
      <c r="Z2234">
        <v>49.9</v>
      </c>
      <c r="AA2234">
        <v>0</v>
      </c>
      <c r="AB2234" t="s">
        <v>363</v>
      </c>
      <c r="AF2234" t="s">
        <v>2704</v>
      </c>
      <c r="AG2234" t="s">
        <v>2704</v>
      </c>
      <c r="AH2234" t="s">
        <v>758</v>
      </c>
      <c r="AI2234">
        <v>99999</v>
      </c>
      <c r="AJ2234">
        <v>99999</v>
      </c>
      <c r="AK2234">
        <v>699</v>
      </c>
      <c r="AL2234" t="b">
        <v>1</v>
      </c>
      <c r="AM2234" t="b">
        <v>1</v>
      </c>
      <c r="AN2234" t="b">
        <v>0</v>
      </c>
      <c r="AO2234">
        <v>99999</v>
      </c>
      <c r="AP2234" t="s">
        <v>64</v>
      </c>
      <c r="AR2234" t="b">
        <v>0</v>
      </c>
      <c r="AS2234">
        <v>12</v>
      </c>
      <c r="AT2234" t="s">
        <v>327</v>
      </c>
      <c r="AV2234" t="s">
        <v>2709</v>
      </c>
    </row>
    <row r="2235" spans="1:48" x14ac:dyDescent="0.25">
      <c r="A2235" t="s">
        <v>3323</v>
      </c>
      <c r="B2235" t="s">
        <v>302</v>
      </c>
      <c r="C2235" t="s">
        <v>62</v>
      </c>
      <c r="D2235">
        <v>99999</v>
      </c>
      <c r="F2235" s="109">
        <v>7000</v>
      </c>
      <c r="G2235" t="b">
        <v>0</v>
      </c>
      <c r="H2235" t="s">
        <v>335</v>
      </c>
      <c r="K2235" t="s">
        <v>379</v>
      </c>
      <c r="L2235" t="s">
        <v>303</v>
      </c>
      <c r="M2235" t="s">
        <v>323</v>
      </c>
      <c r="N2235" t="s">
        <v>63</v>
      </c>
      <c r="O2235" s="110">
        <v>29.9</v>
      </c>
      <c r="R2235" s="110">
        <v>314.89</v>
      </c>
      <c r="S2235" s="110">
        <v>69.900000000000006</v>
      </c>
      <c r="T2235" s="110">
        <v>0</v>
      </c>
      <c r="U2235" s="110">
        <v>42.99</v>
      </c>
      <c r="X2235">
        <v>142.09999999999997</v>
      </c>
      <c r="Y2235">
        <v>59.9</v>
      </c>
      <c r="Z2235">
        <v>59.9</v>
      </c>
      <c r="AA2235">
        <v>0</v>
      </c>
      <c r="AB2235" t="s">
        <v>363</v>
      </c>
      <c r="AF2235" t="s">
        <v>785</v>
      </c>
      <c r="AG2235" t="s">
        <v>785</v>
      </c>
      <c r="AH2235" t="s">
        <v>758</v>
      </c>
      <c r="AI2235">
        <v>99999</v>
      </c>
      <c r="AJ2235">
        <v>99999</v>
      </c>
      <c r="AK2235">
        <v>699</v>
      </c>
      <c r="AL2235" t="b">
        <v>1</v>
      </c>
      <c r="AM2235" t="b">
        <v>1</v>
      </c>
      <c r="AN2235" t="b">
        <v>0</v>
      </c>
      <c r="AO2235">
        <v>99999</v>
      </c>
      <c r="AP2235" t="s">
        <v>64</v>
      </c>
      <c r="AR2235" t="b">
        <v>0</v>
      </c>
      <c r="AS2235">
        <v>12</v>
      </c>
      <c r="AT2235" t="s">
        <v>327</v>
      </c>
      <c r="AV2235" t="s">
        <v>803</v>
      </c>
    </row>
    <row r="2236" spans="1:48" x14ac:dyDescent="0.25">
      <c r="A2236" t="s">
        <v>3323</v>
      </c>
      <c r="B2236" t="s">
        <v>302</v>
      </c>
      <c r="C2236" t="s">
        <v>62</v>
      </c>
      <c r="D2236">
        <v>99999</v>
      </c>
      <c r="F2236" s="109">
        <v>7000</v>
      </c>
      <c r="G2236" t="b">
        <v>0</v>
      </c>
      <c r="H2236" t="s">
        <v>335</v>
      </c>
      <c r="K2236" t="s">
        <v>379</v>
      </c>
      <c r="L2236" t="s">
        <v>303</v>
      </c>
      <c r="M2236" t="s">
        <v>323</v>
      </c>
      <c r="N2236" t="s">
        <v>63</v>
      </c>
      <c r="O2236" s="110">
        <v>29.9</v>
      </c>
      <c r="R2236" s="110">
        <v>329.89</v>
      </c>
      <c r="S2236" s="110">
        <v>69.900000000000006</v>
      </c>
      <c r="T2236" s="110">
        <v>0</v>
      </c>
      <c r="U2236" s="110">
        <v>42.99</v>
      </c>
      <c r="X2236">
        <v>157.09999999999997</v>
      </c>
      <c r="Y2236">
        <v>59.9</v>
      </c>
      <c r="Z2236">
        <v>59.9</v>
      </c>
      <c r="AA2236">
        <v>0</v>
      </c>
      <c r="AB2236" t="s">
        <v>363</v>
      </c>
      <c r="AF2236" t="s">
        <v>919</v>
      </c>
      <c r="AG2236" t="s">
        <v>919</v>
      </c>
      <c r="AH2236" t="s">
        <v>758</v>
      </c>
      <c r="AI2236">
        <v>99999</v>
      </c>
      <c r="AJ2236">
        <v>99999</v>
      </c>
      <c r="AK2236">
        <v>699</v>
      </c>
      <c r="AL2236" t="b">
        <v>1</v>
      </c>
      <c r="AM2236" t="b">
        <v>1</v>
      </c>
      <c r="AN2236" t="b">
        <v>0</v>
      </c>
      <c r="AO2236">
        <v>99999</v>
      </c>
      <c r="AP2236" t="s">
        <v>64</v>
      </c>
      <c r="AR2236" t="b">
        <v>0</v>
      </c>
      <c r="AS2236">
        <v>12</v>
      </c>
      <c r="AT2236" t="s">
        <v>327</v>
      </c>
      <c r="AV2236" t="s">
        <v>937</v>
      </c>
    </row>
    <row r="2237" spans="1:48" x14ac:dyDescent="0.25">
      <c r="A2237" t="s">
        <v>3323</v>
      </c>
      <c r="B2237" t="s">
        <v>302</v>
      </c>
      <c r="C2237" t="s">
        <v>62</v>
      </c>
      <c r="D2237">
        <v>99999</v>
      </c>
      <c r="F2237" s="109">
        <v>7000</v>
      </c>
      <c r="G2237" t="b">
        <v>0</v>
      </c>
      <c r="H2237" t="s">
        <v>335</v>
      </c>
      <c r="K2237" t="s">
        <v>379</v>
      </c>
      <c r="L2237" t="s">
        <v>303</v>
      </c>
      <c r="M2237" t="s">
        <v>323</v>
      </c>
      <c r="N2237" t="s">
        <v>63</v>
      </c>
      <c r="O2237" s="110">
        <v>29.9</v>
      </c>
      <c r="R2237" s="110">
        <v>344.89</v>
      </c>
      <c r="S2237" s="110">
        <v>70</v>
      </c>
      <c r="T2237" s="110">
        <v>0</v>
      </c>
      <c r="U2237" s="110">
        <v>42.99</v>
      </c>
      <c r="X2237">
        <v>171.99999999999997</v>
      </c>
      <c r="Y2237">
        <v>59.9</v>
      </c>
      <c r="Z2237">
        <v>59.9</v>
      </c>
      <c r="AA2237">
        <v>0</v>
      </c>
      <c r="AB2237" t="s">
        <v>363</v>
      </c>
      <c r="AF2237" t="s">
        <v>1067</v>
      </c>
      <c r="AG2237" t="s">
        <v>1067</v>
      </c>
      <c r="AH2237" t="s">
        <v>758</v>
      </c>
      <c r="AI2237">
        <v>99999</v>
      </c>
      <c r="AJ2237">
        <v>99999</v>
      </c>
      <c r="AK2237">
        <v>699</v>
      </c>
      <c r="AL2237" t="b">
        <v>1</v>
      </c>
      <c r="AM2237" t="b">
        <v>1</v>
      </c>
      <c r="AN2237" t="b">
        <v>0</v>
      </c>
      <c r="AO2237">
        <v>99999</v>
      </c>
      <c r="AP2237" t="s">
        <v>64</v>
      </c>
      <c r="AR2237" t="b">
        <v>0</v>
      </c>
      <c r="AS2237">
        <v>12</v>
      </c>
      <c r="AT2237" t="s">
        <v>327</v>
      </c>
      <c r="AV2237" t="s">
        <v>1085</v>
      </c>
    </row>
    <row r="2238" spans="1:48" x14ac:dyDescent="0.25">
      <c r="A2238" t="s">
        <v>3323</v>
      </c>
      <c r="B2238" t="s">
        <v>302</v>
      </c>
      <c r="C2238" t="s">
        <v>62</v>
      </c>
      <c r="D2238">
        <v>99999</v>
      </c>
      <c r="F2238" s="109">
        <v>7000</v>
      </c>
      <c r="G2238" t="b">
        <v>0</v>
      </c>
      <c r="H2238" t="s">
        <v>335</v>
      </c>
      <c r="K2238" t="s">
        <v>379</v>
      </c>
      <c r="L2238" t="s">
        <v>303</v>
      </c>
      <c r="M2238" t="s">
        <v>323</v>
      </c>
      <c r="N2238" t="s">
        <v>63</v>
      </c>
      <c r="O2238" s="110">
        <v>39.9</v>
      </c>
      <c r="R2238" s="110">
        <v>314.89</v>
      </c>
      <c r="S2238" s="110">
        <v>69.900000000000006</v>
      </c>
      <c r="T2238" s="110">
        <v>0</v>
      </c>
      <c r="U2238" s="110">
        <v>42.99</v>
      </c>
      <c r="X2238">
        <v>142.09999999999997</v>
      </c>
      <c r="Y2238">
        <v>59.9</v>
      </c>
      <c r="Z2238">
        <v>59.9</v>
      </c>
      <c r="AA2238">
        <v>0</v>
      </c>
      <c r="AB2238" t="s">
        <v>363</v>
      </c>
      <c r="AF2238" t="s">
        <v>852</v>
      </c>
      <c r="AG2238" t="s">
        <v>852</v>
      </c>
      <c r="AH2238" t="s">
        <v>758</v>
      </c>
      <c r="AI2238">
        <v>99999</v>
      </c>
      <c r="AJ2238">
        <v>99999</v>
      </c>
      <c r="AK2238">
        <v>699</v>
      </c>
      <c r="AL2238" t="b">
        <v>1</v>
      </c>
      <c r="AM2238" t="b">
        <v>1</v>
      </c>
      <c r="AN2238" t="b">
        <v>0</v>
      </c>
      <c r="AO2238">
        <v>99999</v>
      </c>
      <c r="AP2238" t="s">
        <v>64</v>
      </c>
      <c r="AR2238" t="b">
        <v>0</v>
      </c>
      <c r="AS2238">
        <v>12</v>
      </c>
      <c r="AT2238" t="s">
        <v>327</v>
      </c>
      <c r="AV2238" t="s">
        <v>870</v>
      </c>
    </row>
    <row r="2239" spans="1:48" x14ac:dyDescent="0.25">
      <c r="A2239" t="s">
        <v>3323</v>
      </c>
      <c r="B2239" t="s">
        <v>302</v>
      </c>
      <c r="C2239" t="s">
        <v>62</v>
      </c>
      <c r="D2239">
        <v>99999</v>
      </c>
      <c r="F2239" s="109">
        <v>7000</v>
      </c>
      <c r="G2239" t="b">
        <v>0</v>
      </c>
      <c r="H2239" t="s">
        <v>335</v>
      </c>
      <c r="K2239" t="s">
        <v>379</v>
      </c>
      <c r="L2239" t="s">
        <v>303</v>
      </c>
      <c r="M2239" t="s">
        <v>323</v>
      </c>
      <c r="N2239" t="s">
        <v>63</v>
      </c>
      <c r="O2239" s="110">
        <v>39.9</v>
      </c>
      <c r="R2239" s="110">
        <v>329.89</v>
      </c>
      <c r="S2239" s="110">
        <v>69.900000000000006</v>
      </c>
      <c r="T2239" s="110">
        <v>0</v>
      </c>
      <c r="U2239" s="110">
        <v>42.99</v>
      </c>
      <c r="X2239">
        <v>157.09999999999997</v>
      </c>
      <c r="Y2239">
        <v>59.9</v>
      </c>
      <c r="Z2239">
        <v>59.9</v>
      </c>
      <c r="AA2239">
        <v>0</v>
      </c>
      <c r="AB2239" t="s">
        <v>363</v>
      </c>
      <c r="AF2239" t="s">
        <v>986</v>
      </c>
      <c r="AG2239" t="s">
        <v>986</v>
      </c>
      <c r="AH2239" t="s">
        <v>758</v>
      </c>
      <c r="AI2239">
        <v>99999</v>
      </c>
      <c r="AJ2239">
        <v>99999</v>
      </c>
      <c r="AK2239">
        <v>699</v>
      </c>
      <c r="AL2239" t="b">
        <v>1</v>
      </c>
      <c r="AM2239" t="b">
        <v>1</v>
      </c>
      <c r="AN2239" t="b">
        <v>0</v>
      </c>
      <c r="AO2239">
        <v>99999</v>
      </c>
      <c r="AP2239" t="s">
        <v>64</v>
      </c>
      <c r="AR2239" t="b">
        <v>0</v>
      </c>
      <c r="AS2239">
        <v>12</v>
      </c>
      <c r="AT2239" t="s">
        <v>327</v>
      </c>
      <c r="AV2239" t="s">
        <v>1004</v>
      </c>
    </row>
    <row r="2240" spans="1:48" x14ac:dyDescent="0.25">
      <c r="A2240" t="s">
        <v>3323</v>
      </c>
      <c r="B2240" t="s">
        <v>302</v>
      </c>
      <c r="C2240" t="s">
        <v>62</v>
      </c>
      <c r="D2240">
        <v>99999</v>
      </c>
      <c r="F2240" s="109">
        <v>7000</v>
      </c>
      <c r="G2240" t="b">
        <v>0</v>
      </c>
      <c r="H2240" t="s">
        <v>335</v>
      </c>
      <c r="K2240" t="s">
        <v>379</v>
      </c>
      <c r="L2240" t="s">
        <v>303</v>
      </c>
      <c r="M2240" t="s">
        <v>323</v>
      </c>
      <c r="N2240" t="s">
        <v>63</v>
      </c>
      <c r="O2240" s="110">
        <v>39.9</v>
      </c>
      <c r="R2240" s="110">
        <v>344.89</v>
      </c>
      <c r="S2240" s="110">
        <v>70</v>
      </c>
      <c r="T2240" s="110">
        <v>0</v>
      </c>
      <c r="U2240" s="110">
        <v>42.99</v>
      </c>
      <c r="X2240">
        <v>171.99999999999997</v>
      </c>
      <c r="Y2240">
        <v>59.9</v>
      </c>
      <c r="Z2240">
        <v>59.9</v>
      </c>
      <c r="AA2240">
        <v>0</v>
      </c>
      <c r="AB2240" t="s">
        <v>363</v>
      </c>
      <c r="AF2240" t="s">
        <v>1134</v>
      </c>
      <c r="AG2240" t="s">
        <v>1134</v>
      </c>
      <c r="AH2240" t="s">
        <v>758</v>
      </c>
      <c r="AI2240">
        <v>99999</v>
      </c>
      <c r="AJ2240">
        <v>99999</v>
      </c>
      <c r="AK2240">
        <v>699</v>
      </c>
      <c r="AL2240" t="b">
        <v>1</v>
      </c>
      <c r="AM2240" t="b">
        <v>1</v>
      </c>
      <c r="AN2240" t="b">
        <v>0</v>
      </c>
      <c r="AO2240">
        <v>99999</v>
      </c>
      <c r="AP2240" t="s">
        <v>64</v>
      </c>
      <c r="AR2240" t="b">
        <v>0</v>
      </c>
      <c r="AS2240">
        <v>12</v>
      </c>
      <c r="AT2240" t="s">
        <v>327</v>
      </c>
      <c r="AV2240" t="s">
        <v>1152</v>
      </c>
    </row>
    <row r="2241" spans="1:48" x14ac:dyDescent="0.25">
      <c r="A2241" t="s">
        <v>3323</v>
      </c>
      <c r="B2241" t="s">
        <v>302</v>
      </c>
      <c r="C2241" t="s">
        <v>62</v>
      </c>
      <c r="D2241">
        <v>99999</v>
      </c>
      <c r="F2241" s="109">
        <v>7000</v>
      </c>
      <c r="G2241" t="b">
        <v>0</v>
      </c>
      <c r="H2241" t="s">
        <v>335</v>
      </c>
      <c r="K2241" t="s">
        <v>379</v>
      </c>
      <c r="L2241" t="s">
        <v>303</v>
      </c>
      <c r="M2241" t="s">
        <v>323</v>
      </c>
      <c r="N2241" t="s">
        <v>63</v>
      </c>
      <c r="O2241" s="110">
        <v>49.9</v>
      </c>
      <c r="R2241" s="110">
        <v>360.68999999999994</v>
      </c>
      <c r="S2241" s="110">
        <v>130</v>
      </c>
      <c r="T2241" s="110">
        <v>0</v>
      </c>
      <c r="U2241" s="110">
        <v>34.99</v>
      </c>
      <c r="X2241">
        <v>135.79999999999995</v>
      </c>
      <c r="Y2241">
        <v>59.9</v>
      </c>
      <c r="Z2241">
        <v>59.9</v>
      </c>
      <c r="AA2241">
        <v>0</v>
      </c>
      <c r="AB2241" t="s">
        <v>363</v>
      </c>
      <c r="AF2241" t="s">
        <v>2494</v>
      </c>
      <c r="AG2241" t="s">
        <v>2494</v>
      </c>
      <c r="AH2241" t="s">
        <v>758</v>
      </c>
      <c r="AI2241">
        <v>99999</v>
      </c>
      <c r="AJ2241">
        <v>99999</v>
      </c>
      <c r="AK2241">
        <v>699</v>
      </c>
      <c r="AL2241" t="b">
        <v>1</v>
      </c>
      <c r="AM2241" t="b">
        <v>1</v>
      </c>
      <c r="AN2241" t="b">
        <v>0</v>
      </c>
      <c r="AO2241">
        <v>99999</v>
      </c>
      <c r="AP2241" t="s">
        <v>64</v>
      </c>
      <c r="AR2241" t="b">
        <v>0</v>
      </c>
      <c r="AS2241">
        <v>12</v>
      </c>
      <c r="AT2241" t="s">
        <v>327</v>
      </c>
      <c r="AV2241" t="s">
        <v>2512</v>
      </c>
    </row>
    <row r="2242" spans="1:48" x14ac:dyDescent="0.25">
      <c r="A2242" t="s">
        <v>3323</v>
      </c>
      <c r="B2242" t="s">
        <v>302</v>
      </c>
      <c r="C2242" t="s">
        <v>62</v>
      </c>
      <c r="D2242">
        <v>99999</v>
      </c>
      <c r="F2242" s="109">
        <v>7000</v>
      </c>
      <c r="G2242" t="b">
        <v>0</v>
      </c>
      <c r="H2242" t="s">
        <v>335</v>
      </c>
      <c r="K2242" t="s">
        <v>379</v>
      </c>
      <c r="L2242" t="s">
        <v>303</v>
      </c>
      <c r="M2242" t="s">
        <v>323</v>
      </c>
      <c r="N2242" t="s">
        <v>63</v>
      </c>
      <c r="O2242" s="110">
        <v>49.9</v>
      </c>
      <c r="R2242" s="110">
        <v>374.98999999999995</v>
      </c>
      <c r="S2242" s="110">
        <v>130</v>
      </c>
      <c r="T2242" s="110">
        <v>0</v>
      </c>
      <c r="U2242" s="110">
        <v>42.99</v>
      </c>
      <c r="X2242">
        <v>142.09999999999997</v>
      </c>
      <c r="Y2242">
        <v>59.9</v>
      </c>
      <c r="Z2242">
        <v>59.9</v>
      </c>
      <c r="AA2242">
        <v>0</v>
      </c>
      <c r="AB2242" t="s">
        <v>363</v>
      </c>
      <c r="AF2242" t="s">
        <v>2568</v>
      </c>
      <c r="AG2242" t="s">
        <v>2568</v>
      </c>
      <c r="AH2242" t="s">
        <v>758</v>
      </c>
      <c r="AI2242">
        <v>99999</v>
      </c>
      <c r="AJ2242">
        <v>99999</v>
      </c>
      <c r="AK2242">
        <v>699</v>
      </c>
      <c r="AL2242" t="b">
        <v>1</v>
      </c>
      <c r="AM2242" t="b">
        <v>1</v>
      </c>
      <c r="AN2242" t="b">
        <v>0</v>
      </c>
      <c r="AO2242">
        <v>99999</v>
      </c>
      <c r="AP2242" t="s">
        <v>64</v>
      </c>
      <c r="AR2242" t="b">
        <v>0</v>
      </c>
      <c r="AS2242">
        <v>12</v>
      </c>
      <c r="AT2242" t="s">
        <v>327</v>
      </c>
      <c r="AV2242" t="s">
        <v>2586</v>
      </c>
    </row>
    <row r="2243" spans="1:48" x14ac:dyDescent="0.25">
      <c r="A2243" t="s">
        <v>3323</v>
      </c>
      <c r="B2243" t="s">
        <v>302</v>
      </c>
      <c r="C2243" t="s">
        <v>62</v>
      </c>
      <c r="D2243">
        <v>99999</v>
      </c>
      <c r="F2243" s="109">
        <v>7000</v>
      </c>
      <c r="G2243" t="b">
        <v>0</v>
      </c>
      <c r="H2243" t="s">
        <v>335</v>
      </c>
      <c r="K2243" t="s">
        <v>379</v>
      </c>
      <c r="L2243" t="s">
        <v>303</v>
      </c>
      <c r="M2243" t="s">
        <v>323</v>
      </c>
      <c r="N2243" t="s">
        <v>63</v>
      </c>
      <c r="O2243" s="110">
        <v>49.9</v>
      </c>
      <c r="R2243" s="110">
        <v>389.98999999999995</v>
      </c>
      <c r="S2243" s="110">
        <v>130</v>
      </c>
      <c r="T2243" s="110">
        <v>0</v>
      </c>
      <c r="U2243" s="110">
        <v>42.99</v>
      </c>
      <c r="X2243">
        <v>157.09999999999997</v>
      </c>
      <c r="Y2243">
        <v>59.9</v>
      </c>
      <c r="Z2243">
        <v>59.9</v>
      </c>
      <c r="AA2243">
        <v>0</v>
      </c>
      <c r="AB2243" t="s">
        <v>363</v>
      </c>
      <c r="AF2243" t="s">
        <v>2633</v>
      </c>
      <c r="AG2243" t="s">
        <v>2633</v>
      </c>
      <c r="AH2243" t="s">
        <v>758</v>
      </c>
      <c r="AI2243">
        <v>99999</v>
      </c>
      <c r="AJ2243">
        <v>99999</v>
      </c>
      <c r="AK2243">
        <v>699</v>
      </c>
      <c r="AL2243" t="b">
        <v>1</v>
      </c>
      <c r="AM2243" t="b">
        <v>1</v>
      </c>
      <c r="AN2243" t="b">
        <v>0</v>
      </c>
      <c r="AO2243">
        <v>99999</v>
      </c>
      <c r="AP2243" t="s">
        <v>64</v>
      </c>
      <c r="AR2243" t="b">
        <v>0</v>
      </c>
      <c r="AS2243">
        <v>12</v>
      </c>
      <c r="AT2243" t="s">
        <v>327</v>
      </c>
      <c r="AV2243" t="s">
        <v>2650</v>
      </c>
    </row>
    <row r="2244" spans="1:48" x14ac:dyDescent="0.25">
      <c r="A2244" t="s">
        <v>3323</v>
      </c>
      <c r="B2244" t="s">
        <v>302</v>
      </c>
      <c r="C2244" t="s">
        <v>62</v>
      </c>
      <c r="D2244">
        <v>99999</v>
      </c>
      <c r="F2244" s="109">
        <v>7000</v>
      </c>
      <c r="G2244" t="b">
        <v>0</v>
      </c>
      <c r="H2244" t="s">
        <v>335</v>
      </c>
      <c r="K2244" t="s">
        <v>379</v>
      </c>
      <c r="L2244" t="s">
        <v>303</v>
      </c>
      <c r="M2244" t="s">
        <v>323</v>
      </c>
      <c r="N2244" t="s">
        <v>63</v>
      </c>
      <c r="O2244" s="110">
        <v>49.9</v>
      </c>
      <c r="R2244" s="110">
        <v>404.89</v>
      </c>
      <c r="S2244" s="110">
        <v>130</v>
      </c>
      <c r="T2244" s="110">
        <v>0</v>
      </c>
      <c r="U2244" s="110">
        <v>42.99</v>
      </c>
      <c r="X2244">
        <v>171.99999999999997</v>
      </c>
      <c r="Y2244">
        <v>59.9</v>
      </c>
      <c r="Z2244">
        <v>59.9</v>
      </c>
      <c r="AA2244">
        <v>0</v>
      </c>
      <c r="AB2244" t="s">
        <v>363</v>
      </c>
      <c r="AF2244" t="s">
        <v>2704</v>
      </c>
      <c r="AG2244" t="s">
        <v>2704</v>
      </c>
      <c r="AH2244" t="s">
        <v>758</v>
      </c>
      <c r="AI2244">
        <v>99999</v>
      </c>
      <c r="AJ2244">
        <v>99999</v>
      </c>
      <c r="AK2244">
        <v>699</v>
      </c>
      <c r="AL2244" t="b">
        <v>1</v>
      </c>
      <c r="AM2244" t="b">
        <v>1</v>
      </c>
      <c r="AN2244" t="b">
        <v>0</v>
      </c>
      <c r="AO2244">
        <v>99999</v>
      </c>
      <c r="AP2244" t="s">
        <v>64</v>
      </c>
      <c r="AR2244" t="b">
        <v>0</v>
      </c>
      <c r="AS2244">
        <v>12</v>
      </c>
      <c r="AT2244" t="s">
        <v>327</v>
      </c>
      <c r="AV2244" t="s">
        <v>2722</v>
      </c>
    </row>
    <row r="2245" spans="1:48" x14ac:dyDescent="0.25">
      <c r="A2245" t="s">
        <v>3323</v>
      </c>
      <c r="B2245" t="s">
        <v>302</v>
      </c>
      <c r="C2245" t="s">
        <v>62</v>
      </c>
      <c r="D2245">
        <v>99999</v>
      </c>
      <c r="F2245" s="109">
        <v>7000</v>
      </c>
      <c r="G2245" t="b">
        <v>0</v>
      </c>
      <c r="H2245" t="s">
        <v>335</v>
      </c>
      <c r="K2245" t="s">
        <v>61</v>
      </c>
      <c r="L2245" t="s">
        <v>303</v>
      </c>
      <c r="M2245" t="s">
        <v>323</v>
      </c>
      <c r="N2245" t="s">
        <v>63</v>
      </c>
      <c r="O2245">
        <v>29.9</v>
      </c>
      <c r="R2245">
        <v>299.89</v>
      </c>
      <c r="S2245">
        <v>69.900000000000006</v>
      </c>
      <c r="T2245" s="110">
        <v>0</v>
      </c>
      <c r="U2245">
        <v>42.99</v>
      </c>
      <c r="X2245">
        <v>142.09999999999997</v>
      </c>
      <c r="Y2245">
        <v>44.9</v>
      </c>
      <c r="Z2245">
        <v>44.9</v>
      </c>
      <c r="AA2245">
        <v>0</v>
      </c>
      <c r="AB2245" t="s">
        <v>324</v>
      </c>
      <c r="AF2245" t="s">
        <v>757</v>
      </c>
      <c r="AG2245" t="s">
        <v>757</v>
      </c>
      <c r="AH2245" t="s">
        <v>758</v>
      </c>
      <c r="AI2245">
        <v>99999</v>
      </c>
      <c r="AJ2245">
        <v>99999</v>
      </c>
      <c r="AK2245">
        <v>699</v>
      </c>
      <c r="AL2245" t="b">
        <v>1</v>
      </c>
      <c r="AM2245" t="b">
        <v>1</v>
      </c>
      <c r="AN2245" t="b">
        <v>0</v>
      </c>
      <c r="AO2245">
        <v>99999</v>
      </c>
      <c r="AP2245" t="s">
        <v>64</v>
      </c>
      <c r="AR2245" t="b">
        <v>0</v>
      </c>
      <c r="AS2245">
        <v>12</v>
      </c>
      <c r="AT2245" t="s">
        <v>327</v>
      </c>
      <c r="AV2245" t="s">
        <v>763</v>
      </c>
    </row>
    <row r="2246" spans="1:48" x14ac:dyDescent="0.25">
      <c r="A2246" t="s">
        <v>3323</v>
      </c>
      <c r="B2246" t="s">
        <v>302</v>
      </c>
      <c r="C2246" t="s">
        <v>62</v>
      </c>
      <c r="D2246">
        <v>99999</v>
      </c>
      <c r="F2246" s="109">
        <v>7000</v>
      </c>
      <c r="G2246" t="b">
        <v>0</v>
      </c>
      <c r="H2246" t="s">
        <v>335</v>
      </c>
      <c r="K2246" t="s">
        <v>61</v>
      </c>
      <c r="L2246" t="s">
        <v>303</v>
      </c>
      <c r="M2246" t="s">
        <v>323</v>
      </c>
      <c r="N2246" t="s">
        <v>63</v>
      </c>
      <c r="O2246" s="110">
        <v>29.9</v>
      </c>
      <c r="R2246" s="110">
        <v>314.89</v>
      </c>
      <c r="S2246" s="110">
        <v>69.900000000000006</v>
      </c>
      <c r="T2246" s="110">
        <v>0</v>
      </c>
      <c r="U2246" s="110">
        <v>42.99</v>
      </c>
      <c r="X2246">
        <v>157.09999999999997</v>
      </c>
      <c r="Y2246">
        <v>44.9</v>
      </c>
      <c r="Z2246">
        <v>44.9</v>
      </c>
      <c r="AA2246">
        <v>0</v>
      </c>
      <c r="AB2246" t="s">
        <v>324</v>
      </c>
      <c r="AF2246" t="s">
        <v>892</v>
      </c>
      <c r="AG2246" t="s">
        <v>892</v>
      </c>
      <c r="AH2246" t="s">
        <v>758</v>
      </c>
      <c r="AI2246">
        <v>99999</v>
      </c>
      <c r="AJ2246">
        <v>99999</v>
      </c>
      <c r="AK2246">
        <v>699</v>
      </c>
      <c r="AL2246" t="b">
        <v>1</v>
      </c>
      <c r="AM2246" t="b">
        <v>1</v>
      </c>
      <c r="AN2246" t="b">
        <v>0</v>
      </c>
      <c r="AO2246">
        <v>99999</v>
      </c>
      <c r="AP2246" t="s">
        <v>64</v>
      </c>
      <c r="AR2246" t="b">
        <v>0</v>
      </c>
      <c r="AS2246">
        <v>12</v>
      </c>
      <c r="AT2246" t="s">
        <v>327</v>
      </c>
      <c r="AV2246" t="s">
        <v>897</v>
      </c>
    </row>
    <row r="2247" spans="1:48" x14ac:dyDescent="0.25">
      <c r="A2247" t="s">
        <v>3323</v>
      </c>
      <c r="B2247" t="s">
        <v>302</v>
      </c>
      <c r="C2247" t="s">
        <v>62</v>
      </c>
      <c r="D2247">
        <v>99999</v>
      </c>
      <c r="F2247" s="109">
        <v>7000</v>
      </c>
      <c r="G2247" t="b">
        <v>0</v>
      </c>
      <c r="H2247" t="s">
        <v>335</v>
      </c>
      <c r="K2247" t="s">
        <v>61</v>
      </c>
      <c r="L2247" t="s">
        <v>303</v>
      </c>
      <c r="M2247" t="s">
        <v>323</v>
      </c>
      <c r="N2247" t="s">
        <v>63</v>
      </c>
      <c r="O2247" s="110">
        <v>29.9</v>
      </c>
      <c r="R2247" s="110">
        <v>329.89</v>
      </c>
      <c r="S2247" s="110">
        <v>70</v>
      </c>
      <c r="T2247" s="110">
        <v>0</v>
      </c>
      <c r="U2247" s="110">
        <v>42.99</v>
      </c>
      <c r="X2247">
        <v>171.99999999999997</v>
      </c>
      <c r="Y2247">
        <v>44.9</v>
      </c>
      <c r="Z2247">
        <v>44.9</v>
      </c>
      <c r="AA2247">
        <v>0</v>
      </c>
      <c r="AB2247" t="s">
        <v>324</v>
      </c>
      <c r="AF2247" t="s">
        <v>1040</v>
      </c>
      <c r="AG2247" t="s">
        <v>1040</v>
      </c>
      <c r="AH2247" t="s">
        <v>758</v>
      </c>
      <c r="AI2247">
        <v>99999</v>
      </c>
      <c r="AJ2247">
        <v>99999</v>
      </c>
      <c r="AK2247">
        <v>699</v>
      </c>
      <c r="AL2247" t="b">
        <v>1</v>
      </c>
      <c r="AM2247" t="b">
        <v>1</v>
      </c>
      <c r="AN2247" t="b">
        <v>0</v>
      </c>
      <c r="AO2247">
        <v>99999</v>
      </c>
      <c r="AP2247" t="s">
        <v>64</v>
      </c>
      <c r="AR2247" t="b">
        <v>0</v>
      </c>
      <c r="AS2247">
        <v>12</v>
      </c>
      <c r="AT2247" t="s">
        <v>327</v>
      </c>
      <c r="AV2247" t="s">
        <v>1045</v>
      </c>
    </row>
    <row r="2248" spans="1:48" x14ac:dyDescent="0.25">
      <c r="A2248" t="s">
        <v>3323</v>
      </c>
      <c r="B2248" t="s">
        <v>302</v>
      </c>
      <c r="C2248" t="s">
        <v>62</v>
      </c>
      <c r="D2248">
        <v>99999</v>
      </c>
      <c r="F2248" s="109">
        <v>7000</v>
      </c>
      <c r="G2248" t="b">
        <v>0</v>
      </c>
      <c r="H2248" t="s">
        <v>335</v>
      </c>
      <c r="K2248" t="s">
        <v>61</v>
      </c>
      <c r="L2248" t="s">
        <v>303</v>
      </c>
      <c r="M2248" t="s">
        <v>323</v>
      </c>
      <c r="N2248" t="s">
        <v>63</v>
      </c>
      <c r="O2248" s="110">
        <v>39.9</v>
      </c>
      <c r="R2248" s="110">
        <v>299.89</v>
      </c>
      <c r="S2248" s="110">
        <v>69.900000000000006</v>
      </c>
      <c r="T2248" s="110">
        <v>0</v>
      </c>
      <c r="U2248" s="110">
        <v>42.99</v>
      </c>
      <c r="X2248">
        <v>142.09999999999997</v>
      </c>
      <c r="Y2248">
        <v>44.9</v>
      </c>
      <c r="Z2248">
        <v>44.9</v>
      </c>
      <c r="AA2248">
        <v>0</v>
      </c>
      <c r="AB2248" t="s">
        <v>324</v>
      </c>
      <c r="AF2248" t="s">
        <v>825</v>
      </c>
      <c r="AG2248" t="s">
        <v>825</v>
      </c>
      <c r="AH2248" t="s">
        <v>758</v>
      </c>
      <c r="AI2248">
        <v>99999</v>
      </c>
      <c r="AJ2248">
        <v>99999</v>
      </c>
      <c r="AK2248">
        <v>699</v>
      </c>
      <c r="AL2248" t="b">
        <v>1</v>
      </c>
      <c r="AM2248" t="b">
        <v>1</v>
      </c>
      <c r="AN2248" t="b">
        <v>0</v>
      </c>
      <c r="AO2248">
        <v>99999</v>
      </c>
      <c r="AP2248" t="s">
        <v>64</v>
      </c>
      <c r="AR2248" t="b">
        <v>0</v>
      </c>
      <c r="AS2248">
        <v>12</v>
      </c>
      <c r="AT2248" t="s">
        <v>327</v>
      </c>
      <c r="AV2248" t="s">
        <v>830</v>
      </c>
    </row>
    <row r="2249" spans="1:48" x14ac:dyDescent="0.25">
      <c r="A2249" t="s">
        <v>3323</v>
      </c>
      <c r="B2249" t="s">
        <v>302</v>
      </c>
      <c r="C2249" t="s">
        <v>62</v>
      </c>
      <c r="D2249">
        <v>99999</v>
      </c>
      <c r="F2249" s="109">
        <v>7000</v>
      </c>
      <c r="G2249" t="b">
        <v>0</v>
      </c>
      <c r="H2249" t="s">
        <v>335</v>
      </c>
      <c r="K2249" t="s">
        <v>61</v>
      </c>
      <c r="L2249" t="s">
        <v>303</v>
      </c>
      <c r="M2249" t="s">
        <v>323</v>
      </c>
      <c r="N2249" t="s">
        <v>63</v>
      </c>
      <c r="O2249" s="110">
        <v>39.9</v>
      </c>
      <c r="R2249" s="110">
        <v>314.89</v>
      </c>
      <c r="S2249" s="110">
        <v>69.900000000000006</v>
      </c>
      <c r="T2249" s="110">
        <v>0</v>
      </c>
      <c r="U2249" s="110">
        <v>42.99</v>
      </c>
      <c r="X2249">
        <v>157.09999999999997</v>
      </c>
      <c r="Y2249">
        <v>44.9</v>
      </c>
      <c r="Z2249">
        <v>44.9</v>
      </c>
      <c r="AA2249">
        <v>0</v>
      </c>
      <c r="AB2249" t="s">
        <v>324</v>
      </c>
      <c r="AF2249" t="s">
        <v>959</v>
      </c>
      <c r="AG2249" t="s">
        <v>959</v>
      </c>
      <c r="AH2249" t="s">
        <v>758</v>
      </c>
      <c r="AI2249">
        <v>99999</v>
      </c>
      <c r="AJ2249">
        <v>99999</v>
      </c>
      <c r="AK2249">
        <v>699</v>
      </c>
      <c r="AL2249" t="b">
        <v>1</v>
      </c>
      <c r="AM2249" t="b">
        <v>1</v>
      </c>
      <c r="AN2249" t="b">
        <v>0</v>
      </c>
      <c r="AO2249">
        <v>99999</v>
      </c>
      <c r="AP2249" t="s">
        <v>64</v>
      </c>
      <c r="AR2249" t="b">
        <v>0</v>
      </c>
      <c r="AS2249">
        <v>12</v>
      </c>
      <c r="AT2249" t="s">
        <v>327</v>
      </c>
      <c r="AV2249" t="s">
        <v>964</v>
      </c>
    </row>
    <row r="2250" spans="1:48" x14ac:dyDescent="0.25">
      <c r="A2250" t="s">
        <v>3323</v>
      </c>
      <c r="B2250" t="s">
        <v>302</v>
      </c>
      <c r="C2250" t="s">
        <v>62</v>
      </c>
      <c r="D2250">
        <v>99999</v>
      </c>
      <c r="F2250" s="109">
        <v>7000</v>
      </c>
      <c r="G2250" t="b">
        <v>0</v>
      </c>
      <c r="H2250" t="s">
        <v>335</v>
      </c>
      <c r="K2250" t="s">
        <v>61</v>
      </c>
      <c r="L2250" t="s">
        <v>303</v>
      </c>
      <c r="M2250" t="s">
        <v>323</v>
      </c>
      <c r="N2250" t="s">
        <v>63</v>
      </c>
      <c r="O2250" s="110">
        <v>39.9</v>
      </c>
      <c r="R2250" s="110">
        <v>329.89</v>
      </c>
      <c r="S2250" s="110">
        <v>70</v>
      </c>
      <c r="T2250" s="110">
        <v>0</v>
      </c>
      <c r="U2250" s="110">
        <v>42.99</v>
      </c>
      <c r="X2250">
        <v>171.99999999999997</v>
      </c>
      <c r="Y2250">
        <v>44.9</v>
      </c>
      <c r="Z2250">
        <v>44.9</v>
      </c>
      <c r="AA2250">
        <v>0</v>
      </c>
      <c r="AB2250" t="s">
        <v>324</v>
      </c>
      <c r="AF2250" t="s">
        <v>1107</v>
      </c>
      <c r="AG2250" t="s">
        <v>1107</v>
      </c>
      <c r="AH2250" t="s">
        <v>758</v>
      </c>
      <c r="AI2250">
        <v>99999</v>
      </c>
      <c r="AJ2250">
        <v>99999</v>
      </c>
      <c r="AK2250">
        <v>699</v>
      </c>
      <c r="AL2250" t="b">
        <v>1</v>
      </c>
      <c r="AM2250" t="b">
        <v>1</v>
      </c>
      <c r="AN2250" t="b">
        <v>0</v>
      </c>
      <c r="AO2250">
        <v>99999</v>
      </c>
      <c r="AP2250" t="s">
        <v>64</v>
      </c>
      <c r="AR2250" t="b">
        <v>0</v>
      </c>
      <c r="AS2250">
        <v>12</v>
      </c>
      <c r="AT2250" t="s">
        <v>327</v>
      </c>
      <c r="AV2250" t="s">
        <v>1112</v>
      </c>
    </row>
    <row r="2251" spans="1:48" x14ac:dyDescent="0.25">
      <c r="A2251" t="s">
        <v>3323</v>
      </c>
      <c r="B2251" t="s">
        <v>302</v>
      </c>
      <c r="C2251" t="s">
        <v>62</v>
      </c>
      <c r="D2251">
        <v>99999</v>
      </c>
      <c r="F2251" s="109">
        <v>7000</v>
      </c>
      <c r="G2251" t="b">
        <v>0</v>
      </c>
      <c r="H2251" t="s">
        <v>335</v>
      </c>
      <c r="K2251" t="s">
        <v>61</v>
      </c>
      <c r="L2251" t="s">
        <v>303</v>
      </c>
      <c r="M2251" t="s">
        <v>323</v>
      </c>
      <c r="N2251" t="s">
        <v>63</v>
      </c>
      <c r="O2251" s="110">
        <v>49.9</v>
      </c>
      <c r="R2251" s="110">
        <v>345.68999999999994</v>
      </c>
      <c r="S2251" s="110">
        <v>130</v>
      </c>
      <c r="T2251" s="110">
        <v>0</v>
      </c>
      <c r="U2251" s="110">
        <v>34.99</v>
      </c>
      <c r="X2251">
        <v>135.79999999999995</v>
      </c>
      <c r="Y2251">
        <v>44.9</v>
      </c>
      <c r="Z2251">
        <v>44.9</v>
      </c>
      <c r="AA2251">
        <v>0</v>
      </c>
      <c r="AB2251" t="s">
        <v>324</v>
      </c>
      <c r="AF2251" t="s">
        <v>2467</v>
      </c>
      <c r="AG2251" t="s">
        <v>2467</v>
      </c>
      <c r="AH2251" t="s">
        <v>758</v>
      </c>
      <c r="AI2251">
        <v>99999</v>
      </c>
      <c r="AJ2251">
        <v>99999</v>
      </c>
      <c r="AK2251">
        <v>699</v>
      </c>
      <c r="AL2251" t="b">
        <v>1</v>
      </c>
      <c r="AM2251" t="b">
        <v>1</v>
      </c>
      <c r="AN2251" t="b">
        <v>0</v>
      </c>
      <c r="AO2251">
        <v>99999</v>
      </c>
      <c r="AP2251" t="s">
        <v>64</v>
      </c>
      <c r="AR2251" t="b">
        <v>0</v>
      </c>
      <c r="AS2251">
        <v>12</v>
      </c>
      <c r="AT2251" t="s">
        <v>327</v>
      </c>
      <c r="AV2251" t="s">
        <v>2472</v>
      </c>
    </row>
    <row r="2252" spans="1:48" x14ac:dyDescent="0.25">
      <c r="A2252" t="s">
        <v>3323</v>
      </c>
      <c r="B2252" t="s">
        <v>302</v>
      </c>
      <c r="C2252" t="s">
        <v>62</v>
      </c>
      <c r="D2252">
        <v>99999</v>
      </c>
      <c r="F2252" s="109">
        <v>7000</v>
      </c>
      <c r="G2252" t="b">
        <v>0</v>
      </c>
      <c r="H2252" t="s">
        <v>335</v>
      </c>
      <c r="K2252" t="s">
        <v>61</v>
      </c>
      <c r="L2252" t="s">
        <v>303</v>
      </c>
      <c r="M2252" t="s">
        <v>323</v>
      </c>
      <c r="N2252" t="s">
        <v>63</v>
      </c>
      <c r="O2252" s="110">
        <v>49.9</v>
      </c>
      <c r="R2252" s="110">
        <v>359.98999999999995</v>
      </c>
      <c r="S2252" s="110">
        <v>130</v>
      </c>
      <c r="T2252" s="110">
        <v>0</v>
      </c>
      <c r="U2252" s="110">
        <v>42.99</v>
      </c>
      <c r="X2252">
        <v>142.09999999999997</v>
      </c>
      <c r="Y2252">
        <v>44.9</v>
      </c>
      <c r="Z2252">
        <v>44.9</v>
      </c>
      <c r="AA2252">
        <v>0</v>
      </c>
      <c r="AB2252" t="s">
        <v>324</v>
      </c>
      <c r="AF2252" t="s">
        <v>2541</v>
      </c>
      <c r="AG2252" t="s">
        <v>2541</v>
      </c>
      <c r="AH2252" t="s">
        <v>758</v>
      </c>
      <c r="AI2252">
        <v>99999</v>
      </c>
      <c r="AJ2252">
        <v>99999</v>
      </c>
      <c r="AK2252">
        <v>699</v>
      </c>
      <c r="AL2252" t="b">
        <v>1</v>
      </c>
      <c r="AM2252" t="b">
        <v>1</v>
      </c>
      <c r="AN2252" t="b">
        <v>0</v>
      </c>
      <c r="AO2252">
        <v>99999</v>
      </c>
      <c r="AP2252" t="s">
        <v>64</v>
      </c>
      <c r="AR2252" t="b">
        <v>0</v>
      </c>
      <c r="AS2252">
        <v>12</v>
      </c>
      <c r="AT2252" t="s">
        <v>327</v>
      </c>
      <c r="AV2252" t="s">
        <v>2546</v>
      </c>
    </row>
    <row r="2253" spans="1:48" x14ac:dyDescent="0.25">
      <c r="A2253" t="s">
        <v>3323</v>
      </c>
      <c r="B2253" t="s">
        <v>302</v>
      </c>
      <c r="C2253" t="s">
        <v>62</v>
      </c>
      <c r="D2253">
        <v>99999</v>
      </c>
      <c r="F2253" s="109">
        <v>7000</v>
      </c>
      <c r="G2253" t="b">
        <v>0</v>
      </c>
      <c r="H2253" t="s">
        <v>335</v>
      </c>
      <c r="K2253" t="s">
        <v>61</v>
      </c>
      <c r="L2253" t="s">
        <v>303</v>
      </c>
      <c r="M2253" t="s">
        <v>323</v>
      </c>
      <c r="N2253" t="s">
        <v>63</v>
      </c>
      <c r="O2253" s="110">
        <v>49.9</v>
      </c>
      <c r="R2253" s="110">
        <v>374.98999999999995</v>
      </c>
      <c r="S2253" s="110">
        <v>130</v>
      </c>
      <c r="T2253" s="110">
        <v>0</v>
      </c>
      <c r="U2253" s="110">
        <v>42.99</v>
      </c>
      <c r="X2253">
        <v>157.09999999999997</v>
      </c>
      <c r="Y2253">
        <v>44.9</v>
      </c>
      <c r="Z2253">
        <v>44.9</v>
      </c>
      <c r="AA2253">
        <v>0</v>
      </c>
      <c r="AB2253" t="s">
        <v>324</v>
      </c>
      <c r="AF2253" t="s">
        <v>2608</v>
      </c>
      <c r="AG2253" t="s">
        <v>2608</v>
      </c>
      <c r="AH2253" t="s">
        <v>758</v>
      </c>
      <c r="AI2253">
        <v>99999</v>
      </c>
      <c r="AJ2253">
        <v>99999</v>
      </c>
      <c r="AK2253">
        <v>699</v>
      </c>
      <c r="AL2253" t="b">
        <v>1</v>
      </c>
      <c r="AM2253" t="b">
        <v>1</v>
      </c>
      <c r="AN2253" t="b">
        <v>0</v>
      </c>
      <c r="AO2253">
        <v>99999</v>
      </c>
      <c r="AP2253" t="s">
        <v>64</v>
      </c>
      <c r="AR2253" t="b">
        <v>0</v>
      </c>
      <c r="AS2253">
        <v>12</v>
      </c>
      <c r="AT2253" t="s">
        <v>327</v>
      </c>
      <c r="AV2253" t="s">
        <v>2613</v>
      </c>
    </row>
    <row r="2254" spans="1:48" x14ac:dyDescent="0.25">
      <c r="A2254" t="s">
        <v>3323</v>
      </c>
      <c r="B2254" t="s">
        <v>302</v>
      </c>
      <c r="C2254" t="s">
        <v>62</v>
      </c>
      <c r="D2254">
        <v>99999</v>
      </c>
      <c r="F2254" s="109">
        <v>7000</v>
      </c>
      <c r="G2254" t="b">
        <v>0</v>
      </c>
      <c r="H2254" t="s">
        <v>335</v>
      </c>
      <c r="K2254" t="s">
        <v>61</v>
      </c>
      <c r="L2254" t="s">
        <v>303</v>
      </c>
      <c r="M2254" t="s">
        <v>323</v>
      </c>
      <c r="N2254" t="s">
        <v>63</v>
      </c>
      <c r="O2254" s="110">
        <v>49.9</v>
      </c>
      <c r="R2254" s="110">
        <v>389.89</v>
      </c>
      <c r="S2254" s="110">
        <v>130</v>
      </c>
      <c r="T2254" s="110">
        <v>0</v>
      </c>
      <c r="U2254" s="110">
        <v>42.99</v>
      </c>
      <c r="X2254">
        <v>171.99999999999997</v>
      </c>
      <c r="Y2254">
        <v>44.9</v>
      </c>
      <c r="Z2254">
        <v>44.9</v>
      </c>
      <c r="AA2254">
        <v>0</v>
      </c>
      <c r="AB2254" t="s">
        <v>324</v>
      </c>
      <c r="AF2254" t="s">
        <v>2677</v>
      </c>
      <c r="AG2254" t="s">
        <v>2677</v>
      </c>
      <c r="AH2254" t="s">
        <v>758</v>
      </c>
      <c r="AI2254">
        <v>99999</v>
      </c>
      <c r="AJ2254">
        <v>99999</v>
      </c>
      <c r="AK2254">
        <v>699</v>
      </c>
      <c r="AL2254" t="b">
        <v>1</v>
      </c>
      <c r="AM2254" t="b">
        <v>1</v>
      </c>
      <c r="AN2254" t="b">
        <v>0</v>
      </c>
      <c r="AO2254">
        <v>99999</v>
      </c>
      <c r="AP2254" t="s">
        <v>64</v>
      </c>
      <c r="AR2254" t="b">
        <v>0</v>
      </c>
      <c r="AS2254">
        <v>12</v>
      </c>
      <c r="AT2254" t="s">
        <v>327</v>
      </c>
      <c r="AV2254" t="s">
        <v>2682</v>
      </c>
    </row>
    <row r="2255" spans="1:48" x14ac:dyDescent="0.25">
      <c r="A2255" t="s">
        <v>3323</v>
      </c>
      <c r="B2255" t="s">
        <v>302</v>
      </c>
      <c r="C2255" t="s">
        <v>62</v>
      </c>
      <c r="D2255">
        <v>99999</v>
      </c>
      <c r="F2255" s="109">
        <v>7000</v>
      </c>
      <c r="G2255" t="b">
        <v>0</v>
      </c>
      <c r="H2255" t="s">
        <v>331</v>
      </c>
      <c r="K2255" t="s">
        <v>349</v>
      </c>
      <c r="L2255" t="s">
        <v>303</v>
      </c>
      <c r="M2255" t="s">
        <v>323</v>
      </c>
      <c r="N2255" t="s">
        <v>63</v>
      </c>
      <c r="O2255" s="110">
        <v>29.9</v>
      </c>
      <c r="R2255" s="110">
        <v>254.89000000000001</v>
      </c>
      <c r="S2255" s="110">
        <v>69.900000000000006</v>
      </c>
      <c r="T2255" s="110">
        <v>0</v>
      </c>
      <c r="U2255" s="110">
        <v>42.99</v>
      </c>
      <c r="X2255">
        <v>97.1</v>
      </c>
      <c r="Y2255">
        <v>44.9</v>
      </c>
      <c r="Z2255">
        <v>44.9</v>
      </c>
      <c r="AA2255">
        <v>0</v>
      </c>
      <c r="AB2255" t="s">
        <v>324</v>
      </c>
      <c r="AF2255" t="s">
        <v>757</v>
      </c>
      <c r="AG2255" t="s">
        <v>757</v>
      </c>
      <c r="AH2255" t="s">
        <v>758</v>
      </c>
      <c r="AI2255">
        <v>99999</v>
      </c>
      <c r="AJ2255">
        <v>99999</v>
      </c>
      <c r="AK2255">
        <v>699</v>
      </c>
      <c r="AL2255" t="b">
        <v>1</v>
      </c>
      <c r="AM2255" t="b">
        <v>1</v>
      </c>
      <c r="AN2255" t="b">
        <v>0</v>
      </c>
      <c r="AO2255">
        <v>99999</v>
      </c>
      <c r="AP2255" t="s">
        <v>64</v>
      </c>
      <c r="AR2255" t="b">
        <v>0</v>
      </c>
      <c r="AS2255">
        <v>12</v>
      </c>
      <c r="AT2255" t="s">
        <v>327</v>
      </c>
      <c r="AV2255" t="s">
        <v>774</v>
      </c>
    </row>
    <row r="2256" spans="1:48" x14ac:dyDescent="0.25">
      <c r="A2256" t="s">
        <v>3323</v>
      </c>
      <c r="B2256" t="s">
        <v>302</v>
      </c>
      <c r="C2256" t="s">
        <v>62</v>
      </c>
      <c r="D2256">
        <v>99999</v>
      </c>
      <c r="F2256" s="109">
        <v>7000</v>
      </c>
      <c r="G2256" t="b">
        <v>0</v>
      </c>
      <c r="H2256" t="s">
        <v>331</v>
      </c>
      <c r="K2256" t="s">
        <v>349</v>
      </c>
      <c r="L2256" t="s">
        <v>303</v>
      </c>
      <c r="M2256" t="s">
        <v>323</v>
      </c>
      <c r="N2256" t="s">
        <v>63</v>
      </c>
      <c r="O2256" s="110">
        <v>29.9</v>
      </c>
      <c r="R2256" s="110">
        <v>269.89</v>
      </c>
      <c r="S2256" s="110">
        <v>69.900000000000006</v>
      </c>
      <c r="T2256" s="110">
        <v>0</v>
      </c>
      <c r="U2256" s="110">
        <v>42.99</v>
      </c>
      <c r="X2256">
        <v>112.1</v>
      </c>
      <c r="Y2256">
        <v>44.9</v>
      </c>
      <c r="Z2256">
        <v>44.9</v>
      </c>
      <c r="AA2256">
        <v>0</v>
      </c>
      <c r="AB2256" t="s">
        <v>324</v>
      </c>
      <c r="AF2256" t="s">
        <v>892</v>
      </c>
      <c r="AG2256" t="s">
        <v>892</v>
      </c>
      <c r="AH2256" t="s">
        <v>758</v>
      </c>
      <c r="AI2256">
        <v>99999</v>
      </c>
      <c r="AJ2256">
        <v>99999</v>
      </c>
      <c r="AK2256">
        <v>699</v>
      </c>
      <c r="AL2256" t="b">
        <v>1</v>
      </c>
      <c r="AM2256" t="b">
        <v>1</v>
      </c>
      <c r="AN2256" t="b">
        <v>0</v>
      </c>
      <c r="AO2256">
        <v>99999</v>
      </c>
      <c r="AP2256" t="s">
        <v>64</v>
      </c>
      <c r="AR2256" t="b">
        <v>0</v>
      </c>
      <c r="AS2256">
        <v>12</v>
      </c>
      <c r="AT2256" t="s">
        <v>327</v>
      </c>
      <c r="AV2256" t="s">
        <v>908</v>
      </c>
    </row>
    <row r="2257" spans="1:48" x14ac:dyDescent="0.25">
      <c r="A2257" t="s">
        <v>3323</v>
      </c>
      <c r="B2257" t="s">
        <v>302</v>
      </c>
      <c r="C2257" t="s">
        <v>62</v>
      </c>
      <c r="D2257">
        <v>99999</v>
      </c>
      <c r="F2257" s="109">
        <v>7000</v>
      </c>
      <c r="G2257" t="b">
        <v>0</v>
      </c>
      <c r="H2257" t="s">
        <v>331</v>
      </c>
      <c r="K2257" t="s">
        <v>349</v>
      </c>
      <c r="L2257" t="s">
        <v>303</v>
      </c>
      <c r="M2257" t="s">
        <v>323</v>
      </c>
      <c r="N2257" t="s">
        <v>63</v>
      </c>
      <c r="O2257" s="110">
        <v>29.9</v>
      </c>
      <c r="R2257" s="110">
        <v>284.89</v>
      </c>
      <c r="S2257" s="110">
        <v>70</v>
      </c>
      <c r="T2257" s="110">
        <v>0</v>
      </c>
      <c r="U2257" s="110">
        <v>42.99</v>
      </c>
      <c r="X2257">
        <v>127</v>
      </c>
      <c r="Y2257">
        <v>44.9</v>
      </c>
      <c r="Z2257">
        <v>44.9</v>
      </c>
      <c r="AA2257">
        <v>0</v>
      </c>
      <c r="AB2257" t="s">
        <v>324</v>
      </c>
      <c r="AF2257" t="s">
        <v>1040</v>
      </c>
      <c r="AG2257" t="s">
        <v>1040</v>
      </c>
      <c r="AH2257" t="s">
        <v>758</v>
      </c>
      <c r="AI2257">
        <v>99999</v>
      </c>
      <c r="AJ2257">
        <v>99999</v>
      </c>
      <c r="AK2257">
        <v>699</v>
      </c>
      <c r="AL2257" t="b">
        <v>1</v>
      </c>
      <c r="AM2257" t="b">
        <v>1</v>
      </c>
      <c r="AN2257" t="b">
        <v>0</v>
      </c>
      <c r="AO2257">
        <v>99999</v>
      </c>
      <c r="AP2257" t="s">
        <v>64</v>
      </c>
      <c r="AR2257" t="b">
        <v>0</v>
      </c>
      <c r="AS2257">
        <v>12</v>
      </c>
      <c r="AT2257" t="s">
        <v>327</v>
      </c>
      <c r="AV2257" t="s">
        <v>1056</v>
      </c>
    </row>
    <row r="2258" spans="1:48" x14ac:dyDescent="0.25">
      <c r="A2258" t="s">
        <v>3323</v>
      </c>
      <c r="B2258" t="s">
        <v>302</v>
      </c>
      <c r="C2258" t="s">
        <v>62</v>
      </c>
      <c r="D2258">
        <v>99999</v>
      </c>
      <c r="F2258" s="109">
        <v>7000</v>
      </c>
      <c r="G2258" t="b">
        <v>0</v>
      </c>
      <c r="H2258" t="s">
        <v>331</v>
      </c>
      <c r="K2258" t="s">
        <v>349</v>
      </c>
      <c r="L2258" t="s">
        <v>303</v>
      </c>
      <c r="M2258" t="s">
        <v>323</v>
      </c>
      <c r="N2258" t="s">
        <v>63</v>
      </c>
      <c r="O2258" s="110">
        <v>39.9</v>
      </c>
      <c r="R2258" s="110">
        <v>254.89000000000001</v>
      </c>
      <c r="S2258" s="110">
        <v>69.900000000000006</v>
      </c>
      <c r="T2258" s="110">
        <v>0</v>
      </c>
      <c r="U2258" s="110">
        <v>42.99</v>
      </c>
      <c r="X2258">
        <v>97.1</v>
      </c>
      <c r="Y2258">
        <v>44.9</v>
      </c>
      <c r="Z2258">
        <v>44.9</v>
      </c>
      <c r="AA2258">
        <v>0</v>
      </c>
      <c r="AB2258" t="s">
        <v>324</v>
      </c>
      <c r="AF2258" t="s">
        <v>825</v>
      </c>
      <c r="AG2258" t="s">
        <v>825</v>
      </c>
      <c r="AH2258" t="s">
        <v>758</v>
      </c>
      <c r="AI2258">
        <v>99999</v>
      </c>
      <c r="AJ2258">
        <v>99999</v>
      </c>
      <c r="AK2258">
        <v>699</v>
      </c>
      <c r="AL2258" t="b">
        <v>1</v>
      </c>
      <c r="AM2258" t="b">
        <v>1</v>
      </c>
      <c r="AN2258" t="b">
        <v>0</v>
      </c>
      <c r="AO2258">
        <v>99999</v>
      </c>
      <c r="AP2258" t="s">
        <v>64</v>
      </c>
      <c r="AR2258" t="b">
        <v>0</v>
      </c>
      <c r="AS2258">
        <v>12</v>
      </c>
      <c r="AT2258" t="s">
        <v>327</v>
      </c>
      <c r="AV2258" t="s">
        <v>841</v>
      </c>
    </row>
    <row r="2259" spans="1:48" x14ac:dyDescent="0.25">
      <c r="A2259" t="s">
        <v>3323</v>
      </c>
      <c r="B2259" t="s">
        <v>302</v>
      </c>
      <c r="C2259" t="s">
        <v>62</v>
      </c>
      <c r="D2259">
        <v>99999</v>
      </c>
      <c r="F2259" s="109">
        <v>7000</v>
      </c>
      <c r="G2259" t="b">
        <v>0</v>
      </c>
      <c r="H2259" t="s">
        <v>331</v>
      </c>
      <c r="K2259" t="s">
        <v>349</v>
      </c>
      <c r="L2259" t="s">
        <v>303</v>
      </c>
      <c r="M2259" t="s">
        <v>323</v>
      </c>
      <c r="N2259" t="s">
        <v>63</v>
      </c>
      <c r="O2259" s="110">
        <v>39.9</v>
      </c>
      <c r="R2259" s="110">
        <v>269.89</v>
      </c>
      <c r="S2259" s="110">
        <v>69.900000000000006</v>
      </c>
      <c r="T2259" s="110">
        <v>0</v>
      </c>
      <c r="U2259" s="110">
        <v>42.99</v>
      </c>
      <c r="X2259">
        <v>112.1</v>
      </c>
      <c r="Y2259">
        <v>44.9</v>
      </c>
      <c r="Z2259">
        <v>44.9</v>
      </c>
      <c r="AA2259">
        <v>0</v>
      </c>
      <c r="AB2259" t="s">
        <v>324</v>
      </c>
      <c r="AF2259" t="s">
        <v>959</v>
      </c>
      <c r="AG2259" t="s">
        <v>959</v>
      </c>
      <c r="AH2259" t="s">
        <v>758</v>
      </c>
      <c r="AI2259">
        <v>99999</v>
      </c>
      <c r="AJ2259">
        <v>99999</v>
      </c>
      <c r="AK2259">
        <v>699</v>
      </c>
      <c r="AL2259" t="b">
        <v>1</v>
      </c>
      <c r="AM2259" t="b">
        <v>1</v>
      </c>
      <c r="AN2259" t="b">
        <v>0</v>
      </c>
      <c r="AO2259">
        <v>99999</v>
      </c>
      <c r="AP2259" t="s">
        <v>64</v>
      </c>
      <c r="AR2259" t="b">
        <v>0</v>
      </c>
      <c r="AS2259">
        <v>12</v>
      </c>
      <c r="AT2259" t="s">
        <v>327</v>
      </c>
      <c r="AV2259" t="s">
        <v>975</v>
      </c>
    </row>
    <row r="2260" spans="1:48" x14ac:dyDescent="0.25">
      <c r="A2260" t="s">
        <v>3323</v>
      </c>
      <c r="B2260" t="s">
        <v>302</v>
      </c>
      <c r="C2260" t="s">
        <v>62</v>
      </c>
      <c r="D2260">
        <v>99999</v>
      </c>
      <c r="F2260" s="109">
        <v>7000</v>
      </c>
      <c r="G2260" t="b">
        <v>0</v>
      </c>
      <c r="H2260" t="s">
        <v>331</v>
      </c>
      <c r="K2260" t="s">
        <v>349</v>
      </c>
      <c r="L2260" t="s">
        <v>303</v>
      </c>
      <c r="M2260" t="s">
        <v>323</v>
      </c>
      <c r="N2260" t="s">
        <v>63</v>
      </c>
      <c r="O2260" s="110">
        <v>39.9</v>
      </c>
      <c r="R2260" s="110">
        <v>284.89</v>
      </c>
      <c r="S2260" s="110">
        <v>70</v>
      </c>
      <c r="T2260" s="110">
        <v>0</v>
      </c>
      <c r="U2260" s="110">
        <v>42.99</v>
      </c>
      <c r="X2260">
        <v>127</v>
      </c>
      <c r="Y2260">
        <v>44.9</v>
      </c>
      <c r="Z2260">
        <v>44.9</v>
      </c>
      <c r="AA2260">
        <v>0</v>
      </c>
      <c r="AB2260" t="s">
        <v>324</v>
      </c>
      <c r="AF2260" t="s">
        <v>1107</v>
      </c>
      <c r="AG2260" t="s">
        <v>1107</v>
      </c>
      <c r="AH2260" t="s">
        <v>758</v>
      </c>
      <c r="AI2260">
        <v>99999</v>
      </c>
      <c r="AJ2260">
        <v>99999</v>
      </c>
      <c r="AK2260">
        <v>699</v>
      </c>
      <c r="AL2260" t="b">
        <v>1</v>
      </c>
      <c r="AM2260" t="b">
        <v>1</v>
      </c>
      <c r="AN2260" t="b">
        <v>0</v>
      </c>
      <c r="AO2260">
        <v>99999</v>
      </c>
      <c r="AP2260" t="s">
        <v>64</v>
      </c>
      <c r="AR2260" t="b">
        <v>0</v>
      </c>
      <c r="AS2260">
        <v>12</v>
      </c>
      <c r="AT2260" t="s">
        <v>327</v>
      </c>
      <c r="AV2260" t="s">
        <v>1123</v>
      </c>
    </row>
    <row r="2261" spans="1:48" x14ac:dyDescent="0.25">
      <c r="A2261" t="s">
        <v>3323</v>
      </c>
      <c r="B2261" t="s">
        <v>302</v>
      </c>
      <c r="C2261" t="s">
        <v>62</v>
      </c>
      <c r="D2261">
        <v>99999</v>
      </c>
      <c r="F2261" s="109">
        <v>7000</v>
      </c>
      <c r="G2261" t="b">
        <v>0</v>
      </c>
      <c r="H2261" t="s">
        <v>331</v>
      </c>
      <c r="K2261" t="s">
        <v>349</v>
      </c>
      <c r="L2261" t="s">
        <v>303</v>
      </c>
      <c r="M2261" t="s">
        <v>323</v>
      </c>
      <c r="N2261" t="s">
        <v>63</v>
      </c>
      <c r="O2261" s="110">
        <v>49.9</v>
      </c>
      <c r="R2261" s="110">
        <v>300.68999999999994</v>
      </c>
      <c r="S2261" s="110">
        <v>130</v>
      </c>
      <c r="T2261" s="110">
        <v>0</v>
      </c>
      <c r="U2261" s="110">
        <v>34.99</v>
      </c>
      <c r="X2261">
        <v>90.799999999999983</v>
      </c>
      <c r="Y2261">
        <v>44.9</v>
      </c>
      <c r="Z2261">
        <v>44.9</v>
      </c>
      <c r="AA2261">
        <v>0</v>
      </c>
      <c r="AB2261" t="s">
        <v>324</v>
      </c>
      <c r="AF2261" t="s">
        <v>2467</v>
      </c>
      <c r="AG2261" t="s">
        <v>2467</v>
      </c>
      <c r="AH2261" t="s">
        <v>758</v>
      </c>
      <c r="AI2261">
        <v>99999</v>
      </c>
      <c r="AJ2261">
        <v>99999</v>
      </c>
      <c r="AK2261">
        <v>699</v>
      </c>
      <c r="AL2261" t="b">
        <v>1</v>
      </c>
      <c r="AM2261" t="b">
        <v>1</v>
      </c>
      <c r="AN2261" t="b">
        <v>0</v>
      </c>
      <c r="AO2261">
        <v>99999</v>
      </c>
      <c r="AP2261" t="s">
        <v>64</v>
      </c>
      <c r="AR2261" t="b">
        <v>0</v>
      </c>
      <c r="AS2261">
        <v>12</v>
      </c>
      <c r="AT2261" t="s">
        <v>327</v>
      </c>
      <c r="AV2261" t="s">
        <v>2483</v>
      </c>
    </row>
    <row r="2262" spans="1:48" x14ac:dyDescent="0.25">
      <c r="A2262" t="s">
        <v>3323</v>
      </c>
      <c r="B2262" t="s">
        <v>302</v>
      </c>
      <c r="C2262" t="s">
        <v>62</v>
      </c>
      <c r="D2262">
        <v>99999</v>
      </c>
      <c r="F2262" s="109">
        <v>7000</v>
      </c>
      <c r="G2262" t="b">
        <v>0</v>
      </c>
      <c r="H2262" t="s">
        <v>331</v>
      </c>
      <c r="K2262" t="s">
        <v>349</v>
      </c>
      <c r="L2262" t="s">
        <v>303</v>
      </c>
      <c r="M2262" t="s">
        <v>323</v>
      </c>
      <c r="N2262" t="s">
        <v>63</v>
      </c>
      <c r="O2262" s="110">
        <v>49.9</v>
      </c>
      <c r="R2262" s="110">
        <v>314.99</v>
      </c>
      <c r="S2262" s="110">
        <v>130</v>
      </c>
      <c r="T2262" s="110">
        <v>0</v>
      </c>
      <c r="U2262" s="110">
        <v>42.99</v>
      </c>
      <c r="X2262">
        <v>97.1</v>
      </c>
      <c r="Y2262">
        <v>44.9</v>
      </c>
      <c r="Z2262">
        <v>44.9</v>
      </c>
      <c r="AA2262">
        <v>0</v>
      </c>
      <c r="AB2262" t="s">
        <v>324</v>
      </c>
      <c r="AF2262" t="s">
        <v>2541</v>
      </c>
      <c r="AG2262" t="s">
        <v>2541</v>
      </c>
      <c r="AH2262" t="s">
        <v>758</v>
      </c>
      <c r="AI2262">
        <v>99999</v>
      </c>
      <c r="AJ2262">
        <v>99999</v>
      </c>
      <c r="AK2262">
        <v>699</v>
      </c>
      <c r="AL2262" t="b">
        <v>1</v>
      </c>
      <c r="AM2262" t="b">
        <v>1</v>
      </c>
      <c r="AN2262" t="b">
        <v>0</v>
      </c>
      <c r="AO2262">
        <v>99999</v>
      </c>
      <c r="AP2262" t="s">
        <v>64</v>
      </c>
      <c r="AR2262" t="b">
        <v>0</v>
      </c>
      <c r="AS2262">
        <v>12</v>
      </c>
      <c r="AT2262" t="s">
        <v>327</v>
      </c>
      <c r="AV2262" t="s">
        <v>2557</v>
      </c>
    </row>
    <row r="2263" spans="1:48" x14ac:dyDescent="0.25">
      <c r="A2263" t="s">
        <v>3323</v>
      </c>
      <c r="B2263" t="s">
        <v>302</v>
      </c>
      <c r="C2263" t="s">
        <v>62</v>
      </c>
      <c r="D2263">
        <v>99999</v>
      </c>
      <c r="F2263" s="109">
        <v>7000</v>
      </c>
      <c r="G2263" t="b">
        <v>0</v>
      </c>
      <c r="H2263" t="s">
        <v>331</v>
      </c>
      <c r="K2263" t="s">
        <v>349</v>
      </c>
      <c r="L2263" t="s">
        <v>303</v>
      </c>
      <c r="M2263" t="s">
        <v>323</v>
      </c>
      <c r="N2263" t="s">
        <v>63</v>
      </c>
      <c r="O2263" s="110">
        <v>49.9</v>
      </c>
      <c r="R2263" s="110">
        <v>329.99</v>
      </c>
      <c r="S2263" s="110">
        <v>130</v>
      </c>
      <c r="T2263" s="110">
        <v>0</v>
      </c>
      <c r="U2263" s="110">
        <v>42.99</v>
      </c>
      <c r="X2263">
        <v>112.1</v>
      </c>
      <c r="Y2263">
        <v>44.9</v>
      </c>
      <c r="Z2263">
        <v>44.9</v>
      </c>
      <c r="AA2263">
        <v>0</v>
      </c>
      <c r="AB2263" t="s">
        <v>324</v>
      </c>
      <c r="AF2263" t="s">
        <v>2608</v>
      </c>
      <c r="AG2263" t="s">
        <v>2608</v>
      </c>
      <c r="AH2263" t="s">
        <v>758</v>
      </c>
      <c r="AI2263">
        <v>99999</v>
      </c>
      <c r="AJ2263">
        <v>99999</v>
      </c>
      <c r="AK2263">
        <v>699</v>
      </c>
      <c r="AL2263" t="b">
        <v>1</v>
      </c>
      <c r="AM2263" t="b">
        <v>1</v>
      </c>
      <c r="AN2263" t="b">
        <v>0</v>
      </c>
      <c r="AO2263">
        <v>99999</v>
      </c>
      <c r="AP2263" t="s">
        <v>64</v>
      </c>
      <c r="AR2263" t="b">
        <v>0</v>
      </c>
      <c r="AS2263">
        <v>12</v>
      </c>
      <c r="AT2263" t="s">
        <v>327</v>
      </c>
      <c r="AV2263" t="s">
        <v>2623</v>
      </c>
    </row>
    <row r="2264" spans="1:48" x14ac:dyDescent="0.25">
      <c r="A2264" t="s">
        <v>3323</v>
      </c>
      <c r="B2264" t="s">
        <v>302</v>
      </c>
      <c r="C2264" t="s">
        <v>62</v>
      </c>
      <c r="D2264">
        <v>99999</v>
      </c>
      <c r="F2264" s="109">
        <v>7000</v>
      </c>
      <c r="G2264" t="b">
        <v>0</v>
      </c>
      <c r="H2264" t="s">
        <v>331</v>
      </c>
      <c r="K2264" t="s">
        <v>349</v>
      </c>
      <c r="L2264" t="s">
        <v>303</v>
      </c>
      <c r="M2264" t="s">
        <v>323</v>
      </c>
      <c r="N2264" t="s">
        <v>63</v>
      </c>
      <c r="O2264" s="110">
        <v>49.9</v>
      </c>
      <c r="R2264" s="110">
        <v>344.89</v>
      </c>
      <c r="S2264" s="110">
        <v>130</v>
      </c>
      <c r="T2264" s="110">
        <v>0</v>
      </c>
      <c r="U2264" s="110">
        <v>42.99</v>
      </c>
      <c r="X2264">
        <v>127</v>
      </c>
      <c r="Y2264">
        <v>44.9</v>
      </c>
      <c r="Z2264">
        <v>44.9</v>
      </c>
      <c r="AA2264">
        <v>0</v>
      </c>
      <c r="AB2264" t="s">
        <v>324</v>
      </c>
      <c r="AF2264" t="s">
        <v>2677</v>
      </c>
      <c r="AG2264" t="s">
        <v>2677</v>
      </c>
      <c r="AH2264" t="s">
        <v>758</v>
      </c>
      <c r="AI2264">
        <v>99999</v>
      </c>
      <c r="AJ2264">
        <v>99999</v>
      </c>
      <c r="AK2264">
        <v>699</v>
      </c>
      <c r="AL2264" t="b">
        <v>1</v>
      </c>
      <c r="AM2264" t="b">
        <v>1</v>
      </c>
      <c r="AN2264" t="b">
        <v>0</v>
      </c>
      <c r="AO2264">
        <v>99999</v>
      </c>
      <c r="AP2264" t="s">
        <v>64</v>
      </c>
      <c r="AR2264" t="b">
        <v>0</v>
      </c>
      <c r="AS2264">
        <v>12</v>
      </c>
      <c r="AT2264" t="s">
        <v>327</v>
      </c>
      <c r="AV2264" t="s">
        <v>2693</v>
      </c>
    </row>
    <row r="2265" spans="1:48" x14ac:dyDescent="0.25">
      <c r="A2265" t="s">
        <v>3323</v>
      </c>
      <c r="B2265" t="s">
        <v>302</v>
      </c>
      <c r="C2265" t="s">
        <v>62</v>
      </c>
      <c r="D2265">
        <v>99999</v>
      </c>
      <c r="F2265" s="109">
        <v>7000</v>
      </c>
      <c r="G2265" t="b">
        <v>0</v>
      </c>
      <c r="H2265" t="s">
        <v>331</v>
      </c>
      <c r="K2265" t="s">
        <v>393</v>
      </c>
      <c r="L2265" t="s">
        <v>303</v>
      </c>
      <c r="M2265" t="s">
        <v>323</v>
      </c>
      <c r="N2265" t="s">
        <v>63</v>
      </c>
      <c r="O2265" s="110">
        <v>29.9</v>
      </c>
      <c r="R2265" s="110">
        <v>279.89</v>
      </c>
      <c r="S2265" s="110">
        <v>69.900000000000006</v>
      </c>
      <c r="T2265" s="110">
        <v>0</v>
      </c>
      <c r="U2265" s="110">
        <v>42.99</v>
      </c>
      <c r="X2265">
        <v>97.1</v>
      </c>
      <c r="Y2265">
        <v>69.900000000000006</v>
      </c>
      <c r="Z2265">
        <v>69.900000000000006</v>
      </c>
      <c r="AA2265">
        <v>0</v>
      </c>
      <c r="AB2265" t="s">
        <v>363</v>
      </c>
      <c r="AF2265" t="s">
        <v>785</v>
      </c>
      <c r="AG2265" t="s">
        <v>785</v>
      </c>
      <c r="AH2265" t="s">
        <v>758</v>
      </c>
      <c r="AI2265">
        <v>99999</v>
      </c>
      <c r="AJ2265">
        <v>99999</v>
      </c>
      <c r="AK2265">
        <v>699</v>
      </c>
      <c r="AL2265" t="b">
        <v>1</v>
      </c>
      <c r="AM2265" t="b">
        <v>1</v>
      </c>
      <c r="AN2265" t="b">
        <v>0</v>
      </c>
      <c r="AO2265">
        <v>99999</v>
      </c>
      <c r="AP2265" t="s">
        <v>64</v>
      </c>
      <c r="AR2265" t="b">
        <v>0</v>
      </c>
      <c r="AS2265">
        <v>12</v>
      </c>
      <c r="AT2265" t="s">
        <v>327</v>
      </c>
      <c r="AV2265" t="s">
        <v>814</v>
      </c>
    </row>
    <row r="2266" spans="1:48" x14ac:dyDescent="0.25">
      <c r="A2266" t="s">
        <v>3323</v>
      </c>
      <c r="B2266" t="s">
        <v>302</v>
      </c>
      <c r="C2266" t="s">
        <v>62</v>
      </c>
      <c r="D2266">
        <v>99999</v>
      </c>
      <c r="F2266" s="109">
        <v>7000</v>
      </c>
      <c r="G2266" t="b">
        <v>0</v>
      </c>
      <c r="H2266" t="s">
        <v>331</v>
      </c>
      <c r="K2266" t="s">
        <v>393</v>
      </c>
      <c r="L2266" t="s">
        <v>303</v>
      </c>
      <c r="M2266" t="s">
        <v>323</v>
      </c>
      <c r="N2266" t="s">
        <v>63</v>
      </c>
      <c r="O2266" s="110">
        <v>29.9</v>
      </c>
      <c r="R2266" s="110">
        <v>294.89</v>
      </c>
      <c r="S2266" s="110">
        <v>69.900000000000006</v>
      </c>
      <c r="T2266" s="110">
        <v>0</v>
      </c>
      <c r="U2266" s="110">
        <v>42.99</v>
      </c>
      <c r="X2266">
        <v>112.1</v>
      </c>
      <c r="Y2266">
        <v>69.900000000000006</v>
      </c>
      <c r="Z2266">
        <v>69.900000000000006</v>
      </c>
      <c r="AA2266">
        <v>0</v>
      </c>
      <c r="AB2266" t="s">
        <v>363</v>
      </c>
      <c r="AF2266" t="s">
        <v>919</v>
      </c>
      <c r="AG2266" t="s">
        <v>919</v>
      </c>
      <c r="AH2266" t="s">
        <v>758</v>
      </c>
      <c r="AI2266">
        <v>99999</v>
      </c>
      <c r="AJ2266">
        <v>99999</v>
      </c>
      <c r="AK2266">
        <v>699</v>
      </c>
      <c r="AL2266" t="b">
        <v>1</v>
      </c>
      <c r="AM2266" t="b">
        <v>1</v>
      </c>
      <c r="AN2266" t="b">
        <v>0</v>
      </c>
      <c r="AO2266">
        <v>99999</v>
      </c>
      <c r="AP2266" t="s">
        <v>64</v>
      </c>
      <c r="AR2266" t="b">
        <v>0</v>
      </c>
      <c r="AS2266">
        <v>12</v>
      </c>
      <c r="AT2266" t="s">
        <v>327</v>
      </c>
      <c r="AV2266" t="s">
        <v>948</v>
      </c>
    </row>
    <row r="2267" spans="1:48" x14ac:dyDescent="0.25">
      <c r="A2267" t="s">
        <v>3323</v>
      </c>
      <c r="B2267" t="s">
        <v>302</v>
      </c>
      <c r="C2267" t="s">
        <v>62</v>
      </c>
      <c r="D2267">
        <v>99999</v>
      </c>
      <c r="F2267" s="109">
        <v>7000</v>
      </c>
      <c r="G2267" t="b">
        <v>0</v>
      </c>
      <c r="H2267" t="s">
        <v>331</v>
      </c>
      <c r="K2267" t="s">
        <v>393</v>
      </c>
      <c r="L2267" t="s">
        <v>303</v>
      </c>
      <c r="M2267" t="s">
        <v>323</v>
      </c>
      <c r="N2267" t="s">
        <v>63</v>
      </c>
      <c r="O2267" s="110">
        <v>29.9</v>
      </c>
      <c r="R2267" s="110">
        <v>309.89</v>
      </c>
      <c r="S2267" s="110">
        <v>70</v>
      </c>
      <c r="T2267" s="110">
        <v>0</v>
      </c>
      <c r="U2267" s="110">
        <v>42.99</v>
      </c>
      <c r="X2267">
        <v>127</v>
      </c>
      <c r="Y2267">
        <v>69.900000000000006</v>
      </c>
      <c r="Z2267">
        <v>69.900000000000006</v>
      </c>
      <c r="AA2267">
        <v>0</v>
      </c>
      <c r="AB2267" t="s">
        <v>363</v>
      </c>
      <c r="AF2267" t="s">
        <v>1067</v>
      </c>
      <c r="AG2267" t="s">
        <v>1067</v>
      </c>
      <c r="AH2267" t="s">
        <v>758</v>
      </c>
      <c r="AI2267">
        <v>99999</v>
      </c>
      <c r="AJ2267">
        <v>99999</v>
      </c>
      <c r="AK2267">
        <v>699</v>
      </c>
      <c r="AL2267" t="b">
        <v>1</v>
      </c>
      <c r="AM2267" t="b">
        <v>1</v>
      </c>
      <c r="AN2267" t="b">
        <v>0</v>
      </c>
      <c r="AO2267">
        <v>99999</v>
      </c>
      <c r="AP2267" t="s">
        <v>64</v>
      </c>
      <c r="AR2267" t="b">
        <v>0</v>
      </c>
      <c r="AS2267">
        <v>12</v>
      </c>
      <c r="AT2267" t="s">
        <v>327</v>
      </c>
      <c r="AV2267" t="s">
        <v>1096</v>
      </c>
    </row>
    <row r="2268" spans="1:48" x14ac:dyDescent="0.25">
      <c r="A2268" t="s">
        <v>3323</v>
      </c>
      <c r="B2268" t="s">
        <v>302</v>
      </c>
      <c r="C2268" t="s">
        <v>62</v>
      </c>
      <c r="D2268">
        <v>99999</v>
      </c>
      <c r="F2268" s="109">
        <v>7000</v>
      </c>
      <c r="G2268" t="b">
        <v>0</v>
      </c>
      <c r="H2268" t="s">
        <v>331</v>
      </c>
      <c r="K2268" t="s">
        <v>393</v>
      </c>
      <c r="L2268" t="s">
        <v>303</v>
      </c>
      <c r="M2268" t="s">
        <v>323</v>
      </c>
      <c r="N2268" t="s">
        <v>63</v>
      </c>
      <c r="O2268" s="110">
        <v>39.9</v>
      </c>
      <c r="R2268" s="110">
        <v>279.89</v>
      </c>
      <c r="S2268" s="110">
        <v>69.900000000000006</v>
      </c>
      <c r="T2268" s="110">
        <v>0</v>
      </c>
      <c r="U2268" s="110">
        <v>42.99</v>
      </c>
      <c r="X2268">
        <v>97.1</v>
      </c>
      <c r="Y2268">
        <v>69.900000000000006</v>
      </c>
      <c r="Z2268">
        <v>69.900000000000006</v>
      </c>
      <c r="AA2268">
        <v>0</v>
      </c>
      <c r="AB2268" t="s">
        <v>363</v>
      </c>
      <c r="AF2268" t="s">
        <v>852</v>
      </c>
      <c r="AG2268" t="s">
        <v>852</v>
      </c>
      <c r="AH2268" t="s">
        <v>758</v>
      </c>
      <c r="AI2268">
        <v>99999</v>
      </c>
      <c r="AJ2268">
        <v>99999</v>
      </c>
      <c r="AK2268">
        <v>699</v>
      </c>
      <c r="AL2268" t="b">
        <v>1</v>
      </c>
      <c r="AM2268" t="b">
        <v>1</v>
      </c>
      <c r="AN2268" t="b">
        <v>0</v>
      </c>
      <c r="AO2268">
        <v>99999</v>
      </c>
      <c r="AP2268" t="s">
        <v>64</v>
      </c>
      <c r="AR2268" t="b">
        <v>0</v>
      </c>
      <c r="AS2268">
        <v>12</v>
      </c>
      <c r="AT2268" t="s">
        <v>327</v>
      </c>
      <c r="AV2268" t="s">
        <v>881</v>
      </c>
    </row>
    <row r="2269" spans="1:48" x14ac:dyDescent="0.25">
      <c r="A2269" t="s">
        <v>3323</v>
      </c>
      <c r="B2269" t="s">
        <v>302</v>
      </c>
      <c r="C2269" t="s">
        <v>62</v>
      </c>
      <c r="D2269">
        <v>99999</v>
      </c>
      <c r="F2269" s="109">
        <v>7000</v>
      </c>
      <c r="G2269" t="b">
        <v>0</v>
      </c>
      <c r="H2269" t="s">
        <v>331</v>
      </c>
      <c r="K2269" t="s">
        <v>393</v>
      </c>
      <c r="L2269" t="s">
        <v>303</v>
      </c>
      <c r="M2269" t="s">
        <v>323</v>
      </c>
      <c r="N2269" t="s">
        <v>63</v>
      </c>
      <c r="O2269" s="110">
        <v>39.9</v>
      </c>
      <c r="R2269" s="110">
        <v>294.89</v>
      </c>
      <c r="S2269" s="110">
        <v>69.900000000000006</v>
      </c>
      <c r="T2269" s="110">
        <v>0</v>
      </c>
      <c r="U2269" s="110">
        <v>42.99</v>
      </c>
      <c r="X2269">
        <v>112.1</v>
      </c>
      <c r="Y2269">
        <v>69.900000000000006</v>
      </c>
      <c r="Z2269">
        <v>69.900000000000006</v>
      </c>
      <c r="AA2269">
        <v>0</v>
      </c>
      <c r="AB2269" t="s">
        <v>363</v>
      </c>
      <c r="AF2269" t="s">
        <v>986</v>
      </c>
      <c r="AG2269" t="s">
        <v>986</v>
      </c>
      <c r="AH2269" t="s">
        <v>758</v>
      </c>
      <c r="AI2269">
        <v>99999</v>
      </c>
      <c r="AJ2269">
        <v>99999</v>
      </c>
      <c r="AK2269">
        <v>699</v>
      </c>
      <c r="AL2269" t="b">
        <v>1</v>
      </c>
      <c r="AM2269" t="b">
        <v>1</v>
      </c>
      <c r="AN2269" t="b">
        <v>0</v>
      </c>
      <c r="AO2269">
        <v>99999</v>
      </c>
      <c r="AP2269" t="s">
        <v>64</v>
      </c>
      <c r="AR2269" t="b">
        <v>0</v>
      </c>
      <c r="AS2269">
        <v>12</v>
      </c>
      <c r="AT2269" t="s">
        <v>327</v>
      </c>
      <c r="AV2269" t="s">
        <v>1015</v>
      </c>
    </row>
    <row r="2270" spans="1:48" x14ac:dyDescent="0.25">
      <c r="A2270" t="s">
        <v>3323</v>
      </c>
      <c r="B2270" t="s">
        <v>302</v>
      </c>
      <c r="C2270" t="s">
        <v>62</v>
      </c>
      <c r="D2270">
        <v>99999</v>
      </c>
      <c r="F2270" s="109">
        <v>7000</v>
      </c>
      <c r="G2270" t="b">
        <v>0</v>
      </c>
      <c r="H2270" t="s">
        <v>331</v>
      </c>
      <c r="K2270" t="s">
        <v>393</v>
      </c>
      <c r="L2270" t="s">
        <v>303</v>
      </c>
      <c r="M2270" t="s">
        <v>323</v>
      </c>
      <c r="N2270" t="s">
        <v>63</v>
      </c>
      <c r="O2270" s="110">
        <v>39.9</v>
      </c>
      <c r="R2270" s="110">
        <v>309.89</v>
      </c>
      <c r="S2270" s="110">
        <v>70</v>
      </c>
      <c r="T2270" s="110">
        <v>0</v>
      </c>
      <c r="U2270" s="110">
        <v>42.99</v>
      </c>
      <c r="X2270">
        <v>127</v>
      </c>
      <c r="Y2270">
        <v>69.900000000000006</v>
      </c>
      <c r="Z2270">
        <v>69.900000000000006</v>
      </c>
      <c r="AA2270">
        <v>0</v>
      </c>
      <c r="AB2270" t="s">
        <v>363</v>
      </c>
      <c r="AF2270" t="s">
        <v>1134</v>
      </c>
      <c r="AG2270" t="s">
        <v>1134</v>
      </c>
      <c r="AH2270" t="s">
        <v>758</v>
      </c>
      <c r="AI2270">
        <v>99999</v>
      </c>
      <c r="AJ2270">
        <v>99999</v>
      </c>
      <c r="AK2270">
        <v>699</v>
      </c>
      <c r="AL2270" t="b">
        <v>1</v>
      </c>
      <c r="AM2270" t="b">
        <v>1</v>
      </c>
      <c r="AN2270" t="b">
        <v>0</v>
      </c>
      <c r="AO2270">
        <v>99999</v>
      </c>
      <c r="AP2270" t="s">
        <v>64</v>
      </c>
      <c r="AR2270" t="b">
        <v>0</v>
      </c>
      <c r="AS2270">
        <v>12</v>
      </c>
      <c r="AT2270" t="s">
        <v>327</v>
      </c>
      <c r="AV2270" t="s">
        <v>1163</v>
      </c>
    </row>
    <row r="2271" spans="1:48" x14ac:dyDescent="0.25">
      <c r="A2271" t="s">
        <v>3323</v>
      </c>
      <c r="B2271" t="s">
        <v>302</v>
      </c>
      <c r="C2271" t="s">
        <v>62</v>
      </c>
      <c r="D2271">
        <v>99999</v>
      </c>
      <c r="F2271" s="109">
        <v>7000</v>
      </c>
      <c r="G2271" t="b">
        <v>0</v>
      </c>
      <c r="H2271" t="s">
        <v>331</v>
      </c>
      <c r="K2271" t="s">
        <v>393</v>
      </c>
      <c r="L2271" t="s">
        <v>303</v>
      </c>
      <c r="M2271" t="s">
        <v>323</v>
      </c>
      <c r="N2271" t="s">
        <v>63</v>
      </c>
      <c r="O2271" s="110">
        <v>49.9</v>
      </c>
      <c r="R2271" s="110">
        <v>325.69</v>
      </c>
      <c r="S2271" s="110">
        <v>130</v>
      </c>
      <c r="T2271" s="110">
        <v>0</v>
      </c>
      <c r="U2271" s="110">
        <v>34.99</v>
      </c>
      <c r="X2271">
        <v>90.799999999999983</v>
      </c>
      <c r="Y2271">
        <v>69.900000000000006</v>
      </c>
      <c r="Z2271">
        <v>69.900000000000006</v>
      </c>
      <c r="AA2271">
        <v>0</v>
      </c>
      <c r="AB2271" t="s">
        <v>363</v>
      </c>
      <c r="AF2271" t="s">
        <v>2494</v>
      </c>
      <c r="AG2271" t="s">
        <v>2494</v>
      </c>
      <c r="AH2271" t="s">
        <v>758</v>
      </c>
      <c r="AI2271">
        <v>99999</v>
      </c>
      <c r="AJ2271">
        <v>99999</v>
      </c>
      <c r="AK2271">
        <v>699</v>
      </c>
      <c r="AL2271" t="b">
        <v>1</v>
      </c>
      <c r="AM2271" t="b">
        <v>1</v>
      </c>
      <c r="AN2271" t="b">
        <v>0</v>
      </c>
      <c r="AO2271">
        <v>99999</v>
      </c>
      <c r="AP2271" t="s">
        <v>64</v>
      </c>
      <c r="AR2271" t="b">
        <v>0</v>
      </c>
      <c r="AS2271">
        <v>12</v>
      </c>
      <c r="AT2271" t="s">
        <v>327</v>
      </c>
      <c r="AV2271" t="s">
        <v>2523</v>
      </c>
    </row>
    <row r="2272" spans="1:48" x14ac:dyDescent="0.25">
      <c r="A2272" t="s">
        <v>3323</v>
      </c>
      <c r="B2272" t="s">
        <v>302</v>
      </c>
      <c r="C2272" t="s">
        <v>62</v>
      </c>
      <c r="D2272">
        <v>99999</v>
      </c>
      <c r="F2272" s="109">
        <v>7000</v>
      </c>
      <c r="G2272" t="b">
        <v>0</v>
      </c>
      <c r="H2272" t="s">
        <v>331</v>
      </c>
      <c r="K2272" t="s">
        <v>393</v>
      </c>
      <c r="L2272" t="s">
        <v>303</v>
      </c>
      <c r="M2272" t="s">
        <v>323</v>
      </c>
      <c r="N2272" t="s">
        <v>63</v>
      </c>
      <c r="O2272" s="110">
        <v>49.9</v>
      </c>
      <c r="R2272" s="110">
        <v>339.99</v>
      </c>
      <c r="S2272" s="110">
        <v>130</v>
      </c>
      <c r="T2272" s="110">
        <v>0</v>
      </c>
      <c r="U2272" s="110">
        <v>42.99</v>
      </c>
      <c r="X2272">
        <v>97.1</v>
      </c>
      <c r="Y2272">
        <v>69.900000000000006</v>
      </c>
      <c r="Z2272">
        <v>69.900000000000006</v>
      </c>
      <c r="AA2272">
        <v>0</v>
      </c>
      <c r="AB2272" t="s">
        <v>363</v>
      </c>
      <c r="AF2272" t="s">
        <v>2568</v>
      </c>
      <c r="AG2272" t="s">
        <v>2568</v>
      </c>
      <c r="AH2272" t="s">
        <v>758</v>
      </c>
      <c r="AI2272">
        <v>99999</v>
      </c>
      <c r="AJ2272">
        <v>99999</v>
      </c>
      <c r="AK2272">
        <v>699</v>
      </c>
      <c r="AL2272" t="b">
        <v>1</v>
      </c>
      <c r="AM2272" t="b">
        <v>1</v>
      </c>
      <c r="AN2272" t="b">
        <v>0</v>
      </c>
      <c r="AO2272">
        <v>99999</v>
      </c>
      <c r="AP2272" t="s">
        <v>64</v>
      </c>
      <c r="AR2272" t="b">
        <v>0</v>
      </c>
      <c r="AS2272">
        <v>12</v>
      </c>
      <c r="AT2272" t="s">
        <v>327</v>
      </c>
      <c r="AV2272" t="s">
        <v>2597</v>
      </c>
    </row>
    <row r="2273" spans="1:48" x14ac:dyDescent="0.25">
      <c r="A2273" t="s">
        <v>3323</v>
      </c>
      <c r="B2273" t="s">
        <v>302</v>
      </c>
      <c r="C2273" t="s">
        <v>62</v>
      </c>
      <c r="D2273">
        <v>99999</v>
      </c>
      <c r="F2273" s="109">
        <v>7000</v>
      </c>
      <c r="G2273" t="b">
        <v>0</v>
      </c>
      <c r="H2273" t="s">
        <v>331</v>
      </c>
      <c r="K2273" t="s">
        <v>393</v>
      </c>
      <c r="L2273" t="s">
        <v>303</v>
      </c>
      <c r="M2273" t="s">
        <v>323</v>
      </c>
      <c r="N2273" t="s">
        <v>63</v>
      </c>
      <c r="O2273" s="110">
        <v>49.9</v>
      </c>
      <c r="R2273" s="110">
        <v>354.99</v>
      </c>
      <c r="S2273" s="110">
        <v>130</v>
      </c>
      <c r="T2273" s="110">
        <v>0</v>
      </c>
      <c r="U2273" s="110">
        <v>42.99</v>
      </c>
      <c r="X2273">
        <v>112.1</v>
      </c>
      <c r="Y2273">
        <v>69.900000000000006</v>
      </c>
      <c r="Z2273">
        <v>69.900000000000006</v>
      </c>
      <c r="AA2273">
        <v>0</v>
      </c>
      <c r="AB2273" t="s">
        <v>363</v>
      </c>
      <c r="AF2273" t="s">
        <v>2633</v>
      </c>
      <c r="AG2273" t="s">
        <v>2633</v>
      </c>
      <c r="AH2273" t="s">
        <v>758</v>
      </c>
      <c r="AI2273">
        <v>99999</v>
      </c>
      <c r="AJ2273">
        <v>99999</v>
      </c>
      <c r="AK2273">
        <v>699</v>
      </c>
      <c r="AL2273" t="b">
        <v>1</v>
      </c>
      <c r="AM2273" t="b">
        <v>1</v>
      </c>
      <c r="AN2273" t="b">
        <v>0</v>
      </c>
      <c r="AO2273">
        <v>99999</v>
      </c>
      <c r="AP2273" t="s">
        <v>64</v>
      </c>
      <c r="AR2273" t="b">
        <v>0</v>
      </c>
      <c r="AS2273">
        <v>12</v>
      </c>
      <c r="AT2273" t="s">
        <v>327</v>
      </c>
      <c r="AV2273" t="s">
        <v>2660</v>
      </c>
    </row>
    <row r="2274" spans="1:48" x14ac:dyDescent="0.25">
      <c r="A2274" t="s">
        <v>3323</v>
      </c>
      <c r="B2274" t="s">
        <v>302</v>
      </c>
      <c r="C2274" t="s">
        <v>62</v>
      </c>
      <c r="D2274">
        <v>99999</v>
      </c>
      <c r="F2274" s="109">
        <v>7000</v>
      </c>
      <c r="G2274" t="b">
        <v>0</v>
      </c>
      <c r="H2274" t="s">
        <v>331</v>
      </c>
      <c r="K2274" t="s">
        <v>393</v>
      </c>
      <c r="L2274" t="s">
        <v>303</v>
      </c>
      <c r="M2274" t="s">
        <v>323</v>
      </c>
      <c r="N2274" t="s">
        <v>63</v>
      </c>
      <c r="O2274" s="110">
        <v>49.9</v>
      </c>
      <c r="R2274" s="110">
        <v>369.89</v>
      </c>
      <c r="S2274" s="110">
        <v>130</v>
      </c>
      <c r="T2274" s="110">
        <v>0</v>
      </c>
      <c r="U2274" s="110">
        <v>42.99</v>
      </c>
      <c r="X2274">
        <v>127</v>
      </c>
      <c r="Y2274">
        <v>69.900000000000006</v>
      </c>
      <c r="Z2274">
        <v>69.900000000000006</v>
      </c>
      <c r="AA2274">
        <v>0</v>
      </c>
      <c r="AB2274" t="s">
        <v>363</v>
      </c>
      <c r="AF2274" t="s">
        <v>2704</v>
      </c>
      <c r="AG2274" t="s">
        <v>2704</v>
      </c>
      <c r="AH2274" t="s">
        <v>758</v>
      </c>
      <c r="AI2274">
        <v>99999</v>
      </c>
      <c r="AJ2274">
        <v>99999</v>
      </c>
      <c r="AK2274">
        <v>699</v>
      </c>
      <c r="AL2274" t="b">
        <v>1</v>
      </c>
      <c r="AM2274" t="b">
        <v>1</v>
      </c>
      <c r="AN2274" t="b">
        <v>0</v>
      </c>
      <c r="AO2274">
        <v>99999</v>
      </c>
      <c r="AP2274" t="s">
        <v>64</v>
      </c>
      <c r="AR2274" t="b">
        <v>0</v>
      </c>
      <c r="AS2274">
        <v>12</v>
      </c>
      <c r="AT2274" t="s">
        <v>327</v>
      </c>
      <c r="AV2274" t="s">
        <v>2733</v>
      </c>
    </row>
    <row r="2275" spans="1:48" x14ac:dyDescent="0.25">
      <c r="A2275" t="s">
        <v>3323</v>
      </c>
      <c r="B2275" t="s">
        <v>302</v>
      </c>
      <c r="C2275" t="s">
        <v>62</v>
      </c>
      <c r="D2275">
        <v>99999</v>
      </c>
      <c r="F2275" s="109">
        <v>7000</v>
      </c>
      <c r="G2275" t="b">
        <v>0</v>
      </c>
      <c r="H2275" t="s">
        <v>331</v>
      </c>
      <c r="K2275" t="s">
        <v>364</v>
      </c>
      <c r="L2275" t="s">
        <v>303</v>
      </c>
      <c r="M2275" t="s">
        <v>323</v>
      </c>
      <c r="N2275" t="s">
        <v>63</v>
      </c>
      <c r="O2275" s="110">
        <v>29.9</v>
      </c>
      <c r="R2275" s="110">
        <v>259.89</v>
      </c>
      <c r="S2275" s="110">
        <v>69.900000000000006</v>
      </c>
      <c r="T2275" s="110">
        <v>0</v>
      </c>
      <c r="U2275" s="110">
        <v>42.99</v>
      </c>
      <c r="X2275">
        <v>97.1</v>
      </c>
      <c r="Y2275">
        <v>49.9</v>
      </c>
      <c r="Z2275">
        <v>49.9</v>
      </c>
      <c r="AA2275">
        <v>0</v>
      </c>
      <c r="AB2275" t="s">
        <v>363</v>
      </c>
      <c r="AF2275" t="s">
        <v>785</v>
      </c>
      <c r="AG2275" t="s">
        <v>785</v>
      </c>
      <c r="AH2275" t="s">
        <v>758</v>
      </c>
      <c r="AI2275">
        <v>99999</v>
      </c>
      <c r="AJ2275">
        <v>99999</v>
      </c>
      <c r="AK2275">
        <v>699</v>
      </c>
      <c r="AL2275" t="b">
        <v>1</v>
      </c>
      <c r="AM2275" t="b">
        <v>1</v>
      </c>
      <c r="AN2275" t="b">
        <v>0</v>
      </c>
      <c r="AO2275">
        <v>99999</v>
      </c>
      <c r="AP2275" t="s">
        <v>64</v>
      </c>
      <c r="AR2275" t="b">
        <v>0</v>
      </c>
      <c r="AS2275">
        <v>12</v>
      </c>
      <c r="AT2275" t="s">
        <v>327</v>
      </c>
      <c r="AV2275" t="s">
        <v>788</v>
      </c>
    </row>
    <row r="2276" spans="1:48" x14ac:dyDescent="0.25">
      <c r="A2276" t="s">
        <v>3323</v>
      </c>
      <c r="B2276" t="s">
        <v>302</v>
      </c>
      <c r="C2276" t="s">
        <v>62</v>
      </c>
      <c r="D2276">
        <v>99999</v>
      </c>
      <c r="F2276" s="109">
        <v>7000</v>
      </c>
      <c r="G2276" t="b">
        <v>0</v>
      </c>
      <c r="H2276" t="s">
        <v>331</v>
      </c>
      <c r="K2276" t="s">
        <v>364</v>
      </c>
      <c r="L2276" t="s">
        <v>303</v>
      </c>
      <c r="M2276" t="s">
        <v>323</v>
      </c>
      <c r="N2276" t="s">
        <v>63</v>
      </c>
      <c r="O2276" s="110">
        <v>29.9</v>
      </c>
      <c r="R2276" s="110">
        <v>274.89</v>
      </c>
      <c r="S2276" s="110">
        <v>69.900000000000006</v>
      </c>
      <c r="T2276" s="110">
        <v>0</v>
      </c>
      <c r="U2276" s="110">
        <v>42.99</v>
      </c>
      <c r="X2276">
        <v>112.1</v>
      </c>
      <c r="Y2276">
        <v>49.9</v>
      </c>
      <c r="Z2276">
        <v>49.9</v>
      </c>
      <c r="AA2276">
        <v>0</v>
      </c>
      <c r="AB2276" t="s">
        <v>363</v>
      </c>
      <c r="AF2276" t="s">
        <v>919</v>
      </c>
      <c r="AG2276" t="s">
        <v>919</v>
      </c>
      <c r="AH2276" t="s">
        <v>758</v>
      </c>
      <c r="AI2276">
        <v>99999</v>
      </c>
      <c r="AJ2276">
        <v>99999</v>
      </c>
      <c r="AK2276">
        <v>699</v>
      </c>
      <c r="AL2276" t="b">
        <v>1</v>
      </c>
      <c r="AM2276" t="b">
        <v>1</v>
      </c>
      <c r="AN2276" t="b">
        <v>0</v>
      </c>
      <c r="AO2276">
        <v>99999</v>
      </c>
      <c r="AP2276" t="s">
        <v>64</v>
      </c>
      <c r="AR2276" t="b">
        <v>0</v>
      </c>
      <c r="AS2276">
        <v>12</v>
      </c>
      <c r="AT2276" t="s">
        <v>327</v>
      </c>
      <c r="AV2276" t="s">
        <v>922</v>
      </c>
    </row>
    <row r="2277" spans="1:48" x14ac:dyDescent="0.25">
      <c r="A2277" t="s">
        <v>3323</v>
      </c>
      <c r="B2277" t="s">
        <v>302</v>
      </c>
      <c r="C2277" t="s">
        <v>62</v>
      </c>
      <c r="D2277">
        <v>99999</v>
      </c>
      <c r="F2277" s="109">
        <v>7000</v>
      </c>
      <c r="G2277" t="b">
        <v>0</v>
      </c>
      <c r="H2277" t="s">
        <v>331</v>
      </c>
      <c r="K2277" t="s">
        <v>364</v>
      </c>
      <c r="L2277" t="s">
        <v>303</v>
      </c>
      <c r="M2277" t="s">
        <v>323</v>
      </c>
      <c r="N2277" t="s">
        <v>63</v>
      </c>
      <c r="O2277" s="110">
        <v>29.9</v>
      </c>
      <c r="R2277" s="110">
        <v>289.89</v>
      </c>
      <c r="S2277" s="110">
        <v>70</v>
      </c>
      <c r="T2277" s="110">
        <v>0</v>
      </c>
      <c r="U2277" s="110">
        <v>42.99</v>
      </c>
      <c r="X2277">
        <v>127</v>
      </c>
      <c r="Y2277">
        <v>49.9</v>
      </c>
      <c r="Z2277">
        <v>49.9</v>
      </c>
      <c r="AA2277">
        <v>0</v>
      </c>
      <c r="AB2277" t="s">
        <v>363</v>
      </c>
      <c r="AF2277" t="s">
        <v>1067</v>
      </c>
      <c r="AG2277" t="s">
        <v>1067</v>
      </c>
      <c r="AH2277" t="s">
        <v>758</v>
      </c>
      <c r="AI2277">
        <v>99999</v>
      </c>
      <c r="AJ2277">
        <v>99999</v>
      </c>
      <c r="AK2277">
        <v>699</v>
      </c>
      <c r="AL2277" t="b">
        <v>1</v>
      </c>
      <c r="AM2277" t="b">
        <v>1</v>
      </c>
      <c r="AN2277" t="b">
        <v>0</v>
      </c>
      <c r="AO2277">
        <v>99999</v>
      </c>
      <c r="AP2277" t="s">
        <v>64</v>
      </c>
      <c r="AR2277" t="b">
        <v>0</v>
      </c>
      <c r="AS2277">
        <v>12</v>
      </c>
      <c r="AT2277" t="s">
        <v>327</v>
      </c>
      <c r="AV2277" t="s">
        <v>1070</v>
      </c>
    </row>
    <row r="2278" spans="1:48" x14ac:dyDescent="0.25">
      <c r="A2278" t="s">
        <v>3323</v>
      </c>
      <c r="B2278" t="s">
        <v>302</v>
      </c>
      <c r="C2278" t="s">
        <v>62</v>
      </c>
      <c r="D2278">
        <v>99999</v>
      </c>
      <c r="F2278" s="109">
        <v>7000</v>
      </c>
      <c r="G2278" t="b">
        <v>0</v>
      </c>
      <c r="H2278" t="s">
        <v>331</v>
      </c>
      <c r="K2278" t="s">
        <v>364</v>
      </c>
      <c r="L2278" t="s">
        <v>303</v>
      </c>
      <c r="M2278" t="s">
        <v>323</v>
      </c>
      <c r="N2278" t="s">
        <v>63</v>
      </c>
      <c r="O2278" s="110">
        <v>39.9</v>
      </c>
      <c r="R2278" s="110">
        <v>259.89</v>
      </c>
      <c r="S2278" s="110">
        <v>69.900000000000006</v>
      </c>
      <c r="T2278" s="110">
        <v>0</v>
      </c>
      <c r="U2278" s="110">
        <v>42.99</v>
      </c>
      <c r="X2278">
        <v>97.1</v>
      </c>
      <c r="Y2278">
        <v>49.9</v>
      </c>
      <c r="Z2278">
        <v>49.9</v>
      </c>
      <c r="AA2278">
        <v>0</v>
      </c>
      <c r="AB2278" t="s">
        <v>363</v>
      </c>
      <c r="AF2278" t="s">
        <v>852</v>
      </c>
      <c r="AG2278" t="s">
        <v>852</v>
      </c>
      <c r="AH2278" t="s">
        <v>758</v>
      </c>
      <c r="AI2278">
        <v>99999</v>
      </c>
      <c r="AJ2278">
        <v>99999</v>
      </c>
      <c r="AK2278">
        <v>699</v>
      </c>
      <c r="AL2278" t="b">
        <v>1</v>
      </c>
      <c r="AM2278" t="b">
        <v>1</v>
      </c>
      <c r="AN2278" t="b">
        <v>0</v>
      </c>
      <c r="AO2278">
        <v>99999</v>
      </c>
      <c r="AP2278" t="s">
        <v>64</v>
      </c>
      <c r="AR2278" t="b">
        <v>0</v>
      </c>
      <c r="AS2278">
        <v>12</v>
      </c>
      <c r="AT2278" t="s">
        <v>327</v>
      </c>
      <c r="AV2278" t="s">
        <v>855</v>
      </c>
    </row>
    <row r="2279" spans="1:48" x14ac:dyDescent="0.25">
      <c r="A2279" t="s">
        <v>3323</v>
      </c>
      <c r="B2279" t="s">
        <v>302</v>
      </c>
      <c r="C2279" t="s">
        <v>62</v>
      </c>
      <c r="D2279">
        <v>99999</v>
      </c>
      <c r="F2279" s="109">
        <v>7000</v>
      </c>
      <c r="G2279" t="b">
        <v>0</v>
      </c>
      <c r="H2279" t="s">
        <v>331</v>
      </c>
      <c r="K2279" t="s">
        <v>364</v>
      </c>
      <c r="L2279" t="s">
        <v>303</v>
      </c>
      <c r="M2279" t="s">
        <v>323</v>
      </c>
      <c r="N2279" t="s">
        <v>63</v>
      </c>
      <c r="O2279" s="110">
        <v>39.9</v>
      </c>
      <c r="R2279" s="110">
        <v>274.89</v>
      </c>
      <c r="S2279" s="110">
        <v>69.900000000000006</v>
      </c>
      <c r="T2279" s="110">
        <v>0</v>
      </c>
      <c r="U2279" s="110">
        <v>42.99</v>
      </c>
      <c r="X2279">
        <v>112.1</v>
      </c>
      <c r="Y2279">
        <v>49.9</v>
      </c>
      <c r="Z2279">
        <v>49.9</v>
      </c>
      <c r="AA2279">
        <v>0</v>
      </c>
      <c r="AB2279" t="s">
        <v>363</v>
      </c>
      <c r="AF2279" t="s">
        <v>986</v>
      </c>
      <c r="AG2279" t="s">
        <v>986</v>
      </c>
      <c r="AH2279" t="s">
        <v>758</v>
      </c>
      <c r="AI2279">
        <v>99999</v>
      </c>
      <c r="AJ2279">
        <v>99999</v>
      </c>
      <c r="AK2279">
        <v>699</v>
      </c>
      <c r="AL2279" t="b">
        <v>1</v>
      </c>
      <c r="AM2279" t="b">
        <v>1</v>
      </c>
      <c r="AN2279" t="b">
        <v>0</v>
      </c>
      <c r="AO2279">
        <v>99999</v>
      </c>
      <c r="AP2279" t="s">
        <v>64</v>
      </c>
      <c r="AR2279" t="b">
        <v>0</v>
      </c>
      <c r="AS2279">
        <v>12</v>
      </c>
      <c r="AT2279" t="s">
        <v>327</v>
      </c>
      <c r="AV2279" t="s">
        <v>989</v>
      </c>
    </row>
    <row r="2280" spans="1:48" x14ac:dyDescent="0.25">
      <c r="A2280" t="s">
        <v>3323</v>
      </c>
      <c r="B2280" t="s">
        <v>302</v>
      </c>
      <c r="C2280" t="s">
        <v>62</v>
      </c>
      <c r="D2280">
        <v>99999</v>
      </c>
      <c r="F2280" s="109">
        <v>7000</v>
      </c>
      <c r="G2280" t="b">
        <v>0</v>
      </c>
      <c r="H2280" t="s">
        <v>331</v>
      </c>
      <c r="K2280" t="s">
        <v>364</v>
      </c>
      <c r="L2280" t="s">
        <v>303</v>
      </c>
      <c r="M2280" t="s">
        <v>323</v>
      </c>
      <c r="N2280" t="s">
        <v>63</v>
      </c>
      <c r="O2280" s="110">
        <v>39.9</v>
      </c>
      <c r="R2280" s="110">
        <v>289.89</v>
      </c>
      <c r="S2280" s="110">
        <v>70</v>
      </c>
      <c r="T2280" s="110">
        <v>0</v>
      </c>
      <c r="U2280" s="110">
        <v>42.99</v>
      </c>
      <c r="X2280">
        <v>127</v>
      </c>
      <c r="Y2280">
        <v>49.9</v>
      </c>
      <c r="Z2280">
        <v>49.9</v>
      </c>
      <c r="AA2280">
        <v>0</v>
      </c>
      <c r="AB2280" t="s">
        <v>363</v>
      </c>
      <c r="AF2280" t="s">
        <v>1134</v>
      </c>
      <c r="AG2280" t="s">
        <v>1134</v>
      </c>
      <c r="AH2280" t="s">
        <v>758</v>
      </c>
      <c r="AI2280">
        <v>99999</v>
      </c>
      <c r="AJ2280">
        <v>99999</v>
      </c>
      <c r="AK2280">
        <v>699</v>
      </c>
      <c r="AL2280" t="b">
        <v>1</v>
      </c>
      <c r="AM2280" t="b">
        <v>1</v>
      </c>
      <c r="AN2280" t="b">
        <v>0</v>
      </c>
      <c r="AO2280">
        <v>99999</v>
      </c>
      <c r="AP2280" t="s">
        <v>64</v>
      </c>
      <c r="AR2280" t="b">
        <v>0</v>
      </c>
      <c r="AS2280">
        <v>12</v>
      </c>
      <c r="AT2280" t="s">
        <v>327</v>
      </c>
      <c r="AV2280" t="s">
        <v>1137</v>
      </c>
    </row>
    <row r="2281" spans="1:48" x14ac:dyDescent="0.25">
      <c r="A2281" t="s">
        <v>3323</v>
      </c>
      <c r="B2281" t="s">
        <v>302</v>
      </c>
      <c r="C2281" t="s">
        <v>62</v>
      </c>
      <c r="D2281">
        <v>99999</v>
      </c>
      <c r="F2281" s="109">
        <v>7000</v>
      </c>
      <c r="G2281" t="b">
        <v>0</v>
      </c>
      <c r="H2281" t="s">
        <v>331</v>
      </c>
      <c r="K2281" t="s">
        <v>364</v>
      </c>
      <c r="L2281" t="s">
        <v>303</v>
      </c>
      <c r="M2281" t="s">
        <v>323</v>
      </c>
      <c r="N2281" t="s">
        <v>63</v>
      </c>
      <c r="O2281" s="110">
        <v>49.9</v>
      </c>
      <c r="R2281" s="110">
        <v>305.68999999999994</v>
      </c>
      <c r="S2281" s="110">
        <v>130</v>
      </c>
      <c r="T2281" s="110">
        <v>0</v>
      </c>
      <c r="U2281" s="110">
        <v>34.99</v>
      </c>
      <c r="X2281">
        <v>90.799999999999983</v>
      </c>
      <c r="Y2281">
        <v>49.9</v>
      </c>
      <c r="Z2281">
        <v>49.9</v>
      </c>
      <c r="AA2281">
        <v>0</v>
      </c>
      <c r="AB2281" t="s">
        <v>363</v>
      </c>
      <c r="AF2281" t="s">
        <v>2494</v>
      </c>
      <c r="AG2281" t="s">
        <v>2494</v>
      </c>
      <c r="AH2281" t="s">
        <v>758</v>
      </c>
      <c r="AI2281">
        <v>99999</v>
      </c>
      <c r="AJ2281">
        <v>99999</v>
      </c>
      <c r="AK2281">
        <v>699</v>
      </c>
      <c r="AL2281" t="b">
        <v>1</v>
      </c>
      <c r="AM2281" t="b">
        <v>1</v>
      </c>
      <c r="AN2281" t="b">
        <v>0</v>
      </c>
      <c r="AO2281">
        <v>99999</v>
      </c>
      <c r="AP2281" t="s">
        <v>64</v>
      </c>
      <c r="AR2281" t="b">
        <v>0</v>
      </c>
      <c r="AS2281">
        <v>12</v>
      </c>
      <c r="AT2281" t="s">
        <v>327</v>
      </c>
      <c r="AV2281" t="s">
        <v>2497</v>
      </c>
    </row>
    <row r="2282" spans="1:48" x14ac:dyDescent="0.25">
      <c r="A2282" t="s">
        <v>3323</v>
      </c>
      <c r="B2282" t="s">
        <v>302</v>
      </c>
      <c r="C2282" t="s">
        <v>62</v>
      </c>
      <c r="D2282">
        <v>99999</v>
      </c>
      <c r="F2282" s="109">
        <v>7000</v>
      </c>
      <c r="G2282" t="b">
        <v>0</v>
      </c>
      <c r="H2282" t="s">
        <v>331</v>
      </c>
      <c r="K2282" t="s">
        <v>364</v>
      </c>
      <c r="L2282" t="s">
        <v>303</v>
      </c>
      <c r="M2282" t="s">
        <v>323</v>
      </c>
      <c r="N2282" t="s">
        <v>63</v>
      </c>
      <c r="O2282" s="110">
        <v>49.9</v>
      </c>
      <c r="R2282" s="110">
        <v>319.99</v>
      </c>
      <c r="S2282" s="110">
        <v>130</v>
      </c>
      <c r="T2282" s="110">
        <v>0</v>
      </c>
      <c r="U2282" s="110">
        <v>42.99</v>
      </c>
      <c r="X2282">
        <v>97.1</v>
      </c>
      <c r="Y2282">
        <v>49.9</v>
      </c>
      <c r="Z2282">
        <v>49.9</v>
      </c>
      <c r="AA2282">
        <v>0</v>
      </c>
      <c r="AB2282" t="s">
        <v>363</v>
      </c>
      <c r="AF2282" t="s">
        <v>2568</v>
      </c>
      <c r="AG2282" t="s">
        <v>2568</v>
      </c>
      <c r="AH2282" t="s">
        <v>758</v>
      </c>
      <c r="AI2282">
        <v>99999</v>
      </c>
      <c r="AJ2282">
        <v>99999</v>
      </c>
      <c r="AK2282">
        <v>699</v>
      </c>
      <c r="AL2282" t="b">
        <v>1</v>
      </c>
      <c r="AM2282" t="b">
        <v>1</v>
      </c>
      <c r="AN2282" t="b">
        <v>0</v>
      </c>
      <c r="AO2282">
        <v>99999</v>
      </c>
      <c r="AP2282" t="s">
        <v>64</v>
      </c>
      <c r="AR2282" t="b">
        <v>0</v>
      </c>
      <c r="AS2282">
        <v>12</v>
      </c>
      <c r="AT2282" t="s">
        <v>327</v>
      </c>
      <c r="AV2282" t="s">
        <v>2571</v>
      </c>
    </row>
    <row r="2283" spans="1:48" x14ac:dyDescent="0.25">
      <c r="A2283" t="s">
        <v>3323</v>
      </c>
      <c r="B2283" t="s">
        <v>302</v>
      </c>
      <c r="C2283" t="s">
        <v>62</v>
      </c>
      <c r="D2283">
        <v>99999</v>
      </c>
      <c r="F2283" s="109">
        <v>7000</v>
      </c>
      <c r="G2283" t="b">
        <v>0</v>
      </c>
      <c r="H2283" t="s">
        <v>331</v>
      </c>
      <c r="K2283" t="s">
        <v>364</v>
      </c>
      <c r="L2283" t="s">
        <v>303</v>
      </c>
      <c r="M2283" t="s">
        <v>323</v>
      </c>
      <c r="N2283" t="s">
        <v>63</v>
      </c>
      <c r="O2283" s="110">
        <v>49.9</v>
      </c>
      <c r="R2283" s="110">
        <v>334.99</v>
      </c>
      <c r="S2283" s="110">
        <v>130</v>
      </c>
      <c r="T2283" s="110">
        <v>0</v>
      </c>
      <c r="U2283" s="110">
        <v>42.99</v>
      </c>
      <c r="X2283">
        <v>112.1</v>
      </c>
      <c r="Y2283">
        <v>49.9</v>
      </c>
      <c r="Z2283">
        <v>49.9</v>
      </c>
      <c r="AA2283">
        <v>0</v>
      </c>
      <c r="AB2283" t="s">
        <v>363</v>
      </c>
      <c r="AF2283" t="s">
        <v>2633</v>
      </c>
      <c r="AG2283" t="s">
        <v>2633</v>
      </c>
      <c r="AH2283" t="s">
        <v>758</v>
      </c>
      <c r="AI2283">
        <v>99999</v>
      </c>
      <c r="AJ2283">
        <v>99999</v>
      </c>
      <c r="AK2283">
        <v>699</v>
      </c>
      <c r="AL2283" t="b">
        <v>1</v>
      </c>
      <c r="AM2283" t="b">
        <v>1</v>
      </c>
      <c r="AN2283" t="b">
        <v>0</v>
      </c>
      <c r="AO2283">
        <v>99999</v>
      </c>
      <c r="AP2283" t="s">
        <v>64</v>
      </c>
      <c r="AR2283" t="b">
        <v>0</v>
      </c>
      <c r="AS2283">
        <v>12</v>
      </c>
      <c r="AT2283" t="s">
        <v>327</v>
      </c>
      <c r="AV2283" t="s">
        <v>2636</v>
      </c>
    </row>
    <row r="2284" spans="1:48" x14ac:dyDescent="0.25">
      <c r="A2284" t="s">
        <v>3323</v>
      </c>
      <c r="B2284" t="s">
        <v>302</v>
      </c>
      <c r="C2284" t="s">
        <v>62</v>
      </c>
      <c r="D2284">
        <v>99999</v>
      </c>
      <c r="F2284" s="109">
        <v>7000</v>
      </c>
      <c r="G2284" t="b">
        <v>0</v>
      </c>
      <c r="H2284" t="s">
        <v>331</v>
      </c>
      <c r="K2284" t="s">
        <v>364</v>
      </c>
      <c r="L2284" t="s">
        <v>303</v>
      </c>
      <c r="M2284" t="s">
        <v>323</v>
      </c>
      <c r="N2284" t="s">
        <v>63</v>
      </c>
      <c r="O2284" s="110">
        <v>49.9</v>
      </c>
      <c r="R2284" s="110">
        <v>349.89</v>
      </c>
      <c r="S2284" s="110">
        <v>130</v>
      </c>
      <c r="T2284" s="110">
        <v>0</v>
      </c>
      <c r="U2284" s="110">
        <v>42.99</v>
      </c>
      <c r="X2284">
        <v>127</v>
      </c>
      <c r="Y2284">
        <v>49.9</v>
      </c>
      <c r="Z2284">
        <v>49.9</v>
      </c>
      <c r="AA2284">
        <v>0</v>
      </c>
      <c r="AB2284" t="s">
        <v>363</v>
      </c>
      <c r="AF2284" t="s">
        <v>2704</v>
      </c>
      <c r="AG2284" t="s">
        <v>2704</v>
      </c>
      <c r="AH2284" t="s">
        <v>758</v>
      </c>
      <c r="AI2284">
        <v>99999</v>
      </c>
      <c r="AJ2284">
        <v>99999</v>
      </c>
      <c r="AK2284">
        <v>699</v>
      </c>
      <c r="AL2284" t="b">
        <v>1</v>
      </c>
      <c r="AM2284" t="b">
        <v>1</v>
      </c>
      <c r="AN2284" t="b">
        <v>0</v>
      </c>
      <c r="AO2284">
        <v>99999</v>
      </c>
      <c r="AP2284" t="s">
        <v>64</v>
      </c>
      <c r="AR2284" t="b">
        <v>0</v>
      </c>
      <c r="AS2284">
        <v>12</v>
      </c>
      <c r="AT2284" t="s">
        <v>327</v>
      </c>
      <c r="AV2284" t="s">
        <v>2707</v>
      </c>
    </row>
    <row r="2285" spans="1:48" x14ac:dyDescent="0.25">
      <c r="A2285" t="s">
        <v>3323</v>
      </c>
      <c r="B2285" t="s">
        <v>302</v>
      </c>
      <c r="C2285" t="s">
        <v>62</v>
      </c>
      <c r="D2285">
        <v>99999</v>
      </c>
      <c r="F2285" s="109">
        <v>7000</v>
      </c>
      <c r="G2285" t="b">
        <v>0</v>
      </c>
      <c r="H2285" t="s">
        <v>331</v>
      </c>
      <c r="K2285" t="s">
        <v>379</v>
      </c>
      <c r="L2285" t="s">
        <v>303</v>
      </c>
      <c r="M2285" t="s">
        <v>323</v>
      </c>
      <c r="N2285" t="s">
        <v>63</v>
      </c>
      <c r="O2285" s="110">
        <v>29.9</v>
      </c>
      <c r="R2285" s="110">
        <v>269.89</v>
      </c>
      <c r="S2285" s="110">
        <v>69.900000000000006</v>
      </c>
      <c r="T2285" s="110">
        <v>0</v>
      </c>
      <c r="U2285" s="110">
        <v>42.99</v>
      </c>
      <c r="X2285">
        <v>97.1</v>
      </c>
      <c r="Y2285">
        <v>59.9</v>
      </c>
      <c r="Z2285">
        <v>59.9</v>
      </c>
      <c r="AA2285">
        <v>0</v>
      </c>
      <c r="AB2285" t="s">
        <v>363</v>
      </c>
      <c r="AF2285" t="s">
        <v>785</v>
      </c>
      <c r="AG2285" t="s">
        <v>785</v>
      </c>
      <c r="AH2285" t="s">
        <v>758</v>
      </c>
      <c r="AI2285">
        <v>99999</v>
      </c>
      <c r="AJ2285">
        <v>99999</v>
      </c>
      <c r="AK2285">
        <v>699</v>
      </c>
      <c r="AL2285" t="b">
        <v>1</v>
      </c>
      <c r="AM2285" t="b">
        <v>1</v>
      </c>
      <c r="AN2285" t="b">
        <v>0</v>
      </c>
      <c r="AO2285">
        <v>99999</v>
      </c>
      <c r="AP2285" t="s">
        <v>64</v>
      </c>
      <c r="AR2285" t="b">
        <v>0</v>
      </c>
      <c r="AS2285">
        <v>12</v>
      </c>
      <c r="AT2285" t="s">
        <v>327</v>
      </c>
      <c r="AV2285" t="s">
        <v>801</v>
      </c>
    </row>
    <row r="2286" spans="1:48" x14ac:dyDescent="0.25">
      <c r="A2286" t="s">
        <v>3323</v>
      </c>
      <c r="B2286" t="s">
        <v>302</v>
      </c>
      <c r="C2286" t="s">
        <v>62</v>
      </c>
      <c r="D2286">
        <v>99999</v>
      </c>
      <c r="F2286" s="109">
        <v>7000</v>
      </c>
      <c r="G2286" t="b">
        <v>0</v>
      </c>
      <c r="H2286" t="s">
        <v>331</v>
      </c>
      <c r="K2286" t="s">
        <v>379</v>
      </c>
      <c r="L2286" t="s">
        <v>303</v>
      </c>
      <c r="M2286" t="s">
        <v>323</v>
      </c>
      <c r="N2286" t="s">
        <v>63</v>
      </c>
      <c r="O2286" s="110">
        <v>29.9</v>
      </c>
      <c r="R2286" s="110">
        <v>284.89</v>
      </c>
      <c r="S2286" s="110">
        <v>69.900000000000006</v>
      </c>
      <c r="T2286" s="110">
        <v>0</v>
      </c>
      <c r="U2286" s="110">
        <v>42.99</v>
      </c>
      <c r="X2286">
        <v>112.1</v>
      </c>
      <c r="Y2286">
        <v>59.9</v>
      </c>
      <c r="Z2286">
        <v>59.9</v>
      </c>
      <c r="AA2286">
        <v>0</v>
      </c>
      <c r="AB2286" t="s">
        <v>363</v>
      </c>
      <c r="AF2286" t="s">
        <v>919</v>
      </c>
      <c r="AG2286" t="s">
        <v>919</v>
      </c>
      <c r="AH2286" t="s">
        <v>758</v>
      </c>
      <c r="AI2286">
        <v>99999</v>
      </c>
      <c r="AJ2286">
        <v>99999</v>
      </c>
      <c r="AK2286">
        <v>699</v>
      </c>
      <c r="AL2286" t="b">
        <v>1</v>
      </c>
      <c r="AM2286" t="b">
        <v>1</v>
      </c>
      <c r="AN2286" t="b">
        <v>0</v>
      </c>
      <c r="AO2286">
        <v>99999</v>
      </c>
      <c r="AP2286" t="s">
        <v>64</v>
      </c>
      <c r="AR2286" t="b">
        <v>0</v>
      </c>
      <c r="AS2286">
        <v>12</v>
      </c>
      <c r="AT2286" t="s">
        <v>327</v>
      </c>
      <c r="AV2286" t="s">
        <v>935</v>
      </c>
    </row>
    <row r="2287" spans="1:48" x14ac:dyDescent="0.25">
      <c r="A2287" t="s">
        <v>3323</v>
      </c>
      <c r="B2287" t="s">
        <v>302</v>
      </c>
      <c r="C2287" t="s">
        <v>62</v>
      </c>
      <c r="D2287">
        <v>99999</v>
      </c>
      <c r="F2287" s="109">
        <v>7000</v>
      </c>
      <c r="G2287" t="b">
        <v>0</v>
      </c>
      <c r="H2287" t="s">
        <v>331</v>
      </c>
      <c r="K2287" t="s">
        <v>379</v>
      </c>
      <c r="L2287" t="s">
        <v>303</v>
      </c>
      <c r="M2287" t="s">
        <v>323</v>
      </c>
      <c r="N2287" t="s">
        <v>63</v>
      </c>
      <c r="O2287" s="110">
        <v>29.9</v>
      </c>
      <c r="R2287" s="110">
        <v>299.89</v>
      </c>
      <c r="S2287" s="110">
        <v>70</v>
      </c>
      <c r="T2287" s="110">
        <v>0</v>
      </c>
      <c r="U2287" s="110">
        <v>42.99</v>
      </c>
      <c r="X2287">
        <v>127</v>
      </c>
      <c r="Y2287">
        <v>59.9</v>
      </c>
      <c r="Z2287">
        <v>59.9</v>
      </c>
      <c r="AA2287">
        <v>0</v>
      </c>
      <c r="AB2287" t="s">
        <v>363</v>
      </c>
      <c r="AF2287" t="s">
        <v>1067</v>
      </c>
      <c r="AG2287" t="s">
        <v>1067</v>
      </c>
      <c r="AH2287" t="s">
        <v>758</v>
      </c>
      <c r="AI2287">
        <v>99999</v>
      </c>
      <c r="AJ2287">
        <v>99999</v>
      </c>
      <c r="AK2287">
        <v>699</v>
      </c>
      <c r="AL2287" t="b">
        <v>1</v>
      </c>
      <c r="AM2287" t="b">
        <v>1</v>
      </c>
      <c r="AN2287" t="b">
        <v>0</v>
      </c>
      <c r="AO2287">
        <v>99999</v>
      </c>
      <c r="AP2287" t="s">
        <v>64</v>
      </c>
      <c r="AR2287" t="b">
        <v>0</v>
      </c>
      <c r="AS2287">
        <v>12</v>
      </c>
      <c r="AT2287" t="s">
        <v>327</v>
      </c>
      <c r="AV2287" t="s">
        <v>1083</v>
      </c>
    </row>
    <row r="2288" spans="1:48" x14ac:dyDescent="0.25">
      <c r="A2288" t="s">
        <v>3323</v>
      </c>
      <c r="B2288" t="s">
        <v>302</v>
      </c>
      <c r="C2288" t="s">
        <v>62</v>
      </c>
      <c r="D2288">
        <v>99999</v>
      </c>
      <c r="F2288" s="109">
        <v>7000</v>
      </c>
      <c r="G2288" t="b">
        <v>0</v>
      </c>
      <c r="H2288" t="s">
        <v>331</v>
      </c>
      <c r="K2288" t="s">
        <v>379</v>
      </c>
      <c r="L2288" t="s">
        <v>303</v>
      </c>
      <c r="M2288" t="s">
        <v>323</v>
      </c>
      <c r="N2288" t="s">
        <v>63</v>
      </c>
      <c r="O2288" s="110">
        <v>39.9</v>
      </c>
      <c r="R2288" s="110">
        <v>269.89</v>
      </c>
      <c r="S2288" s="110">
        <v>69.900000000000006</v>
      </c>
      <c r="T2288" s="110">
        <v>0</v>
      </c>
      <c r="U2288" s="110">
        <v>42.99</v>
      </c>
      <c r="X2288">
        <v>97.1</v>
      </c>
      <c r="Y2288">
        <v>59.9</v>
      </c>
      <c r="Z2288">
        <v>59.9</v>
      </c>
      <c r="AA2288">
        <v>0</v>
      </c>
      <c r="AB2288" t="s">
        <v>363</v>
      </c>
      <c r="AF2288" t="s">
        <v>852</v>
      </c>
      <c r="AG2288" t="s">
        <v>852</v>
      </c>
      <c r="AH2288" t="s">
        <v>758</v>
      </c>
      <c r="AI2288">
        <v>99999</v>
      </c>
      <c r="AJ2288">
        <v>99999</v>
      </c>
      <c r="AK2288">
        <v>699</v>
      </c>
      <c r="AL2288" t="b">
        <v>1</v>
      </c>
      <c r="AM2288" t="b">
        <v>1</v>
      </c>
      <c r="AN2288" t="b">
        <v>0</v>
      </c>
      <c r="AO2288">
        <v>99999</v>
      </c>
      <c r="AP2288" t="s">
        <v>64</v>
      </c>
      <c r="AR2288" t="b">
        <v>0</v>
      </c>
      <c r="AS2288">
        <v>12</v>
      </c>
      <c r="AT2288" t="s">
        <v>327</v>
      </c>
      <c r="AV2288" t="s">
        <v>868</v>
      </c>
    </row>
    <row r="2289" spans="1:48" x14ac:dyDescent="0.25">
      <c r="A2289" t="s">
        <v>3323</v>
      </c>
      <c r="B2289" t="s">
        <v>302</v>
      </c>
      <c r="C2289" t="s">
        <v>62</v>
      </c>
      <c r="D2289">
        <v>99999</v>
      </c>
      <c r="F2289" s="109">
        <v>7000</v>
      </c>
      <c r="G2289" t="b">
        <v>0</v>
      </c>
      <c r="H2289" t="s">
        <v>331</v>
      </c>
      <c r="K2289" t="s">
        <v>379</v>
      </c>
      <c r="L2289" t="s">
        <v>303</v>
      </c>
      <c r="M2289" t="s">
        <v>323</v>
      </c>
      <c r="N2289" t="s">
        <v>63</v>
      </c>
      <c r="O2289" s="110">
        <v>39.9</v>
      </c>
      <c r="R2289" s="110">
        <v>284.89</v>
      </c>
      <c r="S2289" s="110">
        <v>69.900000000000006</v>
      </c>
      <c r="T2289" s="110">
        <v>0</v>
      </c>
      <c r="U2289" s="110">
        <v>42.99</v>
      </c>
      <c r="X2289">
        <v>112.1</v>
      </c>
      <c r="Y2289">
        <v>59.9</v>
      </c>
      <c r="Z2289">
        <v>59.9</v>
      </c>
      <c r="AA2289">
        <v>0</v>
      </c>
      <c r="AB2289" t="s">
        <v>363</v>
      </c>
      <c r="AF2289" t="s">
        <v>986</v>
      </c>
      <c r="AG2289" t="s">
        <v>986</v>
      </c>
      <c r="AH2289" t="s">
        <v>758</v>
      </c>
      <c r="AI2289">
        <v>99999</v>
      </c>
      <c r="AJ2289">
        <v>99999</v>
      </c>
      <c r="AK2289">
        <v>699</v>
      </c>
      <c r="AL2289" t="b">
        <v>1</v>
      </c>
      <c r="AM2289" t="b">
        <v>1</v>
      </c>
      <c r="AN2289" t="b">
        <v>0</v>
      </c>
      <c r="AO2289">
        <v>99999</v>
      </c>
      <c r="AP2289" t="s">
        <v>64</v>
      </c>
      <c r="AR2289" t="b">
        <v>0</v>
      </c>
      <c r="AS2289">
        <v>12</v>
      </c>
      <c r="AT2289" t="s">
        <v>327</v>
      </c>
      <c r="AV2289" t="s">
        <v>1002</v>
      </c>
    </row>
    <row r="2290" spans="1:48" x14ac:dyDescent="0.25">
      <c r="A2290" t="s">
        <v>3323</v>
      </c>
      <c r="B2290" t="s">
        <v>302</v>
      </c>
      <c r="C2290" t="s">
        <v>62</v>
      </c>
      <c r="D2290">
        <v>99999</v>
      </c>
      <c r="F2290" s="109">
        <v>7000</v>
      </c>
      <c r="G2290" t="b">
        <v>0</v>
      </c>
      <c r="H2290" t="s">
        <v>331</v>
      </c>
      <c r="K2290" t="s">
        <v>379</v>
      </c>
      <c r="L2290" t="s">
        <v>303</v>
      </c>
      <c r="M2290" t="s">
        <v>323</v>
      </c>
      <c r="N2290" t="s">
        <v>63</v>
      </c>
      <c r="O2290" s="110">
        <v>39.9</v>
      </c>
      <c r="R2290" s="110">
        <v>299.89</v>
      </c>
      <c r="S2290" s="110">
        <v>70</v>
      </c>
      <c r="T2290" s="110">
        <v>0</v>
      </c>
      <c r="U2290" s="110">
        <v>42.99</v>
      </c>
      <c r="X2290">
        <v>127</v>
      </c>
      <c r="Y2290">
        <v>59.9</v>
      </c>
      <c r="Z2290">
        <v>59.9</v>
      </c>
      <c r="AA2290">
        <v>0</v>
      </c>
      <c r="AB2290" t="s">
        <v>363</v>
      </c>
      <c r="AF2290" t="s">
        <v>1134</v>
      </c>
      <c r="AG2290" t="s">
        <v>1134</v>
      </c>
      <c r="AH2290" t="s">
        <v>758</v>
      </c>
      <c r="AI2290">
        <v>99999</v>
      </c>
      <c r="AJ2290">
        <v>99999</v>
      </c>
      <c r="AK2290">
        <v>699</v>
      </c>
      <c r="AL2290" t="b">
        <v>1</v>
      </c>
      <c r="AM2290" t="b">
        <v>1</v>
      </c>
      <c r="AN2290" t="b">
        <v>0</v>
      </c>
      <c r="AO2290">
        <v>99999</v>
      </c>
      <c r="AP2290" t="s">
        <v>64</v>
      </c>
      <c r="AR2290" t="b">
        <v>0</v>
      </c>
      <c r="AS2290">
        <v>12</v>
      </c>
      <c r="AT2290" t="s">
        <v>327</v>
      </c>
      <c r="AV2290" t="s">
        <v>1150</v>
      </c>
    </row>
    <row r="2291" spans="1:48" x14ac:dyDescent="0.25">
      <c r="A2291" t="s">
        <v>3323</v>
      </c>
      <c r="B2291" t="s">
        <v>302</v>
      </c>
      <c r="C2291" t="s">
        <v>62</v>
      </c>
      <c r="D2291">
        <v>99999</v>
      </c>
      <c r="F2291" s="109">
        <v>7000</v>
      </c>
      <c r="G2291" t="b">
        <v>0</v>
      </c>
      <c r="H2291" t="s">
        <v>331</v>
      </c>
      <c r="K2291" t="s">
        <v>379</v>
      </c>
      <c r="L2291" t="s">
        <v>303</v>
      </c>
      <c r="M2291" t="s">
        <v>323</v>
      </c>
      <c r="N2291" t="s">
        <v>63</v>
      </c>
      <c r="O2291" s="110">
        <v>49.9</v>
      </c>
      <c r="R2291" s="110">
        <v>315.68999999999994</v>
      </c>
      <c r="S2291" s="110">
        <v>130</v>
      </c>
      <c r="T2291" s="110">
        <v>0</v>
      </c>
      <c r="U2291" s="110">
        <v>34.99</v>
      </c>
      <c r="X2291">
        <v>90.799999999999983</v>
      </c>
      <c r="Y2291">
        <v>59.9</v>
      </c>
      <c r="Z2291">
        <v>59.9</v>
      </c>
      <c r="AA2291">
        <v>0</v>
      </c>
      <c r="AB2291" t="s">
        <v>363</v>
      </c>
      <c r="AF2291" t="s">
        <v>2494</v>
      </c>
      <c r="AG2291" t="s">
        <v>2494</v>
      </c>
      <c r="AH2291" t="s">
        <v>758</v>
      </c>
      <c r="AI2291">
        <v>99999</v>
      </c>
      <c r="AJ2291">
        <v>99999</v>
      </c>
      <c r="AK2291">
        <v>699</v>
      </c>
      <c r="AL2291" t="b">
        <v>1</v>
      </c>
      <c r="AM2291" t="b">
        <v>1</v>
      </c>
      <c r="AN2291" t="b">
        <v>0</v>
      </c>
      <c r="AO2291">
        <v>99999</v>
      </c>
      <c r="AP2291" t="s">
        <v>64</v>
      </c>
      <c r="AR2291" t="b">
        <v>0</v>
      </c>
      <c r="AS2291">
        <v>12</v>
      </c>
      <c r="AT2291" t="s">
        <v>327</v>
      </c>
      <c r="AV2291" t="s">
        <v>2510</v>
      </c>
    </row>
    <row r="2292" spans="1:48" x14ac:dyDescent="0.25">
      <c r="A2292" t="s">
        <v>3323</v>
      </c>
      <c r="B2292" t="s">
        <v>302</v>
      </c>
      <c r="C2292" t="s">
        <v>62</v>
      </c>
      <c r="D2292">
        <v>99999</v>
      </c>
      <c r="F2292" s="109">
        <v>7000</v>
      </c>
      <c r="G2292" t="b">
        <v>0</v>
      </c>
      <c r="H2292" t="s">
        <v>331</v>
      </c>
      <c r="K2292" t="s">
        <v>379</v>
      </c>
      <c r="L2292" t="s">
        <v>303</v>
      </c>
      <c r="M2292" t="s">
        <v>323</v>
      </c>
      <c r="N2292" t="s">
        <v>63</v>
      </c>
      <c r="O2292" s="110">
        <v>49.9</v>
      </c>
      <c r="R2292" s="110">
        <v>329.99</v>
      </c>
      <c r="S2292" s="110">
        <v>130</v>
      </c>
      <c r="T2292" s="110">
        <v>0</v>
      </c>
      <c r="U2292" s="110">
        <v>42.99</v>
      </c>
      <c r="X2292">
        <v>97.1</v>
      </c>
      <c r="Y2292">
        <v>59.9</v>
      </c>
      <c r="Z2292">
        <v>59.9</v>
      </c>
      <c r="AA2292">
        <v>0</v>
      </c>
      <c r="AB2292" t="s">
        <v>363</v>
      </c>
      <c r="AF2292" t="s">
        <v>2568</v>
      </c>
      <c r="AG2292" t="s">
        <v>2568</v>
      </c>
      <c r="AH2292" t="s">
        <v>758</v>
      </c>
      <c r="AI2292">
        <v>99999</v>
      </c>
      <c r="AJ2292">
        <v>99999</v>
      </c>
      <c r="AK2292">
        <v>699</v>
      </c>
      <c r="AL2292" t="b">
        <v>1</v>
      </c>
      <c r="AM2292" t="b">
        <v>1</v>
      </c>
      <c r="AN2292" t="b">
        <v>0</v>
      </c>
      <c r="AO2292">
        <v>99999</v>
      </c>
      <c r="AP2292" t="s">
        <v>64</v>
      </c>
      <c r="AR2292" t="b">
        <v>0</v>
      </c>
      <c r="AS2292">
        <v>12</v>
      </c>
      <c r="AT2292" t="s">
        <v>327</v>
      </c>
      <c r="AV2292" t="s">
        <v>2584</v>
      </c>
    </row>
    <row r="2293" spans="1:48" x14ac:dyDescent="0.25">
      <c r="A2293" t="s">
        <v>3323</v>
      </c>
      <c r="B2293" t="s">
        <v>302</v>
      </c>
      <c r="C2293" t="s">
        <v>62</v>
      </c>
      <c r="D2293">
        <v>99999</v>
      </c>
      <c r="F2293" s="109">
        <v>7000</v>
      </c>
      <c r="G2293" t="b">
        <v>0</v>
      </c>
      <c r="H2293" t="s">
        <v>331</v>
      </c>
      <c r="K2293" t="s">
        <v>379</v>
      </c>
      <c r="L2293" t="s">
        <v>303</v>
      </c>
      <c r="M2293" t="s">
        <v>323</v>
      </c>
      <c r="N2293" t="s">
        <v>63</v>
      </c>
      <c r="O2293" s="110">
        <v>49.9</v>
      </c>
      <c r="R2293" s="110">
        <v>344.99</v>
      </c>
      <c r="S2293" s="110">
        <v>130</v>
      </c>
      <c r="T2293" s="110">
        <v>0</v>
      </c>
      <c r="U2293" s="110">
        <v>42.99</v>
      </c>
      <c r="X2293">
        <v>112.1</v>
      </c>
      <c r="Y2293">
        <v>59.9</v>
      </c>
      <c r="Z2293">
        <v>59.9</v>
      </c>
      <c r="AA2293">
        <v>0</v>
      </c>
      <c r="AB2293" t="s">
        <v>363</v>
      </c>
      <c r="AF2293" t="s">
        <v>2633</v>
      </c>
      <c r="AG2293" t="s">
        <v>2633</v>
      </c>
      <c r="AH2293" t="s">
        <v>758</v>
      </c>
      <c r="AI2293">
        <v>99999</v>
      </c>
      <c r="AJ2293">
        <v>99999</v>
      </c>
      <c r="AK2293">
        <v>699</v>
      </c>
      <c r="AL2293" t="b">
        <v>1</v>
      </c>
      <c r="AM2293" t="b">
        <v>1</v>
      </c>
      <c r="AN2293" t="b">
        <v>0</v>
      </c>
      <c r="AO2293">
        <v>99999</v>
      </c>
      <c r="AP2293" t="s">
        <v>64</v>
      </c>
      <c r="AR2293" t="b">
        <v>0</v>
      </c>
      <c r="AS2293">
        <v>12</v>
      </c>
      <c r="AT2293" t="s">
        <v>327</v>
      </c>
      <c r="AV2293" t="s">
        <v>2648</v>
      </c>
    </row>
    <row r="2294" spans="1:48" x14ac:dyDescent="0.25">
      <c r="A2294" t="s">
        <v>3323</v>
      </c>
      <c r="B2294" t="s">
        <v>302</v>
      </c>
      <c r="C2294" t="s">
        <v>62</v>
      </c>
      <c r="D2294">
        <v>99999</v>
      </c>
      <c r="F2294" s="109">
        <v>7000</v>
      </c>
      <c r="G2294" t="b">
        <v>0</v>
      </c>
      <c r="H2294" t="s">
        <v>331</v>
      </c>
      <c r="K2294" t="s">
        <v>379</v>
      </c>
      <c r="L2294" t="s">
        <v>303</v>
      </c>
      <c r="M2294" t="s">
        <v>323</v>
      </c>
      <c r="N2294" t="s">
        <v>63</v>
      </c>
      <c r="O2294" s="110">
        <v>49.9</v>
      </c>
      <c r="R2294" s="110">
        <v>359.89</v>
      </c>
      <c r="S2294" s="110">
        <v>130</v>
      </c>
      <c r="T2294" s="110">
        <v>0</v>
      </c>
      <c r="U2294" s="110">
        <v>42.99</v>
      </c>
      <c r="X2294">
        <v>127</v>
      </c>
      <c r="Y2294">
        <v>59.9</v>
      </c>
      <c r="Z2294">
        <v>59.9</v>
      </c>
      <c r="AA2294">
        <v>0</v>
      </c>
      <c r="AB2294" t="s">
        <v>363</v>
      </c>
      <c r="AF2294" t="s">
        <v>2704</v>
      </c>
      <c r="AG2294" t="s">
        <v>2704</v>
      </c>
      <c r="AH2294" t="s">
        <v>758</v>
      </c>
      <c r="AI2294">
        <v>99999</v>
      </c>
      <c r="AJ2294">
        <v>99999</v>
      </c>
      <c r="AK2294">
        <v>699</v>
      </c>
      <c r="AL2294" t="b">
        <v>1</v>
      </c>
      <c r="AM2294" t="b">
        <v>1</v>
      </c>
      <c r="AN2294" t="b">
        <v>0</v>
      </c>
      <c r="AO2294">
        <v>99999</v>
      </c>
      <c r="AP2294" t="s">
        <v>64</v>
      </c>
      <c r="AR2294" t="b">
        <v>0</v>
      </c>
      <c r="AS2294">
        <v>12</v>
      </c>
      <c r="AT2294" t="s">
        <v>327</v>
      </c>
      <c r="AV2294" t="s">
        <v>2720</v>
      </c>
    </row>
    <row r="2295" spans="1:48" x14ac:dyDescent="0.25">
      <c r="A2295" t="s">
        <v>3323</v>
      </c>
      <c r="B2295" t="s">
        <v>302</v>
      </c>
      <c r="C2295" t="s">
        <v>62</v>
      </c>
      <c r="D2295">
        <v>99999</v>
      </c>
      <c r="F2295" s="109">
        <v>7000</v>
      </c>
      <c r="G2295" t="b">
        <v>0</v>
      </c>
      <c r="H2295" t="s">
        <v>331</v>
      </c>
      <c r="K2295" t="s">
        <v>61</v>
      </c>
      <c r="L2295" t="s">
        <v>303</v>
      </c>
      <c r="M2295" t="s">
        <v>323</v>
      </c>
      <c r="N2295" t="s">
        <v>63</v>
      </c>
      <c r="O2295">
        <v>29.9</v>
      </c>
      <c r="R2295">
        <v>254.89000000000001</v>
      </c>
      <c r="S2295">
        <v>69.900000000000006</v>
      </c>
      <c r="T2295" s="110">
        <v>0</v>
      </c>
      <c r="U2295">
        <v>42.99</v>
      </c>
      <c r="X2295">
        <v>97.1</v>
      </c>
      <c r="Y2295">
        <v>44.9</v>
      </c>
      <c r="Z2295">
        <v>44.9</v>
      </c>
      <c r="AA2295">
        <v>0</v>
      </c>
      <c r="AB2295" t="s">
        <v>324</v>
      </c>
      <c r="AF2295" t="s">
        <v>757</v>
      </c>
      <c r="AG2295" t="s">
        <v>757</v>
      </c>
      <c r="AH2295" t="s">
        <v>758</v>
      </c>
      <c r="AI2295">
        <v>99999</v>
      </c>
      <c r="AJ2295">
        <v>99999</v>
      </c>
      <c r="AK2295">
        <v>699</v>
      </c>
      <c r="AL2295" t="b">
        <v>1</v>
      </c>
      <c r="AM2295" t="b">
        <v>1</v>
      </c>
      <c r="AN2295" t="b">
        <v>0</v>
      </c>
      <c r="AO2295">
        <v>99999</v>
      </c>
      <c r="AP2295" t="s">
        <v>64</v>
      </c>
      <c r="AR2295" t="b">
        <v>0</v>
      </c>
      <c r="AS2295">
        <v>12</v>
      </c>
      <c r="AT2295" t="s">
        <v>327</v>
      </c>
      <c r="AV2295" t="s">
        <v>761</v>
      </c>
    </row>
    <row r="2296" spans="1:48" x14ac:dyDescent="0.25">
      <c r="A2296" t="s">
        <v>3323</v>
      </c>
      <c r="B2296" t="s">
        <v>302</v>
      </c>
      <c r="C2296" t="s">
        <v>62</v>
      </c>
      <c r="D2296">
        <v>99999</v>
      </c>
      <c r="F2296" s="109">
        <v>7000</v>
      </c>
      <c r="G2296" t="b">
        <v>0</v>
      </c>
      <c r="H2296" t="s">
        <v>331</v>
      </c>
      <c r="K2296" t="s">
        <v>61</v>
      </c>
      <c r="L2296" t="s">
        <v>303</v>
      </c>
      <c r="M2296" t="s">
        <v>323</v>
      </c>
      <c r="N2296" t="s">
        <v>63</v>
      </c>
      <c r="O2296" s="110">
        <v>29.9</v>
      </c>
      <c r="R2296" s="110">
        <v>269.89</v>
      </c>
      <c r="S2296" s="110">
        <v>69.900000000000006</v>
      </c>
      <c r="T2296" s="110">
        <v>0</v>
      </c>
      <c r="U2296" s="110">
        <v>42.99</v>
      </c>
      <c r="X2296">
        <v>112.1</v>
      </c>
      <c r="Y2296">
        <v>44.9</v>
      </c>
      <c r="Z2296">
        <v>44.9</v>
      </c>
      <c r="AA2296">
        <v>0</v>
      </c>
      <c r="AB2296" t="s">
        <v>324</v>
      </c>
      <c r="AF2296" t="s">
        <v>892</v>
      </c>
      <c r="AG2296" t="s">
        <v>892</v>
      </c>
      <c r="AH2296" t="s">
        <v>758</v>
      </c>
      <c r="AI2296">
        <v>99999</v>
      </c>
      <c r="AJ2296">
        <v>99999</v>
      </c>
      <c r="AK2296">
        <v>699</v>
      </c>
      <c r="AL2296" t="b">
        <v>1</v>
      </c>
      <c r="AM2296" t="b">
        <v>1</v>
      </c>
      <c r="AN2296" t="b">
        <v>0</v>
      </c>
      <c r="AO2296">
        <v>99999</v>
      </c>
      <c r="AP2296" t="s">
        <v>64</v>
      </c>
      <c r="AR2296" t="b">
        <v>0</v>
      </c>
      <c r="AS2296">
        <v>12</v>
      </c>
      <c r="AT2296" t="s">
        <v>327</v>
      </c>
      <c r="AV2296" t="s">
        <v>895</v>
      </c>
    </row>
    <row r="2297" spans="1:48" x14ac:dyDescent="0.25">
      <c r="A2297" t="s">
        <v>3323</v>
      </c>
      <c r="B2297" t="s">
        <v>302</v>
      </c>
      <c r="C2297" t="s">
        <v>62</v>
      </c>
      <c r="D2297">
        <v>99999</v>
      </c>
      <c r="F2297" s="109">
        <v>7000</v>
      </c>
      <c r="G2297" t="b">
        <v>0</v>
      </c>
      <c r="H2297" t="s">
        <v>331</v>
      </c>
      <c r="K2297" t="s">
        <v>61</v>
      </c>
      <c r="L2297" t="s">
        <v>303</v>
      </c>
      <c r="M2297" t="s">
        <v>323</v>
      </c>
      <c r="N2297" t="s">
        <v>63</v>
      </c>
      <c r="O2297" s="110">
        <v>29.9</v>
      </c>
      <c r="R2297" s="110">
        <v>284.89</v>
      </c>
      <c r="S2297" s="110">
        <v>70</v>
      </c>
      <c r="T2297" s="110">
        <v>0</v>
      </c>
      <c r="U2297" s="110">
        <v>42.99</v>
      </c>
      <c r="X2297">
        <v>127</v>
      </c>
      <c r="Y2297">
        <v>44.9</v>
      </c>
      <c r="Z2297">
        <v>44.9</v>
      </c>
      <c r="AA2297">
        <v>0</v>
      </c>
      <c r="AB2297" t="s">
        <v>324</v>
      </c>
      <c r="AF2297" t="s">
        <v>1040</v>
      </c>
      <c r="AG2297" t="s">
        <v>1040</v>
      </c>
      <c r="AH2297" t="s">
        <v>758</v>
      </c>
      <c r="AI2297">
        <v>99999</v>
      </c>
      <c r="AJ2297">
        <v>99999</v>
      </c>
      <c r="AK2297">
        <v>699</v>
      </c>
      <c r="AL2297" t="b">
        <v>1</v>
      </c>
      <c r="AM2297" t="b">
        <v>1</v>
      </c>
      <c r="AN2297" t="b">
        <v>0</v>
      </c>
      <c r="AO2297">
        <v>99999</v>
      </c>
      <c r="AP2297" t="s">
        <v>64</v>
      </c>
      <c r="AR2297" t="b">
        <v>0</v>
      </c>
      <c r="AS2297">
        <v>12</v>
      </c>
      <c r="AT2297" t="s">
        <v>327</v>
      </c>
      <c r="AV2297" t="s">
        <v>1043</v>
      </c>
    </row>
    <row r="2298" spans="1:48" x14ac:dyDescent="0.25">
      <c r="A2298" t="s">
        <v>3323</v>
      </c>
      <c r="B2298" t="s">
        <v>302</v>
      </c>
      <c r="C2298" t="s">
        <v>62</v>
      </c>
      <c r="D2298">
        <v>99999</v>
      </c>
      <c r="F2298" s="109">
        <v>7000</v>
      </c>
      <c r="G2298" t="b">
        <v>0</v>
      </c>
      <c r="H2298" t="s">
        <v>331</v>
      </c>
      <c r="K2298" t="s">
        <v>61</v>
      </c>
      <c r="L2298" t="s">
        <v>303</v>
      </c>
      <c r="M2298" t="s">
        <v>323</v>
      </c>
      <c r="N2298" t="s">
        <v>63</v>
      </c>
      <c r="O2298" s="110">
        <v>39.9</v>
      </c>
      <c r="R2298" s="110">
        <v>254.89000000000001</v>
      </c>
      <c r="S2298" s="110">
        <v>69.900000000000006</v>
      </c>
      <c r="T2298" s="110">
        <v>0</v>
      </c>
      <c r="U2298" s="110">
        <v>42.99</v>
      </c>
      <c r="X2298">
        <v>97.1</v>
      </c>
      <c r="Y2298">
        <v>44.9</v>
      </c>
      <c r="Z2298">
        <v>44.9</v>
      </c>
      <c r="AA2298">
        <v>0</v>
      </c>
      <c r="AB2298" t="s">
        <v>324</v>
      </c>
      <c r="AF2298" t="s">
        <v>825</v>
      </c>
      <c r="AG2298" t="s">
        <v>825</v>
      </c>
      <c r="AH2298" t="s">
        <v>758</v>
      </c>
      <c r="AI2298">
        <v>99999</v>
      </c>
      <c r="AJ2298">
        <v>99999</v>
      </c>
      <c r="AK2298">
        <v>699</v>
      </c>
      <c r="AL2298" t="b">
        <v>1</v>
      </c>
      <c r="AM2298" t="b">
        <v>1</v>
      </c>
      <c r="AN2298" t="b">
        <v>0</v>
      </c>
      <c r="AO2298">
        <v>99999</v>
      </c>
      <c r="AP2298" t="s">
        <v>64</v>
      </c>
      <c r="AR2298" t="b">
        <v>0</v>
      </c>
      <c r="AS2298">
        <v>12</v>
      </c>
      <c r="AT2298" t="s">
        <v>327</v>
      </c>
      <c r="AV2298" t="s">
        <v>828</v>
      </c>
    </row>
    <row r="2299" spans="1:48" x14ac:dyDescent="0.25">
      <c r="A2299" t="s">
        <v>3323</v>
      </c>
      <c r="B2299" t="s">
        <v>302</v>
      </c>
      <c r="C2299" t="s">
        <v>62</v>
      </c>
      <c r="D2299">
        <v>99999</v>
      </c>
      <c r="F2299" s="109">
        <v>7000</v>
      </c>
      <c r="G2299" t="b">
        <v>0</v>
      </c>
      <c r="H2299" t="s">
        <v>331</v>
      </c>
      <c r="K2299" t="s">
        <v>61</v>
      </c>
      <c r="L2299" t="s">
        <v>303</v>
      </c>
      <c r="M2299" t="s">
        <v>323</v>
      </c>
      <c r="N2299" t="s">
        <v>63</v>
      </c>
      <c r="O2299" s="110">
        <v>39.9</v>
      </c>
      <c r="R2299" s="110">
        <v>269.89</v>
      </c>
      <c r="S2299" s="110">
        <v>69.900000000000006</v>
      </c>
      <c r="T2299" s="110">
        <v>0</v>
      </c>
      <c r="U2299" s="110">
        <v>42.99</v>
      </c>
      <c r="X2299">
        <v>112.1</v>
      </c>
      <c r="Y2299">
        <v>44.9</v>
      </c>
      <c r="Z2299">
        <v>44.9</v>
      </c>
      <c r="AA2299">
        <v>0</v>
      </c>
      <c r="AB2299" t="s">
        <v>324</v>
      </c>
      <c r="AF2299" t="s">
        <v>959</v>
      </c>
      <c r="AG2299" t="s">
        <v>959</v>
      </c>
      <c r="AH2299" t="s">
        <v>758</v>
      </c>
      <c r="AI2299">
        <v>99999</v>
      </c>
      <c r="AJ2299">
        <v>99999</v>
      </c>
      <c r="AK2299">
        <v>699</v>
      </c>
      <c r="AL2299" t="b">
        <v>1</v>
      </c>
      <c r="AM2299" t="b">
        <v>1</v>
      </c>
      <c r="AN2299" t="b">
        <v>0</v>
      </c>
      <c r="AO2299">
        <v>99999</v>
      </c>
      <c r="AP2299" t="s">
        <v>64</v>
      </c>
      <c r="AR2299" t="b">
        <v>0</v>
      </c>
      <c r="AS2299">
        <v>12</v>
      </c>
      <c r="AT2299" t="s">
        <v>327</v>
      </c>
      <c r="AV2299" t="s">
        <v>962</v>
      </c>
    </row>
    <row r="2300" spans="1:48" x14ac:dyDescent="0.25">
      <c r="A2300" t="s">
        <v>3323</v>
      </c>
      <c r="B2300" t="s">
        <v>302</v>
      </c>
      <c r="C2300" t="s">
        <v>62</v>
      </c>
      <c r="D2300">
        <v>99999</v>
      </c>
      <c r="F2300" s="109">
        <v>7000</v>
      </c>
      <c r="G2300" t="b">
        <v>0</v>
      </c>
      <c r="H2300" t="s">
        <v>331</v>
      </c>
      <c r="K2300" t="s">
        <v>61</v>
      </c>
      <c r="L2300" t="s">
        <v>303</v>
      </c>
      <c r="M2300" t="s">
        <v>323</v>
      </c>
      <c r="N2300" t="s">
        <v>63</v>
      </c>
      <c r="O2300" s="110">
        <v>39.9</v>
      </c>
      <c r="R2300" s="110">
        <v>284.89</v>
      </c>
      <c r="S2300" s="110">
        <v>70</v>
      </c>
      <c r="T2300" s="110">
        <v>0</v>
      </c>
      <c r="U2300" s="110">
        <v>42.99</v>
      </c>
      <c r="X2300">
        <v>127</v>
      </c>
      <c r="Y2300">
        <v>44.9</v>
      </c>
      <c r="Z2300">
        <v>44.9</v>
      </c>
      <c r="AA2300">
        <v>0</v>
      </c>
      <c r="AB2300" t="s">
        <v>324</v>
      </c>
      <c r="AF2300" t="s">
        <v>1107</v>
      </c>
      <c r="AG2300" t="s">
        <v>1107</v>
      </c>
      <c r="AH2300" t="s">
        <v>758</v>
      </c>
      <c r="AI2300">
        <v>99999</v>
      </c>
      <c r="AJ2300">
        <v>99999</v>
      </c>
      <c r="AK2300">
        <v>699</v>
      </c>
      <c r="AL2300" t="b">
        <v>1</v>
      </c>
      <c r="AM2300" t="b">
        <v>1</v>
      </c>
      <c r="AN2300" t="b">
        <v>0</v>
      </c>
      <c r="AO2300">
        <v>99999</v>
      </c>
      <c r="AP2300" t="s">
        <v>64</v>
      </c>
      <c r="AR2300" t="b">
        <v>0</v>
      </c>
      <c r="AS2300">
        <v>12</v>
      </c>
      <c r="AT2300" t="s">
        <v>327</v>
      </c>
      <c r="AV2300" t="s">
        <v>1110</v>
      </c>
    </row>
    <row r="2301" spans="1:48" x14ac:dyDescent="0.25">
      <c r="A2301" t="s">
        <v>3323</v>
      </c>
      <c r="B2301" t="s">
        <v>302</v>
      </c>
      <c r="C2301" t="s">
        <v>62</v>
      </c>
      <c r="D2301">
        <v>99999</v>
      </c>
      <c r="F2301" s="109">
        <v>7000</v>
      </c>
      <c r="G2301" t="b">
        <v>0</v>
      </c>
      <c r="H2301" t="s">
        <v>331</v>
      </c>
      <c r="K2301" t="s">
        <v>61</v>
      </c>
      <c r="L2301" t="s">
        <v>303</v>
      </c>
      <c r="M2301" t="s">
        <v>323</v>
      </c>
      <c r="N2301" t="s">
        <v>63</v>
      </c>
      <c r="O2301" s="110">
        <v>49.9</v>
      </c>
      <c r="R2301" s="110">
        <v>300.68999999999994</v>
      </c>
      <c r="S2301" s="110">
        <v>130</v>
      </c>
      <c r="T2301" s="110">
        <v>0</v>
      </c>
      <c r="U2301" s="110">
        <v>34.99</v>
      </c>
      <c r="X2301">
        <v>90.799999999999983</v>
      </c>
      <c r="Y2301">
        <v>44.9</v>
      </c>
      <c r="Z2301">
        <v>44.9</v>
      </c>
      <c r="AA2301">
        <v>0</v>
      </c>
      <c r="AB2301" t="s">
        <v>324</v>
      </c>
      <c r="AF2301" t="s">
        <v>2467</v>
      </c>
      <c r="AG2301" t="s">
        <v>2467</v>
      </c>
      <c r="AH2301" t="s">
        <v>758</v>
      </c>
      <c r="AI2301">
        <v>99999</v>
      </c>
      <c r="AJ2301">
        <v>99999</v>
      </c>
      <c r="AK2301">
        <v>699</v>
      </c>
      <c r="AL2301" t="b">
        <v>1</v>
      </c>
      <c r="AM2301" t="b">
        <v>1</v>
      </c>
      <c r="AN2301" t="b">
        <v>0</v>
      </c>
      <c r="AO2301">
        <v>99999</v>
      </c>
      <c r="AP2301" t="s">
        <v>64</v>
      </c>
      <c r="AR2301" t="b">
        <v>0</v>
      </c>
      <c r="AS2301">
        <v>12</v>
      </c>
      <c r="AT2301" t="s">
        <v>327</v>
      </c>
      <c r="AV2301" t="s">
        <v>2470</v>
      </c>
    </row>
    <row r="2302" spans="1:48" x14ac:dyDescent="0.25">
      <c r="A2302" t="s">
        <v>3323</v>
      </c>
      <c r="B2302" t="s">
        <v>302</v>
      </c>
      <c r="C2302" t="s">
        <v>62</v>
      </c>
      <c r="D2302">
        <v>99999</v>
      </c>
      <c r="F2302" s="109">
        <v>7000</v>
      </c>
      <c r="G2302" t="b">
        <v>0</v>
      </c>
      <c r="H2302" t="s">
        <v>331</v>
      </c>
      <c r="K2302" t="s">
        <v>61</v>
      </c>
      <c r="L2302" t="s">
        <v>303</v>
      </c>
      <c r="M2302" t="s">
        <v>323</v>
      </c>
      <c r="N2302" t="s">
        <v>63</v>
      </c>
      <c r="O2302" s="110">
        <v>49.9</v>
      </c>
      <c r="R2302" s="110">
        <v>314.99</v>
      </c>
      <c r="S2302" s="110">
        <v>130</v>
      </c>
      <c r="T2302" s="110">
        <v>0</v>
      </c>
      <c r="U2302" s="110">
        <v>42.99</v>
      </c>
      <c r="X2302">
        <v>97.1</v>
      </c>
      <c r="Y2302">
        <v>44.9</v>
      </c>
      <c r="Z2302">
        <v>44.9</v>
      </c>
      <c r="AA2302">
        <v>0</v>
      </c>
      <c r="AB2302" t="s">
        <v>324</v>
      </c>
      <c r="AF2302" t="s">
        <v>2541</v>
      </c>
      <c r="AG2302" t="s">
        <v>2541</v>
      </c>
      <c r="AH2302" t="s">
        <v>758</v>
      </c>
      <c r="AI2302">
        <v>99999</v>
      </c>
      <c r="AJ2302">
        <v>99999</v>
      </c>
      <c r="AK2302">
        <v>699</v>
      </c>
      <c r="AL2302" t="b">
        <v>1</v>
      </c>
      <c r="AM2302" t="b">
        <v>1</v>
      </c>
      <c r="AN2302" t="b">
        <v>0</v>
      </c>
      <c r="AO2302">
        <v>99999</v>
      </c>
      <c r="AP2302" t="s">
        <v>64</v>
      </c>
      <c r="AR2302" t="b">
        <v>0</v>
      </c>
      <c r="AS2302">
        <v>12</v>
      </c>
      <c r="AT2302" t="s">
        <v>327</v>
      </c>
      <c r="AV2302" t="s">
        <v>2544</v>
      </c>
    </row>
    <row r="2303" spans="1:48" x14ac:dyDescent="0.25">
      <c r="A2303" t="s">
        <v>3323</v>
      </c>
      <c r="B2303" t="s">
        <v>302</v>
      </c>
      <c r="C2303" t="s">
        <v>62</v>
      </c>
      <c r="D2303">
        <v>99999</v>
      </c>
      <c r="F2303" s="109">
        <v>7000</v>
      </c>
      <c r="G2303" t="b">
        <v>0</v>
      </c>
      <c r="H2303" t="s">
        <v>331</v>
      </c>
      <c r="K2303" t="s">
        <v>61</v>
      </c>
      <c r="L2303" t="s">
        <v>303</v>
      </c>
      <c r="M2303" t="s">
        <v>323</v>
      </c>
      <c r="N2303" t="s">
        <v>63</v>
      </c>
      <c r="O2303" s="110">
        <v>49.9</v>
      </c>
      <c r="R2303" s="110">
        <v>329.99</v>
      </c>
      <c r="S2303" s="110">
        <v>130</v>
      </c>
      <c r="T2303" s="110">
        <v>0</v>
      </c>
      <c r="U2303" s="110">
        <v>42.99</v>
      </c>
      <c r="X2303">
        <v>112.1</v>
      </c>
      <c r="Y2303">
        <v>44.9</v>
      </c>
      <c r="Z2303">
        <v>44.9</v>
      </c>
      <c r="AA2303">
        <v>0</v>
      </c>
      <c r="AB2303" t="s">
        <v>324</v>
      </c>
      <c r="AF2303" t="s">
        <v>2608</v>
      </c>
      <c r="AG2303" t="s">
        <v>2608</v>
      </c>
      <c r="AH2303" t="s">
        <v>758</v>
      </c>
      <c r="AI2303">
        <v>99999</v>
      </c>
      <c r="AJ2303">
        <v>99999</v>
      </c>
      <c r="AK2303">
        <v>699</v>
      </c>
      <c r="AL2303" t="b">
        <v>1</v>
      </c>
      <c r="AM2303" t="b">
        <v>1</v>
      </c>
      <c r="AN2303" t="b">
        <v>0</v>
      </c>
      <c r="AO2303">
        <v>99999</v>
      </c>
      <c r="AP2303" t="s">
        <v>64</v>
      </c>
      <c r="AR2303" t="b">
        <v>0</v>
      </c>
      <c r="AS2303">
        <v>12</v>
      </c>
      <c r="AT2303" t="s">
        <v>327</v>
      </c>
      <c r="AV2303" t="s">
        <v>2611</v>
      </c>
    </row>
    <row r="2304" spans="1:48" x14ac:dyDescent="0.25">
      <c r="A2304" t="s">
        <v>3323</v>
      </c>
      <c r="B2304" t="s">
        <v>302</v>
      </c>
      <c r="C2304" t="s">
        <v>62</v>
      </c>
      <c r="D2304">
        <v>99999</v>
      </c>
      <c r="F2304" s="109">
        <v>7000</v>
      </c>
      <c r="G2304" t="b">
        <v>0</v>
      </c>
      <c r="H2304" t="s">
        <v>331</v>
      </c>
      <c r="K2304" t="s">
        <v>61</v>
      </c>
      <c r="L2304" t="s">
        <v>303</v>
      </c>
      <c r="M2304" t="s">
        <v>323</v>
      </c>
      <c r="N2304" t="s">
        <v>63</v>
      </c>
      <c r="O2304" s="110">
        <v>49.9</v>
      </c>
      <c r="R2304" s="110">
        <v>344.89</v>
      </c>
      <c r="S2304" s="110">
        <v>130</v>
      </c>
      <c r="T2304" s="110">
        <v>0</v>
      </c>
      <c r="U2304" s="110">
        <v>42.99</v>
      </c>
      <c r="X2304">
        <v>127</v>
      </c>
      <c r="Y2304">
        <v>44.9</v>
      </c>
      <c r="Z2304">
        <v>44.9</v>
      </c>
      <c r="AA2304">
        <v>0</v>
      </c>
      <c r="AB2304" t="s">
        <v>324</v>
      </c>
      <c r="AF2304" t="s">
        <v>2677</v>
      </c>
      <c r="AG2304" t="s">
        <v>2677</v>
      </c>
      <c r="AH2304" t="s">
        <v>758</v>
      </c>
      <c r="AI2304">
        <v>99999</v>
      </c>
      <c r="AJ2304">
        <v>99999</v>
      </c>
      <c r="AK2304">
        <v>699</v>
      </c>
      <c r="AL2304" t="b">
        <v>1</v>
      </c>
      <c r="AM2304" t="b">
        <v>1</v>
      </c>
      <c r="AN2304" t="b">
        <v>0</v>
      </c>
      <c r="AO2304">
        <v>99999</v>
      </c>
      <c r="AP2304" t="s">
        <v>64</v>
      </c>
      <c r="AR2304" t="b">
        <v>0</v>
      </c>
      <c r="AS2304">
        <v>12</v>
      </c>
      <c r="AT2304" t="s">
        <v>327</v>
      </c>
      <c r="AV2304" t="s">
        <v>2680</v>
      </c>
    </row>
    <row r="2305" spans="1:48" x14ac:dyDescent="0.25">
      <c r="A2305" t="s">
        <v>3323</v>
      </c>
      <c r="B2305" t="s">
        <v>302</v>
      </c>
      <c r="C2305" t="s">
        <v>62</v>
      </c>
      <c r="D2305">
        <v>99999</v>
      </c>
      <c r="F2305" s="109">
        <v>7000</v>
      </c>
      <c r="G2305" t="b">
        <v>0</v>
      </c>
      <c r="H2305" t="s">
        <v>329</v>
      </c>
      <c r="K2305" t="s">
        <v>349</v>
      </c>
      <c r="L2305" t="s">
        <v>303</v>
      </c>
      <c r="M2305" t="s">
        <v>323</v>
      </c>
      <c r="N2305" t="s">
        <v>63</v>
      </c>
      <c r="O2305" s="110">
        <v>29.9</v>
      </c>
      <c r="R2305" s="110">
        <v>219.89000000000001</v>
      </c>
      <c r="S2305" s="110">
        <v>69.900000000000006</v>
      </c>
      <c r="T2305" s="110">
        <v>0</v>
      </c>
      <c r="U2305" s="110">
        <v>42.99</v>
      </c>
      <c r="X2305">
        <v>62.099999999999994</v>
      </c>
      <c r="Y2305">
        <v>44.9</v>
      </c>
      <c r="Z2305">
        <v>44.9</v>
      </c>
      <c r="AA2305">
        <v>0</v>
      </c>
      <c r="AB2305" t="s">
        <v>324</v>
      </c>
      <c r="AF2305" t="s">
        <v>757</v>
      </c>
      <c r="AG2305" t="s">
        <v>757</v>
      </c>
      <c r="AH2305" t="s">
        <v>758</v>
      </c>
      <c r="AI2305">
        <v>99999</v>
      </c>
      <c r="AJ2305">
        <v>99999</v>
      </c>
      <c r="AK2305">
        <v>699</v>
      </c>
      <c r="AL2305" t="b">
        <v>1</v>
      </c>
      <c r="AM2305" t="b">
        <v>1</v>
      </c>
      <c r="AN2305" t="b">
        <v>0</v>
      </c>
      <c r="AO2305">
        <v>99999</v>
      </c>
      <c r="AP2305" t="s">
        <v>64</v>
      </c>
      <c r="AR2305" t="b">
        <v>0</v>
      </c>
      <c r="AS2305">
        <v>12</v>
      </c>
      <c r="AT2305" t="s">
        <v>327</v>
      </c>
      <c r="AV2305" t="s">
        <v>773</v>
      </c>
    </row>
    <row r="2306" spans="1:48" x14ac:dyDescent="0.25">
      <c r="A2306" t="s">
        <v>3323</v>
      </c>
      <c r="B2306" t="s">
        <v>302</v>
      </c>
      <c r="C2306" t="s">
        <v>62</v>
      </c>
      <c r="D2306">
        <v>99999</v>
      </c>
      <c r="F2306" s="109">
        <v>7000</v>
      </c>
      <c r="G2306" t="b">
        <v>0</v>
      </c>
      <c r="H2306" t="s">
        <v>329</v>
      </c>
      <c r="K2306" t="s">
        <v>349</v>
      </c>
      <c r="L2306" t="s">
        <v>303</v>
      </c>
      <c r="M2306" t="s">
        <v>323</v>
      </c>
      <c r="N2306" t="s">
        <v>63</v>
      </c>
      <c r="O2306" s="110">
        <v>29.9</v>
      </c>
      <c r="R2306" s="110">
        <v>234.89000000000001</v>
      </c>
      <c r="S2306" s="110">
        <v>69.900000000000006</v>
      </c>
      <c r="T2306" s="110">
        <v>0</v>
      </c>
      <c r="U2306" s="110">
        <v>42.99</v>
      </c>
      <c r="X2306">
        <v>77.099999999999994</v>
      </c>
      <c r="Y2306">
        <v>44.9</v>
      </c>
      <c r="Z2306">
        <v>44.9</v>
      </c>
      <c r="AA2306">
        <v>0</v>
      </c>
      <c r="AB2306" t="s">
        <v>324</v>
      </c>
      <c r="AF2306" t="s">
        <v>892</v>
      </c>
      <c r="AG2306" t="s">
        <v>892</v>
      </c>
      <c r="AH2306" t="s">
        <v>758</v>
      </c>
      <c r="AI2306">
        <v>99999</v>
      </c>
      <c r="AJ2306">
        <v>99999</v>
      </c>
      <c r="AK2306">
        <v>699</v>
      </c>
      <c r="AL2306" t="b">
        <v>1</v>
      </c>
      <c r="AM2306" t="b">
        <v>1</v>
      </c>
      <c r="AN2306" t="b">
        <v>0</v>
      </c>
      <c r="AO2306">
        <v>99999</v>
      </c>
      <c r="AP2306" t="s">
        <v>64</v>
      </c>
      <c r="AR2306" t="b">
        <v>0</v>
      </c>
      <c r="AS2306">
        <v>12</v>
      </c>
      <c r="AT2306" t="s">
        <v>327</v>
      </c>
      <c r="AV2306" t="s">
        <v>907</v>
      </c>
    </row>
    <row r="2307" spans="1:48" x14ac:dyDescent="0.25">
      <c r="A2307" t="s">
        <v>3323</v>
      </c>
      <c r="B2307" t="s">
        <v>302</v>
      </c>
      <c r="C2307" t="s">
        <v>62</v>
      </c>
      <c r="D2307">
        <v>99999</v>
      </c>
      <c r="F2307" s="109">
        <v>7000</v>
      </c>
      <c r="G2307" t="b">
        <v>0</v>
      </c>
      <c r="H2307" t="s">
        <v>329</v>
      </c>
      <c r="K2307" t="s">
        <v>349</v>
      </c>
      <c r="L2307" t="s">
        <v>303</v>
      </c>
      <c r="M2307" t="s">
        <v>323</v>
      </c>
      <c r="N2307" t="s">
        <v>63</v>
      </c>
      <c r="O2307" s="110">
        <v>29.9</v>
      </c>
      <c r="R2307" s="110">
        <v>249.89</v>
      </c>
      <c r="S2307" s="110">
        <v>70</v>
      </c>
      <c r="T2307" s="110">
        <v>0</v>
      </c>
      <c r="U2307" s="110">
        <v>42.99</v>
      </c>
      <c r="X2307">
        <v>92</v>
      </c>
      <c r="Y2307">
        <v>44.9</v>
      </c>
      <c r="Z2307">
        <v>44.9</v>
      </c>
      <c r="AA2307">
        <v>0</v>
      </c>
      <c r="AB2307" t="s">
        <v>324</v>
      </c>
      <c r="AF2307" t="s">
        <v>1040</v>
      </c>
      <c r="AG2307" t="s">
        <v>1040</v>
      </c>
      <c r="AH2307" t="s">
        <v>758</v>
      </c>
      <c r="AI2307">
        <v>99999</v>
      </c>
      <c r="AJ2307">
        <v>99999</v>
      </c>
      <c r="AK2307">
        <v>699</v>
      </c>
      <c r="AL2307" t="b">
        <v>1</v>
      </c>
      <c r="AM2307" t="b">
        <v>1</v>
      </c>
      <c r="AN2307" t="b">
        <v>0</v>
      </c>
      <c r="AO2307">
        <v>99999</v>
      </c>
      <c r="AP2307" t="s">
        <v>64</v>
      </c>
      <c r="AR2307" t="b">
        <v>0</v>
      </c>
      <c r="AS2307">
        <v>12</v>
      </c>
      <c r="AT2307" t="s">
        <v>327</v>
      </c>
      <c r="AV2307" t="s">
        <v>1055</v>
      </c>
    </row>
    <row r="2308" spans="1:48" x14ac:dyDescent="0.25">
      <c r="A2308" t="s">
        <v>3323</v>
      </c>
      <c r="B2308" t="s">
        <v>302</v>
      </c>
      <c r="C2308" t="s">
        <v>62</v>
      </c>
      <c r="D2308">
        <v>99999</v>
      </c>
      <c r="F2308" s="109">
        <v>7000</v>
      </c>
      <c r="G2308" t="b">
        <v>0</v>
      </c>
      <c r="H2308" t="s">
        <v>329</v>
      </c>
      <c r="K2308" t="s">
        <v>349</v>
      </c>
      <c r="L2308" t="s">
        <v>303</v>
      </c>
      <c r="M2308" t="s">
        <v>323</v>
      </c>
      <c r="N2308" t="s">
        <v>63</v>
      </c>
      <c r="O2308" s="110">
        <v>39.9</v>
      </c>
      <c r="R2308" s="110">
        <v>219.89000000000001</v>
      </c>
      <c r="S2308" s="110">
        <v>69.900000000000006</v>
      </c>
      <c r="T2308" s="110">
        <v>0</v>
      </c>
      <c r="U2308" s="110">
        <v>42.99</v>
      </c>
      <c r="X2308">
        <v>62.099999999999994</v>
      </c>
      <c r="Y2308">
        <v>44.9</v>
      </c>
      <c r="Z2308">
        <v>44.9</v>
      </c>
      <c r="AA2308">
        <v>0</v>
      </c>
      <c r="AB2308" t="s">
        <v>324</v>
      </c>
      <c r="AF2308" t="s">
        <v>825</v>
      </c>
      <c r="AG2308" t="s">
        <v>825</v>
      </c>
      <c r="AH2308" t="s">
        <v>758</v>
      </c>
      <c r="AI2308">
        <v>99999</v>
      </c>
      <c r="AJ2308">
        <v>99999</v>
      </c>
      <c r="AK2308">
        <v>699</v>
      </c>
      <c r="AL2308" t="b">
        <v>1</v>
      </c>
      <c r="AM2308" t="b">
        <v>1</v>
      </c>
      <c r="AN2308" t="b">
        <v>0</v>
      </c>
      <c r="AO2308">
        <v>99999</v>
      </c>
      <c r="AP2308" t="s">
        <v>64</v>
      </c>
      <c r="AR2308" t="b">
        <v>0</v>
      </c>
      <c r="AS2308">
        <v>12</v>
      </c>
      <c r="AT2308" t="s">
        <v>327</v>
      </c>
      <c r="AV2308" t="s">
        <v>840</v>
      </c>
    </row>
    <row r="2309" spans="1:48" x14ac:dyDescent="0.25">
      <c r="A2309" t="s">
        <v>3323</v>
      </c>
      <c r="B2309" t="s">
        <v>302</v>
      </c>
      <c r="C2309" t="s">
        <v>62</v>
      </c>
      <c r="D2309">
        <v>99999</v>
      </c>
      <c r="F2309" s="109">
        <v>7000</v>
      </c>
      <c r="G2309" t="b">
        <v>0</v>
      </c>
      <c r="H2309" t="s">
        <v>329</v>
      </c>
      <c r="K2309" t="s">
        <v>349</v>
      </c>
      <c r="L2309" t="s">
        <v>303</v>
      </c>
      <c r="M2309" t="s">
        <v>323</v>
      </c>
      <c r="N2309" t="s">
        <v>63</v>
      </c>
      <c r="O2309" s="110">
        <v>39.9</v>
      </c>
      <c r="R2309" s="110">
        <v>234.89000000000001</v>
      </c>
      <c r="S2309" s="110">
        <v>69.900000000000006</v>
      </c>
      <c r="T2309" s="110">
        <v>0</v>
      </c>
      <c r="U2309" s="110">
        <v>42.99</v>
      </c>
      <c r="X2309">
        <v>77.099999999999994</v>
      </c>
      <c r="Y2309">
        <v>44.9</v>
      </c>
      <c r="Z2309">
        <v>44.9</v>
      </c>
      <c r="AA2309">
        <v>0</v>
      </c>
      <c r="AB2309" t="s">
        <v>324</v>
      </c>
      <c r="AF2309" t="s">
        <v>959</v>
      </c>
      <c r="AG2309" t="s">
        <v>959</v>
      </c>
      <c r="AH2309" t="s">
        <v>758</v>
      </c>
      <c r="AI2309">
        <v>99999</v>
      </c>
      <c r="AJ2309">
        <v>99999</v>
      </c>
      <c r="AK2309">
        <v>699</v>
      </c>
      <c r="AL2309" t="b">
        <v>1</v>
      </c>
      <c r="AM2309" t="b">
        <v>1</v>
      </c>
      <c r="AN2309" t="b">
        <v>0</v>
      </c>
      <c r="AO2309">
        <v>99999</v>
      </c>
      <c r="AP2309" t="s">
        <v>64</v>
      </c>
      <c r="AR2309" t="b">
        <v>0</v>
      </c>
      <c r="AS2309">
        <v>12</v>
      </c>
      <c r="AT2309" t="s">
        <v>327</v>
      </c>
      <c r="AV2309" t="s">
        <v>974</v>
      </c>
    </row>
    <row r="2310" spans="1:48" x14ac:dyDescent="0.25">
      <c r="A2310" t="s">
        <v>3323</v>
      </c>
      <c r="B2310" t="s">
        <v>302</v>
      </c>
      <c r="C2310" t="s">
        <v>62</v>
      </c>
      <c r="D2310">
        <v>99999</v>
      </c>
      <c r="F2310" s="109">
        <v>7000</v>
      </c>
      <c r="G2310" t="b">
        <v>0</v>
      </c>
      <c r="H2310" t="s">
        <v>329</v>
      </c>
      <c r="K2310" t="s">
        <v>349</v>
      </c>
      <c r="L2310" t="s">
        <v>303</v>
      </c>
      <c r="M2310" t="s">
        <v>323</v>
      </c>
      <c r="N2310" t="s">
        <v>63</v>
      </c>
      <c r="O2310" s="110">
        <v>39.9</v>
      </c>
      <c r="R2310" s="110">
        <v>249.89</v>
      </c>
      <c r="S2310" s="110">
        <v>70</v>
      </c>
      <c r="T2310" s="110">
        <v>0</v>
      </c>
      <c r="U2310" s="110">
        <v>42.99</v>
      </c>
      <c r="X2310">
        <v>92</v>
      </c>
      <c r="Y2310">
        <v>44.9</v>
      </c>
      <c r="Z2310">
        <v>44.9</v>
      </c>
      <c r="AA2310">
        <v>0</v>
      </c>
      <c r="AB2310" t="s">
        <v>324</v>
      </c>
      <c r="AF2310" t="s">
        <v>1107</v>
      </c>
      <c r="AG2310" t="s">
        <v>1107</v>
      </c>
      <c r="AH2310" t="s">
        <v>758</v>
      </c>
      <c r="AI2310">
        <v>99999</v>
      </c>
      <c r="AJ2310">
        <v>99999</v>
      </c>
      <c r="AK2310">
        <v>699</v>
      </c>
      <c r="AL2310" t="b">
        <v>1</v>
      </c>
      <c r="AM2310" t="b">
        <v>1</v>
      </c>
      <c r="AN2310" t="b">
        <v>0</v>
      </c>
      <c r="AO2310">
        <v>99999</v>
      </c>
      <c r="AP2310" t="s">
        <v>64</v>
      </c>
      <c r="AR2310" t="b">
        <v>0</v>
      </c>
      <c r="AS2310">
        <v>12</v>
      </c>
      <c r="AT2310" t="s">
        <v>327</v>
      </c>
      <c r="AV2310" t="s">
        <v>1122</v>
      </c>
    </row>
    <row r="2311" spans="1:48" x14ac:dyDescent="0.25">
      <c r="A2311" t="s">
        <v>3323</v>
      </c>
      <c r="B2311" t="s">
        <v>302</v>
      </c>
      <c r="C2311" t="s">
        <v>62</v>
      </c>
      <c r="D2311">
        <v>99999</v>
      </c>
      <c r="F2311" s="109">
        <v>7000</v>
      </c>
      <c r="G2311" t="b">
        <v>0</v>
      </c>
      <c r="H2311" t="s">
        <v>329</v>
      </c>
      <c r="K2311" t="s">
        <v>349</v>
      </c>
      <c r="L2311" t="s">
        <v>303</v>
      </c>
      <c r="M2311" t="s">
        <v>323</v>
      </c>
      <c r="N2311" t="s">
        <v>63</v>
      </c>
      <c r="O2311" s="110">
        <v>49.9</v>
      </c>
      <c r="R2311" s="110">
        <v>265.68999999999994</v>
      </c>
      <c r="S2311" s="110">
        <v>130</v>
      </c>
      <c r="T2311" s="110">
        <v>0</v>
      </c>
      <c r="U2311" s="110">
        <v>34.99</v>
      </c>
      <c r="X2311">
        <v>55.799999999999983</v>
      </c>
      <c r="Y2311">
        <v>44.9</v>
      </c>
      <c r="Z2311">
        <v>44.9</v>
      </c>
      <c r="AA2311">
        <v>0</v>
      </c>
      <c r="AB2311" t="s">
        <v>324</v>
      </c>
      <c r="AF2311" t="s">
        <v>2467</v>
      </c>
      <c r="AG2311" t="s">
        <v>2467</v>
      </c>
      <c r="AH2311" t="s">
        <v>758</v>
      </c>
      <c r="AI2311">
        <v>99999</v>
      </c>
      <c r="AJ2311">
        <v>99999</v>
      </c>
      <c r="AK2311">
        <v>699</v>
      </c>
      <c r="AL2311" t="b">
        <v>1</v>
      </c>
      <c r="AM2311" t="b">
        <v>1</v>
      </c>
      <c r="AN2311" t="b">
        <v>0</v>
      </c>
      <c r="AO2311">
        <v>99999</v>
      </c>
      <c r="AP2311" t="s">
        <v>64</v>
      </c>
      <c r="AR2311" t="b">
        <v>0</v>
      </c>
      <c r="AS2311">
        <v>12</v>
      </c>
      <c r="AT2311" t="s">
        <v>327</v>
      </c>
      <c r="AV2311" t="s">
        <v>2482</v>
      </c>
    </row>
    <row r="2312" spans="1:48" x14ac:dyDescent="0.25">
      <c r="A2312" t="s">
        <v>3323</v>
      </c>
      <c r="B2312" t="s">
        <v>302</v>
      </c>
      <c r="C2312" t="s">
        <v>62</v>
      </c>
      <c r="D2312">
        <v>99999</v>
      </c>
      <c r="F2312" s="109">
        <v>7000</v>
      </c>
      <c r="G2312" t="b">
        <v>0</v>
      </c>
      <c r="H2312" t="s">
        <v>329</v>
      </c>
      <c r="K2312" t="s">
        <v>349</v>
      </c>
      <c r="L2312" t="s">
        <v>303</v>
      </c>
      <c r="M2312" t="s">
        <v>323</v>
      </c>
      <c r="N2312" t="s">
        <v>63</v>
      </c>
      <c r="O2312" s="110">
        <v>49.9</v>
      </c>
      <c r="R2312" s="110">
        <v>279.99</v>
      </c>
      <c r="S2312" s="110">
        <v>130</v>
      </c>
      <c r="T2312" s="110">
        <v>0</v>
      </c>
      <c r="U2312" s="110">
        <v>42.99</v>
      </c>
      <c r="X2312">
        <v>62.099999999999994</v>
      </c>
      <c r="Y2312">
        <v>44.9</v>
      </c>
      <c r="Z2312">
        <v>44.9</v>
      </c>
      <c r="AA2312">
        <v>0</v>
      </c>
      <c r="AB2312" t="s">
        <v>324</v>
      </c>
      <c r="AF2312" t="s">
        <v>2541</v>
      </c>
      <c r="AG2312" t="s">
        <v>2541</v>
      </c>
      <c r="AH2312" t="s">
        <v>758</v>
      </c>
      <c r="AI2312">
        <v>99999</v>
      </c>
      <c r="AJ2312">
        <v>99999</v>
      </c>
      <c r="AK2312">
        <v>699</v>
      </c>
      <c r="AL2312" t="b">
        <v>1</v>
      </c>
      <c r="AM2312" t="b">
        <v>1</v>
      </c>
      <c r="AN2312" t="b">
        <v>0</v>
      </c>
      <c r="AO2312">
        <v>99999</v>
      </c>
      <c r="AP2312" t="s">
        <v>64</v>
      </c>
      <c r="AR2312" t="b">
        <v>0</v>
      </c>
      <c r="AS2312">
        <v>12</v>
      </c>
      <c r="AT2312" t="s">
        <v>327</v>
      </c>
      <c r="AV2312" t="s">
        <v>2556</v>
      </c>
    </row>
    <row r="2313" spans="1:48" x14ac:dyDescent="0.25">
      <c r="A2313" t="s">
        <v>3323</v>
      </c>
      <c r="B2313" t="s">
        <v>302</v>
      </c>
      <c r="C2313" t="s">
        <v>62</v>
      </c>
      <c r="D2313">
        <v>99999</v>
      </c>
      <c r="F2313" s="109">
        <v>7000</v>
      </c>
      <c r="G2313" t="b">
        <v>0</v>
      </c>
      <c r="H2313" t="s">
        <v>329</v>
      </c>
      <c r="K2313" t="s">
        <v>349</v>
      </c>
      <c r="L2313" t="s">
        <v>303</v>
      </c>
      <c r="M2313" t="s">
        <v>323</v>
      </c>
      <c r="N2313" t="s">
        <v>63</v>
      </c>
      <c r="O2313" s="110">
        <v>49.9</v>
      </c>
      <c r="R2313" s="110">
        <v>294.99</v>
      </c>
      <c r="S2313" s="110">
        <v>130</v>
      </c>
      <c r="T2313" s="110">
        <v>0</v>
      </c>
      <c r="U2313" s="110">
        <v>42.99</v>
      </c>
      <c r="X2313">
        <v>77.099999999999994</v>
      </c>
      <c r="Y2313">
        <v>44.9</v>
      </c>
      <c r="Z2313">
        <v>44.9</v>
      </c>
      <c r="AA2313">
        <v>0</v>
      </c>
      <c r="AB2313" t="s">
        <v>324</v>
      </c>
      <c r="AF2313" t="s">
        <v>2608</v>
      </c>
      <c r="AG2313" t="s">
        <v>2608</v>
      </c>
      <c r="AH2313" t="s">
        <v>758</v>
      </c>
      <c r="AI2313">
        <v>99999</v>
      </c>
      <c r="AJ2313">
        <v>99999</v>
      </c>
      <c r="AK2313">
        <v>699</v>
      </c>
      <c r="AL2313" t="b">
        <v>1</v>
      </c>
      <c r="AM2313" t="b">
        <v>1</v>
      </c>
      <c r="AN2313" t="b">
        <v>0</v>
      </c>
      <c r="AO2313">
        <v>99999</v>
      </c>
      <c r="AP2313" t="s">
        <v>64</v>
      </c>
      <c r="AR2313" t="b">
        <v>0</v>
      </c>
      <c r="AS2313">
        <v>12</v>
      </c>
      <c r="AT2313" t="s">
        <v>327</v>
      </c>
      <c r="AV2313" t="s">
        <v>2622</v>
      </c>
    </row>
    <row r="2314" spans="1:48" x14ac:dyDescent="0.25">
      <c r="A2314" t="s">
        <v>3323</v>
      </c>
      <c r="B2314" t="s">
        <v>302</v>
      </c>
      <c r="C2314" t="s">
        <v>62</v>
      </c>
      <c r="D2314">
        <v>99999</v>
      </c>
      <c r="F2314" s="109">
        <v>7000</v>
      </c>
      <c r="G2314" t="b">
        <v>0</v>
      </c>
      <c r="H2314" t="s">
        <v>329</v>
      </c>
      <c r="K2314" t="s">
        <v>349</v>
      </c>
      <c r="L2314" t="s">
        <v>303</v>
      </c>
      <c r="M2314" t="s">
        <v>323</v>
      </c>
      <c r="N2314" t="s">
        <v>63</v>
      </c>
      <c r="O2314" s="110">
        <v>49.9</v>
      </c>
      <c r="R2314" s="110">
        <v>309.89</v>
      </c>
      <c r="S2314" s="110">
        <v>130</v>
      </c>
      <c r="T2314" s="110">
        <v>0</v>
      </c>
      <c r="U2314" s="110">
        <v>42.99</v>
      </c>
      <c r="X2314">
        <v>92</v>
      </c>
      <c r="Y2314">
        <v>44.9</v>
      </c>
      <c r="Z2314">
        <v>44.9</v>
      </c>
      <c r="AA2314">
        <v>0</v>
      </c>
      <c r="AB2314" t="s">
        <v>324</v>
      </c>
      <c r="AF2314" t="s">
        <v>2677</v>
      </c>
      <c r="AG2314" t="s">
        <v>2677</v>
      </c>
      <c r="AH2314" t="s">
        <v>758</v>
      </c>
      <c r="AI2314">
        <v>99999</v>
      </c>
      <c r="AJ2314">
        <v>99999</v>
      </c>
      <c r="AK2314">
        <v>699</v>
      </c>
      <c r="AL2314" t="b">
        <v>1</v>
      </c>
      <c r="AM2314" t="b">
        <v>1</v>
      </c>
      <c r="AN2314" t="b">
        <v>0</v>
      </c>
      <c r="AO2314">
        <v>99999</v>
      </c>
      <c r="AP2314" t="s">
        <v>64</v>
      </c>
      <c r="AR2314" t="b">
        <v>0</v>
      </c>
      <c r="AS2314">
        <v>12</v>
      </c>
      <c r="AT2314" t="s">
        <v>327</v>
      </c>
      <c r="AV2314" t="s">
        <v>2692</v>
      </c>
    </row>
    <row r="2315" spans="1:48" x14ac:dyDescent="0.25">
      <c r="A2315" t="s">
        <v>3323</v>
      </c>
      <c r="B2315" t="s">
        <v>302</v>
      </c>
      <c r="C2315" t="s">
        <v>62</v>
      </c>
      <c r="D2315">
        <v>99999</v>
      </c>
      <c r="F2315" s="109">
        <v>7000</v>
      </c>
      <c r="G2315" t="b">
        <v>0</v>
      </c>
      <c r="H2315" t="s">
        <v>329</v>
      </c>
      <c r="K2315" t="s">
        <v>393</v>
      </c>
      <c r="L2315" t="s">
        <v>303</v>
      </c>
      <c r="M2315" t="s">
        <v>323</v>
      </c>
      <c r="N2315" t="s">
        <v>63</v>
      </c>
      <c r="O2315" s="110">
        <v>29.9</v>
      </c>
      <c r="R2315" s="110">
        <v>244.89000000000001</v>
      </c>
      <c r="S2315" s="110">
        <v>69.900000000000006</v>
      </c>
      <c r="T2315" s="110">
        <v>0</v>
      </c>
      <c r="U2315" s="110">
        <v>42.99</v>
      </c>
      <c r="X2315">
        <v>62.099999999999994</v>
      </c>
      <c r="Y2315">
        <v>69.900000000000006</v>
      </c>
      <c r="Z2315">
        <v>69.900000000000006</v>
      </c>
      <c r="AA2315">
        <v>0</v>
      </c>
      <c r="AB2315" t="s">
        <v>363</v>
      </c>
      <c r="AF2315" t="s">
        <v>785</v>
      </c>
      <c r="AG2315" t="s">
        <v>785</v>
      </c>
      <c r="AH2315" t="s">
        <v>758</v>
      </c>
      <c r="AI2315">
        <v>99999</v>
      </c>
      <c r="AJ2315">
        <v>99999</v>
      </c>
      <c r="AK2315">
        <v>699</v>
      </c>
      <c r="AL2315" t="b">
        <v>1</v>
      </c>
      <c r="AM2315" t="b">
        <v>1</v>
      </c>
      <c r="AN2315" t="b">
        <v>0</v>
      </c>
      <c r="AO2315">
        <v>99999</v>
      </c>
      <c r="AP2315" t="s">
        <v>64</v>
      </c>
      <c r="AR2315" t="b">
        <v>0</v>
      </c>
      <c r="AS2315">
        <v>12</v>
      </c>
      <c r="AT2315" t="s">
        <v>327</v>
      </c>
      <c r="AV2315" t="s">
        <v>813</v>
      </c>
    </row>
    <row r="2316" spans="1:48" x14ac:dyDescent="0.25">
      <c r="A2316" t="s">
        <v>3323</v>
      </c>
      <c r="B2316" t="s">
        <v>302</v>
      </c>
      <c r="C2316" t="s">
        <v>62</v>
      </c>
      <c r="D2316">
        <v>99999</v>
      </c>
      <c r="F2316" s="109">
        <v>7000</v>
      </c>
      <c r="G2316" t="b">
        <v>0</v>
      </c>
      <c r="H2316" t="s">
        <v>329</v>
      </c>
      <c r="K2316" t="s">
        <v>393</v>
      </c>
      <c r="L2316" t="s">
        <v>303</v>
      </c>
      <c r="M2316" t="s">
        <v>323</v>
      </c>
      <c r="N2316" t="s">
        <v>63</v>
      </c>
      <c r="O2316" s="110">
        <v>29.9</v>
      </c>
      <c r="R2316" s="110">
        <v>259.89</v>
      </c>
      <c r="S2316" s="110">
        <v>69.900000000000006</v>
      </c>
      <c r="T2316" s="110">
        <v>0</v>
      </c>
      <c r="U2316" s="110">
        <v>42.99</v>
      </c>
      <c r="X2316">
        <v>77.099999999999994</v>
      </c>
      <c r="Y2316">
        <v>69.900000000000006</v>
      </c>
      <c r="Z2316">
        <v>69.900000000000006</v>
      </c>
      <c r="AA2316">
        <v>0</v>
      </c>
      <c r="AB2316" t="s">
        <v>363</v>
      </c>
      <c r="AF2316" t="s">
        <v>919</v>
      </c>
      <c r="AG2316" t="s">
        <v>919</v>
      </c>
      <c r="AH2316" t="s">
        <v>758</v>
      </c>
      <c r="AI2316">
        <v>99999</v>
      </c>
      <c r="AJ2316">
        <v>99999</v>
      </c>
      <c r="AK2316">
        <v>699</v>
      </c>
      <c r="AL2316" t="b">
        <v>1</v>
      </c>
      <c r="AM2316" t="b">
        <v>1</v>
      </c>
      <c r="AN2316" t="b">
        <v>0</v>
      </c>
      <c r="AO2316">
        <v>99999</v>
      </c>
      <c r="AP2316" t="s">
        <v>64</v>
      </c>
      <c r="AR2316" t="b">
        <v>0</v>
      </c>
      <c r="AS2316">
        <v>12</v>
      </c>
      <c r="AT2316" t="s">
        <v>327</v>
      </c>
      <c r="AV2316" t="s">
        <v>947</v>
      </c>
    </row>
    <row r="2317" spans="1:48" x14ac:dyDescent="0.25">
      <c r="A2317" t="s">
        <v>3323</v>
      </c>
      <c r="B2317" t="s">
        <v>302</v>
      </c>
      <c r="C2317" t="s">
        <v>62</v>
      </c>
      <c r="D2317">
        <v>99999</v>
      </c>
      <c r="F2317" s="109">
        <v>7000</v>
      </c>
      <c r="G2317" t="b">
        <v>0</v>
      </c>
      <c r="H2317" t="s">
        <v>329</v>
      </c>
      <c r="K2317" t="s">
        <v>393</v>
      </c>
      <c r="L2317" t="s">
        <v>303</v>
      </c>
      <c r="M2317" t="s">
        <v>323</v>
      </c>
      <c r="N2317" t="s">
        <v>63</v>
      </c>
      <c r="O2317" s="110">
        <v>29.9</v>
      </c>
      <c r="R2317" s="110">
        <v>274.89</v>
      </c>
      <c r="S2317" s="110">
        <v>70</v>
      </c>
      <c r="T2317" s="110">
        <v>0</v>
      </c>
      <c r="U2317" s="110">
        <v>42.99</v>
      </c>
      <c r="X2317">
        <v>92</v>
      </c>
      <c r="Y2317">
        <v>69.900000000000006</v>
      </c>
      <c r="Z2317">
        <v>69.900000000000006</v>
      </c>
      <c r="AA2317">
        <v>0</v>
      </c>
      <c r="AB2317" t="s">
        <v>363</v>
      </c>
      <c r="AF2317" t="s">
        <v>1067</v>
      </c>
      <c r="AG2317" t="s">
        <v>1067</v>
      </c>
      <c r="AH2317" t="s">
        <v>758</v>
      </c>
      <c r="AI2317">
        <v>99999</v>
      </c>
      <c r="AJ2317">
        <v>99999</v>
      </c>
      <c r="AK2317">
        <v>699</v>
      </c>
      <c r="AL2317" t="b">
        <v>1</v>
      </c>
      <c r="AM2317" t="b">
        <v>1</v>
      </c>
      <c r="AN2317" t="b">
        <v>0</v>
      </c>
      <c r="AO2317">
        <v>99999</v>
      </c>
      <c r="AP2317" t="s">
        <v>64</v>
      </c>
      <c r="AR2317" t="b">
        <v>0</v>
      </c>
      <c r="AS2317">
        <v>12</v>
      </c>
      <c r="AT2317" t="s">
        <v>327</v>
      </c>
      <c r="AV2317" t="s">
        <v>1095</v>
      </c>
    </row>
    <row r="2318" spans="1:48" x14ac:dyDescent="0.25">
      <c r="A2318" t="s">
        <v>3323</v>
      </c>
      <c r="B2318" t="s">
        <v>302</v>
      </c>
      <c r="C2318" t="s">
        <v>62</v>
      </c>
      <c r="D2318">
        <v>99999</v>
      </c>
      <c r="F2318" s="109">
        <v>7000</v>
      </c>
      <c r="G2318" t="b">
        <v>0</v>
      </c>
      <c r="H2318" t="s">
        <v>329</v>
      </c>
      <c r="K2318" t="s">
        <v>393</v>
      </c>
      <c r="L2318" t="s">
        <v>303</v>
      </c>
      <c r="M2318" t="s">
        <v>323</v>
      </c>
      <c r="N2318" t="s">
        <v>63</v>
      </c>
      <c r="O2318" s="110">
        <v>39.9</v>
      </c>
      <c r="R2318" s="110">
        <v>244.89000000000001</v>
      </c>
      <c r="S2318" s="110">
        <v>69.900000000000006</v>
      </c>
      <c r="T2318" s="110">
        <v>0</v>
      </c>
      <c r="U2318" s="110">
        <v>42.99</v>
      </c>
      <c r="X2318">
        <v>62.099999999999994</v>
      </c>
      <c r="Y2318">
        <v>69.900000000000006</v>
      </c>
      <c r="Z2318">
        <v>69.900000000000006</v>
      </c>
      <c r="AA2318">
        <v>0</v>
      </c>
      <c r="AB2318" t="s">
        <v>363</v>
      </c>
      <c r="AF2318" t="s">
        <v>852</v>
      </c>
      <c r="AG2318" t="s">
        <v>852</v>
      </c>
      <c r="AH2318" t="s">
        <v>758</v>
      </c>
      <c r="AI2318">
        <v>99999</v>
      </c>
      <c r="AJ2318">
        <v>99999</v>
      </c>
      <c r="AK2318">
        <v>699</v>
      </c>
      <c r="AL2318" t="b">
        <v>1</v>
      </c>
      <c r="AM2318" t="b">
        <v>1</v>
      </c>
      <c r="AN2318" t="b">
        <v>0</v>
      </c>
      <c r="AO2318">
        <v>99999</v>
      </c>
      <c r="AP2318" t="s">
        <v>64</v>
      </c>
      <c r="AR2318" t="b">
        <v>0</v>
      </c>
      <c r="AS2318">
        <v>12</v>
      </c>
      <c r="AT2318" t="s">
        <v>327</v>
      </c>
      <c r="AV2318" t="s">
        <v>880</v>
      </c>
    </row>
    <row r="2319" spans="1:48" x14ac:dyDescent="0.25">
      <c r="A2319" t="s">
        <v>3323</v>
      </c>
      <c r="B2319" t="s">
        <v>302</v>
      </c>
      <c r="C2319" t="s">
        <v>62</v>
      </c>
      <c r="D2319">
        <v>99999</v>
      </c>
      <c r="F2319" s="109">
        <v>7000</v>
      </c>
      <c r="G2319" t="b">
        <v>0</v>
      </c>
      <c r="H2319" t="s">
        <v>329</v>
      </c>
      <c r="K2319" t="s">
        <v>393</v>
      </c>
      <c r="L2319" t="s">
        <v>303</v>
      </c>
      <c r="M2319" t="s">
        <v>323</v>
      </c>
      <c r="N2319" t="s">
        <v>63</v>
      </c>
      <c r="O2319" s="110">
        <v>39.9</v>
      </c>
      <c r="R2319" s="110">
        <v>259.89</v>
      </c>
      <c r="S2319" s="110">
        <v>69.900000000000006</v>
      </c>
      <c r="T2319" s="110">
        <v>0</v>
      </c>
      <c r="U2319" s="110">
        <v>42.99</v>
      </c>
      <c r="X2319">
        <v>77.099999999999994</v>
      </c>
      <c r="Y2319">
        <v>69.900000000000006</v>
      </c>
      <c r="Z2319">
        <v>69.900000000000006</v>
      </c>
      <c r="AA2319">
        <v>0</v>
      </c>
      <c r="AB2319" t="s">
        <v>363</v>
      </c>
      <c r="AF2319" t="s">
        <v>986</v>
      </c>
      <c r="AG2319" t="s">
        <v>986</v>
      </c>
      <c r="AH2319" t="s">
        <v>758</v>
      </c>
      <c r="AI2319">
        <v>99999</v>
      </c>
      <c r="AJ2319">
        <v>99999</v>
      </c>
      <c r="AK2319">
        <v>699</v>
      </c>
      <c r="AL2319" t="b">
        <v>1</v>
      </c>
      <c r="AM2319" t="b">
        <v>1</v>
      </c>
      <c r="AN2319" t="b">
        <v>0</v>
      </c>
      <c r="AO2319">
        <v>99999</v>
      </c>
      <c r="AP2319" t="s">
        <v>64</v>
      </c>
      <c r="AR2319" t="b">
        <v>0</v>
      </c>
      <c r="AS2319">
        <v>12</v>
      </c>
      <c r="AT2319" t="s">
        <v>327</v>
      </c>
      <c r="AV2319" t="s">
        <v>1014</v>
      </c>
    </row>
    <row r="2320" spans="1:48" x14ac:dyDescent="0.25">
      <c r="A2320" t="s">
        <v>3323</v>
      </c>
      <c r="B2320" t="s">
        <v>302</v>
      </c>
      <c r="C2320" t="s">
        <v>62</v>
      </c>
      <c r="D2320">
        <v>99999</v>
      </c>
      <c r="F2320" s="109">
        <v>7000</v>
      </c>
      <c r="G2320" t="b">
        <v>0</v>
      </c>
      <c r="H2320" t="s">
        <v>329</v>
      </c>
      <c r="K2320" t="s">
        <v>393</v>
      </c>
      <c r="L2320" t="s">
        <v>303</v>
      </c>
      <c r="M2320" t="s">
        <v>323</v>
      </c>
      <c r="N2320" t="s">
        <v>63</v>
      </c>
      <c r="O2320" s="110">
        <v>39.9</v>
      </c>
      <c r="R2320" s="110">
        <v>274.89</v>
      </c>
      <c r="S2320" s="110">
        <v>70</v>
      </c>
      <c r="T2320" s="110">
        <v>0</v>
      </c>
      <c r="U2320" s="110">
        <v>42.99</v>
      </c>
      <c r="X2320">
        <v>92</v>
      </c>
      <c r="Y2320">
        <v>69.900000000000006</v>
      </c>
      <c r="Z2320">
        <v>69.900000000000006</v>
      </c>
      <c r="AA2320">
        <v>0</v>
      </c>
      <c r="AB2320" t="s">
        <v>363</v>
      </c>
      <c r="AF2320" t="s">
        <v>1134</v>
      </c>
      <c r="AG2320" t="s">
        <v>1134</v>
      </c>
      <c r="AH2320" t="s">
        <v>758</v>
      </c>
      <c r="AI2320">
        <v>99999</v>
      </c>
      <c r="AJ2320">
        <v>99999</v>
      </c>
      <c r="AK2320">
        <v>699</v>
      </c>
      <c r="AL2320" t="b">
        <v>1</v>
      </c>
      <c r="AM2320" t="b">
        <v>1</v>
      </c>
      <c r="AN2320" t="b">
        <v>0</v>
      </c>
      <c r="AO2320">
        <v>99999</v>
      </c>
      <c r="AP2320" t="s">
        <v>64</v>
      </c>
      <c r="AR2320" t="b">
        <v>0</v>
      </c>
      <c r="AS2320">
        <v>12</v>
      </c>
      <c r="AT2320" t="s">
        <v>327</v>
      </c>
      <c r="AV2320" t="s">
        <v>1162</v>
      </c>
    </row>
    <row r="2321" spans="1:48" x14ac:dyDescent="0.25">
      <c r="A2321" t="s">
        <v>3323</v>
      </c>
      <c r="B2321" t="s">
        <v>302</v>
      </c>
      <c r="C2321" t="s">
        <v>62</v>
      </c>
      <c r="D2321">
        <v>99999</v>
      </c>
      <c r="F2321" s="109">
        <v>7000</v>
      </c>
      <c r="G2321" t="b">
        <v>0</v>
      </c>
      <c r="H2321" t="s">
        <v>329</v>
      </c>
      <c r="K2321" t="s">
        <v>393</v>
      </c>
      <c r="L2321" t="s">
        <v>303</v>
      </c>
      <c r="M2321" t="s">
        <v>323</v>
      </c>
      <c r="N2321" t="s">
        <v>63</v>
      </c>
      <c r="O2321" s="110">
        <v>49.9</v>
      </c>
      <c r="R2321" s="110">
        <v>290.69</v>
      </c>
      <c r="S2321" s="110">
        <v>130</v>
      </c>
      <c r="T2321" s="110">
        <v>0</v>
      </c>
      <c r="U2321" s="110">
        <v>34.99</v>
      </c>
      <c r="X2321">
        <v>55.799999999999983</v>
      </c>
      <c r="Y2321">
        <v>69.900000000000006</v>
      </c>
      <c r="Z2321">
        <v>69.900000000000006</v>
      </c>
      <c r="AA2321">
        <v>0</v>
      </c>
      <c r="AB2321" t="s">
        <v>363</v>
      </c>
      <c r="AF2321" t="s">
        <v>2494</v>
      </c>
      <c r="AG2321" t="s">
        <v>2494</v>
      </c>
      <c r="AH2321" t="s">
        <v>758</v>
      </c>
      <c r="AI2321">
        <v>99999</v>
      </c>
      <c r="AJ2321">
        <v>99999</v>
      </c>
      <c r="AK2321">
        <v>699</v>
      </c>
      <c r="AL2321" t="b">
        <v>1</v>
      </c>
      <c r="AM2321" t="b">
        <v>1</v>
      </c>
      <c r="AN2321" t="b">
        <v>0</v>
      </c>
      <c r="AO2321">
        <v>99999</v>
      </c>
      <c r="AP2321" t="s">
        <v>64</v>
      </c>
      <c r="AR2321" t="b">
        <v>0</v>
      </c>
      <c r="AS2321">
        <v>12</v>
      </c>
      <c r="AT2321" t="s">
        <v>327</v>
      </c>
      <c r="AV2321" t="s">
        <v>2522</v>
      </c>
    </row>
    <row r="2322" spans="1:48" x14ac:dyDescent="0.25">
      <c r="A2322" t="s">
        <v>3323</v>
      </c>
      <c r="B2322" t="s">
        <v>302</v>
      </c>
      <c r="C2322" t="s">
        <v>62</v>
      </c>
      <c r="D2322">
        <v>99999</v>
      </c>
      <c r="F2322" s="109">
        <v>7000</v>
      </c>
      <c r="G2322" t="b">
        <v>0</v>
      </c>
      <c r="H2322" t="s">
        <v>329</v>
      </c>
      <c r="K2322" t="s">
        <v>393</v>
      </c>
      <c r="L2322" t="s">
        <v>303</v>
      </c>
      <c r="M2322" t="s">
        <v>323</v>
      </c>
      <c r="N2322" t="s">
        <v>63</v>
      </c>
      <c r="O2322" s="110">
        <v>49.9</v>
      </c>
      <c r="R2322" s="110">
        <v>304.99</v>
      </c>
      <c r="S2322" s="110">
        <v>130</v>
      </c>
      <c r="T2322" s="110">
        <v>0</v>
      </c>
      <c r="U2322" s="110">
        <v>42.99</v>
      </c>
      <c r="X2322">
        <v>62.099999999999994</v>
      </c>
      <c r="Y2322">
        <v>69.900000000000006</v>
      </c>
      <c r="Z2322">
        <v>69.900000000000006</v>
      </c>
      <c r="AA2322">
        <v>0</v>
      </c>
      <c r="AB2322" t="s">
        <v>363</v>
      </c>
      <c r="AF2322" t="s">
        <v>2568</v>
      </c>
      <c r="AG2322" t="s">
        <v>2568</v>
      </c>
      <c r="AH2322" t="s">
        <v>758</v>
      </c>
      <c r="AI2322">
        <v>99999</v>
      </c>
      <c r="AJ2322">
        <v>99999</v>
      </c>
      <c r="AK2322">
        <v>699</v>
      </c>
      <c r="AL2322" t="b">
        <v>1</v>
      </c>
      <c r="AM2322" t="b">
        <v>1</v>
      </c>
      <c r="AN2322" t="b">
        <v>0</v>
      </c>
      <c r="AO2322">
        <v>99999</v>
      </c>
      <c r="AP2322" t="s">
        <v>64</v>
      </c>
      <c r="AR2322" t="b">
        <v>0</v>
      </c>
      <c r="AS2322">
        <v>12</v>
      </c>
      <c r="AT2322" t="s">
        <v>327</v>
      </c>
      <c r="AV2322" t="s">
        <v>2596</v>
      </c>
    </row>
    <row r="2323" spans="1:48" x14ac:dyDescent="0.25">
      <c r="A2323" t="s">
        <v>3323</v>
      </c>
      <c r="B2323" t="s">
        <v>302</v>
      </c>
      <c r="C2323" t="s">
        <v>62</v>
      </c>
      <c r="D2323">
        <v>99999</v>
      </c>
      <c r="F2323" s="109">
        <v>7000</v>
      </c>
      <c r="G2323" t="b">
        <v>0</v>
      </c>
      <c r="H2323" t="s">
        <v>329</v>
      </c>
      <c r="K2323" t="s">
        <v>393</v>
      </c>
      <c r="L2323" t="s">
        <v>303</v>
      </c>
      <c r="M2323" t="s">
        <v>323</v>
      </c>
      <c r="N2323" t="s">
        <v>63</v>
      </c>
      <c r="O2323" s="110">
        <v>49.9</v>
      </c>
      <c r="R2323" s="110">
        <v>319.99</v>
      </c>
      <c r="S2323" s="110">
        <v>130</v>
      </c>
      <c r="T2323" s="110">
        <v>0</v>
      </c>
      <c r="U2323" s="110">
        <v>42.99</v>
      </c>
      <c r="X2323">
        <v>77.099999999999994</v>
      </c>
      <c r="Y2323">
        <v>69.900000000000006</v>
      </c>
      <c r="Z2323">
        <v>69.900000000000006</v>
      </c>
      <c r="AA2323">
        <v>0</v>
      </c>
      <c r="AB2323" t="s">
        <v>363</v>
      </c>
      <c r="AF2323" t="s">
        <v>2633</v>
      </c>
      <c r="AG2323" t="s">
        <v>2633</v>
      </c>
      <c r="AH2323" t="s">
        <v>758</v>
      </c>
      <c r="AI2323">
        <v>99999</v>
      </c>
      <c r="AJ2323">
        <v>99999</v>
      </c>
      <c r="AK2323">
        <v>699</v>
      </c>
      <c r="AL2323" t="b">
        <v>1</v>
      </c>
      <c r="AM2323" t="b">
        <v>1</v>
      </c>
      <c r="AN2323" t="b">
        <v>0</v>
      </c>
      <c r="AO2323">
        <v>99999</v>
      </c>
      <c r="AP2323" t="s">
        <v>64</v>
      </c>
      <c r="AR2323" t="b">
        <v>0</v>
      </c>
      <c r="AS2323">
        <v>12</v>
      </c>
      <c r="AT2323" t="s">
        <v>327</v>
      </c>
      <c r="AV2323" t="s">
        <v>2659</v>
      </c>
    </row>
    <row r="2324" spans="1:48" x14ac:dyDescent="0.25">
      <c r="A2324" t="s">
        <v>3323</v>
      </c>
      <c r="B2324" t="s">
        <v>302</v>
      </c>
      <c r="C2324" t="s">
        <v>62</v>
      </c>
      <c r="D2324">
        <v>99999</v>
      </c>
      <c r="F2324" s="109">
        <v>7000</v>
      </c>
      <c r="G2324" t="b">
        <v>0</v>
      </c>
      <c r="H2324" t="s">
        <v>329</v>
      </c>
      <c r="K2324" t="s">
        <v>393</v>
      </c>
      <c r="L2324" t="s">
        <v>303</v>
      </c>
      <c r="M2324" t="s">
        <v>323</v>
      </c>
      <c r="N2324" t="s">
        <v>63</v>
      </c>
      <c r="O2324" s="110">
        <v>49.9</v>
      </c>
      <c r="R2324" s="110">
        <v>334.89</v>
      </c>
      <c r="S2324" s="110">
        <v>130</v>
      </c>
      <c r="T2324" s="110">
        <v>0</v>
      </c>
      <c r="U2324" s="110">
        <v>42.99</v>
      </c>
      <c r="X2324">
        <v>92</v>
      </c>
      <c r="Y2324">
        <v>69.900000000000006</v>
      </c>
      <c r="Z2324">
        <v>69.900000000000006</v>
      </c>
      <c r="AA2324">
        <v>0</v>
      </c>
      <c r="AB2324" t="s">
        <v>363</v>
      </c>
      <c r="AF2324" t="s">
        <v>2704</v>
      </c>
      <c r="AG2324" t="s">
        <v>2704</v>
      </c>
      <c r="AH2324" t="s">
        <v>758</v>
      </c>
      <c r="AI2324">
        <v>99999</v>
      </c>
      <c r="AJ2324">
        <v>99999</v>
      </c>
      <c r="AK2324">
        <v>699</v>
      </c>
      <c r="AL2324" t="b">
        <v>1</v>
      </c>
      <c r="AM2324" t="b">
        <v>1</v>
      </c>
      <c r="AN2324" t="b">
        <v>0</v>
      </c>
      <c r="AO2324">
        <v>99999</v>
      </c>
      <c r="AP2324" t="s">
        <v>64</v>
      </c>
      <c r="AR2324" t="b">
        <v>0</v>
      </c>
      <c r="AS2324">
        <v>12</v>
      </c>
      <c r="AT2324" t="s">
        <v>327</v>
      </c>
      <c r="AV2324" t="s">
        <v>2732</v>
      </c>
    </row>
    <row r="2325" spans="1:48" x14ac:dyDescent="0.25">
      <c r="A2325" t="s">
        <v>3323</v>
      </c>
      <c r="B2325" t="s">
        <v>302</v>
      </c>
      <c r="C2325" t="s">
        <v>62</v>
      </c>
      <c r="D2325">
        <v>99999</v>
      </c>
      <c r="F2325" s="109">
        <v>7000</v>
      </c>
      <c r="G2325" t="b">
        <v>0</v>
      </c>
      <c r="H2325" t="s">
        <v>329</v>
      </c>
      <c r="K2325" t="s">
        <v>364</v>
      </c>
      <c r="L2325" t="s">
        <v>303</v>
      </c>
      <c r="M2325" t="s">
        <v>323</v>
      </c>
      <c r="N2325" t="s">
        <v>63</v>
      </c>
      <c r="O2325" s="110">
        <v>29.9</v>
      </c>
      <c r="R2325" s="110">
        <v>224.89000000000001</v>
      </c>
      <c r="S2325" s="110">
        <v>69.900000000000006</v>
      </c>
      <c r="T2325" s="110">
        <v>0</v>
      </c>
      <c r="U2325" s="110">
        <v>42.99</v>
      </c>
      <c r="X2325">
        <v>62.099999999999994</v>
      </c>
      <c r="Y2325">
        <v>49.9</v>
      </c>
      <c r="Z2325">
        <v>49.9</v>
      </c>
      <c r="AA2325">
        <v>0</v>
      </c>
      <c r="AB2325" t="s">
        <v>363</v>
      </c>
      <c r="AF2325" t="s">
        <v>785</v>
      </c>
      <c r="AG2325" t="s">
        <v>785</v>
      </c>
      <c r="AH2325" t="s">
        <v>758</v>
      </c>
      <c r="AI2325">
        <v>99999</v>
      </c>
      <c r="AJ2325">
        <v>99999</v>
      </c>
      <c r="AK2325">
        <v>699</v>
      </c>
      <c r="AL2325" t="b">
        <v>1</v>
      </c>
      <c r="AM2325" t="b">
        <v>1</v>
      </c>
      <c r="AN2325" t="b">
        <v>0</v>
      </c>
      <c r="AO2325">
        <v>99999</v>
      </c>
      <c r="AP2325" t="s">
        <v>64</v>
      </c>
      <c r="AR2325" t="b">
        <v>0</v>
      </c>
      <c r="AS2325">
        <v>12</v>
      </c>
      <c r="AT2325" t="s">
        <v>327</v>
      </c>
      <c r="AV2325" t="s">
        <v>787</v>
      </c>
    </row>
    <row r="2326" spans="1:48" x14ac:dyDescent="0.25">
      <c r="A2326" t="s">
        <v>3323</v>
      </c>
      <c r="B2326" t="s">
        <v>302</v>
      </c>
      <c r="C2326" t="s">
        <v>62</v>
      </c>
      <c r="D2326">
        <v>99999</v>
      </c>
      <c r="F2326" s="109">
        <v>7000</v>
      </c>
      <c r="G2326" t="b">
        <v>0</v>
      </c>
      <c r="H2326" t="s">
        <v>329</v>
      </c>
      <c r="K2326" t="s">
        <v>364</v>
      </c>
      <c r="L2326" t="s">
        <v>303</v>
      </c>
      <c r="M2326" t="s">
        <v>323</v>
      </c>
      <c r="N2326" t="s">
        <v>63</v>
      </c>
      <c r="O2326" s="110">
        <v>29.9</v>
      </c>
      <c r="R2326" s="110">
        <v>239.89000000000001</v>
      </c>
      <c r="S2326" s="110">
        <v>69.900000000000006</v>
      </c>
      <c r="T2326" s="110">
        <v>0</v>
      </c>
      <c r="U2326" s="110">
        <v>42.99</v>
      </c>
      <c r="X2326">
        <v>77.099999999999994</v>
      </c>
      <c r="Y2326">
        <v>49.9</v>
      </c>
      <c r="Z2326">
        <v>49.9</v>
      </c>
      <c r="AA2326">
        <v>0</v>
      </c>
      <c r="AB2326" t="s">
        <v>363</v>
      </c>
      <c r="AF2326" t="s">
        <v>919</v>
      </c>
      <c r="AG2326" t="s">
        <v>919</v>
      </c>
      <c r="AH2326" t="s">
        <v>758</v>
      </c>
      <c r="AI2326">
        <v>99999</v>
      </c>
      <c r="AJ2326">
        <v>99999</v>
      </c>
      <c r="AK2326">
        <v>699</v>
      </c>
      <c r="AL2326" t="b">
        <v>1</v>
      </c>
      <c r="AM2326" t="b">
        <v>1</v>
      </c>
      <c r="AN2326" t="b">
        <v>0</v>
      </c>
      <c r="AO2326">
        <v>99999</v>
      </c>
      <c r="AP2326" t="s">
        <v>64</v>
      </c>
      <c r="AR2326" t="b">
        <v>0</v>
      </c>
      <c r="AS2326">
        <v>12</v>
      </c>
      <c r="AT2326" t="s">
        <v>327</v>
      </c>
      <c r="AV2326" t="s">
        <v>921</v>
      </c>
    </row>
    <row r="2327" spans="1:48" x14ac:dyDescent="0.25">
      <c r="A2327" t="s">
        <v>3323</v>
      </c>
      <c r="B2327" t="s">
        <v>302</v>
      </c>
      <c r="C2327" t="s">
        <v>62</v>
      </c>
      <c r="D2327">
        <v>99999</v>
      </c>
      <c r="F2327" s="109">
        <v>7000</v>
      </c>
      <c r="G2327" t="b">
        <v>0</v>
      </c>
      <c r="H2327" t="s">
        <v>329</v>
      </c>
      <c r="K2327" t="s">
        <v>364</v>
      </c>
      <c r="L2327" t="s">
        <v>303</v>
      </c>
      <c r="M2327" t="s">
        <v>323</v>
      </c>
      <c r="N2327" t="s">
        <v>63</v>
      </c>
      <c r="O2327" s="110">
        <v>29.9</v>
      </c>
      <c r="R2327" s="110">
        <v>254.89</v>
      </c>
      <c r="S2327" s="110">
        <v>70</v>
      </c>
      <c r="T2327" s="110">
        <v>0</v>
      </c>
      <c r="U2327" s="110">
        <v>42.99</v>
      </c>
      <c r="X2327">
        <v>92</v>
      </c>
      <c r="Y2327">
        <v>49.9</v>
      </c>
      <c r="Z2327">
        <v>49.9</v>
      </c>
      <c r="AA2327">
        <v>0</v>
      </c>
      <c r="AB2327" t="s">
        <v>363</v>
      </c>
      <c r="AF2327" t="s">
        <v>1067</v>
      </c>
      <c r="AG2327" t="s">
        <v>1067</v>
      </c>
      <c r="AH2327" t="s">
        <v>758</v>
      </c>
      <c r="AI2327">
        <v>99999</v>
      </c>
      <c r="AJ2327">
        <v>99999</v>
      </c>
      <c r="AK2327">
        <v>699</v>
      </c>
      <c r="AL2327" t="b">
        <v>1</v>
      </c>
      <c r="AM2327" t="b">
        <v>1</v>
      </c>
      <c r="AN2327" t="b">
        <v>0</v>
      </c>
      <c r="AO2327">
        <v>99999</v>
      </c>
      <c r="AP2327" t="s">
        <v>64</v>
      </c>
      <c r="AR2327" t="b">
        <v>0</v>
      </c>
      <c r="AS2327">
        <v>12</v>
      </c>
      <c r="AT2327" t="s">
        <v>327</v>
      </c>
      <c r="AV2327" t="s">
        <v>1069</v>
      </c>
    </row>
    <row r="2328" spans="1:48" x14ac:dyDescent="0.25">
      <c r="A2328" t="s">
        <v>3323</v>
      </c>
      <c r="B2328" t="s">
        <v>302</v>
      </c>
      <c r="C2328" t="s">
        <v>62</v>
      </c>
      <c r="D2328">
        <v>99999</v>
      </c>
      <c r="F2328" s="109">
        <v>7000</v>
      </c>
      <c r="G2328" t="b">
        <v>0</v>
      </c>
      <c r="H2328" t="s">
        <v>329</v>
      </c>
      <c r="K2328" t="s">
        <v>364</v>
      </c>
      <c r="L2328" t="s">
        <v>303</v>
      </c>
      <c r="M2328" t="s">
        <v>323</v>
      </c>
      <c r="N2328" t="s">
        <v>63</v>
      </c>
      <c r="O2328" s="110">
        <v>39.9</v>
      </c>
      <c r="R2328" s="110">
        <v>224.89000000000001</v>
      </c>
      <c r="S2328" s="110">
        <v>69.900000000000006</v>
      </c>
      <c r="T2328" s="110">
        <v>0</v>
      </c>
      <c r="U2328" s="110">
        <v>42.99</v>
      </c>
      <c r="X2328">
        <v>62.099999999999994</v>
      </c>
      <c r="Y2328">
        <v>49.9</v>
      </c>
      <c r="Z2328">
        <v>49.9</v>
      </c>
      <c r="AA2328">
        <v>0</v>
      </c>
      <c r="AB2328" t="s">
        <v>363</v>
      </c>
      <c r="AF2328" t="s">
        <v>852</v>
      </c>
      <c r="AG2328" t="s">
        <v>852</v>
      </c>
      <c r="AH2328" t="s">
        <v>758</v>
      </c>
      <c r="AI2328">
        <v>99999</v>
      </c>
      <c r="AJ2328">
        <v>99999</v>
      </c>
      <c r="AK2328">
        <v>699</v>
      </c>
      <c r="AL2328" t="b">
        <v>1</v>
      </c>
      <c r="AM2328" t="b">
        <v>1</v>
      </c>
      <c r="AN2328" t="b">
        <v>0</v>
      </c>
      <c r="AO2328">
        <v>99999</v>
      </c>
      <c r="AP2328" t="s">
        <v>64</v>
      </c>
      <c r="AR2328" t="b">
        <v>0</v>
      </c>
      <c r="AS2328">
        <v>12</v>
      </c>
      <c r="AT2328" t="s">
        <v>327</v>
      </c>
      <c r="AV2328" t="s">
        <v>854</v>
      </c>
    </row>
    <row r="2329" spans="1:48" x14ac:dyDescent="0.25">
      <c r="A2329" t="s">
        <v>3323</v>
      </c>
      <c r="B2329" t="s">
        <v>302</v>
      </c>
      <c r="C2329" t="s">
        <v>62</v>
      </c>
      <c r="D2329">
        <v>99999</v>
      </c>
      <c r="F2329" s="109">
        <v>7000</v>
      </c>
      <c r="G2329" t="b">
        <v>0</v>
      </c>
      <c r="H2329" t="s">
        <v>329</v>
      </c>
      <c r="K2329" t="s">
        <v>364</v>
      </c>
      <c r="L2329" t="s">
        <v>303</v>
      </c>
      <c r="M2329" t="s">
        <v>323</v>
      </c>
      <c r="N2329" t="s">
        <v>63</v>
      </c>
      <c r="O2329" s="110">
        <v>39.9</v>
      </c>
      <c r="R2329" s="110">
        <v>239.89000000000001</v>
      </c>
      <c r="S2329" s="110">
        <v>69.900000000000006</v>
      </c>
      <c r="T2329" s="110">
        <v>0</v>
      </c>
      <c r="U2329" s="110">
        <v>42.99</v>
      </c>
      <c r="X2329">
        <v>77.099999999999994</v>
      </c>
      <c r="Y2329">
        <v>49.9</v>
      </c>
      <c r="Z2329">
        <v>49.9</v>
      </c>
      <c r="AA2329">
        <v>0</v>
      </c>
      <c r="AB2329" t="s">
        <v>363</v>
      </c>
      <c r="AF2329" t="s">
        <v>986</v>
      </c>
      <c r="AG2329" t="s">
        <v>986</v>
      </c>
      <c r="AH2329" t="s">
        <v>758</v>
      </c>
      <c r="AI2329">
        <v>99999</v>
      </c>
      <c r="AJ2329">
        <v>99999</v>
      </c>
      <c r="AK2329">
        <v>699</v>
      </c>
      <c r="AL2329" t="b">
        <v>1</v>
      </c>
      <c r="AM2329" t="b">
        <v>1</v>
      </c>
      <c r="AN2329" t="b">
        <v>0</v>
      </c>
      <c r="AO2329">
        <v>99999</v>
      </c>
      <c r="AP2329" t="s">
        <v>64</v>
      </c>
      <c r="AR2329" t="b">
        <v>0</v>
      </c>
      <c r="AS2329">
        <v>12</v>
      </c>
      <c r="AT2329" t="s">
        <v>327</v>
      </c>
      <c r="AV2329" t="s">
        <v>988</v>
      </c>
    </row>
    <row r="2330" spans="1:48" x14ac:dyDescent="0.25">
      <c r="A2330" t="s">
        <v>3323</v>
      </c>
      <c r="B2330" t="s">
        <v>302</v>
      </c>
      <c r="C2330" t="s">
        <v>62</v>
      </c>
      <c r="D2330">
        <v>99999</v>
      </c>
      <c r="F2330" s="109">
        <v>7000</v>
      </c>
      <c r="G2330" t="b">
        <v>0</v>
      </c>
      <c r="H2330" t="s">
        <v>329</v>
      </c>
      <c r="K2330" t="s">
        <v>364</v>
      </c>
      <c r="L2330" t="s">
        <v>303</v>
      </c>
      <c r="M2330" t="s">
        <v>323</v>
      </c>
      <c r="N2330" t="s">
        <v>63</v>
      </c>
      <c r="O2330" s="110">
        <v>39.9</v>
      </c>
      <c r="R2330" s="110">
        <v>254.89</v>
      </c>
      <c r="S2330" s="110">
        <v>70</v>
      </c>
      <c r="T2330" s="110">
        <v>0</v>
      </c>
      <c r="U2330" s="110">
        <v>42.99</v>
      </c>
      <c r="X2330">
        <v>92</v>
      </c>
      <c r="Y2330">
        <v>49.9</v>
      </c>
      <c r="Z2330">
        <v>49.9</v>
      </c>
      <c r="AA2330">
        <v>0</v>
      </c>
      <c r="AB2330" t="s">
        <v>363</v>
      </c>
      <c r="AF2330" t="s">
        <v>1134</v>
      </c>
      <c r="AG2330" t="s">
        <v>1134</v>
      </c>
      <c r="AH2330" t="s">
        <v>758</v>
      </c>
      <c r="AI2330">
        <v>99999</v>
      </c>
      <c r="AJ2330">
        <v>99999</v>
      </c>
      <c r="AK2330">
        <v>699</v>
      </c>
      <c r="AL2330" t="b">
        <v>1</v>
      </c>
      <c r="AM2330" t="b">
        <v>1</v>
      </c>
      <c r="AN2330" t="b">
        <v>0</v>
      </c>
      <c r="AO2330">
        <v>99999</v>
      </c>
      <c r="AP2330" t="s">
        <v>64</v>
      </c>
      <c r="AR2330" t="b">
        <v>0</v>
      </c>
      <c r="AS2330">
        <v>12</v>
      </c>
      <c r="AT2330" t="s">
        <v>327</v>
      </c>
      <c r="AV2330" t="s">
        <v>1136</v>
      </c>
    </row>
    <row r="2331" spans="1:48" x14ac:dyDescent="0.25">
      <c r="A2331" t="s">
        <v>3323</v>
      </c>
      <c r="B2331" t="s">
        <v>302</v>
      </c>
      <c r="C2331" t="s">
        <v>62</v>
      </c>
      <c r="D2331">
        <v>99999</v>
      </c>
      <c r="F2331" s="109">
        <v>7000</v>
      </c>
      <c r="G2331" t="b">
        <v>0</v>
      </c>
      <c r="H2331" t="s">
        <v>329</v>
      </c>
      <c r="K2331" t="s">
        <v>364</v>
      </c>
      <c r="L2331" t="s">
        <v>303</v>
      </c>
      <c r="M2331" t="s">
        <v>323</v>
      </c>
      <c r="N2331" t="s">
        <v>63</v>
      </c>
      <c r="O2331" s="110">
        <v>49.9</v>
      </c>
      <c r="R2331" s="110">
        <v>270.68999999999994</v>
      </c>
      <c r="S2331" s="110">
        <v>130</v>
      </c>
      <c r="T2331" s="110">
        <v>0</v>
      </c>
      <c r="U2331" s="110">
        <v>34.99</v>
      </c>
      <c r="X2331">
        <v>55.799999999999983</v>
      </c>
      <c r="Y2331">
        <v>49.9</v>
      </c>
      <c r="Z2331">
        <v>49.9</v>
      </c>
      <c r="AA2331">
        <v>0</v>
      </c>
      <c r="AB2331" t="s">
        <v>363</v>
      </c>
      <c r="AF2331" t="s">
        <v>2494</v>
      </c>
      <c r="AG2331" t="s">
        <v>2494</v>
      </c>
      <c r="AH2331" t="s">
        <v>758</v>
      </c>
      <c r="AI2331">
        <v>99999</v>
      </c>
      <c r="AJ2331">
        <v>99999</v>
      </c>
      <c r="AK2331">
        <v>699</v>
      </c>
      <c r="AL2331" t="b">
        <v>1</v>
      </c>
      <c r="AM2331" t="b">
        <v>1</v>
      </c>
      <c r="AN2331" t="b">
        <v>0</v>
      </c>
      <c r="AO2331">
        <v>99999</v>
      </c>
      <c r="AP2331" t="s">
        <v>64</v>
      </c>
      <c r="AR2331" t="b">
        <v>0</v>
      </c>
      <c r="AS2331">
        <v>12</v>
      </c>
      <c r="AT2331" t="s">
        <v>327</v>
      </c>
      <c r="AV2331" t="s">
        <v>2496</v>
      </c>
    </row>
    <row r="2332" spans="1:48" x14ac:dyDescent="0.25">
      <c r="A2332" t="s">
        <v>3323</v>
      </c>
      <c r="B2332" t="s">
        <v>302</v>
      </c>
      <c r="C2332" t="s">
        <v>62</v>
      </c>
      <c r="D2332">
        <v>99999</v>
      </c>
      <c r="F2332" s="109">
        <v>7000</v>
      </c>
      <c r="G2332" t="b">
        <v>0</v>
      </c>
      <c r="H2332" t="s">
        <v>329</v>
      </c>
      <c r="K2332" t="s">
        <v>364</v>
      </c>
      <c r="L2332" t="s">
        <v>303</v>
      </c>
      <c r="M2332" t="s">
        <v>323</v>
      </c>
      <c r="N2332" t="s">
        <v>63</v>
      </c>
      <c r="O2332" s="110">
        <v>49.9</v>
      </c>
      <c r="R2332" s="110">
        <v>284.99</v>
      </c>
      <c r="S2332" s="110">
        <v>130</v>
      </c>
      <c r="T2332" s="110">
        <v>0</v>
      </c>
      <c r="U2332" s="110">
        <v>42.99</v>
      </c>
      <c r="X2332">
        <v>62.099999999999994</v>
      </c>
      <c r="Y2332">
        <v>49.9</v>
      </c>
      <c r="Z2332">
        <v>49.9</v>
      </c>
      <c r="AA2332">
        <v>0</v>
      </c>
      <c r="AB2332" t="s">
        <v>363</v>
      </c>
      <c r="AF2332" t="s">
        <v>2568</v>
      </c>
      <c r="AG2332" t="s">
        <v>2568</v>
      </c>
      <c r="AH2332" t="s">
        <v>758</v>
      </c>
      <c r="AI2332">
        <v>99999</v>
      </c>
      <c r="AJ2332">
        <v>99999</v>
      </c>
      <c r="AK2332">
        <v>699</v>
      </c>
      <c r="AL2332" t="b">
        <v>1</v>
      </c>
      <c r="AM2332" t="b">
        <v>1</v>
      </c>
      <c r="AN2332" t="b">
        <v>0</v>
      </c>
      <c r="AO2332">
        <v>99999</v>
      </c>
      <c r="AP2332" t="s">
        <v>64</v>
      </c>
      <c r="AR2332" t="b">
        <v>0</v>
      </c>
      <c r="AS2332">
        <v>12</v>
      </c>
      <c r="AT2332" t="s">
        <v>327</v>
      </c>
      <c r="AV2332" t="s">
        <v>2570</v>
      </c>
    </row>
    <row r="2333" spans="1:48" x14ac:dyDescent="0.25">
      <c r="A2333" t="s">
        <v>3323</v>
      </c>
      <c r="B2333" t="s">
        <v>302</v>
      </c>
      <c r="C2333" t="s">
        <v>62</v>
      </c>
      <c r="D2333">
        <v>99999</v>
      </c>
      <c r="F2333" s="109">
        <v>7000</v>
      </c>
      <c r="G2333" t="b">
        <v>0</v>
      </c>
      <c r="H2333" t="s">
        <v>329</v>
      </c>
      <c r="K2333" t="s">
        <v>364</v>
      </c>
      <c r="L2333" t="s">
        <v>303</v>
      </c>
      <c r="M2333" t="s">
        <v>323</v>
      </c>
      <c r="N2333" t="s">
        <v>63</v>
      </c>
      <c r="O2333" s="110">
        <v>49.9</v>
      </c>
      <c r="R2333" s="110">
        <v>299.99</v>
      </c>
      <c r="S2333" s="110">
        <v>130</v>
      </c>
      <c r="T2333" s="110">
        <v>0</v>
      </c>
      <c r="U2333" s="110">
        <v>42.99</v>
      </c>
      <c r="X2333">
        <v>77.099999999999994</v>
      </c>
      <c r="Y2333">
        <v>49.9</v>
      </c>
      <c r="Z2333">
        <v>49.9</v>
      </c>
      <c r="AA2333">
        <v>0</v>
      </c>
      <c r="AB2333" t="s">
        <v>363</v>
      </c>
      <c r="AF2333" t="s">
        <v>2633</v>
      </c>
      <c r="AG2333" t="s">
        <v>2633</v>
      </c>
      <c r="AH2333" t="s">
        <v>758</v>
      </c>
      <c r="AI2333">
        <v>99999</v>
      </c>
      <c r="AJ2333">
        <v>99999</v>
      </c>
      <c r="AK2333">
        <v>699</v>
      </c>
      <c r="AL2333" t="b">
        <v>1</v>
      </c>
      <c r="AM2333" t="b">
        <v>1</v>
      </c>
      <c r="AN2333" t="b">
        <v>0</v>
      </c>
      <c r="AO2333">
        <v>99999</v>
      </c>
      <c r="AP2333" t="s">
        <v>64</v>
      </c>
      <c r="AR2333" t="b">
        <v>0</v>
      </c>
      <c r="AS2333">
        <v>12</v>
      </c>
      <c r="AT2333" t="s">
        <v>327</v>
      </c>
      <c r="AV2333" t="s">
        <v>2635</v>
      </c>
    </row>
    <row r="2334" spans="1:48" x14ac:dyDescent="0.25">
      <c r="A2334" t="s">
        <v>3323</v>
      </c>
      <c r="B2334" t="s">
        <v>302</v>
      </c>
      <c r="C2334" t="s">
        <v>62</v>
      </c>
      <c r="D2334">
        <v>99999</v>
      </c>
      <c r="F2334" s="109">
        <v>7000</v>
      </c>
      <c r="G2334" t="b">
        <v>0</v>
      </c>
      <c r="H2334" t="s">
        <v>329</v>
      </c>
      <c r="K2334" t="s">
        <v>364</v>
      </c>
      <c r="L2334" t="s">
        <v>303</v>
      </c>
      <c r="M2334" t="s">
        <v>323</v>
      </c>
      <c r="N2334" t="s">
        <v>63</v>
      </c>
      <c r="O2334" s="110">
        <v>49.9</v>
      </c>
      <c r="R2334" s="110">
        <v>314.89</v>
      </c>
      <c r="S2334" s="110">
        <v>130</v>
      </c>
      <c r="T2334" s="110">
        <v>0</v>
      </c>
      <c r="U2334" s="110">
        <v>42.99</v>
      </c>
      <c r="X2334">
        <v>92</v>
      </c>
      <c r="Y2334">
        <v>49.9</v>
      </c>
      <c r="Z2334">
        <v>49.9</v>
      </c>
      <c r="AA2334">
        <v>0</v>
      </c>
      <c r="AB2334" t="s">
        <v>363</v>
      </c>
      <c r="AF2334" t="s">
        <v>2704</v>
      </c>
      <c r="AG2334" t="s">
        <v>2704</v>
      </c>
      <c r="AH2334" t="s">
        <v>758</v>
      </c>
      <c r="AI2334">
        <v>99999</v>
      </c>
      <c r="AJ2334">
        <v>99999</v>
      </c>
      <c r="AK2334">
        <v>699</v>
      </c>
      <c r="AL2334" t="b">
        <v>1</v>
      </c>
      <c r="AM2334" t="b">
        <v>1</v>
      </c>
      <c r="AN2334" t="b">
        <v>0</v>
      </c>
      <c r="AO2334">
        <v>99999</v>
      </c>
      <c r="AP2334" t="s">
        <v>64</v>
      </c>
      <c r="AR2334" t="b">
        <v>0</v>
      </c>
      <c r="AS2334">
        <v>12</v>
      </c>
      <c r="AT2334" t="s">
        <v>327</v>
      </c>
      <c r="AV2334" t="s">
        <v>2706</v>
      </c>
    </row>
    <row r="2335" spans="1:48" x14ac:dyDescent="0.25">
      <c r="A2335" t="s">
        <v>3323</v>
      </c>
      <c r="B2335" t="s">
        <v>302</v>
      </c>
      <c r="C2335" t="s">
        <v>62</v>
      </c>
      <c r="D2335">
        <v>99999</v>
      </c>
      <c r="F2335" s="109">
        <v>7000</v>
      </c>
      <c r="G2335" t="b">
        <v>0</v>
      </c>
      <c r="H2335" t="s">
        <v>329</v>
      </c>
      <c r="K2335" t="s">
        <v>379</v>
      </c>
      <c r="L2335" t="s">
        <v>303</v>
      </c>
      <c r="M2335" t="s">
        <v>323</v>
      </c>
      <c r="N2335" t="s">
        <v>63</v>
      </c>
      <c r="O2335" s="110">
        <v>29.9</v>
      </c>
      <c r="R2335" s="110">
        <v>234.89000000000001</v>
      </c>
      <c r="S2335" s="110">
        <v>69.900000000000006</v>
      </c>
      <c r="T2335" s="110">
        <v>0</v>
      </c>
      <c r="U2335" s="110">
        <v>42.99</v>
      </c>
      <c r="X2335">
        <v>62.099999999999994</v>
      </c>
      <c r="Y2335">
        <v>59.9</v>
      </c>
      <c r="Z2335">
        <v>59.9</v>
      </c>
      <c r="AA2335">
        <v>0</v>
      </c>
      <c r="AB2335" t="s">
        <v>363</v>
      </c>
      <c r="AF2335" t="s">
        <v>785</v>
      </c>
      <c r="AG2335" t="s">
        <v>785</v>
      </c>
      <c r="AH2335" t="s">
        <v>758</v>
      </c>
      <c r="AI2335">
        <v>99999</v>
      </c>
      <c r="AJ2335">
        <v>99999</v>
      </c>
      <c r="AK2335">
        <v>699</v>
      </c>
      <c r="AL2335" t="b">
        <v>1</v>
      </c>
      <c r="AM2335" t="b">
        <v>1</v>
      </c>
      <c r="AN2335" t="b">
        <v>0</v>
      </c>
      <c r="AO2335">
        <v>99999</v>
      </c>
      <c r="AP2335" t="s">
        <v>64</v>
      </c>
      <c r="AR2335" t="b">
        <v>0</v>
      </c>
      <c r="AS2335">
        <v>12</v>
      </c>
      <c r="AT2335" t="s">
        <v>327</v>
      </c>
      <c r="AV2335" t="s">
        <v>800</v>
      </c>
    </row>
    <row r="2336" spans="1:48" x14ac:dyDescent="0.25">
      <c r="A2336" t="s">
        <v>3323</v>
      </c>
      <c r="B2336" t="s">
        <v>302</v>
      </c>
      <c r="C2336" t="s">
        <v>62</v>
      </c>
      <c r="D2336">
        <v>99999</v>
      </c>
      <c r="F2336" s="109">
        <v>7000</v>
      </c>
      <c r="G2336" t="b">
        <v>0</v>
      </c>
      <c r="H2336" t="s">
        <v>329</v>
      </c>
      <c r="K2336" t="s">
        <v>379</v>
      </c>
      <c r="L2336" t="s">
        <v>303</v>
      </c>
      <c r="M2336" t="s">
        <v>323</v>
      </c>
      <c r="N2336" t="s">
        <v>63</v>
      </c>
      <c r="O2336" s="110">
        <v>29.9</v>
      </c>
      <c r="R2336" s="110">
        <v>249.89000000000001</v>
      </c>
      <c r="S2336" s="110">
        <v>69.900000000000006</v>
      </c>
      <c r="T2336" s="110">
        <v>0</v>
      </c>
      <c r="U2336" s="110">
        <v>42.99</v>
      </c>
      <c r="X2336">
        <v>77.099999999999994</v>
      </c>
      <c r="Y2336">
        <v>59.9</v>
      </c>
      <c r="Z2336">
        <v>59.9</v>
      </c>
      <c r="AA2336">
        <v>0</v>
      </c>
      <c r="AB2336" t="s">
        <v>363</v>
      </c>
      <c r="AF2336" t="s">
        <v>919</v>
      </c>
      <c r="AG2336" t="s">
        <v>919</v>
      </c>
      <c r="AH2336" t="s">
        <v>758</v>
      </c>
      <c r="AI2336">
        <v>99999</v>
      </c>
      <c r="AJ2336">
        <v>99999</v>
      </c>
      <c r="AK2336">
        <v>699</v>
      </c>
      <c r="AL2336" t="b">
        <v>1</v>
      </c>
      <c r="AM2336" t="b">
        <v>1</v>
      </c>
      <c r="AN2336" t="b">
        <v>0</v>
      </c>
      <c r="AO2336">
        <v>99999</v>
      </c>
      <c r="AP2336" t="s">
        <v>64</v>
      </c>
      <c r="AR2336" t="b">
        <v>0</v>
      </c>
      <c r="AS2336">
        <v>12</v>
      </c>
      <c r="AT2336" t="s">
        <v>327</v>
      </c>
      <c r="AV2336" t="s">
        <v>934</v>
      </c>
    </row>
    <row r="2337" spans="1:48" x14ac:dyDescent="0.25">
      <c r="A2337" t="s">
        <v>3323</v>
      </c>
      <c r="B2337" t="s">
        <v>302</v>
      </c>
      <c r="C2337" t="s">
        <v>62</v>
      </c>
      <c r="D2337">
        <v>99999</v>
      </c>
      <c r="F2337" s="109">
        <v>7000</v>
      </c>
      <c r="G2337" t="b">
        <v>0</v>
      </c>
      <c r="H2337" t="s">
        <v>329</v>
      </c>
      <c r="K2337" t="s">
        <v>379</v>
      </c>
      <c r="L2337" t="s">
        <v>303</v>
      </c>
      <c r="M2337" t="s">
        <v>323</v>
      </c>
      <c r="N2337" t="s">
        <v>63</v>
      </c>
      <c r="O2337" s="110">
        <v>29.9</v>
      </c>
      <c r="R2337" s="110">
        <v>264.89</v>
      </c>
      <c r="S2337" s="110">
        <v>70</v>
      </c>
      <c r="T2337" s="110">
        <v>0</v>
      </c>
      <c r="U2337" s="110">
        <v>42.99</v>
      </c>
      <c r="X2337">
        <v>92</v>
      </c>
      <c r="Y2337">
        <v>59.9</v>
      </c>
      <c r="Z2337">
        <v>59.9</v>
      </c>
      <c r="AA2337">
        <v>0</v>
      </c>
      <c r="AB2337" t="s">
        <v>363</v>
      </c>
      <c r="AF2337" t="s">
        <v>1067</v>
      </c>
      <c r="AG2337" t="s">
        <v>1067</v>
      </c>
      <c r="AH2337" t="s">
        <v>758</v>
      </c>
      <c r="AI2337">
        <v>99999</v>
      </c>
      <c r="AJ2337">
        <v>99999</v>
      </c>
      <c r="AK2337">
        <v>699</v>
      </c>
      <c r="AL2337" t="b">
        <v>1</v>
      </c>
      <c r="AM2337" t="b">
        <v>1</v>
      </c>
      <c r="AN2337" t="b">
        <v>0</v>
      </c>
      <c r="AO2337">
        <v>99999</v>
      </c>
      <c r="AP2337" t="s">
        <v>64</v>
      </c>
      <c r="AR2337" t="b">
        <v>0</v>
      </c>
      <c r="AS2337">
        <v>12</v>
      </c>
      <c r="AT2337" t="s">
        <v>327</v>
      </c>
      <c r="AV2337" t="s">
        <v>1082</v>
      </c>
    </row>
    <row r="2338" spans="1:48" x14ac:dyDescent="0.25">
      <c r="A2338" t="s">
        <v>3323</v>
      </c>
      <c r="B2338" t="s">
        <v>302</v>
      </c>
      <c r="C2338" t="s">
        <v>62</v>
      </c>
      <c r="D2338">
        <v>99999</v>
      </c>
      <c r="F2338" s="109">
        <v>7000</v>
      </c>
      <c r="G2338" t="b">
        <v>0</v>
      </c>
      <c r="H2338" t="s">
        <v>329</v>
      </c>
      <c r="K2338" t="s">
        <v>379</v>
      </c>
      <c r="L2338" t="s">
        <v>303</v>
      </c>
      <c r="M2338" t="s">
        <v>323</v>
      </c>
      <c r="N2338" t="s">
        <v>63</v>
      </c>
      <c r="O2338" s="110">
        <v>39.9</v>
      </c>
      <c r="R2338" s="110">
        <v>234.89000000000001</v>
      </c>
      <c r="S2338" s="110">
        <v>69.900000000000006</v>
      </c>
      <c r="T2338" s="110">
        <v>0</v>
      </c>
      <c r="U2338" s="110">
        <v>42.99</v>
      </c>
      <c r="X2338">
        <v>62.099999999999994</v>
      </c>
      <c r="Y2338">
        <v>59.9</v>
      </c>
      <c r="Z2338">
        <v>59.9</v>
      </c>
      <c r="AA2338">
        <v>0</v>
      </c>
      <c r="AB2338" t="s">
        <v>363</v>
      </c>
      <c r="AF2338" t="s">
        <v>852</v>
      </c>
      <c r="AG2338" t="s">
        <v>852</v>
      </c>
      <c r="AH2338" t="s">
        <v>758</v>
      </c>
      <c r="AI2338">
        <v>99999</v>
      </c>
      <c r="AJ2338">
        <v>99999</v>
      </c>
      <c r="AK2338">
        <v>699</v>
      </c>
      <c r="AL2338" t="b">
        <v>1</v>
      </c>
      <c r="AM2338" t="b">
        <v>1</v>
      </c>
      <c r="AN2338" t="b">
        <v>0</v>
      </c>
      <c r="AO2338">
        <v>99999</v>
      </c>
      <c r="AP2338" t="s">
        <v>64</v>
      </c>
      <c r="AR2338" t="b">
        <v>0</v>
      </c>
      <c r="AS2338">
        <v>12</v>
      </c>
      <c r="AT2338" t="s">
        <v>327</v>
      </c>
      <c r="AV2338" t="s">
        <v>867</v>
      </c>
    </row>
    <row r="2339" spans="1:48" x14ac:dyDescent="0.25">
      <c r="A2339" t="s">
        <v>3323</v>
      </c>
      <c r="B2339" t="s">
        <v>302</v>
      </c>
      <c r="C2339" t="s">
        <v>62</v>
      </c>
      <c r="D2339">
        <v>99999</v>
      </c>
      <c r="F2339" s="109">
        <v>7000</v>
      </c>
      <c r="G2339" t="b">
        <v>0</v>
      </c>
      <c r="H2339" t="s">
        <v>329</v>
      </c>
      <c r="K2339" t="s">
        <v>379</v>
      </c>
      <c r="L2339" t="s">
        <v>303</v>
      </c>
      <c r="M2339" t="s">
        <v>323</v>
      </c>
      <c r="N2339" t="s">
        <v>63</v>
      </c>
      <c r="O2339" s="110">
        <v>39.9</v>
      </c>
      <c r="R2339" s="110">
        <v>249.89000000000001</v>
      </c>
      <c r="S2339" s="110">
        <v>69.900000000000006</v>
      </c>
      <c r="T2339" s="110">
        <v>0</v>
      </c>
      <c r="U2339" s="110">
        <v>42.99</v>
      </c>
      <c r="X2339">
        <v>77.099999999999994</v>
      </c>
      <c r="Y2339">
        <v>59.9</v>
      </c>
      <c r="Z2339">
        <v>59.9</v>
      </c>
      <c r="AA2339">
        <v>0</v>
      </c>
      <c r="AB2339" t="s">
        <v>363</v>
      </c>
      <c r="AF2339" t="s">
        <v>986</v>
      </c>
      <c r="AG2339" t="s">
        <v>986</v>
      </c>
      <c r="AH2339" t="s">
        <v>758</v>
      </c>
      <c r="AI2339">
        <v>99999</v>
      </c>
      <c r="AJ2339">
        <v>99999</v>
      </c>
      <c r="AK2339">
        <v>699</v>
      </c>
      <c r="AL2339" t="b">
        <v>1</v>
      </c>
      <c r="AM2339" t="b">
        <v>1</v>
      </c>
      <c r="AN2339" t="b">
        <v>0</v>
      </c>
      <c r="AO2339">
        <v>99999</v>
      </c>
      <c r="AP2339" t="s">
        <v>64</v>
      </c>
      <c r="AR2339" t="b">
        <v>0</v>
      </c>
      <c r="AS2339">
        <v>12</v>
      </c>
      <c r="AT2339" t="s">
        <v>327</v>
      </c>
      <c r="AV2339" t="s">
        <v>1001</v>
      </c>
    </row>
    <row r="2340" spans="1:48" x14ac:dyDescent="0.25">
      <c r="A2340" t="s">
        <v>3323</v>
      </c>
      <c r="B2340" t="s">
        <v>302</v>
      </c>
      <c r="C2340" t="s">
        <v>62</v>
      </c>
      <c r="D2340">
        <v>99999</v>
      </c>
      <c r="F2340" s="109">
        <v>7000</v>
      </c>
      <c r="G2340" t="b">
        <v>0</v>
      </c>
      <c r="H2340" t="s">
        <v>329</v>
      </c>
      <c r="K2340" t="s">
        <v>379</v>
      </c>
      <c r="L2340" t="s">
        <v>303</v>
      </c>
      <c r="M2340" t="s">
        <v>323</v>
      </c>
      <c r="N2340" t="s">
        <v>63</v>
      </c>
      <c r="O2340" s="110">
        <v>39.9</v>
      </c>
      <c r="R2340" s="110">
        <v>264.89</v>
      </c>
      <c r="S2340" s="110">
        <v>70</v>
      </c>
      <c r="T2340" s="110">
        <v>0</v>
      </c>
      <c r="U2340" s="110">
        <v>42.99</v>
      </c>
      <c r="X2340">
        <v>92</v>
      </c>
      <c r="Y2340">
        <v>59.9</v>
      </c>
      <c r="Z2340">
        <v>59.9</v>
      </c>
      <c r="AA2340">
        <v>0</v>
      </c>
      <c r="AB2340" t="s">
        <v>363</v>
      </c>
      <c r="AF2340" t="s">
        <v>1134</v>
      </c>
      <c r="AG2340" t="s">
        <v>1134</v>
      </c>
      <c r="AH2340" t="s">
        <v>758</v>
      </c>
      <c r="AI2340">
        <v>99999</v>
      </c>
      <c r="AJ2340">
        <v>99999</v>
      </c>
      <c r="AK2340">
        <v>699</v>
      </c>
      <c r="AL2340" t="b">
        <v>1</v>
      </c>
      <c r="AM2340" t="b">
        <v>1</v>
      </c>
      <c r="AN2340" t="b">
        <v>0</v>
      </c>
      <c r="AO2340">
        <v>99999</v>
      </c>
      <c r="AP2340" t="s">
        <v>64</v>
      </c>
      <c r="AR2340" t="b">
        <v>0</v>
      </c>
      <c r="AS2340">
        <v>12</v>
      </c>
      <c r="AT2340" t="s">
        <v>327</v>
      </c>
      <c r="AV2340" t="s">
        <v>1149</v>
      </c>
    </row>
    <row r="2341" spans="1:48" x14ac:dyDescent="0.25">
      <c r="A2341" t="s">
        <v>3323</v>
      </c>
      <c r="B2341" t="s">
        <v>302</v>
      </c>
      <c r="C2341" t="s">
        <v>62</v>
      </c>
      <c r="D2341">
        <v>99999</v>
      </c>
      <c r="F2341" s="109">
        <v>7000</v>
      </c>
      <c r="G2341" t="b">
        <v>0</v>
      </c>
      <c r="H2341" t="s">
        <v>329</v>
      </c>
      <c r="K2341" t="s">
        <v>379</v>
      </c>
      <c r="L2341" t="s">
        <v>303</v>
      </c>
      <c r="M2341" t="s">
        <v>323</v>
      </c>
      <c r="N2341" t="s">
        <v>63</v>
      </c>
      <c r="O2341" s="110">
        <v>49.9</v>
      </c>
      <c r="R2341" s="110">
        <v>280.68999999999994</v>
      </c>
      <c r="S2341" s="110">
        <v>130</v>
      </c>
      <c r="T2341" s="110">
        <v>0</v>
      </c>
      <c r="U2341" s="110">
        <v>34.99</v>
      </c>
      <c r="X2341">
        <v>55.799999999999983</v>
      </c>
      <c r="Y2341">
        <v>59.9</v>
      </c>
      <c r="Z2341">
        <v>59.9</v>
      </c>
      <c r="AA2341">
        <v>0</v>
      </c>
      <c r="AB2341" t="s">
        <v>363</v>
      </c>
      <c r="AF2341" t="s">
        <v>2494</v>
      </c>
      <c r="AG2341" t="s">
        <v>2494</v>
      </c>
      <c r="AH2341" t="s">
        <v>758</v>
      </c>
      <c r="AI2341">
        <v>99999</v>
      </c>
      <c r="AJ2341">
        <v>99999</v>
      </c>
      <c r="AK2341">
        <v>699</v>
      </c>
      <c r="AL2341" t="b">
        <v>1</v>
      </c>
      <c r="AM2341" t="b">
        <v>1</v>
      </c>
      <c r="AN2341" t="b">
        <v>0</v>
      </c>
      <c r="AO2341">
        <v>99999</v>
      </c>
      <c r="AP2341" t="s">
        <v>64</v>
      </c>
      <c r="AR2341" t="b">
        <v>0</v>
      </c>
      <c r="AS2341">
        <v>12</v>
      </c>
      <c r="AT2341" t="s">
        <v>327</v>
      </c>
      <c r="AV2341" t="s">
        <v>2509</v>
      </c>
    </row>
    <row r="2342" spans="1:48" x14ac:dyDescent="0.25">
      <c r="A2342" t="s">
        <v>3323</v>
      </c>
      <c r="B2342" t="s">
        <v>302</v>
      </c>
      <c r="C2342" t="s">
        <v>62</v>
      </c>
      <c r="D2342">
        <v>99999</v>
      </c>
      <c r="F2342" s="109">
        <v>7000</v>
      </c>
      <c r="G2342" t="b">
        <v>0</v>
      </c>
      <c r="H2342" t="s">
        <v>329</v>
      </c>
      <c r="K2342" t="s">
        <v>379</v>
      </c>
      <c r="L2342" t="s">
        <v>303</v>
      </c>
      <c r="M2342" t="s">
        <v>323</v>
      </c>
      <c r="N2342" t="s">
        <v>63</v>
      </c>
      <c r="O2342" s="110">
        <v>49.9</v>
      </c>
      <c r="R2342" s="110">
        <v>294.99</v>
      </c>
      <c r="S2342" s="110">
        <v>130</v>
      </c>
      <c r="T2342" s="110">
        <v>0</v>
      </c>
      <c r="U2342" s="110">
        <v>42.99</v>
      </c>
      <c r="X2342">
        <v>62.099999999999994</v>
      </c>
      <c r="Y2342">
        <v>59.9</v>
      </c>
      <c r="Z2342">
        <v>59.9</v>
      </c>
      <c r="AA2342">
        <v>0</v>
      </c>
      <c r="AB2342" t="s">
        <v>363</v>
      </c>
      <c r="AF2342" t="s">
        <v>2568</v>
      </c>
      <c r="AG2342" t="s">
        <v>2568</v>
      </c>
      <c r="AH2342" t="s">
        <v>758</v>
      </c>
      <c r="AI2342">
        <v>99999</v>
      </c>
      <c r="AJ2342">
        <v>99999</v>
      </c>
      <c r="AK2342">
        <v>699</v>
      </c>
      <c r="AL2342" t="b">
        <v>1</v>
      </c>
      <c r="AM2342" t="b">
        <v>1</v>
      </c>
      <c r="AN2342" t="b">
        <v>0</v>
      </c>
      <c r="AO2342">
        <v>99999</v>
      </c>
      <c r="AP2342" t="s">
        <v>64</v>
      </c>
      <c r="AR2342" t="b">
        <v>0</v>
      </c>
      <c r="AS2342">
        <v>12</v>
      </c>
      <c r="AT2342" t="s">
        <v>327</v>
      </c>
      <c r="AV2342" t="s">
        <v>2583</v>
      </c>
    </row>
    <row r="2343" spans="1:48" x14ac:dyDescent="0.25">
      <c r="A2343" t="s">
        <v>3323</v>
      </c>
      <c r="B2343" t="s">
        <v>302</v>
      </c>
      <c r="C2343" t="s">
        <v>62</v>
      </c>
      <c r="D2343">
        <v>99999</v>
      </c>
      <c r="F2343" s="109">
        <v>7000</v>
      </c>
      <c r="G2343" t="b">
        <v>0</v>
      </c>
      <c r="H2343" t="s">
        <v>329</v>
      </c>
      <c r="K2343" t="s">
        <v>379</v>
      </c>
      <c r="L2343" t="s">
        <v>303</v>
      </c>
      <c r="M2343" t="s">
        <v>323</v>
      </c>
      <c r="N2343" t="s">
        <v>63</v>
      </c>
      <c r="O2343" s="110">
        <v>49.9</v>
      </c>
      <c r="R2343" s="110">
        <v>309.99</v>
      </c>
      <c r="S2343" s="110">
        <v>130</v>
      </c>
      <c r="T2343" s="110">
        <v>0</v>
      </c>
      <c r="U2343" s="110">
        <v>42.99</v>
      </c>
      <c r="X2343">
        <v>77.099999999999994</v>
      </c>
      <c r="Y2343">
        <v>59.9</v>
      </c>
      <c r="Z2343">
        <v>59.9</v>
      </c>
      <c r="AA2343">
        <v>0</v>
      </c>
      <c r="AB2343" t="s">
        <v>363</v>
      </c>
      <c r="AF2343" t="s">
        <v>2633</v>
      </c>
      <c r="AG2343" t="s">
        <v>2633</v>
      </c>
      <c r="AH2343" t="s">
        <v>758</v>
      </c>
      <c r="AI2343">
        <v>99999</v>
      </c>
      <c r="AJ2343">
        <v>99999</v>
      </c>
      <c r="AK2343">
        <v>699</v>
      </c>
      <c r="AL2343" t="b">
        <v>1</v>
      </c>
      <c r="AM2343" t="b">
        <v>1</v>
      </c>
      <c r="AN2343" t="b">
        <v>0</v>
      </c>
      <c r="AO2343">
        <v>99999</v>
      </c>
      <c r="AP2343" t="s">
        <v>64</v>
      </c>
      <c r="AR2343" t="b">
        <v>0</v>
      </c>
      <c r="AS2343">
        <v>12</v>
      </c>
      <c r="AT2343" t="s">
        <v>327</v>
      </c>
      <c r="AV2343" t="s">
        <v>2647</v>
      </c>
    </row>
    <row r="2344" spans="1:48" x14ac:dyDescent="0.25">
      <c r="A2344" t="s">
        <v>3323</v>
      </c>
      <c r="B2344" t="s">
        <v>302</v>
      </c>
      <c r="C2344" t="s">
        <v>62</v>
      </c>
      <c r="D2344">
        <v>99999</v>
      </c>
      <c r="F2344" s="109">
        <v>7000</v>
      </c>
      <c r="G2344" t="b">
        <v>0</v>
      </c>
      <c r="H2344" t="s">
        <v>329</v>
      </c>
      <c r="K2344" t="s">
        <v>379</v>
      </c>
      <c r="L2344" t="s">
        <v>303</v>
      </c>
      <c r="M2344" t="s">
        <v>323</v>
      </c>
      <c r="N2344" t="s">
        <v>63</v>
      </c>
      <c r="O2344" s="110">
        <v>49.9</v>
      </c>
      <c r="R2344" s="110">
        <v>324.89</v>
      </c>
      <c r="S2344" s="110">
        <v>130</v>
      </c>
      <c r="T2344" s="110">
        <v>0</v>
      </c>
      <c r="U2344" s="110">
        <v>42.99</v>
      </c>
      <c r="X2344">
        <v>92</v>
      </c>
      <c r="Y2344">
        <v>59.9</v>
      </c>
      <c r="Z2344">
        <v>59.9</v>
      </c>
      <c r="AA2344">
        <v>0</v>
      </c>
      <c r="AB2344" t="s">
        <v>363</v>
      </c>
      <c r="AF2344" t="s">
        <v>2704</v>
      </c>
      <c r="AG2344" t="s">
        <v>2704</v>
      </c>
      <c r="AH2344" t="s">
        <v>758</v>
      </c>
      <c r="AI2344">
        <v>99999</v>
      </c>
      <c r="AJ2344">
        <v>99999</v>
      </c>
      <c r="AK2344">
        <v>699</v>
      </c>
      <c r="AL2344" t="b">
        <v>1</v>
      </c>
      <c r="AM2344" t="b">
        <v>1</v>
      </c>
      <c r="AN2344" t="b">
        <v>0</v>
      </c>
      <c r="AO2344">
        <v>99999</v>
      </c>
      <c r="AP2344" t="s">
        <v>64</v>
      </c>
      <c r="AR2344" t="b">
        <v>0</v>
      </c>
      <c r="AS2344">
        <v>12</v>
      </c>
      <c r="AT2344" t="s">
        <v>327</v>
      </c>
      <c r="AV2344" t="s">
        <v>2719</v>
      </c>
    </row>
    <row r="2345" spans="1:48" x14ac:dyDescent="0.25">
      <c r="A2345" t="s">
        <v>3323</v>
      </c>
      <c r="B2345" t="s">
        <v>302</v>
      </c>
      <c r="C2345" t="s">
        <v>62</v>
      </c>
      <c r="D2345">
        <v>99999</v>
      </c>
      <c r="F2345" s="109">
        <v>7000</v>
      </c>
      <c r="G2345" t="b">
        <v>0</v>
      </c>
      <c r="H2345" t="s">
        <v>329</v>
      </c>
      <c r="K2345" t="s">
        <v>61</v>
      </c>
      <c r="L2345" t="s">
        <v>303</v>
      </c>
      <c r="M2345" t="s">
        <v>323</v>
      </c>
      <c r="N2345" t="s">
        <v>63</v>
      </c>
      <c r="O2345">
        <v>29.9</v>
      </c>
      <c r="R2345">
        <v>219.89000000000001</v>
      </c>
      <c r="S2345">
        <v>69.900000000000006</v>
      </c>
      <c r="T2345" s="110">
        <v>0</v>
      </c>
      <c r="U2345">
        <v>42.99</v>
      </c>
      <c r="X2345">
        <v>62.099999999999994</v>
      </c>
      <c r="Y2345">
        <v>44.9</v>
      </c>
      <c r="Z2345">
        <v>44.9</v>
      </c>
      <c r="AA2345">
        <v>0</v>
      </c>
      <c r="AB2345" t="s">
        <v>324</v>
      </c>
      <c r="AF2345" t="s">
        <v>757</v>
      </c>
      <c r="AG2345" t="s">
        <v>757</v>
      </c>
      <c r="AH2345" t="s">
        <v>758</v>
      </c>
      <c r="AI2345">
        <v>99999</v>
      </c>
      <c r="AJ2345">
        <v>99999</v>
      </c>
      <c r="AK2345">
        <v>699</v>
      </c>
      <c r="AL2345" t="b">
        <v>1</v>
      </c>
      <c r="AM2345" t="b">
        <v>1</v>
      </c>
      <c r="AN2345" t="b">
        <v>0</v>
      </c>
      <c r="AO2345">
        <v>99999</v>
      </c>
      <c r="AP2345" t="s">
        <v>64</v>
      </c>
      <c r="AR2345" t="b">
        <v>0</v>
      </c>
      <c r="AS2345">
        <v>12</v>
      </c>
      <c r="AT2345" t="s">
        <v>327</v>
      </c>
      <c r="AV2345" t="s">
        <v>760</v>
      </c>
    </row>
    <row r="2346" spans="1:48" x14ac:dyDescent="0.25">
      <c r="A2346" t="s">
        <v>3323</v>
      </c>
      <c r="B2346" t="s">
        <v>302</v>
      </c>
      <c r="C2346" t="s">
        <v>62</v>
      </c>
      <c r="D2346">
        <v>99999</v>
      </c>
      <c r="F2346" s="109">
        <v>7000</v>
      </c>
      <c r="G2346" t="b">
        <v>0</v>
      </c>
      <c r="H2346" t="s">
        <v>329</v>
      </c>
      <c r="K2346" t="s">
        <v>61</v>
      </c>
      <c r="L2346" t="s">
        <v>303</v>
      </c>
      <c r="M2346" t="s">
        <v>323</v>
      </c>
      <c r="N2346" t="s">
        <v>63</v>
      </c>
      <c r="O2346" s="110">
        <v>29.9</v>
      </c>
      <c r="R2346" s="110">
        <v>234.89000000000001</v>
      </c>
      <c r="S2346" s="110">
        <v>69.900000000000006</v>
      </c>
      <c r="T2346" s="110">
        <v>0</v>
      </c>
      <c r="U2346" s="110">
        <v>42.99</v>
      </c>
      <c r="X2346">
        <v>77.099999999999994</v>
      </c>
      <c r="Y2346">
        <v>44.9</v>
      </c>
      <c r="Z2346">
        <v>44.9</v>
      </c>
      <c r="AA2346">
        <v>0</v>
      </c>
      <c r="AB2346" t="s">
        <v>324</v>
      </c>
      <c r="AF2346" t="s">
        <v>892</v>
      </c>
      <c r="AG2346" t="s">
        <v>892</v>
      </c>
      <c r="AH2346" t="s">
        <v>758</v>
      </c>
      <c r="AI2346">
        <v>99999</v>
      </c>
      <c r="AJ2346">
        <v>99999</v>
      </c>
      <c r="AK2346">
        <v>699</v>
      </c>
      <c r="AL2346" t="b">
        <v>1</v>
      </c>
      <c r="AM2346" t="b">
        <v>1</v>
      </c>
      <c r="AN2346" t="b">
        <v>0</v>
      </c>
      <c r="AO2346">
        <v>99999</v>
      </c>
      <c r="AP2346" t="s">
        <v>64</v>
      </c>
      <c r="AR2346" t="b">
        <v>0</v>
      </c>
      <c r="AS2346">
        <v>12</v>
      </c>
      <c r="AT2346" t="s">
        <v>327</v>
      </c>
      <c r="AV2346" t="s">
        <v>894</v>
      </c>
    </row>
    <row r="2347" spans="1:48" x14ac:dyDescent="0.25">
      <c r="A2347" t="s">
        <v>3323</v>
      </c>
      <c r="B2347" t="s">
        <v>302</v>
      </c>
      <c r="C2347" t="s">
        <v>62</v>
      </c>
      <c r="D2347">
        <v>99999</v>
      </c>
      <c r="F2347" s="109">
        <v>7000</v>
      </c>
      <c r="G2347" t="b">
        <v>0</v>
      </c>
      <c r="H2347" t="s">
        <v>329</v>
      </c>
      <c r="K2347" t="s">
        <v>61</v>
      </c>
      <c r="L2347" t="s">
        <v>303</v>
      </c>
      <c r="M2347" t="s">
        <v>323</v>
      </c>
      <c r="N2347" t="s">
        <v>63</v>
      </c>
      <c r="O2347" s="110">
        <v>29.9</v>
      </c>
      <c r="R2347" s="110">
        <v>249.89</v>
      </c>
      <c r="S2347" s="110">
        <v>70</v>
      </c>
      <c r="T2347" s="110">
        <v>0</v>
      </c>
      <c r="U2347" s="110">
        <v>42.99</v>
      </c>
      <c r="X2347">
        <v>92</v>
      </c>
      <c r="Y2347">
        <v>44.9</v>
      </c>
      <c r="Z2347">
        <v>44.9</v>
      </c>
      <c r="AA2347">
        <v>0</v>
      </c>
      <c r="AB2347" t="s">
        <v>324</v>
      </c>
      <c r="AF2347" t="s">
        <v>1040</v>
      </c>
      <c r="AG2347" t="s">
        <v>1040</v>
      </c>
      <c r="AH2347" t="s">
        <v>758</v>
      </c>
      <c r="AI2347">
        <v>99999</v>
      </c>
      <c r="AJ2347">
        <v>99999</v>
      </c>
      <c r="AK2347">
        <v>699</v>
      </c>
      <c r="AL2347" t="b">
        <v>1</v>
      </c>
      <c r="AM2347" t="b">
        <v>1</v>
      </c>
      <c r="AN2347" t="b">
        <v>0</v>
      </c>
      <c r="AO2347">
        <v>99999</v>
      </c>
      <c r="AP2347" t="s">
        <v>64</v>
      </c>
      <c r="AR2347" t="b">
        <v>0</v>
      </c>
      <c r="AS2347">
        <v>12</v>
      </c>
      <c r="AT2347" t="s">
        <v>327</v>
      </c>
      <c r="AV2347" t="s">
        <v>1042</v>
      </c>
    </row>
    <row r="2348" spans="1:48" x14ac:dyDescent="0.25">
      <c r="A2348" t="s">
        <v>3323</v>
      </c>
      <c r="B2348" t="s">
        <v>302</v>
      </c>
      <c r="C2348" t="s">
        <v>62</v>
      </c>
      <c r="D2348">
        <v>99999</v>
      </c>
      <c r="F2348" s="109">
        <v>7000</v>
      </c>
      <c r="G2348" t="b">
        <v>0</v>
      </c>
      <c r="H2348" t="s">
        <v>329</v>
      </c>
      <c r="K2348" t="s">
        <v>61</v>
      </c>
      <c r="L2348" t="s">
        <v>303</v>
      </c>
      <c r="M2348" t="s">
        <v>323</v>
      </c>
      <c r="N2348" t="s">
        <v>63</v>
      </c>
      <c r="O2348" s="110">
        <v>39.9</v>
      </c>
      <c r="R2348" s="110">
        <v>219.89000000000001</v>
      </c>
      <c r="S2348" s="110">
        <v>69.900000000000006</v>
      </c>
      <c r="T2348" s="110">
        <v>0</v>
      </c>
      <c r="U2348" s="110">
        <v>42.99</v>
      </c>
      <c r="X2348">
        <v>62.099999999999994</v>
      </c>
      <c r="Y2348">
        <v>44.9</v>
      </c>
      <c r="Z2348">
        <v>44.9</v>
      </c>
      <c r="AA2348">
        <v>0</v>
      </c>
      <c r="AB2348" t="s">
        <v>324</v>
      </c>
      <c r="AF2348" t="s">
        <v>825</v>
      </c>
      <c r="AG2348" t="s">
        <v>825</v>
      </c>
      <c r="AH2348" t="s">
        <v>758</v>
      </c>
      <c r="AI2348">
        <v>99999</v>
      </c>
      <c r="AJ2348">
        <v>99999</v>
      </c>
      <c r="AK2348">
        <v>699</v>
      </c>
      <c r="AL2348" t="b">
        <v>1</v>
      </c>
      <c r="AM2348" t="b">
        <v>1</v>
      </c>
      <c r="AN2348" t="b">
        <v>0</v>
      </c>
      <c r="AO2348">
        <v>99999</v>
      </c>
      <c r="AP2348" t="s">
        <v>64</v>
      </c>
      <c r="AR2348" t="b">
        <v>0</v>
      </c>
      <c r="AS2348">
        <v>12</v>
      </c>
      <c r="AT2348" t="s">
        <v>327</v>
      </c>
      <c r="AV2348" t="s">
        <v>827</v>
      </c>
    </row>
    <row r="2349" spans="1:48" x14ac:dyDescent="0.25">
      <c r="A2349" t="s">
        <v>3323</v>
      </c>
      <c r="B2349" t="s">
        <v>302</v>
      </c>
      <c r="C2349" t="s">
        <v>62</v>
      </c>
      <c r="D2349">
        <v>99999</v>
      </c>
      <c r="F2349" s="109">
        <v>7000</v>
      </c>
      <c r="G2349" t="b">
        <v>0</v>
      </c>
      <c r="H2349" t="s">
        <v>329</v>
      </c>
      <c r="K2349" t="s">
        <v>61</v>
      </c>
      <c r="L2349" t="s">
        <v>303</v>
      </c>
      <c r="M2349" t="s">
        <v>323</v>
      </c>
      <c r="N2349" t="s">
        <v>63</v>
      </c>
      <c r="O2349" s="110">
        <v>39.9</v>
      </c>
      <c r="R2349" s="110">
        <v>234.89000000000001</v>
      </c>
      <c r="S2349" s="110">
        <v>69.900000000000006</v>
      </c>
      <c r="T2349" s="110">
        <v>0</v>
      </c>
      <c r="U2349" s="110">
        <v>42.99</v>
      </c>
      <c r="X2349">
        <v>77.099999999999994</v>
      </c>
      <c r="Y2349">
        <v>44.9</v>
      </c>
      <c r="Z2349">
        <v>44.9</v>
      </c>
      <c r="AA2349">
        <v>0</v>
      </c>
      <c r="AB2349" t="s">
        <v>324</v>
      </c>
      <c r="AF2349" t="s">
        <v>959</v>
      </c>
      <c r="AG2349" t="s">
        <v>959</v>
      </c>
      <c r="AH2349" t="s">
        <v>758</v>
      </c>
      <c r="AI2349">
        <v>99999</v>
      </c>
      <c r="AJ2349">
        <v>99999</v>
      </c>
      <c r="AK2349">
        <v>699</v>
      </c>
      <c r="AL2349" t="b">
        <v>1</v>
      </c>
      <c r="AM2349" t="b">
        <v>1</v>
      </c>
      <c r="AN2349" t="b">
        <v>0</v>
      </c>
      <c r="AO2349">
        <v>99999</v>
      </c>
      <c r="AP2349" t="s">
        <v>64</v>
      </c>
      <c r="AR2349" t="b">
        <v>0</v>
      </c>
      <c r="AS2349">
        <v>12</v>
      </c>
      <c r="AT2349" t="s">
        <v>327</v>
      </c>
      <c r="AV2349" t="s">
        <v>961</v>
      </c>
    </row>
    <row r="2350" spans="1:48" x14ac:dyDescent="0.25">
      <c r="A2350" t="s">
        <v>3323</v>
      </c>
      <c r="B2350" t="s">
        <v>302</v>
      </c>
      <c r="C2350" t="s">
        <v>62</v>
      </c>
      <c r="D2350">
        <v>99999</v>
      </c>
      <c r="F2350" s="109">
        <v>7000</v>
      </c>
      <c r="G2350" t="b">
        <v>0</v>
      </c>
      <c r="H2350" t="s">
        <v>329</v>
      </c>
      <c r="K2350" t="s">
        <v>61</v>
      </c>
      <c r="L2350" t="s">
        <v>303</v>
      </c>
      <c r="M2350" t="s">
        <v>323</v>
      </c>
      <c r="N2350" t="s">
        <v>63</v>
      </c>
      <c r="O2350" s="110">
        <v>39.9</v>
      </c>
      <c r="R2350" s="110">
        <v>249.89</v>
      </c>
      <c r="S2350" s="110">
        <v>70</v>
      </c>
      <c r="T2350" s="110">
        <v>0</v>
      </c>
      <c r="U2350" s="110">
        <v>42.99</v>
      </c>
      <c r="X2350">
        <v>92</v>
      </c>
      <c r="Y2350">
        <v>44.9</v>
      </c>
      <c r="Z2350">
        <v>44.9</v>
      </c>
      <c r="AA2350">
        <v>0</v>
      </c>
      <c r="AB2350" t="s">
        <v>324</v>
      </c>
      <c r="AF2350" t="s">
        <v>1107</v>
      </c>
      <c r="AG2350" t="s">
        <v>1107</v>
      </c>
      <c r="AH2350" t="s">
        <v>758</v>
      </c>
      <c r="AI2350">
        <v>99999</v>
      </c>
      <c r="AJ2350">
        <v>99999</v>
      </c>
      <c r="AK2350">
        <v>699</v>
      </c>
      <c r="AL2350" t="b">
        <v>1</v>
      </c>
      <c r="AM2350" t="b">
        <v>1</v>
      </c>
      <c r="AN2350" t="b">
        <v>0</v>
      </c>
      <c r="AO2350">
        <v>99999</v>
      </c>
      <c r="AP2350" t="s">
        <v>64</v>
      </c>
      <c r="AR2350" t="b">
        <v>0</v>
      </c>
      <c r="AS2350">
        <v>12</v>
      </c>
      <c r="AT2350" t="s">
        <v>327</v>
      </c>
      <c r="AV2350" t="s">
        <v>1109</v>
      </c>
    </row>
    <row r="2351" spans="1:48" x14ac:dyDescent="0.25">
      <c r="A2351" t="s">
        <v>3323</v>
      </c>
      <c r="B2351" t="s">
        <v>302</v>
      </c>
      <c r="C2351" t="s">
        <v>62</v>
      </c>
      <c r="D2351">
        <v>99999</v>
      </c>
      <c r="F2351" s="109">
        <v>7000</v>
      </c>
      <c r="G2351" t="b">
        <v>0</v>
      </c>
      <c r="H2351" t="s">
        <v>329</v>
      </c>
      <c r="K2351" t="s">
        <v>61</v>
      </c>
      <c r="L2351" t="s">
        <v>303</v>
      </c>
      <c r="M2351" t="s">
        <v>323</v>
      </c>
      <c r="N2351" t="s">
        <v>63</v>
      </c>
      <c r="O2351" s="110">
        <v>49.9</v>
      </c>
      <c r="R2351" s="110">
        <v>265.68999999999994</v>
      </c>
      <c r="S2351" s="110">
        <v>130</v>
      </c>
      <c r="T2351" s="110">
        <v>0</v>
      </c>
      <c r="U2351" s="110">
        <v>34.99</v>
      </c>
      <c r="X2351">
        <v>55.799999999999983</v>
      </c>
      <c r="Y2351">
        <v>44.9</v>
      </c>
      <c r="Z2351">
        <v>44.9</v>
      </c>
      <c r="AA2351">
        <v>0</v>
      </c>
      <c r="AB2351" t="s">
        <v>324</v>
      </c>
      <c r="AF2351" t="s">
        <v>2467</v>
      </c>
      <c r="AG2351" t="s">
        <v>2467</v>
      </c>
      <c r="AH2351" t="s">
        <v>758</v>
      </c>
      <c r="AI2351">
        <v>99999</v>
      </c>
      <c r="AJ2351">
        <v>99999</v>
      </c>
      <c r="AK2351">
        <v>699</v>
      </c>
      <c r="AL2351" t="b">
        <v>1</v>
      </c>
      <c r="AM2351" t="b">
        <v>1</v>
      </c>
      <c r="AN2351" t="b">
        <v>0</v>
      </c>
      <c r="AO2351">
        <v>99999</v>
      </c>
      <c r="AP2351" t="s">
        <v>64</v>
      </c>
      <c r="AR2351" t="b">
        <v>0</v>
      </c>
      <c r="AS2351">
        <v>12</v>
      </c>
      <c r="AT2351" t="s">
        <v>327</v>
      </c>
      <c r="AV2351" t="s">
        <v>2469</v>
      </c>
    </row>
    <row r="2352" spans="1:48" x14ac:dyDescent="0.25">
      <c r="A2352" t="s">
        <v>3323</v>
      </c>
      <c r="B2352" t="s">
        <v>302</v>
      </c>
      <c r="C2352" t="s">
        <v>62</v>
      </c>
      <c r="D2352">
        <v>99999</v>
      </c>
      <c r="F2352" s="109">
        <v>7000</v>
      </c>
      <c r="G2352" t="b">
        <v>0</v>
      </c>
      <c r="H2352" t="s">
        <v>329</v>
      </c>
      <c r="K2352" t="s">
        <v>61</v>
      </c>
      <c r="L2352" t="s">
        <v>303</v>
      </c>
      <c r="M2352" t="s">
        <v>323</v>
      </c>
      <c r="N2352" t="s">
        <v>63</v>
      </c>
      <c r="O2352" s="110">
        <v>49.9</v>
      </c>
      <c r="R2352" s="110">
        <v>279.99</v>
      </c>
      <c r="S2352" s="110">
        <v>130</v>
      </c>
      <c r="T2352" s="110">
        <v>0</v>
      </c>
      <c r="U2352" s="110">
        <v>42.99</v>
      </c>
      <c r="X2352">
        <v>62.099999999999994</v>
      </c>
      <c r="Y2352">
        <v>44.9</v>
      </c>
      <c r="Z2352">
        <v>44.9</v>
      </c>
      <c r="AA2352">
        <v>0</v>
      </c>
      <c r="AB2352" t="s">
        <v>324</v>
      </c>
      <c r="AF2352" t="s">
        <v>2541</v>
      </c>
      <c r="AG2352" t="s">
        <v>2541</v>
      </c>
      <c r="AH2352" t="s">
        <v>758</v>
      </c>
      <c r="AI2352">
        <v>99999</v>
      </c>
      <c r="AJ2352">
        <v>99999</v>
      </c>
      <c r="AK2352">
        <v>699</v>
      </c>
      <c r="AL2352" t="b">
        <v>1</v>
      </c>
      <c r="AM2352" t="b">
        <v>1</v>
      </c>
      <c r="AN2352" t="b">
        <v>0</v>
      </c>
      <c r="AO2352">
        <v>99999</v>
      </c>
      <c r="AP2352" t="s">
        <v>64</v>
      </c>
      <c r="AR2352" t="b">
        <v>0</v>
      </c>
      <c r="AS2352">
        <v>12</v>
      </c>
      <c r="AT2352" t="s">
        <v>327</v>
      </c>
      <c r="AV2352" t="s">
        <v>2543</v>
      </c>
    </row>
    <row r="2353" spans="1:48" x14ac:dyDescent="0.25">
      <c r="A2353" t="s">
        <v>3323</v>
      </c>
      <c r="B2353" t="s">
        <v>302</v>
      </c>
      <c r="C2353" t="s">
        <v>62</v>
      </c>
      <c r="D2353">
        <v>99999</v>
      </c>
      <c r="F2353" s="109">
        <v>7000</v>
      </c>
      <c r="G2353" t="b">
        <v>0</v>
      </c>
      <c r="H2353" t="s">
        <v>329</v>
      </c>
      <c r="K2353" t="s">
        <v>61</v>
      </c>
      <c r="L2353" t="s">
        <v>303</v>
      </c>
      <c r="M2353" t="s">
        <v>323</v>
      </c>
      <c r="N2353" t="s">
        <v>63</v>
      </c>
      <c r="O2353" s="110">
        <v>49.9</v>
      </c>
      <c r="R2353" s="110">
        <v>294.99</v>
      </c>
      <c r="S2353" s="110">
        <v>130</v>
      </c>
      <c r="T2353" s="110">
        <v>0</v>
      </c>
      <c r="U2353" s="110">
        <v>42.99</v>
      </c>
      <c r="X2353">
        <v>77.099999999999994</v>
      </c>
      <c r="Y2353">
        <v>44.9</v>
      </c>
      <c r="Z2353">
        <v>44.9</v>
      </c>
      <c r="AA2353">
        <v>0</v>
      </c>
      <c r="AB2353" t="s">
        <v>324</v>
      </c>
      <c r="AF2353" t="s">
        <v>2608</v>
      </c>
      <c r="AG2353" t="s">
        <v>2608</v>
      </c>
      <c r="AH2353" t="s">
        <v>758</v>
      </c>
      <c r="AI2353">
        <v>99999</v>
      </c>
      <c r="AJ2353">
        <v>99999</v>
      </c>
      <c r="AK2353">
        <v>699</v>
      </c>
      <c r="AL2353" t="b">
        <v>1</v>
      </c>
      <c r="AM2353" t="b">
        <v>1</v>
      </c>
      <c r="AN2353" t="b">
        <v>0</v>
      </c>
      <c r="AO2353">
        <v>99999</v>
      </c>
      <c r="AP2353" t="s">
        <v>64</v>
      </c>
      <c r="AR2353" t="b">
        <v>0</v>
      </c>
      <c r="AS2353">
        <v>12</v>
      </c>
      <c r="AT2353" t="s">
        <v>327</v>
      </c>
      <c r="AV2353" t="s">
        <v>2610</v>
      </c>
    </row>
    <row r="2354" spans="1:48" x14ac:dyDescent="0.25">
      <c r="A2354" t="s">
        <v>3323</v>
      </c>
      <c r="B2354" t="s">
        <v>302</v>
      </c>
      <c r="C2354" t="s">
        <v>62</v>
      </c>
      <c r="D2354">
        <v>99999</v>
      </c>
      <c r="F2354" s="109">
        <v>7000</v>
      </c>
      <c r="G2354" t="b">
        <v>0</v>
      </c>
      <c r="H2354" t="s">
        <v>329</v>
      </c>
      <c r="K2354" t="s">
        <v>61</v>
      </c>
      <c r="L2354" t="s">
        <v>303</v>
      </c>
      <c r="M2354" t="s">
        <v>323</v>
      </c>
      <c r="N2354" t="s">
        <v>63</v>
      </c>
      <c r="O2354" s="110">
        <v>49.9</v>
      </c>
      <c r="R2354" s="110">
        <v>309.89</v>
      </c>
      <c r="S2354" s="110">
        <v>130</v>
      </c>
      <c r="T2354" s="110">
        <v>0</v>
      </c>
      <c r="U2354" s="110">
        <v>42.99</v>
      </c>
      <c r="X2354">
        <v>92</v>
      </c>
      <c r="Y2354">
        <v>44.9</v>
      </c>
      <c r="Z2354">
        <v>44.9</v>
      </c>
      <c r="AA2354">
        <v>0</v>
      </c>
      <c r="AB2354" t="s">
        <v>324</v>
      </c>
      <c r="AF2354" t="s">
        <v>2677</v>
      </c>
      <c r="AG2354" t="s">
        <v>2677</v>
      </c>
      <c r="AH2354" t="s">
        <v>758</v>
      </c>
      <c r="AI2354">
        <v>99999</v>
      </c>
      <c r="AJ2354">
        <v>99999</v>
      </c>
      <c r="AK2354">
        <v>699</v>
      </c>
      <c r="AL2354" t="b">
        <v>1</v>
      </c>
      <c r="AM2354" t="b">
        <v>1</v>
      </c>
      <c r="AN2354" t="b">
        <v>0</v>
      </c>
      <c r="AO2354">
        <v>99999</v>
      </c>
      <c r="AP2354" t="s">
        <v>64</v>
      </c>
      <c r="AR2354" t="b">
        <v>0</v>
      </c>
      <c r="AS2354">
        <v>12</v>
      </c>
      <c r="AT2354" t="s">
        <v>327</v>
      </c>
      <c r="AV2354" t="s">
        <v>2679</v>
      </c>
    </row>
    <row r="2355" spans="1:48" x14ac:dyDescent="0.25">
      <c r="A2355" t="s">
        <v>3323</v>
      </c>
      <c r="B2355" t="s">
        <v>302</v>
      </c>
      <c r="C2355" t="s">
        <v>62</v>
      </c>
      <c r="D2355">
        <v>99999</v>
      </c>
      <c r="F2355" s="109">
        <v>7000</v>
      </c>
      <c r="G2355" t="b">
        <v>0</v>
      </c>
      <c r="H2355" t="s">
        <v>333</v>
      </c>
      <c r="K2355" t="s">
        <v>349</v>
      </c>
      <c r="L2355" t="s">
        <v>303</v>
      </c>
      <c r="M2355" t="s">
        <v>323</v>
      </c>
      <c r="N2355" t="s">
        <v>63</v>
      </c>
      <c r="O2355" s="110">
        <v>29.9</v>
      </c>
      <c r="R2355" s="110">
        <v>264.89</v>
      </c>
      <c r="S2355" s="110">
        <v>69.900000000000006</v>
      </c>
      <c r="T2355" s="110">
        <v>0</v>
      </c>
      <c r="U2355" s="110">
        <v>42.99</v>
      </c>
      <c r="X2355">
        <v>107.1</v>
      </c>
      <c r="Y2355">
        <v>44.9</v>
      </c>
      <c r="Z2355">
        <v>44.9</v>
      </c>
      <c r="AA2355">
        <v>0</v>
      </c>
      <c r="AB2355" t="s">
        <v>324</v>
      </c>
      <c r="AF2355" t="s">
        <v>757</v>
      </c>
      <c r="AG2355" t="s">
        <v>757</v>
      </c>
      <c r="AH2355" t="s">
        <v>758</v>
      </c>
      <c r="AI2355">
        <v>99999</v>
      </c>
      <c r="AJ2355">
        <v>99999</v>
      </c>
      <c r="AK2355">
        <v>699</v>
      </c>
      <c r="AL2355" t="b">
        <v>1</v>
      </c>
      <c r="AM2355" t="b">
        <v>1</v>
      </c>
      <c r="AN2355" t="b">
        <v>0</v>
      </c>
      <c r="AO2355">
        <v>99999</v>
      </c>
      <c r="AP2355" t="s">
        <v>64</v>
      </c>
      <c r="AR2355" t="b">
        <v>0</v>
      </c>
      <c r="AS2355">
        <v>12</v>
      </c>
      <c r="AT2355" t="s">
        <v>327</v>
      </c>
      <c r="AV2355" t="s">
        <v>775</v>
      </c>
    </row>
    <row r="2356" spans="1:48" x14ac:dyDescent="0.25">
      <c r="A2356" t="s">
        <v>3323</v>
      </c>
      <c r="B2356" t="s">
        <v>302</v>
      </c>
      <c r="C2356" t="s">
        <v>62</v>
      </c>
      <c r="D2356">
        <v>99999</v>
      </c>
      <c r="F2356" s="109">
        <v>7000</v>
      </c>
      <c r="G2356" t="b">
        <v>0</v>
      </c>
      <c r="H2356" t="s">
        <v>333</v>
      </c>
      <c r="K2356" t="s">
        <v>349</v>
      </c>
      <c r="L2356" t="s">
        <v>303</v>
      </c>
      <c r="M2356" t="s">
        <v>323</v>
      </c>
      <c r="N2356" t="s">
        <v>63</v>
      </c>
      <c r="O2356" s="110">
        <v>29.9</v>
      </c>
      <c r="R2356" s="110">
        <v>279.89</v>
      </c>
      <c r="S2356" s="110">
        <v>69.900000000000006</v>
      </c>
      <c r="T2356" s="110">
        <v>0</v>
      </c>
      <c r="U2356" s="110">
        <v>42.99</v>
      </c>
      <c r="X2356">
        <v>122.1</v>
      </c>
      <c r="Y2356">
        <v>44.9</v>
      </c>
      <c r="Z2356">
        <v>44.9</v>
      </c>
      <c r="AA2356">
        <v>0</v>
      </c>
      <c r="AB2356" t="s">
        <v>324</v>
      </c>
      <c r="AF2356" t="s">
        <v>892</v>
      </c>
      <c r="AG2356" t="s">
        <v>892</v>
      </c>
      <c r="AH2356" t="s">
        <v>758</v>
      </c>
      <c r="AI2356">
        <v>99999</v>
      </c>
      <c r="AJ2356">
        <v>99999</v>
      </c>
      <c r="AK2356">
        <v>699</v>
      </c>
      <c r="AL2356" t="b">
        <v>1</v>
      </c>
      <c r="AM2356" t="b">
        <v>1</v>
      </c>
      <c r="AN2356" t="b">
        <v>0</v>
      </c>
      <c r="AO2356">
        <v>99999</v>
      </c>
      <c r="AP2356" t="s">
        <v>64</v>
      </c>
      <c r="AR2356" t="b">
        <v>0</v>
      </c>
      <c r="AS2356">
        <v>12</v>
      </c>
      <c r="AT2356" t="s">
        <v>327</v>
      </c>
      <c r="AV2356" t="s">
        <v>909</v>
      </c>
    </row>
    <row r="2357" spans="1:48" x14ac:dyDescent="0.25">
      <c r="A2357" t="s">
        <v>3323</v>
      </c>
      <c r="B2357" t="s">
        <v>302</v>
      </c>
      <c r="C2357" t="s">
        <v>62</v>
      </c>
      <c r="D2357">
        <v>99999</v>
      </c>
      <c r="F2357" s="109">
        <v>7000</v>
      </c>
      <c r="G2357" t="b">
        <v>0</v>
      </c>
      <c r="H2357" t="s">
        <v>333</v>
      </c>
      <c r="K2357" t="s">
        <v>349</v>
      </c>
      <c r="L2357" t="s">
        <v>303</v>
      </c>
      <c r="M2357" t="s">
        <v>323</v>
      </c>
      <c r="N2357" t="s">
        <v>63</v>
      </c>
      <c r="O2357" s="110">
        <v>29.9</v>
      </c>
      <c r="R2357" s="110">
        <v>294.89</v>
      </c>
      <c r="S2357" s="110">
        <v>70</v>
      </c>
      <c r="T2357" s="110">
        <v>0</v>
      </c>
      <c r="U2357" s="110">
        <v>42.99</v>
      </c>
      <c r="X2357">
        <v>137</v>
      </c>
      <c r="Y2357">
        <v>44.9</v>
      </c>
      <c r="Z2357">
        <v>44.9</v>
      </c>
      <c r="AA2357">
        <v>0</v>
      </c>
      <c r="AB2357" t="s">
        <v>324</v>
      </c>
      <c r="AF2357" t="s">
        <v>1040</v>
      </c>
      <c r="AG2357" t="s">
        <v>1040</v>
      </c>
      <c r="AH2357" t="s">
        <v>758</v>
      </c>
      <c r="AI2357">
        <v>99999</v>
      </c>
      <c r="AJ2357">
        <v>99999</v>
      </c>
      <c r="AK2357">
        <v>699</v>
      </c>
      <c r="AL2357" t="b">
        <v>1</v>
      </c>
      <c r="AM2357" t="b">
        <v>1</v>
      </c>
      <c r="AN2357" t="b">
        <v>0</v>
      </c>
      <c r="AO2357">
        <v>99999</v>
      </c>
      <c r="AP2357" t="s">
        <v>64</v>
      </c>
      <c r="AR2357" t="b">
        <v>0</v>
      </c>
      <c r="AS2357">
        <v>12</v>
      </c>
      <c r="AT2357" t="s">
        <v>327</v>
      </c>
      <c r="AV2357" t="s">
        <v>1057</v>
      </c>
    </row>
    <row r="2358" spans="1:48" x14ac:dyDescent="0.25">
      <c r="A2358" t="s">
        <v>3323</v>
      </c>
      <c r="B2358" t="s">
        <v>302</v>
      </c>
      <c r="C2358" t="s">
        <v>62</v>
      </c>
      <c r="D2358">
        <v>99999</v>
      </c>
      <c r="F2358" s="109">
        <v>7000</v>
      </c>
      <c r="G2358" t="b">
        <v>0</v>
      </c>
      <c r="H2358" t="s">
        <v>333</v>
      </c>
      <c r="K2358" t="s">
        <v>349</v>
      </c>
      <c r="L2358" t="s">
        <v>303</v>
      </c>
      <c r="M2358" t="s">
        <v>323</v>
      </c>
      <c r="N2358" t="s">
        <v>63</v>
      </c>
      <c r="O2358" s="110">
        <v>39.9</v>
      </c>
      <c r="R2358" s="110">
        <v>264.89</v>
      </c>
      <c r="S2358" s="110">
        <v>69.900000000000006</v>
      </c>
      <c r="T2358" s="110">
        <v>0</v>
      </c>
      <c r="U2358" s="110">
        <v>42.99</v>
      </c>
      <c r="X2358">
        <v>107.1</v>
      </c>
      <c r="Y2358">
        <v>44.9</v>
      </c>
      <c r="Z2358">
        <v>44.9</v>
      </c>
      <c r="AA2358">
        <v>0</v>
      </c>
      <c r="AB2358" t="s">
        <v>324</v>
      </c>
      <c r="AF2358" t="s">
        <v>825</v>
      </c>
      <c r="AG2358" t="s">
        <v>825</v>
      </c>
      <c r="AH2358" t="s">
        <v>758</v>
      </c>
      <c r="AI2358">
        <v>99999</v>
      </c>
      <c r="AJ2358">
        <v>99999</v>
      </c>
      <c r="AK2358">
        <v>699</v>
      </c>
      <c r="AL2358" t="b">
        <v>1</v>
      </c>
      <c r="AM2358" t="b">
        <v>1</v>
      </c>
      <c r="AN2358" t="b">
        <v>0</v>
      </c>
      <c r="AO2358">
        <v>99999</v>
      </c>
      <c r="AP2358" t="s">
        <v>64</v>
      </c>
      <c r="AR2358" t="b">
        <v>0</v>
      </c>
      <c r="AS2358">
        <v>12</v>
      </c>
      <c r="AT2358" t="s">
        <v>327</v>
      </c>
      <c r="AV2358" t="s">
        <v>842</v>
      </c>
    </row>
    <row r="2359" spans="1:48" x14ac:dyDescent="0.25">
      <c r="A2359" t="s">
        <v>3323</v>
      </c>
      <c r="B2359" t="s">
        <v>302</v>
      </c>
      <c r="C2359" t="s">
        <v>62</v>
      </c>
      <c r="D2359">
        <v>99999</v>
      </c>
      <c r="F2359" s="109">
        <v>7000</v>
      </c>
      <c r="G2359" t="b">
        <v>0</v>
      </c>
      <c r="H2359" t="s">
        <v>333</v>
      </c>
      <c r="K2359" t="s">
        <v>349</v>
      </c>
      <c r="L2359" t="s">
        <v>303</v>
      </c>
      <c r="M2359" t="s">
        <v>323</v>
      </c>
      <c r="N2359" t="s">
        <v>63</v>
      </c>
      <c r="O2359" s="110">
        <v>39.9</v>
      </c>
      <c r="R2359" s="110">
        <v>279.89</v>
      </c>
      <c r="S2359" s="110">
        <v>69.900000000000006</v>
      </c>
      <c r="T2359" s="110">
        <v>0</v>
      </c>
      <c r="U2359" s="110">
        <v>42.99</v>
      </c>
      <c r="X2359">
        <v>122.1</v>
      </c>
      <c r="Y2359">
        <v>44.9</v>
      </c>
      <c r="Z2359">
        <v>44.9</v>
      </c>
      <c r="AA2359">
        <v>0</v>
      </c>
      <c r="AB2359" t="s">
        <v>324</v>
      </c>
      <c r="AF2359" t="s">
        <v>959</v>
      </c>
      <c r="AG2359" t="s">
        <v>959</v>
      </c>
      <c r="AH2359" t="s">
        <v>758</v>
      </c>
      <c r="AI2359">
        <v>99999</v>
      </c>
      <c r="AJ2359">
        <v>99999</v>
      </c>
      <c r="AK2359">
        <v>699</v>
      </c>
      <c r="AL2359" t="b">
        <v>1</v>
      </c>
      <c r="AM2359" t="b">
        <v>1</v>
      </c>
      <c r="AN2359" t="b">
        <v>0</v>
      </c>
      <c r="AO2359">
        <v>99999</v>
      </c>
      <c r="AP2359" t="s">
        <v>64</v>
      </c>
      <c r="AR2359" t="b">
        <v>0</v>
      </c>
      <c r="AS2359">
        <v>12</v>
      </c>
      <c r="AT2359" t="s">
        <v>327</v>
      </c>
      <c r="AV2359" t="s">
        <v>976</v>
      </c>
    </row>
    <row r="2360" spans="1:48" x14ac:dyDescent="0.25">
      <c r="A2360" t="s">
        <v>3323</v>
      </c>
      <c r="B2360" t="s">
        <v>302</v>
      </c>
      <c r="C2360" t="s">
        <v>62</v>
      </c>
      <c r="D2360">
        <v>99999</v>
      </c>
      <c r="F2360" s="109">
        <v>7000</v>
      </c>
      <c r="G2360" t="b">
        <v>0</v>
      </c>
      <c r="H2360" t="s">
        <v>333</v>
      </c>
      <c r="K2360" t="s">
        <v>349</v>
      </c>
      <c r="L2360" t="s">
        <v>303</v>
      </c>
      <c r="M2360" t="s">
        <v>323</v>
      </c>
      <c r="N2360" t="s">
        <v>63</v>
      </c>
      <c r="O2360" s="110">
        <v>39.9</v>
      </c>
      <c r="R2360" s="110">
        <v>294.89</v>
      </c>
      <c r="S2360" s="110">
        <v>70</v>
      </c>
      <c r="T2360" s="110">
        <v>0</v>
      </c>
      <c r="U2360" s="110">
        <v>42.99</v>
      </c>
      <c r="X2360">
        <v>137</v>
      </c>
      <c r="Y2360">
        <v>44.9</v>
      </c>
      <c r="Z2360">
        <v>44.9</v>
      </c>
      <c r="AA2360">
        <v>0</v>
      </c>
      <c r="AB2360" t="s">
        <v>324</v>
      </c>
      <c r="AF2360" t="s">
        <v>1107</v>
      </c>
      <c r="AG2360" t="s">
        <v>1107</v>
      </c>
      <c r="AH2360" t="s">
        <v>758</v>
      </c>
      <c r="AI2360">
        <v>99999</v>
      </c>
      <c r="AJ2360">
        <v>99999</v>
      </c>
      <c r="AK2360">
        <v>699</v>
      </c>
      <c r="AL2360" t="b">
        <v>1</v>
      </c>
      <c r="AM2360" t="b">
        <v>1</v>
      </c>
      <c r="AN2360" t="b">
        <v>0</v>
      </c>
      <c r="AO2360">
        <v>99999</v>
      </c>
      <c r="AP2360" t="s">
        <v>64</v>
      </c>
      <c r="AR2360" t="b">
        <v>0</v>
      </c>
      <c r="AS2360">
        <v>12</v>
      </c>
      <c r="AT2360" t="s">
        <v>327</v>
      </c>
      <c r="AV2360" t="s">
        <v>1124</v>
      </c>
    </row>
    <row r="2361" spans="1:48" x14ac:dyDescent="0.25">
      <c r="A2361" t="s">
        <v>3323</v>
      </c>
      <c r="B2361" t="s">
        <v>302</v>
      </c>
      <c r="C2361" t="s">
        <v>62</v>
      </c>
      <c r="D2361">
        <v>99999</v>
      </c>
      <c r="F2361" s="109">
        <v>7000</v>
      </c>
      <c r="G2361" t="b">
        <v>0</v>
      </c>
      <c r="H2361" t="s">
        <v>333</v>
      </c>
      <c r="K2361" t="s">
        <v>349</v>
      </c>
      <c r="L2361" t="s">
        <v>303</v>
      </c>
      <c r="M2361" t="s">
        <v>323</v>
      </c>
      <c r="N2361" t="s">
        <v>63</v>
      </c>
      <c r="O2361" s="110">
        <v>49.9</v>
      </c>
      <c r="R2361" s="110">
        <v>310.68999999999994</v>
      </c>
      <c r="S2361" s="110">
        <v>130</v>
      </c>
      <c r="T2361" s="110">
        <v>0</v>
      </c>
      <c r="U2361" s="110">
        <v>34.99</v>
      </c>
      <c r="X2361">
        <v>100.79999999999998</v>
      </c>
      <c r="Y2361">
        <v>44.9</v>
      </c>
      <c r="Z2361">
        <v>44.9</v>
      </c>
      <c r="AA2361">
        <v>0</v>
      </c>
      <c r="AB2361" t="s">
        <v>324</v>
      </c>
      <c r="AF2361" t="s">
        <v>2467</v>
      </c>
      <c r="AG2361" t="s">
        <v>2467</v>
      </c>
      <c r="AH2361" t="s">
        <v>758</v>
      </c>
      <c r="AI2361">
        <v>99999</v>
      </c>
      <c r="AJ2361">
        <v>99999</v>
      </c>
      <c r="AK2361">
        <v>699</v>
      </c>
      <c r="AL2361" t="b">
        <v>1</v>
      </c>
      <c r="AM2361" t="b">
        <v>1</v>
      </c>
      <c r="AN2361" t="b">
        <v>0</v>
      </c>
      <c r="AO2361">
        <v>99999</v>
      </c>
      <c r="AP2361" t="s">
        <v>64</v>
      </c>
      <c r="AR2361" t="b">
        <v>0</v>
      </c>
      <c r="AS2361">
        <v>12</v>
      </c>
      <c r="AT2361" t="s">
        <v>327</v>
      </c>
      <c r="AV2361" t="s">
        <v>2484</v>
      </c>
    </row>
    <row r="2362" spans="1:48" x14ac:dyDescent="0.25">
      <c r="A2362" t="s">
        <v>3323</v>
      </c>
      <c r="B2362" t="s">
        <v>302</v>
      </c>
      <c r="C2362" t="s">
        <v>62</v>
      </c>
      <c r="D2362">
        <v>99999</v>
      </c>
      <c r="F2362" s="109">
        <v>7000</v>
      </c>
      <c r="G2362" t="b">
        <v>0</v>
      </c>
      <c r="H2362" t="s">
        <v>333</v>
      </c>
      <c r="K2362" t="s">
        <v>349</v>
      </c>
      <c r="L2362" t="s">
        <v>303</v>
      </c>
      <c r="M2362" t="s">
        <v>323</v>
      </c>
      <c r="N2362" t="s">
        <v>63</v>
      </c>
      <c r="O2362" s="110">
        <v>49.9</v>
      </c>
      <c r="R2362" s="110">
        <v>324.99</v>
      </c>
      <c r="S2362" s="110">
        <v>130</v>
      </c>
      <c r="T2362" s="110">
        <v>0</v>
      </c>
      <c r="U2362" s="110">
        <v>42.99</v>
      </c>
      <c r="X2362">
        <v>107.1</v>
      </c>
      <c r="Y2362">
        <v>44.9</v>
      </c>
      <c r="Z2362">
        <v>44.9</v>
      </c>
      <c r="AA2362">
        <v>0</v>
      </c>
      <c r="AB2362" t="s">
        <v>324</v>
      </c>
      <c r="AF2362" t="s">
        <v>2541</v>
      </c>
      <c r="AG2362" t="s">
        <v>2541</v>
      </c>
      <c r="AH2362" t="s">
        <v>758</v>
      </c>
      <c r="AI2362">
        <v>99999</v>
      </c>
      <c r="AJ2362">
        <v>99999</v>
      </c>
      <c r="AK2362">
        <v>699</v>
      </c>
      <c r="AL2362" t="b">
        <v>1</v>
      </c>
      <c r="AM2362" t="b">
        <v>1</v>
      </c>
      <c r="AN2362" t="b">
        <v>0</v>
      </c>
      <c r="AO2362">
        <v>99999</v>
      </c>
      <c r="AP2362" t="s">
        <v>64</v>
      </c>
      <c r="AR2362" t="b">
        <v>0</v>
      </c>
      <c r="AS2362">
        <v>12</v>
      </c>
      <c r="AT2362" t="s">
        <v>327</v>
      </c>
      <c r="AV2362" t="s">
        <v>2558</v>
      </c>
    </row>
    <row r="2363" spans="1:48" x14ac:dyDescent="0.25">
      <c r="A2363" t="s">
        <v>3323</v>
      </c>
      <c r="B2363" t="s">
        <v>302</v>
      </c>
      <c r="C2363" t="s">
        <v>62</v>
      </c>
      <c r="D2363">
        <v>99999</v>
      </c>
      <c r="F2363" s="109">
        <v>7000</v>
      </c>
      <c r="G2363" t="b">
        <v>0</v>
      </c>
      <c r="H2363" t="s">
        <v>333</v>
      </c>
      <c r="K2363" t="s">
        <v>349</v>
      </c>
      <c r="L2363" t="s">
        <v>303</v>
      </c>
      <c r="M2363" t="s">
        <v>323</v>
      </c>
      <c r="N2363" t="s">
        <v>63</v>
      </c>
      <c r="O2363" s="110">
        <v>49.9</v>
      </c>
      <c r="R2363" s="110">
        <v>339.99</v>
      </c>
      <c r="S2363" s="110">
        <v>130</v>
      </c>
      <c r="T2363" s="110">
        <v>0</v>
      </c>
      <c r="U2363" s="110">
        <v>42.99</v>
      </c>
      <c r="X2363">
        <v>122.1</v>
      </c>
      <c r="Y2363">
        <v>44.9</v>
      </c>
      <c r="Z2363">
        <v>44.9</v>
      </c>
      <c r="AA2363">
        <v>0</v>
      </c>
      <c r="AB2363" t="s">
        <v>324</v>
      </c>
      <c r="AF2363" t="s">
        <v>2608</v>
      </c>
      <c r="AG2363" t="s">
        <v>2608</v>
      </c>
      <c r="AH2363" t="s">
        <v>758</v>
      </c>
      <c r="AI2363">
        <v>99999</v>
      </c>
      <c r="AJ2363">
        <v>99999</v>
      </c>
      <c r="AK2363">
        <v>699</v>
      </c>
      <c r="AL2363" t="b">
        <v>1</v>
      </c>
      <c r="AM2363" t="b">
        <v>1</v>
      </c>
      <c r="AN2363" t="b">
        <v>0</v>
      </c>
      <c r="AO2363">
        <v>99999</v>
      </c>
      <c r="AP2363" t="s">
        <v>64</v>
      </c>
      <c r="AR2363" t="b">
        <v>0</v>
      </c>
      <c r="AS2363">
        <v>12</v>
      </c>
      <c r="AT2363" t="s">
        <v>327</v>
      </c>
      <c r="AV2363" t="s">
        <v>2624</v>
      </c>
    </row>
    <row r="2364" spans="1:48" x14ac:dyDescent="0.25">
      <c r="A2364" t="s">
        <v>3323</v>
      </c>
      <c r="B2364" t="s">
        <v>302</v>
      </c>
      <c r="C2364" t="s">
        <v>62</v>
      </c>
      <c r="D2364">
        <v>99999</v>
      </c>
      <c r="F2364" s="109">
        <v>7000</v>
      </c>
      <c r="G2364" t="b">
        <v>0</v>
      </c>
      <c r="H2364" t="s">
        <v>333</v>
      </c>
      <c r="K2364" t="s">
        <v>349</v>
      </c>
      <c r="L2364" t="s">
        <v>303</v>
      </c>
      <c r="M2364" t="s">
        <v>323</v>
      </c>
      <c r="N2364" t="s">
        <v>63</v>
      </c>
      <c r="O2364" s="110">
        <v>49.9</v>
      </c>
      <c r="R2364" s="110">
        <v>354.89</v>
      </c>
      <c r="S2364" s="110">
        <v>130</v>
      </c>
      <c r="T2364" s="110">
        <v>0</v>
      </c>
      <c r="U2364" s="110">
        <v>42.99</v>
      </c>
      <c r="X2364">
        <v>137</v>
      </c>
      <c r="Y2364">
        <v>44.9</v>
      </c>
      <c r="Z2364">
        <v>44.9</v>
      </c>
      <c r="AA2364">
        <v>0</v>
      </c>
      <c r="AB2364" t="s">
        <v>324</v>
      </c>
      <c r="AF2364" t="s">
        <v>2677</v>
      </c>
      <c r="AG2364" t="s">
        <v>2677</v>
      </c>
      <c r="AH2364" t="s">
        <v>758</v>
      </c>
      <c r="AI2364">
        <v>99999</v>
      </c>
      <c r="AJ2364">
        <v>99999</v>
      </c>
      <c r="AK2364">
        <v>699</v>
      </c>
      <c r="AL2364" t="b">
        <v>1</v>
      </c>
      <c r="AM2364" t="b">
        <v>1</v>
      </c>
      <c r="AN2364" t="b">
        <v>0</v>
      </c>
      <c r="AO2364">
        <v>99999</v>
      </c>
      <c r="AP2364" t="s">
        <v>64</v>
      </c>
      <c r="AR2364" t="b">
        <v>0</v>
      </c>
      <c r="AS2364">
        <v>12</v>
      </c>
      <c r="AT2364" t="s">
        <v>327</v>
      </c>
      <c r="AV2364" t="s">
        <v>2694</v>
      </c>
    </row>
    <row r="2365" spans="1:48" x14ac:dyDescent="0.25">
      <c r="A2365" t="s">
        <v>3323</v>
      </c>
      <c r="B2365" t="s">
        <v>302</v>
      </c>
      <c r="C2365" t="s">
        <v>62</v>
      </c>
      <c r="D2365">
        <v>99999</v>
      </c>
      <c r="F2365" s="109">
        <v>7000</v>
      </c>
      <c r="G2365" t="b">
        <v>0</v>
      </c>
      <c r="H2365" t="s">
        <v>333</v>
      </c>
      <c r="K2365" t="s">
        <v>393</v>
      </c>
      <c r="L2365" t="s">
        <v>303</v>
      </c>
      <c r="M2365" t="s">
        <v>323</v>
      </c>
      <c r="N2365" t="s">
        <v>63</v>
      </c>
      <c r="O2365" s="110">
        <v>29.9</v>
      </c>
      <c r="R2365" s="110">
        <v>289.89</v>
      </c>
      <c r="S2365" s="110">
        <v>69.900000000000006</v>
      </c>
      <c r="T2365" s="110">
        <v>0</v>
      </c>
      <c r="U2365" s="110">
        <v>42.99</v>
      </c>
      <c r="X2365">
        <v>107.1</v>
      </c>
      <c r="Y2365">
        <v>69.900000000000006</v>
      </c>
      <c r="Z2365">
        <v>69.900000000000006</v>
      </c>
      <c r="AA2365">
        <v>0</v>
      </c>
      <c r="AB2365" t="s">
        <v>363</v>
      </c>
      <c r="AF2365" t="s">
        <v>785</v>
      </c>
      <c r="AG2365" t="s">
        <v>785</v>
      </c>
      <c r="AH2365" t="s">
        <v>758</v>
      </c>
      <c r="AI2365">
        <v>99999</v>
      </c>
      <c r="AJ2365">
        <v>99999</v>
      </c>
      <c r="AK2365">
        <v>699</v>
      </c>
      <c r="AL2365" t="b">
        <v>1</v>
      </c>
      <c r="AM2365" t="b">
        <v>1</v>
      </c>
      <c r="AN2365" t="b">
        <v>0</v>
      </c>
      <c r="AO2365">
        <v>99999</v>
      </c>
      <c r="AP2365" t="s">
        <v>64</v>
      </c>
      <c r="AR2365" t="b">
        <v>0</v>
      </c>
      <c r="AS2365">
        <v>12</v>
      </c>
      <c r="AT2365" t="s">
        <v>327</v>
      </c>
      <c r="AV2365" t="s">
        <v>815</v>
      </c>
    </row>
    <row r="2366" spans="1:48" x14ac:dyDescent="0.25">
      <c r="A2366" t="s">
        <v>3323</v>
      </c>
      <c r="B2366" t="s">
        <v>302</v>
      </c>
      <c r="C2366" t="s">
        <v>62</v>
      </c>
      <c r="D2366">
        <v>99999</v>
      </c>
      <c r="F2366" s="109">
        <v>7000</v>
      </c>
      <c r="G2366" t="b">
        <v>0</v>
      </c>
      <c r="H2366" t="s">
        <v>333</v>
      </c>
      <c r="K2366" t="s">
        <v>393</v>
      </c>
      <c r="L2366" t="s">
        <v>303</v>
      </c>
      <c r="M2366" t="s">
        <v>323</v>
      </c>
      <c r="N2366" t="s">
        <v>63</v>
      </c>
      <c r="O2366" s="110">
        <v>29.9</v>
      </c>
      <c r="R2366" s="110">
        <v>304.89</v>
      </c>
      <c r="S2366" s="110">
        <v>69.900000000000006</v>
      </c>
      <c r="T2366" s="110">
        <v>0</v>
      </c>
      <c r="U2366" s="110">
        <v>42.99</v>
      </c>
      <c r="X2366">
        <v>122.1</v>
      </c>
      <c r="Y2366">
        <v>69.900000000000006</v>
      </c>
      <c r="Z2366">
        <v>69.900000000000006</v>
      </c>
      <c r="AA2366">
        <v>0</v>
      </c>
      <c r="AB2366" t="s">
        <v>363</v>
      </c>
      <c r="AF2366" t="s">
        <v>919</v>
      </c>
      <c r="AG2366" t="s">
        <v>919</v>
      </c>
      <c r="AH2366" t="s">
        <v>758</v>
      </c>
      <c r="AI2366">
        <v>99999</v>
      </c>
      <c r="AJ2366">
        <v>99999</v>
      </c>
      <c r="AK2366">
        <v>699</v>
      </c>
      <c r="AL2366" t="b">
        <v>1</v>
      </c>
      <c r="AM2366" t="b">
        <v>1</v>
      </c>
      <c r="AN2366" t="b">
        <v>0</v>
      </c>
      <c r="AO2366">
        <v>99999</v>
      </c>
      <c r="AP2366" t="s">
        <v>64</v>
      </c>
      <c r="AR2366" t="b">
        <v>0</v>
      </c>
      <c r="AS2366">
        <v>12</v>
      </c>
      <c r="AT2366" t="s">
        <v>327</v>
      </c>
      <c r="AV2366" t="s">
        <v>949</v>
      </c>
    </row>
    <row r="2367" spans="1:48" x14ac:dyDescent="0.25">
      <c r="A2367" t="s">
        <v>3323</v>
      </c>
      <c r="B2367" t="s">
        <v>302</v>
      </c>
      <c r="C2367" t="s">
        <v>62</v>
      </c>
      <c r="D2367">
        <v>99999</v>
      </c>
      <c r="F2367" s="109">
        <v>7000</v>
      </c>
      <c r="G2367" t="b">
        <v>0</v>
      </c>
      <c r="H2367" t="s">
        <v>333</v>
      </c>
      <c r="K2367" t="s">
        <v>393</v>
      </c>
      <c r="L2367" t="s">
        <v>303</v>
      </c>
      <c r="M2367" t="s">
        <v>323</v>
      </c>
      <c r="N2367" t="s">
        <v>63</v>
      </c>
      <c r="O2367" s="110">
        <v>29.9</v>
      </c>
      <c r="R2367" s="110">
        <v>319.89</v>
      </c>
      <c r="S2367" s="110">
        <v>70</v>
      </c>
      <c r="T2367" s="110">
        <v>0</v>
      </c>
      <c r="U2367" s="110">
        <v>42.99</v>
      </c>
      <c r="X2367">
        <v>137</v>
      </c>
      <c r="Y2367">
        <v>69.900000000000006</v>
      </c>
      <c r="Z2367">
        <v>69.900000000000006</v>
      </c>
      <c r="AA2367">
        <v>0</v>
      </c>
      <c r="AB2367" t="s">
        <v>363</v>
      </c>
      <c r="AF2367" t="s">
        <v>1067</v>
      </c>
      <c r="AG2367" t="s">
        <v>1067</v>
      </c>
      <c r="AH2367" t="s">
        <v>758</v>
      </c>
      <c r="AI2367">
        <v>99999</v>
      </c>
      <c r="AJ2367">
        <v>99999</v>
      </c>
      <c r="AK2367">
        <v>699</v>
      </c>
      <c r="AL2367" t="b">
        <v>1</v>
      </c>
      <c r="AM2367" t="b">
        <v>1</v>
      </c>
      <c r="AN2367" t="b">
        <v>0</v>
      </c>
      <c r="AO2367">
        <v>99999</v>
      </c>
      <c r="AP2367" t="s">
        <v>64</v>
      </c>
      <c r="AR2367" t="b">
        <v>0</v>
      </c>
      <c r="AS2367">
        <v>12</v>
      </c>
      <c r="AT2367" t="s">
        <v>327</v>
      </c>
      <c r="AV2367" t="s">
        <v>1097</v>
      </c>
    </row>
    <row r="2368" spans="1:48" x14ac:dyDescent="0.25">
      <c r="A2368" t="s">
        <v>3323</v>
      </c>
      <c r="B2368" t="s">
        <v>302</v>
      </c>
      <c r="C2368" t="s">
        <v>62</v>
      </c>
      <c r="D2368">
        <v>99999</v>
      </c>
      <c r="F2368" s="109">
        <v>7000</v>
      </c>
      <c r="G2368" t="b">
        <v>0</v>
      </c>
      <c r="H2368" t="s">
        <v>333</v>
      </c>
      <c r="K2368" t="s">
        <v>393</v>
      </c>
      <c r="L2368" t="s">
        <v>303</v>
      </c>
      <c r="M2368" t="s">
        <v>323</v>
      </c>
      <c r="N2368" t="s">
        <v>63</v>
      </c>
      <c r="O2368" s="110">
        <v>39.9</v>
      </c>
      <c r="R2368" s="110">
        <v>289.89</v>
      </c>
      <c r="S2368" s="110">
        <v>69.900000000000006</v>
      </c>
      <c r="T2368" s="110">
        <v>0</v>
      </c>
      <c r="U2368" s="110">
        <v>42.99</v>
      </c>
      <c r="X2368">
        <v>107.1</v>
      </c>
      <c r="Y2368">
        <v>69.900000000000006</v>
      </c>
      <c r="Z2368">
        <v>69.900000000000006</v>
      </c>
      <c r="AA2368">
        <v>0</v>
      </c>
      <c r="AB2368" t="s">
        <v>363</v>
      </c>
      <c r="AF2368" t="s">
        <v>852</v>
      </c>
      <c r="AG2368" t="s">
        <v>852</v>
      </c>
      <c r="AH2368" t="s">
        <v>758</v>
      </c>
      <c r="AI2368">
        <v>99999</v>
      </c>
      <c r="AJ2368">
        <v>99999</v>
      </c>
      <c r="AK2368">
        <v>699</v>
      </c>
      <c r="AL2368" t="b">
        <v>1</v>
      </c>
      <c r="AM2368" t="b">
        <v>1</v>
      </c>
      <c r="AN2368" t="b">
        <v>0</v>
      </c>
      <c r="AO2368">
        <v>99999</v>
      </c>
      <c r="AP2368" t="s">
        <v>64</v>
      </c>
      <c r="AR2368" t="b">
        <v>0</v>
      </c>
      <c r="AS2368">
        <v>12</v>
      </c>
      <c r="AT2368" t="s">
        <v>327</v>
      </c>
      <c r="AV2368" t="s">
        <v>882</v>
      </c>
    </row>
    <row r="2369" spans="1:48" x14ac:dyDescent="0.25">
      <c r="A2369" t="s">
        <v>3323</v>
      </c>
      <c r="B2369" t="s">
        <v>302</v>
      </c>
      <c r="C2369" t="s">
        <v>62</v>
      </c>
      <c r="D2369">
        <v>99999</v>
      </c>
      <c r="F2369" s="109">
        <v>7000</v>
      </c>
      <c r="G2369" t="b">
        <v>0</v>
      </c>
      <c r="H2369" t="s">
        <v>333</v>
      </c>
      <c r="K2369" t="s">
        <v>393</v>
      </c>
      <c r="L2369" t="s">
        <v>303</v>
      </c>
      <c r="M2369" t="s">
        <v>323</v>
      </c>
      <c r="N2369" t="s">
        <v>63</v>
      </c>
      <c r="O2369" s="110">
        <v>39.9</v>
      </c>
      <c r="R2369" s="110">
        <v>304.89</v>
      </c>
      <c r="S2369" s="110">
        <v>69.900000000000006</v>
      </c>
      <c r="T2369" s="110">
        <v>0</v>
      </c>
      <c r="U2369" s="110">
        <v>42.99</v>
      </c>
      <c r="X2369">
        <v>122.1</v>
      </c>
      <c r="Y2369">
        <v>69.900000000000006</v>
      </c>
      <c r="Z2369">
        <v>69.900000000000006</v>
      </c>
      <c r="AA2369">
        <v>0</v>
      </c>
      <c r="AB2369" t="s">
        <v>363</v>
      </c>
      <c r="AF2369" t="s">
        <v>986</v>
      </c>
      <c r="AG2369" t="s">
        <v>986</v>
      </c>
      <c r="AH2369" t="s">
        <v>758</v>
      </c>
      <c r="AI2369">
        <v>99999</v>
      </c>
      <c r="AJ2369">
        <v>99999</v>
      </c>
      <c r="AK2369">
        <v>699</v>
      </c>
      <c r="AL2369" t="b">
        <v>1</v>
      </c>
      <c r="AM2369" t="b">
        <v>1</v>
      </c>
      <c r="AN2369" t="b">
        <v>0</v>
      </c>
      <c r="AO2369">
        <v>99999</v>
      </c>
      <c r="AP2369" t="s">
        <v>64</v>
      </c>
      <c r="AR2369" t="b">
        <v>0</v>
      </c>
      <c r="AS2369">
        <v>12</v>
      </c>
      <c r="AT2369" t="s">
        <v>327</v>
      </c>
      <c r="AV2369" t="s">
        <v>1016</v>
      </c>
    </row>
    <row r="2370" spans="1:48" x14ac:dyDescent="0.25">
      <c r="A2370" t="s">
        <v>3323</v>
      </c>
      <c r="B2370" t="s">
        <v>302</v>
      </c>
      <c r="C2370" t="s">
        <v>62</v>
      </c>
      <c r="D2370">
        <v>99999</v>
      </c>
      <c r="F2370" s="109">
        <v>7000</v>
      </c>
      <c r="G2370" t="b">
        <v>0</v>
      </c>
      <c r="H2370" t="s">
        <v>333</v>
      </c>
      <c r="K2370" t="s">
        <v>393</v>
      </c>
      <c r="L2370" t="s">
        <v>303</v>
      </c>
      <c r="M2370" t="s">
        <v>323</v>
      </c>
      <c r="N2370" t="s">
        <v>63</v>
      </c>
      <c r="O2370" s="110">
        <v>39.9</v>
      </c>
      <c r="R2370" s="110">
        <v>319.89</v>
      </c>
      <c r="S2370" s="110">
        <v>70</v>
      </c>
      <c r="T2370" s="110">
        <v>0</v>
      </c>
      <c r="U2370" s="110">
        <v>42.99</v>
      </c>
      <c r="X2370">
        <v>137</v>
      </c>
      <c r="Y2370">
        <v>69.900000000000006</v>
      </c>
      <c r="Z2370">
        <v>69.900000000000006</v>
      </c>
      <c r="AA2370">
        <v>0</v>
      </c>
      <c r="AB2370" t="s">
        <v>363</v>
      </c>
      <c r="AF2370" t="s">
        <v>1134</v>
      </c>
      <c r="AG2370" t="s">
        <v>1134</v>
      </c>
      <c r="AH2370" t="s">
        <v>758</v>
      </c>
      <c r="AI2370">
        <v>99999</v>
      </c>
      <c r="AJ2370">
        <v>99999</v>
      </c>
      <c r="AK2370">
        <v>699</v>
      </c>
      <c r="AL2370" t="b">
        <v>1</v>
      </c>
      <c r="AM2370" t="b">
        <v>1</v>
      </c>
      <c r="AN2370" t="b">
        <v>0</v>
      </c>
      <c r="AO2370">
        <v>99999</v>
      </c>
      <c r="AP2370" t="s">
        <v>64</v>
      </c>
      <c r="AR2370" t="b">
        <v>0</v>
      </c>
      <c r="AS2370">
        <v>12</v>
      </c>
      <c r="AT2370" t="s">
        <v>327</v>
      </c>
      <c r="AV2370" t="s">
        <v>1164</v>
      </c>
    </row>
    <row r="2371" spans="1:48" x14ac:dyDescent="0.25">
      <c r="A2371" t="s">
        <v>3323</v>
      </c>
      <c r="B2371" t="s">
        <v>302</v>
      </c>
      <c r="C2371" t="s">
        <v>62</v>
      </c>
      <c r="D2371">
        <v>99999</v>
      </c>
      <c r="F2371" s="109">
        <v>7000</v>
      </c>
      <c r="G2371" t="b">
        <v>0</v>
      </c>
      <c r="H2371" t="s">
        <v>333</v>
      </c>
      <c r="K2371" t="s">
        <v>393</v>
      </c>
      <c r="L2371" t="s">
        <v>303</v>
      </c>
      <c r="M2371" t="s">
        <v>323</v>
      </c>
      <c r="N2371" t="s">
        <v>63</v>
      </c>
      <c r="O2371" s="110">
        <v>49.9</v>
      </c>
      <c r="R2371" s="110">
        <v>335.69</v>
      </c>
      <c r="S2371" s="110">
        <v>130</v>
      </c>
      <c r="T2371" s="110">
        <v>0</v>
      </c>
      <c r="U2371" s="110">
        <v>34.99</v>
      </c>
      <c r="X2371">
        <v>100.79999999999998</v>
      </c>
      <c r="Y2371">
        <v>69.900000000000006</v>
      </c>
      <c r="Z2371">
        <v>69.900000000000006</v>
      </c>
      <c r="AA2371">
        <v>0</v>
      </c>
      <c r="AB2371" t="s">
        <v>363</v>
      </c>
      <c r="AF2371" t="s">
        <v>2494</v>
      </c>
      <c r="AG2371" t="s">
        <v>2494</v>
      </c>
      <c r="AH2371" t="s">
        <v>758</v>
      </c>
      <c r="AI2371">
        <v>99999</v>
      </c>
      <c r="AJ2371">
        <v>99999</v>
      </c>
      <c r="AK2371">
        <v>699</v>
      </c>
      <c r="AL2371" t="b">
        <v>1</v>
      </c>
      <c r="AM2371" t="b">
        <v>1</v>
      </c>
      <c r="AN2371" t="b">
        <v>0</v>
      </c>
      <c r="AO2371">
        <v>99999</v>
      </c>
      <c r="AP2371" t="s">
        <v>64</v>
      </c>
      <c r="AR2371" t="b">
        <v>0</v>
      </c>
      <c r="AS2371">
        <v>12</v>
      </c>
      <c r="AT2371" t="s">
        <v>327</v>
      </c>
      <c r="AV2371" t="s">
        <v>2524</v>
      </c>
    </row>
    <row r="2372" spans="1:48" x14ac:dyDescent="0.25">
      <c r="A2372" t="s">
        <v>3323</v>
      </c>
      <c r="B2372" t="s">
        <v>302</v>
      </c>
      <c r="C2372" t="s">
        <v>62</v>
      </c>
      <c r="D2372">
        <v>99999</v>
      </c>
      <c r="F2372" s="109">
        <v>7000</v>
      </c>
      <c r="G2372" t="b">
        <v>0</v>
      </c>
      <c r="H2372" t="s">
        <v>333</v>
      </c>
      <c r="K2372" t="s">
        <v>393</v>
      </c>
      <c r="L2372" t="s">
        <v>303</v>
      </c>
      <c r="M2372" t="s">
        <v>323</v>
      </c>
      <c r="N2372" t="s">
        <v>63</v>
      </c>
      <c r="O2372" s="110">
        <v>49.9</v>
      </c>
      <c r="R2372" s="110">
        <v>349.99</v>
      </c>
      <c r="S2372" s="110">
        <v>130</v>
      </c>
      <c r="T2372" s="110">
        <v>0</v>
      </c>
      <c r="U2372" s="110">
        <v>42.99</v>
      </c>
      <c r="X2372">
        <v>107.1</v>
      </c>
      <c r="Y2372">
        <v>69.900000000000006</v>
      </c>
      <c r="Z2372">
        <v>69.900000000000006</v>
      </c>
      <c r="AA2372">
        <v>0</v>
      </c>
      <c r="AB2372" t="s">
        <v>363</v>
      </c>
      <c r="AF2372" t="s">
        <v>2568</v>
      </c>
      <c r="AG2372" t="s">
        <v>2568</v>
      </c>
      <c r="AH2372" t="s">
        <v>758</v>
      </c>
      <c r="AI2372">
        <v>99999</v>
      </c>
      <c r="AJ2372">
        <v>99999</v>
      </c>
      <c r="AK2372">
        <v>699</v>
      </c>
      <c r="AL2372" t="b">
        <v>1</v>
      </c>
      <c r="AM2372" t="b">
        <v>1</v>
      </c>
      <c r="AN2372" t="b">
        <v>0</v>
      </c>
      <c r="AO2372">
        <v>99999</v>
      </c>
      <c r="AP2372" t="s">
        <v>64</v>
      </c>
      <c r="AR2372" t="b">
        <v>0</v>
      </c>
      <c r="AS2372">
        <v>12</v>
      </c>
      <c r="AT2372" t="s">
        <v>327</v>
      </c>
      <c r="AV2372" t="s">
        <v>2598</v>
      </c>
    </row>
    <row r="2373" spans="1:48" x14ac:dyDescent="0.25">
      <c r="A2373" t="s">
        <v>3323</v>
      </c>
      <c r="B2373" t="s">
        <v>302</v>
      </c>
      <c r="C2373" t="s">
        <v>62</v>
      </c>
      <c r="D2373">
        <v>99999</v>
      </c>
      <c r="F2373" s="109">
        <v>7000</v>
      </c>
      <c r="G2373" t="b">
        <v>0</v>
      </c>
      <c r="H2373" t="s">
        <v>333</v>
      </c>
      <c r="K2373" t="s">
        <v>393</v>
      </c>
      <c r="L2373" t="s">
        <v>303</v>
      </c>
      <c r="M2373" t="s">
        <v>323</v>
      </c>
      <c r="N2373" t="s">
        <v>63</v>
      </c>
      <c r="O2373" s="110">
        <v>49.9</v>
      </c>
      <c r="R2373" s="110">
        <v>364.99</v>
      </c>
      <c r="S2373" s="110">
        <v>130</v>
      </c>
      <c r="T2373" s="110">
        <v>0</v>
      </c>
      <c r="U2373" s="110">
        <v>42.99</v>
      </c>
      <c r="X2373">
        <v>122.1</v>
      </c>
      <c r="Y2373">
        <v>69.900000000000006</v>
      </c>
      <c r="Z2373">
        <v>69.900000000000006</v>
      </c>
      <c r="AA2373">
        <v>0</v>
      </c>
      <c r="AB2373" t="s">
        <v>363</v>
      </c>
      <c r="AF2373" t="s">
        <v>2633</v>
      </c>
      <c r="AG2373" t="s">
        <v>2633</v>
      </c>
      <c r="AH2373" t="s">
        <v>758</v>
      </c>
      <c r="AI2373">
        <v>99999</v>
      </c>
      <c r="AJ2373">
        <v>99999</v>
      </c>
      <c r="AK2373">
        <v>699</v>
      </c>
      <c r="AL2373" t="b">
        <v>1</v>
      </c>
      <c r="AM2373" t="b">
        <v>1</v>
      </c>
      <c r="AN2373" t="b">
        <v>0</v>
      </c>
      <c r="AO2373">
        <v>99999</v>
      </c>
      <c r="AP2373" t="s">
        <v>64</v>
      </c>
      <c r="AR2373" t="b">
        <v>0</v>
      </c>
      <c r="AS2373">
        <v>12</v>
      </c>
      <c r="AT2373" t="s">
        <v>327</v>
      </c>
      <c r="AV2373" t="s">
        <v>2661</v>
      </c>
    </row>
    <row r="2374" spans="1:48" x14ac:dyDescent="0.25">
      <c r="A2374" t="s">
        <v>3323</v>
      </c>
      <c r="B2374" t="s">
        <v>302</v>
      </c>
      <c r="C2374" t="s">
        <v>62</v>
      </c>
      <c r="D2374">
        <v>99999</v>
      </c>
      <c r="F2374" s="109">
        <v>7000</v>
      </c>
      <c r="G2374" t="b">
        <v>0</v>
      </c>
      <c r="H2374" t="s">
        <v>333</v>
      </c>
      <c r="K2374" t="s">
        <v>393</v>
      </c>
      <c r="L2374" t="s">
        <v>303</v>
      </c>
      <c r="M2374" t="s">
        <v>323</v>
      </c>
      <c r="N2374" t="s">
        <v>63</v>
      </c>
      <c r="O2374" s="110">
        <v>49.9</v>
      </c>
      <c r="R2374" s="110">
        <v>379.89</v>
      </c>
      <c r="S2374" s="110">
        <v>130</v>
      </c>
      <c r="T2374" s="110">
        <v>0</v>
      </c>
      <c r="U2374" s="110">
        <v>42.99</v>
      </c>
      <c r="X2374">
        <v>137</v>
      </c>
      <c r="Y2374">
        <v>69.900000000000006</v>
      </c>
      <c r="Z2374">
        <v>69.900000000000006</v>
      </c>
      <c r="AA2374">
        <v>0</v>
      </c>
      <c r="AB2374" t="s">
        <v>363</v>
      </c>
      <c r="AF2374" t="s">
        <v>2704</v>
      </c>
      <c r="AG2374" t="s">
        <v>2704</v>
      </c>
      <c r="AH2374" t="s">
        <v>758</v>
      </c>
      <c r="AI2374">
        <v>99999</v>
      </c>
      <c r="AJ2374">
        <v>99999</v>
      </c>
      <c r="AK2374">
        <v>699</v>
      </c>
      <c r="AL2374" t="b">
        <v>1</v>
      </c>
      <c r="AM2374" t="b">
        <v>1</v>
      </c>
      <c r="AN2374" t="b">
        <v>0</v>
      </c>
      <c r="AO2374">
        <v>99999</v>
      </c>
      <c r="AP2374" t="s">
        <v>64</v>
      </c>
      <c r="AR2374" t="b">
        <v>0</v>
      </c>
      <c r="AS2374">
        <v>12</v>
      </c>
      <c r="AT2374" t="s">
        <v>327</v>
      </c>
      <c r="AV2374" t="s">
        <v>2734</v>
      </c>
    </row>
    <row r="2375" spans="1:48" x14ac:dyDescent="0.25">
      <c r="A2375" t="s">
        <v>3323</v>
      </c>
      <c r="B2375" t="s">
        <v>302</v>
      </c>
      <c r="C2375" t="s">
        <v>62</v>
      </c>
      <c r="D2375">
        <v>99999</v>
      </c>
      <c r="F2375" s="109">
        <v>7000</v>
      </c>
      <c r="G2375" t="b">
        <v>0</v>
      </c>
      <c r="H2375" t="s">
        <v>333</v>
      </c>
      <c r="K2375" t="s">
        <v>364</v>
      </c>
      <c r="L2375" t="s">
        <v>303</v>
      </c>
      <c r="M2375" t="s">
        <v>323</v>
      </c>
      <c r="N2375" t="s">
        <v>63</v>
      </c>
      <c r="O2375" s="110">
        <v>29.9</v>
      </c>
      <c r="R2375" s="110">
        <v>269.89</v>
      </c>
      <c r="S2375" s="110">
        <v>69.900000000000006</v>
      </c>
      <c r="T2375" s="110">
        <v>0</v>
      </c>
      <c r="U2375" s="110">
        <v>42.99</v>
      </c>
      <c r="X2375">
        <v>107.1</v>
      </c>
      <c r="Y2375">
        <v>49.9</v>
      </c>
      <c r="Z2375">
        <v>49.9</v>
      </c>
      <c r="AA2375">
        <v>0</v>
      </c>
      <c r="AB2375" t="s">
        <v>363</v>
      </c>
      <c r="AF2375" t="s">
        <v>785</v>
      </c>
      <c r="AG2375" t="s">
        <v>785</v>
      </c>
      <c r="AH2375" t="s">
        <v>758</v>
      </c>
      <c r="AI2375">
        <v>99999</v>
      </c>
      <c r="AJ2375">
        <v>99999</v>
      </c>
      <c r="AK2375">
        <v>699</v>
      </c>
      <c r="AL2375" t="b">
        <v>1</v>
      </c>
      <c r="AM2375" t="b">
        <v>1</v>
      </c>
      <c r="AN2375" t="b">
        <v>0</v>
      </c>
      <c r="AO2375">
        <v>99999</v>
      </c>
      <c r="AP2375" t="s">
        <v>64</v>
      </c>
      <c r="AR2375" t="b">
        <v>0</v>
      </c>
      <c r="AS2375">
        <v>12</v>
      </c>
      <c r="AT2375" t="s">
        <v>327</v>
      </c>
      <c r="AV2375" t="s">
        <v>789</v>
      </c>
    </row>
    <row r="2376" spans="1:48" x14ac:dyDescent="0.25">
      <c r="A2376" t="s">
        <v>3323</v>
      </c>
      <c r="B2376" t="s">
        <v>302</v>
      </c>
      <c r="C2376" t="s">
        <v>62</v>
      </c>
      <c r="D2376">
        <v>99999</v>
      </c>
      <c r="F2376" s="109">
        <v>7000</v>
      </c>
      <c r="G2376" t="b">
        <v>0</v>
      </c>
      <c r="H2376" t="s">
        <v>333</v>
      </c>
      <c r="K2376" t="s">
        <v>364</v>
      </c>
      <c r="L2376" t="s">
        <v>303</v>
      </c>
      <c r="M2376" t="s">
        <v>323</v>
      </c>
      <c r="N2376" t="s">
        <v>63</v>
      </c>
      <c r="O2376" s="110">
        <v>29.9</v>
      </c>
      <c r="R2376" s="110">
        <v>284.89</v>
      </c>
      <c r="S2376" s="110">
        <v>69.900000000000006</v>
      </c>
      <c r="T2376" s="110">
        <v>0</v>
      </c>
      <c r="U2376" s="110">
        <v>42.99</v>
      </c>
      <c r="X2376">
        <v>122.1</v>
      </c>
      <c r="Y2376">
        <v>49.9</v>
      </c>
      <c r="Z2376">
        <v>49.9</v>
      </c>
      <c r="AA2376">
        <v>0</v>
      </c>
      <c r="AB2376" t="s">
        <v>363</v>
      </c>
      <c r="AF2376" t="s">
        <v>919</v>
      </c>
      <c r="AG2376" t="s">
        <v>919</v>
      </c>
      <c r="AH2376" t="s">
        <v>758</v>
      </c>
      <c r="AI2376">
        <v>99999</v>
      </c>
      <c r="AJ2376">
        <v>99999</v>
      </c>
      <c r="AK2376">
        <v>699</v>
      </c>
      <c r="AL2376" t="b">
        <v>1</v>
      </c>
      <c r="AM2376" t="b">
        <v>1</v>
      </c>
      <c r="AN2376" t="b">
        <v>0</v>
      </c>
      <c r="AO2376">
        <v>99999</v>
      </c>
      <c r="AP2376" t="s">
        <v>64</v>
      </c>
      <c r="AR2376" t="b">
        <v>0</v>
      </c>
      <c r="AS2376">
        <v>12</v>
      </c>
      <c r="AT2376" t="s">
        <v>327</v>
      </c>
      <c r="AV2376" t="s">
        <v>923</v>
      </c>
    </row>
    <row r="2377" spans="1:48" x14ac:dyDescent="0.25">
      <c r="A2377" t="s">
        <v>3323</v>
      </c>
      <c r="B2377" t="s">
        <v>302</v>
      </c>
      <c r="C2377" t="s">
        <v>62</v>
      </c>
      <c r="D2377">
        <v>99999</v>
      </c>
      <c r="F2377" s="109">
        <v>7000</v>
      </c>
      <c r="G2377" t="b">
        <v>0</v>
      </c>
      <c r="H2377" t="s">
        <v>333</v>
      </c>
      <c r="K2377" t="s">
        <v>364</v>
      </c>
      <c r="L2377" t="s">
        <v>303</v>
      </c>
      <c r="M2377" t="s">
        <v>323</v>
      </c>
      <c r="N2377" t="s">
        <v>63</v>
      </c>
      <c r="O2377" s="110">
        <v>29.9</v>
      </c>
      <c r="R2377" s="110">
        <v>299.89</v>
      </c>
      <c r="S2377" s="110">
        <v>70</v>
      </c>
      <c r="T2377" s="110">
        <v>0</v>
      </c>
      <c r="U2377" s="110">
        <v>42.99</v>
      </c>
      <c r="X2377">
        <v>137</v>
      </c>
      <c r="Y2377">
        <v>49.9</v>
      </c>
      <c r="Z2377">
        <v>49.9</v>
      </c>
      <c r="AA2377">
        <v>0</v>
      </c>
      <c r="AB2377" t="s">
        <v>363</v>
      </c>
      <c r="AF2377" t="s">
        <v>1067</v>
      </c>
      <c r="AG2377" t="s">
        <v>1067</v>
      </c>
      <c r="AH2377" t="s">
        <v>758</v>
      </c>
      <c r="AI2377">
        <v>99999</v>
      </c>
      <c r="AJ2377">
        <v>99999</v>
      </c>
      <c r="AK2377">
        <v>699</v>
      </c>
      <c r="AL2377" t="b">
        <v>1</v>
      </c>
      <c r="AM2377" t="b">
        <v>1</v>
      </c>
      <c r="AN2377" t="b">
        <v>0</v>
      </c>
      <c r="AO2377">
        <v>99999</v>
      </c>
      <c r="AP2377" t="s">
        <v>64</v>
      </c>
      <c r="AR2377" t="b">
        <v>0</v>
      </c>
      <c r="AS2377">
        <v>12</v>
      </c>
      <c r="AT2377" t="s">
        <v>327</v>
      </c>
      <c r="AV2377" t="s">
        <v>1071</v>
      </c>
    </row>
    <row r="2378" spans="1:48" x14ac:dyDescent="0.25">
      <c r="A2378" t="s">
        <v>3323</v>
      </c>
      <c r="B2378" t="s">
        <v>302</v>
      </c>
      <c r="C2378" t="s">
        <v>62</v>
      </c>
      <c r="D2378">
        <v>99999</v>
      </c>
      <c r="F2378" s="109">
        <v>7000</v>
      </c>
      <c r="G2378" t="b">
        <v>0</v>
      </c>
      <c r="H2378" t="s">
        <v>333</v>
      </c>
      <c r="K2378" t="s">
        <v>364</v>
      </c>
      <c r="L2378" t="s">
        <v>303</v>
      </c>
      <c r="M2378" t="s">
        <v>323</v>
      </c>
      <c r="N2378" t="s">
        <v>63</v>
      </c>
      <c r="O2378" s="110">
        <v>39.9</v>
      </c>
      <c r="R2378" s="110">
        <v>269.89</v>
      </c>
      <c r="S2378" s="110">
        <v>69.900000000000006</v>
      </c>
      <c r="T2378" s="110">
        <v>0</v>
      </c>
      <c r="U2378" s="110">
        <v>42.99</v>
      </c>
      <c r="X2378">
        <v>107.1</v>
      </c>
      <c r="Y2378">
        <v>49.9</v>
      </c>
      <c r="Z2378">
        <v>49.9</v>
      </c>
      <c r="AA2378">
        <v>0</v>
      </c>
      <c r="AB2378" t="s">
        <v>363</v>
      </c>
      <c r="AF2378" t="s">
        <v>852</v>
      </c>
      <c r="AG2378" t="s">
        <v>852</v>
      </c>
      <c r="AH2378" t="s">
        <v>758</v>
      </c>
      <c r="AI2378">
        <v>99999</v>
      </c>
      <c r="AJ2378">
        <v>99999</v>
      </c>
      <c r="AK2378">
        <v>699</v>
      </c>
      <c r="AL2378" t="b">
        <v>1</v>
      </c>
      <c r="AM2378" t="b">
        <v>1</v>
      </c>
      <c r="AN2378" t="b">
        <v>0</v>
      </c>
      <c r="AO2378">
        <v>99999</v>
      </c>
      <c r="AP2378" t="s">
        <v>64</v>
      </c>
      <c r="AR2378" t="b">
        <v>0</v>
      </c>
      <c r="AS2378">
        <v>12</v>
      </c>
      <c r="AT2378" t="s">
        <v>327</v>
      </c>
      <c r="AV2378" t="s">
        <v>856</v>
      </c>
    </row>
    <row r="2379" spans="1:48" x14ac:dyDescent="0.25">
      <c r="A2379" t="s">
        <v>3323</v>
      </c>
      <c r="B2379" t="s">
        <v>302</v>
      </c>
      <c r="C2379" t="s">
        <v>62</v>
      </c>
      <c r="D2379">
        <v>99999</v>
      </c>
      <c r="F2379" s="109">
        <v>7000</v>
      </c>
      <c r="G2379" t="b">
        <v>0</v>
      </c>
      <c r="H2379" t="s">
        <v>333</v>
      </c>
      <c r="K2379" t="s">
        <v>364</v>
      </c>
      <c r="L2379" t="s">
        <v>303</v>
      </c>
      <c r="M2379" t="s">
        <v>323</v>
      </c>
      <c r="N2379" t="s">
        <v>63</v>
      </c>
      <c r="O2379" s="110">
        <v>39.9</v>
      </c>
      <c r="R2379" s="110">
        <v>284.89</v>
      </c>
      <c r="S2379" s="110">
        <v>69.900000000000006</v>
      </c>
      <c r="T2379" s="110">
        <v>0</v>
      </c>
      <c r="U2379" s="110">
        <v>42.99</v>
      </c>
      <c r="X2379">
        <v>122.1</v>
      </c>
      <c r="Y2379">
        <v>49.9</v>
      </c>
      <c r="Z2379">
        <v>49.9</v>
      </c>
      <c r="AA2379">
        <v>0</v>
      </c>
      <c r="AB2379" t="s">
        <v>363</v>
      </c>
      <c r="AF2379" t="s">
        <v>986</v>
      </c>
      <c r="AG2379" t="s">
        <v>986</v>
      </c>
      <c r="AH2379" t="s">
        <v>758</v>
      </c>
      <c r="AI2379">
        <v>99999</v>
      </c>
      <c r="AJ2379">
        <v>99999</v>
      </c>
      <c r="AK2379">
        <v>699</v>
      </c>
      <c r="AL2379" t="b">
        <v>1</v>
      </c>
      <c r="AM2379" t="b">
        <v>1</v>
      </c>
      <c r="AN2379" t="b">
        <v>0</v>
      </c>
      <c r="AO2379">
        <v>99999</v>
      </c>
      <c r="AP2379" t="s">
        <v>64</v>
      </c>
      <c r="AR2379" t="b">
        <v>0</v>
      </c>
      <c r="AS2379">
        <v>12</v>
      </c>
      <c r="AT2379" t="s">
        <v>327</v>
      </c>
      <c r="AV2379" t="s">
        <v>990</v>
      </c>
    </row>
    <row r="2380" spans="1:48" x14ac:dyDescent="0.25">
      <c r="A2380" t="s">
        <v>3323</v>
      </c>
      <c r="B2380" t="s">
        <v>302</v>
      </c>
      <c r="C2380" t="s">
        <v>62</v>
      </c>
      <c r="D2380">
        <v>99999</v>
      </c>
      <c r="F2380" s="109">
        <v>7000</v>
      </c>
      <c r="G2380" t="b">
        <v>0</v>
      </c>
      <c r="H2380" t="s">
        <v>333</v>
      </c>
      <c r="K2380" t="s">
        <v>364</v>
      </c>
      <c r="L2380" t="s">
        <v>303</v>
      </c>
      <c r="M2380" t="s">
        <v>323</v>
      </c>
      <c r="N2380" t="s">
        <v>63</v>
      </c>
      <c r="O2380" s="110">
        <v>39.9</v>
      </c>
      <c r="R2380" s="110">
        <v>299.89</v>
      </c>
      <c r="S2380" s="110">
        <v>70</v>
      </c>
      <c r="T2380" s="110">
        <v>0</v>
      </c>
      <c r="U2380" s="110">
        <v>42.99</v>
      </c>
      <c r="X2380">
        <v>137</v>
      </c>
      <c r="Y2380">
        <v>49.9</v>
      </c>
      <c r="Z2380">
        <v>49.9</v>
      </c>
      <c r="AA2380">
        <v>0</v>
      </c>
      <c r="AB2380" t="s">
        <v>363</v>
      </c>
      <c r="AF2380" t="s">
        <v>1134</v>
      </c>
      <c r="AG2380" t="s">
        <v>1134</v>
      </c>
      <c r="AH2380" t="s">
        <v>758</v>
      </c>
      <c r="AI2380">
        <v>99999</v>
      </c>
      <c r="AJ2380">
        <v>99999</v>
      </c>
      <c r="AK2380">
        <v>699</v>
      </c>
      <c r="AL2380" t="b">
        <v>1</v>
      </c>
      <c r="AM2380" t="b">
        <v>1</v>
      </c>
      <c r="AN2380" t="b">
        <v>0</v>
      </c>
      <c r="AO2380">
        <v>99999</v>
      </c>
      <c r="AP2380" t="s">
        <v>64</v>
      </c>
      <c r="AR2380" t="b">
        <v>0</v>
      </c>
      <c r="AS2380">
        <v>12</v>
      </c>
      <c r="AT2380" t="s">
        <v>327</v>
      </c>
      <c r="AV2380" t="s">
        <v>1138</v>
      </c>
    </row>
    <row r="2381" spans="1:48" x14ac:dyDescent="0.25">
      <c r="A2381" t="s">
        <v>3323</v>
      </c>
      <c r="B2381" t="s">
        <v>302</v>
      </c>
      <c r="C2381" t="s">
        <v>62</v>
      </c>
      <c r="D2381">
        <v>99999</v>
      </c>
      <c r="F2381" s="109">
        <v>7000</v>
      </c>
      <c r="G2381" t="b">
        <v>0</v>
      </c>
      <c r="H2381" t="s">
        <v>333</v>
      </c>
      <c r="K2381" t="s">
        <v>364</v>
      </c>
      <c r="L2381" t="s">
        <v>303</v>
      </c>
      <c r="M2381" t="s">
        <v>323</v>
      </c>
      <c r="N2381" t="s">
        <v>63</v>
      </c>
      <c r="O2381" s="110">
        <v>49.9</v>
      </c>
      <c r="R2381" s="110">
        <v>315.68999999999994</v>
      </c>
      <c r="S2381" s="110">
        <v>130</v>
      </c>
      <c r="T2381" s="110">
        <v>0</v>
      </c>
      <c r="U2381" s="110">
        <v>34.99</v>
      </c>
      <c r="X2381">
        <v>100.79999999999998</v>
      </c>
      <c r="Y2381">
        <v>49.9</v>
      </c>
      <c r="Z2381">
        <v>49.9</v>
      </c>
      <c r="AA2381">
        <v>0</v>
      </c>
      <c r="AB2381" t="s">
        <v>363</v>
      </c>
      <c r="AF2381" t="s">
        <v>2494</v>
      </c>
      <c r="AG2381" t="s">
        <v>2494</v>
      </c>
      <c r="AH2381" t="s">
        <v>758</v>
      </c>
      <c r="AI2381">
        <v>99999</v>
      </c>
      <c r="AJ2381">
        <v>99999</v>
      </c>
      <c r="AK2381">
        <v>699</v>
      </c>
      <c r="AL2381" t="b">
        <v>1</v>
      </c>
      <c r="AM2381" t="b">
        <v>1</v>
      </c>
      <c r="AN2381" t="b">
        <v>0</v>
      </c>
      <c r="AO2381">
        <v>99999</v>
      </c>
      <c r="AP2381" t="s">
        <v>64</v>
      </c>
      <c r="AR2381" t="b">
        <v>0</v>
      </c>
      <c r="AS2381">
        <v>12</v>
      </c>
      <c r="AT2381" t="s">
        <v>327</v>
      </c>
      <c r="AV2381" t="s">
        <v>2498</v>
      </c>
    </row>
    <row r="2382" spans="1:48" x14ac:dyDescent="0.25">
      <c r="A2382" t="s">
        <v>3323</v>
      </c>
      <c r="B2382" t="s">
        <v>302</v>
      </c>
      <c r="C2382" t="s">
        <v>62</v>
      </c>
      <c r="D2382">
        <v>99999</v>
      </c>
      <c r="F2382" s="109">
        <v>7000</v>
      </c>
      <c r="G2382" t="b">
        <v>0</v>
      </c>
      <c r="H2382" t="s">
        <v>333</v>
      </c>
      <c r="K2382" t="s">
        <v>364</v>
      </c>
      <c r="L2382" t="s">
        <v>303</v>
      </c>
      <c r="M2382" t="s">
        <v>323</v>
      </c>
      <c r="N2382" t="s">
        <v>63</v>
      </c>
      <c r="O2382" s="110">
        <v>49.9</v>
      </c>
      <c r="R2382" s="110">
        <v>329.99</v>
      </c>
      <c r="S2382" s="110">
        <v>130</v>
      </c>
      <c r="T2382" s="110">
        <v>0</v>
      </c>
      <c r="U2382" s="110">
        <v>42.99</v>
      </c>
      <c r="X2382">
        <v>107.1</v>
      </c>
      <c r="Y2382">
        <v>49.9</v>
      </c>
      <c r="Z2382">
        <v>49.9</v>
      </c>
      <c r="AA2382">
        <v>0</v>
      </c>
      <c r="AB2382" t="s">
        <v>363</v>
      </c>
      <c r="AF2382" t="s">
        <v>2568</v>
      </c>
      <c r="AG2382" t="s">
        <v>2568</v>
      </c>
      <c r="AH2382" t="s">
        <v>758</v>
      </c>
      <c r="AI2382">
        <v>99999</v>
      </c>
      <c r="AJ2382">
        <v>99999</v>
      </c>
      <c r="AK2382">
        <v>699</v>
      </c>
      <c r="AL2382" t="b">
        <v>1</v>
      </c>
      <c r="AM2382" t="b">
        <v>1</v>
      </c>
      <c r="AN2382" t="b">
        <v>0</v>
      </c>
      <c r="AO2382">
        <v>99999</v>
      </c>
      <c r="AP2382" t="s">
        <v>64</v>
      </c>
      <c r="AR2382" t="b">
        <v>0</v>
      </c>
      <c r="AS2382">
        <v>12</v>
      </c>
      <c r="AT2382" t="s">
        <v>327</v>
      </c>
      <c r="AV2382" t="s">
        <v>2572</v>
      </c>
    </row>
    <row r="2383" spans="1:48" x14ac:dyDescent="0.25">
      <c r="A2383" t="s">
        <v>3323</v>
      </c>
      <c r="B2383" t="s">
        <v>302</v>
      </c>
      <c r="C2383" t="s">
        <v>62</v>
      </c>
      <c r="D2383">
        <v>99999</v>
      </c>
      <c r="F2383" s="109">
        <v>7000</v>
      </c>
      <c r="G2383" t="b">
        <v>0</v>
      </c>
      <c r="H2383" t="s">
        <v>333</v>
      </c>
      <c r="K2383" t="s">
        <v>364</v>
      </c>
      <c r="L2383" t="s">
        <v>303</v>
      </c>
      <c r="M2383" t="s">
        <v>323</v>
      </c>
      <c r="N2383" t="s">
        <v>63</v>
      </c>
      <c r="O2383" s="110">
        <v>49.9</v>
      </c>
      <c r="R2383" s="110">
        <v>344.99</v>
      </c>
      <c r="S2383" s="110">
        <v>130</v>
      </c>
      <c r="T2383" s="110">
        <v>0</v>
      </c>
      <c r="U2383" s="110">
        <v>42.99</v>
      </c>
      <c r="X2383">
        <v>122.1</v>
      </c>
      <c r="Y2383">
        <v>49.9</v>
      </c>
      <c r="Z2383">
        <v>49.9</v>
      </c>
      <c r="AA2383">
        <v>0</v>
      </c>
      <c r="AB2383" t="s">
        <v>363</v>
      </c>
      <c r="AF2383" t="s">
        <v>2633</v>
      </c>
      <c r="AG2383" t="s">
        <v>2633</v>
      </c>
      <c r="AH2383" t="s">
        <v>758</v>
      </c>
      <c r="AI2383">
        <v>99999</v>
      </c>
      <c r="AJ2383">
        <v>99999</v>
      </c>
      <c r="AK2383">
        <v>699</v>
      </c>
      <c r="AL2383" t="b">
        <v>1</v>
      </c>
      <c r="AM2383" t="b">
        <v>1</v>
      </c>
      <c r="AN2383" t="b">
        <v>0</v>
      </c>
      <c r="AO2383">
        <v>99999</v>
      </c>
      <c r="AP2383" t="s">
        <v>64</v>
      </c>
      <c r="AR2383" t="b">
        <v>0</v>
      </c>
      <c r="AS2383">
        <v>12</v>
      </c>
      <c r="AT2383" t="s">
        <v>327</v>
      </c>
      <c r="AV2383" t="s">
        <v>2637</v>
      </c>
    </row>
    <row r="2384" spans="1:48" x14ac:dyDescent="0.25">
      <c r="A2384" t="s">
        <v>3323</v>
      </c>
      <c r="B2384" t="s">
        <v>302</v>
      </c>
      <c r="C2384" t="s">
        <v>62</v>
      </c>
      <c r="D2384">
        <v>99999</v>
      </c>
      <c r="F2384" s="109">
        <v>7000</v>
      </c>
      <c r="G2384" t="b">
        <v>0</v>
      </c>
      <c r="H2384" t="s">
        <v>333</v>
      </c>
      <c r="K2384" t="s">
        <v>364</v>
      </c>
      <c r="L2384" t="s">
        <v>303</v>
      </c>
      <c r="M2384" t="s">
        <v>323</v>
      </c>
      <c r="N2384" t="s">
        <v>63</v>
      </c>
      <c r="O2384" s="110">
        <v>49.9</v>
      </c>
      <c r="R2384" s="110">
        <v>359.89</v>
      </c>
      <c r="S2384" s="110">
        <v>130</v>
      </c>
      <c r="T2384" s="110">
        <v>0</v>
      </c>
      <c r="U2384" s="110">
        <v>42.99</v>
      </c>
      <c r="X2384">
        <v>137</v>
      </c>
      <c r="Y2384">
        <v>49.9</v>
      </c>
      <c r="Z2384">
        <v>49.9</v>
      </c>
      <c r="AA2384">
        <v>0</v>
      </c>
      <c r="AB2384" t="s">
        <v>363</v>
      </c>
      <c r="AF2384" t="s">
        <v>2704</v>
      </c>
      <c r="AG2384" t="s">
        <v>2704</v>
      </c>
      <c r="AH2384" t="s">
        <v>758</v>
      </c>
      <c r="AI2384">
        <v>99999</v>
      </c>
      <c r="AJ2384">
        <v>99999</v>
      </c>
      <c r="AK2384">
        <v>699</v>
      </c>
      <c r="AL2384" t="b">
        <v>1</v>
      </c>
      <c r="AM2384" t="b">
        <v>1</v>
      </c>
      <c r="AN2384" t="b">
        <v>0</v>
      </c>
      <c r="AO2384">
        <v>99999</v>
      </c>
      <c r="AP2384" t="s">
        <v>64</v>
      </c>
      <c r="AR2384" t="b">
        <v>0</v>
      </c>
      <c r="AS2384">
        <v>12</v>
      </c>
      <c r="AT2384" t="s">
        <v>327</v>
      </c>
      <c r="AV2384" t="s">
        <v>2708</v>
      </c>
    </row>
    <row r="2385" spans="1:48" x14ac:dyDescent="0.25">
      <c r="A2385" t="s">
        <v>3323</v>
      </c>
      <c r="B2385" t="s">
        <v>302</v>
      </c>
      <c r="C2385" t="s">
        <v>62</v>
      </c>
      <c r="D2385">
        <v>99999</v>
      </c>
      <c r="F2385" s="109">
        <v>7000</v>
      </c>
      <c r="G2385" t="b">
        <v>0</v>
      </c>
      <c r="H2385" t="s">
        <v>333</v>
      </c>
      <c r="K2385" t="s">
        <v>379</v>
      </c>
      <c r="L2385" t="s">
        <v>303</v>
      </c>
      <c r="M2385" t="s">
        <v>323</v>
      </c>
      <c r="N2385" t="s">
        <v>63</v>
      </c>
      <c r="O2385" s="110">
        <v>29.9</v>
      </c>
      <c r="R2385" s="110">
        <v>279.89</v>
      </c>
      <c r="S2385" s="110">
        <v>69.900000000000006</v>
      </c>
      <c r="T2385" s="110">
        <v>0</v>
      </c>
      <c r="U2385" s="110">
        <v>42.99</v>
      </c>
      <c r="X2385">
        <v>107.1</v>
      </c>
      <c r="Y2385">
        <v>59.9</v>
      </c>
      <c r="Z2385">
        <v>59.9</v>
      </c>
      <c r="AA2385">
        <v>0</v>
      </c>
      <c r="AB2385" t="s">
        <v>363</v>
      </c>
      <c r="AF2385" t="s">
        <v>785</v>
      </c>
      <c r="AG2385" t="s">
        <v>785</v>
      </c>
      <c r="AH2385" t="s">
        <v>758</v>
      </c>
      <c r="AI2385">
        <v>99999</v>
      </c>
      <c r="AJ2385">
        <v>99999</v>
      </c>
      <c r="AK2385">
        <v>699</v>
      </c>
      <c r="AL2385" t="b">
        <v>1</v>
      </c>
      <c r="AM2385" t="b">
        <v>1</v>
      </c>
      <c r="AN2385" t="b">
        <v>0</v>
      </c>
      <c r="AO2385">
        <v>99999</v>
      </c>
      <c r="AP2385" t="s">
        <v>64</v>
      </c>
      <c r="AR2385" t="b">
        <v>0</v>
      </c>
      <c r="AS2385">
        <v>12</v>
      </c>
      <c r="AT2385" t="s">
        <v>327</v>
      </c>
      <c r="AV2385" t="s">
        <v>802</v>
      </c>
    </row>
    <row r="2386" spans="1:48" x14ac:dyDescent="0.25">
      <c r="A2386" t="s">
        <v>3323</v>
      </c>
      <c r="B2386" t="s">
        <v>302</v>
      </c>
      <c r="C2386" t="s">
        <v>62</v>
      </c>
      <c r="D2386">
        <v>99999</v>
      </c>
      <c r="F2386" s="109">
        <v>7000</v>
      </c>
      <c r="G2386" t="b">
        <v>0</v>
      </c>
      <c r="H2386" t="s">
        <v>333</v>
      </c>
      <c r="K2386" t="s">
        <v>379</v>
      </c>
      <c r="L2386" t="s">
        <v>303</v>
      </c>
      <c r="M2386" t="s">
        <v>323</v>
      </c>
      <c r="N2386" t="s">
        <v>63</v>
      </c>
      <c r="O2386" s="110">
        <v>29.9</v>
      </c>
      <c r="R2386" s="110">
        <v>294.89</v>
      </c>
      <c r="S2386" s="110">
        <v>69.900000000000006</v>
      </c>
      <c r="T2386" s="110">
        <v>0</v>
      </c>
      <c r="U2386" s="110">
        <v>42.99</v>
      </c>
      <c r="X2386">
        <v>122.1</v>
      </c>
      <c r="Y2386">
        <v>59.9</v>
      </c>
      <c r="Z2386">
        <v>59.9</v>
      </c>
      <c r="AA2386">
        <v>0</v>
      </c>
      <c r="AB2386" t="s">
        <v>363</v>
      </c>
      <c r="AF2386" t="s">
        <v>919</v>
      </c>
      <c r="AG2386" t="s">
        <v>919</v>
      </c>
      <c r="AH2386" t="s">
        <v>758</v>
      </c>
      <c r="AI2386">
        <v>99999</v>
      </c>
      <c r="AJ2386">
        <v>99999</v>
      </c>
      <c r="AK2386">
        <v>699</v>
      </c>
      <c r="AL2386" t="b">
        <v>1</v>
      </c>
      <c r="AM2386" t="b">
        <v>1</v>
      </c>
      <c r="AN2386" t="b">
        <v>0</v>
      </c>
      <c r="AO2386">
        <v>99999</v>
      </c>
      <c r="AP2386" t="s">
        <v>64</v>
      </c>
      <c r="AR2386" t="b">
        <v>0</v>
      </c>
      <c r="AS2386">
        <v>12</v>
      </c>
      <c r="AT2386" t="s">
        <v>327</v>
      </c>
      <c r="AV2386" t="s">
        <v>936</v>
      </c>
    </row>
    <row r="2387" spans="1:48" x14ac:dyDescent="0.25">
      <c r="A2387" t="s">
        <v>3323</v>
      </c>
      <c r="B2387" t="s">
        <v>302</v>
      </c>
      <c r="C2387" t="s">
        <v>62</v>
      </c>
      <c r="D2387">
        <v>99999</v>
      </c>
      <c r="F2387" s="109">
        <v>7000</v>
      </c>
      <c r="G2387" t="b">
        <v>0</v>
      </c>
      <c r="H2387" t="s">
        <v>333</v>
      </c>
      <c r="K2387" t="s">
        <v>379</v>
      </c>
      <c r="L2387" t="s">
        <v>303</v>
      </c>
      <c r="M2387" t="s">
        <v>323</v>
      </c>
      <c r="N2387" t="s">
        <v>63</v>
      </c>
      <c r="O2387" s="110">
        <v>29.9</v>
      </c>
      <c r="R2387" s="110">
        <v>309.89</v>
      </c>
      <c r="S2387" s="110">
        <v>70</v>
      </c>
      <c r="T2387" s="110">
        <v>0</v>
      </c>
      <c r="U2387" s="110">
        <v>42.99</v>
      </c>
      <c r="X2387">
        <v>137</v>
      </c>
      <c r="Y2387">
        <v>59.9</v>
      </c>
      <c r="Z2387">
        <v>59.9</v>
      </c>
      <c r="AA2387">
        <v>0</v>
      </c>
      <c r="AB2387" t="s">
        <v>363</v>
      </c>
      <c r="AF2387" t="s">
        <v>1067</v>
      </c>
      <c r="AG2387" t="s">
        <v>1067</v>
      </c>
      <c r="AH2387" t="s">
        <v>758</v>
      </c>
      <c r="AI2387">
        <v>99999</v>
      </c>
      <c r="AJ2387">
        <v>99999</v>
      </c>
      <c r="AK2387">
        <v>699</v>
      </c>
      <c r="AL2387" t="b">
        <v>1</v>
      </c>
      <c r="AM2387" t="b">
        <v>1</v>
      </c>
      <c r="AN2387" t="b">
        <v>0</v>
      </c>
      <c r="AO2387">
        <v>99999</v>
      </c>
      <c r="AP2387" t="s">
        <v>64</v>
      </c>
      <c r="AR2387" t="b">
        <v>0</v>
      </c>
      <c r="AS2387">
        <v>12</v>
      </c>
      <c r="AT2387" t="s">
        <v>327</v>
      </c>
      <c r="AV2387" t="s">
        <v>1084</v>
      </c>
    </row>
    <row r="2388" spans="1:48" x14ac:dyDescent="0.25">
      <c r="A2388" t="s">
        <v>3323</v>
      </c>
      <c r="B2388" t="s">
        <v>302</v>
      </c>
      <c r="C2388" t="s">
        <v>62</v>
      </c>
      <c r="D2388">
        <v>99999</v>
      </c>
      <c r="F2388" s="109">
        <v>7000</v>
      </c>
      <c r="G2388" t="b">
        <v>0</v>
      </c>
      <c r="H2388" t="s">
        <v>333</v>
      </c>
      <c r="K2388" t="s">
        <v>379</v>
      </c>
      <c r="L2388" t="s">
        <v>303</v>
      </c>
      <c r="M2388" t="s">
        <v>323</v>
      </c>
      <c r="N2388" t="s">
        <v>63</v>
      </c>
      <c r="O2388" s="110">
        <v>39.9</v>
      </c>
      <c r="R2388" s="110">
        <v>279.89</v>
      </c>
      <c r="S2388" s="110">
        <v>69.900000000000006</v>
      </c>
      <c r="T2388" s="110">
        <v>0</v>
      </c>
      <c r="U2388" s="110">
        <v>42.99</v>
      </c>
      <c r="X2388">
        <v>107.1</v>
      </c>
      <c r="Y2388">
        <v>59.9</v>
      </c>
      <c r="Z2388">
        <v>59.9</v>
      </c>
      <c r="AA2388">
        <v>0</v>
      </c>
      <c r="AB2388" t="s">
        <v>363</v>
      </c>
      <c r="AF2388" t="s">
        <v>852</v>
      </c>
      <c r="AG2388" t="s">
        <v>852</v>
      </c>
      <c r="AH2388" t="s">
        <v>758</v>
      </c>
      <c r="AI2388">
        <v>99999</v>
      </c>
      <c r="AJ2388">
        <v>99999</v>
      </c>
      <c r="AK2388">
        <v>699</v>
      </c>
      <c r="AL2388" t="b">
        <v>1</v>
      </c>
      <c r="AM2388" t="b">
        <v>1</v>
      </c>
      <c r="AN2388" t="b">
        <v>0</v>
      </c>
      <c r="AO2388">
        <v>99999</v>
      </c>
      <c r="AP2388" t="s">
        <v>64</v>
      </c>
      <c r="AR2388" t="b">
        <v>0</v>
      </c>
      <c r="AS2388">
        <v>12</v>
      </c>
      <c r="AT2388" t="s">
        <v>327</v>
      </c>
      <c r="AV2388" t="s">
        <v>869</v>
      </c>
    </row>
    <row r="2389" spans="1:48" x14ac:dyDescent="0.25">
      <c r="A2389" t="s">
        <v>3323</v>
      </c>
      <c r="B2389" t="s">
        <v>302</v>
      </c>
      <c r="C2389" t="s">
        <v>62</v>
      </c>
      <c r="D2389">
        <v>99999</v>
      </c>
      <c r="F2389" s="109">
        <v>7000</v>
      </c>
      <c r="G2389" t="b">
        <v>0</v>
      </c>
      <c r="H2389" t="s">
        <v>333</v>
      </c>
      <c r="K2389" t="s">
        <v>379</v>
      </c>
      <c r="L2389" t="s">
        <v>303</v>
      </c>
      <c r="M2389" t="s">
        <v>323</v>
      </c>
      <c r="N2389" t="s">
        <v>63</v>
      </c>
      <c r="O2389" s="110">
        <v>39.9</v>
      </c>
      <c r="R2389" s="110">
        <v>294.89</v>
      </c>
      <c r="S2389" s="110">
        <v>69.900000000000006</v>
      </c>
      <c r="T2389" s="110">
        <v>0</v>
      </c>
      <c r="U2389" s="110">
        <v>42.99</v>
      </c>
      <c r="X2389">
        <v>122.1</v>
      </c>
      <c r="Y2389">
        <v>59.9</v>
      </c>
      <c r="Z2389">
        <v>59.9</v>
      </c>
      <c r="AA2389">
        <v>0</v>
      </c>
      <c r="AB2389" t="s">
        <v>363</v>
      </c>
      <c r="AF2389" t="s">
        <v>986</v>
      </c>
      <c r="AG2389" t="s">
        <v>986</v>
      </c>
      <c r="AH2389" t="s">
        <v>758</v>
      </c>
      <c r="AI2389">
        <v>99999</v>
      </c>
      <c r="AJ2389">
        <v>99999</v>
      </c>
      <c r="AK2389">
        <v>699</v>
      </c>
      <c r="AL2389" t="b">
        <v>1</v>
      </c>
      <c r="AM2389" t="b">
        <v>1</v>
      </c>
      <c r="AN2389" t="b">
        <v>0</v>
      </c>
      <c r="AO2389">
        <v>99999</v>
      </c>
      <c r="AP2389" t="s">
        <v>64</v>
      </c>
      <c r="AR2389" t="b">
        <v>0</v>
      </c>
      <c r="AS2389">
        <v>12</v>
      </c>
      <c r="AT2389" t="s">
        <v>327</v>
      </c>
      <c r="AV2389" t="s">
        <v>1003</v>
      </c>
    </row>
    <row r="2390" spans="1:48" x14ac:dyDescent="0.25">
      <c r="A2390" t="s">
        <v>3323</v>
      </c>
      <c r="B2390" t="s">
        <v>302</v>
      </c>
      <c r="C2390" t="s">
        <v>62</v>
      </c>
      <c r="D2390">
        <v>99999</v>
      </c>
      <c r="F2390" s="109">
        <v>7000</v>
      </c>
      <c r="G2390" t="b">
        <v>0</v>
      </c>
      <c r="H2390" t="s">
        <v>333</v>
      </c>
      <c r="K2390" t="s">
        <v>379</v>
      </c>
      <c r="L2390" t="s">
        <v>303</v>
      </c>
      <c r="M2390" t="s">
        <v>323</v>
      </c>
      <c r="N2390" t="s">
        <v>63</v>
      </c>
      <c r="O2390" s="110">
        <v>39.9</v>
      </c>
      <c r="R2390" s="110">
        <v>309.89</v>
      </c>
      <c r="S2390" s="110">
        <v>70</v>
      </c>
      <c r="T2390" s="110">
        <v>0</v>
      </c>
      <c r="U2390" s="110">
        <v>42.99</v>
      </c>
      <c r="X2390">
        <v>137</v>
      </c>
      <c r="Y2390">
        <v>59.9</v>
      </c>
      <c r="Z2390">
        <v>59.9</v>
      </c>
      <c r="AA2390">
        <v>0</v>
      </c>
      <c r="AB2390" t="s">
        <v>363</v>
      </c>
      <c r="AF2390" t="s">
        <v>1134</v>
      </c>
      <c r="AG2390" t="s">
        <v>1134</v>
      </c>
      <c r="AH2390" t="s">
        <v>758</v>
      </c>
      <c r="AI2390">
        <v>99999</v>
      </c>
      <c r="AJ2390">
        <v>99999</v>
      </c>
      <c r="AK2390">
        <v>699</v>
      </c>
      <c r="AL2390" t="b">
        <v>1</v>
      </c>
      <c r="AM2390" t="b">
        <v>1</v>
      </c>
      <c r="AN2390" t="b">
        <v>0</v>
      </c>
      <c r="AO2390">
        <v>99999</v>
      </c>
      <c r="AP2390" t="s">
        <v>64</v>
      </c>
      <c r="AR2390" t="b">
        <v>0</v>
      </c>
      <c r="AS2390">
        <v>12</v>
      </c>
      <c r="AT2390" t="s">
        <v>327</v>
      </c>
      <c r="AV2390" t="s">
        <v>1151</v>
      </c>
    </row>
    <row r="2391" spans="1:48" x14ac:dyDescent="0.25">
      <c r="A2391" t="s">
        <v>3323</v>
      </c>
      <c r="B2391" t="s">
        <v>302</v>
      </c>
      <c r="C2391" t="s">
        <v>62</v>
      </c>
      <c r="D2391">
        <v>99999</v>
      </c>
      <c r="F2391" s="109">
        <v>7000</v>
      </c>
      <c r="G2391" t="b">
        <v>0</v>
      </c>
      <c r="H2391" t="s">
        <v>333</v>
      </c>
      <c r="K2391" t="s">
        <v>379</v>
      </c>
      <c r="L2391" t="s">
        <v>303</v>
      </c>
      <c r="M2391" t="s">
        <v>323</v>
      </c>
      <c r="N2391" t="s">
        <v>63</v>
      </c>
      <c r="O2391" s="110">
        <v>49.9</v>
      </c>
      <c r="R2391" s="110">
        <v>325.68999999999994</v>
      </c>
      <c r="S2391" s="110">
        <v>130</v>
      </c>
      <c r="T2391" s="110">
        <v>0</v>
      </c>
      <c r="U2391" s="110">
        <v>34.99</v>
      </c>
      <c r="X2391">
        <v>100.79999999999998</v>
      </c>
      <c r="Y2391">
        <v>59.9</v>
      </c>
      <c r="Z2391">
        <v>59.9</v>
      </c>
      <c r="AA2391">
        <v>0</v>
      </c>
      <c r="AB2391" t="s">
        <v>363</v>
      </c>
      <c r="AF2391" t="s">
        <v>2494</v>
      </c>
      <c r="AG2391" t="s">
        <v>2494</v>
      </c>
      <c r="AH2391" t="s">
        <v>758</v>
      </c>
      <c r="AI2391">
        <v>99999</v>
      </c>
      <c r="AJ2391">
        <v>99999</v>
      </c>
      <c r="AK2391">
        <v>699</v>
      </c>
      <c r="AL2391" t="b">
        <v>1</v>
      </c>
      <c r="AM2391" t="b">
        <v>1</v>
      </c>
      <c r="AN2391" t="b">
        <v>0</v>
      </c>
      <c r="AO2391">
        <v>99999</v>
      </c>
      <c r="AP2391" t="s">
        <v>64</v>
      </c>
      <c r="AR2391" t="b">
        <v>0</v>
      </c>
      <c r="AS2391">
        <v>12</v>
      </c>
      <c r="AT2391" t="s">
        <v>327</v>
      </c>
      <c r="AV2391" t="s">
        <v>2511</v>
      </c>
    </row>
    <row r="2392" spans="1:48" x14ac:dyDescent="0.25">
      <c r="A2392" t="s">
        <v>3323</v>
      </c>
      <c r="B2392" t="s">
        <v>302</v>
      </c>
      <c r="C2392" t="s">
        <v>62</v>
      </c>
      <c r="D2392">
        <v>99999</v>
      </c>
      <c r="F2392" s="109">
        <v>7000</v>
      </c>
      <c r="G2392" t="b">
        <v>0</v>
      </c>
      <c r="H2392" t="s">
        <v>333</v>
      </c>
      <c r="K2392" t="s">
        <v>379</v>
      </c>
      <c r="L2392" t="s">
        <v>303</v>
      </c>
      <c r="M2392" t="s">
        <v>323</v>
      </c>
      <c r="N2392" t="s">
        <v>63</v>
      </c>
      <c r="O2392" s="110">
        <v>49.9</v>
      </c>
      <c r="R2392" s="110">
        <v>339.99</v>
      </c>
      <c r="S2392" s="110">
        <v>130</v>
      </c>
      <c r="T2392" s="110">
        <v>0</v>
      </c>
      <c r="U2392" s="110">
        <v>42.99</v>
      </c>
      <c r="X2392">
        <v>107.1</v>
      </c>
      <c r="Y2392">
        <v>59.9</v>
      </c>
      <c r="Z2392">
        <v>59.9</v>
      </c>
      <c r="AA2392">
        <v>0</v>
      </c>
      <c r="AB2392" t="s">
        <v>363</v>
      </c>
      <c r="AF2392" t="s">
        <v>2568</v>
      </c>
      <c r="AG2392" t="s">
        <v>2568</v>
      </c>
      <c r="AH2392" t="s">
        <v>758</v>
      </c>
      <c r="AI2392">
        <v>99999</v>
      </c>
      <c r="AJ2392">
        <v>99999</v>
      </c>
      <c r="AK2392">
        <v>699</v>
      </c>
      <c r="AL2392" t="b">
        <v>1</v>
      </c>
      <c r="AM2392" t="b">
        <v>1</v>
      </c>
      <c r="AN2392" t="b">
        <v>0</v>
      </c>
      <c r="AO2392">
        <v>99999</v>
      </c>
      <c r="AP2392" t="s">
        <v>64</v>
      </c>
      <c r="AR2392" t="b">
        <v>0</v>
      </c>
      <c r="AS2392">
        <v>12</v>
      </c>
      <c r="AT2392" t="s">
        <v>327</v>
      </c>
      <c r="AV2392" t="s">
        <v>2585</v>
      </c>
    </row>
    <row r="2393" spans="1:48" x14ac:dyDescent="0.25">
      <c r="A2393" t="s">
        <v>3323</v>
      </c>
      <c r="B2393" t="s">
        <v>302</v>
      </c>
      <c r="C2393" t="s">
        <v>62</v>
      </c>
      <c r="D2393">
        <v>99999</v>
      </c>
      <c r="F2393" s="109">
        <v>7000</v>
      </c>
      <c r="G2393" t="b">
        <v>0</v>
      </c>
      <c r="H2393" t="s">
        <v>333</v>
      </c>
      <c r="K2393" t="s">
        <v>379</v>
      </c>
      <c r="L2393" t="s">
        <v>303</v>
      </c>
      <c r="M2393" t="s">
        <v>323</v>
      </c>
      <c r="N2393" t="s">
        <v>63</v>
      </c>
      <c r="O2393" s="110">
        <v>49.9</v>
      </c>
      <c r="R2393" s="110">
        <v>354.99</v>
      </c>
      <c r="S2393" s="110">
        <v>130</v>
      </c>
      <c r="T2393" s="110">
        <v>0</v>
      </c>
      <c r="U2393" s="110">
        <v>42.99</v>
      </c>
      <c r="X2393">
        <v>122.1</v>
      </c>
      <c r="Y2393">
        <v>59.9</v>
      </c>
      <c r="Z2393">
        <v>59.9</v>
      </c>
      <c r="AA2393">
        <v>0</v>
      </c>
      <c r="AB2393" t="s">
        <v>363</v>
      </c>
      <c r="AF2393" t="s">
        <v>2633</v>
      </c>
      <c r="AG2393" t="s">
        <v>2633</v>
      </c>
      <c r="AH2393" t="s">
        <v>758</v>
      </c>
      <c r="AI2393">
        <v>99999</v>
      </c>
      <c r="AJ2393">
        <v>99999</v>
      </c>
      <c r="AK2393">
        <v>699</v>
      </c>
      <c r="AL2393" t="b">
        <v>1</v>
      </c>
      <c r="AM2393" t="b">
        <v>1</v>
      </c>
      <c r="AN2393" t="b">
        <v>0</v>
      </c>
      <c r="AO2393">
        <v>99999</v>
      </c>
      <c r="AP2393" t="s">
        <v>64</v>
      </c>
      <c r="AR2393" t="b">
        <v>0</v>
      </c>
      <c r="AS2393">
        <v>12</v>
      </c>
      <c r="AT2393" t="s">
        <v>327</v>
      </c>
      <c r="AV2393" t="s">
        <v>2649</v>
      </c>
    </row>
    <row r="2394" spans="1:48" x14ac:dyDescent="0.25">
      <c r="A2394" t="s">
        <v>3323</v>
      </c>
      <c r="B2394" t="s">
        <v>302</v>
      </c>
      <c r="C2394" t="s">
        <v>62</v>
      </c>
      <c r="D2394">
        <v>99999</v>
      </c>
      <c r="F2394" s="109">
        <v>7000</v>
      </c>
      <c r="G2394" t="b">
        <v>0</v>
      </c>
      <c r="H2394" t="s">
        <v>333</v>
      </c>
      <c r="K2394" t="s">
        <v>379</v>
      </c>
      <c r="L2394" t="s">
        <v>303</v>
      </c>
      <c r="M2394" t="s">
        <v>323</v>
      </c>
      <c r="N2394" t="s">
        <v>63</v>
      </c>
      <c r="O2394" s="110">
        <v>49.9</v>
      </c>
      <c r="R2394" s="110">
        <v>369.89</v>
      </c>
      <c r="S2394" s="110">
        <v>130</v>
      </c>
      <c r="T2394" s="110">
        <v>0</v>
      </c>
      <c r="U2394" s="110">
        <v>42.99</v>
      </c>
      <c r="X2394">
        <v>137</v>
      </c>
      <c r="Y2394">
        <v>59.9</v>
      </c>
      <c r="Z2394">
        <v>59.9</v>
      </c>
      <c r="AA2394">
        <v>0</v>
      </c>
      <c r="AB2394" t="s">
        <v>363</v>
      </c>
      <c r="AF2394" t="s">
        <v>2704</v>
      </c>
      <c r="AG2394" t="s">
        <v>2704</v>
      </c>
      <c r="AH2394" t="s">
        <v>758</v>
      </c>
      <c r="AI2394">
        <v>99999</v>
      </c>
      <c r="AJ2394">
        <v>99999</v>
      </c>
      <c r="AK2394">
        <v>699</v>
      </c>
      <c r="AL2394" t="b">
        <v>1</v>
      </c>
      <c r="AM2394" t="b">
        <v>1</v>
      </c>
      <c r="AN2394" t="b">
        <v>0</v>
      </c>
      <c r="AO2394">
        <v>99999</v>
      </c>
      <c r="AP2394" t="s">
        <v>64</v>
      </c>
      <c r="AR2394" t="b">
        <v>0</v>
      </c>
      <c r="AS2394">
        <v>12</v>
      </c>
      <c r="AT2394" t="s">
        <v>327</v>
      </c>
      <c r="AV2394" t="s">
        <v>2721</v>
      </c>
    </row>
    <row r="2395" spans="1:48" x14ac:dyDescent="0.25">
      <c r="A2395" t="s">
        <v>3323</v>
      </c>
      <c r="B2395" t="s">
        <v>302</v>
      </c>
      <c r="C2395" t="s">
        <v>62</v>
      </c>
      <c r="D2395">
        <v>99999</v>
      </c>
      <c r="F2395" s="109">
        <v>7000</v>
      </c>
      <c r="G2395" t="b">
        <v>0</v>
      </c>
      <c r="H2395" t="s">
        <v>333</v>
      </c>
      <c r="K2395" t="s">
        <v>61</v>
      </c>
      <c r="L2395" t="s">
        <v>303</v>
      </c>
      <c r="M2395" t="s">
        <v>323</v>
      </c>
      <c r="N2395" t="s">
        <v>63</v>
      </c>
      <c r="O2395">
        <v>29.9</v>
      </c>
      <c r="R2395">
        <v>264.89</v>
      </c>
      <c r="S2395">
        <v>69.900000000000006</v>
      </c>
      <c r="T2395" s="110">
        <v>0</v>
      </c>
      <c r="U2395">
        <v>42.99</v>
      </c>
      <c r="X2395">
        <v>107.1</v>
      </c>
      <c r="Y2395">
        <v>44.9</v>
      </c>
      <c r="Z2395">
        <v>44.9</v>
      </c>
      <c r="AA2395">
        <v>0</v>
      </c>
      <c r="AB2395" t="s">
        <v>324</v>
      </c>
      <c r="AF2395" t="s">
        <v>757</v>
      </c>
      <c r="AG2395" t="s">
        <v>757</v>
      </c>
      <c r="AH2395" t="s">
        <v>758</v>
      </c>
      <c r="AI2395">
        <v>99999</v>
      </c>
      <c r="AJ2395">
        <v>99999</v>
      </c>
      <c r="AK2395">
        <v>699</v>
      </c>
      <c r="AL2395" t="b">
        <v>1</v>
      </c>
      <c r="AM2395" t="b">
        <v>1</v>
      </c>
      <c r="AN2395" t="b">
        <v>0</v>
      </c>
      <c r="AO2395">
        <v>99999</v>
      </c>
      <c r="AP2395" t="s">
        <v>64</v>
      </c>
      <c r="AR2395" t="b">
        <v>0</v>
      </c>
      <c r="AS2395">
        <v>12</v>
      </c>
      <c r="AT2395" t="s">
        <v>327</v>
      </c>
      <c r="AV2395" t="s">
        <v>762</v>
      </c>
    </row>
    <row r="2396" spans="1:48" x14ac:dyDescent="0.25">
      <c r="A2396" t="s">
        <v>3323</v>
      </c>
      <c r="B2396" t="s">
        <v>302</v>
      </c>
      <c r="C2396" t="s">
        <v>62</v>
      </c>
      <c r="D2396">
        <v>99999</v>
      </c>
      <c r="F2396" s="109">
        <v>7000</v>
      </c>
      <c r="G2396" t="b">
        <v>0</v>
      </c>
      <c r="H2396" t="s">
        <v>333</v>
      </c>
      <c r="K2396" t="s">
        <v>61</v>
      </c>
      <c r="L2396" t="s">
        <v>303</v>
      </c>
      <c r="M2396" t="s">
        <v>323</v>
      </c>
      <c r="N2396" t="s">
        <v>63</v>
      </c>
      <c r="O2396" s="110">
        <v>29.9</v>
      </c>
      <c r="R2396" s="110">
        <v>279.89</v>
      </c>
      <c r="S2396" s="110">
        <v>69.900000000000006</v>
      </c>
      <c r="T2396" s="110">
        <v>0</v>
      </c>
      <c r="U2396" s="110">
        <v>42.99</v>
      </c>
      <c r="X2396">
        <v>122.1</v>
      </c>
      <c r="Y2396">
        <v>44.9</v>
      </c>
      <c r="Z2396">
        <v>44.9</v>
      </c>
      <c r="AA2396">
        <v>0</v>
      </c>
      <c r="AB2396" t="s">
        <v>324</v>
      </c>
      <c r="AF2396" t="s">
        <v>892</v>
      </c>
      <c r="AG2396" t="s">
        <v>892</v>
      </c>
      <c r="AH2396" t="s">
        <v>758</v>
      </c>
      <c r="AI2396">
        <v>99999</v>
      </c>
      <c r="AJ2396">
        <v>99999</v>
      </c>
      <c r="AK2396">
        <v>699</v>
      </c>
      <c r="AL2396" t="b">
        <v>1</v>
      </c>
      <c r="AM2396" t="b">
        <v>1</v>
      </c>
      <c r="AN2396" t="b">
        <v>0</v>
      </c>
      <c r="AO2396">
        <v>99999</v>
      </c>
      <c r="AP2396" t="s">
        <v>64</v>
      </c>
      <c r="AR2396" t="b">
        <v>0</v>
      </c>
      <c r="AS2396">
        <v>12</v>
      </c>
      <c r="AT2396" t="s">
        <v>327</v>
      </c>
      <c r="AV2396" t="s">
        <v>896</v>
      </c>
    </row>
    <row r="2397" spans="1:48" x14ac:dyDescent="0.25">
      <c r="A2397" t="s">
        <v>3323</v>
      </c>
      <c r="B2397" t="s">
        <v>302</v>
      </c>
      <c r="C2397" t="s">
        <v>62</v>
      </c>
      <c r="D2397">
        <v>99999</v>
      </c>
      <c r="F2397" s="109">
        <v>7000</v>
      </c>
      <c r="G2397" t="b">
        <v>0</v>
      </c>
      <c r="H2397" t="s">
        <v>333</v>
      </c>
      <c r="K2397" t="s">
        <v>61</v>
      </c>
      <c r="L2397" t="s">
        <v>303</v>
      </c>
      <c r="M2397" t="s">
        <v>323</v>
      </c>
      <c r="N2397" t="s">
        <v>63</v>
      </c>
      <c r="O2397" s="110">
        <v>29.9</v>
      </c>
      <c r="R2397" s="110">
        <v>294.89</v>
      </c>
      <c r="S2397" s="110">
        <v>70</v>
      </c>
      <c r="T2397" s="110">
        <v>0</v>
      </c>
      <c r="U2397" s="110">
        <v>42.99</v>
      </c>
      <c r="X2397">
        <v>137</v>
      </c>
      <c r="Y2397">
        <v>44.9</v>
      </c>
      <c r="Z2397">
        <v>44.9</v>
      </c>
      <c r="AA2397">
        <v>0</v>
      </c>
      <c r="AB2397" t="s">
        <v>324</v>
      </c>
      <c r="AF2397" t="s">
        <v>1040</v>
      </c>
      <c r="AG2397" t="s">
        <v>1040</v>
      </c>
      <c r="AH2397" t="s">
        <v>758</v>
      </c>
      <c r="AI2397">
        <v>99999</v>
      </c>
      <c r="AJ2397">
        <v>99999</v>
      </c>
      <c r="AK2397">
        <v>699</v>
      </c>
      <c r="AL2397" t="b">
        <v>1</v>
      </c>
      <c r="AM2397" t="b">
        <v>1</v>
      </c>
      <c r="AN2397" t="b">
        <v>0</v>
      </c>
      <c r="AO2397">
        <v>99999</v>
      </c>
      <c r="AP2397" t="s">
        <v>64</v>
      </c>
      <c r="AR2397" t="b">
        <v>0</v>
      </c>
      <c r="AS2397">
        <v>12</v>
      </c>
      <c r="AT2397" t="s">
        <v>327</v>
      </c>
      <c r="AV2397" t="s">
        <v>1044</v>
      </c>
    </row>
    <row r="2398" spans="1:48" x14ac:dyDescent="0.25">
      <c r="A2398" t="s">
        <v>3323</v>
      </c>
      <c r="B2398" t="s">
        <v>302</v>
      </c>
      <c r="C2398" t="s">
        <v>62</v>
      </c>
      <c r="D2398">
        <v>99999</v>
      </c>
      <c r="F2398" s="109">
        <v>7000</v>
      </c>
      <c r="G2398" t="b">
        <v>0</v>
      </c>
      <c r="H2398" t="s">
        <v>333</v>
      </c>
      <c r="K2398" t="s">
        <v>61</v>
      </c>
      <c r="L2398" t="s">
        <v>303</v>
      </c>
      <c r="M2398" t="s">
        <v>323</v>
      </c>
      <c r="N2398" t="s">
        <v>63</v>
      </c>
      <c r="O2398" s="110">
        <v>39.9</v>
      </c>
      <c r="R2398" s="110">
        <v>264.89</v>
      </c>
      <c r="S2398" s="110">
        <v>69.900000000000006</v>
      </c>
      <c r="T2398" s="110">
        <v>0</v>
      </c>
      <c r="U2398" s="110">
        <v>42.99</v>
      </c>
      <c r="X2398">
        <v>107.1</v>
      </c>
      <c r="Y2398">
        <v>44.9</v>
      </c>
      <c r="Z2398">
        <v>44.9</v>
      </c>
      <c r="AA2398">
        <v>0</v>
      </c>
      <c r="AB2398" t="s">
        <v>324</v>
      </c>
      <c r="AF2398" t="s">
        <v>825</v>
      </c>
      <c r="AG2398" t="s">
        <v>825</v>
      </c>
      <c r="AH2398" t="s">
        <v>758</v>
      </c>
      <c r="AI2398">
        <v>99999</v>
      </c>
      <c r="AJ2398">
        <v>99999</v>
      </c>
      <c r="AK2398">
        <v>699</v>
      </c>
      <c r="AL2398" t="b">
        <v>1</v>
      </c>
      <c r="AM2398" t="b">
        <v>1</v>
      </c>
      <c r="AN2398" t="b">
        <v>0</v>
      </c>
      <c r="AO2398">
        <v>99999</v>
      </c>
      <c r="AP2398" t="s">
        <v>64</v>
      </c>
      <c r="AR2398" t="b">
        <v>0</v>
      </c>
      <c r="AS2398">
        <v>12</v>
      </c>
      <c r="AT2398" t="s">
        <v>327</v>
      </c>
      <c r="AV2398" t="s">
        <v>829</v>
      </c>
    </row>
    <row r="2399" spans="1:48" x14ac:dyDescent="0.25">
      <c r="A2399" t="s">
        <v>3323</v>
      </c>
      <c r="B2399" t="s">
        <v>302</v>
      </c>
      <c r="C2399" t="s">
        <v>62</v>
      </c>
      <c r="D2399">
        <v>99999</v>
      </c>
      <c r="F2399" s="109">
        <v>7000</v>
      </c>
      <c r="G2399" t="b">
        <v>0</v>
      </c>
      <c r="H2399" t="s">
        <v>333</v>
      </c>
      <c r="K2399" t="s">
        <v>61</v>
      </c>
      <c r="L2399" t="s">
        <v>303</v>
      </c>
      <c r="M2399" t="s">
        <v>323</v>
      </c>
      <c r="N2399" t="s">
        <v>63</v>
      </c>
      <c r="O2399" s="110">
        <v>39.9</v>
      </c>
      <c r="R2399" s="110">
        <v>279.89</v>
      </c>
      <c r="S2399" s="110">
        <v>69.900000000000006</v>
      </c>
      <c r="T2399" s="110">
        <v>0</v>
      </c>
      <c r="U2399" s="110">
        <v>42.99</v>
      </c>
      <c r="X2399">
        <v>122.1</v>
      </c>
      <c r="Y2399">
        <v>44.9</v>
      </c>
      <c r="Z2399">
        <v>44.9</v>
      </c>
      <c r="AA2399">
        <v>0</v>
      </c>
      <c r="AB2399" t="s">
        <v>324</v>
      </c>
      <c r="AF2399" t="s">
        <v>959</v>
      </c>
      <c r="AG2399" t="s">
        <v>959</v>
      </c>
      <c r="AH2399" t="s">
        <v>758</v>
      </c>
      <c r="AI2399">
        <v>99999</v>
      </c>
      <c r="AJ2399">
        <v>99999</v>
      </c>
      <c r="AK2399">
        <v>699</v>
      </c>
      <c r="AL2399" t="b">
        <v>1</v>
      </c>
      <c r="AM2399" t="b">
        <v>1</v>
      </c>
      <c r="AN2399" t="b">
        <v>0</v>
      </c>
      <c r="AO2399">
        <v>99999</v>
      </c>
      <c r="AP2399" t="s">
        <v>64</v>
      </c>
      <c r="AR2399" t="b">
        <v>0</v>
      </c>
      <c r="AS2399">
        <v>12</v>
      </c>
      <c r="AT2399" t="s">
        <v>327</v>
      </c>
      <c r="AV2399" t="s">
        <v>963</v>
      </c>
    </row>
    <row r="2400" spans="1:48" x14ac:dyDescent="0.25">
      <c r="A2400" t="s">
        <v>3323</v>
      </c>
      <c r="B2400" t="s">
        <v>302</v>
      </c>
      <c r="C2400" t="s">
        <v>62</v>
      </c>
      <c r="D2400">
        <v>99999</v>
      </c>
      <c r="F2400" s="109">
        <v>7000</v>
      </c>
      <c r="G2400" t="b">
        <v>0</v>
      </c>
      <c r="H2400" t="s">
        <v>333</v>
      </c>
      <c r="K2400" t="s">
        <v>61</v>
      </c>
      <c r="L2400" t="s">
        <v>303</v>
      </c>
      <c r="M2400" t="s">
        <v>323</v>
      </c>
      <c r="N2400" t="s">
        <v>63</v>
      </c>
      <c r="O2400" s="110">
        <v>39.9</v>
      </c>
      <c r="R2400" s="110">
        <v>294.89</v>
      </c>
      <c r="S2400" s="110">
        <v>70</v>
      </c>
      <c r="T2400" s="110">
        <v>0</v>
      </c>
      <c r="U2400" s="110">
        <v>42.99</v>
      </c>
      <c r="X2400">
        <v>137</v>
      </c>
      <c r="Y2400">
        <v>44.9</v>
      </c>
      <c r="Z2400">
        <v>44.9</v>
      </c>
      <c r="AA2400">
        <v>0</v>
      </c>
      <c r="AB2400" t="s">
        <v>324</v>
      </c>
      <c r="AF2400" t="s">
        <v>1107</v>
      </c>
      <c r="AG2400" t="s">
        <v>1107</v>
      </c>
      <c r="AH2400" t="s">
        <v>758</v>
      </c>
      <c r="AI2400">
        <v>99999</v>
      </c>
      <c r="AJ2400">
        <v>99999</v>
      </c>
      <c r="AK2400">
        <v>699</v>
      </c>
      <c r="AL2400" t="b">
        <v>1</v>
      </c>
      <c r="AM2400" t="b">
        <v>1</v>
      </c>
      <c r="AN2400" t="b">
        <v>0</v>
      </c>
      <c r="AO2400">
        <v>99999</v>
      </c>
      <c r="AP2400" t="s">
        <v>64</v>
      </c>
      <c r="AR2400" t="b">
        <v>0</v>
      </c>
      <c r="AS2400">
        <v>12</v>
      </c>
      <c r="AT2400" t="s">
        <v>327</v>
      </c>
      <c r="AV2400" t="s">
        <v>1111</v>
      </c>
    </row>
    <row r="2401" spans="1:48" x14ac:dyDescent="0.25">
      <c r="A2401" t="s">
        <v>3323</v>
      </c>
      <c r="B2401" t="s">
        <v>302</v>
      </c>
      <c r="C2401" t="s">
        <v>62</v>
      </c>
      <c r="D2401">
        <v>99999</v>
      </c>
      <c r="F2401" s="109">
        <v>7000</v>
      </c>
      <c r="G2401" t="b">
        <v>0</v>
      </c>
      <c r="H2401" t="s">
        <v>333</v>
      </c>
      <c r="K2401" t="s">
        <v>61</v>
      </c>
      <c r="L2401" t="s">
        <v>303</v>
      </c>
      <c r="M2401" t="s">
        <v>323</v>
      </c>
      <c r="N2401" t="s">
        <v>63</v>
      </c>
      <c r="O2401" s="110">
        <v>49.9</v>
      </c>
      <c r="R2401" s="110">
        <v>310.68999999999994</v>
      </c>
      <c r="S2401" s="110">
        <v>130</v>
      </c>
      <c r="T2401" s="110">
        <v>0</v>
      </c>
      <c r="U2401" s="110">
        <v>34.99</v>
      </c>
      <c r="X2401">
        <v>100.79999999999998</v>
      </c>
      <c r="Y2401">
        <v>44.9</v>
      </c>
      <c r="Z2401">
        <v>44.9</v>
      </c>
      <c r="AA2401">
        <v>0</v>
      </c>
      <c r="AB2401" t="s">
        <v>324</v>
      </c>
      <c r="AF2401" t="s">
        <v>2467</v>
      </c>
      <c r="AG2401" t="s">
        <v>2467</v>
      </c>
      <c r="AH2401" t="s">
        <v>758</v>
      </c>
      <c r="AI2401">
        <v>99999</v>
      </c>
      <c r="AJ2401">
        <v>99999</v>
      </c>
      <c r="AK2401">
        <v>699</v>
      </c>
      <c r="AL2401" t="b">
        <v>1</v>
      </c>
      <c r="AM2401" t="b">
        <v>1</v>
      </c>
      <c r="AN2401" t="b">
        <v>0</v>
      </c>
      <c r="AO2401">
        <v>99999</v>
      </c>
      <c r="AP2401" t="s">
        <v>64</v>
      </c>
      <c r="AR2401" t="b">
        <v>0</v>
      </c>
      <c r="AS2401">
        <v>12</v>
      </c>
      <c r="AT2401" t="s">
        <v>327</v>
      </c>
      <c r="AV2401" t="s">
        <v>2471</v>
      </c>
    </row>
    <row r="2402" spans="1:48" x14ac:dyDescent="0.25">
      <c r="A2402" t="s">
        <v>3323</v>
      </c>
      <c r="B2402" t="s">
        <v>302</v>
      </c>
      <c r="C2402" t="s">
        <v>62</v>
      </c>
      <c r="D2402">
        <v>99999</v>
      </c>
      <c r="F2402" s="109">
        <v>7000</v>
      </c>
      <c r="G2402" t="b">
        <v>0</v>
      </c>
      <c r="H2402" t="s">
        <v>333</v>
      </c>
      <c r="K2402" t="s">
        <v>61</v>
      </c>
      <c r="L2402" t="s">
        <v>303</v>
      </c>
      <c r="M2402" t="s">
        <v>323</v>
      </c>
      <c r="N2402" t="s">
        <v>63</v>
      </c>
      <c r="O2402" s="110">
        <v>49.9</v>
      </c>
      <c r="R2402" s="110">
        <v>324.99</v>
      </c>
      <c r="S2402" s="110">
        <v>130</v>
      </c>
      <c r="T2402" s="110">
        <v>0</v>
      </c>
      <c r="U2402" s="110">
        <v>42.99</v>
      </c>
      <c r="X2402">
        <v>107.1</v>
      </c>
      <c r="Y2402">
        <v>44.9</v>
      </c>
      <c r="Z2402">
        <v>44.9</v>
      </c>
      <c r="AA2402">
        <v>0</v>
      </c>
      <c r="AB2402" t="s">
        <v>324</v>
      </c>
      <c r="AF2402" t="s">
        <v>2541</v>
      </c>
      <c r="AG2402" t="s">
        <v>2541</v>
      </c>
      <c r="AH2402" t="s">
        <v>758</v>
      </c>
      <c r="AI2402">
        <v>99999</v>
      </c>
      <c r="AJ2402">
        <v>99999</v>
      </c>
      <c r="AK2402">
        <v>699</v>
      </c>
      <c r="AL2402" t="b">
        <v>1</v>
      </c>
      <c r="AM2402" t="b">
        <v>1</v>
      </c>
      <c r="AN2402" t="b">
        <v>0</v>
      </c>
      <c r="AO2402">
        <v>99999</v>
      </c>
      <c r="AP2402" t="s">
        <v>64</v>
      </c>
      <c r="AR2402" t="b">
        <v>0</v>
      </c>
      <c r="AS2402">
        <v>12</v>
      </c>
      <c r="AT2402" t="s">
        <v>327</v>
      </c>
      <c r="AV2402" t="s">
        <v>2545</v>
      </c>
    </row>
    <row r="2403" spans="1:48" x14ac:dyDescent="0.25">
      <c r="A2403" t="s">
        <v>3323</v>
      </c>
      <c r="B2403" t="s">
        <v>302</v>
      </c>
      <c r="C2403" t="s">
        <v>62</v>
      </c>
      <c r="D2403">
        <v>99999</v>
      </c>
      <c r="F2403" s="109">
        <v>7000</v>
      </c>
      <c r="G2403" t="b">
        <v>0</v>
      </c>
      <c r="H2403" t="s">
        <v>333</v>
      </c>
      <c r="K2403" t="s">
        <v>61</v>
      </c>
      <c r="L2403" t="s">
        <v>303</v>
      </c>
      <c r="M2403" t="s">
        <v>323</v>
      </c>
      <c r="N2403" t="s">
        <v>63</v>
      </c>
      <c r="O2403" s="110">
        <v>49.9</v>
      </c>
      <c r="R2403" s="110">
        <v>339.99</v>
      </c>
      <c r="S2403" s="110">
        <v>130</v>
      </c>
      <c r="T2403" s="110">
        <v>0</v>
      </c>
      <c r="U2403" s="110">
        <v>42.99</v>
      </c>
      <c r="X2403">
        <v>122.1</v>
      </c>
      <c r="Y2403">
        <v>44.9</v>
      </c>
      <c r="Z2403">
        <v>44.9</v>
      </c>
      <c r="AA2403">
        <v>0</v>
      </c>
      <c r="AB2403" t="s">
        <v>324</v>
      </c>
      <c r="AF2403" t="s">
        <v>2608</v>
      </c>
      <c r="AG2403" t="s">
        <v>2608</v>
      </c>
      <c r="AH2403" t="s">
        <v>758</v>
      </c>
      <c r="AI2403">
        <v>99999</v>
      </c>
      <c r="AJ2403">
        <v>99999</v>
      </c>
      <c r="AK2403">
        <v>699</v>
      </c>
      <c r="AL2403" t="b">
        <v>1</v>
      </c>
      <c r="AM2403" t="b">
        <v>1</v>
      </c>
      <c r="AN2403" t="b">
        <v>0</v>
      </c>
      <c r="AO2403">
        <v>99999</v>
      </c>
      <c r="AP2403" t="s">
        <v>64</v>
      </c>
      <c r="AR2403" t="b">
        <v>0</v>
      </c>
      <c r="AS2403">
        <v>12</v>
      </c>
      <c r="AT2403" t="s">
        <v>327</v>
      </c>
      <c r="AV2403" t="s">
        <v>2612</v>
      </c>
    </row>
    <row r="2404" spans="1:48" x14ac:dyDescent="0.25">
      <c r="A2404" t="s">
        <v>3323</v>
      </c>
      <c r="B2404" t="s">
        <v>302</v>
      </c>
      <c r="C2404" t="s">
        <v>62</v>
      </c>
      <c r="D2404">
        <v>99999</v>
      </c>
      <c r="F2404" s="109">
        <v>7000</v>
      </c>
      <c r="G2404" t="b">
        <v>0</v>
      </c>
      <c r="H2404" t="s">
        <v>333</v>
      </c>
      <c r="K2404" t="s">
        <v>61</v>
      </c>
      <c r="L2404" t="s">
        <v>303</v>
      </c>
      <c r="M2404" t="s">
        <v>323</v>
      </c>
      <c r="N2404" t="s">
        <v>63</v>
      </c>
      <c r="O2404" s="110">
        <v>49.9</v>
      </c>
      <c r="R2404" s="110">
        <v>354.89</v>
      </c>
      <c r="S2404" s="110">
        <v>130</v>
      </c>
      <c r="T2404" s="110">
        <v>0</v>
      </c>
      <c r="U2404" s="110">
        <v>42.99</v>
      </c>
      <c r="X2404">
        <v>137</v>
      </c>
      <c r="Y2404">
        <v>44.9</v>
      </c>
      <c r="Z2404">
        <v>44.9</v>
      </c>
      <c r="AA2404">
        <v>0</v>
      </c>
      <c r="AB2404" t="s">
        <v>324</v>
      </c>
      <c r="AF2404" t="s">
        <v>2677</v>
      </c>
      <c r="AG2404" t="s">
        <v>2677</v>
      </c>
      <c r="AH2404" t="s">
        <v>758</v>
      </c>
      <c r="AI2404">
        <v>99999</v>
      </c>
      <c r="AJ2404">
        <v>99999</v>
      </c>
      <c r="AK2404">
        <v>699</v>
      </c>
      <c r="AL2404" t="b">
        <v>1</v>
      </c>
      <c r="AM2404" t="b">
        <v>1</v>
      </c>
      <c r="AN2404" t="b">
        <v>0</v>
      </c>
      <c r="AO2404">
        <v>99999</v>
      </c>
      <c r="AP2404" t="s">
        <v>64</v>
      </c>
      <c r="AR2404" t="b">
        <v>0</v>
      </c>
      <c r="AS2404">
        <v>12</v>
      </c>
      <c r="AT2404" t="s">
        <v>327</v>
      </c>
      <c r="AV2404" t="s">
        <v>2681</v>
      </c>
    </row>
    <row r="2405" spans="1:48" x14ac:dyDescent="0.25">
      <c r="A2405" t="s">
        <v>3323</v>
      </c>
      <c r="B2405" t="s">
        <v>302</v>
      </c>
      <c r="C2405" t="s">
        <v>62</v>
      </c>
      <c r="D2405">
        <v>99999</v>
      </c>
      <c r="F2405" s="109">
        <v>7000</v>
      </c>
      <c r="G2405" t="b">
        <v>0</v>
      </c>
      <c r="H2405" t="s">
        <v>315</v>
      </c>
      <c r="K2405" t="s">
        <v>349</v>
      </c>
      <c r="L2405" t="s">
        <v>303</v>
      </c>
      <c r="M2405" t="s">
        <v>323</v>
      </c>
      <c r="N2405" t="s">
        <v>63</v>
      </c>
      <c r="O2405" s="110">
        <v>29.9</v>
      </c>
      <c r="R2405" s="110">
        <v>209.89000000000001</v>
      </c>
      <c r="S2405" s="110">
        <v>69.900000000000006</v>
      </c>
      <c r="T2405" s="110">
        <v>0</v>
      </c>
      <c r="U2405" s="110">
        <v>42.99</v>
      </c>
      <c r="X2405">
        <v>52.099999999999994</v>
      </c>
      <c r="Y2405">
        <v>44.9</v>
      </c>
      <c r="Z2405">
        <v>44.9</v>
      </c>
      <c r="AA2405">
        <v>0</v>
      </c>
      <c r="AB2405" t="s">
        <v>324</v>
      </c>
      <c r="AF2405" t="s">
        <v>757</v>
      </c>
      <c r="AG2405" t="s">
        <v>757</v>
      </c>
      <c r="AH2405" t="s">
        <v>758</v>
      </c>
      <c r="AI2405">
        <v>99999</v>
      </c>
      <c r="AJ2405">
        <v>99999</v>
      </c>
      <c r="AK2405">
        <v>699</v>
      </c>
      <c r="AL2405" t="b">
        <v>1</v>
      </c>
      <c r="AM2405" t="b">
        <v>1</v>
      </c>
      <c r="AN2405" t="b">
        <v>0</v>
      </c>
      <c r="AO2405">
        <v>99999</v>
      </c>
      <c r="AP2405" t="s">
        <v>64</v>
      </c>
      <c r="AR2405" t="b">
        <v>0</v>
      </c>
      <c r="AS2405">
        <v>12</v>
      </c>
      <c r="AT2405" t="s">
        <v>327</v>
      </c>
      <c r="AV2405" t="s">
        <v>772</v>
      </c>
    </row>
    <row r="2406" spans="1:48" x14ac:dyDescent="0.25">
      <c r="A2406" t="s">
        <v>3323</v>
      </c>
      <c r="B2406" t="s">
        <v>302</v>
      </c>
      <c r="C2406" t="s">
        <v>62</v>
      </c>
      <c r="D2406">
        <v>99999</v>
      </c>
      <c r="F2406" s="109">
        <v>7000</v>
      </c>
      <c r="G2406" t="b">
        <v>0</v>
      </c>
      <c r="H2406" t="s">
        <v>315</v>
      </c>
      <c r="K2406" t="s">
        <v>349</v>
      </c>
      <c r="L2406" t="s">
        <v>303</v>
      </c>
      <c r="M2406" t="s">
        <v>323</v>
      </c>
      <c r="N2406" t="s">
        <v>63</v>
      </c>
      <c r="O2406" s="110">
        <v>29.9</v>
      </c>
      <c r="R2406" s="110">
        <v>224.89000000000001</v>
      </c>
      <c r="S2406" s="110">
        <v>69.900000000000006</v>
      </c>
      <c r="T2406" s="110">
        <v>0</v>
      </c>
      <c r="U2406" s="110">
        <v>42.99</v>
      </c>
      <c r="X2406">
        <v>67.099999999999994</v>
      </c>
      <c r="Y2406">
        <v>44.9</v>
      </c>
      <c r="Z2406">
        <v>44.9</v>
      </c>
      <c r="AA2406">
        <v>0</v>
      </c>
      <c r="AB2406" t="s">
        <v>324</v>
      </c>
      <c r="AF2406" t="s">
        <v>892</v>
      </c>
      <c r="AG2406" t="s">
        <v>892</v>
      </c>
      <c r="AH2406" t="s">
        <v>758</v>
      </c>
      <c r="AI2406">
        <v>99999</v>
      </c>
      <c r="AJ2406">
        <v>99999</v>
      </c>
      <c r="AK2406">
        <v>699</v>
      </c>
      <c r="AL2406" t="b">
        <v>1</v>
      </c>
      <c r="AM2406" t="b">
        <v>1</v>
      </c>
      <c r="AN2406" t="b">
        <v>0</v>
      </c>
      <c r="AO2406">
        <v>99999</v>
      </c>
      <c r="AP2406" t="s">
        <v>64</v>
      </c>
      <c r="AR2406" t="b">
        <v>0</v>
      </c>
      <c r="AS2406">
        <v>12</v>
      </c>
      <c r="AT2406" t="s">
        <v>327</v>
      </c>
      <c r="AV2406" t="s">
        <v>906</v>
      </c>
    </row>
    <row r="2407" spans="1:48" x14ac:dyDescent="0.25">
      <c r="A2407" t="s">
        <v>3323</v>
      </c>
      <c r="B2407" t="s">
        <v>302</v>
      </c>
      <c r="C2407" t="s">
        <v>62</v>
      </c>
      <c r="D2407">
        <v>99999</v>
      </c>
      <c r="F2407" s="109">
        <v>7000</v>
      </c>
      <c r="G2407" t="b">
        <v>0</v>
      </c>
      <c r="H2407" t="s">
        <v>315</v>
      </c>
      <c r="K2407" t="s">
        <v>349</v>
      </c>
      <c r="L2407" t="s">
        <v>303</v>
      </c>
      <c r="M2407" t="s">
        <v>323</v>
      </c>
      <c r="N2407" t="s">
        <v>63</v>
      </c>
      <c r="O2407" s="110">
        <v>29.9</v>
      </c>
      <c r="R2407" s="110">
        <v>239.89</v>
      </c>
      <c r="S2407" s="110">
        <v>70</v>
      </c>
      <c r="T2407" s="110">
        <v>0</v>
      </c>
      <c r="U2407" s="110">
        <v>42.99</v>
      </c>
      <c r="X2407">
        <v>82</v>
      </c>
      <c r="Y2407">
        <v>44.9</v>
      </c>
      <c r="Z2407">
        <v>44.9</v>
      </c>
      <c r="AA2407">
        <v>0</v>
      </c>
      <c r="AB2407" t="s">
        <v>324</v>
      </c>
      <c r="AF2407" t="s">
        <v>1040</v>
      </c>
      <c r="AG2407" t="s">
        <v>1040</v>
      </c>
      <c r="AH2407" t="s">
        <v>758</v>
      </c>
      <c r="AI2407">
        <v>99999</v>
      </c>
      <c r="AJ2407">
        <v>99999</v>
      </c>
      <c r="AK2407">
        <v>699</v>
      </c>
      <c r="AL2407" t="b">
        <v>1</v>
      </c>
      <c r="AM2407" t="b">
        <v>1</v>
      </c>
      <c r="AN2407" t="b">
        <v>0</v>
      </c>
      <c r="AO2407">
        <v>99999</v>
      </c>
      <c r="AP2407" t="s">
        <v>64</v>
      </c>
      <c r="AR2407" t="b">
        <v>0</v>
      </c>
      <c r="AS2407">
        <v>12</v>
      </c>
      <c r="AT2407" t="s">
        <v>327</v>
      </c>
      <c r="AV2407" t="s">
        <v>1054</v>
      </c>
    </row>
    <row r="2408" spans="1:48" x14ac:dyDescent="0.25">
      <c r="A2408" t="s">
        <v>3323</v>
      </c>
      <c r="B2408" t="s">
        <v>302</v>
      </c>
      <c r="C2408" t="s">
        <v>62</v>
      </c>
      <c r="D2408">
        <v>99999</v>
      </c>
      <c r="F2408" s="109">
        <v>7000</v>
      </c>
      <c r="G2408" t="b">
        <v>0</v>
      </c>
      <c r="H2408" t="s">
        <v>315</v>
      </c>
      <c r="K2408" t="s">
        <v>349</v>
      </c>
      <c r="L2408" t="s">
        <v>303</v>
      </c>
      <c r="M2408" t="s">
        <v>323</v>
      </c>
      <c r="N2408" t="s">
        <v>63</v>
      </c>
      <c r="O2408" s="110">
        <v>39.9</v>
      </c>
      <c r="R2408" s="110">
        <v>209.89000000000001</v>
      </c>
      <c r="S2408" s="110">
        <v>69.900000000000006</v>
      </c>
      <c r="T2408" s="110">
        <v>0</v>
      </c>
      <c r="U2408" s="110">
        <v>42.99</v>
      </c>
      <c r="X2408">
        <v>52.099999999999994</v>
      </c>
      <c r="Y2408">
        <v>44.9</v>
      </c>
      <c r="Z2408">
        <v>44.9</v>
      </c>
      <c r="AA2408">
        <v>0</v>
      </c>
      <c r="AB2408" t="s">
        <v>324</v>
      </c>
      <c r="AF2408" t="s">
        <v>825</v>
      </c>
      <c r="AG2408" t="s">
        <v>825</v>
      </c>
      <c r="AH2408" t="s">
        <v>758</v>
      </c>
      <c r="AI2408">
        <v>99999</v>
      </c>
      <c r="AJ2408">
        <v>99999</v>
      </c>
      <c r="AK2408">
        <v>699</v>
      </c>
      <c r="AL2408" t="b">
        <v>1</v>
      </c>
      <c r="AM2408" t="b">
        <v>1</v>
      </c>
      <c r="AN2408" t="b">
        <v>0</v>
      </c>
      <c r="AO2408">
        <v>99999</v>
      </c>
      <c r="AP2408" t="s">
        <v>64</v>
      </c>
      <c r="AR2408" t="b">
        <v>0</v>
      </c>
      <c r="AS2408">
        <v>12</v>
      </c>
      <c r="AT2408" t="s">
        <v>327</v>
      </c>
      <c r="AV2408" t="s">
        <v>839</v>
      </c>
    </row>
    <row r="2409" spans="1:48" x14ac:dyDescent="0.25">
      <c r="A2409" t="s">
        <v>3323</v>
      </c>
      <c r="B2409" t="s">
        <v>302</v>
      </c>
      <c r="C2409" t="s">
        <v>62</v>
      </c>
      <c r="D2409">
        <v>99999</v>
      </c>
      <c r="F2409" s="109">
        <v>7000</v>
      </c>
      <c r="G2409" t="b">
        <v>0</v>
      </c>
      <c r="H2409" t="s">
        <v>315</v>
      </c>
      <c r="K2409" t="s">
        <v>349</v>
      </c>
      <c r="L2409" t="s">
        <v>303</v>
      </c>
      <c r="M2409" t="s">
        <v>323</v>
      </c>
      <c r="N2409" t="s">
        <v>63</v>
      </c>
      <c r="O2409" s="110">
        <v>39.9</v>
      </c>
      <c r="R2409" s="110">
        <v>224.89000000000001</v>
      </c>
      <c r="S2409" s="110">
        <v>69.900000000000006</v>
      </c>
      <c r="T2409" s="110">
        <v>0</v>
      </c>
      <c r="U2409" s="110">
        <v>42.99</v>
      </c>
      <c r="X2409">
        <v>67.099999999999994</v>
      </c>
      <c r="Y2409">
        <v>44.9</v>
      </c>
      <c r="Z2409">
        <v>44.9</v>
      </c>
      <c r="AA2409">
        <v>0</v>
      </c>
      <c r="AB2409" t="s">
        <v>324</v>
      </c>
      <c r="AF2409" t="s">
        <v>959</v>
      </c>
      <c r="AG2409" t="s">
        <v>959</v>
      </c>
      <c r="AH2409" t="s">
        <v>758</v>
      </c>
      <c r="AI2409">
        <v>99999</v>
      </c>
      <c r="AJ2409">
        <v>99999</v>
      </c>
      <c r="AK2409">
        <v>699</v>
      </c>
      <c r="AL2409" t="b">
        <v>1</v>
      </c>
      <c r="AM2409" t="b">
        <v>1</v>
      </c>
      <c r="AN2409" t="b">
        <v>0</v>
      </c>
      <c r="AO2409">
        <v>99999</v>
      </c>
      <c r="AP2409" t="s">
        <v>64</v>
      </c>
      <c r="AR2409" t="b">
        <v>0</v>
      </c>
      <c r="AS2409">
        <v>12</v>
      </c>
      <c r="AT2409" t="s">
        <v>327</v>
      </c>
      <c r="AV2409" t="s">
        <v>973</v>
      </c>
    </row>
    <row r="2410" spans="1:48" x14ac:dyDescent="0.25">
      <c r="A2410" t="s">
        <v>3323</v>
      </c>
      <c r="B2410" t="s">
        <v>302</v>
      </c>
      <c r="C2410" t="s">
        <v>62</v>
      </c>
      <c r="D2410">
        <v>99999</v>
      </c>
      <c r="F2410" s="109">
        <v>7000</v>
      </c>
      <c r="G2410" t="b">
        <v>0</v>
      </c>
      <c r="H2410" t="s">
        <v>315</v>
      </c>
      <c r="K2410" t="s">
        <v>349</v>
      </c>
      <c r="L2410" t="s">
        <v>303</v>
      </c>
      <c r="M2410" t="s">
        <v>323</v>
      </c>
      <c r="N2410" t="s">
        <v>63</v>
      </c>
      <c r="O2410" s="110">
        <v>39.9</v>
      </c>
      <c r="R2410" s="110">
        <v>239.89</v>
      </c>
      <c r="S2410" s="110">
        <v>70</v>
      </c>
      <c r="T2410" s="110">
        <v>0</v>
      </c>
      <c r="U2410" s="110">
        <v>42.99</v>
      </c>
      <c r="X2410">
        <v>82</v>
      </c>
      <c r="Y2410">
        <v>44.9</v>
      </c>
      <c r="Z2410">
        <v>44.9</v>
      </c>
      <c r="AA2410">
        <v>0</v>
      </c>
      <c r="AB2410" t="s">
        <v>324</v>
      </c>
      <c r="AF2410" t="s">
        <v>1107</v>
      </c>
      <c r="AG2410" t="s">
        <v>1107</v>
      </c>
      <c r="AH2410" t="s">
        <v>758</v>
      </c>
      <c r="AI2410">
        <v>99999</v>
      </c>
      <c r="AJ2410">
        <v>99999</v>
      </c>
      <c r="AK2410">
        <v>699</v>
      </c>
      <c r="AL2410" t="b">
        <v>1</v>
      </c>
      <c r="AM2410" t="b">
        <v>1</v>
      </c>
      <c r="AN2410" t="b">
        <v>0</v>
      </c>
      <c r="AO2410">
        <v>99999</v>
      </c>
      <c r="AP2410" t="s">
        <v>64</v>
      </c>
      <c r="AR2410" t="b">
        <v>0</v>
      </c>
      <c r="AS2410">
        <v>12</v>
      </c>
      <c r="AT2410" t="s">
        <v>327</v>
      </c>
      <c r="AV2410" t="s">
        <v>1121</v>
      </c>
    </row>
    <row r="2411" spans="1:48" x14ac:dyDescent="0.25">
      <c r="A2411" t="s">
        <v>3323</v>
      </c>
      <c r="B2411" t="s">
        <v>302</v>
      </c>
      <c r="C2411" t="s">
        <v>62</v>
      </c>
      <c r="D2411">
        <v>99999</v>
      </c>
      <c r="F2411" s="109">
        <v>7000</v>
      </c>
      <c r="G2411" t="b">
        <v>0</v>
      </c>
      <c r="H2411" t="s">
        <v>315</v>
      </c>
      <c r="K2411" t="s">
        <v>349</v>
      </c>
      <c r="L2411" t="s">
        <v>303</v>
      </c>
      <c r="M2411" t="s">
        <v>323</v>
      </c>
      <c r="N2411" t="s">
        <v>63</v>
      </c>
      <c r="O2411" s="110">
        <v>49.9</v>
      </c>
      <c r="R2411" s="110">
        <v>255.68999999999997</v>
      </c>
      <c r="S2411" s="110">
        <v>130</v>
      </c>
      <c r="T2411" s="110">
        <v>0</v>
      </c>
      <c r="U2411" s="110">
        <v>34.99</v>
      </c>
      <c r="X2411">
        <v>45.799999999999983</v>
      </c>
      <c r="Y2411">
        <v>44.9</v>
      </c>
      <c r="Z2411">
        <v>44.9</v>
      </c>
      <c r="AA2411">
        <v>0</v>
      </c>
      <c r="AB2411" t="s">
        <v>324</v>
      </c>
      <c r="AF2411" t="s">
        <v>2467</v>
      </c>
      <c r="AG2411" t="s">
        <v>2467</v>
      </c>
      <c r="AH2411" t="s">
        <v>758</v>
      </c>
      <c r="AI2411">
        <v>99999</v>
      </c>
      <c r="AJ2411">
        <v>99999</v>
      </c>
      <c r="AK2411">
        <v>699</v>
      </c>
      <c r="AL2411" t="b">
        <v>1</v>
      </c>
      <c r="AM2411" t="b">
        <v>1</v>
      </c>
      <c r="AN2411" t="b">
        <v>0</v>
      </c>
      <c r="AO2411">
        <v>99999</v>
      </c>
      <c r="AP2411" t="s">
        <v>64</v>
      </c>
      <c r="AR2411" t="b">
        <v>0</v>
      </c>
      <c r="AS2411">
        <v>12</v>
      </c>
      <c r="AT2411" t="s">
        <v>327</v>
      </c>
      <c r="AV2411" t="s">
        <v>2481</v>
      </c>
    </row>
    <row r="2412" spans="1:48" x14ac:dyDescent="0.25">
      <c r="A2412" t="s">
        <v>3323</v>
      </c>
      <c r="B2412" t="s">
        <v>302</v>
      </c>
      <c r="C2412" t="s">
        <v>62</v>
      </c>
      <c r="D2412">
        <v>99999</v>
      </c>
      <c r="F2412" s="109">
        <v>7000</v>
      </c>
      <c r="G2412" t="b">
        <v>0</v>
      </c>
      <c r="H2412" t="s">
        <v>315</v>
      </c>
      <c r="K2412" t="s">
        <v>349</v>
      </c>
      <c r="L2412" t="s">
        <v>303</v>
      </c>
      <c r="M2412" t="s">
        <v>323</v>
      </c>
      <c r="N2412" t="s">
        <v>63</v>
      </c>
      <c r="O2412" s="110">
        <v>49.9</v>
      </c>
      <c r="R2412" s="110">
        <v>269.99</v>
      </c>
      <c r="S2412" s="110">
        <v>130</v>
      </c>
      <c r="T2412" s="110">
        <v>0</v>
      </c>
      <c r="U2412" s="110">
        <v>42.99</v>
      </c>
      <c r="X2412">
        <v>52.099999999999994</v>
      </c>
      <c r="Y2412">
        <v>44.9</v>
      </c>
      <c r="Z2412">
        <v>44.9</v>
      </c>
      <c r="AA2412">
        <v>0</v>
      </c>
      <c r="AB2412" t="s">
        <v>324</v>
      </c>
      <c r="AF2412" t="s">
        <v>2541</v>
      </c>
      <c r="AG2412" t="s">
        <v>2541</v>
      </c>
      <c r="AH2412" t="s">
        <v>758</v>
      </c>
      <c r="AI2412">
        <v>99999</v>
      </c>
      <c r="AJ2412">
        <v>99999</v>
      </c>
      <c r="AK2412">
        <v>699</v>
      </c>
      <c r="AL2412" t="b">
        <v>1</v>
      </c>
      <c r="AM2412" t="b">
        <v>1</v>
      </c>
      <c r="AN2412" t="b">
        <v>0</v>
      </c>
      <c r="AO2412">
        <v>99999</v>
      </c>
      <c r="AP2412" t="s">
        <v>64</v>
      </c>
      <c r="AR2412" t="b">
        <v>0</v>
      </c>
      <c r="AS2412">
        <v>12</v>
      </c>
      <c r="AT2412" t="s">
        <v>327</v>
      </c>
      <c r="AV2412" t="s">
        <v>2555</v>
      </c>
    </row>
    <row r="2413" spans="1:48" x14ac:dyDescent="0.25">
      <c r="A2413" t="s">
        <v>3323</v>
      </c>
      <c r="B2413" t="s">
        <v>302</v>
      </c>
      <c r="C2413" t="s">
        <v>62</v>
      </c>
      <c r="D2413">
        <v>99999</v>
      </c>
      <c r="F2413" s="109">
        <v>7000</v>
      </c>
      <c r="G2413" t="b">
        <v>0</v>
      </c>
      <c r="H2413" t="s">
        <v>315</v>
      </c>
      <c r="K2413" t="s">
        <v>349</v>
      </c>
      <c r="L2413" t="s">
        <v>303</v>
      </c>
      <c r="M2413" t="s">
        <v>323</v>
      </c>
      <c r="N2413" t="s">
        <v>63</v>
      </c>
      <c r="O2413" s="110">
        <v>49.9</v>
      </c>
      <c r="R2413" s="110">
        <v>284.99</v>
      </c>
      <c r="S2413" s="110">
        <v>130</v>
      </c>
      <c r="T2413" s="110">
        <v>0</v>
      </c>
      <c r="U2413" s="110">
        <v>42.99</v>
      </c>
      <c r="X2413">
        <v>67.099999999999994</v>
      </c>
      <c r="Y2413">
        <v>44.9</v>
      </c>
      <c r="Z2413">
        <v>44.9</v>
      </c>
      <c r="AA2413">
        <v>0</v>
      </c>
      <c r="AB2413" t="s">
        <v>324</v>
      </c>
      <c r="AF2413" t="s">
        <v>2608</v>
      </c>
      <c r="AG2413" t="s">
        <v>2608</v>
      </c>
      <c r="AH2413" t="s">
        <v>758</v>
      </c>
      <c r="AI2413">
        <v>99999</v>
      </c>
      <c r="AJ2413">
        <v>99999</v>
      </c>
      <c r="AK2413">
        <v>699</v>
      </c>
      <c r="AL2413" t="b">
        <v>1</v>
      </c>
      <c r="AM2413" t="b">
        <v>1</v>
      </c>
      <c r="AN2413" t="b">
        <v>0</v>
      </c>
      <c r="AO2413">
        <v>99999</v>
      </c>
      <c r="AP2413" t="s">
        <v>64</v>
      </c>
      <c r="AR2413" t="b">
        <v>0</v>
      </c>
      <c r="AS2413">
        <v>12</v>
      </c>
      <c r="AT2413" t="s">
        <v>327</v>
      </c>
      <c r="AV2413" t="s">
        <v>2621</v>
      </c>
    </row>
    <row r="2414" spans="1:48" x14ac:dyDescent="0.25">
      <c r="A2414" t="s">
        <v>3323</v>
      </c>
      <c r="B2414" t="s">
        <v>302</v>
      </c>
      <c r="C2414" t="s">
        <v>62</v>
      </c>
      <c r="D2414">
        <v>99999</v>
      </c>
      <c r="F2414" s="109">
        <v>7000</v>
      </c>
      <c r="G2414" t="b">
        <v>0</v>
      </c>
      <c r="H2414" t="s">
        <v>315</v>
      </c>
      <c r="K2414" t="s">
        <v>349</v>
      </c>
      <c r="L2414" t="s">
        <v>303</v>
      </c>
      <c r="M2414" t="s">
        <v>323</v>
      </c>
      <c r="N2414" t="s">
        <v>63</v>
      </c>
      <c r="O2414" s="110">
        <v>49.9</v>
      </c>
      <c r="R2414" s="110">
        <v>299.89</v>
      </c>
      <c r="S2414" s="110">
        <v>130</v>
      </c>
      <c r="T2414" s="110">
        <v>0</v>
      </c>
      <c r="U2414" s="110">
        <v>42.99</v>
      </c>
      <c r="X2414">
        <v>82</v>
      </c>
      <c r="Y2414">
        <v>44.9</v>
      </c>
      <c r="Z2414">
        <v>44.9</v>
      </c>
      <c r="AA2414">
        <v>0</v>
      </c>
      <c r="AB2414" t="s">
        <v>324</v>
      </c>
      <c r="AF2414" t="s">
        <v>2677</v>
      </c>
      <c r="AG2414" t="s">
        <v>2677</v>
      </c>
      <c r="AH2414" t="s">
        <v>758</v>
      </c>
      <c r="AI2414">
        <v>99999</v>
      </c>
      <c r="AJ2414">
        <v>99999</v>
      </c>
      <c r="AK2414">
        <v>699</v>
      </c>
      <c r="AL2414" t="b">
        <v>1</v>
      </c>
      <c r="AM2414" t="b">
        <v>1</v>
      </c>
      <c r="AN2414" t="b">
        <v>0</v>
      </c>
      <c r="AO2414">
        <v>99999</v>
      </c>
      <c r="AP2414" t="s">
        <v>64</v>
      </c>
      <c r="AR2414" t="b">
        <v>0</v>
      </c>
      <c r="AS2414">
        <v>12</v>
      </c>
      <c r="AT2414" t="s">
        <v>327</v>
      </c>
      <c r="AV2414" t="s">
        <v>2691</v>
      </c>
    </row>
    <row r="2415" spans="1:48" x14ac:dyDescent="0.25">
      <c r="A2415" t="s">
        <v>3323</v>
      </c>
      <c r="B2415" t="s">
        <v>302</v>
      </c>
      <c r="C2415" t="s">
        <v>62</v>
      </c>
      <c r="D2415">
        <v>99999</v>
      </c>
      <c r="F2415" s="109">
        <v>7000</v>
      </c>
      <c r="G2415" t="b">
        <v>0</v>
      </c>
      <c r="H2415" t="s">
        <v>315</v>
      </c>
      <c r="K2415" t="s">
        <v>393</v>
      </c>
      <c r="L2415" t="s">
        <v>303</v>
      </c>
      <c r="M2415" t="s">
        <v>323</v>
      </c>
      <c r="N2415" t="s">
        <v>63</v>
      </c>
      <c r="O2415" s="110">
        <v>29.9</v>
      </c>
      <c r="R2415" s="110">
        <v>234.89000000000001</v>
      </c>
      <c r="S2415" s="110">
        <v>69.900000000000006</v>
      </c>
      <c r="T2415" s="110">
        <v>0</v>
      </c>
      <c r="U2415" s="110">
        <v>42.99</v>
      </c>
      <c r="X2415">
        <v>52.099999999999994</v>
      </c>
      <c r="Y2415">
        <v>69.900000000000006</v>
      </c>
      <c r="Z2415">
        <v>69.900000000000006</v>
      </c>
      <c r="AA2415">
        <v>0</v>
      </c>
      <c r="AB2415" t="s">
        <v>363</v>
      </c>
      <c r="AF2415" t="s">
        <v>785</v>
      </c>
      <c r="AG2415" t="s">
        <v>785</v>
      </c>
      <c r="AH2415" t="s">
        <v>758</v>
      </c>
      <c r="AI2415">
        <v>99999</v>
      </c>
      <c r="AJ2415">
        <v>99999</v>
      </c>
      <c r="AK2415">
        <v>699</v>
      </c>
      <c r="AL2415" t="b">
        <v>1</v>
      </c>
      <c r="AM2415" t="b">
        <v>1</v>
      </c>
      <c r="AN2415" t="b">
        <v>0</v>
      </c>
      <c r="AO2415">
        <v>99999</v>
      </c>
      <c r="AP2415" t="s">
        <v>64</v>
      </c>
      <c r="AR2415" t="b">
        <v>0</v>
      </c>
      <c r="AS2415">
        <v>12</v>
      </c>
      <c r="AT2415" t="s">
        <v>327</v>
      </c>
      <c r="AV2415" t="s">
        <v>812</v>
      </c>
    </row>
    <row r="2416" spans="1:48" x14ac:dyDescent="0.25">
      <c r="A2416" t="s">
        <v>3323</v>
      </c>
      <c r="B2416" t="s">
        <v>302</v>
      </c>
      <c r="C2416" t="s">
        <v>62</v>
      </c>
      <c r="D2416">
        <v>99999</v>
      </c>
      <c r="F2416" s="109">
        <v>7000</v>
      </c>
      <c r="G2416" t="b">
        <v>0</v>
      </c>
      <c r="H2416" t="s">
        <v>315</v>
      </c>
      <c r="K2416" t="s">
        <v>393</v>
      </c>
      <c r="L2416" t="s">
        <v>303</v>
      </c>
      <c r="M2416" t="s">
        <v>323</v>
      </c>
      <c r="N2416" t="s">
        <v>63</v>
      </c>
      <c r="O2416" s="110">
        <v>29.9</v>
      </c>
      <c r="R2416" s="110">
        <v>249.89000000000001</v>
      </c>
      <c r="S2416" s="110">
        <v>69.900000000000006</v>
      </c>
      <c r="T2416" s="110">
        <v>0</v>
      </c>
      <c r="U2416" s="110">
        <v>42.99</v>
      </c>
      <c r="X2416">
        <v>67.099999999999994</v>
      </c>
      <c r="Y2416">
        <v>69.900000000000006</v>
      </c>
      <c r="Z2416">
        <v>69.900000000000006</v>
      </c>
      <c r="AA2416">
        <v>0</v>
      </c>
      <c r="AB2416" t="s">
        <v>363</v>
      </c>
      <c r="AF2416" t="s">
        <v>919</v>
      </c>
      <c r="AG2416" t="s">
        <v>919</v>
      </c>
      <c r="AH2416" t="s">
        <v>758</v>
      </c>
      <c r="AI2416">
        <v>99999</v>
      </c>
      <c r="AJ2416">
        <v>99999</v>
      </c>
      <c r="AK2416">
        <v>699</v>
      </c>
      <c r="AL2416" t="b">
        <v>1</v>
      </c>
      <c r="AM2416" t="b">
        <v>1</v>
      </c>
      <c r="AN2416" t="b">
        <v>0</v>
      </c>
      <c r="AO2416">
        <v>99999</v>
      </c>
      <c r="AP2416" t="s">
        <v>64</v>
      </c>
      <c r="AR2416" t="b">
        <v>0</v>
      </c>
      <c r="AS2416">
        <v>12</v>
      </c>
      <c r="AT2416" t="s">
        <v>327</v>
      </c>
      <c r="AV2416" t="s">
        <v>946</v>
      </c>
    </row>
    <row r="2417" spans="1:48" x14ac:dyDescent="0.25">
      <c r="A2417" t="s">
        <v>3323</v>
      </c>
      <c r="B2417" t="s">
        <v>302</v>
      </c>
      <c r="C2417" t="s">
        <v>62</v>
      </c>
      <c r="D2417">
        <v>99999</v>
      </c>
      <c r="F2417" s="109">
        <v>7000</v>
      </c>
      <c r="G2417" t="b">
        <v>0</v>
      </c>
      <c r="H2417" t="s">
        <v>315</v>
      </c>
      <c r="K2417" t="s">
        <v>393</v>
      </c>
      <c r="L2417" t="s">
        <v>303</v>
      </c>
      <c r="M2417" t="s">
        <v>323</v>
      </c>
      <c r="N2417" t="s">
        <v>63</v>
      </c>
      <c r="O2417" s="110">
        <v>29.9</v>
      </c>
      <c r="R2417" s="110">
        <v>264.89</v>
      </c>
      <c r="S2417" s="110">
        <v>70</v>
      </c>
      <c r="T2417" s="110">
        <v>0</v>
      </c>
      <c r="U2417" s="110">
        <v>42.99</v>
      </c>
      <c r="X2417">
        <v>82</v>
      </c>
      <c r="Y2417">
        <v>69.900000000000006</v>
      </c>
      <c r="Z2417">
        <v>69.900000000000006</v>
      </c>
      <c r="AA2417">
        <v>0</v>
      </c>
      <c r="AB2417" t="s">
        <v>363</v>
      </c>
      <c r="AF2417" t="s">
        <v>1067</v>
      </c>
      <c r="AG2417" t="s">
        <v>1067</v>
      </c>
      <c r="AH2417" t="s">
        <v>758</v>
      </c>
      <c r="AI2417">
        <v>99999</v>
      </c>
      <c r="AJ2417">
        <v>99999</v>
      </c>
      <c r="AK2417">
        <v>699</v>
      </c>
      <c r="AL2417" t="b">
        <v>1</v>
      </c>
      <c r="AM2417" t="b">
        <v>1</v>
      </c>
      <c r="AN2417" t="b">
        <v>0</v>
      </c>
      <c r="AO2417">
        <v>99999</v>
      </c>
      <c r="AP2417" t="s">
        <v>64</v>
      </c>
      <c r="AR2417" t="b">
        <v>0</v>
      </c>
      <c r="AS2417">
        <v>12</v>
      </c>
      <c r="AT2417" t="s">
        <v>327</v>
      </c>
      <c r="AV2417" t="s">
        <v>1094</v>
      </c>
    </row>
    <row r="2418" spans="1:48" x14ac:dyDescent="0.25">
      <c r="A2418" t="s">
        <v>3323</v>
      </c>
      <c r="B2418" t="s">
        <v>302</v>
      </c>
      <c r="C2418" t="s">
        <v>62</v>
      </c>
      <c r="D2418">
        <v>99999</v>
      </c>
      <c r="F2418" s="109">
        <v>7000</v>
      </c>
      <c r="G2418" t="b">
        <v>0</v>
      </c>
      <c r="H2418" t="s">
        <v>315</v>
      </c>
      <c r="K2418" t="s">
        <v>393</v>
      </c>
      <c r="L2418" t="s">
        <v>303</v>
      </c>
      <c r="M2418" t="s">
        <v>323</v>
      </c>
      <c r="N2418" t="s">
        <v>63</v>
      </c>
      <c r="O2418" s="110">
        <v>39.9</v>
      </c>
      <c r="R2418" s="110">
        <v>234.89000000000001</v>
      </c>
      <c r="S2418" s="110">
        <v>69.900000000000006</v>
      </c>
      <c r="T2418" s="110">
        <v>0</v>
      </c>
      <c r="U2418" s="110">
        <v>42.99</v>
      </c>
      <c r="X2418">
        <v>52.099999999999994</v>
      </c>
      <c r="Y2418">
        <v>69.900000000000006</v>
      </c>
      <c r="Z2418">
        <v>69.900000000000006</v>
      </c>
      <c r="AA2418">
        <v>0</v>
      </c>
      <c r="AB2418" t="s">
        <v>363</v>
      </c>
      <c r="AF2418" t="s">
        <v>852</v>
      </c>
      <c r="AG2418" t="s">
        <v>852</v>
      </c>
      <c r="AH2418" t="s">
        <v>758</v>
      </c>
      <c r="AI2418">
        <v>99999</v>
      </c>
      <c r="AJ2418">
        <v>99999</v>
      </c>
      <c r="AK2418">
        <v>699</v>
      </c>
      <c r="AL2418" t="b">
        <v>1</v>
      </c>
      <c r="AM2418" t="b">
        <v>1</v>
      </c>
      <c r="AN2418" t="b">
        <v>0</v>
      </c>
      <c r="AO2418">
        <v>99999</v>
      </c>
      <c r="AP2418" t="s">
        <v>64</v>
      </c>
      <c r="AR2418" t="b">
        <v>0</v>
      </c>
      <c r="AS2418">
        <v>12</v>
      </c>
      <c r="AT2418" t="s">
        <v>327</v>
      </c>
      <c r="AV2418" t="s">
        <v>879</v>
      </c>
    </row>
    <row r="2419" spans="1:48" x14ac:dyDescent="0.25">
      <c r="A2419" t="s">
        <v>3323</v>
      </c>
      <c r="B2419" t="s">
        <v>302</v>
      </c>
      <c r="C2419" t="s">
        <v>62</v>
      </c>
      <c r="D2419">
        <v>99999</v>
      </c>
      <c r="F2419" s="109">
        <v>7000</v>
      </c>
      <c r="G2419" t="b">
        <v>0</v>
      </c>
      <c r="H2419" t="s">
        <v>315</v>
      </c>
      <c r="K2419" t="s">
        <v>393</v>
      </c>
      <c r="L2419" t="s">
        <v>303</v>
      </c>
      <c r="M2419" t="s">
        <v>323</v>
      </c>
      <c r="N2419" t="s">
        <v>63</v>
      </c>
      <c r="O2419" s="110">
        <v>39.9</v>
      </c>
      <c r="R2419" s="110">
        <v>249.89000000000001</v>
      </c>
      <c r="S2419" s="110">
        <v>69.900000000000006</v>
      </c>
      <c r="T2419" s="110">
        <v>0</v>
      </c>
      <c r="U2419" s="110">
        <v>42.99</v>
      </c>
      <c r="X2419">
        <v>67.099999999999994</v>
      </c>
      <c r="Y2419">
        <v>69.900000000000006</v>
      </c>
      <c r="Z2419">
        <v>69.900000000000006</v>
      </c>
      <c r="AA2419">
        <v>0</v>
      </c>
      <c r="AB2419" t="s">
        <v>363</v>
      </c>
      <c r="AF2419" t="s">
        <v>986</v>
      </c>
      <c r="AG2419" t="s">
        <v>986</v>
      </c>
      <c r="AH2419" t="s">
        <v>758</v>
      </c>
      <c r="AI2419">
        <v>99999</v>
      </c>
      <c r="AJ2419">
        <v>99999</v>
      </c>
      <c r="AK2419">
        <v>699</v>
      </c>
      <c r="AL2419" t="b">
        <v>1</v>
      </c>
      <c r="AM2419" t="b">
        <v>1</v>
      </c>
      <c r="AN2419" t="b">
        <v>0</v>
      </c>
      <c r="AO2419">
        <v>99999</v>
      </c>
      <c r="AP2419" t="s">
        <v>64</v>
      </c>
      <c r="AR2419" t="b">
        <v>0</v>
      </c>
      <c r="AS2419">
        <v>12</v>
      </c>
      <c r="AT2419" t="s">
        <v>327</v>
      </c>
      <c r="AV2419" t="s">
        <v>1013</v>
      </c>
    </row>
    <row r="2420" spans="1:48" x14ac:dyDescent="0.25">
      <c r="A2420" t="s">
        <v>3323</v>
      </c>
      <c r="B2420" t="s">
        <v>302</v>
      </c>
      <c r="C2420" t="s">
        <v>62</v>
      </c>
      <c r="D2420">
        <v>99999</v>
      </c>
      <c r="F2420" s="109">
        <v>7000</v>
      </c>
      <c r="G2420" t="b">
        <v>0</v>
      </c>
      <c r="H2420" t="s">
        <v>315</v>
      </c>
      <c r="K2420" t="s">
        <v>393</v>
      </c>
      <c r="L2420" t="s">
        <v>303</v>
      </c>
      <c r="M2420" t="s">
        <v>323</v>
      </c>
      <c r="N2420" t="s">
        <v>63</v>
      </c>
      <c r="O2420" s="110">
        <v>39.9</v>
      </c>
      <c r="R2420" s="110">
        <v>264.89</v>
      </c>
      <c r="S2420" s="110">
        <v>70</v>
      </c>
      <c r="T2420" s="110">
        <v>0</v>
      </c>
      <c r="U2420" s="110">
        <v>42.99</v>
      </c>
      <c r="X2420">
        <v>82</v>
      </c>
      <c r="Y2420">
        <v>69.900000000000006</v>
      </c>
      <c r="Z2420">
        <v>69.900000000000006</v>
      </c>
      <c r="AA2420">
        <v>0</v>
      </c>
      <c r="AB2420" t="s">
        <v>363</v>
      </c>
      <c r="AF2420" t="s">
        <v>1134</v>
      </c>
      <c r="AG2420" t="s">
        <v>1134</v>
      </c>
      <c r="AH2420" t="s">
        <v>758</v>
      </c>
      <c r="AI2420">
        <v>99999</v>
      </c>
      <c r="AJ2420">
        <v>99999</v>
      </c>
      <c r="AK2420">
        <v>699</v>
      </c>
      <c r="AL2420" t="b">
        <v>1</v>
      </c>
      <c r="AM2420" t="b">
        <v>1</v>
      </c>
      <c r="AN2420" t="b">
        <v>0</v>
      </c>
      <c r="AO2420">
        <v>99999</v>
      </c>
      <c r="AP2420" t="s">
        <v>64</v>
      </c>
      <c r="AR2420" t="b">
        <v>0</v>
      </c>
      <c r="AS2420">
        <v>12</v>
      </c>
      <c r="AT2420" t="s">
        <v>327</v>
      </c>
      <c r="AV2420" t="s">
        <v>1161</v>
      </c>
    </row>
    <row r="2421" spans="1:48" x14ac:dyDescent="0.25">
      <c r="A2421" t="s">
        <v>3323</v>
      </c>
      <c r="B2421" t="s">
        <v>302</v>
      </c>
      <c r="C2421" t="s">
        <v>62</v>
      </c>
      <c r="D2421">
        <v>99999</v>
      </c>
      <c r="F2421" s="109">
        <v>7000</v>
      </c>
      <c r="G2421" t="b">
        <v>0</v>
      </c>
      <c r="H2421" t="s">
        <v>315</v>
      </c>
      <c r="K2421" t="s">
        <v>393</v>
      </c>
      <c r="L2421" t="s">
        <v>303</v>
      </c>
      <c r="M2421" t="s">
        <v>323</v>
      </c>
      <c r="N2421" t="s">
        <v>63</v>
      </c>
      <c r="O2421" s="110">
        <v>49.9</v>
      </c>
      <c r="R2421" s="110">
        <v>280.69</v>
      </c>
      <c r="S2421" s="110">
        <v>130</v>
      </c>
      <c r="T2421" s="110">
        <v>0</v>
      </c>
      <c r="U2421" s="110">
        <v>34.99</v>
      </c>
      <c r="X2421">
        <v>45.799999999999983</v>
      </c>
      <c r="Y2421">
        <v>69.900000000000006</v>
      </c>
      <c r="Z2421">
        <v>69.900000000000006</v>
      </c>
      <c r="AA2421">
        <v>0</v>
      </c>
      <c r="AB2421" t="s">
        <v>363</v>
      </c>
      <c r="AF2421" t="s">
        <v>2494</v>
      </c>
      <c r="AG2421" t="s">
        <v>2494</v>
      </c>
      <c r="AH2421" t="s">
        <v>758</v>
      </c>
      <c r="AI2421">
        <v>99999</v>
      </c>
      <c r="AJ2421">
        <v>99999</v>
      </c>
      <c r="AK2421">
        <v>699</v>
      </c>
      <c r="AL2421" t="b">
        <v>1</v>
      </c>
      <c r="AM2421" t="b">
        <v>1</v>
      </c>
      <c r="AN2421" t="b">
        <v>0</v>
      </c>
      <c r="AO2421">
        <v>99999</v>
      </c>
      <c r="AP2421" t="s">
        <v>64</v>
      </c>
      <c r="AR2421" t="b">
        <v>0</v>
      </c>
      <c r="AS2421">
        <v>12</v>
      </c>
      <c r="AT2421" t="s">
        <v>327</v>
      </c>
      <c r="AV2421" t="s">
        <v>2521</v>
      </c>
    </row>
    <row r="2422" spans="1:48" x14ac:dyDescent="0.25">
      <c r="A2422" t="s">
        <v>3323</v>
      </c>
      <c r="B2422" t="s">
        <v>302</v>
      </c>
      <c r="C2422" t="s">
        <v>62</v>
      </c>
      <c r="D2422">
        <v>99999</v>
      </c>
      <c r="F2422" s="109">
        <v>7000</v>
      </c>
      <c r="G2422" t="b">
        <v>0</v>
      </c>
      <c r="H2422" t="s">
        <v>315</v>
      </c>
      <c r="K2422" t="s">
        <v>393</v>
      </c>
      <c r="L2422" t="s">
        <v>303</v>
      </c>
      <c r="M2422" t="s">
        <v>323</v>
      </c>
      <c r="N2422" t="s">
        <v>63</v>
      </c>
      <c r="O2422" s="110">
        <v>49.9</v>
      </c>
      <c r="R2422" s="110">
        <v>294.99</v>
      </c>
      <c r="S2422" s="110">
        <v>130</v>
      </c>
      <c r="T2422" s="110">
        <v>0</v>
      </c>
      <c r="U2422" s="110">
        <v>42.99</v>
      </c>
      <c r="X2422">
        <v>52.099999999999994</v>
      </c>
      <c r="Y2422">
        <v>69.900000000000006</v>
      </c>
      <c r="Z2422">
        <v>69.900000000000006</v>
      </c>
      <c r="AA2422">
        <v>0</v>
      </c>
      <c r="AB2422" t="s">
        <v>363</v>
      </c>
      <c r="AF2422" t="s">
        <v>2568</v>
      </c>
      <c r="AG2422" t="s">
        <v>2568</v>
      </c>
      <c r="AH2422" t="s">
        <v>758</v>
      </c>
      <c r="AI2422">
        <v>99999</v>
      </c>
      <c r="AJ2422">
        <v>99999</v>
      </c>
      <c r="AK2422">
        <v>699</v>
      </c>
      <c r="AL2422" t="b">
        <v>1</v>
      </c>
      <c r="AM2422" t="b">
        <v>1</v>
      </c>
      <c r="AN2422" t="b">
        <v>0</v>
      </c>
      <c r="AO2422">
        <v>99999</v>
      </c>
      <c r="AP2422" t="s">
        <v>64</v>
      </c>
      <c r="AR2422" t="b">
        <v>0</v>
      </c>
      <c r="AS2422">
        <v>12</v>
      </c>
      <c r="AT2422" t="s">
        <v>327</v>
      </c>
      <c r="AV2422" t="s">
        <v>2595</v>
      </c>
    </row>
    <row r="2423" spans="1:48" x14ac:dyDescent="0.25">
      <c r="A2423" t="s">
        <v>3323</v>
      </c>
      <c r="B2423" t="s">
        <v>302</v>
      </c>
      <c r="C2423" t="s">
        <v>62</v>
      </c>
      <c r="D2423">
        <v>99999</v>
      </c>
      <c r="F2423" s="109">
        <v>7000</v>
      </c>
      <c r="G2423" t="b">
        <v>0</v>
      </c>
      <c r="H2423" t="s">
        <v>315</v>
      </c>
      <c r="K2423" t="s">
        <v>393</v>
      </c>
      <c r="L2423" t="s">
        <v>303</v>
      </c>
      <c r="M2423" t="s">
        <v>323</v>
      </c>
      <c r="N2423" t="s">
        <v>63</v>
      </c>
      <c r="O2423" s="110">
        <v>49.9</v>
      </c>
      <c r="R2423" s="110">
        <v>309.99</v>
      </c>
      <c r="S2423" s="110">
        <v>130</v>
      </c>
      <c r="T2423" s="110">
        <v>0</v>
      </c>
      <c r="U2423" s="110">
        <v>42.99</v>
      </c>
      <c r="X2423">
        <v>67.099999999999994</v>
      </c>
      <c r="Y2423">
        <v>69.900000000000006</v>
      </c>
      <c r="Z2423">
        <v>69.900000000000006</v>
      </c>
      <c r="AA2423">
        <v>0</v>
      </c>
      <c r="AB2423" t="s">
        <v>363</v>
      </c>
      <c r="AF2423" t="s">
        <v>2633</v>
      </c>
      <c r="AG2423" t="s">
        <v>2633</v>
      </c>
      <c r="AH2423" t="s">
        <v>758</v>
      </c>
      <c r="AI2423">
        <v>99999</v>
      </c>
      <c r="AJ2423">
        <v>99999</v>
      </c>
      <c r="AK2423">
        <v>699</v>
      </c>
      <c r="AL2423" t="b">
        <v>1</v>
      </c>
      <c r="AM2423" t="b">
        <v>1</v>
      </c>
      <c r="AN2423" t="b">
        <v>0</v>
      </c>
      <c r="AO2423">
        <v>99999</v>
      </c>
      <c r="AP2423" t="s">
        <v>64</v>
      </c>
      <c r="AR2423" t="b">
        <v>0</v>
      </c>
      <c r="AS2423">
        <v>12</v>
      </c>
      <c r="AT2423" t="s">
        <v>327</v>
      </c>
      <c r="AV2423" t="s">
        <v>2658</v>
      </c>
    </row>
    <row r="2424" spans="1:48" x14ac:dyDescent="0.25">
      <c r="A2424" t="s">
        <v>3323</v>
      </c>
      <c r="B2424" t="s">
        <v>302</v>
      </c>
      <c r="C2424" t="s">
        <v>62</v>
      </c>
      <c r="D2424">
        <v>99999</v>
      </c>
      <c r="F2424" s="109">
        <v>7000</v>
      </c>
      <c r="G2424" t="b">
        <v>0</v>
      </c>
      <c r="H2424" t="s">
        <v>315</v>
      </c>
      <c r="K2424" t="s">
        <v>393</v>
      </c>
      <c r="L2424" t="s">
        <v>303</v>
      </c>
      <c r="M2424" t="s">
        <v>323</v>
      </c>
      <c r="N2424" t="s">
        <v>63</v>
      </c>
      <c r="O2424" s="110">
        <v>49.9</v>
      </c>
      <c r="R2424" s="110">
        <v>324.89</v>
      </c>
      <c r="S2424" s="110">
        <v>130</v>
      </c>
      <c r="T2424" s="110">
        <v>0</v>
      </c>
      <c r="U2424" s="110">
        <v>42.99</v>
      </c>
      <c r="X2424">
        <v>82</v>
      </c>
      <c r="Y2424">
        <v>69.900000000000006</v>
      </c>
      <c r="Z2424">
        <v>69.900000000000006</v>
      </c>
      <c r="AA2424">
        <v>0</v>
      </c>
      <c r="AB2424" t="s">
        <v>363</v>
      </c>
      <c r="AF2424" t="s">
        <v>2704</v>
      </c>
      <c r="AG2424" t="s">
        <v>2704</v>
      </c>
      <c r="AH2424" t="s">
        <v>758</v>
      </c>
      <c r="AI2424">
        <v>99999</v>
      </c>
      <c r="AJ2424">
        <v>99999</v>
      </c>
      <c r="AK2424">
        <v>699</v>
      </c>
      <c r="AL2424" t="b">
        <v>1</v>
      </c>
      <c r="AM2424" t="b">
        <v>1</v>
      </c>
      <c r="AN2424" t="b">
        <v>0</v>
      </c>
      <c r="AO2424">
        <v>99999</v>
      </c>
      <c r="AP2424" t="s">
        <v>64</v>
      </c>
      <c r="AR2424" t="b">
        <v>0</v>
      </c>
      <c r="AS2424">
        <v>12</v>
      </c>
      <c r="AT2424" t="s">
        <v>327</v>
      </c>
      <c r="AV2424" t="s">
        <v>2731</v>
      </c>
    </row>
    <row r="2425" spans="1:48" x14ac:dyDescent="0.25">
      <c r="A2425" t="s">
        <v>3323</v>
      </c>
      <c r="B2425" t="s">
        <v>302</v>
      </c>
      <c r="C2425" t="s">
        <v>62</v>
      </c>
      <c r="D2425">
        <v>99999</v>
      </c>
      <c r="F2425" s="109">
        <v>7000</v>
      </c>
      <c r="G2425" t="b">
        <v>0</v>
      </c>
      <c r="H2425" t="s">
        <v>315</v>
      </c>
      <c r="K2425" t="s">
        <v>364</v>
      </c>
      <c r="L2425" t="s">
        <v>303</v>
      </c>
      <c r="M2425" t="s">
        <v>323</v>
      </c>
      <c r="N2425" t="s">
        <v>63</v>
      </c>
      <c r="O2425" s="110">
        <v>29.9</v>
      </c>
      <c r="R2425" s="110">
        <v>214.89000000000001</v>
      </c>
      <c r="S2425" s="110">
        <v>69.900000000000006</v>
      </c>
      <c r="T2425" s="110">
        <v>0</v>
      </c>
      <c r="U2425" s="110">
        <v>42.99</v>
      </c>
      <c r="X2425">
        <v>52.099999999999994</v>
      </c>
      <c r="Y2425">
        <v>49.9</v>
      </c>
      <c r="Z2425">
        <v>49.9</v>
      </c>
      <c r="AA2425">
        <v>0</v>
      </c>
      <c r="AB2425" t="s">
        <v>363</v>
      </c>
      <c r="AF2425" t="s">
        <v>785</v>
      </c>
      <c r="AG2425" t="s">
        <v>785</v>
      </c>
      <c r="AH2425" t="s">
        <v>758</v>
      </c>
      <c r="AI2425">
        <v>99999</v>
      </c>
      <c r="AJ2425">
        <v>99999</v>
      </c>
      <c r="AK2425">
        <v>699</v>
      </c>
      <c r="AL2425" t="b">
        <v>1</v>
      </c>
      <c r="AM2425" t="b">
        <v>1</v>
      </c>
      <c r="AN2425" t="b">
        <v>0</v>
      </c>
      <c r="AO2425">
        <v>99999</v>
      </c>
      <c r="AP2425" t="s">
        <v>64</v>
      </c>
      <c r="AR2425" t="b">
        <v>0</v>
      </c>
      <c r="AS2425">
        <v>12</v>
      </c>
      <c r="AT2425" t="s">
        <v>327</v>
      </c>
      <c r="AV2425" t="s">
        <v>786</v>
      </c>
    </row>
    <row r="2426" spans="1:48" x14ac:dyDescent="0.25">
      <c r="A2426" t="s">
        <v>3323</v>
      </c>
      <c r="B2426" t="s">
        <v>302</v>
      </c>
      <c r="C2426" t="s">
        <v>62</v>
      </c>
      <c r="D2426">
        <v>99999</v>
      </c>
      <c r="F2426" s="109">
        <v>7000</v>
      </c>
      <c r="G2426" t="b">
        <v>0</v>
      </c>
      <c r="H2426" t="s">
        <v>315</v>
      </c>
      <c r="K2426" t="s">
        <v>364</v>
      </c>
      <c r="L2426" t="s">
        <v>303</v>
      </c>
      <c r="M2426" t="s">
        <v>323</v>
      </c>
      <c r="N2426" t="s">
        <v>63</v>
      </c>
      <c r="O2426" s="110">
        <v>29.9</v>
      </c>
      <c r="R2426" s="110">
        <v>229.89000000000001</v>
      </c>
      <c r="S2426" s="110">
        <v>69.900000000000006</v>
      </c>
      <c r="T2426" s="110">
        <v>0</v>
      </c>
      <c r="U2426" s="110">
        <v>42.99</v>
      </c>
      <c r="X2426">
        <v>67.099999999999994</v>
      </c>
      <c r="Y2426">
        <v>49.9</v>
      </c>
      <c r="Z2426">
        <v>49.9</v>
      </c>
      <c r="AA2426">
        <v>0</v>
      </c>
      <c r="AB2426" t="s">
        <v>363</v>
      </c>
      <c r="AF2426" t="s">
        <v>919</v>
      </c>
      <c r="AG2426" t="s">
        <v>919</v>
      </c>
      <c r="AH2426" t="s">
        <v>758</v>
      </c>
      <c r="AI2426">
        <v>99999</v>
      </c>
      <c r="AJ2426">
        <v>99999</v>
      </c>
      <c r="AK2426">
        <v>699</v>
      </c>
      <c r="AL2426" t="b">
        <v>1</v>
      </c>
      <c r="AM2426" t="b">
        <v>1</v>
      </c>
      <c r="AN2426" t="b">
        <v>0</v>
      </c>
      <c r="AO2426">
        <v>99999</v>
      </c>
      <c r="AP2426" t="s">
        <v>64</v>
      </c>
      <c r="AR2426" t="b">
        <v>0</v>
      </c>
      <c r="AS2426">
        <v>12</v>
      </c>
      <c r="AT2426" t="s">
        <v>327</v>
      </c>
      <c r="AV2426" t="s">
        <v>920</v>
      </c>
    </row>
    <row r="2427" spans="1:48" x14ac:dyDescent="0.25">
      <c r="A2427" t="s">
        <v>3323</v>
      </c>
      <c r="B2427" t="s">
        <v>302</v>
      </c>
      <c r="C2427" t="s">
        <v>62</v>
      </c>
      <c r="D2427">
        <v>99999</v>
      </c>
      <c r="F2427" s="109">
        <v>7000</v>
      </c>
      <c r="G2427" t="b">
        <v>0</v>
      </c>
      <c r="H2427" t="s">
        <v>315</v>
      </c>
      <c r="K2427" t="s">
        <v>364</v>
      </c>
      <c r="L2427" t="s">
        <v>303</v>
      </c>
      <c r="M2427" t="s">
        <v>323</v>
      </c>
      <c r="N2427" t="s">
        <v>63</v>
      </c>
      <c r="O2427" s="110">
        <v>29.9</v>
      </c>
      <c r="R2427" s="110">
        <v>244.89</v>
      </c>
      <c r="S2427" s="110">
        <v>70</v>
      </c>
      <c r="T2427" s="110">
        <v>0</v>
      </c>
      <c r="U2427" s="110">
        <v>42.99</v>
      </c>
      <c r="X2427">
        <v>82</v>
      </c>
      <c r="Y2427">
        <v>49.9</v>
      </c>
      <c r="Z2427">
        <v>49.9</v>
      </c>
      <c r="AA2427">
        <v>0</v>
      </c>
      <c r="AB2427" t="s">
        <v>363</v>
      </c>
      <c r="AF2427" t="s">
        <v>1067</v>
      </c>
      <c r="AG2427" t="s">
        <v>1067</v>
      </c>
      <c r="AH2427" t="s">
        <v>758</v>
      </c>
      <c r="AI2427">
        <v>99999</v>
      </c>
      <c r="AJ2427">
        <v>99999</v>
      </c>
      <c r="AK2427">
        <v>699</v>
      </c>
      <c r="AL2427" t="b">
        <v>1</v>
      </c>
      <c r="AM2427" t="b">
        <v>1</v>
      </c>
      <c r="AN2427" t="b">
        <v>0</v>
      </c>
      <c r="AO2427">
        <v>99999</v>
      </c>
      <c r="AP2427" t="s">
        <v>64</v>
      </c>
      <c r="AR2427" t="b">
        <v>0</v>
      </c>
      <c r="AS2427">
        <v>12</v>
      </c>
      <c r="AT2427" t="s">
        <v>327</v>
      </c>
      <c r="AV2427" t="s">
        <v>1068</v>
      </c>
    </row>
    <row r="2428" spans="1:48" x14ac:dyDescent="0.25">
      <c r="A2428" t="s">
        <v>3323</v>
      </c>
      <c r="B2428" t="s">
        <v>302</v>
      </c>
      <c r="C2428" t="s">
        <v>62</v>
      </c>
      <c r="D2428">
        <v>99999</v>
      </c>
      <c r="F2428" s="109">
        <v>7000</v>
      </c>
      <c r="G2428" t="b">
        <v>0</v>
      </c>
      <c r="H2428" t="s">
        <v>315</v>
      </c>
      <c r="K2428" t="s">
        <v>364</v>
      </c>
      <c r="L2428" t="s">
        <v>303</v>
      </c>
      <c r="M2428" t="s">
        <v>323</v>
      </c>
      <c r="N2428" t="s">
        <v>63</v>
      </c>
      <c r="O2428" s="110">
        <v>39.9</v>
      </c>
      <c r="R2428" s="110">
        <v>214.89000000000001</v>
      </c>
      <c r="S2428" s="110">
        <v>69.900000000000006</v>
      </c>
      <c r="T2428" s="110">
        <v>0</v>
      </c>
      <c r="U2428" s="110">
        <v>42.99</v>
      </c>
      <c r="X2428">
        <v>52.099999999999994</v>
      </c>
      <c r="Y2428">
        <v>49.9</v>
      </c>
      <c r="Z2428">
        <v>49.9</v>
      </c>
      <c r="AA2428">
        <v>0</v>
      </c>
      <c r="AB2428" t="s">
        <v>363</v>
      </c>
      <c r="AF2428" t="s">
        <v>852</v>
      </c>
      <c r="AG2428" t="s">
        <v>852</v>
      </c>
      <c r="AH2428" t="s">
        <v>758</v>
      </c>
      <c r="AI2428">
        <v>99999</v>
      </c>
      <c r="AJ2428">
        <v>99999</v>
      </c>
      <c r="AK2428">
        <v>699</v>
      </c>
      <c r="AL2428" t="b">
        <v>1</v>
      </c>
      <c r="AM2428" t="b">
        <v>1</v>
      </c>
      <c r="AN2428" t="b">
        <v>0</v>
      </c>
      <c r="AO2428">
        <v>99999</v>
      </c>
      <c r="AP2428" t="s">
        <v>64</v>
      </c>
      <c r="AR2428" t="b">
        <v>0</v>
      </c>
      <c r="AS2428">
        <v>12</v>
      </c>
      <c r="AT2428" t="s">
        <v>327</v>
      </c>
      <c r="AV2428" t="s">
        <v>853</v>
      </c>
    </row>
    <row r="2429" spans="1:48" x14ac:dyDescent="0.25">
      <c r="A2429" t="s">
        <v>3323</v>
      </c>
      <c r="B2429" t="s">
        <v>302</v>
      </c>
      <c r="C2429" t="s">
        <v>62</v>
      </c>
      <c r="D2429">
        <v>99999</v>
      </c>
      <c r="F2429" s="109">
        <v>7000</v>
      </c>
      <c r="G2429" t="b">
        <v>0</v>
      </c>
      <c r="H2429" t="s">
        <v>315</v>
      </c>
      <c r="K2429" t="s">
        <v>364</v>
      </c>
      <c r="L2429" t="s">
        <v>303</v>
      </c>
      <c r="M2429" t="s">
        <v>323</v>
      </c>
      <c r="N2429" t="s">
        <v>63</v>
      </c>
      <c r="O2429" s="110">
        <v>39.9</v>
      </c>
      <c r="R2429" s="110">
        <v>229.89000000000001</v>
      </c>
      <c r="S2429" s="110">
        <v>69.900000000000006</v>
      </c>
      <c r="T2429" s="110">
        <v>0</v>
      </c>
      <c r="U2429" s="110">
        <v>42.99</v>
      </c>
      <c r="X2429">
        <v>67.099999999999994</v>
      </c>
      <c r="Y2429">
        <v>49.9</v>
      </c>
      <c r="Z2429">
        <v>49.9</v>
      </c>
      <c r="AA2429">
        <v>0</v>
      </c>
      <c r="AB2429" t="s">
        <v>363</v>
      </c>
      <c r="AF2429" t="s">
        <v>986</v>
      </c>
      <c r="AG2429" t="s">
        <v>986</v>
      </c>
      <c r="AH2429" t="s">
        <v>758</v>
      </c>
      <c r="AI2429">
        <v>99999</v>
      </c>
      <c r="AJ2429">
        <v>99999</v>
      </c>
      <c r="AK2429">
        <v>699</v>
      </c>
      <c r="AL2429" t="b">
        <v>1</v>
      </c>
      <c r="AM2429" t="b">
        <v>1</v>
      </c>
      <c r="AN2429" t="b">
        <v>0</v>
      </c>
      <c r="AO2429">
        <v>99999</v>
      </c>
      <c r="AP2429" t="s">
        <v>64</v>
      </c>
      <c r="AR2429" t="b">
        <v>0</v>
      </c>
      <c r="AS2429">
        <v>12</v>
      </c>
      <c r="AT2429" t="s">
        <v>327</v>
      </c>
      <c r="AV2429" t="s">
        <v>987</v>
      </c>
    </row>
    <row r="2430" spans="1:48" x14ac:dyDescent="0.25">
      <c r="A2430" t="s">
        <v>3323</v>
      </c>
      <c r="B2430" t="s">
        <v>302</v>
      </c>
      <c r="C2430" t="s">
        <v>62</v>
      </c>
      <c r="D2430">
        <v>99999</v>
      </c>
      <c r="F2430" s="109">
        <v>7000</v>
      </c>
      <c r="G2430" t="b">
        <v>0</v>
      </c>
      <c r="H2430" t="s">
        <v>315</v>
      </c>
      <c r="K2430" t="s">
        <v>364</v>
      </c>
      <c r="L2430" t="s">
        <v>303</v>
      </c>
      <c r="M2430" t="s">
        <v>323</v>
      </c>
      <c r="N2430" t="s">
        <v>63</v>
      </c>
      <c r="O2430" s="110">
        <v>39.9</v>
      </c>
      <c r="R2430" s="110">
        <v>244.89</v>
      </c>
      <c r="S2430" s="110">
        <v>70</v>
      </c>
      <c r="T2430" s="110">
        <v>0</v>
      </c>
      <c r="U2430" s="110">
        <v>42.99</v>
      </c>
      <c r="X2430">
        <v>82</v>
      </c>
      <c r="Y2430">
        <v>49.9</v>
      </c>
      <c r="Z2430">
        <v>49.9</v>
      </c>
      <c r="AA2430">
        <v>0</v>
      </c>
      <c r="AB2430" t="s">
        <v>363</v>
      </c>
      <c r="AF2430" t="s">
        <v>1134</v>
      </c>
      <c r="AG2430" t="s">
        <v>1134</v>
      </c>
      <c r="AH2430" t="s">
        <v>758</v>
      </c>
      <c r="AI2430">
        <v>99999</v>
      </c>
      <c r="AJ2430">
        <v>99999</v>
      </c>
      <c r="AK2430">
        <v>699</v>
      </c>
      <c r="AL2430" t="b">
        <v>1</v>
      </c>
      <c r="AM2430" t="b">
        <v>1</v>
      </c>
      <c r="AN2430" t="b">
        <v>0</v>
      </c>
      <c r="AO2430">
        <v>99999</v>
      </c>
      <c r="AP2430" t="s">
        <v>64</v>
      </c>
      <c r="AR2430" t="b">
        <v>0</v>
      </c>
      <c r="AS2430">
        <v>12</v>
      </c>
      <c r="AT2430" t="s">
        <v>327</v>
      </c>
      <c r="AV2430" t="s">
        <v>1135</v>
      </c>
    </row>
    <row r="2431" spans="1:48" x14ac:dyDescent="0.25">
      <c r="A2431" t="s">
        <v>3323</v>
      </c>
      <c r="B2431" t="s">
        <v>302</v>
      </c>
      <c r="C2431" t="s">
        <v>62</v>
      </c>
      <c r="D2431">
        <v>99999</v>
      </c>
      <c r="F2431" s="109">
        <v>7000</v>
      </c>
      <c r="G2431" t="b">
        <v>0</v>
      </c>
      <c r="H2431" t="s">
        <v>315</v>
      </c>
      <c r="K2431" t="s">
        <v>364</v>
      </c>
      <c r="L2431" t="s">
        <v>303</v>
      </c>
      <c r="M2431" t="s">
        <v>323</v>
      </c>
      <c r="N2431" t="s">
        <v>63</v>
      </c>
      <c r="O2431" s="110">
        <v>49.9</v>
      </c>
      <c r="R2431" s="110">
        <v>260.68999999999994</v>
      </c>
      <c r="S2431" s="110">
        <v>130</v>
      </c>
      <c r="T2431" s="110">
        <v>0</v>
      </c>
      <c r="U2431" s="110">
        <v>34.99</v>
      </c>
      <c r="X2431">
        <v>45.799999999999983</v>
      </c>
      <c r="Y2431">
        <v>49.9</v>
      </c>
      <c r="Z2431">
        <v>49.9</v>
      </c>
      <c r="AA2431">
        <v>0</v>
      </c>
      <c r="AB2431" t="s">
        <v>363</v>
      </c>
      <c r="AF2431" t="s">
        <v>2494</v>
      </c>
      <c r="AG2431" t="s">
        <v>2494</v>
      </c>
      <c r="AH2431" t="s">
        <v>758</v>
      </c>
      <c r="AI2431">
        <v>99999</v>
      </c>
      <c r="AJ2431">
        <v>99999</v>
      </c>
      <c r="AK2431">
        <v>699</v>
      </c>
      <c r="AL2431" t="b">
        <v>1</v>
      </c>
      <c r="AM2431" t="b">
        <v>1</v>
      </c>
      <c r="AN2431" t="b">
        <v>0</v>
      </c>
      <c r="AO2431">
        <v>99999</v>
      </c>
      <c r="AP2431" t="s">
        <v>64</v>
      </c>
      <c r="AR2431" t="b">
        <v>0</v>
      </c>
      <c r="AS2431">
        <v>12</v>
      </c>
      <c r="AT2431" t="s">
        <v>327</v>
      </c>
      <c r="AV2431" t="s">
        <v>2495</v>
      </c>
    </row>
    <row r="2432" spans="1:48" x14ac:dyDescent="0.25">
      <c r="A2432" t="s">
        <v>3323</v>
      </c>
      <c r="B2432" t="s">
        <v>302</v>
      </c>
      <c r="C2432" t="s">
        <v>62</v>
      </c>
      <c r="D2432">
        <v>99999</v>
      </c>
      <c r="F2432" s="109">
        <v>7000</v>
      </c>
      <c r="G2432" t="b">
        <v>0</v>
      </c>
      <c r="H2432" t="s">
        <v>315</v>
      </c>
      <c r="K2432" t="s">
        <v>364</v>
      </c>
      <c r="L2432" t="s">
        <v>303</v>
      </c>
      <c r="M2432" t="s">
        <v>323</v>
      </c>
      <c r="N2432" t="s">
        <v>63</v>
      </c>
      <c r="O2432" s="110">
        <v>49.9</v>
      </c>
      <c r="R2432" s="110">
        <v>274.99</v>
      </c>
      <c r="S2432" s="110">
        <v>130</v>
      </c>
      <c r="T2432" s="110">
        <v>0</v>
      </c>
      <c r="U2432" s="110">
        <v>42.99</v>
      </c>
      <c r="X2432">
        <v>52.099999999999994</v>
      </c>
      <c r="Y2432">
        <v>49.9</v>
      </c>
      <c r="Z2432">
        <v>49.9</v>
      </c>
      <c r="AA2432">
        <v>0</v>
      </c>
      <c r="AB2432" t="s">
        <v>363</v>
      </c>
      <c r="AF2432" t="s">
        <v>2568</v>
      </c>
      <c r="AG2432" t="s">
        <v>2568</v>
      </c>
      <c r="AH2432" t="s">
        <v>758</v>
      </c>
      <c r="AI2432">
        <v>99999</v>
      </c>
      <c r="AJ2432">
        <v>99999</v>
      </c>
      <c r="AK2432">
        <v>699</v>
      </c>
      <c r="AL2432" t="b">
        <v>1</v>
      </c>
      <c r="AM2432" t="b">
        <v>1</v>
      </c>
      <c r="AN2432" t="b">
        <v>0</v>
      </c>
      <c r="AO2432">
        <v>99999</v>
      </c>
      <c r="AP2432" t="s">
        <v>64</v>
      </c>
      <c r="AR2432" t="b">
        <v>0</v>
      </c>
      <c r="AS2432">
        <v>12</v>
      </c>
      <c r="AT2432" t="s">
        <v>327</v>
      </c>
      <c r="AV2432" t="s">
        <v>2569</v>
      </c>
    </row>
    <row r="2433" spans="1:48" x14ac:dyDescent="0.25">
      <c r="A2433" t="s">
        <v>3323</v>
      </c>
      <c r="B2433" t="s">
        <v>302</v>
      </c>
      <c r="C2433" t="s">
        <v>62</v>
      </c>
      <c r="D2433">
        <v>99999</v>
      </c>
      <c r="F2433" s="109">
        <v>7000</v>
      </c>
      <c r="G2433" t="b">
        <v>0</v>
      </c>
      <c r="H2433" t="s">
        <v>315</v>
      </c>
      <c r="K2433" t="s">
        <v>364</v>
      </c>
      <c r="L2433" t="s">
        <v>303</v>
      </c>
      <c r="M2433" t="s">
        <v>323</v>
      </c>
      <c r="N2433" t="s">
        <v>63</v>
      </c>
      <c r="O2433" s="110">
        <v>49.9</v>
      </c>
      <c r="R2433" s="110">
        <v>289.99</v>
      </c>
      <c r="S2433" s="110">
        <v>130</v>
      </c>
      <c r="T2433" s="110">
        <v>0</v>
      </c>
      <c r="U2433" s="110">
        <v>42.99</v>
      </c>
      <c r="X2433">
        <v>67.099999999999994</v>
      </c>
      <c r="Y2433">
        <v>49.9</v>
      </c>
      <c r="Z2433">
        <v>49.9</v>
      </c>
      <c r="AA2433">
        <v>0</v>
      </c>
      <c r="AB2433" t="s">
        <v>363</v>
      </c>
      <c r="AF2433" t="s">
        <v>2633</v>
      </c>
      <c r="AG2433" t="s">
        <v>2633</v>
      </c>
      <c r="AH2433" t="s">
        <v>758</v>
      </c>
      <c r="AI2433">
        <v>99999</v>
      </c>
      <c r="AJ2433">
        <v>99999</v>
      </c>
      <c r="AK2433">
        <v>699</v>
      </c>
      <c r="AL2433" t="b">
        <v>1</v>
      </c>
      <c r="AM2433" t="b">
        <v>1</v>
      </c>
      <c r="AN2433" t="b">
        <v>0</v>
      </c>
      <c r="AO2433">
        <v>99999</v>
      </c>
      <c r="AP2433" t="s">
        <v>64</v>
      </c>
      <c r="AR2433" t="b">
        <v>0</v>
      </c>
      <c r="AS2433">
        <v>12</v>
      </c>
      <c r="AT2433" t="s">
        <v>327</v>
      </c>
      <c r="AV2433" t="s">
        <v>2634</v>
      </c>
    </row>
    <row r="2434" spans="1:48" x14ac:dyDescent="0.25">
      <c r="A2434" t="s">
        <v>3323</v>
      </c>
      <c r="B2434" t="s">
        <v>302</v>
      </c>
      <c r="C2434" t="s">
        <v>62</v>
      </c>
      <c r="D2434">
        <v>99999</v>
      </c>
      <c r="F2434" s="109">
        <v>7000</v>
      </c>
      <c r="G2434" t="b">
        <v>0</v>
      </c>
      <c r="H2434" t="s">
        <v>315</v>
      </c>
      <c r="K2434" t="s">
        <v>364</v>
      </c>
      <c r="L2434" t="s">
        <v>303</v>
      </c>
      <c r="M2434" t="s">
        <v>323</v>
      </c>
      <c r="N2434" t="s">
        <v>63</v>
      </c>
      <c r="O2434" s="110">
        <v>49.9</v>
      </c>
      <c r="R2434" s="110">
        <v>304.89</v>
      </c>
      <c r="S2434" s="110">
        <v>130</v>
      </c>
      <c r="T2434" s="110">
        <v>0</v>
      </c>
      <c r="U2434" s="110">
        <v>42.99</v>
      </c>
      <c r="X2434">
        <v>82</v>
      </c>
      <c r="Y2434">
        <v>49.9</v>
      </c>
      <c r="Z2434">
        <v>49.9</v>
      </c>
      <c r="AA2434">
        <v>0</v>
      </c>
      <c r="AB2434" t="s">
        <v>363</v>
      </c>
      <c r="AF2434" t="s">
        <v>2704</v>
      </c>
      <c r="AG2434" t="s">
        <v>2704</v>
      </c>
      <c r="AH2434" t="s">
        <v>758</v>
      </c>
      <c r="AI2434">
        <v>99999</v>
      </c>
      <c r="AJ2434">
        <v>99999</v>
      </c>
      <c r="AK2434">
        <v>699</v>
      </c>
      <c r="AL2434" t="b">
        <v>1</v>
      </c>
      <c r="AM2434" t="b">
        <v>1</v>
      </c>
      <c r="AN2434" t="b">
        <v>0</v>
      </c>
      <c r="AO2434">
        <v>99999</v>
      </c>
      <c r="AP2434" t="s">
        <v>64</v>
      </c>
      <c r="AR2434" t="b">
        <v>0</v>
      </c>
      <c r="AS2434">
        <v>12</v>
      </c>
      <c r="AT2434" t="s">
        <v>327</v>
      </c>
      <c r="AV2434" t="s">
        <v>2705</v>
      </c>
    </row>
    <row r="2435" spans="1:48" x14ac:dyDescent="0.25">
      <c r="A2435" t="s">
        <v>3323</v>
      </c>
      <c r="B2435" t="s">
        <v>302</v>
      </c>
      <c r="C2435" t="s">
        <v>62</v>
      </c>
      <c r="D2435">
        <v>99999</v>
      </c>
      <c r="F2435" s="109">
        <v>7000</v>
      </c>
      <c r="G2435" t="b">
        <v>0</v>
      </c>
      <c r="H2435" t="s">
        <v>315</v>
      </c>
      <c r="K2435" t="s">
        <v>379</v>
      </c>
      <c r="L2435" t="s">
        <v>303</v>
      </c>
      <c r="M2435" t="s">
        <v>323</v>
      </c>
      <c r="N2435" t="s">
        <v>63</v>
      </c>
      <c r="O2435" s="110">
        <v>29.9</v>
      </c>
      <c r="R2435" s="110">
        <v>224.89000000000001</v>
      </c>
      <c r="S2435" s="110">
        <v>69.900000000000006</v>
      </c>
      <c r="T2435" s="110">
        <v>0</v>
      </c>
      <c r="U2435" s="110">
        <v>42.99</v>
      </c>
      <c r="X2435">
        <v>52.099999999999994</v>
      </c>
      <c r="Y2435">
        <v>59.9</v>
      </c>
      <c r="Z2435">
        <v>59.9</v>
      </c>
      <c r="AA2435">
        <v>0</v>
      </c>
      <c r="AB2435" t="s">
        <v>363</v>
      </c>
      <c r="AF2435" t="s">
        <v>785</v>
      </c>
      <c r="AG2435" t="s">
        <v>785</v>
      </c>
      <c r="AH2435" t="s">
        <v>758</v>
      </c>
      <c r="AI2435">
        <v>99999</v>
      </c>
      <c r="AJ2435">
        <v>99999</v>
      </c>
      <c r="AK2435">
        <v>699</v>
      </c>
      <c r="AL2435" t="b">
        <v>1</v>
      </c>
      <c r="AM2435" t="b">
        <v>1</v>
      </c>
      <c r="AN2435" t="b">
        <v>0</v>
      </c>
      <c r="AO2435">
        <v>99999</v>
      </c>
      <c r="AP2435" t="s">
        <v>64</v>
      </c>
      <c r="AR2435" t="b">
        <v>0</v>
      </c>
      <c r="AS2435">
        <v>12</v>
      </c>
      <c r="AT2435" t="s">
        <v>327</v>
      </c>
      <c r="AV2435" t="s">
        <v>799</v>
      </c>
    </row>
    <row r="2436" spans="1:48" x14ac:dyDescent="0.25">
      <c r="A2436" t="s">
        <v>3323</v>
      </c>
      <c r="B2436" t="s">
        <v>302</v>
      </c>
      <c r="C2436" t="s">
        <v>62</v>
      </c>
      <c r="D2436">
        <v>99999</v>
      </c>
      <c r="F2436" s="109">
        <v>7000</v>
      </c>
      <c r="G2436" t="b">
        <v>0</v>
      </c>
      <c r="H2436" t="s">
        <v>315</v>
      </c>
      <c r="K2436" t="s">
        <v>379</v>
      </c>
      <c r="L2436" t="s">
        <v>303</v>
      </c>
      <c r="M2436" t="s">
        <v>323</v>
      </c>
      <c r="N2436" t="s">
        <v>63</v>
      </c>
      <c r="O2436" s="110">
        <v>29.9</v>
      </c>
      <c r="R2436" s="110">
        <v>239.89000000000001</v>
      </c>
      <c r="S2436" s="110">
        <v>69.900000000000006</v>
      </c>
      <c r="T2436" s="110">
        <v>0</v>
      </c>
      <c r="U2436" s="110">
        <v>42.99</v>
      </c>
      <c r="X2436">
        <v>67.099999999999994</v>
      </c>
      <c r="Y2436">
        <v>59.9</v>
      </c>
      <c r="Z2436">
        <v>59.9</v>
      </c>
      <c r="AA2436">
        <v>0</v>
      </c>
      <c r="AB2436" t="s">
        <v>363</v>
      </c>
      <c r="AF2436" t="s">
        <v>919</v>
      </c>
      <c r="AG2436" t="s">
        <v>919</v>
      </c>
      <c r="AH2436" t="s">
        <v>758</v>
      </c>
      <c r="AI2436">
        <v>99999</v>
      </c>
      <c r="AJ2436">
        <v>99999</v>
      </c>
      <c r="AK2436">
        <v>699</v>
      </c>
      <c r="AL2436" t="b">
        <v>1</v>
      </c>
      <c r="AM2436" t="b">
        <v>1</v>
      </c>
      <c r="AN2436" t="b">
        <v>0</v>
      </c>
      <c r="AO2436">
        <v>99999</v>
      </c>
      <c r="AP2436" t="s">
        <v>64</v>
      </c>
      <c r="AR2436" t="b">
        <v>0</v>
      </c>
      <c r="AS2436">
        <v>12</v>
      </c>
      <c r="AT2436" t="s">
        <v>327</v>
      </c>
      <c r="AV2436" t="s">
        <v>933</v>
      </c>
    </row>
    <row r="2437" spans="1:48" x14ac:dyDescent="0.25">
      <c r="A2437" t="s">
        <v>3323</v>
      </c>
      <c r="B2437" t="s">
        <v>302</v>
      </c>
      <c r="C2437" t="s">
        <v>62</v>
      </c>
      <c r="D2437">
        <v>99999</v>
      </c>
      <c r="F2437" s="109">
        <v>7000</v>
      </c>
      <c r="G2437" t="b">
        <v>0</v>
      </c>
      <c r="H2437" t="s">
        <v>315</v>
      </c>
      <c r="K2437" t="s">
        <v>379</v>
      </c>
      <c r="L2437" t="s">
        <v>303</v>
      </c>
      <c r="M2437" t="s">
        <v>323</v>
      </c>
      <c r="N2437" t="s">
        <v>63</v>
      </c>
      <c r="O2437" s="110">
        <v>29.9</v>
      </c>
      <c r="R2437" s="110">
        <v>254.89</v>
      </c>
      <c r="S2437" s="110">
        <v>70</v>
      </c>
      <c r="T2437" s="110">
        <v>0</v>
      </c>
      <c r="U2437" s="110">
        <v>42.99</v>
      </c>
      <c r="X2437">
        <v>82</v>
      </c>
      <c r="Y2437">
        <v>59.9</v>
      </c>
      <c r="Z2437">
        <v>59.9</v>
      </c>
      <c r="AA2437">
        <v>0</v>
      </c>
      <c r="AB2437" t="s">
        <v>363</v>
      </c>
      <c r="AF2437" t="s">
        <v>1067</v>
      </c>
      <c r="AG2437" t="s">
        <v>1067</v>
      </c>
      <c r="AH2437" t="s">
        <v>758</v>
      </c>
      <c r="AI2437">
        <v>99999</v>
      </c>
      <c r="AJ2437">
        <v>99999</v>
      </c>
      <c r="AK2437">
        <v>699</v>
      </c>
      <c r="AL2437" t="b">
        <v>1</v>
      </c>
      <c r="AM2437" t="b">
        <v>1</v>
      </c>
      <c r="AN2437" t="b">
        <v>0</v>
      </c>
      <c r="AO2437">
        <v>99999</v>
      </c>
      <c r="AP2437" t="s">
        <v>64</v>
      </c>
      <c r="AR2437" t="b">
        <v>0</v>
      </c>
      <c r="AS2437">
        <v>12</v>
      </c>
      <c r="AT2437" t="s">
        <v>327</v>
      </c>
      <c r="AV2437" t="s">
        <v>1081</v>
      </c>
    </row>
    <row r="2438" spans="1:48" x14ac:dyDescent="0.25">
      <c r="A2438" t="s">
        <v>3323</v>
      </c>
      <c r="B2438" t="s">
        <v>302</v>
      </c>
      <c r="C2438" t="s">
        <v>62</v>
      </c>
      <c r="D2438">
        <v>99999</v>
      </c>
      <c r="F2438" s="109">
        <v>7000</v>
      </c>
      <c r="G2438" t="b">
        <v>0</v>
      </c>
      <c r="H2438" t="s">
        <v>315</v>
      </c>
      <c r="K2438" t="s">
        <v>379</v>
      </c>
      <c r="L2438" t="s">
        <v>303</v>
      </c>
      <c r="M2438" t="s">
        <v>323</v>
      </c>
      <c r="N2438" t="s">
        <v>63</v>
      </c>
      <c r="O2438" s="110">
        <v>39.9</v>
      </c>
      <c r="R2438" s="110">
        <v>224.89000000000001</v>
      </c>
      <c r="S2438" s="110">
        <v>69.900000000000006</v>
      </c>
      <c r="T2438" s="110">
        <v>0</v>
      </c>
      <c r="U2438" s="110">
        <v>42.99</v>
      </c>
      <c r="X2438">
        <v>52.099999999999994</v>
      </c>
      <c r="Y2438">
        <v>59.9</v>
      </c>
      <c r="Z2438">
        <v>59.9</v>
      </c>
      <c r="AA2438">
        <v>0</v>
      </c>
      <c r="AB2438" t="s">
        <v>363</v>
      </c>
      <c r="AF2438" t="s">
        <v>852</v>
      </c>
      <c r="AG2438" t="s">
        <v>852</v>
      </c>
      <c r="AH2438" t="s">
        <v>758</v>
      </c>
      <c r="AI2438">
        <v>99999</v>
      </c>
      <c r="AJ2438">
        <v>99999</v>
      </c>
      <c r="AK2438">
        <v>699</v>
      </c>
      <c r="AL2438" t="b">
        <v>1</v>
      </c>
      <c r="AM2438" t="b">
        <v>1</v>
      </c>
      <c r="AN2438" t="b">
        <v>0</v>
      </c>
      <c r="AO2438">
        <v>99999</v>
      </c>
      <c r="AP2438" t="s">
        <v>64</v>
      </c>
      <c r="AR2438" t="b">
        <v>0</v>
      </c>
      <c r="AS2438">
        <v>12</v>
      </c>
      <c r="AT2438" t="s">
        <v>327</v>
      </c>
      <c r="AV2438" t="s">
        <v>866</v>
      </c>
    </row>
    <row r="2439" spans="1:48" x14ac:dyDescent="0.25">
      <c r="A2439" t="s">
        <v>3323</v>
      </c>
      <c r="B2439" t="s">
        <v>302</v>
      </c>
      <c r="C2439" t="s">
        <v>62</v>
      </c>
      <c r="D2439">
        <v>99999</v>
      </c>
      <c r="F2439" s="109">
        <v>7000</v>
      </c>
      <c r="G2439" t="b">
        <v>0</v>
      </c>
      <c r="H2439" t="s">
        <v>315</v>
      </c>
      <c r="K2439" t="s">
        <v>379</v>
      </c>
      <c r="L2439" t="s">
        <v>303</v>
      </c>
      <c r="M2439" t="s">
        <v>323</v>
      </c>
      <c r="N2439" t="s">
        <v>63</v>
      </c>
      <c r="O2439" s="110">
        <v>39.9</v>
      </c>
      <c r="R2439" s="110">
        <v>239.89000000000001</v>
      </c>
      <c r="S2439" s="110">
        <v>69.900000000000006</v>
      </c>
      <c r="T2439" s="110">
        <v>0</v>
      </c>
      <c r="U2439" s="110">
        <v>42.99</v>
      </c>
      <c r="X2439">
        <v>67.099999999999994</v>
      </c>
      <c r="Y2439">
        <v>59.9</v>
      </c>
      <c r="Z2439">
        <v>59.9</v>
      </c>
      <c r="AA2439">
        <v>0</v>
      </c>
      <c r="AB2439" t="s">
        <v>363</v>
      </c>
      <c r="AF2439" t="s">
        <v>986</v>
      </c>
      <c r="AG2439" t="s">
        <v>986</v>
      </c>
      <c r="AH2439" t="s">
        <v>758</v>
      </c>
      <c r="AI2439">
        <v>99999</v>
      </c>
      <c r="AJ2439">
        <v>99999</v>
      </c>
      <c r="AK2439">
        <v>699</v>
      </c>
      <c r="AL2439" t="b">
        <v>1</v>
      </c>
      <c r="AM2439" t="b">
        <v>1</v>
      </c>
      <c r="AN2439" t="b">
        <v>0</v>
      </c>
      <c r="AO2439">
        <v>99999</v>
      </c>
      <c r="AP2439" t="s">
        <v>64</v>
      </c>
      <c r="AR2439" t="b">
        <v>0</v>
      </c>
      <c r="AS2439">
        <v>12</v>
      </c>
      <c r="AT2439" t="s">
        <v>327</v>
      </c>
      <c r="AV2439" t="s">
        <v>1000</v>
      </c>
    </row>
    <row r="2440" spans="1:48" x14ac:dyDescent="0.25">
      <c r="A2440" t="s">
        <v>3323</v>
      </c>
      <c r="B2440" t="s">
        <v>302</v>
      </c>
      <c r="C2440" t="s">
        <v>62</v>
      </c>
      <c r="D2440">
        <v>99999</v>
      </c>
      <c r="F2440" s="109">
        <v>7000</v>
      </c>
      <c r="G2440" t="b">
        <v>0</v>
      </c>
      <c r="H2440" t="s">
        <v>315</v>
      </c>
      <c r="K2440" t="s">
        <v>379</v>
      </c>
      <c r="L2440" t="s">
        <v>303</v>
      </c>
      <c r="M2440" t="s">
        <v>323</v>
      </c>
      <c r="N2440" t="s">
        <v>63</v>
      </c>
      <c r="O2440" s="110">
        <v>39.9</v>
      </c>
      <c r="R2440" s="110">
        <v>254.89</v>
      </c>
      <c r="S2440" s="110">
        <v>70</v>
      </c>
      <c r="T2440" s="110">
        <v>0</v>
      </c>
      <c r="U2440" s="110">
        <v>42.99</v>
      </c>
      <c r="X2440">
        <v>82</v>
      </c>
      <c r="Y2440">
        <v>59.9</v>
      </c>
      <c r="Z2440">
        <v>59.9</v>
      </c>
      <c r="AA2440">
        <v>0</v>
      </c>
      <c r="AB2440" t="s">
        <v>363</v>
      </c>
      <c r="AF2440" t="s">
        <v>1134</v>
      </c>
      <c r="AG2440" t="s">
        <v>1134</v>
      </c>
      <c r="AH2440" t="s">
        <v>758</v>
      </c>
      <c r="AI2440">
        <v>99999</v>
      </c>
      <c r="AJ2440">
        <v>99999</v>
      </c>
      <c r="AK2440">
        <v>699</v>
      </c>
      <c r="AL2440" t="b">
        <v>1</v>
      </c>
      <c r="AM2440" t="b">
        <v>1</v>
      </c>
      <c r="AN2440" t="b">
        <v>0</v>
      </c>
      <c r="AO2440">
        <v>99999</v>
      </c>
      <c r="AP2440" t="s">
        <v>64</v>
      </c>
      <c r="AR2440" t="b">
        <v>0</v>
      </c>
      <c r="AS2440">
        <v>12</v>
      </c>
      <c r="AT2440" t="s">
        <v>327</v>
      </c>
      <c r="AV2440" t="s">
        <v>1148</v>
      </c>
    </row>
    <row r="2441" spans="1:48" x14ac:dyDescent="0.25">
      <c r="A2441" t="s">
        <v>3323</v>
      </c>
      <c r="B2441" t="s">
        <v>302</v>
      </c>
      <c r="C2441" t="s">
        <v>62</v>
      </c>
      <c r="D2441">
        <v>99999</v>
      </c>
      <c r="F2441" s="109">
        <v>7000</v>
      </c>
      <c r="G2441" t="b">
        <v>0</v>
      </c>
      <c r="H2441" t="s">
        <v>315</v>
      </c>
      <c r="K2441" t="s">
        <v>379</v>
      </c>
      <c r="L2441" t="s">
        <v>303</v>
      </c>
      <c r="M2441" t="s">
        <v>323</v>
      </c>
      <c r="N2441" t="s">
        <v>63</v>
      </c>
      <c r="O2441" s="110">
        <v>49.9</v>
      </c>
      <c r="R2441" s="110">
        <v>270.68999999999994</v>
      </c>
      <c r="S2441" s="110">
        <v>130</v>
      </c>
      <c r="T2441" s="110">
        <v>0</v>
      </c>
      <c r="U2441" s="110">
        <v>34.99</v>
      </c>
      <c r="X2441">
        <v>45.799999999999983</v>
      </c>
      <c r="Y2441">
        <v>59.9</v>
      </c>
      <c r="Z2441">
        <v>59.9</v>
      </c>
      <c r="AA2441">
        <v>0</v>
      </c>
      <c r="AB2441" t="s">
        <v>363</v>
      </c>
      <c r="AF2441" t="s">
        <v>2494</v>
      </c>
      <c r="AG2441" t="s">
        <v>2494</v>
      </c>
      <c r="AH2441" t="s">
        <v>758</v>
      </c>
      <c r="AI2441">
        <v>99999</v>
      </c>
      <c r="AJ2441">
        <v>99999</v>
      </c>
      <c r="AK2441">
        <v>699</v>
      </c>
      <c r="AL2441" t="b">
        <v>1</v>
      </c>
      <c r="AM2441" t="b">
        <v>1</v>
      </c>
      <c r="AN2441" t="b">
        <v>0</v>
      </c>
      <c r="AO2441">
        <v>99999</v>
      </c>
      <c r="AP2441" t="s">
        <v>64</v>
      </c>
      <c r="AR2441" t="b">
        <v>0</v>
      </c>
      <c r="AS2441">
        <v>12</v>
      </c>
      <c r="AT2441" t="s">
        <v>327</v>
      </c>
      <c r="AV2441" t="s">
        <v>2508</v>
      </c>
    </row>
    <row r="2442" spans="1:48" x14ac:dyDescent="0.25">
      <c r="A2442" t="s">
        <v>3323</v>
      </c>
      <c r="B2442" t="s">
        <v>302</v>
      </c>
      <c r="C2442" t="s">
        <v>62</v>
      </c>
      <c r="D2442">
        <v>99999</v>
      </c>
      <c r="F2442" s="109">
        <v>7000</v>
      </c>
      <c r="G2442" t="b">
        <v>0</v>
      </c>
      <c r="H2442" t="s">
        <v>315</v>
      </c>
      <c r="K2442" t="s">
        <v>379</v>
      </c>
      <c r="L2442" t="s">
        <v>303</v>
      </c>
      <c r="M2442" t="s">
        <v>323</v>
      </c>
      <c r="N2442" t="s">
        <v>63</v>
      </c>
      <c r="O2442" s="110">
        <v>49.9</v>
      </c>
      <c r="R2442" s="110">
        <v>284.99</v>
      </c>
      <c r="S2442" s="110">
        <v>130</v>
      </c>
      <c r="T2442" s="110">
        <v>0</v>
      </c>
      <c r="U2442" s="110">
        <v>42.99</v>
      </c>
      <c r="X2442">
        <v>52.099999999999994</v>
      </c>
      <c r="Y2442">
        <v>59.9</v>
      </c>
      <c r="Z2442">
        <v>59.9</v>
      </c>
      <c r="AA2442">
        <v>0</v>
      </c>
      <c r="AB2442" t="s">
        <v>363</v>
      </c>
      <c r="AF2442" t="s">
        <v>2568</v>
      </c>
      <c r="AG2442" t="s">
        <v>2568</v>
      </c>
      <c r="AH2442" t="s">
        <v>758</v>
      </c>
      <c r="AI2442">
        <v>99999</v>
      </c>
      <c r="AJ2442">
        <v>99999</v>
      </c>
      <c r="AK2442">
        <v>699</v>
      </c>
      <c r="AL2442" t="b">
        <v>1</v>
      </c>
      <c r="AM2442" t="b">
        <v>1</v>
      </c>
      <c r="AN2442" t="b">
        <v>0</v>
      </c>
      <c r="AO2442">
        <v>99999</v>
      </c>
      <c r="AP2442" t="s">
        <v>64</v>
      </c>
      <c r="AR2442" t="b">
        <v>0</v>
      </c>
      <c r="AS2442">
        <v>12</v>
      </c>
      <c r="AT2442" t="s">
        <v>327</v>
      </c>
      <c r="AV2442" t="s">
        <v>2582</v>
      </c>
    </row>
    <row r="2443" spans="1:48" x14ac:dyDescent="0.25">
      <c r="A2443" t="s">
        <v>3323</v>
      </c>
      <c r="B2443" t="s">
        <v>302</v>
      </c>
      <c r="C2443" t="s">
        <v>62</v>
      </c>
      <c r="D2443">
        <v>99999</v>
      </c>
      <c r="F2443" s="109">
        <v>7000</v>
      </c>
      <c r="G2443" t="b">
        <v>0</v>
      </c>
      <c r="H2443" t="s">
        <v>315</v>
      </c>
      <c r="K2443" t="s">
        <v>379</v>
      </c>
      <c r="L2443" t="s">
        <v>303</v>
      </c>
      <c r="M2443" t="s">
        <v>323</v>
      </c>
      <c r="N2443" t="s">
        <v>63</v>
      </c>
      <c r="O2443" s="110">
        <v>49.9</v>
      </c>
      <c r="R2443" s="110">
        <v>299.99</v>
      </c>
      <c r="S2443" s="110">
        <v>130</v>
      </c>
      <c r="T2443" s="110">
        <v>0</v>
      </c>
      <c r="U2443" s="110">
        <v>42.99</v>
      </c>
      <c r="X2443">
        <v>67.099999999999994</v>
      </c>
      <c r="Y2443">
        <v>59.9</v>
      </c>
      <c r="Z2443">
        <v>59.9</v>
      </c>
      <c r="AA2443">
        <v>0</v>
      </c>
      <c r="AB2443" t="s">
        <v>363</v>
      </c>
      <c r="AF2443" t="s">
        <v>2633</v>
      </c>
      <c r="AG2443" t="s">
        <v>2633</v>
      </c>
      <c r="AH2443" t="s">
        <v>758</v>
      </c>
      <c r="AI2443">
        <v>99999</v>
      </c>
      <c r="AJ2443">
        <v>99999</v>
      </c>
      <c r="AK2443">
        <v>699</v>
      </c>
      <c r="AL2443" t="b">
        <v>1</v>
      </c>
      <c r="AM2443" t="b">
        <v>1</v>
      </c>
      <c r="AN2443" t="b">
        <v>0</v>
      </c>
      <c r="AO2443">
        <v>99999</v>
      </c>
      <c r="AP2443" t="s">
        <v>64</v>
      </c>
      <c r="AR2443" t="b">
        <v>0</v>
      </c>
      <c r="AS2443">
        <v>12</v>
      </c>
      <c r="AT2443" t="s">
        <v>327</v>
      </c>
      <c r="AV2443" t="s">
        <v>2646</v>
      </c>
    </row>
    <row r="2444" spans="1:48" x14ac:dyDescent="0.25">
      <c r="A2444" t="s">
        <v>3323</v>
      </c>
      <c r="B2444" t="s">
        <v>302</v>
      </c>
      <c r="C2444" t="s">
        <v>62</v>
      </c>
      <c r="D2444">
        <v>99999</v>
      </c>
      <c r="F2444" s="109">
        <v>7000</v>
      </c>
      <c r="G2444" t="b">
        <v>0</v>
      </c>
      <c r="H2444" t="s">
        <v>315</v>
      </c>
      <c r="K2444" t="s">
        <v>379</v>
      </c>
      <c r="L2444" t="s">
        <v>303</v>
      </c>
      <c r="M2444" t="s">
        <v>323</v>
      </c>
      <c r="N2444" t="s">
        <v>63</v>
      </c>
      <c r="O2444" s="110">
        <v>49.9</v>
      </c>
      <c r="R2444" s="110">
        <v>314.89</v>
      </c>
      <c r="S2444" s="110">
        <v>130</v>
      </c>
      <c r="T2444" s="110">
        <v>0</v>
      </c>
      <c r="U2444" s="110">
        <v>42.99</v>
      </c>
      <c r="X2444">
        <v>82</v>
      </c>
      <c r="Y2444">
        <v>59.9</v>
      </c>
      <c r="Z2444">
        <v>59.9</v>
      </c>
      <c r="AA2444">
        <v>0</v>
      </c>
      <c r="AB2444" t="s">
        <v>363</v>
      </c>
      <c r="AF2444" t="s">
        <v>2704</v>
      </c>
      <c r="AG2444" t="s">
        <v>2704</v>
      </c>
      <c r="AH2444" t="s">
        <v>758</v>
      </c>
      <c r="AI2444">
        <v>99999</v>
      </c>
      <c r="AJ2444">
        <v>99999</v>
      </c>
      <c r="AK2444">
        <v>699</v>
      </c>
      <c r="AL2444" t="b">
        <v>1</v>
      </c>
      <c r="AM2444" t="b">
        <v>1</v>
      </c>
      <c r="AN2444" t="b">
        <v>0</v>
      </c>
      <c r="AO2444">
        <v>99999</v>
      </c>
      <c r="AP2444" t="s">
        <v>64</v>
      </c>
      <c r="AR2444" t="b">
        <v>0</v>
      </c>
      <c r="AS2444">
        <v>12</v>
      </c>
      <c r="AT2444" t="s">
        <v>327</v>
      </c>
      <c r="AV2444" t="s">
        <v>2718</v>
      </c>
    </row>
    <row r="2445" spans="1:48" x14ac:dyDescent="0.25">
      <c r="A2445" t="s">
        <v>3323</v>
      </c>
      <c r="B2445" t="s">
        <v>302</v>
      </c>
      <c r="C2445" t="s">
        <v>62</v>
      </c>
      <c r="D2445">
        <v>99999</v>
      </c>
      <c r="F2445" s="109">
        <v>7000</v>
      </c>
      <c r="G2445" t="b">
        <v>0</v>
      </c>
      <c r="H2445" t="s">
        <v>315</v>
      </c>
      <c r="K2445" t="s">
        <v>61</v>
      </c>
      <c r="L2445" t="s">
        <v>303</v>
      </c>
      <c r="M2445" t="s">
        <v>323</v>
      </c>
      <c r="N2445" t="s">
        <v>63</v>
      </c>
      <c r="O2445">
        <v>29.9</v>
      </c>
      <c r="R2445">
        <v>209.89000000000001</v>
      </c>
      <c r="S2445">
        <v>69.900000000000006</v>
      </c>
      <c r="T2445" s="110">
        <v>0</v>
      </c>
      <c r="U2445">
        <v>42.99</v>
      </c>
      <c r="X2445">
        <v>52.099999999999994</v>
      </c>
      <c r="Y2445">
        <v>44.9</v>
      </c>
      <c r="Z2445">
        <v>44.9</v>
      </c>
      <c r="AA2445">
        <v>0</v>
      </c>
      <c r="AB2445" t="s">
        <v>324</v>
      </c>
      <c r="AF2445" t="s">
        <v>757</v>
      </c>
      <c r="AG2445" t="s">
        <v>757</v>
      </c>
      <c r="AH2445" t="s">
        <v>758</v>
      </c>
      <c r="AI2445">
        <v>99999</v>
      </c>
      <c r="AJ2445">
        <v>99999</v>
      </c>
      <c r="AK2445">
        <v>699</v>
      </c>
      <c r="AL2445" t="b">
        <v>1</v>
      </c>
      <c r="AM2445" t="b">
        <v>1</v>
      </c>
      <c r="AN2445" t="b">
        <v>0</v>
      </c>
      <c r="AO2445">
        <v>99999</v>
      </c>
      <c r="AP2445" t="s">
        <v>64</v>
      </c>
      <c r="AR2445" t="b">
        <v>0</v>
      </c>
      <c r="AS2445">
        <v>12</v>
      </c>
      <c r="AT2445" t="s">
        <v>327</v>
      </c>
      <c r="AV2445" t="s">
        <v>759</v>
      </c>
    </row>
    <row r="2446" spans="1:48" x14ac:dyDescent="0.25">
      <c r="A2446" t="s">
        <v>3323</v>
      </c>
      <c r="B2446" t="s">
        <v>302</v>
      </c>
      <c r="C2446" t="s">
        <v>62</v>
      </c>
      <c r="D2446">
        <v>99999</v>
      </c>
      <c r="F2446" s="109">
        <v>7000</v>
      </c>
      <c r="G2446" t="b">
        <v>0</v>
      </c>
      <c r="H2446" t="s">
        <v>315</v>
      </c>
      <c r="K2446" t="s">
        <v>61</v>
      </c>
      <c r="L2446" t="s">
        <v>303</v>
      </c>
      <c r="M2446" t="s">
        <v>323</v>
      </c>
      <c r="N2446" t="s">
        <v>63</v>
      </c>
      <c r="O2446" s="110">
        <v>29.9</v>
      </c>
      <c r="R2446" s="110">
        <v>224.89000000000001</v>
      </c>
      <c r="S2446" s="110">
        <v>69.900000000000006</v>
      </c>
      <c r="T2446" s="110">
        <v>0</v>
      </c>
      <c r="U2446" s="110">
        <v>42.99</v>
      </c>
      <c r="X2446">
        <v>67.099999999999994</v>
      </c>
      <c r="Y2446">
        <v>44.9</v>
      </c>
      <c r="Z2446">
        <v>44.9</v>
      </c>
      <c r="AA2446">
        <v>0</v>
      </c>
      <c r="AB2446" t="s">
        <v>324</v>
      </c>
      <c r="AF2446" t="s">
        <v>892</v>
      </c>
      <c r="AG2446" t="s">
        <v>892</v>
      </c>
      <c r="AH2446" t="s">
        <v>758</v>
      </c>
      <c r="AI2446">
        <v>99999</v>
      </c>
      <c r="AJ2446">
        <v>99999</v>
      </c>
      <c r="AK2446">
        <v>699</v>
      </c>
      <c r="AL2446" t="b">
        <v>1</v>
      </c>
      <c r="AM2446" t="b">
        <v>1</v>
      </c>
      <c r="AN2446" t="b">
        <v>0</v>
      </c>
      <c r="AO2446">
        <v>99999</v>
      </c>
      <c r="AP2446" t="s">
        <v>64</v>
      </c>
      <c r="AR2446" t="b">
        <v>0</v>
      </c>
      <c r="AS2446">
        <v>12</v>
      </c>
      <c r="AT2446" t="s">
        <v>327</v>
      </c>
      <c r="AV2446" t="s">
        <v>893</v>
      </c>
    </row>
    <row r="2447" spans="1:48" x14ac:dyDescent="0.25">
      <c r="A2447" t="s">
        <v>3323</v>
      </c>
      <c r="B2447" t="s">
        <v>302</v>
      </c>
      <c r="C2447" t="s">
        <v>62</v>
      </c>
      <c r="D2447">
        <v>99999</v>
      </c>
      <c r="F2447" s="109">
        <v>7000</v>
      </c>
      <c r="G2447" t="b">
        <v>0</v>
      </c>
      <c r="H2447" t="s">
        <v>315</v>
      </c>
      <c r="K2447" t="s">
        <v>61</v>
      </c>
      <c r="L2447" t="s">
        <v>303</v>
      </c>
      <c r="M2447" t="s">
        <v>323</v>
      </c>
      <c r="N2447" t="s">
        <v>63</v>
      </c>
      <c r="O2447" s="110">
        <v>29.9</v>
      </c>
      <c r="R2447" s="110">
        <v>239.89</v>
      </c>
      <c r="S2447" s="110">
        <v>70</v>
      </c>
      <c r="T2447" s="110">
        <v>0</v>
      </c>
      <c r="U2447" s="110">
        <v>42.99</v>
      </c>
      <c r="X2447">
        <v>82</v>
      </c>
      <c r="Y2447">
        <v>44.9</v>
      </c>
      <c r="Z2447">
        <v>44.9</v>
      </c>
      <c r="AA2447">
        <v>0</v>
      </c>
      <c r="AB2447" t="s">
        <v>324</v>
      </c>
      <c r="AF2447" t="s">
        <v>1040</v>
      </c>
      <c r="AG2447" t="s">
        <v>1040</v>
      </c>
      <c r="AH2447" t="s">
        <v>758</v>
      </c>
      <c r="AI2447">
        <v>99999</v>
      </c>
      <c r="AJ2447">
        <v>99999</v>
      </c>
      <c r="AK2447">
        <v>699</v>
      </c>
      <c r="AL2447" t="b">
        <v>1</v>
      </c>
      <c r="AM2447" t="b">
        <v>1</v>
      </c>
      <c r="AN2447" t="b">
        <v>0</v>
      </c>
      <c r="AO2447">
        <v>99999</v>
      </c>
      <c r="AP2447" t="s">
        <v>64</v>
      </c>
      <c r="AR2447" t="b">
        <v>0</v>
      </c>
      <c r="AS2447">
        <v>12</v>
      </c>
      <c r="AT2447" t="s">
        <v>327</v>
      </c>
      <c r="AV2447" t="s">
        <v>1041</v>
      </c>
    </row>
    <row r="2448" spans="1:48" x14ac:dyDescent="0.25">
      <c r="A2448" t="s">
        <v>3323</v>
      </c>
      <c r="B2448" t="s">
        <v>302</v>
      </c>
      <c r="C2448" t="s">
        <v>62</v>
      </c>
      <c r="D2448">
        <v>99999</v>
      </c>
      <c r="F2448" s="109">
        <v>7000</v>
      </c>
      <c r="G2448" t="b">
        <v>0</v>
      </c>
      <c r="H2448" t="s">
        <v>315</v>
      </c>
      <c r="K2448" t="s">
        <v>61</v>
      </c>
      <c r="L2448" t="s">
        <v>303</v>
      </c>
      <c r="M2448" t="s">
        <v>323</v>
      </c>
      <c r="N2448" t="s">
        <v>63</v>
      </c>
      <c r="O2448" s="110">
        <v>39.9</v>
      </c>
      <c r="R2448" s="110">
        <v>209.89000000000001</v>
      </c>
      <c r="S2448" s="110">
        <v>69.900000000000006</v>
      </c>
      <c r="T2448" s="110">
        <v>0</v>
      </c>
      <c r="U2448" s="110">
        <v>42.99</v>
      </c>
      <c r="X2448">
        <v>52.099999999999994</v>
      </c>
      <c r="Y2448">
        <v>44.9</v>
      </c>
      <c r="Z2448">
        <v>44.9</v>
      </c>
      <c r="AA2448">
        <v>0</v>
      </c>
      <c r="AB2448" t="s">
        <v>324</v>
      </c>
      <c r="AF2448" t="s">
        <v>825</v>
      </c>
      <c r="AG2448" t="s">
        <v>825</v>
      </c>
      <c r="AH2448" t="s">
        <v>758</v>
      </c>
      <c r="AI2448">
        <v>99999</v>
      </c>
      <c r="AJ2448">
        <v>99999</v>
      </c>
      <c r="AK2448">
        <v>699</v>
      </c>
      <c r="AL2448" t="b">
        <v>1</v>
      </c>
      <c r="AM2448" t="b">
        <v>1</v>
      </c>
      <c r="AN2448" t="b">
        <v>0</v>
      </c>
      <c r="AO2448">
        <v>99999</v>
      </c>
      <c r="AP2448" t="s">
        <v>64</v>
      </c>
      <c r="AR2448" t="b">
        <v>0</v>
      </c>
      <c r="AS2448">
        <v>12</v>
      </c>
      <c r="AT2448" t="s">
        <v>327</v>
      </c>
      <c r="AV2448" t="s">
        <v>826</v>
      </c>
    </row>
    <row r="2449" spans="1:48" x14ac:dyDescent="0.25">
      <c r="A2449" t="s">
        <v>3323</v>
      </c>
      <c r="B2449" t="s">
        <v>302</v>
      </c>
      <c r="C2449" t="s">
        <v>62</v>
      </c>
      <c r="D2449">
        <v>99999</v>
      </c>
      <c r="F2449" s="109">
        <v>7000</v>
      </c>
      <c r="G2449" t="b">
        <v>0</v>
      </c>
      <c r="H2449" t="s">
        <v>315</v>
      </c>
      <c r="K2449" t="s">
        <v>61</v>
      </c>
      <c r="L2449" t="s">
        <v>303</v>
      </c>
      <c r="M2449" t="s">
        <v>323</v>
      </c>
      <c r="N2449" t="s">
        <v>63</v>
      </c>
      <c r="O2449" s="110">
        <v>39.9</v>
      </c>
      <c r="R2449" s="110">
        <v>224.89000000000001</v>
      </c>
      <c r="S2449" s="110">
        <v>69.900000000000006</v>
      </c>
      <c r="T2449" s="110">
        <v>0</v>
      </c>
      <c r="U2449" s="110">
        <v>42.99</v>
      </c>
      <c r="X2449">
        <v>67.099999999999994</v>
      </c>
      <c r="Y2449">
        <v>44.9</v>
      </c>
      <c r="Z2449">
        <v>44.9</v>
      </c>
      <c r="AA2449">
        <v>0</v>
      </c>
      <c r="AB2449" t="s">
        <v>324</v>
      </c>
      <c r="AF2449" t="s">
        <v>959</v>
      </c>
      <c r="AG2449" t="s">
        <v>959</v>
      </c>
      <c r="AH2449" t="s">
        <v>758</v>
      </c>
      <c r="AI2449">
        <v>99999</v>
      </c>
      <c r="AJ2449">
        <v>99999</v>
      </c>
      <c r="AK2449">
        <v>699</v>
      </c>
      <c r="AL2449" t="b">
        <v>1</v>
      </c>
      <c r="AM2449" t="b">
        <v>1</v>
      </c>
      <c r="AN2449" t="b">
        <v>0</v>
      </c>
      <c r="AO2449">
        <v>99999</v>
      </c>
      <c r="AP2449" t="s">
        <v>64</v>
      </c>
      <c r="AR2449" t="b">
        <v>0</v>
      </c>
      <c r="AS2449">
        <v>12</v>
      </c>
      <c r="AT2449" t="s">
        <v>327</v>
      </c>
      <c r="AV2449" t="s">
        <v>960</v>
      </c>
    </row>
    <row r="2450" spans="1:48" x14ac:dyDescent="0.25">
      <c r="A2450" t="s">
        <v>3323</v>
      </c>
      <c r="B2450" t="s">
        <v>302</v>
      </c>
      <c r="C2450" t="s">
        <v>62</v>
      </c>
      <c r="D2450">
        <v>99999</v>
      </c>
      <c r="F2450" s="109">
        <v>7000</v>
      </c>
      <c r="G2450" t="b">
        <v>0</v>
      </c>
      <c r="H2450" t="s">
        <v>315</v>
      </c>
      <c r="K2450" t="s">
        <v>61</v>
      </c>
      <c r="L2450" t="s">
        <v>303</v>
      </c>
      <c r="M2450" t="s">
        <v>323</v>
      </c>
      <c r="N2450" t="s">
        <v>63</v>
      </c>
      <c r="O2450" s="110">
        <v>39.9</v>
      </c>
      <c r="R2450" s="110">
        <v>239.89</v>
      </c>
      <c r="S2450" s="110">
        <v>70</v>
      </c>
      <c r="T2450" s="110">
        <v>0</v>
      </c>
      <c r="U2450" s="110">
        <v>42.99</v>
      </c>
      <c r="X2450">
        <v>82</v>
      </c>
      <c r="Y2450">
        <v>44.9</v>
      </c>
      <c r="Z2450">
        <v>44.9</v>
      </c>
      <c r="AA2450">
        <v>0</v>
      </c>
      <c r="AB2450" t="s">
        <v>324</v>
      </c>
      <c r="AF2450" t="s">
        <v>1107</v>
      </c>
      <c r="AG2450" t="s">
        <v>1107</v>
      </c>
      <c r="AH2450" t="s">
        <v>758</v>
      </c>
      <c r="AI2450">
        <v>99999</v>
      </c>
      <c r="AJ2450">
        <v>99999</v>
      </c>
      <c r="AK2450">
        <v>699</v>
      </c>
      <c r="AL2450" t="b">
        <v>1</v>
      </c>
      <c r="AM2450" t="b">
        <v>1</v>
      </c>
      <c r="AN2450" t="b">
        <v>0</v>
      </c>
      <c r="AO2450">
        <v>99999</v>
      </c>
      <c r="AP2450" t="s">
        <v>64</v>
      </c>
      <c r="AR2450" t="b">
        <v>0</v>
      </c>
      <c r="AS2450">
        <v>12</v>
      </c>
      <c r="AT2450" t="s">
        <v>327</v>
      </c>
      <c r="AV2450" t="s">
        <v>1108</v>
      </c>
    </row>
    <row r="2451" spans="1:48" x14ac:dyDescent="0.25">
      <c r="A2451" t="s">
        <v>3323</v>
      </c>
      <c r="B2451" t="s">
        <v>302</v>
      </c>
      <c r="C2451" t="s">
        <v>62</v>
      </c>
      <c r="D2451">
        <v>99999</v>
      </c>
      <c r="F2451" s="109">
        <v>7000</v>
      </c>
      <c r="G2451" t="b">
        <v>0</v>
      </c>
      <c r="H2451" t="s">
        <v>315</v>
      </c>
      <c r="K2451" t="s">
        <v>61</v>
      </c>
      <c r="L2451" t="s">
        <v>303</v>
      </c>
      <c r="M2451" t="s">
        <v>323</v>
      </c>
      <c r="N2451" t="s">
        <v>63</v>
      </c>
      <c r="O2451" s="110">
        <v>49.9</v>
      </c>
      <c r="R2451" s="110">
        <v>255.68999999999997</v>
      </c>
      <c r="S2451" s="110">
        <v>130</v>
      </c>
      <c r="T2451" s="110">
        <v>0</v>
      </c>
      <c r="U2451" s="110">
        <v>34.99</v>
      </c>
      <c r="X2451">
        <v>45.799999999999983</v>
      </c>
      <c r="Y2451">
        <v>44.9</v>
      </c>
      <c r="Z2451">
        <v>44.9</v>
      </c>
      <c r="AA2451">
        <v>0</v>
      </c>
      <c r="AB2451" t="s">
        <v>324</v>
      </c>
      <c r="AF2451" t="s">
        <v>2467</v>
      </c>
      <c r="AG2451" t="s">
        <v>2467</v>
      </c>
      <c r="AH2451" t="s">
        <v>758</v>
      </c>
      <c r="AI2451">
        <v>99999</v>
      </c>
      <c r="AJ2451">
        <v>99999</v>
      </c>
      <c r="AK2451">
        <v>699</v>
      </c>
      <c r="AL2451" t="b">
        <v>1</v>
      </c>
      <c r="AM2451" t="b">
        <v>1</v>
      </c>
      <c r="AN2451" t="b">
        <v>0</v>
      </c>
      <c r="AO2451">
        <v>99999</v>
      </c>
      <c r="AP2451" t="s">
        <v>64</v>
      </c>
      <c r="AR2451" t="b">
        <v>0</v>
      </c>
      <c r="AS2451">
        <v>12</v>
      </c>
      <c r="AT2451" t="s">
        <v>327</v>
      </c>
      <c r="AV2451" t="s">
        <v>2468</v>
      </c>
    </row>
    <row r="2452" spans="1:48" x14ac:dyDescent="0.25">
      <c r="A2452" t="s">
        <v>3323</v>
      </c>
      <c r="B2452" t="s">
        <v>302</v>
      </c>
      <c r="C2452" t="s">
        <v>62</v>
      </c>
      <c r="D2452">
        <v>99999</v>
      </c>
      <c r="F2452" s="109">
        <v>7000</v>
      </c>
      <c r="G2452" t="b">
        <v>0</v>
      </c>
      <c r="H2452" t="s">
        <v>315</v>
      </c>
      <c r="K2452" t="s">
        <v>61</v>
      </c>
      <c r="L2452" t="s">
        <v>303</v>
      </c>
      <c r="M2452" t="s">
        <v>323</v>
      </c>
      <c r="N2452" t="s">
        <v>63</v>
      </c>
      <c r="O2452" s="110">
        <v>49.9</v>
      </c>
      <c r="R2452" s="110">
        <v>269.99</v>
      </c>
      <c r="S2452" s="110">
        <v>130</v>
      </c>
      <c r="T2452" s="110">
        <v>0</v>
      </c>
      <c r="U2452" s="110">
        <v>42.99</v>
      </c>
      <c r="X2452">
        <v>52.099999999999994</v>
      </c>
      <c r="Y2452">
        <v>44.9</v>
      </c>
      <c r="Z2452">
        <v>44.9</v>
      </c>
      <c r="AA2452">
        <v>0</v>
      </c>
      <c r="AB2452" t="s">
        <v>324</v>
      </c>
      <c r="AF2452" t="s">
        <v>2541</v>
      </c>
      <c r="AG2452" t="s">
        <v>2541</v>
      </c>
      <c r="AH2452" t="s">
        <v>758</v>
      </c>
      <c r="AI2452">
        <v>99999</v>
      </c>
      <c r="AJ2452">
        <v>99999</v>
      </c>
      <c r="AK2452">
        <v>699</v>
      </c>
      <c r="AL2452" t="b">
        <v>1</v>
      </c>
      <c r="AM2452" t="b">
        <v>1</v>
      </c>
      <c r="AN2452" t="b">
        <v>0</v>
      </c>
      <c r="AO2452">
        <v>99999</v>
      </c>
      <c r="AP2452" t="s">
        <v>64</v>
      </c>
      <c r="AR2452" t="b">
        <v>0</v>
      </c>
      <c r="AS2452">
        <v>12</v>
      </c>
      <c r="AT2452" t="s">
        <v>327</v>
      </c>
      <c r="AV2452" t="s">
        <v>2542</v>
      </c>
    </row>
    <row r="2453" spans="1:48" x14ac:dyDescent="0.25">
      <c r="A2453" t="s">
        <v>3323</v>
      </c>
      <c r="B2453" t="s">
        <v>302</v>
      </c>
      <c r="C2453" t="s">
        <v>62</v>
      </c>
      <c r="D2453">
        <v>99999</v>
      </c>
      <c r="F2453" s="109">
        <v>7000</v>
      </c>
      <c r="G2453" t="b">
        <v>0</v>
      </c>
      <c r="H2453" t="s">
        <v>315</v>
      </c>
      <c r="K2453" t="s">
        <v>61</v>
      </c>
      <c r="L2453" t="s">
        <v>303</v>
      </c>
      <c r="M2453" t="s">
        <v>323</v>
      </c>
      <c r="N2453" t="s">
        <v>63</v>
      </c>
      <c r="O2453" s="110">
        <v>49.9</v>
      </c>
      <c r="R2453" s="110">
        <v>284.99</v>
      </c>
      <c r="S2453" s="110">
        <v>130</v>
      </c>
      <c r="T2453" s="110">
        <v>0</v>
      </c>
      <c r="U2453" s="110">
        <v>42.99</v>
      </c>
      <c r="X2453">
        <v>67.099999999999994</v>
      </c>
      <c r="Y2453">
        <v>44.9</v>
      </c>
      <c r="Z2453">
        <v>44.9</v>
      </c>
      <c r="AA2453">
        <v>0</v>
      </c>
      <c r="AB2453" t="s">
        <v>324</v>
      </c>
      <c r="AF2453" t="s">
        <v>2608</v>
      </c>
      <c r="AG2453" t="s">
        <v>2608</v>
      </c>
      <c r="AH2453" t="s">
        <v>758</v>
      </c>
      <c r="AI2453">
        <v>99999</v>
      </c>
      <c r="AJ2453">
        <v>99999</v>
      </c>
      <c r="AK2453">
        <v>699</v>
      </c>
      <c r="AL2453" t="b">
        <v>1</v>
      </c>
      <c r="AM2453" t="b">
        <v>1</v>
      </c>
      <c r="AN2453" t="b">
        <v>0</v>
      </c>
      <c r="AO2453">
        <v>99999</v>
      </c>
      <c r="AP2453" t="s">
        <v>64</v>
      </c>
      <c r="AR2453" t="b">
        <v>0</v>
      </c>
      <c r="AS2453">
        <v>12</v>
      </c>
      <c r="AT2453" t="s">
        <v>327</v>
      </c>
      <c r="AV2453" t="s">
        <v>2609</v>
      </c>
    </row>
    <row r="2454" spans="1:48" x14ac:dyDescent="0.25">
      <c r="A2454" t="s">
        <v>3323</v>
      </c>
      <c r="B2454" t="s">
        <v>302</v>
      </c>
      <c r="C2454" t="s">
        <v>62</v>
      </c>
      <c r="D2454">
        <v>99999</v>
      </c>
      <c r="F2454" s="109">
        <v>7000</v>
      </c>
      <c r="G2454" t="b">
        <v>0</v>
      </c>
      <c r="H2454" t="s">
        <v>315</v>
      </c>
      <c r="K2454" t="s">
        <v>61</v>
      </c>
      <c r="L2454" t="s">
        <v>303</v>
      </c>
      <c r="M2454" t="s">
        <v>323</v>
      </c>
      <c r="N2454" t="s">
        <v>63</v>
      </c>
      <c r="O2454" s="110">
        <v>49.9</v>
      </c>
      <c r="R2454" s="110">
        <v>299.89</v>
      </c>
      <c r="S2454" s="110">
        <v>130</v>
      </c>
      <c r="T2454" s="110">
        <v>0</v>
      </c>
      <c r="U2454" s="110">
        <v>42.99</v>
      </c>
      <c r="X2454">
        <v>82</v>
      </c>
      <c r="Y2454">
        <v>44.9</v>
      </c>
      <c r="Z2454">
        <v>44.9</v>
      </c>
      <c r="AA2454">
        <v>0</v>
      </c>
      <c r="AB2454" t="s">
        <v>324</v>
      </c>
      <c r="AF2454" t="s">
        <v>2677</v>
      </c>
      <c r="AG2454" t="s">
        <v>2677</v>
      </c>
      <c r="AH2454" t="s">
        <v>758</v>
      </c>
      <c r="AI2454">
        <v>99999</v>
      </c>
      <c r="AJ2454">
        <v>99999</v>
      </c>
      <c r="AK2454">
        <v>699</v>
      </c>
      <c r="AL2454" t="b">
        <v>1</v>
      </c>
      <c r="AM2454" t="b">
        <v>1</v>
      </c>
      <c r="AN2454" t="b">
        <v>0</v>
      </c>
      <c r="AO2454">
        <v>99999</v>
      </c>
      <c r="AP2454" t="s">
        <v>64</v>
      </c>
      <c r="AR2454" t="b">
        <v>0</v>
      </c>
      <c r="AS2454">
        <v>12</v>
      </c>
      <c r="AT2454" t="s">
        <v>327</v>
      </c>
      <c r="AV2454" t="s">
        <v>2678</v>
      </c>
    </row>
    <row r="2455" spans="1:48" x14ac:dyDescent="0.25">
      <c r="A2455" t="s">
        <v>3323</v>
      </c>
      <c r="B2455" t="s">
        <v>302</v>
      </c>
      <c r="C2455" t="s">
        <v>62</v>
      </c>
      <c r="D2455">
        <v>99999</v>
      </c>
      <c r="F2455" s="109">
        <v>7000</v>
      </c>
      <c r="G2455" t="b">
        <v>0</v>
      </c>
      <c r="H2455" t="s">
        <v>343</v>
      </c>
      <c r="K2455" t="s">
        <v>349</v>
      </c>
      <c r="L2455" t="s">
        <v>303</v>
      </c>
      <c r="M2455" t="s">
        <v>323</v>
      </c>
      <c r="N2455" t="s">
        <v>63</v>
      </c>
      <c r="O2455" s="110">
        <v>29.9</v>
      </c>
      <c r="R2455" s="110">
        <v>319.89</v>
      </c>
      <c r="S2455" s="110">
        <v>69.900000000000006</v>
      </c>
      <c r="T2455" s="110">
        <v>0</v>
      </c>
      <c r="U2455" s="110">
        <v>42.99</v>
      </c>
      <c r="X2455">
        <v>162.1</v>
      </c>
      <c r="Y2455">
        <v>44.9</v>
      </c>
      <c r="Z2455">
        <v>44.9</v>
      </c>
      <c r="AA2455">
        <v>0</v>
      </c>
      <c r="AB2455" t="s">
        <v>324</v>
      </c>
      <c r="AF2455" t="s">
        <v>757</v>
      </c>
      <c r="AG2455" t="s">
        <v>757</v>
      </c>
      <c r="AH2455" t="s">
        <v>758</v>
      </c>
      <c r="AI2455">
        <v>99999</v>
      </c>
      <c r="AJ2455">
        <v>99999</v>
      </c>
      <c r="AK2455">
        <v>699</v>
      </c>
      <c r="AL2455" t="b">
        <v>1</v>
      </c>
      <c r="AM2455" t="b">
        <v>1</v>
      </c>
      <c r="AN2455" t="b">
        <v>0</v>
      </c>
      <c r="AO2455">
        <v>99999</v>
      </c>
      <c r="AP2455" t="s">
        <v>64</v>
      </c>
      <c r="AR2455" t="b">
        <v>0</v>
      </c>
      <c r="AS2455">
        <v>12</v>
      </c>
      <c r="AT2455" t="s">
        <v>327</v>
      </c>
      <c r="AV2455" t="s">
        <v>780</v>
      </c>
    </row>
    <row r="2456" spans="1:48" x14ac:dyDescent="0.25">
      <c r="A2456" t="s">
        <v>3323</v>
      </c>
      <c r="B2456" t="s">
        <v>302</v>
      </c>
      <c r="C2456" t="s">
        <v>62</v>
      </c>
      <c r="D2456">
        <v>99999</v>
      </c>
      <c r="F2456" s="109">
        <v>7000</v>
      </c>
      <c r="G2456" t="b">
        <v>0</v>
      </c>
      <c r="H2456" t="s">
        <v>343</v>
      </c>
      <c r="K2456" t="s">
        <v>349</v>
      </c>
      <c r="L2456" t="s">
        <v>303</v>
      </c>
      <c r="M2456" t="s">
        <v>323</v>
      </c>
      <c r="N2456" t="s">
        <v>63</v>
      </c>
      <c r="O2456" s="110">
        <v>29.9</v>
      </c>
      <c r="R2456" s="110">
        <v>334.89</v>
      </c>
      <c r="S2456" s="110">
        <v>69.900000000000006</v>
      </c>
      <c r="T2456" s="110">
        <v>0</v>
      </c>
      <c r="U2456" s="110">
        <v>42.99</v>
      </c>
      <c r="X2456">
        <v>177.1</v>
      </c>
      <c r="Y2456">
        <v>44.9</v>
      </c>
      <c r="Z2456">
        <v>44.9</v>
      </c>
      <c r="AA2456">
        <v>0</v>
      </c>
      <c r="AB2456" t="s">
        <v>324</v>
      </c>
      <c r="AF2456" t="s">
        <v>892</v>
      </c>
      <c r="AG2456" t="s">
        <v>892</v>
      </c>
      <c r="AH2456" t="s">
        <v>758</v>
      </c>
      <c r="AI2456">
        <v>99999</v>
      </c>
      <c r="AJ2456">
        <v>99999</v>
      </c>
      <c r="AK2456">
        <v>699</v>
      </c>
      <c r="AL2456" t="b">
        <v>1</v>
      </c>
      <c r="AM2456" t="b">
        <v>1</v>
      </c>
      <c r="AN2456" t="b">
        <v>0</v>
      </c>
      <c r="AO2456">
        <v>99999</v>
      </c>
      <c r="AP2456" t="s">
        <v>64</v>
      </c>
      <c r="AR2456" t="b">
        <v>0</v>
      </c>
      <c r="AS2456">
        <v>12</v>
      </c>
      <c r="AT2456" t="s">
        <v>327</v>
      </c>
      <c r="AV2456" t="s">
        <v>914</v>
      </c>
    </row>
    <row r="2457" spans="1:48" x14ac:dyDescent="0.25">
      <c r="A2457" t="s">
        <v>3323</v>
      </c>
      <c r="B2457" t="s">
        <v>302</v>
      </c>
      <c r="C2457" t="s">
        <v>62</v>
      </c>
      <c r="D2457">
        <v>99999</v>
      </c>
      <c r="F2457" s="109">
        <v>7000</v>
      </c>
      <c r="G2457" t="b">
        <v>0</v>
      </c>
      <c r="H2457" t="s">
        <v>343</v>
      </c>
      <c r="K2457" t="s">
        <v>349</v>
      </c>
      <c r="L2457" t="s">
        <v>303</v>
      </c>
      <c r="M2457" t="s">
        <v>323</v>
      </c>
      <c r="N2457" t="s">
        <v>63</v>
      </c>
      <c r="O2457" s="110">
        <v>29.9</v>
      </c>
      <c r="R2457" s="110">
        <v>349.89</v>
      </c>
      <c r="S2457" s="110">
        <v>70</v>
      </c>
      <c r="T2457" s="110">
        <v>0</v>
      </c>
      <c r="U2457" s="110">
        <v>42.99</v>
      </c>
      <c r="X2457">
        <v>192</v>
      </c>
      <c r="Y2457">
        <v>44.9</v>
      </c>
      <c r="Z2457">
        <v>44.9</v>
      </c>
      <c r="AA2457">
        <v>0</v>
      </c>
      <c r="AB2457" t="s">
        <v>324</v>
      </c>
      <c r="AF2457" t="s">
        <v>1040</v>
      </c>
      <c r="AG2457" t="s">
        <v>1040</v>
      </c>
      <c r="AH2457" t="s">
        <v>758</v>
      </c>
      <c r="AI2457">
        <v>99999</v>
      </c>
      <c r="AJ2457">
        <v>99999</v>
      </c>
      <c r="AK2457">
        <v>699</v>
      </c>
      <c r="AL2457" t="b">
        <v>1</v>
      </c>
      <c r="AM2457" t="b">
        <v>1</v>
      </c>
      <c r="AN2457" t="b">
        <v>0</v>
      </c>
      <c r="AO2457">
        <v>99999</v>
      </c>
      <c r="AP2457" t="s">
        <v>64</v>
      </c>
      <c r="AR2457" t="b">
        <v>0</v>
      </c>
      <c r="AS2457">
        <v>12</v>
      </c>
      <c r="AT2457" t="s">
        <v>327</v>
      </c>
      <c r="AV2457" t="s">
        <v>1062</v>
      </c>
    </row>
    <row r="2458" spans="1:48" x14ac:dyDescent="0.25">
      <c r="A2458" t="s">
        <v>3323</v>
      </c>
      <c r="B2458" t="s">
        <v>302</v>
      </c>
      <c r="C2458" t="s">
        <v>62</v>
      </c>
      <c r="D2458">
        <v>99999</v>
      </c>
      <c r="F2458" s="109">
        <v>7000</v>
      </c>
      <c r="G2458" t="b">
        <v>0</v>
      </c>
      <c r="H2458" t="s">
        <v>343</v>
      </c>
      <c r="K2458" t="s">
        <v>349</v>
      </c>
      <c r="L2458" t="s">
        <v>303</v>
      </c>
      <c r="M2458" t="s">
        <v>323</v>
      </c>
      <c r="N2458" t="s">
        <v>63</v>
      </c>
      <c r="O2458" s="110">
        <v>39.9</v>
      </c>
      <c r="R2458" s="110">
        <v>319.89</v>
      </c>
      <c r="S2458" s="110">
        <v>69.900000000000006</v>
      </c>
      <c r="T2458" s="110">
        <v>0</v>
      </c>
      <c r="U2458" s="110">
        <v>42.99</v>
      </c>
      <c r="X2458">
        <v>162.1</v>
      </c>
      <c r="Y2458">
        <v>44.9</v>
      </c>
      <c r="Z2458">
        <v>44.9</v>
      </c>
      <c r="AA2458">
        <v>0</v>
      </c>
      <c r="AB2458" t="s">
        <v>324</v>
      </c>
      <c r="AF2458" t="s">
        <v>825</v>
      </c>
      <c r="AG2458" t="s">
        <v>825</v>
      </c>
      <c r="AH2458" t="s">
        <v>758</v>
      </c>
      <c r="AI2458">
        <v>99999</v>
      </c>
      <c r="AJ2458">
        <v>99999</v>
      </c>
      <c r="AK2458">
        <v>699</v>
      </c>
      <c r="AL2458" t="b">
        <v>1</v>
      </c>
      <c r="AM2458" t="b">
        <v>1</v>
      </c>
      <c r="AN2458" t="b">
        <v>0</v>
      </c>
      <c r="AO2458">
        <v>99999</v>
      </c>
      <c r="AP2458" t="s">
        <v>64</v>
      </c>
      <c r="AR2458" t="b">
        <v>0</v>
      </c>
      <c r="AS2458">
        <v>12</v>
      </c>
      <c r="AT2458" t="s">
        <v>327</v>
      </c>
      <c r="AV2458" t="s">
        <v>847</v>
      </c>
    </row>
    <row r="2459" spans="1:48" x14ac:dyDescent="0.25">
      <c r="A2459" t="s">
        <v>3323</v>
      </c>
      <c r="B2459" t="s">
        <v>302</v>
      </c>
      <c r="C2459" t="s">
        <v>62</v>
      </c>
      <c r="D2459">
        <v>99999</v>
      </c>
      <c r="F2459" s="109">
        <v>7000</v>
      </c>
      <c r="G2459" t="b">
        <v>0</v>
      </c>
      <c r="H2459" t="s">
        <v>343</v>
      </c>
      <c r="K2459" t="s">
        <v>349</v>
      </c>
      <c r="L2459" t="s">
        <v>303</v>
      </c>
      <c r="M2459" t="s">
        <v>323</v>
      </c>
      <c r="N2459" t="s">
        <v>63</v>
      </c>
      <c r="O2459" s="110">
        <v>39.9</v>
      </c>
      <c r="R2459" s="110">
        <v>334.89</v>
      </c>
      <c r="S2459" s="110">
        <v>69.900000000000006</v>
      </c>
      <c r="T2459" s="110">
        <v>0</v>
      </c>
      <c r="U2459" s="110">
        <v>42.99</v>
      </c>
      <c r="X2459">
        <v>177.1</v>
      </c>
      <c r="Y2459">
        <v>44.9</v>
      </c>
      <c r="Z2459">
        <v>44.9</v>
      </c>
      <c r="AA2459">
        <v>0</v>
      </c>
      <c r="AB2459" t="s">
        <v>324</v>
      </c>
      <c r="AF2459" t="s">
        <v>959</v>
      </c>
      <c r="AG2459" t="s">
        <v>959</v>
      </c>
      <c r="AH2459" t="s">
        <v>758</v>
      </c>
      <c r="AI2459">
        <v>99999</v>
      </c>
      <c r="AJ2459">
        <v>99999</v>
      </c>
      <c r="AK2459">
        <v>699</v>
      </c>
      <c r="AL2459" t="b">
        <v>1</v>
      </c>
      <c r="AM2459" t="b">
        <v>1</v>
      </c>
      <c r="AN2459" t="b">
        <v>0</v>
      </c>
      <c r="AO2459">
        <v>99999</v>
      </c>
      <c r="AP2459" t="s">
        <v>64</v>
      </c>
      <c r="AR2459" t="b">
        <v>0</v>
      </c>
      <c r="AS2459">
        <v>12</v>
      </c>
      <c r="AT2459" t="s">
        <v>327</v>
      </c>
      <c r="AV2459" t="s">
        <v>981</v>
      </c>
    </row>
    <row r="2460" spans="1:48" x14ac:dyDescent="0.25">
      <c r="A2460" t="s">
        <v>3323</v>
      </c>
      <c r="B2460" t="s">
        <v>302</v>
      </c>
      <c r="C2460" t="s">
        <v>62</v>
      </c>
      <c r="D2460">
        <v>99999</v>
      </c>
      <c r="F2460" s="109">
        <v>7000</v>
      </c>
      <c r="G2460" t="b">
        <v>0</v>
      </c>
      <c r="H2460" t="s">
        <v>343</v>
      </c>
      <c r="K2460" t="s">
        <v>349</v>
      </c>
      <c r="L2460" t="s">
        <v>303</v>
      </c>
      <c r="M2460" t="s">
        <v>323</v>
      </c>
      <c r="N2460" t="s">
        <v>63</v>
      </c>
      <c r="O2460" s="110">
        <v>39.9</v>
      </c>
      <c r="R2460" s="110">
        <v>349.89</v>
      </c>
      <c r="S2460" s="110">
        <v>70</v>
      </c>
      <c r="T2460" s="110">
        <v>0</v>
      </c>
      <c r="U2460" s="110">
        <v>42.99</v>
      </c>
      <c r="X2460">
        <v>192</v>
      </c>
      <c r="Y2460">
        <v>44.9</v>
      </c>
      <c r="Z2460">
        <v>44.9</v>
      </c>
      <c r="AA2460">
        <v>0</v>
      </c>
      <c r="AB2460" t="s">
        <v>324</v>
      </c>
      <c r="AF2460" t="s">
        <v>1107</v>
      </c>
      <c r="AG2460" t="s">
        <v>1107</v>
      </c>
      <c r="AH2460" t="s">
        <v>758</v>
      </c>
      <c r="AI2460">
        <v>99999</v>
      </c>
      <c r="AJ2460">
        <v>99999</v>
      </c>
      <c r="AK2460">
        <v>699</v>
      </c>
      <c r="AL2460" t="b">
        <v>1</v>
      </c>
      <c r="AM2460" t="b">
        <v>1</v>
      </c>
      <c r="AN2460" t="b">
        <v>0</v>
      </c>
      <c r="AO2460">
        <v>99999</v>
      </c>
      <c r="AP2460" t="s">
        <v>64</v>
      </c>
      <c r="AR2460" t="b">
        <v>0</v>
      </c>
      <c r="AS2460">
        <v>12</v>
      </c>
      <c r="AT2460" t="s">
        <v>327</v>
      </c>
      <c r="AV2460" t="s">
        <v>1129</v>
      </c>
    </row>
    <row r="2461" spans="1:48" x14ac:dyDescent="0.25">
      <c r="A2461" t="s">
        <v>3323</v>
      </c>
      <c r="B2461" t="s">
        <v>302</v>
      </c>
      <c r="C2461" t="s">
        <v>62</v>
      </c>
      <c r="D2461">
        <v>99999</v>
      </c>
      <c r="F2461" s="109">
        <v>7000</v>
      </c>
      <c r="G2461" t="b">
        <v>0</v>
      </c>
      <c r="H2461" t="s">
        <v>343</v>
      </c>
      <c r="K2461" t="s">
        <v>349</v>
      </c>
      <c r="L2461" t="s">
        <v>303</v>
      </c>
      <c r="M2461" t="s">
        <v>323</v>
      </c>
      <c r="N2461" t="s">
        <v>63</v>
      </c>
      <c r="O2461" s="110">
        <v>49.9</v>
      </c>
      <c r="R2461" s="110">
        <v>365.68999999999994</v>
      </c>
      <c r="S2461" s="110">
        <v>130</v>
      </c>
      <c r="T2461" s="110">
        <v>0</v>
      </c>
      <c r="U2461" s="110">
        <v>34.99</v>
      </c>
      <c r="X2461">
        <v>155.79999999999998</v>
      </c>
      <c r="Y2461">
        <v>44.9</v>
      </c>
      <c r="Z2461">
        <v>44.9</v>
      </c>
      <c r="AA2461">
        <v>0</v>
      </c>
      <c r="AB2461" t="s">
        <v>324</v>
      </c>
      <c r="AF2461" t="s">
        <v>2467</v>
      </c>
      <c r="AG2461" t="s">
        <v>2467</v>
      </c>
      <c r="AH2461" t="s">
        <v>758</v>
      </c>
      <c r="AI2461">
        <v>99999</v>
      </c>
      <c r="AJ2461">
        <v>99999</v>
      </c>
      <c r="AK2461">
        <v>699</v>
      </c>
      <c r="AL2461" t="b">
        <v>1</v>
      </c>
      <c r="AM2461" t="b">
        <v>1</v>
      </c>
      <c r="AN2461" t="b">
        <v>0</v>
      </c>
      <c r="AO2461">
        <v>99999</v>
      </c>
      <c r="AP2461" t="s">
        <v>64</v>
      </c>
      <c r="AR2461" t="b">
        <v>0</v>
      </c>
      <c r="AS2461">
        <v>12</v>
      </c>
      <c r="AT2461" t="s">
        <v>327</v>
      </c>
      <c r="AV2461" t="s">
        <v>2489</v>
      </c>
    </row>
    <row r="2462" spans="1:48" x14ac:dyDescent="0.25">
      <c r="A2462" t="s">
        <v>3323</v>
      </c>
      <c r="B2462" t="s">
        <v>302</v>
      </c>
      <c r="C2462" t="s">
        <v>62</v>
      </c>
      <c r="D2462">
        <v>99999</v>
      </c>
      <c r="F2462" s="109">
        <v>7000</v>
      </c>
      <c r="G2462" t="b">
        <v>0</v>
      </c>
      <c r="H2462" t="s">
        <v>343</v>
      </c>
      <c r="K2462" t="s">
        <v>349</v>
      </c>
      <c r="L2462" t="s">
        <v>303</v>
      </c>
      <c r="M2462" t="s">
        <v>323</v>
      </c>
      <c r="N2462" t="s">
        <v>63</v>
      </c>
      <c r="O2462" s="110">
        <v>49.9</v>
      </c>
      <c r="R2462" s="110">
        <v>379.99</v>
      </c>
      <c r="S2462" s="110">
        <v>130</v>
      </c>
      <c r="T2462" s="110">
        <v>0</v>
      </c>
      <c r="U2462" s="110">
        <v>42.99</v>
      </c>
      <c r="X2462">
        <v>162.1</v>
      </c>
      <c r="Y2462">
        <v>44.9</v>
      </c>
      <c r="Z2462">
        <v>44.9</v>
      </c>
      <c r="AA2462">
        <v>0</v>
      </c>
      <c r="AB2462" t="s">
        <v>324</v>
      </c>
      <c r="AF2462" t="s">
        <v>2541</v>
      </c>
      <c r="AG2462" t="s">
        <v>2541</v>
      </c>
      <c r="AH2462" t="s">
        <v>758</v>
      </c>
      <c r="AI2462">
        <v>99999</v>
      </c>
      <c r="AJ2462">
        <v>99999</v>
      </c>
      <c r="AK2462">
        <v>699</v>
      </c>
      <c r="AL2462" t="b">
        <v>1</v>
      </c>
      <c r="AM2462" t="b">
        <v>1</v>
      </c>
      <c r="AN2462" t="b">
        <v>0</v>
      </c>
      <c r="AO2462">
        <v>99999</v>
      </c>
      <c r="AP2462" t="s">
        <v>64</v>
      </c>
      <c r="AR2462" t="b">
        <v>0</v>
      </c>
      <c r="AS2462">
        <v>12</v>
      </c>
      <c r="AT2462" t="s">
        <v>327</v>
      </c>
      <c r="AV2462" t="s">
        <v>2563</v>
      </c>
    </row>
    <row r="2463" spans="1:48" x14ac:dyDescent="0.25">
      <c r="A2463" t="s">
        <v>3323</v>
      </c>
      <c r="B2463" t="s">
        <v>302</v>
      </c>
      <c r="C2463" t="s">
        <v>62</v>
      </c>
      <c r="D2463">
        <v>99999</v>
      </c>
      <c r="F2463" s="109">
        <v>7000</v>
      </c>
      <c r="G2463" t="b">
        <v>0</v>
      </c>
      <c r="H2463" t="s">
        <v>343</v>
      </c>
      <c r="K2463" t="s">
        <v>349</v>
      </c>
      <c r="L2463" t="s">
        <v>303</v>
      </c>
      <c r="M2463" t="s">
        <v>323</v>
      </c>
      <c r="N2463" t="s">
        <v>63</v>
      </c>
      <c r="O2463" s="110">
        <v>49.9</v>
      </c>
      <c r="R2463" s="110">
        <v>394.99</v>
      </c>
      <c r="S2463" s="110">
        <v>130</v>
      </c>
      <c r="T2463" s="110">
        <v>0</v>
      </c>
      <c r="U2463" s="110">
        <v>42.99</v>
      </c>
      <c r="X2463">
        <v>177.1</v>
      </c>
      <c r="Y2463">
        <v>44.9</v>
      </c>
      <c r="Z2463">
        <v>44.9</v>
      </c>
      <c r="AA2463">
        <v>0</v>
      </c>
      <c r="AB2463" t="s">
        <v>324</v>
      </c>
      <c r="AF2463" t="s">
        <v>2608</v>
      </c>
      <c r="AG2463" t="s">
        <v>2608</v>
      </c>
      <c r="AH2463" t="s">
        <v>758</v>
      </c>
      <c r="AI2463">
        <v>99999</v>
      </c>
      <c r="AJ2463">
        <v>99999</v>
      </c>
      <c r="AK2463">
        <v>699</v>
      </c>
      <c r="AL2463" t="b">
        <v>1</v>
      </c>
      <c r="AM2463" t="b">
        <v>1</v>
      </c>
      <c r="AN2463" t="b">
        <v>0</v>
      </c>
      <c r="AO2463">
        <v>99999</v>
      </c>
      <c r="AP2463" t="s">
        <v>64</v>
      </c>
      <c r="AR2463" t="b">
        <v>0</v>
      </c>
      <c r="AS2463">
        <v>12</v>
      </c>
      <c r="AT2463" t="s">
        <v>327</v>
      </c>
      <c r="AV2463" t="s">
        <v>2629</v>
      </c>
    </row>
    <row r="2464" spans="1:48" x14ac:dyDescent="0.25">
      <c r="A2464" t="s">
        <v>3323</v>
      </c>
      <c r="B2464" t="s">
        <v>302</v>
      </c>
      <c r="C2464" t="s">
        <v>62</v>
      </c>
      <c r="D2464">
        <v>99999</v>
      </c>
      <c r="F2464" s="109">
        <v>7000</v>
      </c>
      <c r="G2464" t="b">
        <v>0</v>
      </c>
      <c r="H2464" t="s">
        <v>343</v>
      </c>
      <c r="K2464" t="s">
        <v>349</v>
      </c>
      <c r="L2464" t="s">
        <v>303</v>
      </c>
      <c r="M2464" t="s">
        <v>323</v>
      </c>
      <c r="N2464" t="s">
        <v>63</v>
      </c>
      <c r="O2464" s="110">
        <v>49.9</v>
      </c>
      <c r="R2464" s="110">
        <v>409.89</v>
      </c>
      <c r="S2464" s="110">
        <v>130</v>
      </c>
      <c r="T2464" s="110">
        <v>0</v>
      </c>
      <c r="U2464" s="110">
        <v>42.99</v>
      </c>
      <c r="X2464">
        <v>192</v>
      </c>
      <c r="Y2464">
        <v>44.9</v>
      </c>
      <c r="Z2464">
        <v>44.9</v>
      </c>
      <c r="AA2464">
        <v>0</v>
      </c>
      <c r="AB2464" t="s">
        <v>324</v>
      </c>
      <c r="AF2464" t="s">
        <v>2677</v>
      </c>
      <c r="AG2464" t="s">
        <v>2677</v>
      </c>
      <c r="AH2464" t="s">
        <v>758</v>
      </c>
      <c r="AI2464">
        <v>99999</v>
      </c>
      <c r="AJ2464">
        <v>99999</v>
      </c>
      <c r="AK2464">
        <v>699</v>
      </c>
      <c r="AL2464" t="b">
        <v>1</v>
      </c>
      <c r="AM2464" t="b">
        <v>1</v>
      </c>
      <c r="AN2464" t="b">
        <v>0</v>
      </c>
      <c r="AO2464">
        <v>99999</v>
      </c>
      <c r="AP2464" t="s">
        <v>64</v>
      </c>
      <c r="AR2464" t="b">
        <v>0</v>
      </c>
      <c r="AS2464">
        <v>12</v>
      </c>
      <c r="AT2464" t="s">
        <v>327</v>
      </c>
      <c r="AV2464" t="s">
        <v>2699</v>
      </c>
    </row>
    <row r="2465" spans="1:48" x14ac:dyDescent="0.25">
      <c r="A2465" t="s">
        <v>3323</v>
      </c>
      <c r="B2465" t="s">
        <v>302</v>
      </c>
      <c r="C2465" t="s">
        <v>62</v>
      </c>
      <c r="D2465">
        <v>99999</v>
      </c>
      <c r="F2465" s="109">
        <v>7000</v>
      </c>
      <c r="G2465" t="b">
        <v>0</v>
      </c>
      <c r="H2465" t="s">
        <v>343</v>
      </c>
      <c r="K2465" t="s">
        <v>393</v>
      </c>
      <c r="L2465" t="s">
        <v>303</v>
      </c>
      <c r="M2465" t="s">
        <v>323</v>
      </c>
      <c r="N2465" t="s">
        <v>63</v>
      </c>
      <c r="O2465" s="110">
        <v>29.9</v>
      </c>
      <c r="R2465" s="110">
        <v>344.89</v>
      </c>
      <c r="S2465" s="110">
        <v>69.900000000000006</v>
      </c>
      <c r="T2465" s="110">
        <v>0</v>
      </c>
      <c r="U2465" s="110">
        <v>42.99</v>
      </c>
      <c r="X2465">
        <v>162.1</v>
      </c>
      <c r="Y2465">
        <v>69.900000000000006</v>
      </c>
      <c r="Z2465">
        <v>69.900000000000006</v>
      </c>
      <c r="AA2465">
        <v>0</v>
      </c>
      <c r="AB2465" t="s">
        <v>363</v>
      </c>
      <c r="AF2465" t="s">
        <v>785</v>
      </c>
      <c r="AG2465" t="s">
        <v>785</v>
      </c>
      <c r="AH2465" t="s">
        <v>758</v>
      </c>
      <c r="AI2465">
        <v>99999</v>
      </c>
      <c r="AJ2465">
        <v>99999</v>
      </c>
      <c r="AK2465">
        <v>699</v>
      </c>
      <c r="AL2465" t="b">
        <v>1</v>
      </c>
      <c r="AM2465" t="b">
        <v>1</v>
      </c>
      <c r="AN2465" t="b">
        <v>0</v>
      </c>
      <c r="AO2465">
        <v>99999</v>
      </c>
      <c r="AP2465" t="s">
        <v>64</v>
      </c>
      <c r="AR2465" t="b">
        <v>0</v>
      </c>
      <c r="AS2465">
        <v>12</v>
      </c>
      <c r="AT2465" t="s">
        <v>327</v>
      </c>
      <c r="AV2465" t="s">
        <v>820</v>
      </c>
    </row>
    <row r="2466" spans="1:48" x14ac:dyDescent="0.25">
      <c r="A2466" t="s">
        <v>3323</v>
      </c>
      <c r="B2466" t="s">
        <v>302</v>
      </c>
      <c r="C2466" t="s">
        <v>62</v>
      </c>
      <c r="D2466">
        <v>99999</v>
      </c>
      <c r="F2466" s="109">
        <v>7000</v>
      </c>
      <c r="G2466" t="b">
        <v>0</v>
      </c>
      <c r="H2466" t="s">
        <v>343</v>
      </c>
      <c r="K2466" t="s">
        <v>393</v>
      </c>
      <c r="L2466" t="s">
        <v>303</v>
      </c>
      <c r="M2466" t="s">
        <v>323</v>
      </c>
      <c r="N2466" t="s">
        <v>63</v>
      </c>
      <c r="O2466" s="110">
        <v>29.9</v>
      </c>
      <c r="R2466" s="110">
        <v>359.89</v>
      </c>
      <c r="S2466" s="110">
        <v>69.900000000000006</v>
      </c>
      <c r="T2466" s="110">
        <v>0</v>
      </c>
      <c r="U2466" s="110">
        <v>42.99</v>
      </c>
      <c r="X2466">
        <v>177.1</v>
      </c>
      <c r="Y2466">
        <v>69.900000000000006</v>
      </c>
      <c r="Z2466">
        <v>69.900000000000006</v>
      </c>
      <c r="AA2466">
        <v>0</v>
      </c>
      <c r="AB2466" t="s">
        <v>363</v>
      </c>
      <c r="AF2466" t="s">
        <v>919</v>
      </c>
      <c r="AG2466" t="s">
        <v>919</v>
      </c>
      <c r="AH2466" t="s">
        <v>758</v>
      </c>
      <c r="AI2466">
        <v>99999</v>
      </c>
      <c r="AJ2466">
        <v>99999</v>
      </c>
      <c r="AK2466">
        <v>699</v>
      </c>
      <c r="AL2466" t="b">
        <v>1</v>
      </c>
      <c r="AM2466" t="b">
        <v>1</v>
      </c>
      <c r="AN2466" t="b">
        <v>0</v>
      </c>
      <c r="AO2466">
        <v>99999</v>
      </c>
      <c r="AP2466" t="s">
        <v>64</v>
      </c>
      <c r="AR2466" t="b">
        <v>0</v>
      </c>
      <c r="AS2466">
        <v>12</v>
      </c>
      <c r="AT2466" t="s">
        <v>327</v>
      </c>
      <c r="AV2466" t="s">
        <v>954</v>
      </c>
    </row>
    <row r="2467" spans="1:48" x14ac:dyDescent="0.25">
      <c r="A2467" t="s">
        <v>3323</v>
      </c>
      <c r="B2467" t="s">
        <v>302</v>
      </c>
      <c r="C2467" t="s">
        <v>62</v>
      </c>
      <c r="D2467">
        <v>99999</v>
      </c>
      <c r="F2467" s="109">
        <v>7000</v>
      </c>
      <c r="G2467" t="b">
        <v>0</v>
      </c>
      <c r="H2467" t="s">
        <v>343</v>
      </c>
      <c r="K2467" t="s">
        <v>393</v>
      </c>
      <c r="L2467" t="s">
        <v>303</v>
      </c>
      <c r="M2467" t="s">
        <v>323</v>
      </c>
      <c r="N2467" t="s">
        <v>63</v>
      </c>
      <c r="O2467" s="110">
        <v>29.9</v>
      </c>
      <c r="R2467" s="110">
        <v>374.89</v>
      </c>
      <c r="S2467" s="110">
        <v>70</v>
      </c>
      <c r="T2467" s="110">
        <v>0</v>
      </c>
      <c r="U2467" s="110">
        <v>42.99</v>
      </c>
      <c r="X2467">
        <v>192</v>
      </c>
      <c r="Y2467">
        <v>69.900000000000006</v>
      </c>
      <c r="Z2467">
        <v>69.900000000000006</v>
      </c>
      <c r="AA2467">
        <v>0</v>
      </c>
      <c r="AB2467" t="s">
        <v>363</v>
      </c>
      <c r="AF2467" t="s">
        <v>1067</v>
      </c>
      <c r="AG2467" t="s">
        <v>1067</v>
      </c>
      <c r="AH2467" t="s">
        <v>758</v>
      </c>
      <c r="AI2467">
        <v>99999</v>
      </c>
      <c r="AJ2467">
        <v>99999</v>
      </c>
      <c r="AK2467">
        <v>699</v>
      </c>
      <c r="AL2467" t="b">
        <v>1</v>
      </c>
      <c r="AM2467" t="b">
        <v>1</v>
      </c>
      <c r="AN2467" t="b">
        <v>0</v>
      </c>
      <c r="AO2467">
        <v>99999</v>
      </c>
      <c r="AP2467" t="s">
        <v>64</v>
      </c>
      <c r="AR2467" t="b">
        <v>0</v>
      </c>
      <c r="AS2467">
        <v>12</v>
      </c>
      <c r="AT2467" t="s">
        <v>327</v>
      </c>
      <c r="AV2467" t="s">
        <v>1102</v>
      </c>
    </row>
    <row r="2468" spans="1:48" x14ac:dyDescent="0.25">
      <c r="A2468" t="s">
        <v>3323</v>
      </c>
      <c r="B2468" t="s">
        <v>302</v>
      </c>
      <c r="C2468" t="s">
        <v>62</v>
      </c>
      <c r="D2468">
        <v>99999</v>
      </c>
      <c r="F2468" s="109">
        <v>7000</v>
      </c>
      <c r="G2468" t="b">
        <v>0</v>
      </c>
      <c r="H2468" t="s">
        <v>343</v>
      </c>
      <c r="K2468" t="s">
        <v>393</v>
      </c>
      <c r="L2468" t="s">
        <v>303</v>
      </c>
      <c r="M2468" t="s">
        <v>323</v>
      </c>
      <c r="N2468" t="s">
        <v>63</v>
      </c>
      <c r="O2468" s="110">
        <v>39.9</v>
      </c>
      <c r="R2468" s="110">
        <v>344.89</v>
      </c>
      <c r="S2468" s="110">
        <v>69.900000000000006</v>
      </c>
      <c r="T2468" s="110">
        <v>0</v>
      </c>
      <c r="U2468" s="110">
        <v>42.99</v>
      </c>
      <c r="X2468">
        <v>162.1</v>
      </c>
      <c r="Y2468">
        <v>69.900000000000006</v>
      </c>
      <c r="Z2468">
        <v>69.900000000000006</v>
      </c>
      <c r="AA2468">
        <v>0</v>
      </c>
      <c r="AB2468" t="s">
        <v>363</v>
      </c>
      <c r="AF2468" t="s">
        <v>852</v>
      </c>
      <c r="AG2468" t="s">
        <v>852</v>
      </c>
      <c r="AH2468" t="s">
        <v>758</v>
      </c>
      <c r="AI2468">
        <v>99999</v>
      </c>
      <c r="AJ2468">
        <v>99999</v>
      </c>
      <c r="AK2468">
        <v>699</v>
      </c>
      <c r="AL2468" t="b">
        <v>1</v>
      </c>
      <c r="AM2468" t="b">
        <v>1</v>
      </c>
      <c r="AN2468" t="b">
        <v>0</v>
      </c>
      <c r="AO2468">
        <v>99999</v>
      </c>
      <c r="AP2468" t="s">
        <v>64</v>
      </c>
      <c r="AR2468" t="b">
        <v>0</v>
      </c>
      <c r="AS2468">
        <v>12</v>
      </c>
      <c r="AT2468" t="s">
        <v>327</v>
      </c>
      <c r="AV2468" t="s">
        <v>887</v>
      </c>
    </row>
    <row r="2469" spans="1:48" x14ac:dyDescent="0.25">
      <c r="A2469" t="s">
        <v>3323</v>
      </c>
      <c r="B2469" t="s">
        <v>302</v>
      </c>
      <c r="C2469" t="s">
        <v>62</v>
      </c>
      <c r="D2469">
        <v>99999</v>
      </c>
      <c r="F2469" s="109">
        <v>7000</v>
      </c>
      <c r="G2469" t="b">
        <v>0</v>
      </c>
      <c r="H2469" t="s">
        <v>343</v>
      </c>
      <c r="K2469" t="s">
        <v>393</v>
      </c>
      <c r="L2469" t="s">
        <v>303</v>
      </c>
      <c r="M2469" t="s">
        <v>323</v>
      </c>
      <c r="N2469" t="s">
        <v>63</v>
      </c>
      <c r="O2469" s="110">
        <v>39.9</v>
      </c>
      <c r="R2469" s="110">
        <v>359.89</v>
      </c>
      <c r="S2469" s="110">
        <v>69.900000000000006</v>
      </c>
      <c r="T2469" s="110">
        <v>0</v>
      </c>
      <c r="U2469" s="110">
        <v>42.99</v>
      </c>
      <c r="X2469">
        <v>177.1</v>
      </c>
      <c r="Y2469">
        <v>69.900000000000006</v>
      </c>
      <c r="Z2469">
        <v>69.900000000000006</v>
      </c>
      <c r="AA2469">
        <v>0</v>
      </c>
      <c r="AB2469" t="s">
        <v>363</v>
      </c>
      <c r="AF2469" t="s">
        <v>986</v>
      </c>
      <c r="AG2469" t="s">
        <v>986</v>
      </c>
      <c r="AH2469" t="s">
        <v>758</v>
      </c>
      <c r="AI2469">
        <v>99999</v>
      </c>
      <c r="AJ2469">
        <v>99999</v>
      </c>
      <c r="AK2469">
        <v>699</v>
      </c>
      <c r="AL2469" t="b">
        <v>1</v>
      </c>
      <c r="AM2469" t="b">
        <v>1</v>
      </c>
      <c r="AN2469" t="b">
        <v>0</v>
      </c>
      <c r="AO2469">
        <v>99999</v>
      </c>
      <c r="AP2469" t="s">
        <v>64</v>
      </c>
      <c r="AR2469" t="b">
        <v>0</v>
      </c>
      <c r="AS2469">
        <v>12</v>
      </c>
      <c r="AT2469" t="s">
        <v>327</v>
      </c>
      <c r="AV2469" t="s">
        <v>1021</v>
      </c>
    </row>
    <row r="2470" spans="1:48" x14ac:dyDescent="0.25">
      <c r="A2470" t="s">
        <v>3323</v>
      </c>
      <c r="B2470" t="s">
        <v>302</v>
      </c>
      <c r="C2470" t="s">
        <v>62</v>
      </c>
      <c r="D2470">
        <v>99999</v>
      </c>
      <c r="F2470" s="109">
        <v>7000</v>
      </c>
      <c r="G2470" t="b">
        <v>0</v>
      </c>
      <c r="H2470" t="s">
        <v>343</v>
      </c>
      <c r="K2470" t="s">
        <v>393</v>
      </c>
      <c r="L2470" t="s">
        <v>303</v>
      </c>
      <c r="M2470" t="s">
        <v>323</v>
      </c>
      <c r="N2470" t="s">
        <v>63</v>
      </c>
      <c r="O2470" s="110">
        <v>39.9</v>
      </c>
      <c r="R2470" s="110">
        <v>374.89</v>
      </c>
      <c r="S2470" s="110">
        <v>70</v>
      </c>
      <c r="T2470" s="110">
        <v>0</v>
      </c>
      <c r="U2470" s="110">
        <v>42.99</v>
      </c>
      <c r="X2470">
        <v>192</v>
      </c>
      <c r="Y2470">
        <v>69.900000000000006</v>
      </c>
      <c r="Z2470">
        <v>69.900000000000006</v>
      </c>
      <c r="AA2470">
        <v>0</v>
      </c>
      <c r="AB2470" t="s">
        <v>363</v>
      </c>
      <c r="AF2470" t="s">
        <v>1134</v>
      </c>
      <c r="AG2470" t="s">
        <v>1134</v>
      </c>
      <c r="AH2470" t="s">
        <v>758</v>
      </c>
      <c r="AI2470">
        <v>99999</v>
      </c>
      <c r="AJ2470">
        <v>99999</v>
      </c>
      <c r="AK2470">
        <v>699</v>
      </c>
      <c r="AL2470" t="b">
        <v>1</v>
      </c>
      <c r="AM2470" t="b">
        <v>1</v>
      </c>
      <c r="AN2470" t="b">
        <v>0</v>
      </c>
      <c r="AO2470">
        <v>99999</v>
      </c>
      <c r="AP2470" t="s">
        <v>64</v>
      </c>
      <c r="AR2470" t="b">
        <v>0</v>
      </c>
      <c r="AS2470">
        <v>12</v>
      </c>
      <c r="AT2470" t="s">
        <v>327</v>
      </c>
      <c r="AV2470" t="s">
        <v>1169</v>
      </c>
    </row>
    <row r="2471" spans="1:48" x14ac:dyDescent="0.25">
      <c r="A2471" t="s">
        <v>3323</v>
      </c>
      <c r="B2471" t="s">
        <v>302</v>
      </c>
      <c r="C2471" t="s">
        <v>62</v>
      </c>
      <c r="D2471">
        <v>99999</v>
      </c>
      <c r="F2471" s="109">
        <v>7000</v>
      </c>
      <c r="G2471" t="b">
        <v>0</v>
      </c>
      <c r="H2471" t="s">
        <v>343</v>
      </c>
      <c r="K2471" t="s">
        <v>393</v>
      </c>
      <c r="L2471" t="s">
        <v>303</v>
      </c>
      <c r="M2471" t="s">
        <v>323</v>
      </c>
      <c r="N2471" t="s">
        <v>63</v>
      </c>
      <c r="O2471" s="110">
        <v>49.9</v>
      </c>
      <c r="R2471" s="110">
        <v>390.69</v>
      </c>
      <c r="S2471" s="110">
        <v>130</v>
      </c>
      <c r="T2471" s="110">
        <v>0</v>
      </c>
      <c r="U2471" s="110">
        <v>34.99</v>
      </c>
      <c r="X2471">
        <v>155.79999999999998</v>
      </c>
      <c r="Y2471">
        <v>69.900000000000006</v>
      </c>
      <c r="Z2471">
        <v>69.900000000000006</v>
      </c>
      <c r="AA2471">
        <v>0</v>
      </c>
      <c r="AB2471" t="s">
        <v>363</v>
      </c>
      <c r="AF2471" t="s">
        <v>2494</v>
      </c>
      <c r="AG2471" t="s">
        <v>2494</v>
      </c>
      <c r="AH2471" t="s">
        <v>758</v>
      </c>
      <c r="AI2471">
        <v>99999</v>
      </c>
      <c r="AJ2471">
        <v>99999</v>
      </c>
      <c r="AK2471">
        <v>699</v>
      </c>
      <c r="AL2471" t="b">
        <v>1</v>
      </c>
      <c r="AM2471" t="b">
        <v>1</v>
      </c>
      <c r="AN2471" t="b">
        <v>0</v>
      </c>
      <c r="AO2471">
        <v>99999</v>
      </c>
      <c r="AP2471" t="s">
        <v>64</v>
      </c>
      <c r="AR2471" t="b">
        <v>0</v>
      </c>
      <c r="AS2471">
        <v>12</v>
      </c>
      <c r="AT2471" t="s">
        <v>327</v>
      </c>
      <c r="AV2471" t="s">
        <v>2529</v>
      </c>
    </row>
    <row r="2472" spans="1:48" x14ac:dyDescent="0.25">
      <c r="A2472" t="s">
        <v>3323</v>
      </c>
      <c r="B2472" t="s">
        <v>302</v>
      </c>
      <c r="C2472" t="s">
        <v>62</v>
      </c>
      <c r="D2472">
        <v>99999</v>
      </c>
      <c r="F2472" s="109">
        <v>7000</v>
      </c>
      <c r="G2472" t="b">
        <v>0</v>
      </c>
      <c r="H2472" t="s">
        <v>343</v>
      </c>
      <c r="K2472" t="s">
        <v>393</v>
      </c>
      <c r="L2472" t="s">
        <v>303</v>
      </c>
      <c r="M2472" t="s">
        <v>323</v>
      </c>
      <c r="N2472" t="s">
        <v>63</v>
      </c>
      <c r="O2472" s="110">
        <v>49.9</v>
      </c>
      <c r="R2472" s="110">
        <v>404.99</v>
      </c>
      <c r="S2472" s="110">
        <v>130</v>
      </c>
      <c r="T2472" s="110">
        <v>0</v>
      </c>
      <c r="U2472" s="110">
        <v>42.99</v>
      </c>
      <c r="X2472">
        <v>162.1</v>
      </c>
      <c r="Y2472">
        <v>69.900000000000006</v>
      </c>
      <c r="Z2472">
        <v>69.900000000000006</v>
      </c>
      <c r="AA2472">
        <v>0</v>
      </c>
      <c r="AB2472" t="s">
        <v>363</v>
      </c>
      <c r="AF2472" t="s">
        <v>2568</v>
      </c>
      <c r="AG2472" t="s">
        <v>2568</v>
      </c>
      <c r="AH2472" t="s">
        <v>758</v>
      </c>
      <c r="AI2472">
        <v>99999</v>
      </c>
      <c r="AJ2472">
        <v>99999</v>
      </c>
      <c r="AK2472">
        <v>699</v>
      </c>
      <c r="AL2472" t="b">
        <v>1</v>
      </c>
      <c r="AM2472" t="b">
        <v>1</v>
      </c>
      <c r="AN2472" t="b">
        <v>0</v>
      </c>
      <c r="AO2472">
        <v>99999</v>
      </c>
      <c r="AP2472" t="s">
        <v>64</v>
      </c>
      <c r="AR2472" t="b">
        <v>0</v>
      </c>
      <c r="AS2472">
        <v>12</v>
      </c>
      <c r="AT2472" t="s">
        <v>327</v>
      </c>
      <c r="AV2472" t="s">
        <v>2603</v>
      </c>
    </row>
    <row r="2473" spans="1:48" x14ac:dyDescent="0.25">
      <c r="A2473" t="s">
        <v>3323</v>
      </c>
      <c r="B2473" t="s">
        <v>302</v>
      </c>
      <c r="C2473" t="s">
        <v>62</v>
      </c>
      <c r="D2473">
        <v>99999</v>
      </c>
      <c r="F2473" s="109">
        <v>7000</v>
      </c>
      <c r="G2473" t="b">
        <v>0</v>
      </c>
      <c r="H2473" t="s">
        <v>343</v>
      </c>
      <c r="K2473" t="s">
        <v>393</v>
      </c>
      <c r="L2473" t="s">
        <v>303</v>
      </c>
      <c r="M2473" t="s">
        <v>323</v>
      </c>
      <c r="N2473" t="s">
        <v>63</v>
      </c>
      <c r="O2473" s="110">
        <v>49.9</v>
      </c>
      <c r="R2473" s="110">
        <v>419.99</v>
      </c>
      <c r="S2473" s="110">
        <v>130</v>
      </c>
      <c r="T2473" s="110">
        <v>0</v>
      </c>
      <c r="U2473" s="110">
        <v>42.99</v>
      </c>
      <c r="X2473">
        <v>177.1</v>
      </c>
      <c r="Y2473">
        <v>69.900000000000006</v>
      </c>
      <c r="Z2473">
        <v>69.900000000000006</v>
      </c>
      <c r="AA2473">
        <v>0</v>
      </c>
      <c r="AB2473" t="s">
        <v>363</v>
      </c>
      <c r="AF2473" t="s">
        <v>2633</v>
      </c>
      <c r="AG2473" t="s">
        <v>2633</v>
      </c>
      <c r="AH2473" t="s">
        <v>758</v>
      </c>
      <c r="AI2473">
        <v>99999</v>
      </c>
      <c r="AJ2473">
        <v>99999</v>
      </c>
      <c r="AK2473">
        <v>699</v>
      </c>
      <c r="AL2473" t="b">
        <v>1</v>
      </c>
      <c r="AM2473" t="b">
        <v>1</v>
      </c>
      <c r="AN2473" t="b">
        <v>0</v>
      </c>
      <c r="AO2473">
        <v>99999</v>
      </c>
      <c r="AP2473" t="s">
        <v>64</v>
      </c>
      <c r="AR2473" t="b">
        <v>0</v>
      </c>
      <c r="AS2473">
        <v>12</v>
      </c>
      <c r="AT2473" t="s">
        <v>327</v>
      </c>
      <c r="AV2473" t="s">
        <v>2666</v>
      </c>
    </row>
    <row r="2474" spans="1:48" x14ac:dyDescent="0.25">
      <c r="A2474" t="s">
        <v>3323</v>
      </c>
      <c r="B2474" t="s">
        <v>302</v>
      </c>
      <c r="C2474" t="s">
        <v>62</v>
      </c>
      <c r="D2474">
        <v>99999</v>
      </c>
      <c r="F2474" s="109">
        <v>7000</v>
      </c>
      <c r="G2474" t="b">
        <v>0</v>
      </c>
      <c r="H2474" t="s">
        <v>343</v>
      </c>
      <c r="K2474" t="s">
        <v>393</v>
      </c>
      <c r="L2474" t="s">
        <v>303</v>
      </c>
      <c r="M2474" t="s">
        <v>323</v>
      </c>
      <c r="N2474" t="s">
        <v>63</v>
      </c>
      <c r="O2474" s="110">
        <v>49.9</v>
      </c>
      <c r="R2474" s="110">
        <v>434.89</v>
      </c>
      <c r="S2474" s="110">
        <v>130</v>
      </c>
      <c r="T2474" s="110">
        <v>0</v>
      </c>
      <c r="U2474" s="110">
        <v>42.99</v>
      </c>
      <c r="X2474">
        <v>192</v>
      </c>
      <c r="Y2474">
        <v>69.900000000000006</v>
      </c>
      <c r="Z2474">
        <v>69.900000000000006</v>
      </c>
      <c r="AA2474">
        <v>0</v>
      </c>
      <c r="AB2474" t="s">
        <v>363</v>
      </c>
      <c r="AF2474" t="s">
        <v>2704</v>
      </c>
      <c r="AG2474" t="s">
        <v>2704</v>
      </c>
      <c r="AH2474" t="s">
        <v>758</v>
      </c>
      <c r="AI2474">
        <v>99999</v>
      </c>
      <c r="AJ2474">
        <v>99999</v>
      </c>
      <c r="AK2474">
        <v>699</v>
      </c>
      <c r="AL2474" t="b">
        <v>1</v>
      </c>
      <c r="AM2474" t="b">
        <v>1</v>
      </c>
      <c r="AN2474" t="b">
        <v>0</v>
      </c>
      <c r="AO2474">
        <v>99999</v>
      </c>
      <c r="AP2474" t="s">
        <v>64</v>
      </c>
      <c r="AR2474" t="b">
        <v>0</v>
      </c>
      <c r="AS2474">
        <v>12</v>
      </c>
      <c r="AT2474" t="s">
        <v>327</v>
      </c>
      <c r="AV2474" t="s">
        <v>2739</v>
      </c>
    </row>
    <row r="2475" spans="1:48" x14ac:dyDescent="0.25">
      <c r="A2475" t="s">
        <v>3323</v>
      </c>
      <c r="B2475" t="s">
        <v>302</v>
      </c>
      <c r="C2475" t="s">
        <v>62</v>
      </c>
      <c r="D2475">
        <v>99999</v>
      </c>
      <c r="F2475" s="109">
        <v>7000</v>
      </c>
      <c r="G2475" t="b">
        <v>0</v>
      </c>
      <c r="H2475" t="s">
        <v>343</v>
      </c>
      <c r="K2475" t="s">
        <v>364</v>
      </c>
      <c r="L2475" t="s">
        <v>303</v>
      </c>
      <c r="M2475" t="s">
        <v>323</v>
      </c>
      <c r="N2475" t="s">
        <v>63</v>
      </c>
      <c r="O2475" s="110">
        <v>29.9</v>
      </c>
      <c r="R2475" s="110">
        <v>324.89</v>
      </c>
      <c r="S2475" s="110">
        <v>69.900000000000006</v>
      </c>
      <c r="T2475" s="110">
        <v>0</v>
      </c>
      <c r="U2475" s="110">
        <v>42.99</v>
      </c>
      <c r="X2475">
        <v>162.1</v>
      </c>
      <c r="Y2475">
        <v>49.9</v>
      </c>
      <c r="Z2475">
        <v>49.9</v>
      </c>
      <c r="AA2475">
        <v>0</v>
      </c>
      <c r="AB2475" t="s">
        <v>363</v>
      </c>
      <c r="AF2475" t="s">
        <v>785</v>
      </c>
      <c r="AG2475" t="s">
        <v>785</v>
      </c>
      <c r="AH2475" t="s">
        <v>758</v>
      </c>
      <c r="AI2475">
        <v>99999</v>
      </c>
      <c r="AJ2475">
        <v>99999</v>
      </c>
      <c r="AK2475">
        <v>699</v>
      </c>
      <c r="AL2475" t="b">
        <v>1</v>
      </c>
      <c r="AM2475" t="b">
        <v>1</v>
      </c>
      <c r="AN2475" t="b">
        <v>0</v>
      </c>
      <c r="AO2475">
        <v>99999</v>
      </c>
      <c r="AP2475" t="s">
        <v>64</v>
      </c>
      <c r="AR2475" t="b">
        <v>0</v>
      </c>
      <c r="AS2475">
        <v>12</v>
      </c>
      <c r="AT2475" t="s">
        <v>327</v>
      </c>
      <c r="AV2475" t="s">
        <v>794</v>
      </c>
    </row>
    <row r="2476" spans="1:48" x14ac:dyDescent="0.25">
      <c r="A2476" t="s">
        <v>3323</v>
      </c>
      <c r="B2476" t="s">
        <v>302</v>
      </c>
      <c r="C2476" t="s">
        <v>62</v>
      </c>
      <c r="D2476">
        <v>99999</v>
      </c>
      <c r="F2476" s="109">
        <v>7000</v>
      </c>
      <c r="G2476" t="b">
        <v>0</v>
      </c>
      <c r="H2476" t="s">
        <v>343</v>
      </c>
      <c r="K2476" t="s">
        <v>364</v>
      </c>
      <c r="L2476" t="s">
        <v>303</v>
      </c>
      <c r="M2476" t="s">
        <v>323</v>
      </c>
      <c r="N2476" t="s">
        <v>63</v>
      </c>
      <c r="O2476" s="110">
        <v>29.9</v>
      </c>
      <c r="R2476" s="110">
        <v>339.89</v>
      </c>
      <c r="S2476" s="110">
        <v>69.900000000000006</v>
      </c>
      <c r="T2476" s="110">
        <v>0</v>
      </c>
      <c r="U2476" s="110">
        <v>42.99</v>
      </c>
      <c r="X2476">
        <v>177.1</v>
      </c>
      <c r="Y2476">
        <v>49.9</v>
      </c>
      <c r="Z2476">
        <v>49.9</v>
      </c>
      <c r="AA2476">
        <v>0</v>
      </c>
      <c r="AB2476" t="s">
        <v>363</v>
      </c>
      <c r="AF2476" t="s">
        <v>919</v>
      </c>
      <c r="AG2476" t="s">
        <v>919</v>
      </c>
      <c r="AH2476" t="s">
        <v>758</v>
      </c>
      <c r="AI2476">
        <v>99999</v>
      </c>
      <c r="AJ2476">
        <v>99999</v>
      </c>
      <c r="AK2476">
        <v>699</v>
      </c>
      <c r="AL2476" t="b">
        <v>1</v>
      </c>
      <c r="AM2476" t="b">
        <v>1</v>
      </c>
      <c r="AN2476" t="b">
        <v>0</v>
      </c>
      <c r="AO2476">
        <v>99999</v>
      </c>
      <c r="AP2476" t="s">
        <v>64</v>
      </c>
      <c r="AR2476" t="b">
        <v>0</v>
      </c>
      <c r="AS2476">
        <v>12</v>
      </c>
      <c r="AT2476" t="s">
        <v>327</v>
      </c>
      <c r="AV2476" t="s">
        <v>928</v>
      </c>
    </row>
    <row r="2477" spans="1:48" x14ac:dyDescent="0.25">
      <c r="A2477" t="s">
        <v>3323</v>
      </c>
      <c r="B2477" t="s">
        <v>302</v>
      </c>
      <c r="C2477" t="s">
        <v>62</v>
      </c>
      <c r="D2477">
        <v>99999</v>
      </c>
      <c r="F2477" s="109">
        <v>7000</v>
      </c>
      <c r="G2477" t="b">
        <v>0</v>
      </c>
      <c r="H2477" t="s">
        <v>343</v>
      </c>
      <c r="K2477" t="s">
        <v>364</v>
      </c>
      <c r="L2477" t="s">
        <v>303</v>
      </c>
      <c r="M2477" t="s">
        <v>323</v>
      </c>
      <c r="N2477" t="s">
        <v>63</v>
      </c>
      <c r="O2477" s="110">
        <v>29.9</v>
      </c>
      <c r="R2477" s="110">
        <v>354.89</v>
      </c>
      <c r="S2477" s="110">
        <v>70</v>
      </c>
      <c r="T2477" s="110">
        <v>0</v>
      </c>
      <c r="U2477" s="110">
        <v>42.99</v>
      </c>
      <c r="X2477">
        <v>192</v>
      </c>
      <c r="Y2477">
        <v>49.9</v>
      </c>
      <c r="Z2477">
        <v>49.9</v>
      </c>
      <c r="AA2477">
        <v>0</v>
      </c>
      <c r="AB2477" t="s">
        <v>363</v>
      </c>
      <c r="AF2477" t="s">
        <v>1067</v>
      </c>
      <c r="AG2477" t="s">
        <v>1067</v>
      </c>
      <c r="AH2477" t="s">
        <v>758</v>
      </c>
      <c r="AI2477">
        <v>99999</v>
      </c>
      <c r="AJ2477">
        <v>99999</v>
      </c>
      <c r="AK2477">
        <v>699</v>
      </c>
      <c r="AL2477" t="b">
        <v>1</v>
      </c>
      <c r="AM2477" t="b">
        <v>1</v>
      </c>
      <c r="AN2477" t="b">
        <v>0</v>
      </c>
      <c r="AO2477">
        <v>99999</v>
      </c>
      <c r="AP2477" t="s">
        <v>64</v>
      </c>
      <c r="AR2477" t="b">
        <v>0</v>
      </c>
      <c r="AS2477">
        <v>12</v>
      </c>
      <c r="AT2477" t="s">
        <v>327</v>
      </c>
      <c r="AV2477" t="s">
        <v>1076</v>
      </c>
    </row>
    <row r="2478" spans="1:48" x14ac:dyDescent="0.25">
      <c r="A2478" t="s">
        <v>3323</v>
      </c>
      <c r="B2478" t="s">
        <v>302</v>
      </c>
      <c r="C2478" t="s">
        <v>62</v>
      </c>
      <c r="D2478">
        <v>99999</v>
      </c>
      <c r="F2478" s="109">
        <v>7000</v>
      </c>
      <c r="G2478" t="b">
        <v>0</v>
      </c>
      <c r="H2478" t="s">
        <v>343</v>
      </c>
      <c r="K2478" t="s">
        <v>364</v>
      </c>
      <c r="L2478" t="s">
        <v>303</v>
      </c>
      <c r="M2478" t="s">
        <v>323</v>
      </c>
      <c r="N2478" t="s">
        <v>63</v>
      </c>
      <c r="O2478" s="110">
        <v>39.9</v>
      </c>
      <c r="R2478" s="110">
        <v>324.89</v>
      </c>
      <c r="S2478" s="110">
        <v>69.900000000000006</v>
      </c>
      <c r="T2478" s="110">
        <v>0</v>
      </c>
      <c r="U2478" s="110">
        <v>42.99</v>
      </c>
      <c r="X2478">
        <v>162.1</v>
      </c>
      <c r="Y2478">
        <v>49.9</v>
      </c>
      <c r="Z2478">
        <v>49.9</v>
      </c>
      <c r="AA2478">
        <v>0</v>
      </c>
      <c r="AB2478" t="s">
        <v>363</v>
      </c>
      <c r="AF2478" t="s">
        <v>852</v>
      </c>
      <c r="AG2478" t="s">
        <v>852</v>
      </c>
      <c r="AH2478" t="s">
        <v>758</v>
      </c>
      <c r="AI2478">
        <v>99999</v>
      </c>
      <c r="AJ2478">
        <v>99999</v>
      </c>
      <c r="AK2478">
        <v>699</v>
      </c>
      <c r="AL2478" t="b">
        <v>1</v>
      </c>
      <c r="AM2478" t="b">
        <v>1</v>
      </c>
      <c r="AN2478" t="b">
        <v>0</v>
      </c>
      <c r="AO2478">
        <v>99999</v>
      </c>
      <c r="AP2478" t="s">
        <v>64</v>
      </c>
      <c r="AR2478" t="b">
        <v>0</v>
      </c>
      <c r="AS2478">
        <v>12</v>
      </c>
      <c r="AT2478" t="s">
        <v>327</v>
      </c>
      <c r="AV2478" t="s">
        <v>861</v>
      </c>
    </row>
    <row r="2479" spans="1:48" x14ac:dyDescent="0.25">
      <c r="A2479" t="s">
        <v>3323</v>
      </c>
      <c r="B2479" t="s">
        <v>302</v>
      </c>
      <c r="C2479" t="s">
        <v>62</v>
      </c>
      <c r="D2479">
        <v>99999</v>
      </c>
      <c r="F2479" s="109">
        <v>7000</v>
      </c>
      <c r="G2479" t="b">
        <v>0</v>
      </c>
      <c r="H2479" t="s">
        <v>343</v>
      </c>
      <c r="K2479" t="s">
        <v>364</v>
      </c>
      <c r="L2479" t="s">
        <v>303</v>
      </c>
      <c r="M2479" t="s">
        <v>323</v>
      </c>
      <c r="N2479" t="s">
        <v>63</v>
      </c>
      <c r="O2479" s="110">
        <v>39.9</v>
      </c>
      <c r="R2479" s="110">
        <v>339.89</v>
      </c>
      <c r="S2479" s="110">
        <v>69.900000000000006</v>
      </c>
      <c r="T2479" s="110">
        <v>0</v>
      </c>
      <c r="U2479" s="110">
        <v>42.99</v>
      </c>
      <c r="X2479">
        <v>177.1</v>
      </c>
      <c r="Y2479">
        <v>49.9</v>
      </c>
      <c r="Z2479">
        <v>49.9</v>
      </c>
      <c r="AA2479">
        <v>0</v>
      </c>
      <c r="AB2479" t="s">
        <v>363</v>
      </c>
      <c r="AF2479" t="s">
        <v>986</v>
      </c>
      <c r="AG2479" t="s">
        <v>986</v>
      </c>
      <c r="AH2479" t="s">
        <v>758</v>
      </c>
      <c r="AI2479">
        <v>99999</v>
      </c>
      <c r="AJ2479">
        <v>99999</v>
      </c>
      <c r="AK2479">
        <v>699</v>
      </c>
      <c r="AL2479" t="b">
        <v>1</v>
      </c>
      <c r="AM2479" t="b">
        <v>1</v>
      </c>
      <c r="AN2479" t="b">
        <v>0</v>
      </c>
      <c r="AO2479">
        <v>99999</v>
      </c>
      <c r="AP2479" t="s">
        <v>64</v>
      </c>
      <c r="AR2479" t="b">
        <v>0</v>
      </c>
      <c r="AS2479">
        <v>12</v>
      </c>
      <c r="AT2479" t="s">
        <v>327</v>
      </c>
      <c r="AV2479" t="s">
        <v>995</v>
      </c>
    </row>
    <row r="2480" spans="1:48" x14ac:dyDescent="0.25">
      <c r="A2480" t="s">
        <v>3323</v>
      </c>
      <c r="B2480" t="s">
        <v>302</v>
      </c>
      <c r="C2480" t="s">
        <v>62</v>
      </c>
      <c r="D2480">
        <v>99999</v>
      </c>
      <c r="F2480" s="109">
        <v>7000</v>
      </c>
      <c r="G2480" t="b">
        <v>0</v>
      </c>
      <c r="H2480" t="s">
        <v>343</v>
      </c>
      <c r="K2480" t="s">
        <v>364</v>
      </c>
      <c r="L2480" t="s">
        <v>303</v>
      </c>
      <c r="M2480" t="s">
        <v>323</v>
      </c>
      <c r="N2480" t="s">
        <v>63</v>
      </c>
      <c r="O2480" s="110">
        <v>39.9</v>
      </c>
      <c r="R2480" s="110">
        <v>354.89</v>
      </c>
      <c r="S2480" s="110">
        <v>70</v>
      </c>
      <c r="T2480" s="110">
        <v>0</v>
      </c>
      <c r="U2480" s="110">
        <v>42.99</v>
      </c>
      <c r="X2480">
        <v>192</v>
      </c>
      <c r="Y2480">
        <v>49.9</v>
      </c>
      <c r="Z2480">
        <v>49.9</v>
      </c>
      <c r="AA2480">
        <v>0</v>
      </c>
      <c r="AB2480" t="s">
        <v>363</v>
      </c>
      <c r="AF2480" t="s">
        <v>1134</v>
      </c>
      <c r="AG2480" t="s">
        <v>1134</v>
      </c>
      <c r="AH2480" t="s">
        <v>758</v>
      </c>
      <c r="AI2480">
        <v>99999</v>
      </c>
      <c r="AJ2480">
        <v>99999</v>
      </c>
      <c r="AK2480">
        <v>699</v>
      </c>
      <c r="AL2480" t="b">
        <v>1</v>
      </c>
      <c r="AM2480" t="b">
        <v>1</v>
      </c>
      <c r="AN2480" t="b">
        <v>0</v>
      </c>
      <c r="AO2480">
        <v>99999</v>
      </c>
      <c r="AP2480" t="s">
        <v>64</v>
      </c>
      <c r="AR2480" t="b">
        <v>0</v>
      </c>
      <c r="AS2480">
        <v>12</v>
      </c>
      <c r="AT2480" t="s">
        <v>327</v>
      </c>
      <c r="AV2480" t="s">
        <v>1143</v>
      </c>
    </row>
    <row r="2481" spans="1:48" x14ac:dyDescent="0.25">
      <c r="A2481" t="s">
        <v>3323</v>
      </c>
      <c r="B2481" t="s">
        <v>302</v>
      </c>
      <c r="C2481" t="s">
        <v>62</v>
      </c>
      <c r="D2481">
        <v>99999</v>
      </c>
      <c r="F2481" s="109">
        <v>7000</v>
      </c>
      <c r="G2481" t="b">
        <v>0</v>
      </c>
      <c r="H2481" t="s">
        <v>343</v>
      </c>
      <c r="K2481" t="s">
        <v>364</v>
      </c>
      <c r="L2481" t="s">
        <v>303</v>
      </c>
      <c r="M2481" t="s">
        <v>323</v>
      </c>
      <c r="N2481" t="s">
        <v>63</v>
      </c>
      <c r="O2481" s="110">
        <v>49.9</v>
      </c>
      <c r="R2481" s="110">
        <v>370.68999999999994</v>
      </c>
      <c r="S2481" s="110">
        <v>130</v>
      </c>
      <c r="T2481" s="110">
        <v>0</v>
      </c>
      <c r="U2481" s="110">
        <v>34.99</v>
      </c>
      <c r="X2481">
        <v>155.79999999999998</v>
      </c>
      <c r="Y2481">
        <v>49.9</v>
      </c>
      <c r="Z2481">
        <v>49.9</v>
      </c>
      <c r="AA2481">
        <v>0</v>
      </c>
      <c r="AB2481" t="s">
        <v>363</v>
      </c>
      <c r="AF2481" t="s">
        <v>2494</v>
      </c>
      <c r="AG2481" t="s">
        <v>2494</v>
      </c>
      <c r="AH2481" t="s">
        <v>758</v>
      </c>
      <c r="AI2481">
        <v>99999</v>
      </c>
      <c r="AJ2481">
        <v>99999</v>
      </c>
      <c r="AK2481">
        <v>699</v>
      </c>
      <c r="AL2481" t="b">
        <v>1</v>
      </c>
      <c r="AM2481" t="b">
        <v>1</v>
      </c>
      <c r="AN2481" t="b">
        <v>0</v>
      </c>
      <c r="AO2481">
        <v>99999</v>
      </c>
      <c r="AP2481" t="s">
        <v>64</v>
      </c>
      <c r="AR2481" t="b">
        <v>0</v>
      </c>
      <c r="AS2481">
        <v>12</v>
      </c>
      <c r="AT2481" t="s">
        <v>327</v>
      </c>
      <c r="AV2481" t="s">
        <v>2503</v>
      </c>
    </row>
    <row r="2482" spans="1:48" x14ac:dyDescent="0.25">
      <c r="A2482" t="s">
        <v>3323</v>
      </c>
      <c r="B2482" t="s">
        <v>302</v>
      </c>
      <c r="C2482" t="s">
        <v>62</v>
      </c>
      <c r="D2482">
        <v>99999</v>
      </c>
      <c r="F2482" s="109">
        <v>7000</v>
      </c>
      <c r="G2482" t="b">
        <v>0</v>
      </c>
      <c r="H2482" t="s">
        <v>343</v>
      </c>
      <c r="K2482" t="s">
        <v>364</v>
      </c>
      <c r="L2482" t="s">
        <v>303</v>
      </c>
      <c r="M2482" t="s">
        <v>323</v>
      </c>
      <c r="N2482" t="s">
        <v>63</v>
      </c>
      <c r="O2482" s="110">
        <v>49.9</v>
      </c>
      <c r="R2482" s="110">
        <v>384.99</v>
      </c>
      <c r="S2482" s="110">
        <v>130</v>
      </c>
      <c r="T2482" s="110">
        <v>0</v>
      </c>
      <c r="U2482" s="110">
        <v>42.99</v>
      </c>
      <c r="X2482">
        <v>162.1</v>
      </c>
      <c r="Y2482">
        <v>49.9</v>
      </c>
      <c r="Z2482">
        <v>49.9</v>
      </c>
      <c r="AA2482">
        <v>0</v>
      </c>
      <c r="AB2482" t="s">
        <v>363</v>
      </c>
      <c r="AF2482" t="s">
        <v>2568</v>
      </c>
      <c r="AG2482" t="s">
        <v>2568</v>
      </c>
      <c r="AH2482" t="s">
        <v>758</v>
      </c>
      <c r="AI2482">
        <v>99999</v>
      </c>
      <c r="AJ2482">
        <v>99999</v>
      </c>
      <c r="AK2482">
        <v>699</v>
      </c>
      <c r="AL2482" t="b">
        <v>1</v>
      </c>
      <c r="AM2482" t="b">
        <v>1</v>
      </c>
      <c r="AN2482" t="b">
        <v>0</v>
      </c>
      <c r="AO2482">
        <v>99999</v>
      </c>
      <c r="AP2482" t="s">
        <v>64</v>
      </c>
      <c r="AR2482" t="b">
        <v>0</v>
      </c>
      <c r="AS2482">
        <v>12</v>
      </c>
      <c r="AT2482" t="s">
        <v>327</v>
      </c>
      <c r="AV2482" t="s">
        <v>2577</v>
      </c>
    </row>
    <row r="2483" spans="1:48" x14ac:dyDescent="0.25">
      <c r="A2483" t="s">
        <v>3323</v>
      </c>
      <c r="B2483" t="s">
        <v>302</v>
      </c>
      <c r="C2483" t="s">
        <v>62</v>
      </c>
      <c r="D2483">
        <v>99999</v>
      </c>
      <c r="F2483" s="109">
        <v>7000</v>
      </c>
      <c r="G2483" t="b">
        <v>0</v>
      </c>
      <c r="H2483" t="s">
        <v>343</v>
      </c>
      <c r="K2483" t="s">
        <v>364</v>
      </c>
      <c r="L2483" t="s">
        <v>303</v>
      </c>
      <c r="M2483" t="s">
        <v>323</v>
      </c>
      <c r="N2483" t="s">
        <v>63</v>
      </c>
      <c r="O2483" s="110">
        <v>49.9</v>
      </c>
      <c r="R2483" s="110">
        <v>399.99</v>
      </c>
      <c r="S2483" s="110">
        <v>130</v>
      </c>
      <c r="T2483" s="110">
        <v>0</v>
      </c>
      <c r="U2483" s="110">
        <v>42.99</v>
      </c>
      <c r="X2483">
        <v>177.1</v>
      </c>
      <c r="Y2483">
        <v>49.9</v>
      </c>
      <c r="Z2483">
        <v>49.9</v>
      </c>
      <c r="AA2483">
        <v>0</v>
      </c>
      <c r="AB2483" t="s">
        <v>363</v>
      </c>
      <c r="AF2483" t="s">
        <v>2633</v>
      </c>
      <c r="AG2483" t="s">
        <v>2633</v>
      </c>
      <c r="AH2483" t="s">
        <v>758</v>
      </c>
      <c r="AI2483">
        <v>99999</v>
      </c>
      <c r="AJ2483">
        <v>99999</v>
      </c>
      <c r="AK2483">
        <v>699</v>
      </c>
      <c r="AL2483" t="b">
        <v>1</v>
      </c>
      <c r="AM2483" t="b">
        <v>1</v>
      </c>
      <c r="AN2483" t="b">
        <v>0</v>
      </c>
      <c r="AO2483">
        <v>99999</v>
      </c>
      <c r="AP2483" t="s">
        <v>64</v>
      </c>
      <c r="AR2483" t="b">
        <v>0</v>
      </c>
      <c r="AS2483">
        <v>12</v>
      </c>
      <c r="AT2483" t="s">
        <v>327</v>
      </c>
      <c r="AV2483" t="s">
        <v>2642</v>
      </c>
    </row>
    <row r="2484" spans="1:48" x14ac:dyDescent="0.25">
      <c r="A2484" t="s">
        <v>3323</v>
      </c>
      <c r="B2484" t="s">
        <v>302</v>
      </c>
      <c r="C2484" t="s">
        <v>62</v>
      </c>
      <c r="D2484">
        <v>99999</v>
      </c>
      <c r="F2484" s="109">
        <v>7000</v>
      </c>
      <c r="G2484" t="b">
        <v>0</v>
      </c>
      <c r="H2484" t="s">
        <v>343</v>
      </c>
      <c r="K2484" t="s">
        <v>364</v>
      </c>
      <c r="L2484" t="s">
        <v>303</v>
      </c>
      <c r="M2484" t="s">
        <v>323</v>
      </c>
      <c r="N2484" t="s">
        <v>63</v>
      </c>
      <c r="O2484" s="110">
        <v>49.9</v>
      </c>
      <c r="R2484" s="110">
        <v>414.89</v>
      </c>
      <c r="S2484" s="110">
        <v>130</v>
      </c>
      <c r="T2484" s="110">
        <v>0</v>
      </c>
      <c r="U2484" s="110">
        <v>42.99</v>
      </c>
      <c r="X2484">
        <v>192</v>
      </c>
      <c r="Y2484">
        <v>49.9</v>
      </c>
      <c r="Z2484">
        <v>49.9</v>
      </c>
      <c r="AA2484">
        <v>0</v>
      </c>
      <c r="AB2484" t="s">
        <v>363</v>
      </c>
      <c r="AF2484" t="s">
        <v>2704</v>
      </c>
      <c r="AG2484" t="s">
        <v>2704</v>
      </c>
      <c r="AH2484" t="s">
        <v>758</v>
      </c>
      <c r="AI2484">
        <v>99999</v>
      </c>
      <c r="AJ2484">
        <v>99999</v>
      </c>
      <c r="AK2484">
        <v>699</v>
      </c>
      <c r="AL2484" t="b">
        <v>1</v>
      </c>
      <c r="AM2484" t="b">
        <v>1</v>
      </c>
      <c r="AN2484" t="b">
        <v>0</v>
      </c>
      <c r="AO2484">
        <v>99999</v>
      </c>
      <c r="AP2484" t="s">
        <v>64</v>
      </c>
      <c r="AR2484" t="b">
        <v>0</v>
      </c>
      <c r="AS2484">
        <v>12</v>
      </c>
      <c r="AT2484" t="s">
        <v>327</v>
      </c>
      <c r="AV2484" t="s">
        <v>2713</v>
      </c>
    </row>
    <row r="2485" spans="1:48" x14ac:dyDescent="0.25">
      <c r="A2485" t="s">
        <v>3323</v>
      </c>
      <c r="B2485" t="s">
        <v>302</v>
      </c>
      <c r="C2485" t="s">
        <v>62</v>
      </c>
      <c r="D2485">
        <v>99999</v>
      </c>
      <c r="F2485" s="109">
        <v>7000</v>
      </c>
      <c r="G2485" t="b">
        <v>0</v>
      </c>
      <c r="H2485" t="s">
        <v>343</v>
      </c>
      <c r="K2485" t="s">
        <v>379</v>
      </c>
      <c r="L2485" t="s">
        <v>303</v>
      </c>
      <c r="M2485" t="s">
        <v>323</v>
      </c>
      <c r="N2485" t="s">
        <v>63</v>
      </c>
      <c r="O2485" s="110">
        <v>29.9</v>
      </c>
      <c r="R2485" s="110">
        <v>334.89</v>
      </c>
      <c r="S2485" s="110">
        <v>69.900000000000006</v>
      </c>
      <c r="T2485" s="110">
        <v>0</v>
      </c>
      <c r="U2485" s="110">
        <v>42.99</v>
      </c>
      <c r="X2485">
        <v>162.1</v>
      </c>
      <c r="Y2485">
        <v>59.9</v>
      </c>
      <c r="Z2485">
        <v>59.9</v>
      </c>
      <c r="AA2485">
        <v>0</v>
      </c>
      <c r="AB2485" t="s">
        <v>363</v>
      </c>
      <c r="AF2485" t="s">
        <v>785</v>
      </c>
      <c r="AG2485" t="s">
        <v>785</v>
      </c>
      <c r="AH2485" t="s">
        <v>758</v>
      </c>
      <c r="AI2485">
        <v>99999</v>
      </c>
      <c r="AJ2485">
        <v>99999</v>
      </c>
      <c r="AK2485">
        <v>699</v>
      </c>
      <c r="AL2485" t="b">
        <v>1</v>
      </c>
      <c r="AM2485" t="b">
        <v>1</v>
      </c>
      <c r="AN2485" t="b">
        <v>0</v>
      </c>
      <c r="AO2485">
        <v>99999</v>
      </c>
      <c r="AP2485" t="s">
        <v>64</v>
      </c>
      <c r="AR2485" t="b">
        <v>0</v>
      </c>
      <c r="AS2485">
        <v>12</v>
      </c>
      <c r="AT2485" t="s">
        <v>327</v>
      </c>
      <c r="AV2485" t="s">
        <v>807</v>
      </c>
    </row>
    <row r="2486" spans="1:48" x14ac:dyDescent="0.25">
      <c r="A2486" t="s">
        <v>3323</v>
      </c>
      <c r="B2486" t="s">
        <v>302</v>
      </c>
      <c r="C2486" t="s">
        <v>62</v>
      </c>
      <c r="D2486">
        <v>99999</v>
      </c>
      <c r="F2486" s="109">
        <v>7000</v>
      </c>
      <c r="G2486" t="b">
        <v>0</v>
      </c>
      <c r="H2486" t="s">
        <v>343</v>
      </c>
      <c r="K2486" t="s">
        <v>379</v>
      </c>
      <c r="L2486" t="s">
        <v>303</v>
      </c>
      <c r="M2486" t="s">
        <v>323</v>
      </c>
      <c r="N2486" t="s">
        <v>63</v>
      </c>
      <c r="O2486" s="110">
        <v>29.9</v>
      </c>
      <c r="R2486" s="110">
        <v>349.89</v>
      </c>
      <c r="S2486" s="110">
        <v>69.900000000000006</v>
      </c>
      <c r="T2486" s="110">
        <v>0</v>
      </c>
      <c r="U2486" s="110">
        <v>42.99</v>
      </c>
      <c r="X2486">
        <v>177.1</v>
      </c>
      <c r="Y2486">
        <v>59.9</v>
      </c>
      <c r="Z2486">
        <v>59.9</v>
      </c>
      <c r="AA2486">
        <v>0</v>
      </c>
      <c r="AB2486" t="s">
        <v>363</v>
      </c>
      <c r="AF2486" t="s">
        <v>919</v>
      </c>
      <c r="AG2486" t="s">
        <v>919</v>
      </c>
      <c r="AH2486" t="s">
        <v>758</v>
      </c>
      <c r="AI2486">
        <v>99999</v>
      </c>
      <c r="AJ2486">
        <v>99999</v>
      </c>
      <c r="AK2486">
        <v>699</v>
      </c>
      <c r="AL2486" t="b">
        <v>1</v>
      </c>
      <c r="AM2486" t="b">
        <v>1</v>
      </c>
      <c r="AN2486" t="b">
        <v>0</v>
      </c>
      <c r="AO2486">
        <v>99999</v>
      </c>
      <c r="AP2486" t="s">
        <v>64</v>
      </c>
      <c r="AR2486" t="b">
        <v>0</v>
      </c>
      <c r="AS2486">
        <v>12</v>
      </c>
      <c r="AT2486" t="s">
        <v>327</v>
      </c>
      <c r="AV2486" t="s">
        <v>941</v>
      </c>
    </row>
    <row r="2487" spans="1:48" x14ac:dyDescent="0.25">
      <c r="A2487" t="s">
        <v>3323</v>
      </c>
      <c r="B2487" t="s">
        <v>302</v>
      </c>
      <c r="C2487" t="s">
        <v>62</v>
      </c>
      <c r="D2487">
        <v>99999</v>
      </c>
      <c r="F2487" s="109">
        <v>7000</v>
      </c>
      <c r="G2487" t="b">
        <v>0</v>
      </c>
      <c r="H2487" t="s">
        <v>343</v>
      </c>
      <c r="K2487" t="s">
        <v>379</v>
      </c>
      <c r="L2487" t="s">
        <v>303</v>
      </c>
      <c r="M2487" t="s">
        <v>323</v>
      </c>
      <c r="N2487" t="s">
        <v>63</v>
      </c>
      <c r="O2487" s="110">
        <v>29.9</v>
      </c>
      <c r="R2487" s="110">
        <v>364.89</v>
      </c>
      <c r="S2487" s="110">
        <v>70</v>
      </c>
      <c r="T2487" s="110">
        <v>0</v>
      </c>
      <c r="U2487" s="110">
        <v>42.99</v>
      </c>
      <c r="X2487">
        <v>192</v>
      </c>
      <c r="Y2487">
        <v>59.9</v>
      </c>
      <c r="Z2487">
        <v>59.9</v>
      </c>
      <c r="AA2487">
        <v>0</v>
      </c>
      <c r="AB2487" t="s">
        <v>363</v>
      </c>
      <c r="AF2487" t="s">
        <v>1067</v>
      </c>
      <c r="AG2487" t="s">
        <v>1067</v>
      </c>
      <c r="AH2487" t="s">
        <v>758</v>
      </c>
      <c r="AI2487">
        <v>99999</v>
      </c>
      <c r="AJ2487">
        <v>99999</v>
      </c>
      <c r="AK2487">
        <v>699</v>
      </c>
      <c r="AL2487" t="b">
        <v>1</v>
      </c>
      <c r="AM2487" t="b">
        <v>1</v>
      </c>
      <c r="AN2487" t="b">
        <v>0</v>
      </c>
      <c r="AO2487">
        <v>99999</v>
      </c>
      <c r="AP2487" t="s">
        <v>64</v>
      </c>
      <c r="AR2487" t="b">
        <v>0</v>
      </c>
      <c r="AS2487">
        <v>12</v>
      </c>
      <c r="AT2487" t="s">
        <v>327</v>
      </c>
      <c r="AV2487" t="s">
        <v>1089</v>
      </c>
    </row>
    <row r="2488" spans="1:48" x14ac:dyDescent="0.25">
      <c r="A2488" t="s">
        <v>3323</v>
      </c>
      <c r="B2488" t="s">
        <v>302</v>
      </c>
      <c r="C2488" t="s">
        <v>62</v>
      </c>
      <c r="D2488">
        <v>99999</v>
      </c>
      <c r="F2488" s="109">
        <v>7000</v>
      </c>
      <c r="G2488" t="b">
        <v>0</v>
      </c>
      <c r="H2488" t="s">
        <v>343</v>
      </c>
      <c r="K2488" t="s">
        <v>379</v>
      </c>
      <c r="L2488" t="s">
        <v>303</v>
      </c>
      <c r="M2488" t="s">
        <v>323</v>
      </c>
      <c r="N2488" t="s">
        <v>63</v>
      </c>
      <c r="O2488" s="110">
        <v>39.9</v>
      </c>
      <c r="R2488" s="110">
        <v>334.89</v>
      </c>
      <c r="S2488" s="110">
        <v>69.900000000000006</v>
      </c>
      <c r="T2488" s="110">
        <v>0</v>
      </c>
      <c r="U2488" s="110">
        <v>42.99</v>
      </c>
      <c r="X2488">
        <v>162.1</v>
      </c>
      <c r="Y2488">
        <v>59.9</v>
      </c>
      <c r="Z2488">
        <v>59.9</v>
      </c>
      <c r="AA2488">
        <v>0</v>
      </c>
      <c r="AB2488" t="s">
        <v>363</v>
      </c>
      <c r="AF2488" t="s">
        <v>852</v>
      </c>
      <c r="AG2488" t="s">
        <v>852</v>
      </c>
      <c r="AH2488" t="s">
        <v>758</v>
      </c>
      <c r="AI2488">
        <v>99999</v>
      </c>
      <c r="AJ2488">
        <v>99999</v>
      </c>
      <c r="AK2488">
        <v>699</v>
      </c>
      <c r="AL2488" t="b">
        <v>1</v>
      </c>
      <c r="AM2488" t="b">
        <v>1</v>
      </c>
      <c r="AN2488" t="b">
        <v>0</v>
      </c>
      <c r="AO2488">
        <v>99999</v>
      </c>
      <c r="AP2488" t="s">
        <v>64</v>
      </c>
      <c r="AR2488" t="b">
        <v>0</v>
      </c>
      <c r="AS2488">
        <v>12</v>
      </c>
      <c r="AT2488" t="s">
        <v>327</v>
      </c>
      <c r="AV2488" t="s">
        <v>874</v>
      </c>
    </row>
    <row r="2489" spans="1:48" x14ac:dyDescent="0.25">
      <c r="A2489" t="s">
        <v>3323</v>
      </c>
      <c r="B2489" t="s">
        <v>302</v>
      </c>
      <c r="C2489" t="s">
        <v>62</v>
      </c>
      <c r="D2489">
        <v>99999</v>
      </c>
      <c r="F2489" s="109">
        <v>7000</v>
      </c>
      <c r="G2489" t="b">
        <v>0</v>
      </c>
      <c r="H2489" t="s">
        <v>343</v>
      </c>
      <c r="K2489" t="s">
        <v>379</v>
      </c>
      <c r="L2489" t="s">
        <v>303</v>
      </c>
      <c r="M2489" t="s">
        <v>323</v>
      </c>
      <c r="N2489" t="s">
        <v>63</v>
      </c>
      <c r="O2489" s="110">
        <v>39.9</v>
      </c>
      <c r="R2489" s="110">
        <v>349.89</v>
      </c>
      <c r="S2489" s="110">
        <v>69.900000000000006</v>
      </c>
      <c r="T2489" s="110">
        <v>0</v>
      </c>
      <c r="U2489" s="110">
        <v>42.99</v>
      </c>
      <c r="X2489">
        <v>177.1</v>
      </c>
      <c r="Y2489">
        <v>59.9</v>
      </c>
      <c r="Z2489">
        <v>59.9</v>
      </c>
      <c r="AA2489">
        <v>0</v>
      </c>
      <c r="AB2489" t="s">
        <v>363</v>
      </c>
      <c r="AF2489" t="s">
        <v>986</v>
      </c>
      <c r="AG2489" t="s">
        <v>986</v>
      </c>
      <c r="AH2489" t="s">
        <v>758</v>
      </c>
      <c r="AI2489">
        <v>99999</v>
      </c>
      <c r="AJ2489">
        <v>99999</v>
      </c>
      <c r="AK2489">
        <v>699</v>
      </c>
      <c r="AL2489" t="b">
        <v>1</v>
      </c>
      <c r="AM2489" t="b">
        <v>1</v>
      </c>
      <c r="AN2489" t="b">
        <v>0</v>
      </c>
      <c r="AO2489">
        <v>99999</v>
      </c>
      <c r="AP2489" t="s">
        <v>64</v>
      </c>
      <c r="AR2489" t="b">
        <v>0</v>
      </c>
      <c r="AS2489">
        <v>12</v>
      </c>
      <c r="AT2489" t="s">
        <v>327</v>
      </c>
      <c r="AV2489" t="s">
        <v>1008</v>
      </c>
    </row>
    <row r="2490" spans="1:48" x14ac:dyDescent="0.25">
      <c r="A2490" t="s">
        <v>3323</v>
      </c>
      <c r="B2490" t="s">
        <v>302</v>
      </c>
      <c r="C2490" t="s">
        <v>62</v>
      </c>
      <c r="D2490">
        <v>99999</v>
      </c>
      <c r="F2490" s="109">
        <v>7000</v>
      </c>
      <c r="G2490" t="b">
        <v>0</v>
      </c>
      <c r="H2490" t="s">
        <v>343</v>
      </c>
      <c r="K2490" t="s">
        <v>379</v>
      </c>
      <c r="L2490" t="s">
        <v>303</v>
      </c>
      <c r="M2490" t="s">
        <v>323</v>
      </c>
      <c r="N2490" t="s">
        <v>63</v>
      </c>
      <c r="O2490" s="110">
        <v>39.9</v>
      </c>
      <c r="R2490" s="110">
        <v>364.89</v>
      </c>
      <c r="S2490" s="110">
        <v>70</v>
      </c>
      <c r="T2490" s="110">
        <v>0</v>
      </c>
      <c r="U2490" s="110">
        <v>42.99</v>
      </c>
      <c r="X2490">
        <v>192</v>
      </c>
      <c r="Y2490">
        <v>59.9</v>
      </c>
      <c r="Z2490">
        <v>59.9</v>
      </c>
      <c r="AA2490">
        <v>0</v>
      </c>
      <c r="AB2490" t="s">
        <v>363</v>
      </c>
      <c r="AF2490" t="s">
        <v>1134</v>
      </c>
      <c r="AG2490" t="s">
        <v>1134</v>
      </c>
      <c r="AH2490" t="s">
        <v>758</v>
      </c>
      <c r="AI2490">
        <v>99999</v>
      </c>
      <c r="AJ2490">
        <v>99999</v>
      </c>
      <c r="AK2490">
        <v>699</v>
      </c>
      <c r="AL2490" t="b">
        <v>1</v>
      </c>
      <c r="AM2490" t="b">
        <v>1</v>
      </c>
      <c r="AN2490" t="b">
        <v>0</v>
      </c>
      <c r="AO2490">
        <v>99999</v>
      </c>
      <c r="AP2490" t="s">
        <v>64</v>
      </c>
      <c r="AR2490" t="b">
        <v>0</v>
      </c>
      <c r="AS2490">
        <v>12</v>
      </c>
      <c r="AT2490" t="s">
        <v>327</v>
      </c>
      <c r="AV2490" t="s">
        <v>1156</v>
      </c>
    </row>
    <row r="2491" spans="1:48" x14ac:dyDescent="0.25">
      <c r="A2491" t="s">
        <v>3323</v>
      </c>
      <c r="B2491" t="s">
        <v>302</v>
      </c>
      <c r="C2491" t="s">
        <v>62</v>
      </c>
      <c r="D2491">
        <v>99999</v>
      </c>
      <c r="F2491" s="109">
        <v>7000</v>
      </c>
      <c r="G2491" t="b">
        <v>0</v>
      </c>
      <c r="H2491" t="s">
        <v>343</v>
      </c>
      <c r="K2491" t="s">
        <v>379</v>
      </c>
      <c r="L2491" t="s">
        <v>303</v>
      </c>
      <c r="M2491" t="s">
        <v>323</v>
      </c>
      <c r="N2491" t="s">
        <v>63</v>
      </c>
      <c r="O2491" s="110">
        <v>49.9</v>
      </c>
      <c r="R2491" s="110">
        <v>380.68999999999994</v>
      </c>
      <c r="S2491" s="110">
        <v>130</v>
      </c>
      <c r="T2491" s="110">
        <v>0</v>
      </c>
      <c r="U2491" s="110">
        <v>34.99</v>
      </c>
      <c r="X2491">
        <v>155.79999999999998</v>
      </c>
      <c r="Y2491">
        <v>59.9</v>
      </c>
      <c r="Z2491">
        <v>59.9</v>
      </c>
      <c r="AA2491">
        <v>0</v>
      </c>
      <c r="AB2491" t="s">
        <v>363</v>
      </c>
      <c r="AF2491" t="s">
        <v>2494</v>
      </c>
      <c r="AG2491" t="s">
        <v>2494</v>
      </c>
      <c r="AH2491" t="s">
        <v>758</v>
      </c>
      <c r="AI2491">
        <v>99999</v>
      </c>
      <c r="AJ2491">
        <v>99999</v>
      </c>
      <c r="AK2491">
        <v>699</v>
      </c>
      <c r="AL2491" t="b">
        <v>1</v>
      </c>
      <c r="AM2491" t="b">
        <v>1</v>
      </c>
      <c r="AN2491" t="b">
        <v>0</v>
      </c>
      <c r="AO2491">
        <v>99999</v>
      </c>
      <c r="AP2491" t="s">
        <v>64</v>
      </c>
      <c r="AR2491" t="b">
        <v>0</v>
      </c>
      <c r="AS2491">
        <v>12</v>
      </c>
      <c r="AT2491" t="s">
        <v>327</v>
      </c>
      <c r="AV2491" t="s">
        <v>2516</v>
      </c>
    </row>
    <row r="2492" spans="1:48" x14ac:dyDescent="0.25">
      <c r="A2492" t="s">
        <v>3323</v>
      </c>
      <c r="B2492" t="s">
        <v>302</v>
      </c>
      <c r="C2492" t="s">
        <v>62</v>
      </c>
      <c r="D2492">
        <v>99999</v>
      </c>
      <c r="F2492" s="109">
        <v>7000</v>
      </c>
      <c r="G2492" t="b">
        <v>0</v>
      </c>
      <c r="H2492" t="s">
        <v>343</v>
      </c>
      <c r="K2492" t="s">
        <v>379</v>
      </c>
      <c r="L2492" t="s">
        <v>303</v>
      </c>
      <c r="M2492" t="s">
        <v>323</v>
      </c>
      <c r="N2492" t="s">
        <v>63</v>
      </c>
      <c r="O2492" s="110">
        <v>49.9</v>
      </c>
      <c r="R2492" s="110">
        <v>394.99</v>
      </c>
      <c r="S2492" s="110">
        <v>130</v>
      </c>
      <c r="T2492" s="110">
        <v>0</v>
      </c>
      <c r="U2492" s="110">
        <v>42.99</v>
      </c>
      <c r="X2492">
        <v>162.1</v>
      </c>
      <c r="Y2492">
        <v>59.9</v>
      </c>
      <c r="Z2492">
        <v>59.9</v>
      </c>
      <c r="AA2492">
        <v>0</v>
      </c>
      <c r="AB2492" t="s">
        <v>363</v>
      </c>
      <c r="AF2492" t="s">
        <v>2568</v>
      </c>
      <c r="AG2492" t="s">
        <v>2568</v>
      </c>
      <c r="AH2492" t="s">
        <v>758</v>
      </c>
      <c r="AI2492">
        <v>99999</v>
      </c>
      <c r="AJ2492">
        <v>99999</v>
      </c>
      <c r="AK2492">
        <v>699</v>
      </c>
      <c r="AL2492" t="b">
        <v>1</v>
      </c>
      <c r="AM2492" t="b">
        <v>1</v>
      </c>
      <c r="AN2492" t="b">
        <v>0</v>
      </c>
      <c r="AO2492">
        <v>99999</v>
      </c>
      <c r="AP2492" t="s">
        <v>64</v>
      </c>
      <c r="AR2492" t="b">
        <v>0</v>
      </c>
      <c r="AS2492">
        <v>12</v>
      </c>
      <c r="AT2492" t="s">
        <v>327</v>
      </c>
      <c r="AV2492" t="s">
        <v>2590</v>
      </c>
    </row>
    <row r="2493" spans="1:48" x14ac:dyDescent="0.25">
      <c r="A2493" t="s">
        <v>3323</v>
      </c>
      <c r="B2493" t="s">
        <v>302</v>
      </c>
      <c r="C2493" t="s">
        <v>62</v>
      </c>
      <c r="D2493">
        <v>99999</v>
      </c>
      <c r="F2493" s="109">
        <v>7000</v>
      </c>
      <c r="G2493" t="b">
        <v>0</v>
      </c>
      <c r="H2493" t="s">
        <v>343</v>
      </c>
      <c r="K2493" t="s">
        <v>379</v>
      </c>
      <c r="L2493" t="s">
        <v>303</v>
      </c>
      <c r="M2493" t="s">
        <v>323</v>
      </c>
      <c r="N2493" t="s">
        <v>63</v>
      </c>
      <c r="O2493" s="110">
        <v>49.9</v>
      </c>
      <c r="R2493" s="110">
        <v>409.99</v>
      </c>
      <c r="S2493" s="110">
        <v>130</v>
      </c>
      <c r="T2493" s="110">
        <v>0</v>
      </c>
      <c r="U2493" s="110">
        <v>42.99</v>
      </c>
      <c r="X2493">
        <v>177.1</v>
      </c>
      <c r="Y2493">
        <v>59.9</v>
      </c>
      <c r="Z2493">
        <v>59.9</v>
      </c>
      <c r="AA2493">
        <v>0</v>
      </c>
      <c r="AB2493" t="s">
        <v>363</v>
      </c>
      <c r="AF2493" t="s">
        <v>2633</v>
      </c>
      <c r="AG2493" t="s">
        <v>2633</v>
      </c>
      <c r="AH2493" t="s">
        <v>758</v>
      </c>
      <c r="AI2493">
        <v>99999</v>
      </c>
      <c r="AJ2493">
        <v>99999</v>
      </c>
      <c r="AK2493">
        <v>699</v>
      </c>
      <c r="AL2493" t="b">
        <v>1</v>
      </c>
      <c r="AM2493" t="b">
        <v>1</v>
      </c>
      <c r="AN2493" t="b">
        <v>0</v>
      </c>
      <c r="AO2493">
        <v>99999</v>
      </c>
      <c r="AP2493" t="s">
        <v>64</v>
      </c>
      <c r="AR2493" t="b">
        <v>0</v>
      </c>
      <c r="AS2493">
        <v>12</v>
      </c>
      <c r="AT2493" t="s">
        <v>327</v>
      </c>
      <c r="AV2493" t="s">
        <v>2654</v>
      </c>
    </row>
    <row r="2494" spans="1:48" x14ac:dyDescent="0.25">
      <c r="A2494" t="s">
        <v>3323</v>
      </c>
      <c r="B2494" t="s">
        <v>302</v>
      </c>
      <c r="C2494" t="s">
        <v>62</v>
      </c>
      <c r="D2494">
        <v>99999</v>
      </c>
      <c r="F2494" s="109">
        <v>7000</v>
      </c>
      <c r="G2494" t="b">
        <v>0</v>
      </c>
      <c r="H2494" t="s">
        <v>343</v>
      </c>
      <c r="K2494" t="s">
        <v>379</v>
      </c>
      <c r="L2494" t="s">
        <v>303</v>
      </c>
      <c r="M2494" t="s">
        <v>323</v>
      </c>
      <c r="N2494" t="s">
        <v>63</v>
      </c>
      <c r="O2494" s="110">
        <v>49.9</v>
      </c>
      <c r="R2494" s="110">
        <v>424.89</v>
      </c>
      <c r="S2494" s="110">
        <v>130</v>
      </c>
      <c r="T2494" s="110">
        <v>0</v>
      </c>
      <c r="U2494" s="110">
        <v>42.99</v>
      </c>
      <c r="X2494">
        <v>192</v>
      </c>
      <c r="Y2494">
        <v>59.9</v>
      </c>
      <c r="Z2494">
        <v>59.9</v>
      </c>
      <c r="AA2494">
        <v>0</v>
      </c>
      <c r="AB2494" t="s">
        <v>363</v>
      </c>
      <c r="AF2494" t="s">
        <v>2704</v>
      </c>
      <c r="AG2494" t="s">
        <v>2704</v>
      </c>
      <c r="AH2494" t="s">
        <v>758</v>
      </c>
      <c r="AI2494">
        <v>99999</v>
      </c>
      <c r="AJ2494">
        <v>99999</v>
      </c>
      <c r="AK2494">
        <v>699</v>
      </c>
      <c r="AL2494" t="b">
        <v>1</v>
      </c>
      <c r="AM2494" t="b">
        <v>1</v>
      </c>
      <c r="AN2494" t="b">
        <v>0</v>
      </c>
      <c r="AO2494">
        <v>99999</v>
      </c>
      <c r="AP2494" t="s">
        <v>64</v>
      </c>
      <c r="AR2494" t="b">
        <v>0</v>
      </c>
      <c r="AS2494">
        <v>12</v>
      </c>
      <c r="AT2494" t="s">
        <v>327</v>
      </c>
      <c r="AV2494" t="s">
        <v>2726</v>
      </c>
    </row>
    <row r="2495" spans="1:48" x14ac:dyDescent="0.25">
      <c r="A2495" t="s">
        <v>3323</v>
      </c>
      <c r="B2495" t="s">
        <v>302</v>
      </c>
      <c r="C2495" t="s">
        <v>62</v>
      </c>
      <c r="D2495">
        <v>99999</v>
      </c>
      <c r="F2495" s="109">
        <v>7000</v>
      </c>
      <c r="G2495" t="b">
        <v>0</v>
      </c>
      <c r="H2495" t="s">
        <v>343</v>
      </c>
      <c r="K2495" t="s">
        <v>61</v>
      </c>
      <c r="L2495" t="s">
        <v>303</v>
      </c>
      <c r="M2495" t="s">
        <v>323</v>
      </c>
      <c r="N2495" t="s">
        <v>63</v>
      </c>
      <c r="O2495">
        <v>29.9</v>
      </c>
      <c r="R2495">
        <v>319.89</v>
      </c>
      <c r="S2495">
        <v>69.900000000000006</v>
      </c>
      <c r="T2495" s="110">
        <v>0</v>
      </c>
      <c r="U2495">
        <v>42.99</v>
      </c>
      <c r="X2495">
        <v>162.1</v>
      </c>
      <c r="Y2495">
        <v>44.9</v>
      </c>
      <c r="Z2495">
        <v>44.9</v>
      </c>
      <c r="AA2495">
        <v>0</v>
      </c>
      <c r="AB2495" t="s">
        <v>324</v>
      </c>
      <c r="AF2495" t="s">
        <v>757</v>
      </c>
      <c r="AG2495" t="s">
        <v>757</v>
      </c>
      <c r="AH2495" t="s">
        <v>758</v>
      </c>
      <c r="AI2495">
        <v>99999</v>
      </c>
      <c r="AJ2495">
        <v>99999</v>
      </c>
      <c r="AK2495">
        <v>699</v>
      </c>
      <c r="AL2495" t="b">
        <v>1</v>
      </c>
      <c r="AM2495" t="b">
        <v>1</v>
      </c>
      <c r="AN2495" t="b">
        <v>0</v>
      </c>
      <c r="AO2495">
        <v>99999</v>
      </c>
      <c r="AP2495" t="s">
        <v>64</v>
      </c>
      <c r="AR2495" t="b">
        <v>0</v>
      </c>
      <c r="AS2495">
        <v>12</v>
      </c>
      <c r="AT2495" t="s">
        <v>327</v>
      </c>
      <c r="AV2495" t="s">
        <v>767</v>
      </c>
    </row>
    <row r="2496" spans="1:48" x14ac:dyDescent="0.25">
      <c r="A2496" t="s">
        <v>3323</v>
      </c>
      <c r="B2496" t="s">
        <v>302</v>
      </c>
      <c r="C2496" t="s">
        <v>62</v>
      </c>
      <c r="D2496">
        <v>99999</v>
      </c>
      <c r="F2496" s="109">
        <v>7000</v>
      </c>
      <c r="G2496" t="b">
        <v>0</v>
      </c>
      <c r="H2496" t="s">
        <v>343</v>
      </c>
      <c r="K2496" t="s">
        <v>61</v>
      </c>
      <c r="L2496" t="s">
        <v>303</v>
      </c>
      <c r="M2496" t="s">
        <v>323</v>
      </c>
      <c r="N2496" t="s">
        <v>63</v>
      </c>
      <c r="O2496" s="110">
        <v>29.9</v>
      </c>
      <c r="R2496" s="110">
        <v>334.89</v>
      </c>
      <c r="S2496" s="110">
        <v>69.900000000000006</v>
      </c>
      <c r="T2496" s="110">
        <v>0</v>
      </c>
      <c r="U2496" s="110">
        <v>42.99</v>
      </c>
      <c r="X2496">
        <v>177.1</v>
      </c>
      <c r="Y2496">
        <v>44.9</v>
      </c>
      <c r="Z2496">
        <v>44.9</v>
      </c>
      <c r="AA2496">
        <v>0</v>
      </c>
      <c r="AB2496" t="s">
        <v>324</v>
      </c>
      <c r="AF2496" t="s">
        <v>892</v>
      </c>
      <c r="AG2496" t="s">
        <v>892</v>
      </c>
      <c r="AH2496" t="s">
        <v>758</v>
      </c>
      <c r="AI2496">
        <v>99999</v>
      </c>
      <c r="AJ2496">
        <v>99999</v>
      </c>
      <c r="AK2496">
        <v>699</v>
      </c>
      <c r="AL2496" t="b">
        <v>1</v>
      </c>
      <c r="AM2496" t="b">
        <v>1</v>
      </c>
      <c r="AN2496" t="b">
        <v>0</v>
      </c>
      <c r="AO2496">
        <v>99999</v>
      </c>
      <c r="AP2496" t="s">
        <v>64</v>
      </c>
      <c r="AR2496" t="b">
        <v>0</v>
      </c>
      <c r="AS2496">
        <v>12</v>
      </c>
      <c r="AT2496" t="s">
        <v>327</v>
      </c>
      <c r="AV2496" t="s">
        <v>901</v>
      </c>
    </row>
    <row r="2497" spans="1:48" x14ac:dyDescent="0.25">
      <c r="A2497" t="s">
        <v>3323</v>
      </c>
      <c r="B2497" t="s">
        <v>302</v>
      </c>
      <c r="C2497" t="s">
        <v>62</v>
      </c>
      <c r="D2497">
        <v>99999</v>
      </c>
      <c r="F2497" s="109">
        <v>7000</v>
      </c>
      <c r="G2497" t="b">
        <v>0</v>
      </c>
      <c r="H2497" t="s">
        <v>343</v>
      </c>
      <c r="K2497" t="s">
        <v>61</v>
      </c>
      <c r="L2497" t="s">
        <v>303</v>
      </c>
      <c r="M2497" t="s">
        <v>323</v>
      </c>
      <c r="N2497" t="s">
        <v>63</v>
      </c>
      <c r="O2497" s="110">
        <v>29.9</v>
      </c>
      <c r="R2497" s="110">
        <v>349.89</v>
      </c>
      <c r="S2497" s="110">
        <v>70</v>
      </c>
      <c r="T2497" s="110">
        <v>0</v>
      </c>
      <c r="U2497" s="110">
        <v>42.99</v>
      </c>
      <c r="X2497">
        <v>192</v>
      </c>
      <c r="Y2497">
        <v>44.9</v>
      </c>
      <c r="Z2497">
        <v>44.9</v>
      </c>
      <c r="AA2497">
        <v>0</v>
      </c>
      <c r="AB2497" t="s">
        <v>324</v>
      </c>
      <c r="AF2497" t="s">
        <v>1040</v>
      </c>
      <c r="AG2497" t="s">
        <v>1040</v>
      </c>
      <c r="AH2497" t="s">
        <v>758</v>
      </c>
      <c r="AI2497">
        <v>99999</v>
      </c>
      <c r="AJ2497">
        <v>99999</v>
      </c>
      <c r="AK2497">
        <v>699</v>
      </c>
      <c r="AL2497" t="b">
        <v>1</v>
      </c>
      <c r="AM2497" t="b">
        <v>1</v>
      </c>
      <c r="AN2497" t="b">
        <v>0</v>
      </c>
      <c r="AO2497">
        <v>99999</v>
      </c>
      <c r="AP2497" t="s">
        <v>64</v>
      </c>
      <c r="AR2497" t="b">
        <v>0</v>
      </c>
      <c r="AS2497">
        <v>12</v>
      </c>
      <c r="AT2497" t="s">
        <v>327</v>
      </c>
      <c r="AV2497" t="s">
        <v>1049</v>
      </c>
    </row>
    <row r="2498" spans="1:48" x14ac:dyDescent="0.25">
      <c r="A2498" t="s">
        <v>3323</v>
      </c>
      <c r="B2498" t="s">
        <v>302</v>
      </c>
      <c r="C2498" t="s">
        <v>62</v>
      </c>
      <c r="D2498">
        <v>99999</v>
      </c>
      <c r="F2498" s="109">
        <v>7000</v>
      </c>
      <c r="G2498" t="b">
        <v>0</v>
      </c>
      <c r="H2498" t="s">
        <v>343</v>
      </c>
      <c r="K2498" t="s">
        <v>61</v>
      </c>
      <c r="L2498" t="s">
        <v>303</v>
      </c>
      <c r="M2498" t="s">
        <v>323</v>
      </c>
      <c r="N2498" t="s">
        <v>63</v>
      </c>
      <c r="O2498" s="110">
        <v>39.9</v>
      </c>
      <c r="R2498" s="110">
        <v>319.89</v>
      </c>
      <c r="S2498" s="110">
        <v>69.900000000000006</v>
      </c>
      <c r="T2498" s="110">
        <v>0</v>
      </c>
      <c r="U2498" s="110">
        <v>42.99</v>
      </c>
      <c r="X2498">
        <v>162.1</v>
      </c>
      <c r="Y2498">
        <v>44.9</v>
      </c>
      <c r="Z2498">
        <v>44.9</v>
      </c>
      <c r="AA2498">
        <v>0</v>
      </c>
      <c r="AB2498" t="s">
        <v>324</v>
      </c>
      <c r="AF2498" t="s">
        <v>825</v>
      </c>
      <c r="AG2498" t="s">
        <v>825</v>
      </c>
      <c r="AH2498" t="s">
        <v>758</v>
      </c>
      <c r="AI2498">
        <v>99999</v>
      </c>
      <c r="AJ2498">
        <v>99999</v>
      </c>
      <c r="AK2498">
        <v>699</v>
      </c>
      <c r="AL2498" t="b">
        <v>1</v>
      </c>
      <c r="AM2498" t="b">
        <v>1</v>
      </c>
      <c r="AN2498" t="b">
        <v>0</v>
      </c>
      <c r="AO2498">
        <v>99999</v>
      </c>
      <c r="AP2498" t="s">
        <v>64</v>
      </c>
      <c r="AR2498" t="b">
        <v>0</v>
      </c>
      <c r="AS2498">
        <v>12</v>
      </c>
      <c r="AT2498" t="s">
        <v>327</v>
      </c>
      <c r="AV2498" t="s">
        <v>834</v>
      </c>
    </row>
    <row r="2499" spans="1:48" x14ac:dyDescent="0.25">
      <c r="A2499" t="s">
        <v>3323</v>
      </c>
      <c r="B2499" t="s">
        <v>302</v>
      </c>
      <c r="C2499" t="s">
        <v>62</v>
      </c>
      <c r="D2499">
        <v>99999</v>
      </c>
      <c r="F2499" s="109">
        <v>7000</v>
      </c>
      <c r="G2499" t="b">
        <v>0</v>
      </c>
      <c r="H2499" t="s">
        <v>343</v>
      </c>
      <c r="K2499" t="s">
        <v>61</v>
      </c>
      <c r="L2499" t="s">
        <v>303</v>
      </c>
      <c r="M2499" t="s">
        <v>323</v>
      </c>
      <c r="N2499" t="s">
        <v>63</v>
      </c>
      <c r="O2499" s="110">
        <v>39.9</v>
      </c>
      <c r="R2499" s="110">
        <v>334.89</v>
      </c>
      <c r="S2499" s="110">
        <v>69.900000000000006</v>
      </c>
      <c r="T2499" s="110">
        <v>0</v>
      </c>
      <c r="U2499" s="110">
        <v>42.99</v>
      </c>
      <c r="X2499">
        <v>177.1</v>
      </c>
      <c r="Y2499">
        <v>44.9</v>
      </c>
      <c r="Z2499">
        <v>44.9</v>
      </c>
      <c r="AA2499">
        <v>0</v>
      </c>
      <c r="AB2499" t="s">
        <v>324</v>
      </c>
      <c r="AF2499" t="s">
        <v>959</v>
      </c>
      <c r="AG2499" t="s">
        <v>959</v>
      </c>
      <c r="AH2499" t="s">
        <v>758</v>
      </c>
      <c r="AI2499">
        <v>99999</v>
      </c>
      <c r="AJ2499">
        <v>99999</v>
      </c>
      <c r="AK2499">
        <v>699</v>
      </c>
      <c r="AL2499" t="b">
        <v>1</v>
      </c>
      <c r="AM2499" t="b">
        <v>1</v>
      </c>
      <c r="AN2499" t="b">
        <v>0</v>
      </c>
      <c r="AO2499">
        <v>99999</v>
      </c>
      <c r="AP2499" t="s">
        <v>64</v>
      </c>
      <c r="AR2499" t="b">
        <v>0</v>
      </c>
      <c r="AS2499">
        <v>12</v>
      </c>
      <c r="AT2499" t="s">
        <v>327</v>
      </c>
      <c r="AV2499" t="s">
        <v>968</v>
      </c>
    </row>
    <row r="2500" spans="1:48" x14ac:dyDescent="0.25">
      <c r="A2500" t="s">
        <v>3323</v>
      </c>
      <c r="B2500" t="s">
        <v>302</v>
      </c>
      <c r="C2500" t="s">
        <v>62</v>
      </c>
      <c r="D2500">
        <v>99999</v>
      </c>
      <c r="F2500" s="109">
        <v>7000</v>
      </c>
      <c r="G2500" t="b">
        <v>0</v>
      </c>
      <c r="H2500" t="s">
        <v>343</v>
      </c>
      <c r="K2500" t="s">
        <v>61</v>
      </c>
      <c r="L2500" t="s">
        <v>303</v>
      </c>
      <c r="M2500" t="s">
        <v>323</v>
      </c>
      <c r="N2500" t="s">
        <v>63</v>
      </c>
      <c r="O2500" s="110">
        <v>39.9</v>
      </c>
      <c r="R2500" s="110">
        <v>349.89</v>
      </c>
      <c r="S2500" s="110">
        <v>70</v>
      </c>
      <c r="T2500" s="110">
        <v>0</v>
      </c>
      <c r="U2500" s="110">
        <v>42.99</v>
      </c>
      <c r="X2500">
        <v>192</v>
      </c>
      <c r="Y2500">
        <v>44.9</v>
      </c>
      <c r="Z2500">
        <v>44.9</v>
      </c>
      <c r="AA2500">
        <v>0</v>
      </c>
      <c r="AB2500" t="s">
        <v>324</v>
      </c>
      <c r="AF2500" t="s">
        <v>1107</v>
      </c>
      <c r="AG2500" t="s">
        <v>1107</v>
      </c>
      <c r="AH2500" t="s">
        <v>758</v>
      </c>
      <c r="AI2500">
        <v>99999</v>
      </c>
      <c r="AJ2500">
        <v>99999</v>
      </c>
      <c r="AK2500">
        <v>699</v>
      </c>
      <c r="AL2500" t="b">
        <v>1</v>
      </c>
      <c r="AM2500" t="b">
        <v>1</v>
      </c>
      <c r="AN2500" t="b">
        <v>0</v>
      </c>
      <c r="AO2500">
        <v>99999</v>
      </c>
      <c r="AP2500" t="s">
        <v>64</v>
      </c>
      <c r="AR2500" t="b">
        <v>0</v>
      </c>
      <c r="AS2500">
        <v>12</v>
      </c>
      <c r="AT2500" t="s">
        <v>327</v>
      </c>
      <c r="AV2500" t="s">
        <v>1116</v>
      </c>
    </row>
    <row r="2501" spans="1:48" x14ac:dyDescent="0.25">
      <c r="A2501" t="s">
        <v>3323</v>
      </c>
      <c r="B2501" t="s">
        <v>302</v>
      </c>
      <c r="C2501" t="s">
        <v>62</v>
      </c>
      <c r="D2501">
        <v>99999</v>
      </c>
      <c r="F2501" s="109">
        <v>7000</v>
      </c>
      <c r="G2501" t="b">
        <v>0</v>
      </c>
      <c r="H2501" t="s">
        <v>343</v>
      </c>
      <c r="K2501" t="s">
        <v>61</v>
      </c>
      <c r="L2501" t="s">
        <v>303</v>
      </c>
      <c r="M2501" t="s">
        <v>323</v>
      </c>
      <c r="N2501" t="s">
        <v>63</v>
      </c>
      <c r="O2501" s="110">
        <v>49.9</v>
      </c>
      <c r="R2501" s="110">
        <v>365.68999999999994</v>
      </c>
      <c r="S2501" s="110">
        <v>130</v>
      </c>
      <c r="T2501" s="110">
        <v>0</v>
      </c>
      <c r="U2501" s="110">
        <v>34.99</v>
      </c>
      <c r="X2501">
        <v>155.79999999999998</v>
      </c>
      <c r="Y2501">
        <v>44.9</v>
      </c>
      <c r="Z2501">
        <v>44.9</v>
      </c>
      <c r="AA2501">
        <v>0</v>
      </c>
      <c r="AB2501" t="s">
        <v>324</v>
      </c>
      <c r="AF2501" t="s">
        <v>2467</v>
      </c>
      <c r="AG2501" t="s">
        <v>2467</v>
      </c>
      <c r="AH2501" t="s">
        <v>758</v>
      </c>
      <c r="AI2501">
        <v>99999</v>
      </c>
      <c r="AJ2501">
        <v>99999</v>
      </c>
      <c r="AK2501">
        <v>699</v>
      </c>
      <c r="AL2501" t="b">
        <v>1</v>
      </c>
      <c r="AM2501" t="b">
        <v>1</v>
      </c>
      <c r="AN2501" t="b">
        <v>0</v>
      </c>
      <c r="AO2501">
        <v>99999</v>
      </c>
      <c r="AP2501" t="s">
        <v>64</v>
      </c>
      <c r="AR2501" t="b">
        <v>0</v>
      </c>
      <c r="AS2501">
        <v>12</v>
      </c>
      <c r="AT2501" t="s">
        <v>327</v>
      </c>
      <c r="AV2501" t="s">
        <v>2476</v>
      </c>
    </row>
    <row r="2502" spans="1:48" x14ac:dyDescent="0.25">
      <c r="A2502" t="s">
        <v>3323</v>
      </c>
      <c r="B2502" t="s">
        <v>302</v>
      </c>
      <c r="C2502" t="s">
        <v>62</v>
      </c>
      <c r="D2502">
        <v>99999</v>
      </c>
      <c r="F2502" s="109">
        <v>7000</v>
      </c>
      <c r="G2502" t="b">
        <v>0</v>
      </c>
      <c r="H2502" t="s">
        <v>343</v>
      </c>
      <c r="K2502" t="s">
        <v>61</v>
      </c>
      <c r="L2502" t="s">
        <v>303</v>
      </c>
      <c r="M2502" t="s">
        <v>323</v>
      </c>
      <c r="N2502" t="s">
        <v>63</v>
      </c>
      <c r="O2502" s="110">
        <v>49.9</v>
      </c>
      <c r="R2502" s="110">
        <v>379.99</v>
      </c>
      <c r="S2502" s="110">
        <v>130</v>
      </c>
      <c r="T2502" s="110">
        <v>0</v>
      </c>
      <c r="U2502" s="110">
        <v>42.99</v>
      </c>
      <c r="X2502">
        <v>162.1</v>
      </c>
      <c r="Y2502">
        <v>44.9</v>
      </c>
      <c r="Z2502">
        <v>44.9</v>
      </c>
      <c r="AA2502">
        <v>0</v>
      </c>
      <c r="AB2502" t="s">
        <v>324</v>
      </c>
      <c r="AF2502" t="s">
        <v>2541</v>
      </c>
      <c r="AG2502" t="s">
        <v>2541</v>
      </c>
      <c r="AH2502" t="s">
        <v>758</v>
      </c>
      <c r="AI2502">
        <v>99999</v>
      </c>
      <c r="AJ2502">
        <v>99999</v>
      </c>
      <c r="AK2502">
        <v>699</v>
      </c>
      <c r="AL2502" t="b">
        <v>1</v>
      </c>
      <c r="AM2502" t="b">
        <v>1</v>
      </c>
      <c r="AN2502" t="b">
        <v>0</v>
      </c>
      <c r="AO2502">
        <v>99999</v>
      </c>
      <c r="AP2502" t="s">
        <v>64</v>
      </c>
      <c r="AR2502" t="b">
        <v>0</v>
      </c>
      <c r="AS2502">
        <v>12</v>
      </c>
      <c r="AT2502" t="s">
        <v>327</v>
      </c>
      <c r="AV2502" t="s">
        <v>2550</v>
      </c>
    </row>
    <row r="2503" spans="1:48" x14ac:dyDescent="0.25">
      <c r="A2503" t="s">
        <v>3323</v>
      </c>
      <c r="B2503" t="s">
        <v>302</v>
      </c>
      <c r="C2503" t="s">
        <v>62</v>
      </c>
      <c r="D2503">
        <v>99999</v>
      </c>
      <c r="F2503" s="109">
        <v>7000</v>
      </c>
      <c r="G2503" t="b">
        <v>0</v>
      </c>
      <c r="H2503" t="s">
        <v>343</v>
      </c>
      <c r="K2503" t="s">
        <v>61</v>
      </c>
      <c r="L2503" t="s">
        <v>303</v>
      </c>
      <c r="M2503" t="s">
        <v>323</v>
      </c>
      <c r="N2503" t="s">
        <v>63</v>
      </c>
      <c r="O2503" s="110">
        <v>49.9</v>
      </c>
      <c r="R2503" s="110">
        <v>394.99</v>
      </c>
      <c r="S2503" s="110">
        <v>130</v>
      </c>
      <c r="T2503" s="110">
        <v>0</v>
      </c>
      <c r="U2503" s="110">
        <v>42.99</v>
      </c>
      <c r="X2503">
        <v>177.1</v>
      </c>
      <c r="Y2503">
        <v>44.9</v>
      </c>
      <c r="Z2503">
        <v>44.9</v>
      </c>
      <c r="AA2503">
        <v>0</v>
      </c>
      <c r="AB2503" t="s">
        <v>324</v>
      </c>
      <c r="AF2503" t="s">
        <v>2608</v>
      </c>
      <c r="AG2503" t="s">
        <v>2608</v>
      </c>
      <c r="AH2503" t="s">
        <v>758</v>
      </c>
      <c r="AI2503">
        <v>99999</v>
      </c>
      <c r="AJ2503">
        <v>99999</v>
      </c>
      <c r="AK2503">
        <v>699</v>
      </c>
      <c r="AL2503" t="b">
        <v>1</v>
      </c>
      <c r="AM2503" t="b">
        <v>1</v>
      </c>
      <c r="AN2503" t="b">
        <v>0</v>
      </c>
      <c r="AO2503">
        <v>99999</v>
      </c>
      <c r="AP2503" t="s">
        <v>64</v>
      </c>
      <c r="AR2503" t="b">
        <v>0</v>
      </c>
      <c r="AS2503">
        <v>12</v>
      </c>
      <c r="AT2503" t="s">
        <v>327</v>
      </c>
      <c r="AV2503" t="s">
        <v>2617</v>
      </c>
    </row>
    <row r="2504" spans="1:48" x14ac:dyDescent="0.25">
      <c r="A2504" t="s">
        <v>3323</v>
      </c>
      <c r="B2504" t="s">
        <v>302</v>
      </c>
      <c r="C2504" t="s">
        <v>62</v>
      </c>
      <c r="D2504">
        <v>99999</v>
      </c>
      <c r="F2504" s="109">
        <v>7000</v>
      </c>
      <c r="G2504" t="b">
        <v>0</v>
      </c>
      <c r="H2504" t="s">
        <v>343</v>
      </c>
      <c r="K2504" t="s">
        <v>61</v>
      </c>
      <c r="L2504" t="s">
        <v>303</v>
      </c>
      <c r="M2504" t="s">
        <v>323</v>
      </c>
      <c r="N2504" t="s">
        <v>63</v>
      </c>
      <c r="O2504" s="110">
        <v>49.9</v>
      </c>
      <c r="R2504" s="110">
        <v>409.89</v>
      </c>
      <c r="S2504" s="110">
        <v>130</v>
      </c>
      <c r="T2504" s="110">
        <v>0</v>
      </c>
      <c r="U2504" s="110">
        <v>42.99</v>
      </c>
      <c r="X2504">
        <v>192</v>
      </c>
      <c r="Y2504">
        <v>44.9</v>
      </c>
      <c r="Z2504">
        <v>44.9</v>
      </c>
      <c r="AA2504">
        <v>0</v>
      </c>
      <c r="AB2504" t="s">
        <v>324</v>
      </c>
      <c r="AF2504" t="s">
        <v>2677</v>
      </c>
      <c r="AG2504" t="s">
        <v>2677</v>
      </c>
      <c r="AH2504" t="s">
        <v>758</v>
      </c>
      <c r="AI2504">
        <v>99999</v>
      </c>
      <c r="AJ2504">
        <v>99999</v>
      </c>
      <c r="AK2504">
        <v>699</v>
      </c>
      <c r="AL2504" t="b">
        <v>1</v>
      </c>
      <c r="AM2504" t="b">
        <v>1</v>
      </c>
      <c r="AN2504" t="b">
        <v>0</v>
      </c>
      <c r="AO2504">
        <v>99999</v>
      </c>
      <c r="AP2504" t="s">
        <v>64</v>
      </c>
      <c r="AR2504" t="b">
        <v>0</v>
      </c>
      <c r="AS2504">
        <v>12</v>
      </c>
      <c r="AT2504" t="s">
        <v>327</v>
      </c>
      <c r="AV2504" t="s">
        <v>2686</v>
      </c>
    </row>
    <row r="2505" spans="1:48" x14ac:dyDescent="0.25">
      <c r="A2505" t="s">
        <v>3323</v>
      </c>
      <c r="B2505" t="s">
        <v>302</v>
      </c>
      <c r="C2505" t="s">
        <v>62</v>
      </c>
      <c r="D2505">
        <v>99999</v>
      </c>
      <c r="F2505" s="109">
        <v>7000</v>
      </c>
      <c r="G2505" t="b">
        <v>0</v>
      </c>
      <c r="H2505" t="s">
        <v>339</v>
      </c>
      <c r="K2505" t="s">
        <v>349</v>
      </c>
      <c r="L2505" t="s">
        <v>303</v>
      </c>
      <c r="M2505" t="s">
        <v>323</v>
      </c>
      <c r="N2505" t="s">
        <v>63</v>
      </c>
      <c r="O2505" s="110">
        <v>29.9</v>
      </c>
      <c r="R2505" s="110">
        <v>274.89</v>
      </c>
      <c r="S2505" s="110">
        <v>69.900000000000006</v>
      </c>
      <c r="T2505" s="110">
        <v>0</v>
      </c>
      <c r="U2505" s="110">
        <v>42.99</v>
      </c>
      <c r="X2505">
        <v>117.1</v>
      </c>
      <c r="Y2505">
        <v>44.9</v>
      </c>
      <c r="Z2505">
        <v>44.9</v>
      </c>
      <c r="AA2505">
        <v>0</v>
      </c>
      <c r="AB2505" t="s">
        <v>324</v>
      </c>
      <c r="AF2505" t="s">
        <v>757</v>
      </c>
      <c r="AG2505" t="s">
        <v>757</v>
      </c>
      <c r="AH2505" t="s">
        <v>758</v>
      </c>
      <c r="AI2505">
        <v>99999</v>
      </c>
      <c r="AJ2505">
        <v>99999</v>
      </c>
      <c r="AK2505">
        <v>699</v>
      </c>
      <c r="AL2505" t="b">
        <v>1</v>
      </c>
      <c r="AM2505" t="b">
        <v>1</v>
      </c>
      <c r="AN2505" t="b">
        <v>0</v>
      </c>
      <c r="AO2505">
        <v>99999</v>
      </c>
      <c r="AP2505" t="s">
        <v>64</v>
      </c>
      <c r="AR2505" t="b">
        <v>0</v>
      </c>
      <c r="AS2505">
        <v>12</v>
      </c>
      <c r="AT2505" t="s">
        <v>327</v>
      </c>
      <c r="AV2505" t="s">
        <v>778</v>
      </c>
    </row>
    <row r="2506" spans="1:48" x14ac:dyDescent="0.25">
      <c r="A2506" t="s">
        <v>3323</v>
      </c>
      <c r="B2506" t="s">
        <v>302</v>
      </c>
      <c r="C2506" t="s">
        <v>62</v>
      </c>
      <c r="D2506">
        <v>99999</v>
      </c>
      <c r="F2506" s="109">
        <v>7000</v>
      </c>
      <c r="G2506" t="b">
        <v>0</v>
      </c>
      <c r="H2506" t="s">
        <v>339</v>
      </c>
      <c r="K2506" t="s">
        <v>349</v>
      </c>
      <c r="L2506" t="s">
        <v>303</v>
      </c>
      <c r="M2506" t="s">
        <v>323</v>
      </c>
      <c r="N2506" t="s">
        <v>63</v>
      </c>
      <c r="O2506" s="110">
        <v>29.9</v>
      </c>
      <c r="R2506" s="110">
        <v>289.89</v>
      </c>
      <c r="S2506" s="110">
        <v>69.900000000000006</v>
      </c>
      <c r="T2506" s="110">
        <v>0</v>
      </c>
      <c r="U2506" s="110">
        <v>42.99</v>
      </c>
      <c r="X2506">
        <v>132.1</v>
      </c>
      <c r="Y2506">
        <v>44.9</v>
      </c>
      <c r="Z2506">
        <v>44.9</v>
      </c>
      <c r="AA2506">
        <v>0</v>
      </c>
      <c r="AB2506" t="s">
        <v>324</v>
      </c>
      <c r="AF2506" t="s">
        <v>892</v>
      </c>
      <c r="AG2506" t="s">
        <v>892</v>
      </c>
      <c r="AH2506" t="s">
        <v>758</v>
      </c>
      <c r="AI2506">
        <v>99999</v>
      </c>
      <c r="AJ2506">
        <v>99999</v>
      </c>
      <c r="AK2506">
        <v>699</v>
      </c>
      <c r="AL2506" t="b">
        <v>1</v>
      </c>
      <c r="AM2506" t="b">
        <v>1</v>
      </c>
      <c r="AN2506" t="b">
        <v>0</v>
      </c>
      <c r="AO2506">
        <v>99999</v>
      </c>
      <c r="AP2506" t="s">
        <v>64</v>
      </c>
      <c r="AR2506" t="b">
        <v>0</v>
      </c>
      <c r="AS2506">
        <v>12</v>
      </c>
      <c r="AT2506" t="s">
        <v>327</v>
      </c>
      <c r="AV2506" t="s">
        <v>912</v>
      </c>
    </row>
    <row r="2507" spans="1:48" x14ac:dyDescent="0.25">
      <c r="A2507" t="s">
        <v>3323</v>
      </c>
      <c r="B2507" t="s">
        <v>302</v>
      </c>
      <c r="C2507" t="s">
        <v>62</v>
      </c>
      <c r="D2507">
        <v>99999</v>
      </c>
      <c r="F2507" s="109">
        <v>7000</v>
      </c>
      <c r="G2507" t="b">
        <v>0</v>
      </c>
      <c r="H2507" t="s">
        <v>339</v>
      </c>
      <c r="K2507" t="s">
        <v>349</v>
      </c>
      <c r="L2507" t="s">
        <v>303</v>
      </c>
      <c r="M2507" t="s">
        <v>323</v>
      </c>
      <c r="N2507" t="s">
        <v>63</v>
      </c>
      <c r="O2507" s="110">
        <v>29.9</v>
      </c>
      <c r="R2507" s="110">
        <v>304.89</v>
      </c>
      <c r="S2507" s="110">
        <v>70</v>
      </c>
      <c r="T2507" s="110">
        <v>0</v>
      </c>
      <c r="U2507" s="110">
        <v>42.99</v>
      </c>
      <c r="X2507">
        <v>147</v>
      </c>
      <c r="Y2507">
        <v>44.9</v>
      </c>
      <c r="Z2507">
        <v>44.9</v>
      </c>
      <c r="AA2507">
        <v>0</v>
      </c>
      <c r="AB2507" t="s">
        <v>324</v>
      </c>
      <c r="AF2507" t="s">
        <v>1040</v>
      </c>
      <c r="AG2507" t="s">
        <v>1040</v>
      </c>
      <c r="AH2507" t="s">
        <v>758</v>
      </c>
      <c r="AI2507">
        <v>99999</v>
      </c>
      <c r="AJ2507">
        <v>99999</v>
      </c>
      <c r="AK2507">
        <v>699</v>
      </c>
      <c r="AL2507" t="b">
        <v>1</v>
      </c>
      <c r="AM2507" t="b">
        <v>1</v>
      </c>
      <c r="AN2507" t="b">
        <v>0</v>
      </c>
      <c r="AO2507">
        <v>99999</v>
      </c>
      <c r="AP2507" t="s">
        <v>64</v>
      </c>
      <c r="AR2507" t="b">
        <v>0</v>
      </c>
      <c r="AS2507">
        <v>12</v>
      </c>
      <c r="AT2507" t="s">
        <v>327</v>
      </c>
      <c r="AV2507" t="s">
        <v>1060</v>
      </c>
    </row>
    <row r="2508" spans="1:48" x14ac:dyDescent="0.25">
      <c r="A2508" t="s">
        <v>3323</v>
      </c>
      <c r="B2508" t="s">
        <v>302</v>
      </c>
      <c r="C2508" t="s">
        <v>62</v>
      </c>
      <c r="D2508">
        <v>99999</v>
      </c>
      <c r="F2508" s="109">
        <v>7000</v>
      </c>
      <c r="G2508" t="b">
        <v>0</v>
      </c>
      <c r="H2508" t="s">
        <v>339</v>
      </c>
      <c r="K2508" t="s">
        <v>349</v>
      </c>
      <c r="L2508" t="s">
        <v>303</v>
      </c>
      <c r="M2508" t="s">
        <v>323</v>
      </c>
      <c r="N2508" t="s">
        <v>63</v>
      </c>
      <c r="O2508" s="110">
        <v>39.9</v>
      </c>
      <c r="R2508" s="110">
        <v>274.89</v>
      </c>
      <c r="S2508" s="110">
        <v>69.900000000000006</v>
      </c>
      <c r="T2508" s="110">
        <v>0</v>
      </c>
      <c r="U2508" s="110">
        <v>42.99</v>
      </c>
      <c r="X2508">
        <v>117.1</v>
      </c>
      <c r="Y2508">
        <v>44.9</v>
      </c>
      <c r="Z2508">
        <v>44.9</v>
      </c>
      <c r="AA2508">
        <v>0</v>
      </c>
      <c r="AB2508" t="s">
        <v>324</v>
      </c>
      <c r="AF2508" t="s">
        <v>825</v>
      </c>
      <c r="AG2508" t="s">
        <v>825</v>
      </c>
      <c r="AH2508" t="s">
        <v>758</v>
      </c>
      <c r="AI2508">
        <v>99999</v>
      </c>
      <c r="AJ2508">
        <v>99999</v>
      </c>
      <c r="AK2508">
        <v>699</v>
      </c>
      <c r="AL2508" t="b">
        <v>1</v>
      </c>
      <c r="AM2508" t="b">
        <v>1</v>
      </c>
      <c r="AN2508" t="b">
        <v>0</v>
      </c>
      <c r="AO2508">
        <v>99999</v>
      </c>
      <c r="AP2508" t="s">
        <v>64</v>
      </c>
      <c r="AR2508" t="b">
        <v>0</v>
      </c>
      <c r="AS2508">
        <v>12</v>
      </c>
      <c r="AT2508" t="s">
        <v>327</v>
      </c>
      <c r="AV2508" t="s">
        <v>845</v>
      </c>
    </row>
    <row r="2509" spans="1:48" x14ac:dyDescent="0.25">
      <c r="A2509" t="s">
        <v>3323</v>
      </c>
      <c r="B2509" t="s">
        <v>302</v>
      </c>
      <c r="C2509" t="s">
        <v>62</v>
      </c>
      <c r="D2509">
        <v>99999</v>
      </c>
      <c r="F2509" s="109">
        <v>7000</v>
      </c>
      <c r="G2509" t="b">
        <v>0</v>
      </c>
      <c r="H2509" t="s">
        <v>339</v>
      </c>
      <c r="K2509" t="s">
        <v>349</v>
      </c>
      <c r="L2509" t="s">
        <v>303</v>
      </c>
      <c r="M2509" t="s">
        <v>323</v>
      </c>
      <c r="N2509" t="s">
        <v>63</v>
      </c>
      <c r="O2509" s="110">
        <v>39.9</v>
      </c>
      <c r="R2509" s="110">
        <v>289.89</v>
      </c>
      <c r="S2509" s="110">
        <v>69.900000000000006</v>
      </c>
      <c r="T2509" s="110">
        <v>0</v>
      </c>
      <c r="U2509" s="110">
        <v>42.99</v>
      </c>
      <c r="X2509">
        <v>132.1</v>
      </c>
      <c r="Y2509">
        <v>44.9</v>
      </c>
      <c r="Z2509">
        <v>44.9</v>
      </c>
      <c r="AA2509">
        <v>0</v>
      </c>
      <c r="AB2509" t="s">
        <v>324</v>
      </c>
      <c r="AF2509" t="s">
        <v>959</v>
      </c>
      <c r="AG2509" t="s">
        <v>959</v>
      </c>
      <c r="AH2509" t="s">
        <v>758</v>
      </c>
      <c r="AI2509">
        <v>99999</v>
      </c>
      <c r="AJ2509">
        <v>99999</v>
      </c>
      <c r="AK2509">
        <v>699</v>
      </c>
      <c r="AL2509" t="b">
        <v>1</v>
      </c>
      <c r="AM2509" t="b">
        <v>1</v>
      </c>
      <c r="AN2509" t="b">
        <v>0</v>
      </c>
      <c r="AO2509">
        <v>99999</v>
      </c>
      <c r="AP2509" t="s">
        <v>64</v>
      </c>
      <c r="AR2509" t="b">
        <v>0</v>
      </c>
      <c r="AS2509">
        <v>12</v>
      </c>
      <c r="AT2509" t="s">
        <v>327</v>
      </c>
      <c r="AV2509" t="s">
        <v>979</v>
      </c>
    </row>
    <row r="2510" spans="1:48" x14ac:dyDescent="0.25">
      <c r="A2510" t="s">
        <v>3323</v>
      </c>
      <c r="B2510" t="s">
        <v>302</v>
      </c>
      <c r="C2510" t="s">
        <v>62</v>
      </c>
      <c r="D2510">
        <v>99999</v>
      </c>
      <c r="F2510" s="109">
        <v>7000</v>
      </c>
      <c r="G2510" t="b">
        <v>0</v>
      </c>
      <c r="H2510" t="s">
        <v>339</v>
      </c>
      <c r="K2510" t="s">
        <v>349</v>
      </c>
      <c r="L2510" t="s">
        <v>303</v>
      </c>
      <c r="M2510" t="s">
        <v>323</v>
      </c>
      <c r="N2510" t="s">
        <v>63</v>
      </c>
      <c r="O2510" s="110">
        <v>39.9</v>
      </c>
      <c r="R2510" s="110">
        <v>304.89</v>
      </c>
      <c r="S2510" s="110">
        <v>70</v>
      </c>
      <c r="T2510" s="110">
        <v>0</v>
      </c>
      <c r="U2510" s="110">
        <v>42.99</v>
      </c>
      <c r="X2510">
        <v>147</v>
      </c>
      <c r="Y2510">
        <v>44.9</v>
      </c>
      <c r="Z2510">
        <v>44.9</v>
      </c>
      <c r="AA2510">
        <v>0</v>
      </c>
      <c r="AB2510" t="s">
        <v>324</v>
      </c>
      <c r="AF2510" t="s">
        <v>1107</v>
      </c>
      <c r="AG2510" t="s">
        <v>1107</v>
      </c>
      <c r="AH2510" t="s">
        <v>758</v>
      </c>
      <c r="AI2510">
        <v>99999</v>
      </c>
      <c r="AJ2510">
        <v>99999</v>
      </c>
      <c r="AK2510">
        <v>699</v>
      </c>
      <c r="AL2510" t="b">
        <v>1</v>
      </c>
      <c r="AM2510" t="b">
        <v>1</v>
      </c>
      <c r="AN2510" t="b">
        <v>0</v>
      </c>
      <c r="AO2510">
        <v>99999</v>
      </c>
      <c r="AP2510" t="s">
        <v>64</v>
      </c>
      <c r="AR2510" t="b">
        <v>0</v>
      </c>
      <c r="AS2510">
        <v>12</v>
      </c>
      <c r="AT2510" t="s">
        <v>327</v>
      </c>
      <c r="AV2510" t="s">
        <v>1127</v>
      </c>
    </row>
    <row r="2511" spans="1:48" x14ac:dyDescent="0.25">
      <c r="A2511" t="s">
        <v>3323</v>
      </c>
      <c r="B2511" t="s">
        <v>302</v>
      </c>
      <c r="C2511" t="s">
        <v>62</v>
      </c>
      <c r="D2511">
        <v>99999</v>
      </c>
      <c r="F2511" s="109">
        <v>7000</v>
      </c>
      <c r="G2511" t="b">
        <v>0</v>
      </c>
      <c r="H2511" t="s">
        <v>339</v>
      </c>
      <c r="K2511" t="s">
        <v>349</v>
      </c>
      <c r="L2511" t="s">
        <v>303</v>
      </c>
      <c r="M2511" t="s">
        <v>323</v>
      </c>
      <c r="N2511" t="s">
        <v>63</v>
      </c>
      <c r="O2511" s="110">
        <v>49.9</v>
      </c>
      <c r="R2511" s="110">
        <v>320.68999999999994</v>
      </c>
      <c r="S2511" s="110">
        <v>130</v>
      </c>
      <c r="T2511" s="110">
        <v>0</v>
      </c>
      <c r="U2511" s="110">
        <v>34.99</v>
      </c>
      <c r="X2511">
        <v>110.79999999999998</v>
      </c>
      <c r="Y2511">
        <v>44.9</v>
      </c>
      <c r="Z2511">
        <v>44.9</v>
      </c>
      <c r="AA2511">
        <v>0</v>
      </c>
      <c r="AB2511" t="s">
        <v>324</v>
      </c>
      <c r="AF2511" t="s">
        <v>2467</v>
      </c>
      <c r="AG2511" t="s">
        <v>2467</v>
      </c>
      <c r="AH2511" t="s">
        <v>758</v>
      </c>
      <c r="AI2511">
        <v>99999</v>
      </c>
      <c r="AJ2511">
        <v>99999</v>
      </c>
      <c r="AK2511">
        <v>699</v>
      </c>
      <c r="AL2511" t="b">
        <v>1</v>
      </c>
      <c r="AM2511" t="b">
        <v>1</v>
      </c>
      <c r="AN2511" t="b">
        <v>0</v>
      </c>
      <c r="AO2511">
        <v>99999</v>
      </c>
      <c r="AP2511" t="s">
        <v>64</v>
      </c>
      <c r="AR2511" t="b">
        <v>0</v>
      </c>
      <c r="AS2511">
        <v>12</v>
      </c>
      <c r="AT2511" t="s">
        <v>327</v>
      </c>
      <c r="AV2511" t="s">
        <v>2487</v>
      </c>
    </row>
    <row r="2512" spans="1:48" x14ac:dyDescent="0.25">
      <c r="A2512" t="s">
        <v>3323</v>
      </c>
      <c r="B2512" t="s">
        <v>302</v>
      </c>
      <c r="C2512" t="s">
        <v>62</v>
      </c>
      <c r="D2512">
        <v>99999</v>
      </c>
      <c r="F2512" s="109">
        <v>7000</v>
      </c>
      <c r="G2512" t="b">
        <v>0</v>
      </c>
      <c r="H2512" t="s">
        <v>339</v>
      </c>
      <c r="K2512" t="s">
        <v>349</v>
      </c>
      <c r="L2512" t="s">
        <v>303</v>
      </c>
      <c r="M2512" t="s">
        <v>323</v>
      </c>
      <c r="N2512" t="s">
        <v>63</v>
      </c>
      <c r="O2512" s="110">
        <v>49.9</v>
      </c>
      <c r="R2512" s="110">
        <v>334.99</v>
      </c>
      <c r="S2512" s="110">
        <v>130</v>
      </c>
      <c r="T2512" s="110">
        <v>0</v>
      </c>
      <c r="U2512" s="110">
        <v>42.99</v>
      </c>
      <c r="X2512">
        <v>117.1</v>
      </c>
      <c r="Y2512">
        <v>44.9</v>
      </c>
      <c r="Z2512">
        <v>44.9</v>
      </c>
      <c r="AA2512">
        <v>0</v>
      </c>
      <c r="AB2512" t="s">
        <v>324</v>
      </c>
      <c r="AF2512" t="s">
        <v>2541</v>
      </c>
      <c r="AG2512" t="s">
        <v>2541</v>
      </c>
      <c r="AH2512" t="s">
        <v>758</v>
      </c>
      <c r="AI2512">
        <v>99999</v>
      </c>
      <c r="AJ2512">
        <v>99999</v>
      </c>
      <c r="AK2512">
        <v>699</v>
      </c>
      <c r="AL2512" t="b">
        <v>1</v>
      </c>
      <c r="AM2512" t="b">
        <v>1</v>
      </c>
      <c r="AN2512" t="b">
        <v>0</v>
      </c>
      <c r="AO2512">
        <v>99999</v>
      </c>
      <c r="AP2512" t="s">
        <v>64</v>
      </c>
      <c r="AR2512" t="b">
        <v>0</v>
      </c>
      <c r="AS2512">
        <v>12</v>
      </c>
      <c r="AT2512" t="s">
        <v>327</v>
      </c>
      <c r="AV2512" t="s">
        <v>2561</v>
      </c>
    </row>
    <row r="2513" spans="1:48" x14ac:dyDescent="0.25">
      <c r="A2513" t="s">
        <v>3323</v>
      </c>
      <c r="B2513" t="s">
        <v>302</v>
      </c>
      <c r="C2513" t="s">
        <v>62</v>
      </c>
      <c r="D2513">
        <v>99999</v>
      </c>
      <c r="F2513" s="109">
        <v>7000</v>
      </c>
      <c r="G2513" t="b">
        <v>0</v>
      </c>
      <c r="H2513" t="s">
        <v>339</v>
      </c>
      <c r="K2513" t="s">
        <v>349</v>
      </c>
      <c r="L2513" t="s">
        <v>303</v>
      </c>
      <c r="M2513" t="s">
        <v>323</v>
      </c>
      <c r="N2513" t="s">
        <v>63</v>
      </c>
      <c r="O2513" s="110">
        <v>49.9</v>
      </c>
      <c r="R2513" s="110">
        <v>349.99</v>
      </c>
      <c r="S2513" s="110">
        <v>130</v>
      </c>
      <c r="T2513" s="110">
        <v>0</v>
      </c>
      <c r="U2513" s="110">
        <v>42.99</v>
      </c>
      <c r="X2513">
        <v>132.1</v>
      </c>
      <c r="Y2513">
        <v>44.9</v>
      </c>
      <c r="Z2513">
        <v>44.9</v>
      </c>
      <c r="AA2513">
        <v>0</v>
      </c>
      <c r="AB2513" t="s">
        <v>324</v>
      </c>
      <c r="AF2513" t="s">
        <v>2608</v>
      </c>
      <c r="AG2513" t="s">
        <v>2608</v>
      </c>
      <c r="AH2513" t="s">
        <v>758</v>
      </c>
      <c r="AI2513">
        <v>99999</v>
      </c>
      <c r="AJ2513">
        <v>99999</v>
      </c>
      <c r="AK2513">
        <v>699</v>
      </c>
      <c r="AL2513" t="b">
        <v>1</v>
      </c>
      <c r="AM2513" t="b">
        <v>1</v>
      </c>
      <c r="AN2513" t="b">
        <v>0</v>
      </c>
      <c r="AO2513">
        <v>99999</v>
      </c>
      <c r="AP2513" t="s">
        <v>64</v>
      </c>
      <c r="AR2513" t="b">
        <v>0</v>
      </c>
      <c r="AS2513">
        <v>12</v>
      </c>
      <c r="AT2513" t="s">
        <v>327</v>
      </c>
      <c r="AV2513" t="s">
        <v>2627</v>
      </c>
    </row>
    <row r="2514" spans="1:48" x14ac:dyDescent="0.25">
      <c r="A2514" t="s">
        <v>3323</v>
      </c>
      <c r="B2514" t="s">
        <v>302</v>
      </c>
      <c r="C2514" t="s">
        <v>62</v>
      </c>
      <c r="D2514">
        <v>99999</v>
      </c>
      <c r="F2514" s="109">
        <v>7000</v>
      </c>
      <c r="G2514" t="b">
        <v>0</v>
      </c>
      <c r="H2514" t="s">
        <v>339</v>
      </c>
      <c r="K2514" t="s">
        <v>349</v>
      </c>
      <c r="L2514" t="s">
        <v>303</v>
      </c>
      <c r="M2514" t="s">
        <v>323</v>
      </c>
      <c r="N2514" t="s">
        <v>63</v>
      </c>
      <c r="O2514" s="110">
        <v>49.9</v>
      </c>
      <c r="R2514" s="110">
        <v>364.89</v>
      </c>
      <c r="S2514" s="110">
        <v>130</v>
      </c>
      <c r="T2514" s="110">
        <v>0</v>
      </c>
      <c r="U2514" s="110">
        <v>42.99</v>
      </c>
      <c r="X2514">
        <v>147</v>
      </c>
      <c r="Y2514">
        <v>44.9</v>
      </c>
      <c r="Z2514">
        <v>44.9</v>
      </c>
      <c r="AA2514">
        <v>0</v>
      </c>
      <c r="AB2514" t="s">
        <v>324</v>
      </c>
      <c r="AF2514" t="s">
        <v>2677</v>
      </c>
      <c r="AG2514" t="s">
        <v>2677</v>
      </c>
      <c r="AH2514" t="s">
        <v>758</v>
      </c>
      <c r="AI2514">
        <v>99999</v>
      </c>
      <c r="AJ2514">
        <v>99999</v>
      </c>
      <c r="AK2514">
        <v>699</v>
      </c>
      <c r="AL2514" t="b">
        <v>1</v>
      </c>
      <c r="AM2514" t="b">
        <v>1</v>
      </c>
      <c r="AN2514" t="b">
        <v>0</v>
      </c>
      <c r="AO2514">
        <v>99999</v>
      </c>
      <c r="AP2514" t="s">
        <v>64</v>
      </c>
      <c r="AR2514" t="b">
        <v>0</v>
      </c>
      <c r="AS2514">
        <v>12</v>
      </c>
      <c r="AT2514" t="s">
        <v>327</v>
      </c>
      <c r="AV2514" t="s">
        <v>2697</v>
      </c>
    </row>
    <row r="2515" spans="1:48" x14ac:dyDescent="0.25">
      <c r="A2515" t="s">
        <v>3323</v>
      </c>
      <c r="B2515" t="s">
        <v>302</v>
      </c>
      <c r="C2515" t="s">
        <v>62</v>
      </c>
      <c r="D2515">
        <v>99999</v>
      </c>
      <c r="F2515" s="109">
        <v>7000</v>
      </c>
      <c r="G2515" t="b">
        <v>0</v>
      </c>
      <c r="H2515" t="s">
        <v>339</v>
      </c>
      <c r="K2515" t="s">
        <v>393</v>
      </c>
      <c r="L2515" t="s">
        <v>303</v>
      </c>
      <c r="M2515" t="s">
        <v>323</v>
      </c>
      <c r="N2515" t="s">
        <v>63</v>
      </c>
      <c r="O2515" s="110">
        <v>29.9</v>
      </c>
      <c r="R2515" s="110">
        <v>299.89</v>
      </c>
      <c r="S2515" s="110">
        <v>69.900000000000006</v>
      </c>
      <c r="T2515" s="110">
        <v>0</v>
      </c>
      <c r="U2515" s="110">
        <v>42.99</v>
      </c>
      <c r="X2515">
        <v>117.1</v>
      </c>
      <c r="Y2515">
        <v>69.900000000000006</v>
      </c>
      <c r="Z2515">
        <v>69.900000000000006</v>
      </c>
      <c r="AA2515">
        <v>0</v>
      </c>
      <c r="AB2515" t="s">
        <v>363</v>
      </c>
      <c r="AF2515" t="s">
        <v>785</v>
      </c>
      <c r="AG2515" t="s">
        <v>785</v>
      </c>
      <c r="AH2515" t="s">
        <v>758</v>
      </c>
      <c r="AI2515">
        <v>99999</v>
      </c>
      <c r="AJ2515">
        <v>99999</v>
      </c>
      <c r="AK2515">
        <v>699</v>
      </c>
      <c r="AL2515" t="b">
        <v>1</v>
      </c>
      <c r="AM2515" t="b">
        <v>1</v>
      </c>
      <c r="AN2515" t="b">
        <v>0</v>
      </c>
      <c r="AO2515">
        <v>99999</v>
      </c>
      <c r="AP2515" t="s">
        <v>64</v>
      </c>
      <c r="AR2515" t="b">
        <v>0</v>
      </c>
      <c r="AS2515">
        <v>12</v>
      </c>
      <c r="AT2515" t="s">
        <v>327</v>
      </c>
      <c r="AV2515" t="s">
        <v>818</v>
      </c>
    </row>
    <row r="2516" spans="1:48" x14ac:dyDescent="0.25">
      <c r="A2516" t="s">
        <v>3323</v>
      </c>
      <c r="B2516" t="s">
        <v>302</v>
      </c>
      <c r="C2516" t="s">
        <v>62</v>
      </c>
      <c r="D2516">
        <v>99999</v>
      </c>
      <c r="F2516" s="109">
        <v>7000</v>
      </c>
      <c r="G2516" t="b">
        <v>0</v>
      </c>
      <c r="H2516" t="s">
        <v>339</v>
      </c>
      <c r="K2516" t="s">
        <v>393</v>
      </c>
      <c r="L2516" t="s">
        <v>303</v>
      </c>
      <c r="M2516" t="s">
        <v>323</v>
      </c>
      <c r="N2516" t="s">
        <v>63</v>
      </c>
      <c r="O2516" s="110">
        <v>29.9</v>
      </c>
      <c r="R2516" s="110">
        <v>314.89</v>
      </c>
      <c r="S2516" s="110">
        <v>69.900000000000006</v>
      </c>
      <c r="T2516" s="110">
        <v>0</v>
      </c>
      <c r="U2516" s="110">
        <v>42.99</v>
      </c>
      <c r="X2516">
        <v>132.1</v>
      </c>
      <c r="Y2516">
        <v>69.900000000000006</v>
      </c>
      <c r="Z2516">
        <v>69.900000000000006</v>
      </c>
      <c r="AA2516">
        <v>0</v>
      </c>
      <c r="AB2516" t="s">
        <v>363</v>
      </c>
      <c r="AF2516" t="s">
        <v>919</v>
      </c>
      <c r="AG2516" t="s">
        <v>919</v>
      </c>
      <c r="AH2516" t="s">
        <v>758</v>
      </c>
      <c r="AI2516">
        <v>99999</v>
      </c>
      <c r="AJ2516">
        <v>99999</v>
      </c>
      <c r="AK2516">
        <v>699</v>
      </c>
      <c r="AL2516" t="b">
        <v>1</v>
      </c>
      <c r="AM2516" t="b">
        <v>1</v>
      </c>
      <c r="AN2516" t="b">
        <v>0</v>
      </c>
      <c r="AO2516">
        <v>99999</v>
      </c>
      <c r="AP2516" t="s">
        <v>64</v>
      </c>
      <c r="AR2516" t="b">
        <v>0</v>
      </c>
      <c r="AS2516">
        <v>12</v>
      </c>
      <c r="AT2516" t="s">
        <v>327</v>
      </c>
      <c r="AV2516" t="s">
        <v>952</v>
      </c>
    </row>
    <row r="2517" spans="1:48" x14ac:dyDescent="0.25">
      <c r="A2517" t="s">
        <v>3323</v>
      </c>
      <c r="B2517" t="s">
        <v>302</v>
      </c>
      <c r="C2517" t="s">
        <v>62</v>
      </c>
      <c r="D2517">
        <v>99999</v>
      </c>
      <c r="F2517" s="109">
        <v>7000</v>
      </c>
      <c r="G2517" t="b">
        <v>0</v>
      </c>
      <c r="H2517" t="s">
        <v>339</v>
      </c>
      <c r="K2517" t="s">
        <v>393</v>
      </c>
      <c r="L2517" t="s">
        <v>303</v>
      </c>
      <c r="M2517" t="s">
        <v>323</v>
      </c>
      <c r="N2517" t="s">
        <v>63</v>
      </c>
      <c r="O2517" s="110">
        <v>29.9</v>
      </c>
      <c r="R2517" s="110">
        <v>329.89</v>
      </c>
      <c r="S2517" s="110">
        <v>70</v>
      </c>
      <c r="T2517" s="110">
        <v>0</v>
      </c>
      <c r="U2517" s="110">
        <v>42.99</v>
      </c>
      <c r="X2517">
        <v>147</v>
      </c>
      <c r="Y2517">
        <v>69.900000000000006</v>
      </c>
      <c r="Z2517">
        <v>69.900000000000006</v>
      </c>
      <c r="AA2517">
        <v>0</v>
      </c>
      <c r="AB2517" t="s">
        <v>363</v>
      </c>
      <c r="AF2517" t="s">
        <v>1067</v>
      </c>
      <c r="AG2517" t="s">
        <v>1067</v>
      </c>
      <c r="AH2517" t="s">
        <v>758</v>
      </c>
      <c r="AI2517">
        <v>99999</v>
      </c>
      <c r="AJ2517">
        <v>99999</v>
      </c>
      <c r="AK2517">
        <v>699</v>
      </c>
      <c r="AL2517" t="b">
        <v>1</v>
      </c>
      <c r="AM2517" t="b">
        <v>1</v>
      </c>
      <c r="AN2517" t="b">
        <v>0</v>
      </c>
      <c r="AO2517">
        <v>99999</v>
      </c>
      <c r="AP2517" t="s">
        <v>64</v>
      </c>
      <c r="AR2517" t="b">
        <v>0</v>
      </c>
      <c r="AS2517">
        <v>12</v>
      </c>
      <c r="AT2517" t="s">
        <v>327</v>
      </c>
      <c r="AV2517" t="s">
        <v>1100</v>
      </c>
    </row>
    <row r="2518" spans="1:48" x14ac:dyDescent="0.25">
      <c r="A2518" t="s">
        <v>3323</v>
      </c>
      <c r="B2518" t="s">
        <v>302</v>
      </c>
      <c r="C2518" t="s">
        <v>62</v>
      </c>
      <c r="D2518">
        <v>99999</v>
      </c>
      <c r="F2518" s="109">
        <v>7000</v>
      </c>
      <c r="G2518" t="b">
        <v>0</v>
      </c>
      <c r="H2518" t="s">
        <v>339</v>
      </c>
      <c r="K2518" t="s">
        <v>393</v>
      </c>
      <c r="L2518" t="s">
        <v>303</v>
      </c>
      <c r="M2518" t="s">
        <v>323</v>
      </c>
      <c r="N2518" t="s">
        <v>63</v>
      </c>
      <c r="O2518" s="110">
        <v>39.9</v>
      </c>
      <c r="R2518" s="110">
        <v>299.89</v>
      </c>
      <c r="S2518" s="110">
        <v>69.900000000000006</v>
      </c>
      <c r="T2518" s="110">
        <v>0</v>
      </c>
      <c r="U2518" s="110">
        <v>42.99</v>
      </c>
      <c r="X2518">
        <v>117.1</v>
      </c>
      <c r="Y2518">
        <v>69.900000000000006</v>
      </c>
      <c r="Z2518">
        <v>69.900000000000006</v>
      </c>
      <c r="AA2518">
        <v>0</v>
      </c>
      <c r="AB2518" t="s">
        <v>363</v>
      </c>
      <c r="AF2518" t="s">
        <v>852</v>
      </c>
      <c r="AG2518" t="s">
        <v>852</v>
      </c>
      <c r="AH2518" t="s">
        <v>758</v>
      </c>
      <c r="AI2518">
        <v>99999</v>
      </c>
      <c r="AJ2518">
        <v>99999</v>
      </c>
      <c r="AK2518">
        <v>699</v>
      </c>
      <c r="AL2518" t="b">
        <v>1</v>
      </c>
      <c r="AM2518" t="b">
        <v>1</v>
      </c>
      <c r="AN2518" t="b">
        <v>0</v>
      </c>
      <c r="AO2518">
        <v>99999</v>
      </c>
      <c r="AP2518" t="s">
        <v>64</v>
      </c>
      <c r="AR2518" t="b">
        <v>0</v>
      </c>
      <c r="AS2518">
        <v>12</v>
      </c>
      <c r="AT2518" t="s">
        <v>327</v>
      </c>
      <c r="AV2518" t="s">
        <v>885</v>
      </c>
    </row>
    <row r="2519" spans="1:48" x14ac:dyDescent="0.25">
      <c r="A2519" t="s">
        <v>3323</v>
      </c>
      <c r="B2519" t="s">
        <v>302</v>
      </c>
      <c r="C2519" t="s">
        <v>62</v>
      </c>
      <c r="D2519">
        <v>99999</v>
      </c>
      <c r="F2519" s="109">
        <v>7000</v>
      </c>
      <c r="G2519" t="b">
        <v>0</v>
      </c>
      <c r="H2519" t="s">
        <v>339</v>
      </c>
      <c r="K2519" t="s">
        <v>393</v>
      </c>
      <c r="L2519" t="s">
        <v>303</v>
      </c>
      <c r="M2519" t="s">
        <v>323</v>
      </c>
      <c r="N2519" t="s">
        <v>63</v>
      </c>
      <c r="O2519" s="110">
        <v>39.9</v>
      </c>
      <c r="R2519" s="110">
        <v>314.89</v>
      </c>
      <c r="S2519" s="110">
        <v>69.900000000000006</v>
      </c>
      <c r="T2519" s="110">
        <v>0</v>
      </c>
      <c r="U2519" s="110">
        <v>42.99</v>
      </c>
      <c r="X2519">
        <v>132.1</v>
      </c>
      <c r="Y2519">
        <v>69.900000000000006</v>
      </c>
      <c r="Z2519">
        <v>69.900000000000006</v>
      </c>
      <c r="AA2519">
        <v>0</v>
      </c>
      <c r="AB2519" t="s">
        <v>363</v>
      </c>
      <c r="AF2519" t="s">
        <v>986</v>
      </c>
      <c r="AG2519" t="s">
        <v>986</v>
      </c>
      <c r="AH2519" t="s">
        <v>758</v>
      </c>
      <c r="AI2519">
        <v>99999</v>
      </c>
      <c r="AJ2519">
        <v>99999</v>
      </c>
      <c r="AK2519">
        <v>699</v>
      </c>
      <c r="AL2519" t="b">
        <v>1</v>
      </c>
      <c r="AM2519" t="b">
        <v>1</v>
      </c>
      <c r="AN2519" t="b">
        <v>0</v>
      </c>
      <c r="AO2519">
        <v>99999</v>
      </c>
      <c r="AP2519" t="s">
        <v>64</v>
      </c>
      <c r="AR2519" t="b">
        <v>0</v>
      </c>
      <c r="AS2519">
        <v>12</v>
      </c>
      <c r="AT2519" t="s">
        <v>327</v>
      </c>
      <c r="AV2519" t="s">
        <v>1019</v>
      </c>
    </row>
    <row r="2520" spans="1:48" x14ac:dyDescent="0.25">
      <c r="A2520" t="s">
        <v>3323</v>
      </c>
      <c r="B2520" t="s">
        <v>302</v>
      </c>
      <c r="C2520" t="s">
        <v>62</v>
      </c>
      <c r="D2520">
        <v>99999</v>
      </c>
      <c r="F2520" s="109">
        <v>7000</v>
      </c>
      <c r="G2520" t="b">
        <v>0</v>
      </c>
      <c r="H2520" t="s">
        <v>339</v>
      </c>
      <c r="K2520" t="s">
        <v>393</v>
      </c>
      <c r="L2520" t="s">
        <v>303</v>
      </c>
      <c r="M2520" t="s">
        <v>323</v>
      </c>
      <c r="N2520" t="s">
        <v>63</v>
      </c>
      <c r="O2520" s="110">
        <v>39.9</v>
      </c>
      <c r="R2520" s="110">
        <v>329.89</v>
      </c>
      <c r="S2520" s="110">
        <v>70</v>
      </c>
      <c r="T2520" s="110">
        <v>0</v>
      </c>
      <c r="U2520" s="110">
        <v>42.99</v>
      </c>
      <c r="X2520">
        <v>147</v>
      </c>
      <c r="Y2520">
        <v>69.900000000000006</v>
      </c>
      <c r="Z2520">
        <v>69.900000000000006</v>
      </c>
      <c r="AA2520">
        <v>0</v>
      </c>
      <c r="AB2520" t="s">
        <v>363</v>
      </c>
      <c r="AF2520" t="s">
        <v>1134</v>
      </c>
      <c r="AG2520" t="s">
        <v>1134</v>
      </c>
      <c r="AH2520" t="s">
        <v>758</v>
      </c>
      <c r="AI2520">
        <v>99999</v>
      </c>
      <c r="AJ2520">
        <v>99999</v>
      </c>
      <c r="AK2520">
        <v>699</v>
      </c>
      <c r="AL2520" t="b">
        <v>1</v>
      </c>
      <c r="AM2520" t="b">
        <v>1</v>
      </c>
      <c r="AN2520" t="b">
        <v>0</v>
      </c>
      <c r="AO2520">
        <v>99999</v>
      </c>
      <c r="AP2520" t="s">
        <v>64</v>
      </c>
      <c r="AR2520" t="b">
        <v>0</v>
      </c>
      <c r="AS2520">
        <v>12</v>
      </c>
      <c r="AT2520" t="s">
        <v>327</v>
      </c>
      <c r="AV2520" t="s">
        <v>1167</v>
      </c>
    </row>
    <row r="2521" spans="1:48" x14ac:dyDescent="0.25">
      <c r="A2521" t="s">
        <v>3323</v>
      </c>
      <c r="B2521" t="s">
        <v>302</v>
      </c>
      <c r="C2521" t="s">
        <v>62</v>
      </c>
      <c r="D2521">
        <v>99999</v>
      </c>
      <c r="F2521" s="109">
        <v>7000</v>
      </c>
      <c r="G2521" t="b">
        <v>0</v>
      </c>
      <c r="H2521" t="s">
        <v>339</v>
      </c>
      <c r="K2521" t="s">
        <v>393</v>
      </c>
      <c r="L2521" t="s">
        <v>303</v>
      </c>
      <c r="M2521" t="s">
        <v>323</v>
      </c>
      <c r="N2521" t="s">
        <v>63</v>
      </c>
      <c r="O2521" s="110">
        <v>49.9</v>
      </c>
      <c r="R2521" s="110">
        <v>345.69</v>
      </c>
      <c r="S2521" s="110">
        <v>130</v>
      </c>
      <c r="T2521" s="110">
        <v>0</v>
      </c>
      <c r="U2521" s="110">
        <v>34.99</v>
      </c>
      <c r="X2521">
        <v>110.79999999999998</v>
      </c>
      <c r="Y2521">
        <v>69.900000000000006</v>
      </c>
      <c r="Z2521">
        <v>69.900000000000006</v>
      </c>
      <c r="AA2521">
        <v>0</v>
      </c>
      <c r="AB2521" t="s">
        <v>363</v>
      </c>
      <c r="AF2521" t="s">
        <v>2494</v>
      </c>
      <c r="AG2521" t="s">
        <v>2494</v>
      </c>
      <c r="AH2521" t="s">
        <v>758</v>
      </c>
      <c r="AI2521">
        <v>99999</v>
      </c>
      <c r="AJ2521">
        <v>99999</v>
      </c>
      <c r="AK2521">
        <v>699</v>
      </c>
      <c r="AL2521" t="b">
        <v>1</v>
      </c>
      <c r="AM2521" t="b">
        <v>1</v>
      </c>
      <c r="AN2521" t="b">
        <v>0</v>
      </c>
      <c r="AO2521">
        <v>99999</v>
      </c>
      <c r="AP2521" t="s">
        <v>64</v>
      </c>
      <c r="AR2521" t="b">
        <v>0</v>
      </c>
      <c r="AS2521">
        <v>12</v>
      </c>
      <c r="AT2521" t="s">
        <v>327</v>
      </c>
      <c r="AV2521" t="s">
        <v>2527</v>
      </c>
    </row>
    <row r="2522" spans="1:48" x14ac:dyDescent="0.25">
      <c r="A2522" t="s">
        <v>3323</v>
      </c>
      <c r="B2522" t="s">
        <v>302</v>
      </c>
      <c r="C2522" t="s">
        <v>62</v>
      </c>
      <c r="D2522">
        <v>99999</v>
      </c>
      <c r="F2522" s="109">
        <v>7000</v>
      </c>
      <c r="G2522" t="b">
        <v>0</v>
      </c>
      <c r="H2522" t="s">
        <v>339</v>
      </c>
      <c r="K2522" t="s">
        <v>393</v>
      </c>
      <c r="L2522" t="s">
        <v>303</v>
      </c>
      <c r="M2522" t="s">
        <v>323</v>
      </c>
      <c r="N2522" t="s">
        <v>63</v>
      </c>
      <c r="O2522" s="110">
        <v>49.9</v>
      </c>
      <c r="R2522" s="110">
        <v>359.99</v>
      </c>
      <c r="S2522" s="110">
        <v>130</v>
      </c>
      <c r="T2522" s="110">
        <v>0</v>
      </c>
      <c r="U2522" s="110">
        <v>42.99</v>
      </c>
      <c r="X2522">
        <v>117.1</v>
      </c>
      <c r="Y2522">
        <v>69.900000000000006</v>
      </c>
      <c r="Z2522">
        <v>69.900000000000006</v>
      </c>
      <c r="AA2522">
        <v>0</v>
      </c>
      <c r="AB2522" t="s">
        <v>363</v>
      </c>
      <c r="AF2522" t="s">
        <v>2568</v>
      </c>
      <c r="AG2522" t="s">
        <v>2568</v>
      </c>
      <c r="AH2522" t="s">
        <v>758</v>
      </c>
      <c r="AI2522">
        <v>99999</v>
      </c>
      <c r="AJ2522">
        <v>99999</v>
      </c>
      <c r="AK2522">
        <v>699</v>
      </c>
      <c r="AL2522" t="b">
        <v>1</v>
      </c>
      <c r="AM2522" t="b">
        <v>1</v>
      </c>
      <c r="AN2522" t="b">
        <v>0</v>
      </c>
      <c r="AO2522">
        <v>99999</v>
      </c>
      <c r="AP2522" t="s">
        <v>64</v>
      </c>
      <c r="AR2522" t="b">
        <v>0</v>
      </c>
      <c r="AS2522">
        <v>12</v>
      </c>
      <c r="AT2522" t="s">
        <v>327</v>
      </c>
      <c r="AV2522" t="s">
        <v>2601</v>
      </c>
    </row>
    <row r="2523" spans="1:48" x14ac:dyDescent="0.25">
      <c r="A2523" t="s">
        <v>3323</v>
      </c>
      <c r="B2523" t="s">
        <v>302</v>
      </c>
      <c r="C2523" t="s">
        <v>62</v>
      </c>
      <c r="D2523">
        <v>99999</v>
      </c>
      <c r="F2523" s="109">
        <v>7000</v>
      </c>
      <c r="G2523" t="b">
        <v>0</v>
      </c>
      <c r="H2523" t="s">
        <v>339</v>
      </c>
      <c r="K2523" t="s">
        <v>393</v>
      </c>
      <c r="L2523" t="s">
        <v>303</v>
      </c>
      <c r="M2523" t="s">
        <v>323</v>
      </c>
      <c r="N2523" t="s">
        <v>63</v>
      </c>
      <c r="O2523" s="110">
        <v>49.9</v>
      </c>
      <c r="R2523" s="110">
        <v>374.99</v>
      </c>
      <c r="S2523" s="110">
        <v>130</v>
      </c>
      <c r="T2523" s="110">
        <v>0</v>
      </c>
      <c r="U2523" s="110">
        <v>42.99</v>
      </c>
      <c r="X2523">
        <v>132.1</v>
      </c>
      <c r="Y2523">
        <v>69.900000000000006</v>
      </c>
      <c r="Z2523">
        <v>69.900000000000006</v>
      </c>
      <c r="AA2523">
        <v>0</v>
      </c>
      <c r="AB2523" t="s">
        <v>363</v>
      </c>
      <c r="AF2523" t="s">
        <v>2633</v>
      </c>
      <c r="AG2523" t="s">
        <v>2633</v>
      </c>
      <c r="AH2523" t="s">
        <v>758</v>
      </c>
      <c r="AI2523">
        <v>99999</v>
      </c>
      <c r="AJ2523">
        <v>99999</v>
      </c>
      <c r="AK2523">
        <v>699</v>
      </c>
      <c r="AL2523" t="b">
        <v>1</v>
      </c>
      <c r="AM2523" t="b">
        <v>1</v>
      </c>
      <c r="AN2523" t="b">
        <v>0</v>
      </c>
      <c r="AO2523">
        <v>99999</v>
      </c>
      <c r="AP2523" t="s">
        <v>64</v>
      </c>
      <c r="AR2523" t="b">
        <v>0</v>
      </c>
      <c r="AS2523">
        <v>12</v>
      </c>
      <c r="AT2523" t="s">
        <v>327</v>
      </c>
      <c r="AV2523" t="s">
        <v>2664</v>
      </c>
    </row>
    <row r="2524" spans="1:48" x14ac:dyDescent="0.25">
      <c r="A2524" t="s">
        <v>3323</v>
      </c>
      <c r="B2524" t="s">
        <v>302</v>
      </c>
      <c r="C2524" t="s">
        <v>62</v>
      </c>
      <c r="D2524">
        <v>99999</v>
      </c>
      <c r="F2524" s="109">
        <v>7000</v>
      </c>
      <c r="G2524" t="b">
        <v>0</v>
      </c>
      <c r="H2524" t="s">
        <v>339</v>
      </c>
      <c r="K2524" t="s">
        <v>393</v>
      </c>
      <c r="L2524" t="s">
        <v>303</v>
      </c>
      <c r="M2524" t="s">
        <v>323</v>
      </c>
      <c r="N2524" t="s">
        <v>63</v>
      </c>
      <c r="O2524" s="110">
        <v>49.9</v>
      </c>
      <c r="R2524" s="110">
        <v>389.89</v>
      </c>
      <c r="S2524" s="110">
        <v>130</v>
      </c>
      <c r="T2524" s="110">
        <v>0</v>
      </c>
      <c r="U2524" s="110">
        <v>42.99</v>
      </c>
      <c r="X2524">
        <v>147</v>
      </c>
      <c r="Y2524">
        <v>69.900000000000006</v>
      </c>
      <c r="Z2524">
        <v>69.900000000000006</v>
      </c>
      <c r="AA2524">
        <v>0</v>
      </c>
      <c r="AB2524" t="s">
        <v>363</v>
      </c>
      <c r="AF2524" t="s">
        <v>2704</v>
      </c>
      <c r="AG2524" t="s">
        <v>2704</v>
      </c>
      <c r="AH2524" t="s">
        <v>758</v>
      </c>
      <c r="AI2524">
        <v>99999</v>
      </c>
      <c r="AJ2524">
        <v>99999</v>
      </c>
      <c r="AK2524">
        <v>699</v>
      </c>
      <c r="AL2524" t="b">
        <v>1</v>
      </c>
      <c r="AM2524" t="b">
        <v>1</v>
      </c>
      <c r="AN2524" t="b">
        <v>0</v>
      </c>
      <c r="AO2524">
        <v>99999</v>
      </c>
      <c r="AP2524" t="s">
        <v>64</v>
      </c>
      <c r="AR2524" t="b">
        <v>0</v>
      </c>
      <c r="AS2524">
        <v>12</v>
      </c>
      <c r="AT2524" t="s">
        <v>327</v>
      </c>
      <c r="AV2524" t="s">
        <v>2737</v>
      </c>
    </row>
    <row r="2525" spans="1:48" x14ac:dyDescent="0.25">
      <c r="A2525" t="s">
        <v>3323</v>
      </c>
      <c r="B2525" t="s">
        <v>302</v>
      </c>
      <c r="C2525" t="s">
        <v>62</v>
      </c>
      <c r="D2525">
        <v>99999</v>
      </c>
      <c r="F2525" s="109">
        <v>7000</v>
      </c>
      <c r="G2525" t="b">
        <v>0</v>
      </c>
      <c r="H2525" t="s">
        <v>339</v>
      </c>
      <c r="K2525" t="s">
        <v>364</v>
      </c>
      <c r="L2525" t="s">
        <v>303</v>
      </c>
      <c r="M2525" t="s">
        <v>323</v>
      </c>
      <c r="N2525" t="s">
        <v>63</v>
      </c>
      <c r="O2525" s="110">
        <v>29.9</v>
      </c>
      <c r="R2525" s="110">
        <v>279.89</v>
      </c>
      <c r="S2525" s="110">
        <v>69.900000000000006</v>
      </c>
      <c r="T2525" s="110">
        <v>0</v>
      </c>
      <c r="U2525" s="110">
        <v>42.99</v>
      </c>
      <c r="X2525">
        <v>117.1</v>
      </c>
      <c r="Y2525">
        <v>49.9</v>
      </c>
      <c r="Z2525">
        <v>49.9</v>
      </c>
      <c r="AA2525">
        <v>0</v>
      </c>
      <c r="AB2525" t="s">
        <v>363</v>
      </c>
      <c r="AF2525" t="s">
        <v>785</v>
      </c>
      <c r="AG2525" t="s">
        <v>785</v>
      </c>
      <c r="AH2525" t="s">
        <v>758</v>
      </c>
      <c r="AI2525">
        <v>99999</v>
      </c>
      <c r="AJ2525">
        <v>99999</v>
      </c>
      <c r="AK2525">
        <v>699</v>
      </c>
      <c r="AL2525" t="b">
        <v>1</v>
      </c>
      <c r="AM2525" t="b">
        <v>1</v>
      </c>
      <c r="AN2525" t="b">
        <v>0</v>
      </c>
      <c r="AO2525">
        <v>99999</v>
      </c>
      <c r="AP2525" t="s">
        <v>64</v>
      </c>
      <c r="AR2525" t="b">
        <v>0</v>
      </c>
      <c r="AS2525">
        <v>12</v>
      </c>
      <c r="AT2525" t="s">
        <v>327</v>
      </c>
      <c r="AV2525" t="s">
        <v>792</v>
      </c>
    </row>
    <row r="2526" spans="1:48" x14ac:dyDescent="0.25">
      <c r="A2526" t="s">
        <v>3323</v>
      </c>
      <c r="B2526" t="s">
        <v>302</v>
      </c>
      <c r="C2526" t="s">
        <v>62</v>
      </c>
      <c r="D2526">
        <v>99999</v>
      </c>
      <c r="F2526" s="109">
        <v>7000</v>
      </c>
      <c r="G2526" t="b">
        <v>0</v>
      </c>
      <c r="H2526" t="s">
        <v>339</v>
      </c>
      <c r="K2526" t="s">
        <v>364</v>
      </c>
      <c r="L2526" t="s">
        <v>303</v>
      </c>
      <c r="M2526" t="s">
        <v>323</v>
      </c>
      <c r="N2526" t="s">
        <v>63</v>
      </c>
      <c r="O2526" s="110">
        <v>29.9</v>
      </c>
      <c r="R2526" s="110">
        <v>294.89</v>
      </c>
      <c r="S2526" s="110">
        <v>69.900000000000006</v>
      </c>
      <c r="T2526" s="110">
        <v>0</v>
      </c>
      <c r="U2526" s="110">
        <v>42.99</v>
      </c>
      <c r="X2526">
        <v>132.1</v>
      </c>
      <c r="Y2526">
        <v>49.9</v>
      </c>
      <c r="Z2526">
        <v>49.9</v>
      </c>
      <c r="AA2526">
        <v>0</v>
      </c>
      <c r="AB2526" t="s">
        <v>363</v>
      </c>
      <c r="AF2526" t="s">
        <v>919</v>
      </c>
      <c r="AG2526" t="s">
        <v>919</v>
      </c>
      <c r="AH2526" t="s">
        <v>758</v>
      </c>
      <c r="AI2526">
        <v>99999</v>
      </c>
      <c r="AJ2526">
        <v>99999</v>
      </c>
      <c r="AK2526">
        <v>699</v>
      </c>
      <c r="AL2526" t="b">
        <v>1</v>
      </c>
      <c r="AM2526" t="b">
        <v>1</v>
      </c>
      <c r="AN2526" t="b">
        <v>0</v>
      </c>
      <c r="AO2526">
        <v>99999</v>
      </c>
      <c r="AP2526" t="s">
        <v>64</v>
      </c>
      <c r="AR2526" t="b">
        <v>0</v>
      </c>
      <c r="AS2526">
        <v>12</v>
      </c>
      <c r="AT2526" t="s">
        <v>327</v>
      </c>
      <c r="AV2526" t="s">
        <v>926</v>
      </c>
    </row>
    <row r="2527" spans="1:48" x14ac:dyDescent="0.25">
      <c r="A2527" t="s">
        <v>3323</v>
      </c>
      <c r="B2527" t="s">
        <v>302</v>
      </c>
      <c r="C2527" t="s">
        <v>62</v>
      </c>
      <c r="D2527">
        <v>99999</v>
      </c>
      <c r="F2527" s="109">
        <v>7000</v>
      </c>
      <c r="G2527" t="b">
        <v>0</v>
      </c>
      <c r="H2527" t="s">
        <v>339</v>
      </c>
      <c r="K2527" t="s">
        <v>364</v>
      </c>
      <c r="L2527" t="s">
        <v>303</v>
      </c>
      <c r="M2527" t="s">
        <v>323</v>
      </c>
      <c r="N2527" t="s">
        <v>63</v>
      </c>
      <c r="O2527" s="110">
        <v>29.9</v>
      </c>
      <c r="R2527" s="110">
        <v>309.89</v>
      </c>
      <c r="S2527" s="110">
        <v>70</v>
      </c>
      <c r="T2527" s="110">
        <v>0</v>
      </c>
      <c r="U2527" s="110">
        <v>42.99</v>
      </c>
      <c r="X2527">
        <v>147</v>
      </c>
      <c r="Y2527">
        <v>49.9</v>
      </c>
      <c r="Z2527">
        <v>49.9</v>
      </c>
      <c r="AA2527">
        <v>0</v>
      </c>
      <c r="AB2527" t="s">
        <v>363</v>
      </c>
      <c r="AF2527" t="s">
        <v>1067</v>
      </c>
      <c r="AG2527" t="s">
        <v>1067</v>
      </c>
      <c r="AH2527" t="s">
        <v>758</v>
      </c>
      <c r="AI2527">
        <v>99999</v>
      </c>
      <c r="AJ2527">
        <v>99999</v>
      </c>
      <c r="AK2527">
        <v>699</v>
      </c>
      <c r="AL2527" t="b">
        <v>1</v>
      </c>
      <c r="AM2527" t="b">
        <v>1</v>
      </c>
      <c r="AN2527" t="b">
        <v>0</v>
      </c>
      <c r="AO2527">
        <v>99999</v>
      </c>
      <c r="AP2527" t="s">
        <v>64</v>
      </c>
      <c r="AR2527" t="b">
        <v>0</v>
      </c>
      <c r="AS2527">
        <v>12</v>
      </c>
      <c r="AT2527" t="s">
        <v>327</v>
      </c>
      <c r="AV2527" t="s">
        <v>1074</v>
      </c>
    </row>
    <row r="2528" spans="1:48" x14ac:dyDescent="0.25">
      <c r="A2528" t="s">
        <v>3323</v>
      </c>
      <c r="B2528" t="s">
        <v>302</v>
      </c>
      <c r="C2528" t="s">
        <v>62</v>
      </c>
      <c r="D2528">
        <v>99999</v>
      </c>
      <c r="F2528" s="109">
        <v>7000</v>
      </c>
      <c r="G2528" t="b">
        <v>0</v>
      </c>
      <c r="H2528" t="s">
        <v>339</v>
      </c>
      <c r="K2528" t="s">
        <v>364</v>
      </c>
      <c r="L2528" t="s">
        <v>303</v>
      </c>
      <c r="M2528" t="s">
        <v>323</v>
      </c>
      <c r="N2528" t="s">
        <v>63</v>
      </c>
      <c r="O2528" s="110">
        <v>39.9</v>
      </c>
      <c r="R2528" s="110">
        <v>279.89</v>
      </c>
      <c r="S2528" s="110">
        <v>69.900000000000006</v>
      </c>
      <c r="T2528" s="110">
        <v>0</v>
      </c>
      <c r="U2528" s="110">
        <v>42.99</v>
      </c>
      <c r="X2528">
        <v>117.1</v>
      </c>
      <c r="Y2528">
        <v>49.9</v>
      </c>
      <c r="Z2528">
        <v>49.9</v>
      </c>
      <c r="AA2528">
        <v>0</v>
      </c>
      <c r="AB2528" t="s">
        <v>363</v>
      </c>
      <c r="AF2528" t="s">
        <v>852</v>
      </c>
      <c r="AG2528" t="s">
        <v>852</v>
      </c>
      <c r="AH2528" t="s">
        <v>758</v>
      </c>
      <c r="AI2528">
        <v>99999</v>
      </c>
      <c r="AJ2528">
        <v>99999</v>
      </c>
      <c r="AK2528">
        <v>699</v>
      </c>
      <c r="AL2528" t="b">
        <v>1</v>
      </c>
      <c r="AM2528" t="b">
        <v>1</v>
      </c>
      <c r="AN2528" t="b">
        <v>0</v>
      </c>
      <c r="AO2528">
        <v>99999</v>
      </c>
      <c r="AP2528" t="s">
        <v>64</v>
      </c>
      <c r="AR2528" t="b">
        <v>0</v>
      </c>
      <c r="AS2528">
        <v>12</v>
      </c>
      <c r="AT2528" t="s">
        <v>327</v>
      </c>
      <c r="AV2528" t="s">
        <v>859</v>
      </c>
    </row>
    <row r="2529" spans="1:48" x14ac:dyDescent="0.25">
      <c r="A2529" t="s">
        <v>3323</v>
      </c>
      <c r="B2529" t="s">
        <v>302</v>
      </c>
      <c r="C2529" t="s">
        <v>62</v>
      </c>
      <c r="D2529">
        <v>99999</v>
      </c>
      <c r="F2529" s="109">
        <v>7000</v>
      </c>
      <c r="G2529" t="b">
        <v>0</v>
      </c>
      <c r="H2529" t="s">
        <v>339</v>
      </c>
      <c r="K2529" t="s">
        <v>364</v>
      </c>
      <c r="L2529" t="s">
        <v>303</v>
      </c>
      <c r="M2529" t="s">
        <v>323</v>
      </c>
      <c r="N2529" t="s">
        <v>63</v>
      </c>
      <c r="O2529" s="110">
        <v>39.9</v>
      </c>
      <c r="R2529" s="110">
        <v>294.89</v>
      </c>
      <c r="S2529" s="110">
        <v>69.900000000000006</v>
      </c>
      <c r="T2529" s="110">
        <v>0</v>
      </c>
      <c r="U2529" s="110">
        <v>42.99</v>
      </c>
      <c r="X2529">
        <v>132.1</v>
      </c>
      <c r="Y2529">
        <v>49.9</v>
      </c>
      <c r="Z2529">
        <v>49.9</v>
      </c>
      <c r="AA2529">
        <v>0</v>
      </c>
      <c r="AB2529" t="s">
        <v>363</v>
      </c>
      <c r="AF2529" t="s">
        <v>986</v>
      </c>
      <c r="AG2529" t="s">
        <v>986</v>
      </c>
      <c r="AH2529" t="s">
        <v>758</v>
      </c>
      <c r="AI2529">
        <v>99999</v>
      </c>
      <c r="AJ2529">
        <v>99999</v>
      </c>
      <c r="AK2529">
        <v>699</v>
      </c>
      <c r="AL2529" t="b">
        <v>1</v>
      </c>
      <c r="AM2529" t="b">
        <v>1</v>
      </c>
      <c r="AN2529" t="b">
        <v>0</v>
      </c>
      <c r="AO2529">
        <v>99999</v>
      </c>
      <c r="AP2529" t="s">
        <v>64</v>
      </c>
      <c r="AR2529" t="b">
        <v>0</v>
      </c>
      <c r="AS2529">
        <v>12</v>
      </c>
      <c r="AT2529" t="s">
        <v>327</v>
      </c>
      <c r="AV2529" t="s">
        <v>993</v>
      </c>
    </row>
    <row r="2530" spans="1:48" x14ac:dyDescent="0.25">
      <c r="A2530" t="s">
        <v>3323</v>
      </c>
      <c r="B2530" t="s">
        <v>302</v>
      </c>
      <c r="C2530" t="s">
        <v>62</v>
      </c>
      <c r="D2530">
        <v>99999</v>
      </c>
      <c r="F2530" s="109">
        <v>7000</v>
      </c>
      <c r="G2530" t="b">
        <v>0</v>
      </c>
      <c r="H2530" t="s">
        <v>339</v>
      </c>
      <c r="K2530" t="s">
        <v>364</v>
      </c>
      <c r="L2530" t="s">
        <v>303</v>
      </c>
      <c r="M2530" t="s">
        <v>323</v>
      </c>
      <c r="N2530" t="s">
        <v>63</v>
      </c>
      <c r="O2530" s="110">
        <v>39.9</v>
      </c>
      <c r="R2530" s="110">
        <v>309.89</v>
      </c>
      <c r="S2530" s="110">
        <v>70</v>
      </c>
      <c r="T2530" s="110">
        <v>0</v>
      </c>
      <c r="U2530" s="110">
        <v>42.99</v>
      </c>
      <c r="X2530">
        <v>147</v>
      </c>
      <c r="Y2530">
        <v>49.9</v>
      </c>
      <c r="Z2530">
        <v>49.9</v>
      </c>
      <c r="AA2530">
        <v>0</v>
      </c>
      <c r="AB2530" t="s">
        <v>363</v>
      </c>
      <c r="AF2530" t="s">
        <v>1134</v>
      </c>
      <c r="AG2530" t="s">
        <v>1134</v>
      </c>
      <c r="AH2530" t="s">
        <v>758</v>
      </c>
      <c r="AI2530">
        <v>99999</v>
      </c>
      <c r="AJ2530">
        <v>99999</v>
      </c>
      <c r="AK2530">
        <v>699</v>
      </c>
      <c r="AL2530" t="b">
        <v>1</v>
      </c>
      <c r="AM2530" t="b">
        <v>1</v>
      </c>
      <c r="AN2530" t="b">
        <v>0</v>
      </c>
      <c r="AO2530">
        <v>99999</v>
      </c>
      <c r="AP2530" t="s">
        <v>64</v>
      </c>
      <c r="AR2530" t="b">
        <v>0</v>
      </c>
      <c r="AS2530">
        <v>12</v>
      </c>
      <c r="AT2530" t="s">
        <v>327</v>
      </c>
      <c r="AV2530" t="s">
        <v>1141</v>
      </c>
    </row>
    <row r="2531" spans="1:48" x14ac:dyDescent="0.25">
      <c r="A2531" t="s">
        <v>3323</v>
      </c>
      <c r="B2531" t="s">
        <v>302</v>
      </c>
      <c r="C2531" t="s">
        <v>62</v>
      </c>
      <c r="D2531">
        <v>99999</v>
      </c>
      <c r="F2531" s="109">
        <v>7000</v>
      </c>
      <c r="G2531" t="b">
        <v>0</v>
      </c>
      <c r="H2531" t="s">
        <v>339</v>
      </c>
      <c r="K2531" t="s">
        <v>364</v>
      </c>
      <c r="L2531" t="s">
        <v>303</v>
      </c>
      <c r="M2531" t="s">
        <v>323</v>
      </c>
      <c r="N2531" t="s">
        <v>63</v>
      </c>
      <c r="O2531" s="110">
        <v>49.9</v>
      </c>
      <c r="R2531" s="110">
        <v>325.68999999999994</v>
      </c>
      <c r="S2531" s="110">
        <v>130</v>
      </c>
      <c r="T2531" s="110">
        <v>0</v>
      </c>
      <c r="U2531" s="110">
        <v>34.99</v>
      </c>
      <c r="X2531">
        <v>110.79999999999998</v>
      </c>
      <c r="Y2531">
        <v>49.9</v>
      </c>
      <c r="Z2531">
        <v>49.9</v>
      </c>
      <c r="AA2531">
        <v>0</v>
      </c>
      <c r="AB2531" t="s">
        <v>363</v>
      </c>
      <c r="AF2531" t="s">
        <v>2494</v>
      </c>
      <c r="AG2531" t="s">
        <v>2494</v>
      </c>
      <c r="AH2531" t="s">
        <v>758</v>
      </c>
      <c r="AI2531">
        <v>99999</v>
      </c>
      <c r="AJ2531">
        <v>99999</v>
      </c>
      <c r="AK2531">
        <v>699</v>
      </c>
      <c r="AL2531" t="b">
        <v>1</v>
      </c>
      <c r="AM2531" t="b">
        <v>1</v>
      </c>
      <c r="AN2531" t="b">
        <v>0</v>
      </c>
      <c r="AO2531">
        <v>99999</v>
      </c>
      <c r="AP2531" t="s">
        <v>64</v>
      </c>
      <c r="AR2531" t="b">
        <v>0</v>
      </c>
      <c r="AS2531">
        <v>12</v>
      </c>
      <c r="AT2531" t="s">
        <v>327</v>
      </c>
      <c r="AV2531" t="s">
        <v>2501</v>
      </c>
    </row>
    <row r="2532" spans="1:48" x14ac:dyDescent="0.25">
      <c r="A2532" t="s">
        <v>3323</v>
      </c>
      <c r="B2532" t="s">
        <v>302</v>
      </c>
      <c r="C2532" t="s">
        <v>62</v>
      </c>
      <c r="D2532">
        <v>99999</v>
      </c>
      <c r="F2532" s="109">
        <v>7000</v>
      </c>
      <c r="G2532" t="b">
        <v>0</v>
      </c>
      <c r="H2532" t="s">
        <v>339</v>
      </c>
      <c r="K2532" t="s">
        <v>364</v>
      </c>
      <c r="L2532" t="s">
        <v>303</v>
      </c>
      <c r="M2532" t="s">
        <v>323</v>
      </c>
      <c r="N2532" t="s">
        <v>63</v>
      </c>
      <c r="O2532" s="110">
        <v>49.9</v>
      </c>
      <c r="R2532" s="110">
        <v>339.99</v>
      </c>
      <c r="S2532" s="110">
        <v>130</v>
      </c>
      <c r="T2532" s="110">
        <v>0</v>
      </c>
      <c r="U2532" s="110">
        <v>42.99</v>
      </c>
      <c r="X2532">
        <v>117.1</v>
      </c>
      <c r="Y2532">
        <v>49.9</v>
      </c>
      <c r="Z2532">
        <v>49.9</v>
      </c>
      <c r="AA2532">
        <v>0</v>
      </c>
      <c r="AB2532" t="s">
        <v>363</v>
      </c>
      <c r="AF2532" t="s">
        <v>2568</v>
      </c>
      <c r="AG2532" t="s">
        <v>2568</v>
      </c>
      <c r="AH2532" t="s">
        <v>758</v>
      </c>
      <c r="AI2532">
        <v>99999</v>
      </c>
      <c r="AJ2532">
        <v>99999</v>
      </c>
      <c r="AK2532">
        <v>699</v>
      </c>
      <c r="AL2532" t="b">
        <v>1</v>
      </c>
      <c r="AM2532" t="b">
        <v>1</v>
      </c>
      <c r="AN2532" t="b">
        <v>0</v>
      </c>
      <c r="AO2532">
        <v>99999</v>
      </c>
      <c r="AP2532" t="s">
        <v>64</v>
      </c>
      <c r="AR2532" t="b">
        <v>0</v>
      </c>
      <c r="AS2532">
        <v>12</v>
      </c>
      <c r="AT2532" t="s">
        <v>327</v>
      </c>
      <c r="AV2532" t="s">
        <v>2575</v>
      </c>
    </row>
    <row r="2533" spans="1:48" x14ac:dyDescent="0.25">
      <c r="A2533" t="s">
        <v>3323</v>
      </c>
      <c r="B2533" t="s">
        <v>302</v>
      </c>
      <c r="C2533" t="s">
        <v>62</v>
      </c>
      <c r="D2533">
        <v>99999</v>
      </c>
      <c r="F2533" s="109">
        <v>7000</v>
      </c>
      <c r="G2533" t="b">
        <v>0</v>
      </c>
      <c r="H2533" t="s">
        <v>339</v>
      </c>
      <c r="K2533" t="s">
        <v>364</v>
      </c>
      <c r="L2533" t="s">
        <v>303</v>
      </c>
      <c r="M2533" t="s">
        <v>323</v>
      </c>
      <c r="N2533" t="s">
        <v>63</v>
      </c>
      <c r="O2533" s="110">
        <v>49.9</v>
      </c>
      <c r="R2533" s="110">
        <v>354.99</v>
      </c>
      <c r="S2533" s="110">
        <v>130</v>
      </c>
      <c r="T2533" s="110">
        <v>0</v>
      </c>
      <c r="U2533" s="110">
        <v>42.99</v>
      </c>
      <c r="X2533">
        <v>132.1</v>
      </c>
      <c r="Y2533">
        <v>49.9</v>
      </c>
      <c r="Z2533">
        <v>49.9</v>
      </c>
      <c r="AA2533">
        <v>0</v>
      </c>
      <c r="AB2533" t="s">
        <v>363</v>
      </c>
      <c r="AF2533" t="s">
        <v>2633</v>
      </c>
      <c r="AG2533" t="s">
        <v>2633</v>
      </c>
      <c r="AH2533" t="s">
        <v>758</v>
      </c>
      <c r="AI2533">
        <v>99999</v>
      </c>
      <c r="AJ2533">
        <v>99999</v>
      </c>
      <c r="AK2533">
        <v>699</v>
      </c>
      <c r="AL2533" t="b">
        <v>1</v>
      </c>
      <c r="AM2533" t="b">
        <v>1</v>
      </c>
      <c r="AN2533" t="b">
        <v>0</v>
      </c>
      <c r="AO2533">
        <v>99999</v>
      </c>
      <c r="AP2533" t="s">
        <v>64</v>
      </c>
      <c r="AR2533" t="b">
        <v>0</v>
      </c>
      <c r="AS2533">
        <v>12</v>
      </c>
      <c r="AT2533" t="s">
        <v>327</v>
      </c>
      <c r="AV2533" t="s">
        <v>2640</v>
      </c>
    </row>
    <row r="2534" spans="1:48" x14ac:dyDescent="0.25">
      <c r="A2534" t="s">
        <v>3323</v>
      </c>
      <c r="B2534" t="s">
        <v>302</v>
      </c>
      <c r="C2534" t="s">
        <v>62</v>
      </c>
      <c r="D2534">
        <v>99999</v>
      </c>
      <c r="F2534" s="109">
        <v>7000</v>
      </c>
      <c r="G2534" t="b">
        <v>0</v>
      </c>
      <c r="H2534" t="s">
        <v>339</v>
      </c>
      <c r="K2534" t="s">
        <v>364</v>
      </c>
      <c r="L2534" t="s">
        <v>303</v>
      </c>
      <c r="M2534" t="s">
        <v>323</v>
      </c>
      <c r="N2534" t="s">
        <v>63</v>
      </c>
      <c r="O2534" s="110">
        <v>49.9</v>
      </c>
      <c r="R2534" s="110">
        <v>369.89</v>
      </c>
      <c r="S2534" s="110">
        <v>130</v>
      </c>
      <c r="T2534" s="110">
        <v>0</v>
      </c>
      <c r="U2534" s="110">
        <v>42.99</v>
      </c>
      <c r="X2534">
        <v>147</v>
      </c>
      <c r="Y2534">
        <v>49.9</v>
      </c>
      <c r="Z2534">
        <v>49.9</v>
      </c>
      <c r="AA2534">
        <v>0</v>
      </c>
      <c r="AB2534" t="s">
        <v>363</v>
      </c>
      <c r="AF2534" t="s">
        <v>2704</v>
      </c>
      <c r="AG2534" t="s">
        <v>2704</v>
      </c>
      <c r="AH2534" t="s">
        <v>758</v>
      </c>
      <c r="AI2534">
        <v>99999</v>
      </c>
      <c r="AJ2534">
        <v>99999</v>
      </c>
      <c r="AK2534">
        <v>699</v>
      </c>
      <c r="AL2534" t="b">
        <v>1</v>
      </c>
      <c r="AM2534" t="b">
        <v>1</v>
      </c>
      <c r="AN2534" t="b">
        <v>0</v>
      </c>
      <c r="AO2534">
        <v>99999</v>
      </c>
      <c r="AP2534" t="s">
        <v>64</v>
      </c>
      <c r="AR2534" t="b">
        <v>0</v>
      </c>
      <c r="AS2534">
        <v>12</v>
      </c>
      <c r="AT2534" t="s">
        <v>327</v>
      </c>
      <c r="AV2534" t="s">
        <v>2711</v>
      </c>
    </row>
    <row r="2535" spans="1:48" x14ac:dyDescent="0.25">
      <c r="A2535" t="s">
        <v>3323</v>
      </c>
      <c r="B2535" t="s">
        <v>302</v>
      </c>
      <c r="C2535" t="s">
        <v>62</v>
      </c>
      <c r="D2535">
        <v>99999</v>
      </c>
      <c r="F2535" s="109">
        <v>7000</v>
      </c>
      <c r="G2535" t="b">
        <v>0</v>
      </c>
      <c r="H2535" t="s">
        <v>339</v>
      </c>
      <c r="K2535" t="s">
        <v>379</v>
      </c>
      <c r="L2535" t="s">
        <v>303</v>
      </c>
      <c r="M2535" t="s">
        <v>323</v>
      </c>
      <c r="N2535" t="s">
        <v>63</v>
      </c>
      <c r="O2535" s="110">
        <v>29.9</v>
      </c>
      <c r="R2535" s="110">
        <v>289.89</v>
      </c>
      <c r="S2535" s="110">
        <v>69.900000000000006</v>
      </c>
      <c r="T2535" s="110">
        <v>0</v>
      </c>
      <c r="U2535" s="110">
        <v>42.99</v>
      </c>
      <c r="X2535">
        <v>117.1</v>
      </c>
      <c r="Y2535">
        <v>59.9</v>
      </c>
      <c r="Z2535">
        <v>59.9</v>
      </c>
      <c r="AA2535">
        <v>0</v>
      </c>
      <c r="AB2535" t="s">
        <v>363</v>
      </c>
      <c r="AF2535" t="s">
        <v>785</v>
      </c>
      <c r="AG2535" t="s">
        <v>785</v>
      </c>
      <c r="AH2535" t="s">
        <v>758</v>
      </c>
      <c r="AI2535">
        <v>99999</v>
      </c>
      <c r="AJ2535">
        <v>99999</v>
      </c>
      <c r="AK2535">
        <v>699</v>
      </c>
      <c r="AL2535" t="b">
        <v>1</v>
      </c>
      <c r="AM2535" t="b">
        <v>1</v>
      </c>
      <c r="AN2535" t="b">
        <v>0</v>
      </c>
      <c r="AO2535">
        <v>99999</v>
      </c>
      <c r="AP2535" t="s">
        <v>64</v>
      </c>
      <c r="AR2535" t="b">
        <v>0</v>
      </c>
      <c r="AS2535">
        <v>12</v>
      </c>
      <c r="AT2535" t="s">
        <v>327</v>
      </c>
      <c r="AV2535" t="s">
        <v>805</v>
      </c>
    </row>
    <row r="2536" spans="1:48" x14ac:dyDescent="0.25">
      <c r="A2536" t="s">
        <v>3323</v>
      </c>
      <c r="B2536" t="s">
        <v>302</v>
      </c>
      <c r="C2536" t="s">
        <v>62</v>
      </c>
      <c r="D2536">
        <v>99999</v>
      </c>
      <c r="F2536" s="109">
        <v>7000</v>
      </c>
      <c r="G2536" t="b">
        <v>0</v>
      </c>
      <c r="H2536" t="s">
        <v>339</v>
      </c>
      <c r="K2536" t="s">
        <v>379</v>
      </c>
      <c r="L2536" t="s">
        <v>303</v>
      </c>
      <c r="M2536" t="s">
        <v>323</v>
      </c>
      <c r="N2536" t="s">
        <v>63</v>
      </c>
      <c r="O2536" s="110">
        <v>29.9</v>
      </c>
      <c r="R2536" s="110">
        <v>304.89</v>
      </c>
      <c r="S2536" s="110">
        <v>69.900000000000006</v>
      </c>
      <c r="T2536" s="110">
        <v>0</v>
      </c>
      <c r="U2536" s="110">
        <v>42.99</v>
      </c>
      <c r="X2536">
        <v>132.1</v>
      </c>
      <c r="Y2536">
        <v>59.9</v>
      </c>
      <c r="Z2536">
        <v>59.9</v>
      </c>
      <c r="AA2536">
        <v>0</v>
      </c>
      <c r="AB2536" t="s">
        <v>363</v>
      </c>
      <c r="AF2536" t="s">
        <v>919</v>
      </c>
      <c r="AG2536" t="s">
        <v>919</v>
      </c>
      <c r="AH2536" t="s">
        <v>758</v>
      </c>
      <c r="AI2536">
        <v>99999</v>
      </c>
      <c r="AJ2536">
        <v>99999</v>
      </c>
      <c r="AK2536">
        <v>699</v>
      </c>
      <c r="AL2536" t="b">
        <v>1</v>
      </c>
      <c r="AM2536" t="b">
        <v>1</v>
      </c>
      <c r="AN2536" t="b">
        <v>0</v>
      </c>
      <c r="AO2536">
        <v>99999</v>
      </c>
      <c r="AP2536" t="s">
        <v>64</v>
      </c>
      <c r="AR2536" t="b">
        <v>0</v>
      </c>
      <c r="AS2536">
        <v>12</v>
      </c>
      <c r="AT2536" t="s">
        <v>327</v>
      </c>
      <c r="AV2536" t="s">
        <v>939</v>
      </c>
    </row>
    <row r="2537" spans="1:48" x14ac:dyDescent="0.25">
      <c r="A2537" t="s">
        <v>3323</v>
      </c>
      <c r="B2537" t="s">
        <v>302</v>
      </c>
      <c r="C2537" t="s">
        <v>62</v>
      </c>
      <c r="D2537">
        <v>99999</v>
      </c>
      <c r="F2537" s="109">
        <v>7000</v>
      </c>
      <c r="G2537" t="b">
        <v>0</v>
      </c>
      <c r="H2537" t="s">
        <v>339</v>
      </c>
      <c r="K2537" t="s">
        <v>379</v>
      </c>
      <c r="L2537" t="s">
        <v>303</v>
      </c>
      <c r="M2537" t="s">
        <v>323</v>
      </c>
      <c r="N2537" t="s">
        <v>63</v>
      </c>
      <c r="O2537" s="110">
        <v>29.9</v>
      </c>
      <c r="R2537" s="110">
        <v>319.89</v>
      </c>
      <c r="S2537" s="110">
        <v>70</v>
      </c>
      <c r="T2537" s="110">
        <v>0</v>
      </c>
      <c r="U2537" s="110">
        <v>42.99</v>
      </c>
      <c r="X2537">
        <v>147</v>
      </c>
      <c r="Y2537">
        <v>59.9</v>
      </c>
      <c r="Z2537">
        <v>59.9</v>
      </c>
      <c r="AA2537">
        <v>0</v>
      </c>
      <c r="AB2537" t="s">
        <v>363</v>
      </c>
      <c r="AF2537" t="s">
        <v>1067</v>
      </c>
      <c r="AG2537" t="s">
        <v>1067</v>
      </c>
      <c r="AH2537" t="s">
        <v>758</v>
      </c>
      <c r="AI2537">
        <v>99999</v>
      </c>
      <c r="AJ2537">
        <v>99999</v>
      </c>
      <c r="AK2537">
        <v>699</v>
      </c>
      <c r="AL2537" t="b">
        <v>1</v>
      </c>
      <c r="AM2537" t="b">
        <v>1</v>
      </c>
      <c r="AN2537" t="b">
        <v>0</v>
      </c>
      <c r="AO2537">
        <v>99999</v>
      </c>
      <c r="AP2537" t="s">
        <v>64</v>
      </c>
      <c r="AR2537" t="b">
        <v>0</v>
      </c>
      <c r="AS2537">
        <v>12</v>
      </c>
      <c r="AT2537" t="s">
        <v>327</v>
      </c>
      <c r="AV2537" t="s">
        <v>1087</v>
      </c>
    </row>
    <row r="2538" spans="1:48" x14ac:dyDescent="0.25">
      <c r="A2538" t="s">
        <v>3323</v>
      </c>
      <c r="B2538" t="s">
        <v>302</v>
      </c>
      <c r="C2538" t="s">
        <v>62</v>
      </c>
      <c r="D2538">
        <v>99999</v>
      </c>
      <c r="F2538" s="109">
        <v>7000</v>
      </c>
      <c r="G2538" t="b">
        <v>0</v>
      </c>
      <c r="H2538" t="s">
        <v>339</v>
      </c>
      <c r="K2538" t="s">
        <v>379</v>
      </c>
      <c r="L2538" t="s">
        <v>303</v>
      </c>
      <c r="M2538" t="s">
        <v>323</v>
      </c>
      <c r="N2538" t="s">
        <v>63</v>
      </c>
      <c r="O2538" s="110">
        <v>39.9</v>
      </c>
      <c r="R2538" s="110">
        <v>289.89</v>
      </c>
      <c r="S2538" s="110">
        <v>69.900000000000006</v>
      </c>
      <c r="T2538" s="110">
        <v>0</v>
      </c>
      <c r="U2538" s="110">
        <v>42.99</v>
      </c>
      <c r="X2538">
        <v>117.1</v>
      </c>
      <c r="Y2538">
        <v>59.9</v>
      </c>
      <c r="Z2538">
        <v>59.9</v>
      </c>
      <c r="AA2538">
        <v>0</v>
      </c>
      <c r="AB2538" t="s">
        <v>363</v>
      </c>
      <c r="AF2538" t="s">
        <v>852</v>
      </c>
      <c r="AG2538" t="s">
        <v>852</v>
      </c>
      <c r="AH2538" t="s">
        <v>758</v>
      </c>
      <c r="AI2538">
        <v>99999</v>
      </c>
      <c r="AJ2538">
        <v>99999</v>
      </c>
      <c r="AK2538">
        <v>699</v>
      </c>
      <c r="AL2538" t="b">
        <v>1</v>
      </c>
      <c r="AM2538" t="b">
        <v>1</v>
      </c>
      <c r="AN2538" t="b">
        <v>0</v>
      </c>
      <c r="AO2538">
        <v>99999</v>
      </c>
      <c r="AP2538" t="s">
        <v>64</v>
      </c>
      <c r="AR2538" t="b">
        <v>0</v>
      </c>
      <c r="AS2538">
        <v>12</v>
      </c>
      <c r="AT2538" t="s">
        <v>327</v>
      </c>
      <c r="AV2538" t="s">
        <v>872</v>
      </c>
    </row>
    <row r="2539" spans="1:48" x14ac:dyDescent="0.25">
      <c r="A2539" t="s">
        <v>3323</v>
      </c>
      <c r="B2539" t="s">
        <v>302</v>
      </c>
      <c r="C2539" t="s">
        <v>62</v>
      </c>
      <c r="D2539">
        <v>99999</v>
      </c>
      <c r="F2539" s="109">
        <v>7000</v>
      </c>
      <c r="G2539" t="b">
        <v>0</v>
      </c>
      <c r="H2539" t="s">
        <v>339</v>
      </c>
      <c r="K2539" t="s">
        <v>379</v>
      </c>
      <c r="L2539" t="s">
        <v>303</v>
      </c>
      <c r="M2539" t="s">
        <v>323</v>
      </c>
      <c r="N2539" t="s">
        <v>63</v>
      </c>
      <c r="O2539" s="110">
        <v>39.9</v>
      </c>
      <c r="R2539" s="110">
        <v>304.89</v>
      </c>
      <c r="S2539" s="110">
        <v>69.900000000000006</v>
      </c>
      <c r="T2539" s="110">
        <v>0</v>
      </c>
      <c r="U2539" s="110">
        <v>42.99</v>
      </c>
      <c r="X2539">
        <v>132.1</v>
      </c>
      <c r="Y2539">
        <v>59.9</v>
      </c>
      <c r="Z2539">
        <v>59.9</v>
      </c>
      <c r="AA2539">
        <v>0</v>
      </c>
      <c r="AB2539" t="s">
        <v>363</v>
      </c>
      <c r="AF2539" t="s">
        <v>986</v>
      </c>
      <c r="AG2539" t="s">
        <v>986</v>
      </c>
      <c r="AH2539" t="s">
        <v>758</v>
      </c>
      <c r="AI2539">
        <v>99999</v>
      </c>
      <c r="AJ2539">
        <v>99999</v>
      </c>
      <c r="AK2539">
        <v>699</v>
      </c>
      <c r="AL2539" t="b">
        <v>1</v>
      </c>
      <c r="AM2539" t="b">
        <v>1</v>
      </c>
      <c r="AN2539" t="b">
        <v>0</v>
      </c>
      <c r="AO2539">
        <v>99999</v>
      </c>
      <c r="AP2539" t="s">
        <v>64</v>
      </c>
      <c r="AR2539" t="b">
        <v>0</v>
      </c>
      <c r="AS2539">
        <v>12</v>
      </c>
      <c r="AT2539" t="s">
        <v>327</v>
      </c>
      <c r="AV2539" t="s">
        <v>1006</v>
      </c>
    </row>
    <row r="2540" spans="1:48" x14ac:dyDescent="0.25">
      <c r="A2540" t="s">
        <v>3323</v>
      </c>
      <c r="B2540" t="s">
        <v>302</v>
      </c>
      <c r="C2540" t="s">
        <v>62</v>
      </c>
      <c r="D2540">
        <v>99999</v>
      </c>
      <c r="F2540" s="109">
        <v>7000</v>
      </c>
      <c r="G2540" t="b">
        <v>0</v>
      </c>
      <c r="H2540" t="s">
        <v>339</v>
      </c>
      <c r="K2540" t="s">
        <v>379</v>
      </c>
      <c r="L2540" t="s">
        <v>303</v>
      </c>
      <c r="M2540" t="s">
        <v>323</v>
      </c>
      <c r="N2540" t="s">
        <v>63</v>
      </c>
      <c r="O2540" s="110">
        <v>39.9</v>
      </c>
      <c r="R2540" s="110">
        <v>319.89</v>
      </c>
      <c r="S2540" s="110">
        <v>70</v>
      </c>
      <c r="T2540" s="110">
        <v>0</v>
      </c>
      <c r="U2540" s="110">
        <v>42.99</v>
      </c>
      <c r="X2540">
        <v>147</v>
      </c>
      <c r="Y2540">
        <v>59.9</v>
      </c>
      <c r="Z2540">
        <v>59.9</v>
      </c>
      <c r="AA2540">
        <v>0</v>
      </c>
      <c r="AB2540" t="s">
        <v>363</v>
      </c>
      <c r="AF2540" t="s">
        <v>1134</v>
      </c>
      <c r="AG2540" t="s">
        <v>1134</v>
      </c>
      <c r="AH2540" t="s">
        <v>758</v>
      </c>
      <c r="AI2540">
        <v>99999</v>
      </c>
      <c r="AJ2540">
        <v>99999</v>
      </c>
      <c r="AK2540">
        <v>699</v>
      </c>
      <c r="AL2540" t="b">
        <v>1</v>
      </c>
      <c r="AM2540" t="b">
        <v>1</v>
      </c>
      <c r="AN2540" t="b">
        <v>0</v>
      </c>
      <c r="AO2540">
        <v>99999</v>
      </c>
      <c r="AP2540" t="s">
        <v>64</v>
      </c>
      <c r="AR2540" t="b">
        <v>0</v>
      </c>
      <c r="AS2540">
        <v>12</v>
      </c>
      <c r="AT2540" t="s">
        <v>327</v>
      </c>
      <c r="AV2540" t="s">
        <v>1154</v>
      </c>
    </row>
    <row r="2541" spans="1:48" x14ac:dyDescent="0.25">
      <c r="A2541" t="s">
        <v>3323</v>
      </c>
      <c r="B2541" t="s">
        <v>302</v>
      </c>
      <c r="C2541" t="s">
        <v>62</v>
      </c>
      <c r="D2541">
        <v>99999</v>
      </c>
      <c r="F2541" s="109">
        <v>7000</v>
      </c>
      <c r="G2541" t="b">
        <v>0</v>
      </c>
      <c r="H2541" t="s">
        <v>339</v>
      </c>
      <c r="K2541" t="s">
        <v>379</v>
      </c>
      <c r="L2541" t="s">
        <v>303</v>
      </c>
      <c r="M2541" t="s">
        <v>323</v>
      </c>
      <c r="N2541" t="s">
        <v>63</v>
      </c>
      <c r="O2541" s="110">
        <v>49.9</v>
      </c>
      <c r="R2541" s="110">
        <v>335.68999999999994</v>
      </c>
      <c r="S2541" s="110">
        <v>130</v>
      </c>
      <c r="T2541" s="110">
        <v>0</v>
      </c>
      <c r="U2541" s="110">
        <v>34.99</v>
      </c>
      <c r="X2541">
        <v>110.79999999999998</v>
      </c>
      <c r="Y2541">
        <v>59.9</v>
      </c>
      <c r="Z2541">
        <v>59.9</v>
      </c>
      <c r="AA2541">
        <v>0</v>
      </c>
      <c r="AB2541" t="s">
        <v>363</v>
      </c>
      <c r="AF2541" t="s">
        <v>2494</v>
      </c>
      <c r="AG2541" t="s">
        <v>2494</v>
      </c>
      <c r="AH2541" t="s">
        <v>758</v>
      </c>
      <c r="AI2541">
        <v>99999</v>
      </c>
      <c r="AJ2541">
        <v>99999</v>
      </c>
      <c r="AK2541">
        <v>699</v>
      </c>
      <c r="AL2541" t="b">
        <v>1</v>
      </c>
      <c r="AM2541" t="b">
        <v>1</v>
      </c>
      <c r="AN2541" t="b">
        <v>0</v>
      </c>
      <c r="AO2541">
        <v>99999</v>
      </c>
      <c r="AP2541" t="s">
        <v>64</v>
      </c>
      <c r="AR2541" t="b">
        <v>0</v>
      </c>
      <c r="AS2541">
        <v>12</v>
      </c>
      <c r="AT2541" t="s">
        <v>327</v>
      </c>
      <c r="AV2541" t="s">
        <v>2514</v>
      </c>
    </row>
    <row r="2542" spans="1:48" x14ac:dyDescent="0.25">
      <c r="A2542" t="s">
        <v>3323</v>
      </c>
      <c r="B2542" t="s">
        <v>302</v>
      </c>
      <c r="C2542" t="s">
        <v>62</v>
      </c>
      <c r="D2542">
        <v>99999</v>
      </c>
      <c r="F2542" s="109">
        <v>7000</v>
      </c>
      <c r="G2542" t="b">
        <v>0</v>
      </c>
      <c r="H2542" t="s">
        <v>339</v>
      </c>
      <c r="K2542" t="s">
        <v>379</v>
      </c>
      <c r="L2542" t="s">
        <v>303</v>
      </c>
      <c r="M2542" t="s">
        <v>323</v>
      </c>
      <c r="N2542" t="s">
        <v>63</v>
      </c>
      <c r="O2542" s="110">
        <v>49.9</v>
      </c>
      <c r="R2542" s="110">
        <v>349.99</v>
      </c>
      <c r="S2542" s="110">
        <v>130</v>
      </c>
      <c r="T2542" s="110">
        <v>0</v>
      </c>
      <c r="U2542" s="110">
        <v>42.99</v>
      </c>
      <c r="X2542">
        <v>117.1</v>
      </c>
      <c r="Y2542">
        <v>59.9</v>
      </c>
      <c r="Z2542">
        <v>59.9</v>
      </c>
      <c r="AA2542">
        <v>0</v>
      </c>
      <c r="AB2542" t="s">
        <v>363</v>
      </c>
      <c r="AF2542" t="s">
        <v>2568</v>
      </c>
      <c r="AG2542" t="s">
        <v>2568</v>
      </c>
      <c r="AH2542" t="s">
        <v>758</v>
      </c>
      <c r="AI2542">
        <v>99999</v>
      </c>
      <c r="AJ2542">
        <v>99999</v>
      </c>
      <c r="AK2542">
        <v>699</v>
      </c>
      <c r="AL2542" t="b">
        <v>1</v>
      </c>
      <c r="AM2542" t="b">
        <v>1</v>
      </c>
      <c r="AN2542" t="b">
        <v>0</v>
      </c>
      <c r="AO2542">
        <v>99999</v>
      </c>
      <c r="AP2542" t="s">
        <v>64</v>
      </c>
      <c r="AR2542" t="b">
        <v>0</v>
      </c>
      <c r="AS2542">
        <v>12</v>
      </c>
      <c r="AT2542" t="s">
        <v>327</v>
      </c>
      <c r="AV2542" t="s">
        <v>2588</v>
      </c>
    </row>
    <row r="2543" spans="1:48" x14ac:dyDescent="0.25">
      <c r="A2543" t="s">
        <v>3323</v>
      </c>
      <c r="B2543" t="s">
        <v>302</v>
      </c>
      <c r="C2543" t="s">
        <v>62</v>
      </c>
      <c r="D2543">
        <v>99999</v>
      </c>
      <c r="F2543" s="109">
        <v>7000</v>
      </c>
      <c r="G2543" t="b">
        <v>0</v>
      </c>
      <c r="H2543" t="s">
        <v>339</v>
      </c>
      <c r="K2543" t="s">
        <v>379</v>
      </c>
      <c r="L2543" t="s">
        <v>303</v>
      </c>
      <c r="M2543" t="s">
        <v>323</v>
      </c>
      <c r="N2543" t="s">
        <v>63</v>
      </c>
      <c r="O2543" s="110">
        <v>49.9</v>
      </c>
      <c r="R2543" s="110">
        <v>364.99</v>
      </c>
      <c r="S2543" s="110">
        <v>130</v>
      </c>
      <c r="T2543" s="110">
        <v>0</v>
      </c>
      <c r="U2543" s="110">
        <v>42.99</v>
      </c>
      <c r="X2543">
        <v>132.1</v>
      </c>
      <c r="Y2543">
        <v>59.9</v>
      </c>
      <c r="Z2543">
        <v>59.9</v>
      </c>
      <c r="AA2543">
        <v>0</v>
      </c>
      <c r="AB2543" t="s">
        <v>363</v>
      </c>
      <c r="AF2543" t="s">
        <v>2633</v>
      </c>
      <c r="AG2543" t="s">
        <v>2633</v>
      </c>
      <c r="AH2543" t="s">
        <v>758</v>
      </c>
      <c r="AI2543">
        <v>99999</v>
      </c>
      <c r="AJ2543">
        <v>99999</v>
      </c>
      <c r="AK2543">
        <v>699</v>
      </c>
      <c r="AL2543" t="b">
        <v>1</v>
      </c>
      <c r="AM2543" t="b">
        <v>1</v>
      </c>
      <c r="AN2543" t="b">
        <v>0</v>
      </c>
      <c r="AO2543">
        <v>99999</v>
      </c>
      <c r="AP2543" t="s">
        <v>64</v>
      </c>
      <c r="AR2543" t="b">
        <v>0</v>
      </c>
      <c r="AS2543">
        <v>12</v>
      </c>
      <c r="AT2543" t="s">
        <v>327</v>
      </c>
      <c r="AV2543" t="s">
        <v>2652</v>
      </c>
    </row>
    <row r="2544" spans="1:48" x14ac:dyDescent="0.25">
      <c r="A2544" t="s">
        <v>3323</v>
      </c>
      <c r="B2544" t="s">
        <v>302</v>
      </c>
      <c r="C2544" t="s">
        <v>62</v>
      </c>
      <c r="D2544">
        <v>99999</v>
      </c>
      <c r="F2544" s="109">
        <v>7000</v>
      </c>
      <c r="G2544" t="b">
        <v>0</v>
      </c>
      <c r="H2544" t="s">
        <v>339</v>
      </c>
      <c r="K2544" t="s">
        <v>379</v>
      </c>
      <c r="L2544" t="s">
        <v>303</v>
      </c>
      <c r="M2544" t="s">
        <v>323</v>
      </c>
      <c r="N2544" t="s">
        <v>63</v>
      </c>
      <c r="O2544" s="110">
        <v>49.9</v>
      </c>
      <c r="R2544" s="110">
        <v>379.89</v>
      </c>
      <c r="S2544" s="110">
        <v>130</v>
      </c>
      <c r="T2544" s="110">
        <v>0</v>
      </c>
      <c r="U2544" s="110">
        <v>42.99</v>
      </c>
      <c r="X2544">
        <v>147</v>
      </c>
      <c r="Y2544">
        <v>59.9</v>
      </c>
      <c r="Z2544">
        <v>59.9</v>
      </c>
      <c r="AA2544">
        <v>0</v>
      </c>
      <c r="AB2544" t="s">
        <v>363</v>
      </c>
      <c r="AF2544" t="s">
        <v>2704</v>
      </c>
      <c r="AG2544" t="s">
        <v>2704</v>
      </c>
      <c r="AH2544" t="s">
        <v>758</v>
      </c>
      <c r="AI2544">
        <v>99999</v>
      </c>
      <c r="AJ2544">
        <v>99999</v>
      </c>
      <c r="AK2544">
        <v>699</v>
      </c>
      <c r="AL2544" t="b">
        <v>1</v>
      </c>
      <c r="AM2544" t="b">
        <v>1</v>
      </c>
      <c r="AN2544" t="b">
        <v>0</v>
      </c>
      <c r="AO2544">
        <v>99999</v>
      </c>
      <c r="AP2544" t="s">
        <v>64</v>
      </c>
      <c r="AR2544" t="b">
        <v>0</v>
      </c>
      <c r="AS2544">
        <v>12</v>
      </c>
      <c r="AT2544" t="s">
        <v>327</v>
      </c>
      <c r="AV2544" t="s">
        <v>2724</v>
      </c>
    </row>
    <row r="2545" spans="1:48" x14ac:dyDescent="0.25">
      <c r="A2545" t="s">
        <v>3323</v>
      </c>
      <c r="B2545" t="s">
        <v>302</v>
      </c>
      <c r="C2545" t="s">
        <v>62</v>
      </c>
      <c r="D2545">
        <v>99999</v>
      </c>
      <c r="F2545" s="109">
        <v>7000</v>
      </c>
      <c r="G2545" t="b">
        <v>0</v>
      </c>
      <c r="H2545" t="s">
        <v>339</v>
      </c>
      <c r="K2545" t="s">
        <v>61</v>
      </c>
      <c r="L2545" t="s">
        <v>303</v>
      </c>
      <c r="M2545" t="s">
        <v>323</v>
      </c>
      <c r="N2545" t="s">
        <v>63</v>
      </c>
      <c r="O2545">
        <v>29.9</v>
      </c>
      <c r="R2545">
        <v>274.89</v>
      </c>
      <c r="S2545">
        <v>69.900000000000006</v>
      </c>
      <c r="T2545" s="110">
        <v>0</v>
      </c>
      <c r="U2545">
        <v>42.99</v>
      </c>
      <c r="X2545">
        <v>117.1</v>
      </c>
      <c r="Y2545">
        <v>44.9</v>
      </c>
      <c r="Z2545">
        <v>44.9</v>
      </c>
      <c r="AA2545">
        <v>0</v>
      </c>
      <c r="AB2545" t="s">
        <v>324</v>
      </c>
      <c r="AF2545" t="s">
        <v>757</v>
      </c>
      <c r="AG2545" t="s">
        <v>757</v>
      </c>
      <c r="AH2545" t="s">
        <v>758</v>
      </c>
      <c r="AI2545">
        <v>99999</v>
      </c>
      <c r="AJ2545">
        <v>99999</v>
      </c>
      <c r="AK2545">
        <v>699</v>
      </c>
      <c r="AL2545" t="b">
        <v>1</v>
      </c>
      <c r="AM2545" t="b">
        <v>1</v>
      </c>
      <c r="AN2545" t="b">
        <v>0</v>
      </c>
      <c r="AO2545">
        <v>99999</v>
      </c>
      <c r="AP2545" t="s">
        <v>64</v>
      </c>
      <c r="AR2545" t="b">
        <v>0</v>
      </c>
      <c r="AS2545">
        <v>12</v>
      </c>
      <c r="AT2545" t="s">
        <v>327</v>
      </c>
      <c r="AV2545" t="s">
        <v>765</v>
      </c>
    </row>
    <row r="2546" spans="1:48" x14ac:dyDescent="0.25">
      <c r="A2546" t="s">
        <v>3323</v>
      </c>
      <c r="B2546" t="s">
        <v>302</v>
      </c>
      <c r="C2546" t="s">
        <v>62</v>
      </c>
      <c r="D2546">
        <v>99999</v>
      </c>
      <c r="F2546" s="109">
        <v>7000</v>
      </c>
      <c r="G2546" t="b">
        <v>0</v>
      </c>
      <c r="H2546" t="s">
        <v>339</v>
      </c>
      <c r="K2546" t="s">
        <v>61</v>
      </c>
      <c r="L2546" t="s">
        <v>303</v>
      </c>
      <c r="M2546" t="s">
        <v>323</v>
      </c>
      <c r="N2546" t="s">
        <v>63</v>
      </c>
      <c r="O2546" s="110">
        <v>29.9</v>
      </c>
      <c r="R2546" s="110">
        <v>289.89</v>
      </c>
      <c r="S2546" s="110">
        <v>69.900000000000006</v>
      </c>
      <c r="T2546" s="110">
        <v>0</v>
      </c>
      <c r="U2546" s="110">
        <v>42.99</v>
      </c>
      <c r="X2546">
        <v>132.1</v>
      </c>
      <c r="Y2546">
        <v>44.9</v>
      </c>
      <c r="Z2546">
        <v>44.9</v>
      </c>
      <c r="AA2546">
        <v>0</v>
      </c>
      <c r="AB2546" t="s">
        <v>324</v>
      </c>
      <c r="AF2546" t="s">
        <v>892</v>
      </c>
      <c r="AG2546" t="s">
        <v>892</v>
      </c>
      <c r="AH2546" t="s">
        <v>758</v>
      </c>
      <c r="AI2546">
        <v>99999</v>
      </c>
      <c r="AJ2546">
        <v>99999</v>
      </c>
      <c r="AK2546">
        <v>699</v>
      </c>
      <c r="AL2546" t="b">
        <v>1</v>
      </c>
      <c r="AM2546" t="b">
        <v>1</v>
      </c>
      <c r="AN2546" t="b">
        <v>0</v>
      </c>
      <c r="AO2546">
        <v>99999</v>
      </c>
      <c r="AP2546" t="s">
        <v>64</v>
      </c>
      <c r="AR2546" t="b">
        <v>0</v>
      </c>
      <c r="AS2546">
        <v>12</v>
      </c>
      <c r="AT2546" t="s">
        <v>327</v>
      </c>
      <c r="AV2546" t="s">
        <v>899</v>
      </c>
    </row>
    <row r="2547" spans="1:48" x14ac:dyDescent="0.25">
      <c r="A2547" t="s">
        <v>3323</v>
      </c>
      <c r="B2547" t="s">
        <v>302</v>
      </c>
      <c r="C2547" t="s">
        <v>62</v>
      </c>
      <c r="D2547">
        <v>99999</v>
      </c>
      <c r="F2547" s="109">
        <v>7000</v>
      </c>
      <c r="G2547" t="b">
        <v>0</v>
      </c>
      <c r="H2547" t="s">
        <v>339</v>
      </c>
      <c r="K2547" t="s">
        <v>61</v>
      </c>
      <c r="L2547" t="s">
        <v>303</v>
      </c>
      <c r="M2547" t="s">
        <v>323</v>
      </c>
      <c r="N2547" t="s">
        <v>63</v>
      </c>
      <c r="O2547" s="110">
        <v>29.9</v>
      </c>
      <c r="R2547" s="110">
        <v>304.89</v>
      </c>
      <c r="S2547" s="110">
        <v>70</v>
      </c>
      <c r="T2547" s="110">
        <v>0</v>
      </c>
      <c r="U2547" s="110">
        <v>42.99</v>
      </c>
      <c r="X2547">
        <v>147</v>
      </c>
      <c r="Y2547">
        <v>44.9</v>
      </c>
      <c r="Z2547">
        <v>44.9</v>
      </c>
      <c r="AA2547">
        <v>0</v>
      </c>
      <c r="AB2547" t="s">
        <v>324</v>
      </c>
      <c r="AF2547" t="s">
        <v>1040</v>
      </c>
      <c r="AG2547" t="s">
        <v>1040</v>
      </c>
      <c r="AH2547" t="s">
        <v>758</v>
      </c>
      <c r="AI2547">
        <v>99999</v>
      </c>
      <c r="AJ2547">
        <v>99999</v>
      </c>
      <c r="AK2547">
        <v>699</v>
      </c>
      <c r="AL2547" t="b">
        <v>1</v>
      </c>
      <c r="AM2547" t="b">
        <v>1</v>
      </c>
      <c r="AN2547" t="b">
        <v>0</v>
      </c>
      <c r="AO2547">
        <v>99999</v>
      </c>
      <c r="AP2547" t="s">
        <v>64</v>
      </c>
      <c r="AR2547" t="b">
        <v>0</v>
      </c>
      <c r="AS2547">
        <v>12</v>
      </c>
      <c r="AT2547" t="s">
        <v>327</v>
      </c>
      <c r="AV2547" t="s">
        <v>1047</v>
      </c>
    </row>
    <row r="2548" spans="1:48" x14ac:dyDescent="0.25">
      <c r="A2548" t="s">
        <v>3323</v>
      </c>
      <c r="B2548" t="s">
        <v>302</v>
      </c>
      <c r="C2548" t="s">
        <v>62</v>
      </c>
      <c r="D2548">
        <v>99999</v>
      </c>
      <c r="F2548" s="109">
        <v>7000</v>
      </c>
      <c r="G2548" t="b">
        <v>0</v>
      </c>
      <c r="H2548" t="s">
        <v>339</v>
      </c>
      <c r="K2548" t="s">
        <v>61</v>
      </c>
      <c r="L2548" t="s">
        <v>303</v>
      </c>
      <c r="M2548" t="s">
        <v>323</v>
      </c>
      <c r="N2548" t="s">
        <v>63</v>
      </c>
      <c r="O2548" s="110">
        <v>39.9</v>
      </c>
      <c r="R2548" s="110">
        <v>274.89</v>
      </c>
      <c r="S2548" s="110">
        <v>69.900000000000006</v>
      </c>
      <c r="T2548" s="110">
        <v>0</v>
      </c>
      <c r="U2548" s="110">
        <v>42.99</v>
      </c>
      <c r="X2548">
        <v>117.1</v>
      </c>
      <c r="Y2548">
        <v>44.9</v>
      </c>
      <c r="Z2548">
        <v>44.9</v>
      </c>
      <c r="AA2548">
        <v>0</v>
      </c>
      <c r="AB2548" t="s">
        <v>324</v>
      </c>
      <c r="AF2548" t="s">
        <v>825</v>
      </c>
      <c r="AG2548" t="s">
        <v>825</v>
      </c>
      <c r="AH2548" t="s">
        <v>758</v>
      </c>
      <c r="AI2548">
        <v>99999</v>
      </c>
      <c r="AJ2548">
        <v>99999</v>
      </c>
      <c r="AK2548">
        <v>699</v>
      </c>
      <c r="AL2548" t="b">
        <v>1</v>
      </c>
      <c r="AM2548" t="b">
        <v>1</v>
      </c>
      <c r="AN2548" t="b">
        <v>0</v>
      </c>
      <c r="AO2548">
        <v>99999</v>
      </c>
      <c r="AP2548" t="s">
        <v>64</v>
      </c>
      <c r="AR2548" t="b">
        <v>0</v>
      </c>
      <c r="AS2548">
        <v>12</v>
      </c>
      <c r="AT2548" t="s">
        <v>327</v>
      </c>
      <c r="AV2548" t="s">
        <v>832</v>
      </c>
    </row>
    <row r="2549" spans="1:48" x14ac:dyDescent="0.25">
      <c r="A2549" t="s">
        <v>3323</v>
      </c>
      <c r="B2549" t="s">
        <v>302</v>
      </c>
      <c r="C2549" t="s">
        <v>62</v>
      </c>
      <c r="D2549">
        <v>99999</v>
      </c>
      <c r="F2549" s="109">
        <v>7000</v>
      </c>
      <c r="G2549" t="b">
        <v>0</v>
      </c>
      <c r="H2549" t="s">
        <v>339</v>
      </c>
      <c r="K2549" t="s">
        <v>61</v>
      </c>
      <c r="L2549" t="s">
        <v>303</v>
      </c>
      <c r="M2549" t="s">
        <v>323</v>
      </c>
      <c r="N2549" t="s">
        <v>63</v>
      </c>
      <c r="O2549" s="110">
        <v>39.9</v>
      </c>
      <c r="R2549" s="110">
        <v>289.89</v>
      </c>
      <c r="S2549" s="110">
        <v>69.900000000000006</v>
      </c>
      <c r="T2549" s="110">
        <v>0</v>
      </c>
      <c r="U2549" s="110">
        <v>42.99</v>
      </c>
      <c r="X2549">
        <v>132.1</v>
      </c>
      <c r="Y2549">
        <v>44.9</v>
      </c>
      <c r="Z2549">
        <v>44.9</v>
      </c>
      <c r="AA2549">
        <v>0</v>
      </c>
      <c r="AB2549" t="s">
        <v>324</v>
      </c>
      <c r="AF2549" t="s">
        <v>959</v>
      </c>
      <c r="AG2549" t="s">
        <v>959</v>
      </c>
      <c r="AH2549" t="s">
        <v>758</v>
      </c>
      <c r="AI2549">
        <v>99999</v>
      </c>
      <c r="AJ2549">
        <v>99999</v>
      </c>
      <c r="AK2549">
        <v>699</v>
      </c>
      <c r="AL2549" t="b">
        <v>1</v>
      </c>
      <c r="AM2549" t="b">
        <v>1</v>
      </c>
      <c r="AN2549" t="b">
        <v>0</v>
      </c>
      <c r="AO2549">
        <v>99999</v>
      </c>
      <c r="AP2549" t="s">
        <v>64</v>
      </c>
      <c r="AR2549" t="b">
        <v>0</v>
      </c>
      <c r="AS2549">
        <v>12</v>
      </c>
      <c r="AT2549" t="s">
        <v>327</v>
      </c>
      <c r="AV2549" t="s">
        <v>966</v>
      </c>
    </row>
    <row r="2550" spans="1:48" x14ac:dyDescent="0.25">
      <c r="A2550" t="s">
        <v>3323</v>
      </c>
      <c r="B2550" t="s">
        <v>302</v>
      </c>
      <c r="C2550" t="s">
        <v>62</v>
      </c>
      <c r="D2550">
        <v>99999</v>
      </c>
      <c r="F2550" s="109">
        <v>7000</v>
      </c>
      <c r="G2550" t="b">
        <v>0</v>
      </c>
      <c r="H2550" t="s">
        <v>339</v>
      </c>
      <c r="K2550" t="s">
        <v>61</v>
      </c>
      <c r="L2550" t="s">
        <v>303</v>
      </c>
      <c r="M2550" t="s">
        <v>323</v>
      </c>
      <c r="N2550" t="s">
        <v>63</v>
      </c>
      <c r="O2550" s="110">
        <v>39.9</v>
      </c>
      <c r="R2550" s="110">
        <v>304.89</v>
      </c>
      <c r="S2550" s="110">
        <v>70</v>
      </c>
      <c r="T2550" s="110">
        <v>0</v>
      </c>
      <c r="U2550" s="110">
        <v>42.99</v>
      </c>
      <c r="X2550">
        <v>147</v>
      </c>
      <c r="Y2550">
        <v>44.9</v>
      </c>
      <c r="Z2550">
        <v>44.9</v>
      </c>
      <c r="AA2550">
        <v>0</v>
      </c>
      <c r="AB2550" t="s">
        <v>324</v>
      </c>
      <c r="AF2550" t="s">
        <v>1107</v>
      </c>
      <c r="AG2550" t="s">
        <v>1107</v>
      </c>
      <c r="AH2550" t="s">
        <v>758</v>
      </c>
      <c r="AI2550">
        <v>99999</v>
      </c>
      <c r="AJ2550">
        <v>99999</v>
      </c>
      <c r="AK2550">
        <v>699</v>
      </c>
      <c r="AL2550" t="b">
        <v>1</v>
      </c>
      <c r="AM2550" t="b">
        <v>1</v>
      </c>
      <c r="AN2550" t="b">
        <v>0</v>
      </c>
      <c r="AO2550">
        <v>99999</v>
      </c>
      <c r="AP2550" t="s">
        <v>64</v>
      </c>
      <c r="AR2550" t="b">
        <v>0</v>
      </c>
      <c r="AS2550">
        <v>12</v>
      </c>
      <c r="AT2550" t="s">
        <v>327</v>
      </c>
      <c r="AV2550" t="s">
        <v>1114</v>
      </c>
    </row>
    <row r="2551" spans="1:48" x14ac:dyDescent="0.25">
      <c r="A2551" t="s">
        <v>3323</v>
      </c>
      <c r="B2551" t="s">
        <v>302</v>
      </c>
      <c r="C2551" t="s">
        <v>62</v>
      </c>
      <c r="D2551">
        <v>99999</v>
      </c>
      <c r="F2551" s="109">
        <v>7000</v>
      </c>
      <c r="G2551" t="b">
        <v>0</v>
      </c>
      <c r="H2551" t="s">
        <v>339</v>
      </c>
      <c r="K2551" t="s">
        <v>61</v>
      </c>
      <c r="L2551" t="s">
        <v>303</v>
      </c>
      <c r="M2551" t="s">
        <v>323</v>
      </c>
      <c r="N2551" t="s">
        <v>63</v>
      </c>
      <c r="O2551" s="110">
        <v>49.9</v>
      </c>
      <c r="R2551" s="110">
        <v>320.68999999999994</v>
      </c>
      <c r="S2551" s="110">
        <v>130</v>
      </c>
      <c r="T2551" s="110">
        <v>0</v>
      </c>
      <c r="U2551" s="110">
        <v>34.99</v>
      </c>
      <c r="X2551">
        <v>110.79999999999998</v>
      </c>
      <c r="Y2551">
        <v>44.9</v>
      </c>
      <c r="Z2551">
        <v>44.9</v>
      </c>
      <c r="AA2551">
        <v>0</v>
      </c>
      <c r="AB2551" t="s">
        <v>324</v>
      </c>
      <c r="AF2551" t="s">
        <v>2467</v>
      </c>
      <c r="AG2551" t="s">
        <v>2467</v>
      </c>
      <c r="AH2551" t="s">
        <v>758</v>
      </c>
      <c r="AI2551">
        <v>99999</v>
      </c>
      <c r="AJ2551">
        <v>99999</v>
      </c>
      <c r="AK2551">
        <v>699</v>
      </c>
      <c r="AL2551" t="b">
        <v>1</v>
      </c>
      <c r="AM2551" t="b">
        <v>1</v>
      </c>
      <c r="AN2551" t="b">
        <v>0</v>
      </c>
      <c r="AO2551">
        <v>99999</v>
      </c>
      <c r="AP2551" t="s">
        <v>64</v>
      </c>
      <c r="AR2551" t="b">
        <v>0</v>
      </c>
      <c r="AS2551">
        <v>12</v>
      </c>
      <c r="AT2551" t="s">
        <v>327</v>
      </c>
      <c r="AV2551" t="s">
        <v>2474</v>
      </c>
    </row>
    <row r="2552" spans="1:48" x14ac:dyDescent="0.25">
      <c r="A2552" t="s">
        <v>3323</v>
      </c>
      <c r="B2552" t="s">
        <v>302</v>
      </c>
      <c r="C2552" t="s">
        <v>62</v>
      </c>
      <c r="D2552">
        <v>99999</v>
      </c>
      <c r="F2552" s="109">
        <v>7000</v>
      </c>
      <c r="G2552" t="b">
        <v>0</v>
      </c>
      <c r="H2552" t="s">
        <v>339</v>
      </c>
      <c r="K2552" t="s">
        <v>61</v>
      </c>
      <c r="L2552" t="s">
        <v>303</v>
      </c>
      <c r="M2552" t="s">
        <v>323</v>
      </c>
      <c r="N2552" t="s">
        <v>63</v>
      </c>
      <c r="O2552" s="110">
        <v>49.9</v>
      </c>
      <c r="R2552" s="110">
        <v>334.99</v>
      </c>
      <c r="S2552" s="110">
        <v>130</v>
      </c>
      <c r="T2552" s="110">
        <v>0</v>
      </c>
      <c r="U2552" s="110">
        <v>42.99</v>
      </c>
      <c r="X2552">
        <v>117.1</v>
      </c>
      <c r="Y2552">
        <v>44.9</v>
      </c>
      <c r="Z2552">
        <v>44.9</v>
      </c>
      <c r="AA2552">
        <v>0</v>
      </c>
      <c r="AB2552" t="s">
        <v>324</v>
      </c>
      <c r="AF2552" t="s">
        <v>2541</v>
      </c>
      <c r="AG2552" t="s">
        <v>2541</v>
      </c>
      <c r="AH2552" t="s">
        <v>758</v>
      </c>
      <c r="AI2552">
        <v>99999</v>
      </c>
      <c r="AJ2552">
        <v>99999</v>
      </c>
      <c r="AK2552">
        <v>699</v>
      </c>
      <c r="AL2552" t="b">
        <v>1</v>
      </c>
      <c r="AM2552" t="b">
        <v>1</v>
      </c>
      <c r="AN2552" t="b">
        <v>0</v>
      </c>
      <c r="AO2552">
        <v>99999</v>
      </c>
      <c r="AP2552" t="s">
        <v>64</v>
      </c>
      <c r="AR2552" t="b">
        <v>0</v>
      </c>
      <c r="AS2552">
        <v>12</v>
      </c>
      <c r="AT2552" t="s">
        <v>327</v>
      </c>
      <c r="AV2552" t="s">
        <v>2548</v>
      </c>
    </row>
    <row r="2553" spans="1:48" x14ac:dyDescent="0.25">
      <c r="A2553" t="s">
        <v>3323</v>
      </c>
      <c r="B2553" t="s">
        <v>302</v>
      </c>
      <c r="C2553" t="s">
        <v>62</v>
      </c>
      <c r="D2553">
        <v>99999</v>
      </c>
      <c r="F2553" s="109">
        <v>7000</v>
      </c>
      <c r="G2553" t="b">
        <v>0</v>
      </c>
      <c r="H2553" t="s">
        <v>339</v>
      </c>
      <c r="K2553" t="s">
        <v>61</v>
      </c>
      <c r="L2553" t="s">
        <v>303</v>
      </c>
      <c r="M2553" t="s">
        <v>323</v>
      </c>
      <c r="N2553" t="s">
        <v>63</v>
      </c>
      <c r="O2553" s="110">
        <v>49.9</v>
      </c>
      <c r="R2553" s="110">
        <v>349.99</v>
      </c>
      <c r="S2553" s="110">
        <v>130</v>
      </c>
      <c r="T2553" s="110">
        <v>0</v>
      </c>
      <c r="U2553" s="110">
        <v>42.99</v>
      </c>
      <c r="X2553">
        <v>132.1</v>
      </c>
      <c r="Y2553">
        <v>44.9</v>
      </c>
      <c r="Z2553">
        <v>44.9</v>
      </c>
      <c r="AA2553">
        <v>0</v>
      </c>
      <c r="AB2553" t="s">
        <v>324</v>
      </c>
      <c r="AF2553" t="s">
        <v>2608</v>
      </c>
      <c r="AG2553" t="s">
        <v>2608</v>
      </c>
      <c r="AH2553" t="s">
        <v>758</v>
      </c>
      <c r="AI2553">
        <v>99999</v>
      </c>
      <c r="AJ2553">
        <v>99999</v>
      </c>
      <c r="AK2553">
        <v>699</v>
      </c>
      <c r="AL2553" t="b">
        <v>1</v>
      </c>
      <c r="AM2553" t="b">
        <v>1</v>
      </c>
      <c r="AN2553" t="b">
        <v>0</v>
      </c>
      <c r="AO2553">
        <v>99999</v>
      </c>
      <c r="AP2553" t="s">
        <v>64</v>
      </c>
      <c r="AR2553" t="b">
        <v>0</v>
      </c>
      <c r="AS2553">
        <v>12</v>
      </c>
      <c r="AT2553" t="s">
        <v>327</v>
      </c>
      <c r="AV2553" t="s">
        <v>2615</v>
      </c>
    </row>
    <row r="2554" spans="1:48" x14ac:dyDescent="0.25">
      <c r="A2554" t="s">
        <v>3323</v>
      </c>
      <c r="B2554" t="s">
        <v>302</v>
      </c>
      <c r="C2554" t="s">
        <v>62</v>
      </c>
      <c r="D2554">
        <v>99999</v>
      </c>
      <c r="F2554" s="109">
        <v>7000</v>
      </c>
      <c r="G2554" t="b">
        <v>0</v>
      </c>
      <c r="H2554" t="s">
        <v>339</v>
      </c>
      <c r="K2554" t="s">
        <v>61</v>
      </c>
      <c r="L2554" t="s">
        <v>303</v>
      </c>
      <c r="M2554" t="s">
        <v>323</v>
      </c>
      <c r="N2554" t="s">
        <v>63</v>
      </c>
      <c r="O2554" s="110">
        <v>49.9</v>
      </c>
      <c r="R2554" s="110">
        <v>364.89</v>
      </c>
      <c r="S2554" s="110">
        <v>130</v>
      </c>
      <c r="T2554" s="110">
        <v>0</v>
      </c>
      <c r="U2554" s="110">
        <v>42.99</v>
      </c>
      <c r="X2554">
        <v>147</v>
      </c>
      <c r="Y2554">
        <v>44.9</v>
      </c>
      <c r="Z2554">
        <v>44.9</v>
      </c>
      <c r="AA2554">
        <v>0</v>
      </c>
      <c r="AB2554" t="s">
        <v>324</v>
      </c>
      <c r="AF2554" t="s">
        <v>2677</v>
      </c>
      <c r="AG2554" t="s">
        <v>2677</v>
      </c>
      <c r="AH2554" t="s">
        <v>758</v>
      </c>
      <c r="AI2554">
        <v>99999</v>
      </c>
      <c r="AJ2554">
        <v>99999</v>
      </c>
      <c r="AK2554">
        <v>699</v>
      </c>
      <c r="AL2554" t="b">
        <v>1</v>
      </c>
      <c r="AM2554" t="b">
        <v>1</v>
      </c>
      <c r="AN2554" t="b">
        <v>0</v>
      </c>
      <c r="AO2554">
        <v>99999</v>
      </c>
      <c r="AP2554" t="s">
        <v>64</v>
      </c>
      <c r="AR2554" t="b">
        <v>0</v>
      </c>
      <c r="AS2554">
        <v>12</v>
      </c>
      <c r="AT2554" t="s">
        <v>327</v>
      </c>
      <c r="AV2554" t="s">
        <v>2684</v>
      </c>
    </row>
    <row r="2555" spans="1:48" x14ac:dyDescent="0.25">
      <c r="A2555" t="s">
        <v>3323</v>
      </c>
      <c r="B2555" t="s">
        <v>302</v>
      </c>
      <c r="C2555" t="s">
        <v>62</v>
      </c>
      <c r="D2555">
        <v>99999</v>
      </c>
      <c r="F2555" s="109">
        <v>7000</v>
      </c>
      <c r="G2555" t="b">
        <v>0</v>
      </c>
      <c r="H2555" t="s">
        <v>337</v>
      </c>
      <c r="K2555" t="s">
        <v>349</v>
      </c>
      <c r="L2555" t="s">
        <v>303</v>
      </c>
      <c r="M2555" t="s">
        <v>323</v>
      </c>
      <c r="N2555" t="s">
        <v>63</v>
      </c>
      <c r="O2555" s="110">
        <v>29.9</v>
      </c>
      <c r="R2555" s="110">
        <v>239.89000000000001</v>
      </c>
      <c r="S2555" s="110">
        <v>69.900000000000006</v>
      </c>
      <c r="T2555" s="110">
        <v>0</v>
      </c>
      <c r="U2555" s="110">
        <v>42.99</v>
      </c>
      <c r="X2555">
        <v>82.1</v>
      </c>
      <c r="Y2555">
        <v>44.9</v>
      </c>
      <c r="Z2555">
        <v>44.9</v>
      </c>
      <c r="AA2555">
        <v>0</v>
      </c>
      <c r="AB2555" t="s">
        <v>324</v>
      </c>
      <c r="AF2555" t="s">
        <v>757</v>
      </c>
      <c r="AG2555" t="s">
        <v>757</v>
      </c>
      <c r="AH2555" t="s">
        <v>758</v>
      </c>
      <c r="AI2555">
        <v>99999</v>
      </c>
      <c r="AJ2555">
        <v>99999</v>
      </c>
      <c r="AK2555">
        <v>699</v>
      </c>
      <c r="AL2555" t="b">
        <v>1</v>
      </c>
      <c r="AM2555" t="b">
        <v>1</v>
      </c>
      <c r="AN2555" t="b">
        <v>0</v>
      </c>
      <c r="AO2555">
        <v>99999</v>
      </c>
      <c r="AP2555" t="s">
        <v>64</v>
      </c>
      <c r="AR2555" t="b">
        <v>0</v>
      </c>
      <c r="AS2555">
        <v>12</v>
      </c>
      <c r="AT2555" t="s">
        <v>327</v>
      </c>
      <c r="AV2555" t="s">
        <v>777</v>
      </c>
    </row>
    <row r="2556" spans="1:48" x14ac:dyDescent="0.25">
      <c r="A2556" t="s">
        <v>3323</v>
      </c>
      <c r="B2556" t="s">
        <v>302</v>
      </c>
      <c r="C2556" t="s">
        <v>62</v>
      </c>
      <c r="D2556">
        <v>99999</v>
      </c>
      <c r="F2556" s="109">
        <v>7000</v>
      </c>
      <c r="G2556" t="b">
        <v>0</v>
      </c>
      <c r="H2556" t="s">
        <v>337</v>
      </c>
      <c r="K2556" t="s">
        <v>349</v>
      </c>
      <c r="L2556" t="s">
        <v>303</v>
      </c>
      <c r="M2556" t="s">
        <v>323</v>
      </c>
      <c r="N2556" t="s">
        <v>63</v>
      </c>
      <c r="O2556" s="110">
        <v>29.9</v>
      </c>
      <c r="R2556" s="110">
        <v>254.89000000000001</v>
      </c>
      <c r="S2556" s="110">
        <v>69.900000000000006</v>
      </c>
      <c r="T2556" s="110">
        <v>0</v>
      </c>
      <c r="U2556" s="110">
        <v>42.99</v>
      </c>
      <c r="X2556">
        <v>97.1</v>
      </c>
      <c r="Y2556">
        <v>44.9</v>
      </c>
      <c r="Z2556">
        <v>44.9</v>
      </c>
      <c r="AA2556">
        <v>0</v>
      </c>
      <c r="AB2556" t="s">
        <v>324</v>
      </c>
      <c r="AF2556" t="s">
        <v>892</v>
      </c>
      <c r="AG2556" t="s">
        <v>892</v>
      </c>
      <c r="AH2556" t="s">
        <v>758</v>
      </c>
      <c r="AI2556">
        <v>99999</v>
      </c>
      <c r="AJ2556">
        <v>99999</v>
      </c>
      <c r="AK2556">
        <v>699</v>
      </c>
      <c r="AL2556" t="b">
        <v>1</v>
      </c>
      <c r="AM2556" t="b">
        <v>1</v>
      </c>
      <c r="AN2556" t="b">
        <v>0</v>
      </c>
      <c r="AO2556">
        <v>99999</v>
      </c>
      <c r="AP2556" t="s">
        <v>64</v>
      </c>
      <c r="AR2556" t="b">
        <v>0</v>
      </c>
      <c r="AS2556">
        <v>12</v>
      </c>
      <c r="AT2556" t="s">
        <v>327</v>
      </c>
      <c r="AV2556" t="s">
        <v>911</v>
      </c>
    </row>
    <row r="2557" spans="1:48" x14ac:dyDescent="0.25">
      <c r="A2557" t="s">
        <v>3323</v>
      </c>
      <c r="B2557" t="s">
        <v>302</v>
      </c>
      <c r="C2557" t="s">
        <v>62</v>
      </c>
      <c r="D2557">
        <v>99999</v>
      </c>
      <c r="F2557" s="109">
        <v>7000</v>
      </c>
      <c r="G2557" t="b">
        <v>0</v>
      </c>
      <c r="H2557" t="s">
        <v>337</v>
      </c>
      <c r="K2557" t="s">
        <v>349</v>
      </c>
      <c r="L2557" t="s">
        <v>303</v>
      </c>
      <c r="M2557" t="s">
        <v>323</v>
      </c>
      <c r="N2557" t="s">
        <v>63</v>
      </c>
      <c r="O2557" s="110">
        <v>29.9</v>
      </c>
      <c r="R2557" s="110">
        <v>269.89</v>
      </c>
      <c r="S2557" s="110">
        <v>70</v>
      </c>
      <c r="T2557" s="110">
        <v>0</v>
      </c>
      <c r="U2557" s="110">
        <v>42.99</v>
      </c>
      <c r="X2557">
        <v>112</v>
      </c>
      <c r="Y2557">
        <v>44.9</v>
      </c>
      <c r="Z2557">
        <v>44.9</v>
      </c>
      <c r="AA2557">
        <v>0</v>
      </c>
      <c r="AB2557" t="s">
        <v>324</v>
      </c>
      <c r="AF2557" t="s">
        <v>1040</v>
      </c>
      <c r="AG2557" t="s">
        <v>1040</v>
      </c>
      <c r="AH2557" t="s">
        <v>758</v>
      </c>
      <c r="AI2557">
        <v>99999</v>
      </c>
      <c r="AJ2557">
        <v>99999</v>
      </c>
      <c r="AK2557">
        <v>699</v>
      </c>
      <c r="AL2557" t="b">
        <v>1</v>
      </c>
      <c r="AM2557" t="b">
        <v>1</v>
      </c>
      <c r="AN2557" t="b">
        <v>0</v>
      </c>
      <c r="AO2557">
        <v>99999</v>
      </c>
      <c r="AP2557" t="s">
        <v>64</v>
      </c>
      <c r="AR2557" t="b">
        <v>0</v>
      </c>
      <c r="AS2557">
        <v>12</v>
      </c>
      <c r="AT2557" t="s">
        <v>327</v>
      </c>
      <c r="AV2557" t="s">
        <v>1059</v>
      </c>
    </row>
    <row r="2558" spans="1:48" x14ac:dyDescent="0.25">
      <c r="A2558" t="s">
        <v>3323</v>
      </c>
      <c r="B2558" t="s">
        <v>302</v>
      </c>
      <c r="C2558" t="s">
        <v>62</v>
      </c>
      <c r="D2558">
        <v>99999</v>
      </c>
      <c r="F2558" s="109">
        <v>7000</v>
      </c>
      <c r="G2558" t="b">
        <v>0</v>
      </c>
      <c r="H2558" t="s">
        <v>337</v>
      </c>
      <c r="K2558" t="s">
        <v>349</v>
      </c>
      <c r="L2558" t="s">
        <v>303</v>
      </c>
      <c r="M2558" t="s">
        <v>323</v>
      </c>
      <c r="N2558" t="s">
        <v>63</v>
      </c>
      <c r="O2558" s="110">
        <v>39.9</v>
      </c>
      <c r="R2558" s="110">
        <v>239.89000000000001</v>
      </c>
      <c r="S2558" s="110">
        <v>69.900000000000006</v>
      </c>
      <c r="T2558" s="110">
        <v>0</v>
      </c>
      <c r="U2558" s="110">
        <v>42.99</v>
      </c>
      <c r="X2558">
        <v>82.1</v>
      </c>
      <c r="Y2558">
        <v>44.9</v>
      </c>
      <c r="Z2558">
        <v>44.9</v>
      </c>
      <c r="AA2558">
        <v>0</v>
      </c>
      <c r="AB2558" t="s">
        <v>324</v>
      </c>
      <c r="AF2558" t="s">
        <v>825</v>
      </c>
      <c r="AG2558" t="s">
        <v>825</v>
      </c>
      <c r="AH2558" t="s">
        <v>758</v>
      </c>
      <c r="AI2558">
        <v>99999</v>
      </c>
      <c r="AJ2558">
        <v>99999</v>
      </c>
      <c r="AK2558">
        <v>699</v>
      </c>
      <c r="AL2558" t="b">
        <v>1</v>
      </c>
      <c r="AM2558" t="b">
        <v>1</v>
      </c>
      <c r="AN2558" t="b">
        <v>0</v>
      </c>
      <c r="AO2558">
        <v>99999</v>
      </c>
      <c r="AP2558" t="s">
        <v>64</v>
      </c>
      <c r="AR2558" t="b">
        <v>0</v>
      </c>
      <c r="AS2558">
        <v>12</v>
      </c>
      <c r="AT2558" t="s">
        <v>327</v>
      </c>
      <c r="AV2558" t="s">
        <v>844</v>
      </c>
    </row>
    <row r="2559" spans="1:48" x14ac:dyDescent="0.25">
      <c r="A2559" t="s">
        <v>3323</v>
      </c>
      <c r="B2559" t="s">
        <v>302</v>
      </c>
      <c r="C2559" t="s">
        <v>62</v>
      </c>
      <c r="D2559">
        <v>99999</v>
      </c>
      <c r="F2559" s="109">
        <v>7000</v>
      </c>
      <c r="G2559" t="b">
        <v>0</v>
      </c>
      <c r="H2559" t="s">
        <v>337</v>
      </c>
      <c r="K2559" t="s">
        <v>349</v>
      </c>
      <c r="L2559" t="s">
        <v>303</v>
      </c>
      <c r="M2559" t="s">
        <v>323</v>
      </c>
      <c r="N2559" t="s">
        <v>63</v>
      </c>
      <c r="O2559" s="110">
        <v>39.9</v>
      </c>
      <c r="R2559" s="110">
        <v>254.89000000000001</v>
      </c>
      <c r="S2559" s="110">
        <v>69.900000000000006</v>
      </c>
      <c r="T2559" s="110">
        <v>0</v>
      </c>
      <c r="U2559" s="110">
        <v>42.99</v>
      </c>
      <c r="X2559">
        <v>97.1</v>
      </c>
      <c r="Y2559">
        <v>44.9</v>
      </c>
      <c r="Z2559">
        <v>44.9</v>
      </c>
      <c r="AA2559">
        <v>0</v>
      </c>
      <c r="AB2559" t="s">
        <v>324</v>
      </c>
      <c r="AF2559" t="s">
        <v>959</v>
      </c>
      <c r="AG2559" t="s">
        <v>959</v>
      </c>
      <c r="AH2559" t="s">
        <v>758</v>
      </c>
      <c r="AI2559">
        <v>99999</v>
      </c>
      <c r="AJ2559">
        <v>99999</v>
      </c>
      <c r="AK2559">
        <v>699</v>
      </c>
      <c r="AL2559" t="b">
        <v>1</v>
      </c>
      <c r="AM2559" t="b">
        <v>1</v>
      </c>
      <c r="AN2559" t="b">
        <v>0</v>
      </c>
      <c r="AO2559">
        <v>99999</v>
      </c>
      <c r="AP2559" t="s">
        <v>64</v>
      </c>
      <c r="AR2559" t="b">
        <v>0</v>
      </c>
      <c r="AS2559">
        <v>12</v>
      </c>
      <c r="AT2559" t="s">
        <v>327</v>
      </c>
      <c r="AV2559" t="s">
        <v>978</v>
      </c>
    </row>
    <row r="2560" spans="1:48" x14ac:dyDescent="0.25">
      <c r="A2560" t="s">
        <v>3323</v>
      </c>
      <c r="B2560" t="s">
        <v>302</v>
      </c>
      <c r="C2560" t="s">
        <v>62</v>
      </c>
      <c r="D2560">
        <v>99999</v>
      </c>
      <c r="F2560" s="109">
        <v>7000</v>
      </c>
      <c r="G2560" t="b">
        <v>0</v>
      </c>
      <c r="H2560" t="s">
        <v>337</v>
      </c>
      <c r="K2560" t="s">
        <v>349</v>
      </c>
      <c r="L2560" t="s">
        <v>303</v>
      </c>
      <c r="M2560" t="s">
        <v>323</v>
      </c>
      <c r="N2560" t="s">
        <v>63</v>
      </c>
      <c r="O2560" s="110">
        <v>39.9</v>
      </c>
      <c r="R2560" s="110">
        <v>269.89</v>
      </c>
      <c r="S2560" s="110">
        <v>70</v>
      </c>
      <c r="T2560" s="110">
        <v>0</v>
      </c>
      <c r="U2560" s="110">
        <v>42.99</v>
      </c>
      <c r="X2560">
        <v>112</v>
      </c>
      <c r="Y2560">
        <v>44.9</v>
      </c>
      <c r="Z2560">
        <v>44.9</v>
      </c>
      <c r="AA2560">
        <v>0</v>
      </c>
      <c r="AB2560" t="s">
        <v>324</v>
      </c>
      <c r="AF2560" t="s">
        <v>1107</v>
      </c>
      <c r="AG2560" t="s">
        <v>1107</v>
      </c>
      <c r="AH2560" t="s">
        <v>758</v>
      </c>
      <c r="AI2560">
        <v>99999</v>
      </c>
      <c r="AJ2560">
        <v>99999</v>
      </c>
      <c r="AK2560">
        <v>699</v>
      </c>
      <c r="AL2560" t="b">
        <v>1</v>
      </c>
      <c r="AM2560" t="b">
        <v>1</v>
      </c>
      <c r="AN2560" t="b">
        <v>0</v>
      </c>
      <c r="AO2560">
        <v>99999</v>
      </c>
      <c r="AP2560" t="s">
        <v>64</v>
      </c>
      <c r="AR2560" t="b">
        <v>0</v>
      </c>
      <c r="AS2560">
        <v>12</v>
      </c>
      <c r="AT2560" t="s">
        <v>327</v>
      </c>
      <c r="AV2560" t="s">
        <v>1126</v>
      </c>
    </row>
    <row r="2561" spans="1:48" x14ac:dyDescent="0.25">
      <c r="A2561" t="s">
        <v>3323</v>
      </c>
      <c r="B2561" t="s">
        <v>302</v>
      </c>
      <c r="C2561" t="s">
        <v>62</v>
      </c>
      <c r="D2561">
        <v>99999</v>
      </c>
      <c r="F2561" s="109">
        <v>7000</v>
      </c>
      <c r="G2561" t="b">
        <v>0</v>
      </c>
      <c r="H2561" t="s">
        <v>337</v>
      </c>
      <c r="K2561" t="s">
        <v>349</v>
      </c>
      <c r="L2561" t="s">
        <v>303</v>
      </c>
      <c r="M2561" t="s">
        <v>323</v>
      </c>
      <c r="N2561" t="s">
        <v>63</v>
      </c>
      <c r="O2561" s="110">
        <v>49.9</v>
      </c>
      <c r="R2561" s="110">
        <v>285.68999999999994</v>
      </c>
      <c r="S2561" s="110">
        <v>130</v>
      </c>
      <c r="T2561" s="110">
        <v>0</v>
      </c>
      <c r="U2561" s="110">
        <v>34.99</v>
      </c>
      <c r="X2561">
        <v>75.799999999999983</v>
      </c>
      <c r="Y2561">
        <v>44.9</v>
      </c>
      <c r="Z2561">
        <v>44.9</v>
      </c>
      <c r="AA2561">
        <v>0</v>
      </c>
      <c r="AB2561" t="s">
        <v>324</v>
      </c>
      <c r="AF2561" t="s">
        <v>2467</v>
      </c>
      <c r="AG2561" t="s">
        <v>2467</v>
      </c>
      <c r="AH2561" t="s">
        <v>758</v>
      </c>
      <c r="AI2561">
        <v>99999</v>
      </c>
      <c r="AJ2561">
        <v>99999</v>
      </c>
      <c r="AK2561">
        <v>699</v>
      </c>
      <c r="AL2561" t="b">
        <v>1</v>
      </c>
      <c r="AM2561" t="b">
        <v>1</v>
      </c>
      <c r="AN2561" t="b">
        <v>0</v>
      </c>
      <c r="AO2561">
        <v>99999</v>
      </c>
      <c r="AP2561" t="s">
        <v>64</v>
      </c>
      <c r="AR2561" t="b">
        <v>0</v>
      </c>
      <c r="AS2561">
        <v>12</v>
      </c>
      <c r="AT2561" t="s">
        <v>327</v>
      </c>
      <c r="AV2561" t="s">
        <v>2486</v>
      </c>
    </row>
    <row r="2562" spans="1:48" x14ac:dyDescent="0.25">
      <c r="A2562" t="s">
        <v>3323</v>
      </c>
      <c r="B2562" t="s">
        <v>302</v>
      </c>
      <c r="C2562" t="s">
        <v>62</v>
      </c>
      <c r="D2562">
        <v>99999</v>
      </c>
      <c r="F2562" s="109">
        <v>7000</v>
      </c>
      <c r="G2562" t="b">
        <v>0</v>
      </c>
      <c r="H2562" t="s">
        <v>337</v>
      </c>
      <c r="K2562" t="s">
        <v>349</v>
      </c>
      <c r="L2562" t="s">
        <v>303</v>
      </c>
      <c r="M2562" t="s">
        <v>323</v>
      </c>
      <c r="N2562" t="s">
        <v>63</v>
      </c>
      <c r="O2562" s="110">
        <v>49.9</v>
      </c>
      <c r="R2562" s="110">
        <v>299.99</v>
      </c>
      <c r="S2562" s="110">
        <v>130</v>
      </c>
      <c r="T2562" s="110">
        <v>0</v>
      </c>
      <c r="U2562" s="110">
        <v>42.99</v>
      </c>
      <c r="X2562">
        <v>82.1</v>
      </c>
      <c r="Y2562">
        <v>44.9</v>
      </c>
      <c r="Z2562">
        <v>44.9</v>
      </c>
      <c r="AA2562">
        <v>0</v>
      </c>
      <c r="AB2562" t="s">
        <v>324</v>
      </c>
      <c r="AF2562" t="s">
        <v>2541</v>
      </c>
      <c r="AG2562" t="s">
        <v>2541</v>
      </c>
      <c r="AH2562" t="s">
        <v>758</v>
      </c>
      <c r="AI2562">
        <v>99999</v>
      </c>
      <c r="AJ2562">
        <v>99999</v>
      </c>
      <c r="AK2562">
        <v>699</v>
      </c>
      <c r="AL2562" t="b">
        <v>1</v>
      </c>
      <c r="AM2562" t="b">
        <v>1</v>
      </c>
      <c r="AN2562" t="b">
        <v>0</v>
      </c>
      <c r="AO2562">
        <v>99999</v>
      </c>
      <c r="AP2562" t="s">
        <v>64</v>
      </c>
      <c r="AR2562" t="b">
        <v>0</v>
      </c>
      <c r="AS2562">
        <v>12</v>
      </c>
      <c r="AT2562" t="s">
        <v>327</v>
      </c>
      <c r="AV2562" t="s">
        <v>2560</v>
      </c>
    </row>
    <row r="2563" spans="1:48" x14ac:dyDescent="0.25">
      <c r="A2563" t="s">
        <v>3323</v>
      </c>
      <c r="B2563" t="s">
        <v>302</v>
      </c>
      <c r="C2563" t="s">
        <v>62</v>
      </c>
      <c r="D2563">
        <v>99999</v>
      </c>
      <c r="F2563" s="109">
        <v>7000</v>
      </c>
      <c r="G2563" t="b">
        <v>0</v>
      </c>
      <c r="H2563" t="s">
        <v>337</v>
      </c>
      <c r="K2563" t="s">
        <v>349</v>
      </c>
      <c r="L2563" t="s">
        <v>303</v>
      </c>
      <c r="M2563" t="s">
        <v>323</v>
      </c>
      <c r="N2563" t="s">
        <v>63</v>
      </c>
      <c r="O2563" s="110">
        <v>49.9</v>
      </c>
      <c r="R2563" s="110">
        <v>314.99</v>
      </c>
      <c r="S2563" s="110">
        <v>130</v>
      </c>
      <c r="T2563" s="110">
        <v>0</v>
      </c>
      <c r="U2563" s="110">
        <v>42.99</v>
      </c>
      <c r="X2563">
        <v>97.1</v>
      </c>
      <c r="Y2563">
        <v>44.9</v>
      </c>
      <c r="Z2563">
        <v>44.9</v>
      </c>
      <c r="AA2563">
        <v>0</v>
      </c>
      <c r="AB2563" t="s">
        <v>324</v>
      </c>
      <c r="AF2563" t="s">
        <v>2608</v>
      </c>
      <c r="AG2563" t="s">
        <v>2608</v>
      </c>
      <c r="AH2563" t="s">
        <v>758</v>
      </c>
      <c r="AI2563">
        <v>99999</v>
      </c>
      <c r="AJ2563">
        <v>99999</v>
      </c>
      <c r="AK2563">
        <v>699</v>
      </c>
      <c r="AL2563" t="b">
        <v>1</v>
      </c>
      <c r="AM2563" t="b">
        <v>1</v>
      </c>
      <c r="AN2563" t="b">
        <v>0</v>
      </c>
      <c r="AO2563">
        <v>99999</v>
      </c>
      <c r="AP2563" t="s">
        <v>64</v>
      </c>
      <c r="AR2563" t="b">
        <v>0</v>
      </c>
      <c r="AS2563">
        <v>12</v>
      </c>
      <c r="AT2563" t="s">
        <v>327</v>
      </c>
      <c r="AV2563" t="s">
        <v>2626</v>
      </c>
    </row>
    <row r="2564" spans="1:48" x14ac:dyDescent="0.25">
      <c r="A2564" t="s">
        <v>3323</v>
      </c>
      <c r="B2564" t="s">
        <v>302</v>
      </c>
      <c r="C2564" t="s">
        <v>62</v>
      </c>
      <c r="D2564">
        <v>99999</v>
      </c>
      <c r="F2564" s="109">
        <v>7000</v>
      </c>
      <c r="G2564" t="b">
        <v>0</v>
      </c>
      <c r="H2564" t="s">
        <v>337</v>
      </c>
      <c r="K2564" t="s">
        <v>349</v>
      </c>
      <c r="L2564" t="s">
        <v>303</v>
      </c>
      <c r="M2564" t="s">
        <v>323</v>
      </c>
      <c r="N2564" t="s">
        <v>63</v>
      </c>
      <c r="O2564" s="110">
        <v>49.9</v>
      </c>
      <c r="R2564" s="110">
        <v>329.89</v>
      </c>
      <c r="S2564" s="110">
        <v>130</v>
      </c>
      <c r="T2564" s="110">
        <v>0</v>
      </c>
      <c r="U2564" s="110">
        <v>42.99</v>
      </c>
      <c r="X2564">
        <v>112</v>
      </c>
      <c r="Y2564">
        <v>44.9</v>
      </c>
      <c r="Z2564">
        <v>44.9</v>
      </c>
      <c r="AA2564">
        <v>0</v>
      </c>
      <c r="AB2564" t="s">
        <v>324</v>
      </c>
      <c r="AF2564" t="s">
        <v>2677</v>
      </c>
      <c r="AG2564" t="s">
        <v>2677</v>
      </c>
      <c r="AH2564" t="s">
        <v>758</v>
      </c>
      <c r="AI2564">
        <v>99999</v>
      </c>
      <c r="AJ2564">
        <v>99999</v>
      </c>
      <c r="AK2564">
        <v>699</v>
      </c>
      <c r="AL2564" t="b">
        <v>1</v>
      </c>
      <c r="AM2564" t="b">
        <v>1</v>
      </c>
      <c r="AN2564" t="b">
        <v>0</v>
      </c>
      <c r="AO2564">
        <v>99999</v>
      </c>
      <c r="AP2564" t="s">
        <v>64</v>
      </c>
      <c r="AR2564" t="b">
        <v>0</v>
      </c>
      <c r="AS2564">
        <v>12</v>
      </c>
      <c r="AT2564" t="s">
        <v>327</v>
      </c>
      <c r="AV2564" t="s">
        <v>2696</v>
      </c>
    </row>
    <row r="2565" spans="1:48" x14ac:dyDescent="0.25">
      <c r="A2565" t="s">
        <v>3323</v>
      </c>
      <c r="B2565" t="s">
        <v>302</v>
      </c>
      <c r="C2565" t="s">
        <v>62</v>
      </c>
      <c r="D2565">
        <v>99999</v>
      </c>
      <c r="F2565" s="109">
        <v>7000</v>
      </c>
      <c r="G2565" t="b">
        <v>0</v>
      </c>
      <c r="H2565" t="s">
        <v>337</v>
      </c>
      <c r="K2565" t="s">
        <v>393</v>
      </c>
      <c r="L2565" t="s">
        <v>303</v>
      </c>
      <c r="M2565" t="s">
        <v>323</v>
      </c>
      <c r="N2565" t="s">
        <v>63</v>
      </c>
      <c r="O2565" s="110">
        <v>29.9</v>
      </c>
      <c r="R2565" s="110">
        <v>264.89</v>
      </c>
      <c r="S2565" s="110">
        <v>69.900000000000006</v>
      </c>
      <c r="T2565" s="110">
        <v>0</v>
      </c>
      <c r="U2565" s="110">
        <v>42.99</v>
      </c>
      <c r="X2565">
        <v>82.1</v>
      </c>
      <c r="Y2565">
        <v>69.900000000000006</v>
      </c>
      <c r="Z2565">
        <v>69.900000000000006</v>
      </c>
      <c r="AA2565">
        <v>0</v>
      </c>
      <c r="AB2565" t="s">
        <v>363</v>
      </c>
      <c r="AF2565" t="s">
        <v>785</v>
      </c>
      <c r="AG2565" t="s">
        <v>785</v>
      </c>
      <c r="AH2565" t="s">
        <v>758</v>
      </c>
      <c r="AI2565">
        <v>99999</v>
      </c>
      <c r="AJ2565">
        <v>99999</v>
      </c>
      <c r="AK2565">
        <v>699</v>
      </c>
      <c r="AL2565" t="b">
        <v>1</v>
      </c>
      <c r="AM2565" t="b">
        <v>1</v>
      </c>
      <c r="AN2565" t="b">
        <v>0</v>
      </c>
      <c r="AO2565">
        <v>99999</v>
      </c>
      <c r="AP2565" t="s">
        <v>64</v>
      </c>
      <c r="AR2565" t="b">
        <v>0</v>
      </c>
      <c r="AS2565">
        <v>12</v>
      </c>
      <c r="AT2565" t="s">
        <v>327</v>
      </c>
      <c r="AV2565" t="s">
        <v>817</v>
      </c>
    </row>
    <row r="2566" spans="1:48" x14ac:dyDescent="0.25">
      <c r="A2566" t="s">
        <v>3323</v>
      </c>
      <c r="B2566" t="s">
        <v>302</v>
      </c>
      <c r="C2566" t="s">
        <v>62</v>
      </c>
      <c r="D2566">
        <v>99999</v>
      </c>
      <c r="F2566" s="109">
        <v>7000</v>
      </c>
      <c r="G2566" t="b">
        <v>0</v>
      </c>
      <c r="H2566" t="s">
        <v>337</v>
      </c>
      <c r="K2566" t="s">
        <v>393</v>
      </c>
      <c r="L2566" t="s">
        <v>303</v>
      </c>
      <c r="M2566" t="s">
        <v>323</v>
      </c>
      <c r="N2566" t="s">
        <v>63</v>
      </c>
      <c r="O2566" s="110">
        <v>29.9</v>
      </c>
      <c r="R2566" s="110">
        <v>279.89</v>
      </c>
      <c r="S2566" s="110">
        <v>69.900000000000006</v>
      </c>
      <c r="T2566" s="110">
        <v>0</v>
      </c>
      <c r="U2566" s="110">
        <v>42.99</v>
      </c>
      <c r="X2566">
        <v>97.1</v>
      </c>
      <c r="Y2566">
        <v>69.900000000000006</v>
      </c>
      <c r="Z2566">
        <v>69.900000000000006</v>
      </c>
      <c r="AA2566">
        <v>0</v>
      </c>
      <c r="AB2566" t="s">
        <v>363</v>
      </c>
      <c r="AF2566" t="s">
        <v>919</v>
      </c>
      <c r="AG2566" t="s">
        <v>919</v>
      </c>
      <c r="AH2566" t="s">
        <v>758</v>
      </c>
      <c r="AI2566">
        <v>99999</v>
      </c>
      <c r="AJ2566">
        <v>99999</v>
      </c>
      <c r="AK2566">
        <v>699</v>
      </c>
      <c r="AL2566" t="b">
        <v>1</v>
      </c>
      <c r="AM2566" t="b">
        <v>1</v>
      </c>
      <c r="AN2566" t="b">
        <v>0</v>
      </c>
      <c r="AO2566">
        <v>99999</v>
      </c>
      <c r="AP2566" t="s">
        <v>64</v>
      </c>
      <c r="AR2566" t="b">
        <v>0</v>
      </c>
      <c r="AS2566">
        <v>12</v>
      </c>
      <c r="AT2566" t="s">
        <v>327</v>
      </c>
      <c r="AV2566" t="s">
        <v>951</v>
      </c>
    </row>
    <row r="2567" spans="1:48" x14ac:dyDescent="0.25">
      <c r="A2567" t="s">
        <v>3323</v>
      </c>
      <c r="B2567" t="s">
        <v>302</v>
      </c>
      <c r="C2567" t="s">
        <v>62</v>
      </c>
      <c r="D2567">
        <v>99999</v>
      </c>
      <c r="F2567" s="109">
        <v>7000</v>
      </c>
      <c r="G2567" t="b">
        <v>0</v>
      </c>
      <c r="H2567" t="s">
        <v>337</v>
      </c>
      <c r="K2567" t="s">
        <v>393</v>
      </c>
      <c r="L2567" t="s">
        <v>303</v>
      </c>
      <c r="M2567" t="s">
        <v>323</v>
      </c>
      <c r="N2567" t="s">
        <v>63</v>
      </c>
      <c r="O2567" s="110">
        <v>29.9</v>
      </c>
      <c r="R2567" s="110">
        <v>294.89</v>
      </c>
      <c r="S2567" s="110">
        <v>70</v>
      </c>
      <c r="T2567" s="110">
        <v>0</v>
      </c>
      <c r="U2567" s="110">
        <v>42.99</v>
      </c>
      <c r="X2567">
        <v>112</v>
      </c>
      <c r="Y2567">
        <v>69.900000000000006</v>
      </c>
      <c r="Z2567">
        <v>69.900000000000006</v>
      </c>
      <c r="AA2567">
        <v>0</v>
      </c>
      <c r="AB2567" t="s">
        <v>363</v>
      </c>
      <c r="AF2567" t="s">
        <v>1067</v>
      </c>
      <c r="AG2567" t="s">
        <v>1067</v>
      </c>
      <c r="AH2567" t="s">
        <v>758</v>
      </c>
      <c r="AI2567">
        <v>99999</v>
      </c>
      <c r="AJ2567">
        <v>99999</v>
      </c>
      <c r="AK2567">
        <v>699</v>
      </c>
      <c r="AL2567" t="b">
        <v>1</v>
      </c>
      <c r="AM2567" t="b">
        <v>1</v>
      </c>
      <c r="AN2567" t="b">
        <v>0</v>
      </c>
      <c r="AO2567">
        <v>99999</v>
      </c>
      <c r="AP2567" t="s">
        <v>64</v>
      </c>
      <c r="AR2567" t="b">
        <v>0</v>
      </c>
      <c r="AS2567">
        <v>12</v>
      </c>
      <c r="AT2567" t="s">
        <v>327</v>
      </c>
      <c r="AV2567" t="s">
        <v>1099</v>
      </c>
    </row>
    <row r="2568" spans="1:48" x14ac:dyDescent="0.25">
      <c r="A2568" t="s">
        <v>3323</v>
      </c>
      <c r="B2568" t="s">
        <v>302</v>
      </c>
      <c r="C2568" t="s">
        <v>62</v>
      </c>
      <c r="D2568">
        <v>99999</v>
      </c>
      <c r="F2568" s="109">
        <v>7000</v>
      </c>
      <c r="G2568" t="b">
        <v>0</v>
      </c>
      <c r="H2568" t="s">
        <v>337</v>
      </c>
      <c r="K2568" t="s">
        <v>393</v>
      </c>
      <c r="L2568" t="s">
        <v>303</v>
      </c>
      <c r="M2568" t="s">
        <v>323</v>
      </c>
      <c r="N2568" t="s">
        <v>63</v>
      </c>
      <c r="O2568" s="110">
        <v>39.9</v>
      </c>
      <c r="R2568" s="110">
        <v>264.89</v>
      </c>
      <c r="S2568" s="110">
        <v>69.900000000000006</v>
      </c>
      <c r="T2568" s="110">
        <v>0</v>
      </c>
      <c r="U2568" s="110">
        <v>42.99</v>
      </c>
      <c r="X2568">
        <v>82.1</v>
      </c>
      <c r="Y2568">
        <v>69.900000000000006</v>
      </c>
      <c r="Z2568">
        <v>69.900000000000006</v>
      </c>
      <c r="AA2568">
        <v>0</v>
      </c>
      <c r="AB2568" t="s">
        <v>363</v>
      </c>
      <c r="AF2568" t="s">
        <v>852</v>
      </c>
      <c r="AG2568" t="s">
        <v>852</v>
      </c>
      <c r="AH2568" t="s">
        <v>758</v>
      </c>
      <c r="AI2568">
        <v>99999</v>
      </c>
      <c r="AJ2568">
        <v>99999</v>
      </c>
      <c r="AK2568">
        <v>699</v>
      </c>
      <c r="AL2568" t="b">
        <v>1</v>
      </c>
      <c r="AM2568" t="b">
        <v>1</v>
      </c>
      <c r="AN2568" t="b">
        <v>0</v>
      </c>
      <c r="AO2568">
        <v>99999</v>
      </c>
      <c r="AP2568" t="s">
        <v>64</v>
      </c>
      <c r="AR2568" t="b">
        <v>0</v>
      </c>
      <c r="AS2568">
        <v>12</v>
      </c>
      <c r="AT2568" t="s">
        <v>327</v>
      </c>
      <c r="AV2568" t="s">
        <v>884</v>
      </c>
    </row>
    <row r="2569" spans="1:48" x14ac:dyDescent="0.25">
      <c r="A2569" t="s">
        <v>3323</v>
      </c>
      <c r="B2569" t="s">
        <v>302</v>
      </c>
      <c r="C2569" t="s">
        <v>62</v>
      </c>
      <c r="D2569">
        <v>99999</v>
      </c>
      <c r="F2569" s="109">
        <v>7000</v>
      </c>
      <c r="G2569" t="b">
        <v>0</v>
      </c>
      <c r="H2569" t="s">
        <v>337</v>
      </c>
      <c r="K2569" t="s">
        <v>393</v>
      </c>
      <c r="L2569" t="s">
        <v>303</v>
      </c>
      <c r="M2569" t="s">
        <v>323</v>
      </c>
      <c r="N2569" t="s">
        <v>63</v>
      </c>
      <c r="O2569" s="110">
        <v>39.9</v>
      </c>
      <c r="R2569" s="110">
        <v>279.89</v>
      </c>
      <c r="S2569" s="110">
        <v>69.900000000000006</v>
      </c>
      <c r="T2569" s="110">
        <v>0</v>
      </c>
      <c r="U2569" s="110">
        <v>42.99</v>
      </c>
      <c r="X2569">
        <v>97.1</v>
      </c>
      <c r="Y2569">
        <v>69.900000000000006</v>
      </c>
      <c r="Z2569">
        <v>69.900000000000006</v>
      </c>
      <c r="AA2569">
        <v>0</v>
      </c>
      <c r="AB2569" t="s">
        <v>363</v>
      </c>
      <c r="AF2569" t="s">
        <v>986</v>
      </c>
      <c r="AG2569" t="s">
        <v>986</v>
      </c>
      <c r="AH2569" t="s">
        <v>758</v>
      </c>
      <c r="AI2569">
        <v>99999</v>
      </c>
      <c r="AJ2569">
        <v>99999</v>
      </c>
      <c r="AK2569">
        <v>699</v>
      </c>
      <c r="AL2569" t="b">
        <v>1</v>
      </c>
      <c r="AM2569" t="b">
        <v>1</v>
      </c>
      <c r="AN2569" t="b">
        <v>0</v>
      </c>
      <c r="AO2569">
        <v>99999</v>
      </c>
      <c r="AP2569" t="s">
        <v>64</v>
      </c>
      <c r="AR2569" t="b">
        <v>0</v>
      </c>
      <c r="AS2569">
        <v>12</v>
      </c>
      <c r="AT2569" t="s">
        <v>327</v>
      </c>
      <c r="AV2569" t="s">
        <v>1018</v>
      </c>
    </row>
    <row r="2570" spans="1:48" x14ac:dyDescent="0.25">
      <c r="A2570" t="s">
        <v>3323</v>
      </c>
      <c r="B2570" t="s">
        <v>302</v>
      </c>
      <c r="C2570" t="s">
        <v>62</v>
      </c>
      <c r="D2570">
        <v>99999</v>
      </c>
      <c r="F2570" s="109">
        <v>7000</v>
      </c>
      <c r="G2570" t="b">
        <v>0</v>
      </c>
      <c r="H2570" t="s">
        <v>337</v>
      </c>
      <c r="K2570" t="s">
        <v>393</v>
      </c>
      <c r="L2570" t="s">
        <v>303</v>
      </c>
      <c r="M2570" t="s">
        <v>323</v>
      </c>
      <c r="N2570" t="s">
        <v>63</v>
      </c>
      <c r="O2570" s="110">
        <v>39.9</v>
      </c>
      <c r="R2570" s="110">
        <v>294.89</v>
      </c>
      <c r="S2570" s="110">
        <v>70</v>
      </c>
      <c r="T2570" s="110">
        <v>0</v>
      </c>
      <c r="U2570" s="110">
        <v>42.99</v>
      </c>
      <c r="X2570">
        <v>112</v>
      </c>
      <c r="Y2570">
        <v>69.900000000000006</v>
      </c>
      <c r="Z2570">
        <v>69.900000000000006</v>
      </c>
      <c r="AA2570">
        <v>0</v>
      </c>
      <c r="AB2570" t="s">
        <v>363</v>
      </c>
      <c r="AF2570" t="s">
        <v>1134</v>
      </c>
      <c r="AG2570" t="s">
        <v>1134</v>
      </c>
      <c r="AH2570" t="s">
        <v>758</v>
      </c>
      <c r="AI2570">
        <v>99999</v>
      </c>
      <c r="AJ2570">
        <v>99999</v>
      </c>
      <c r="AK2570">
        <v>699</v>
      </c>
      <c r="AL2570" t="b">
        <v>1</v>
      </c>
      <c r="AM2570" t="b">
        <v>1</v>
      </c>
      <c r="AN2570" t="b">
        <v>0</v>
      </c>
      <c r="AO2570">
        <v>99999</v>
      </c>
      <c r="AP2570" t="s">
        <v>64</v>
      </c>
      <c r="AR2570" t="b">
        <v>0</v>
      </c>
      <c r="AS2570">
        <v>12</v>
      </c>
      <c r="AT2570" t="s">
        <v>327</v>
      </c>
      <c r="AV2570" t="s">
        <v>1166</v>
      </c>
    </row>
    <row r="2571" spans="1:48" x14ac:dyDescent="0.25">
      <c r="A2571" t="s">
        <v>3323</v>
      </c>
      <c r="B2571" t="s">
        <v>302</v>
      </c>
      <c r="C2571" t="s">
        <v>62</v>
      </c>
      <c r="D2571">
        <v>99999</v>
      </c>
      <c r="F2571" s="109">
        <v>7000</v>
      </c>
      <c r="G2571" t="b">
        <v>0</v>
      </c>
      <c r="H2571" t="s">
        <v>337</v>
      </c>
      <c r="K2571" t="s">
        <v>393</v>
      </c>
      <c r="L2571" t="s">
        <v>303</v>
      </c>
      <c r="M2571" t="s">
        <v>323</v>
      </c>
      <c r="N2571" t="s">
        <v>63</v>
      </c>
      <c r="O2571" s="110">
        <v>49.9</v>
      </c>
      <c r="R2571" s="110">
        <v>310.69</v>
      </c>
      <c r="S2571" s="110">
        <v>130</v>
      </c>
      <c r="T2571" s="110">
        <v>0</v>
      </c>
      <c r="U2571" s="110">
        <v>34.99</v>
      </c>
      <c r="X2571">
        <v>75.799999999999983</v>
      </c>
      <c r="Y2571">
        <v>69.900000000000006</v>
      </c>
      <c r="Z2571">
        <v>69.900000000000006</v>
      </c>
      <c r="AA2571">
        <v>0</v>
      </c>
      <c r="AB2571" t="s">
        <v>363</v>
      </c>
      <c r="AF2571" t="s">
        <v>2494</v>
      </c>
      <c r="AG2571" t="s">
        <v>2494</v>
      </c>
      <c r="AH2571" t="s">
        <v>758</v>
      </c>
      <c r="AI2571">
        <v>99999</v>
      </c>
      <c r="AJ2571">
        <v>99999</v>
      </c>
      <c r="AK2571">
        <v>699</v>
      </c>
      <c r="AL2571" t="b">
        <v>1</v>
      </c>
      <c r="AM2571" t="b">
        <v>1</v>
      </c>
      <c r="AN2571" t="b">
        <v>0</v>
      </c>
      <c r="AO2571">
        <v>99999</v>
      </c>
      <c r="AP2571" t="s">
        <v>64</v>
      </c>
      <c r="AR2571" t="b">
        <v>0</v>
      </c>
      <c r="AS2571">
        <v>12</v>
      </c>
      <c r="AT2571" t="s">
        <v>327</v>
      </c>
      <c r="AV2571" t="s">
        <v>2526</v>
      </c>
    </row>
    <row r="2572" spans="1:48" x14ac:dyDescent="0.25">
      <c r="A2572" t="s">
        <v>3323</v>
      </c>
      <c r="B2572" t="s">
        <v>302</v>
      </c>
      <c r="C2572" t="s">
        <v>62</v>
      </c>
      <c r="D2572">
        <v>99999</v>
      </c>
      <c r="F2572" s="109">
        <v>7000</v>
      </c>
      <c r="G2572" t="b">
        <v>0</v>
      </c>
      <c r="H2572" t="s">
        <v>337</v>
      </c>
      <c r="K2572" t="s">
        <v>393</v>
      </c>
      <c r="L2572" t="s">
        <v>303</v>
      </c>
      <c r="M2572" t="s">
        <v>323</v>
      </c>
      <c r="N2572" t="s">
        <v>63</v>
      </c>
      <c r="O2572" s="110">
        <v>49.9</v>
      </c>
      <c r="R2572" s="110">
        <v>324.99</v>
      </c>
      <c r="S2572" s="110">
        <v>130</v>
      </c>
      <c r="T2572" s="110">
        <v>0</v>
      </c>
      <c r="U2572" s="110">
        <v>42.99</v>
      </c>
      <c r="X2572">
        <v>82.1</v>
      </c>
      <c r="Y2572">
        <v>69.900000000000006</v>
      </c>
      <c r="Z2572">
        <v>69.900000000000006</v>
      </c>
      <c r="AA2572">
        <v>0</v>
      </c>
      <c r="AB2572" t="s">
        <v>363</v>
      </c>
      <c r="AF2572" t="s">
        <v>2568</v>
      </c>
      <c r="AG2572" t="s">
        <v>2568</v>
      </c>
      <c r="AH2572" t="s">
        <v>758</v>
      </c>
      <c r="AI2572">
        <v>99999</v>
      </c>
      <c r="AJ2572">
        <v>99999</v>
      </c>
      <c r="AK2572">
        <v>699</v>
      </c>
      <c r="AL2572" t="b">
        <v>1</v>
      </c>
      <c r="AM2572" t="b">
        <v>1</v>
      </c>
      <c r="AN2572" t="b">
        <v>0</v>
      </c>
      <c r="AO2572">
        <v>99999</v>
      </c>
      <c r="AP2572" t="s">
        <v>64</v>
      </c>
      <c r="AR2572" t="b">
        <v>0</v>
      </c>
      <c r="AS2572">
        <v>12</v>
      </c>
      <c r="AT2572" t="s">
        <v>327</v>
      </c>
      <c r="AV2572" t="s">
        <v>2600</v>
      </c>
    </row>
    <row r="2573" spans="1:48" x14ac:dyDescent="0.25">
      <c r="A2573" t="s">
        <v>3323</v>
      </c>
      <c r="B2573" t="s">
        <v>302</v>
      </c>
      <c r="C2573" t="s">
        <v>62</v>
      </c>
      <c r="D2573">
        <v>99999</v>
      </c>
      <c r="F2573" s="109">
        <v>7000</v>
      </c>
      <c r="G2573" t="b">
        <v>0</v>
      </c>
      <c r="H2573" t="s">
        <v>337</v>
      </c>
      <c r="K2573" t="s">
        <v>393</v>
      </c>
      <c r="L2573" t="s">
        <v>303</v>
      </c>
      <c r="M2573" t="s">
        <v>323</v>
      </c>
      <c r="N2573" t="s">
        <v>63</v>
      </c>
      <c r="O2573" s="110">
        <v>49.9</v>
      </c>
      <c r="R2573" s="110">
        <v>339.99</v>
      </c>
      <c r="S2573" s="110">
        <v>130</v>
      </c>
      <c r="T2573" s="110">
        <v>0</v>
      </c>
      <c r="U2573" s="110">
        <v>42.99</v>
      </c>
      <c r="X2573">
        <v>97.1</v>
      </c>
      <c r="Y2573">
        <v>69.900000000000006</v>
      </c>
      <c r="Z2573">
        <v>69.900000000000006</v>
      </c>
      <c r="AA2573">
        <v>0</v>
      </c>
      <c r="AB2573" t="s">
        <v>363</v>
      </c>
      <c r="AF2573" t="s">
        <v>2633</v>
      </c>
      <c r="AG2573" t="s">
        <v>2633</v>
      </c>
      <c r="AH2573" t="s">
        <v>758</v>
      </c>
      <c r="AI2573">
        <v>99999</v>
      </c>
      <c r="AJ2573">
        <v>99999</v>
      </c>
      <c r="AK2573">
        <v>699</v>
      </c>
      <c r="AL2573" t="b">
        <v>1</v>
      </c>
      <c r="AM2573" t="b">
        <v>1</v>
      </c>
      <c r="AN2573" t="b">
        <v>0</v>
      </c>
      <c r="AO2573">
        <v>99999</v>
      </c>
      <c r="AP2573" t="s">
        <v>64</v>
      </c>
      <c r="AR2573" t="b">
        <v>0</v>
      </c>
      <c r="AS2573">
        <v>12</v>
      </c>
      <c r="AT2573" t="s">
        <v>327</v>
      </c>
      <c r="AV2573" t="s">
        <v>2663</v>
      </c>
    </row>
    <row r="2574" spans="1:48" x14ac:dyDescent="0.25">
      <c r="A2574" t="s">
        <v>3323</v>
      </c>
      <c r="B2574" t="s">
        <v>302</v>
      </c>
      <c r="C2574" t="s">
        <v>62</v>
      </c>
      <c r="D2574">
        <v>99999</v>
      </c>
      <c r="F2574" s="109">
        <v>7000</v>
      </c>
      <c r="G2574" t="b">
        <v>0</v>
      </c>
      <c r="H2574" t="s">
        <v>337</v>
      </c>
      <c r="K2574" t="s">
        <v>393</v>
      </c>
      <c r="L2574" t="s">
        <v>303</v>
      </c>
      <c r="M2574" t="s">
        <v>323</v>
      </c>
      <c r="N2574" t="s">
        <v>63</v>
      </c>
      <c r="O2574" s="110">
        <v>49.9</v>
      </c>
      <c r="R2574" s="110">
        <v>354.89</v>
      </c>
      <c r="S2574" s="110">
        <v>130</v>
      </c>
      <c r="T2574" s="110">
        <v>0</v>
      </c>
      <c r="U2574" s="110">
        <v>42.99</v>
      </c>
      <c r="X2574">
        <v>112</v>
      </c>
      <c r="Y2574">
        <v>69.900000000000006</v>
      </c>
      <c r="Z2574">
        <v>69.900000000000006</v>
      </c>
      <c r="AA2574">
        <v>0</v>
      </c>
      <c r="AB2574" t="s">
        <v>363</v>
      </c>
      <c r="AF2574" t="s">
        <v>2704</v>
      </c>
      <c r="AG2574" t="s">
        <v>2704</v>
      </c>
      <c r="AH2574" t="s">
        <v>758</v>
      </c>
      <c r="AI2574">
        <v>99999</v>
      </c>
      <c r="AJ2574">
        <v>99999</v>
      </c>
      <c r="AK2574">
        <v>699</v>
      </c>
      <c r="AL2574" t="b">
        <v>1</v>
      </c>
      <c r="AM2574" t="b">
        <v>1</v>
      </c>
      <c r="AN2574" t="b">
        <v>0</v>
      </c>
      <c r="AO2574">
        <v>99999</v>
      </c>
      <c r="AP2574" t="s">
        <v>64</v>
      </c>
      <c r="AR2574" t="b">
        <v>0</v>
      </c>
      <c r="AS2574">
        <v>12</v>
      </c>
      <c r="AT2574" t="s">
        <v>327</v>
      </c>
      <c r="AV2574" t="s">
        <v>2736</v>
      </c>
    </row>
    <row r="2575" spans="1:48" x14ac:dyDescent="0.25">
      <c r="A2575" t="s">
        <v>3323</v>
      </c>
      <c r="B2575" t="s">
        <v>302</v>
      </c>
      <c r="C2575" t="s">
        <v>62</v>
      </c>
      <c r="D2575">
        <v>99999</v>
      </c>
      <c r="F2575" s="109">
        <v>7000</v>
      </c>
      <c r="G2575" t="b">
        <v>0</v>
      </c>
      <c r="H2575" t="s">
        <v>337</v>
      </c>
      <c r="K2575" t="s">
        <v>364</v>
      </c>
      <c r="L2575" t="s">
        <v>303</v>
      </c>
      <c r="M2575" t="s">
        <v>323</v>
      </c>
      <c r="N2575" t="s">
        <v>63</v>
      </c>
      <c r="O2575" s="110">
        <v>29.9</v>
      </c>
      <c r="R2575" s="110">
        <v>244.89000000000001</v>
      </c>
      <c r="S2575" s="110">
        <v>69.900000000000006</v>
      </c>
      <c r="T2575" s="110">
        <v>0</v>
      </c>
      <c r="U2575" s="110">
        <v>42.99</v>
      </c>
      <c r="X2575">
        <v>82.1</v>
      </c>
      <c r="Y2575">
        <v>49.9</v>
      </c>
      <c r="Z2575">
        <v>49.9</v>
      </c>
      <c r="AA2575">
        <v>0</v>
      </c>
      <c r="AB2575" t="s">
        <v>363</v>
      </c>
      <c r="AF2575" t="s">
        <v>785</v>
      </c>
      <c r="AG2575" t="s">
        <v>785</v>
      </c>
      <c r="AH2575" t="s">
        <v>758</v>
      </c>
      <c r="AI2575">
        <v>99999</v>
      </c>
      <c r="AJ2575">
        <v>99999</v>
      </c>
      <c r="AK2575">
        <v>699</v>
      </c>
      <c r="AL2575" t="b">
        <v>1</v>
      </c>
      <c r="AM2575" t="b">
        <v>1</v>
      </c>
      <c r="AN2575" t="b">
        <v>0</v>
      </c>
      <c r="AO2575">
        <v>99999</v>
      </c>
      <c r="AP2575" t="s">
        <v>64</v>
      </c>
      <c r="AR2575" t="b">
        <v>0</v>
      </c>
      <c r="AS2575">
        <v>12</v>
      </c>
      <c r="AT2575" t="s">
        <v>327</v>
      </c>
      <c r="AV2575" t="s">
        <v>791</v>
      </c>
    </row>
    <row r="2576" spans="1:48" x14ac:dyDescent="0.25">
      <c r="A2576" t="s">
        <v>3323</v>
      </c>
      <c r="B2576" t="s">
        <v>302</v>
      </c>
      <c r="C2576" t="s">
        <v>62</v>
      </c>
      <c r="D2576">
        <v>99999</v>
      </c>
      <c r="F2576" s="109">
        <v>7000</v>
      </c>
      <c r="G2576" t="b">
        <v>0</v>
      </c>
      <c r="H2576" t="s">
        <v>337</v>
      </c>
      <c r="K2576" t="s">
        <v>364</v>
      </c>
      <c r="L2576" t="s">
        <v>303</v>
      </c>
      <c r="M2576" t="s">
        <v>323</v>
      </c>
      <c r="N2576" t="s">
        <v>63</v>
      </c>
      <c r="O2576" s="110">
        <v>29.9</v>
      </c>
      <c r="R2576" s="110">
        <v>259.89</v>
      </c>
      <c r="S2576" s="110">
        <v>69.900000000000006</v>
      </c>
      <c r="T2576" s="110">
        <v>0</v>
      </c>
      <c r="U2576" s="110">
        <v>42.99</v>
      </c>
      <c r="X2576">
        <v>97.1</v>
      </c>
      <c r="Y2576">
        <v>49.9</v>
      </c>
      <c r="Z2576">
        <v>49.9</v>
      </c>
      <c r="AA2576">
        <v>0</v>
      </c>
      <c r="AB2576" t="s">
        <v>363</v>
      </c>
      <c r="AF2576" t="s">
        <v>919</v>
      </c>
      <c r="AG2576" t="s">
        <v>919</v>
      </c>
      <c r="AH2576" t="s">
        <v>758</v>
      </c>
      <c r="AI2576">
        <v>99999</v>
      </c>
      <c r="AJ2576">
        <v>99999</v>
      </c>
      <c r="AK2576">
        <v>699</v>
      </c>
      <c r="AL2576" t="b">
        <v>1</v>
      </c>
      <c r="AM2576" t="b">
        <v>1</v>
      </c>
      <c r="AN2576" t="b">
        <v>0</v>
      </c>
      <c r="AO2576">
        <v>99999</v>
      </c>
      <c r="AP2576" t="s">
        <v>64</v>
      </c>
      <c r="AR2576" t="b">
        <v>0</v>
      </c>
      <c r="AS2576">
        <v>12</v>
      </c>
      <c r="AT2576" t="s">
        <v>327</v>
      </c>
      <c r="AV2576" t="s">
        <v>925</v>
      </c>
    </row>
    <row r="2577" spans="1:48" x14ac:dyDescent="0.25">
      <c r="A2577" t="s">
        <v>3323</v>
      </c>
      <c r="B2577" t="s">
        <v>302</v>
      </c>
      <c r="C2577" t="s">
        <v>62</v>
      </c>
      <c r="D2577">
        <v>99999</v>
      </c>
      <c r="F2577" s="109">
        <v>7000</v>
      </c>
      <c r="G2577" t="b">
        <v>0</v>
      </c>
      <c r="H2577" t="s">
        <v>337</v>
      </c>
      <c r="K2577" t="s">
        <v>364</v>
      </c>
      <c r="L2577" t="s">
        <v>303</v>
      </c>
      <c r="M2577" t="s">
        <v>323</v>
      </c>
      <c r="N2577" t="s">
        <v>63</v>
      </c>
      <c r="O2577" s="110">
        <v>29.9</v>
      </c>
      <c r="R2577" s="110">
        <v>274.89</v>
      </c>
      <c r="S2577" s="110">
        <v>70</v>
      </c>
      <c r="T2577" s="110">
        <v>0</v>
      </c>
      <c r="U2577" s="110">
        <v>42.99</v>
      </c>
      <c r="X2577">
        <v>112</v>
      </c>
      <c r="Y2577">
        <v>49.9</v>
      </c>
      <c r="Z2577">
        <v>49.9</v>
      </c>
      <c r="AA2577">
        <v>0</v>
      </c>
      <c r="AB2577" t="s">
        <v>363</v>
      </c>
      <c r="AF2577" t="s">
        <v>1067</v>
      </c>
      <c r="AG2577" t="s">
        <v>1067</v>
      </c>
      <c r="AH2577" t="s">
        <v>758</v>
      </c>
      <c r="AI2577">
        <v>99999</v>
      </c>
      <c r="AJ2577">
        <v>99999</v>
      </c>
      <c r="AK2577">
        <v>699</v>
      </c>
      <c r="AL2577" t="b">
        <v>1</v>
      </c>
      <c r="AM2577" t="b">
        <v>1</v>
      </c>
      <c r="AN2577" t="b">
        <v>0</v>
      </c>
      <c r="AO2577">
        <v>99999</v>
      </c>
      <c r="AP2577" t="s">
        <v>64</v>
      </c>
      <c r="AR2577" t="b">
        <v>0</v>
      </c>
      <c r="AS2577">
        <v>12</v>
      </c>
      <c r="AT2577" t="s">
        <v>327</v>
      </c>
      <c r="AV2577" t="s">
        <v>1073</v>
      </c>
    </row>
    <row r="2578" spans="1:48" x14ac:dyDescent="0.25">
      <c r="A2578" t="s">
        <v>3323</v>
      </c>
      <c r="B2578" t="s">
        <v>302</v>
      </c>
      <c r="C2578" t="s">
        <v>62</v>
      </c>
      <c r="D2578">
        <v>99999</v>
      </c>
      <c r="F2578" s="109">
        <v>7000</v>
      </c>
      <c r="G2578" t="b">
        <v>0</v>
      </c>
      <c r="H2578" t="s">
        <v>337</v>
      </c>
      <c r="K2578" t="s">
        <v>364</v>
      </c>
      <c r="L2578" t="s">
        <v>303</v>
      </c>
      <c r="M2578" t="s">
        <v>323</v>
      </c>
      <c r="N2578" t="s">
        <v>63</v>
      </c>
      <c r="O2578" s="110">
        <v>39.9</v>
      </c>
      <c r="R2578" s="110">
        <v>244.89000000000001</v>
      </c>
      <c r="S2578" s="110">
        <v>69.900000000000006</v>
      </c>
      <c r="T2578" s="110">
        <v>0</v>
      </c>
      <c r="U2578" s="110">
        <v>42.99</v>
      </c>
      <c r="X2578">
        <v>82.1</v>
      </c>
      <c r="Y2578">
        <v>49.9</v>
      </c>
      <c r="Z2578">
        <v>49.9</v>
      </c>
      <c r="AA2578">
        <v>0</v>
      </c>
      <c r="AB2578" t="s">
        <v>363</v>
      </c>
      <c r="AF2578" t="s">
        <v>852</v>
      </c>
      <c r="AG2578" t="s">
        <v>852</v>
      </c>
      <c r="AH2578" t="s">
        <v>758</v>
      </c>
      <c r="AI2578">
        <v>99999</v>
      </c>
      <c r="AJ2578">
        <v>99999</v>
      </c>
      <c r="AK2578">
        <v>699</v>
      </c>
      <c r="AL2578" t="b">
        <v>1</v>
      </c>
      <c r="AM2578" t="b">
        <v>1</v>
      </c>
      <c r="AN2578" t="b">
        <v>0</v>
      </c>
      <c r="AO2578">
        <v>99999</v>
      </c>
      <c r="AP2578" t="s">
        <v>64</v>
      </c>
      <c r="AR2578" t="b">
        <v>0</v>
      </c>
      <c r="AS2578">
        <v>12</v>
      </c>
      <c r="AT2578" t="s">
        <v>327</v>
      </c>
      <c r="AV2578" t="s">
        <v>858</v>
      </c>
    </row>
    <row r="2579" spans="1:48" x14ac:dyDescent="0.25">
      <c r="A2579" t="s">
        <v>3323</v>
      </c>
      <c r="B2579" t="s">
        <v>302</v>
      </c>
      <c r="C2579" t="s">
        <v>62</v>
      </c>
      <c r="D2579">
        <v>99999</v>
      </c>
      <c r="F2579" s="109">
        <v>7000</v>
      </c>
      <c r="G2579" t="b">
        <v>0</v>
      </c>
      <c r="H2579" t="s">
        <v>337</v>
      </c>
      <c r="K2579" t="s">
        <v>364</v>
      </c>
      <c r="L2579" t="s">
        <v>303</v>
      </c>
      <c r="M2579" t="s">
        <v>323</v>
      </c>
      <c r="N2579" t="s">
        <v>63</v>
      </c>
      <c r="O2579" s="110">
        <v>39.9</v>
      </c>
      <c r="R2579" s="110">
        <v>259.89</v>
      </c>
      <c r="S2579" s="110">
        <v>69.900000000000006</v>
      </c>
      <c r="T2579" s="110">
        <v>0</v>
      </c>
      <c r="U2579" s="110">
        <v>42.99</v>
      </c>
      <c r="X2579">
        <v>97.1</v>
      </c>
      <c r="Y2579">
        <v>49.9</v>
      </c>
      <c r="Z2579">
        <v>49.9</v>
      </c>
      <c r="AA2579">
        <v>0</v>
      </c>
      <c r="AB2579" t="s">
        <v>363</v>
      </c>
      <c r="AF2579" t="s">
        <v>986</v>
      </c>
      <c r="AG2579" t="s">
        <v>986</v>
      </c>
      <c r="AH2579" t="s">
        <v>758</v>
      </c>
      <c r="AI2579">
        <v>99999</v>
      </c>
      <c r="AJ2579">
        <v>99999</v>
      </c>
      <c r="AK2579">
        <v>699</v>
      </c>
      <c r="AL2579" t="b">
        <v>1</v>
      </c>
      <c r="AM2579" t="b">
        <v>1</v>
      </c>
      <c r="AN2579" t="b">
        <v>0</v>
      </c>
      <c r="AO2579">
        <v>99999</v>
      </c>
      <c r="AP2579" t="s">
        <v>64</v>
      </c>
      <c r="AR2579" t="b">
        <v>0</v>
      </c>
      <c r="AS2579">
        <v>12</v>
      </c>
      <c r="AT2579" t="s">
        <v>327</v>
      </c>
      <c r="AV2579" t="s">
        <v>992</v>
      </c>
    </row>
    <row r="2580" spans="1:48" x14ac:dyDescent="0.25">
      <c r="A2580" t="s">
        <v>3323</v>
      </c>
      <c r="B2580" t="s">
        <v>302</v>
      </c>
      <c r="C2580" t="s">
        <v>62</v>
      </c>
      <c r="D2580">
        <v>99999</v>
      </c>
      <c r="F2580" s="109">
        <v>7000</v>
      </c>
      <c r="G2580" t="b">
        <v>0</v>
      </c>
      <c r="H2580" t="s">
        <v>337</v>
      </c>
      <c r="K2580" t="s">
        <v>364</v>
      </c>
      <c r="L2580" t="s">
        <v>303</v>
      </c>
      <c r="M2580" t="s">
        <v>323</v>
      </c>
      <c r="N2580" t="s">
        <v>63</v>
      </c>
      <c r="O2580" s="110">
        <v>39.9</v>
      </c>
      <c r="R2580" s="110">
        <v>274.89</v>
      </c>
      <c r="S2580" s="110">
        <v>70</v>
      </c>
      <c r="T2580" s="110">
        <v>0</v>
      </c>
      <c r="U2580" s="110">
        <v>42.99</v>
      </c>
      <c r="X2580">
        <v>112</v>
      </c>
      <c r="Y2580">
        <v>49.9</v>
      </c>
      <c r="Z2580">
        <v>49.9</v>
      </c>
      <c r="AA2580">
        <v>0</v>
      </c>
      <c r="AB2580" t="s">
        <v>363</v>
      </c>
      <c r="AF2580" t="s">
        <v>1134</v>
      </c>
      <c r="AG2580" t="s">
        <v>1134</v>
      </c>
      <c r="AH2580" t="s">
        <v>758</v>
      </c>
      <c r="AI2580">
        <v>99999</v>
      </c>
      <c r="AJ2580">
        <v>99999</v>
      </c>
      <c r="AK2580">
        <v>699</v>
      </c>
      <c r="AL2580" t="b">
        <v>1</v>
      </c>
      <c r="AM2580" t="b">
        <v>1</v>
      </c>
      <c r="AN2580" t="b">
        <v>0</v>
      </c>
      <c r="AO2580">
        <v>99999</v>
      </c>
      <c r="AP2580" t="s">
        <v>64</v>
      </c>
      <c r="AR2580" t="b">
        <v>0</v>
      </c>
      <c r="AS2580">
        <v>12</v>
      </c>
      <c r="AT2580" t="s">
        <v>327</v>
      </c>
      <c r="AV2580" t="s">
        <v>1140</v>
      </c>
    </row>
    <row r="2581" spans="1:48" x14ac:dyDescent="0.25">
      <c r="A2581" t="s">
        <v>3323</v>
      </c>
      <c r="B2581" t="s">
        <v>302</v>
      </c>
      <c r="C2581" t="s">
        <v>62</v>
      </c>
      <c r="D2581">
        <v>99999</v>
      </c>
      <c r="F2581" s="109">
        <v>7000</v>
      </c>
      <c r="G2581" t="b">
        <v>0</v>
      </c>
      <c r="H2581" t="s">
        <v>337</v>
      </c>
      <c r="K2581" t="s">
        <v>364</v>
      </c>
      <c r="L2581" t="s">
        <v>303</v>
      </c>
      <c r="M2581" t="s">
        <v>323</v>
      </c>
      <c r="N2581" t="s">
        <v>63</v>
      </c>
      <c r="O2581" s="110">
        <v>49.9</v>
      </c>
      <c r="R2581" s="110">
        <v>290.68999999999994</v>
      </c>
      <c r="S2581" s="110">
        <v>130</v>
      </c>
      <c r="T2581" s="110">
        <v>0</v>
      </c>
      <c r="U2581" s="110">
        <v>34.99</v>
      </c>
      <c r="X2581">
        <v>75.799999999999983</v>
      </c>
      <c r="Y2581">
        <v>49.9</v>
      </c>
      <c r="Z2581">
        <v>49.9</v>
      </c>
      <c r="AA2581">
        <v>0</v>
      </c>
      <c r="AB2581" t="s">
        <v>363</v>
      </c>
      <c r="AF2581" t="s">
        <v>2494</v>
      </c>
      <c r="AG2581" t="s">
        <v>2494</v>
      </c>
      <c r="AH2581" t="s">
        <v>758</v>
      </c>
      <c r="AI2581">
        <v>99999</v>
      </c>
      <c r="AJ2581">
        <v>99999</v>
      </c>
      <c r="AK2581">
        <v>699</v>
      </c>
      <c r="AL2581" t="b">
        <v>1</v>
      </c>
      <c r="AM2581" t="b">
        <v>1</v>
      </c>
      <c r="AN2581" t="b">
        <v>0</v>
      </c>
      <c r="AO2581">
        <v>99999</v>
      </c>
      <c r="AP2581" t="s">
        <v>64</v>
      </c>
      <c r="AR2581" t="b">
        <v>0</v>
      </c>
      <c r="AS2581">
        <v>12</v>
      </c>
      <c r="AT2581" t="s">
        <v>327</v>
      </c>
      <c r="AV2581" t="s">
        <v>2500</v>
      </c>
    </row>
    <row r="2582" spans="1:48" x14ac:dyDescent="0.25">
      <c r="A2582" t="s">
        <v>3323</v>
      </c>
      <c r="B2582" t="s">
        <v>302</v>
      </c>
      <c r="C2582" t="s">
        <v>62</v>
      </c>
      <c r="D2582">
        <v>99999</v>
      </c>
      <c r="F2582" s="109">
        <v>7000</v>
      </c>
      <c r="G2582" t="b">
        <v>0</v>
      </c>
      <c r="H2582" t="s">
        <v>337</v>
      </c>
      <c r="K2582" t="s">
        <v>364</v>
      </c>
      <c r="L2582" t="s">
        <v>303</v>
      </c>
      <c r="M2582" t="s">
        <v>323</v>
      </c>
      <c r="N2582" t="s">
        <v>63</v>
      </c>
      <c r="O2582" s="110">
        <v>49.9</v>
      </c>
      <c r="R2582" s="110">
        <v>304.99</v>
      </c>
      <c r="S2582" s="110">
        <v>130</v>
      </c>
      <c r="T2582" s="110">
        <v>0</v>
      </c>
      <c r="U2582" s="110">
        <v>42.99</v>
      </c>
      <c r="X2582">
        <v>82.1</v>
      </c>
      <c r="Y2582">
        <v>49.9</v>
      </c>
      <c r="Z2582">
        <v>49.9</v>
      </c>
      <c r="AA2582">
        <v>0</v>
      </c>
      <c r="AB2582" t="s">
        <v>363</v>
      </c>
      <c r="AF2582" t="s">
        <v>2568</v>
      </c>
      <c r="AG2582" t="s">
        <v>2568</v>
      </c>
      <c r="AH2582" t="s">
        <v>758</v>
      </c>
      <c r="AI2582">
        <v>99999</v>
      </c>
      <c r="AJ2582">
        <v>99999</v>
      </c>
      <c r="AK2582">
        <v>699</v>
      </c>
      <c r="AL2582" t="b">
        <v>1</v>
      </c>
      <c r="AM2582" t="b">
        <v>1</v>
      </c>
      <c r="AN2582" t="b">
        <v>0</v>
      </c>
      <c r="AO2582">
        <v>99999</v>
      </c>
      <c r="AP2582" t="s">
        <v>64</v>
      </c>
      <c r="AR2582" t="b">
        <v>0</v>
      </c>
      <c r="AS2582">
        <v>12</v>
      </c>
      <c r="AT2582" t="s">
        <v>327</v>
      </c>
      <c r="AV2582" t="s">
        <v>2574</v>
      </c>
    </row>
    <row r="2583" spans="1:48" x14ac:dyDescent="0.25">
      <c r="A2583" t="s">
        <v>3323</v>
      </c>
      <c r="B2583" t="s">
        <v>302</v>
      </c>
      <c r="C2583" t="s">
        <v>62</v>
      </c>
      <c r="D2583">
        <v>99999</v>
      </c>
      <c r="F2583" s="109">
        <v>7000</v>
      </c>
      <c r="G2583" t="b">
        <v>0</v>
      </c>
      <c r="H2583" t="s">
        <v>337</v>
      </c>
      <c r="K2583" t="s">
        <v>364</v>
      </c>
      <c r="L2583" t="s">
        <v>303</v>
      </c>
      <c r="M2583" t="s">
        <v>323</v>
      </c>
      <c r="N2583" t="s">
        <v>63</v>
      </c>
      <c r="O2583" s="110">
        <v>49.9</v>
      </c>
      <c r="R2583" s="110">
        <v>319.99</v>
      </c>
      <c r="S2583" s="110">
        <v>130</v>
      </c>
      <c r="T2583" s="110">
        <v>0</v>
      </c>
      <c r="U2583" s="110">
        <v>42.99</v>
      </c>
      <c r="X2583">
        <v>97.1</v>
      </c>
      <c r="Y2583">
        <v>49.9</v>
      </c>
      <c r="Z2583">
        <v>49.9</v>
      </c>
      <c r="AA2583">
        <v>0</v>
      </c>
      <c r="AB2583" t="s">
        <v>363</v>
      </c>
      <c r="AF2583" t="s">
        <v>2633</v>
      </c>
      <c r="AG2583" t="s">
        <v>2633</v>
      </c>
      <c r="AH2583" t="s">
        <v>758</v>
      </c>
      <c r="AI2583">
        <v>99999</v>
      </c>
      <c r="AJ2583">
        <v>99999</v>
      </c>
      <c r="AK2583">
        <v>699</v>
      </c>
      <c r="AL2583" t="b">
        <v>1</v>
      </c>
      <c r="AM2583" t="b">
        <v>1</v>
      </c>
      <c r="AN2583" t="b">
        <v>0</v>
      </c>
      <c r="AO2583">
        <v>99999</v>
      </c>
      <c r="AP2583" t="s">
        <v>64</v>
      </c>
      <c r="AR2583" t="b">
        <v>0</v>
      </c>
      <c r="AS2583">
        <v>12</v>
      </c>
      <c r="AT2583" t="s">
        <v>327</v>
      </c>
      <c r="AV2583" t="s">
        <v>2639</v>
      </c>
    </row>
    <row r="2584" spans="1:48" x14ac:dyDescent="0.25">
      <c r="A2584" t="s">
        <v>3323</v>
      </c>
      <c r="B2584" t="s">
        <v>302</v>
      </c>
      <c r="C2584" t="s">
        <v>62</v>
      </c>
      <c r="D2584">
        <v>99999</v>
      </c>
      <c r="F2584" s="109">
        <v>7000</v>
      </c>
      <c r="G2584" t="b">
        <v>0</v>
      </c>
      <c r="H2584" t="s">
        <v>337</v>
      </c>
      <c r="K2584" t="s">
        <v>364</v>
      </c>
      <c r="L2584" t="s">
        <v>303</v>
      </c>
      <c r="M2584" t="s">
        <v>323</v>
      </c>
      <c r="N2584" t="s">
        <v>63</v>
      </c>
      <c r="O2584" s="110">
        <v>49.9</v>
      </c>
      <c r="R2584" s="110">
        <v>334.89</v>
      </c>
      <c r="S2584" s="110">
        <v>130</v>
      </c>
      <c r="T2584" s="110">
        <v>0</v>
      </c>
      <c r="U2584" s="110">
        <v>42.99</v>
      </c>
      <c r="X2584">
        <v>112</v>
      </c>
      <c r="Y2584">
        <v>49.9</v>
      </c>
      <c r="Z2584">
        <v>49.9</v>
      </c>
      <c r="AA2584">
        <v>0</v>
      </c>
      <c r="AB2584" t="s">
        <v>363</v>
      </c>
      <c r="AF2584" t="s">
        <v>2704</v>
      </c>
      <c r="AG2584" t="s">
        <v>2704</v>
      </c>
      <c r="AH2584" t="s">
        <v>758</v>
      </c>
      <c r="AI2584">
        <v>99999</v>
      </c>
      <c r="AJ2584">
        <v>99999</v>
      </c>
      <c r="AK2584">
        <v>699</v>
      </c>
      <c r="AL2584" t="b">
        <v>1</v>
      </c>
      <c r="AM2584" t="b">
        <v>1</v>
      </c>
      <c r="AN2584" t="b">
        <v>0</v>
      </c>
      <c r="AO2584">
        <v>99999</v>
      </c>
      <c r="AP2584" t="s">
        <v>64</v>
      </c>
      <c r="AR2584" t="b">
        <v>0</v>
      </c>
      <c r="AS2584">
        <v>12</v>
      </c>
      <c r="AT2584" t="s">
        <v>327</v>
      </c>
      <c r="AV2584" t="s">
        <v>2710</v>
      </c>
    </row>
    <row r="2585" spans="1:48" x14ac:dyDescent="0.25">
      <c r="A2585" t="s">
        <v>3323</v>
      </c>
      <c r="B2585" t="s">
        <v>302</v>
      </c>
      <c r="C2585" t="s">
        <v>62</v>
      </c>
      <c r="D2585">
        <v>99999</v>
      </c>
      <c r="F2585" s="109">
        <v>7000</v>
      </c>
      <c r="G2585" t="b">
        <v>0</v>
      </c>
      <c r="H2585" t="s">
        <v>337</v>
      </c>
      <c r="K2585" t="s">
        <v>379</v>
      </c>
      <c r="L2585" t="s">
        <v>303</v>
      </c>
      <c r="M2585" t="s">
        <v>323</v>
      </c>
      <c r="N2585" t="s">
        <v>63</v>
      </c>
      <c r="O2585" s="110">
        <v>29.9</v>
      </c>
      <c r="R2585" s="110">
        <v>254.89000000000001</v>
      </c>
      <c r="S2585" s="110">
        <v>69.900000000000006</v>
      </c>
      <c r="T2585" s="110">
        <v>0</v>
      </c>
      <c r="U2585" s="110">
        <v>42.99</v>
      </c>
      <c r="X2585">
        <v>82.1</v>
      </c>
      <c r="Y2585">
        <v>59.9</v>
      </c>
      <c r="Z2585">
        <v>59.9</v>
      </c>
      <c r="AA2585">
        <v>0</v>
      </c>
      <c r="AB2585" t="s">
        <v>363</v>
      </c>
      <c r="AF2585" t="s">
        <v>785</v>
      </c>
      <c r="AG2585" t="s">
        <v>785</v>
      </c>
      <c r="AH2585" t="s">
        <v>758</v>
      </c>
      <c r="AI2585">
        <v>99999</v>
      </c>
      <c r="AJ2585">
        <v>99999</v>
      </c>
      <c r="AK2585">
        <v>699</v>
      </c>
      <c r="AL2585" t="b">
        <v>1</v>
      </c>
      <c r="AM2585" t="b">
        <v>1</v>
      </c>
      <c r="AN2585" t="b">
        <v>0</v>
      </c>
      <c r="AO2585">
        <v>99999</v>
      </c>
      <c r="AP2585" t="s">
        <v>64</v>
      </c>
      <c r="AR2585" t="b">
        <v>0</v>
      </c>
      <c r="AS2585">
        <v>12</v>
      </c>
      <c r="AT2585" t="s">
        <v>327</v>
      </c>
      <c r="AV2585" t="s">
        <v>804</v>
      </c>
    </row>
    <row r="2586" spans="1:48" x14ac:dyDescent="0.25">
      <c r="A2586" t="s">
        <v>3323</v>
      </c>
      <c r="B2586" t="s">
        <v>302</v>
      </c>
      <c r="C2586" t="s">
        <v>62</v>
      </c>
      <c r="D2586">
        <v>99999</v>
      </c>
      <c r="F2586" s="109">
        <v>7000</v>
      </c>
      <c r="G2586" t="b">
        <v>0</v>
      </c>
      <c r="H2586" t="s">
        <v>337</v>
      </c>
      <c r="K2586" t="s">
        <v>379</v>
      </c>
      <c r="L2586" t="s">
        <v>303</v>
      </c>
      <c r="M2586" t="s">
        <v>323</v>
      </c>
      <c r="N2586" t="s">
        <v>63</v>
      </c>
      <c r="O2586" s="110">
        <v>29.9</v>
      </c>
      <c r="R2586" s="110">
        <v>269.89</v>
      </c>
      <c r="S2586" s="110">
        <v>69.900000000000006</v>
      </c>
      <c r="T2586" s="110">
        <v>0</v>
      </c>
      <c r="U2586" s="110">
        <v>42.99</v>
      </c>
      <c r="X2586">
        <v>97.1</v>
      </c>
      <c r="Y2586">
        <v>59.9</v>
      </c>
      <c r="Z2586">
        <v>59.9</v>
      </c>
      <c r="AA2586">
        <v>0</v>
      </c>
      <c r="AB2586" t="s">
        <v>363</v>
      </c>
      <c r="AF2586" t="s">
        <v>919</v>
      </c>
      <c r="AG2586" t="s">
        <v>919</v>
      </c>
      <c r="AH2586" t="s">
        <v>758</v>
      </c>
      <c r="AI2586">
        <v>99999</v>
      </c>
      <c r="AJ2586">
        <v>99999</v>
      </c>
      <c r="AK2586">
        <v>699</v>
      </c>
      <c r="AL2586" t="b">
        <v>1</v>
      </c>
      <c r="AM2586" t="b">
        <v>1</v>
      </c>
      <c r="AN2586" t="b">
        <v>0</v>
      </c>
      <c r="AO2586">
        <v>99999</v>
      </c>
      <c r="AP2586" t="s">
        <v>64</v>
      </c>
      <c r="AR2586" t="b">
        <v>0</v>
      </c>
      <c r="AS2586">
        <v>12</v>
      </c>
      <c r="AT2586" t="s">
        <v>327</v>
      </c>
      <c r="AV2586" t="s">
        <v>938</v>
      </c>
    </row>
    <row r="2587" spans="1:48" x14ac:dyDescent="0.25">
      <c r="A2587" t="s">
        <v>3323</v>
      </c>
      <c r="B2587" t="s">
        <v>302</v>
      </c>
      <c r="C2587" t="s">
        <v>62</v>
      </c>
      <c r="D2587">
        <v>99999</v>
      </c>
      <c r="F2587" s="109">
        <v>7000</v>
      </c>
      <c r="G2587" t="b">
        <v>0</v>
      </c>
      <c r="H2587" t="s">
        <v>337</v>
      </c>
      <c r="K2587" t="s">
        <v>379</v>
      </c>
      <c r="L2587" t="s">
        <v>303</v>
      </c>
      <c r="M2587" t="s">
        <v>323</v>
      </c>
      <c r="N2587" t="s">
        <v>63</v>
      </c>
      <c r="O2587" s="110">
        <v>29.9</v>
      </c>
      <c r="R2587" s="110">
        <v>284.89</v>
      </c>
      <c r="S2587" s="110">
        <v>70</v>
      </c>
      <c r="T2587" s="110">
        <v>0</v>
      </c>
      <c r="U2587" s="110">
        <v>42.99</v>
      </c>
      <c r="X2587">
        <v>112</v>
      </c>
      <c r="Y2587">
        <v>59.9</v>
      </c>
      <c r="Z2587">
        <v>59.9</v>
      </c>
      <c r="AA2587">
        <v>0</v>
      </c>
      <c r="AB2587" t="s">
        <v>363</v>
      </c>
      <c r="AF2587" t="s">
        <v>1067</v>
      </c>
      <c r="AG2587" t="s">
        <v>1067</v>
      </c>
      <c r="AH2587" t="s">
        <v>758</v>
      </c>
      <c r="AI2587">
        <v>99999</v>
      </c>
      <c r="AJ2587">
        <v>99999</v>
      </c>
      <c r="AK2587">
        <v>699</v>
      </c>
      <c r="AL2587" t="b">
        <v>1</v>
      </c>
      <c r="AM2587" t="b">
        <v>1</v>
      </c>
      <c r="AN2587" t="b">
        <v>0</v>
      </c>
      <c r="AO2587">
        <v>99999</v>
      </c>
      <c r="AP2587" t="s">
        <v>64</v>
      </c>
      <c r="AR2587" t="b">
        <v>0</v>
      </c>
      <c r="AS2587">
        <v>12</v>
      </c>
      <c r="AT2587" t="s">
        <v>327</v>
      </c>
      <c r="AV2587" t="s">
        <v>1086</v>
      </c>
    </row>
    <row r="2588" spans="1:48" x14ac:dyDescent="0.25">
      <c r="A2588" t="s">
        <v>3323</v>
      </c>
      <c r="B2588" t="s">
        <v>302</v>
      </c>
      <c r="C2588" t="s">
        <v>62</v>
      </c>
      <c r="D2588">
        <v>99999</v>
      </c>
      <c r="F2588" s="109">
        <v>7000</v>
      </c>
      <c r="G2588" t="b">
        <v>0</v>
      </c>
      <c r="H2588" t="s">
        <v>337</v>
      </c>
      <c r="K2588" t="s">
        <v>379</v>
      </c>
      <c r="L2588" t="s">
        <v>303</v>
      </c>
      <c r="M2588" t="s">
        <v>323</v>
      </c>
      <c r="N2588" t="s">
        <v>63</v>
      </c>
      <c r="O2588" s="110">
        <v>39.9</v>
      </c>
      <c r="R2588" s="110">
        <v>254.89000000000001</v>
      </c>
      <c r="S2588" s="110">
        <v>69.900000000000006</v>
      </c>
      <c r="T2588" s="110">
        <v>0</v>
      </c>
      <c r="U2588" s="110">
        <v>42.99</v>
      </c>
      <c r="X2588">
        <v>82.1</v>
      </c>
      <c r="Y2588">
        <v>59.9</v>
      </c>
      <c r="Z2588">
        <v>59.9</v>
      </c>
      <c r="AA2588">
        <v>0</v>
      </c>
      <c r="AB2588" t="s">
        <v>363</v>
      </c>
      <c r="AF2588" t="s">
        <v>852</v>
      </c>
      <c r="AG2588" t="s">
        <v>852</v>
      </c>
      <c r="AH2588" t="s">
        <v>758</v>
      </c>
      <c r="AI2588">
        <v>99999</v>
      </c>
      <c r="AJ2588">
        <v>99999</v>
      </c>
      <c r="AK2588">
        <v>699</v>
      </c>
      <c r="AL2588" t="b">
        <v>1</v>
      </c>
      <c r="AM2588" t="b">
        <v>1</v>
      </c>
      <c r="AN2588" t="b">
        <v>0</v>
      </c>
      <c r="AO2588">
        <v>99999</v>
      </c>
      <c r="AP2588" t="s">
        <v>64</v>
      </c>
      <c r="AR2588" t="b">
        <v>0</v>
      </c>
      <c r="AS2588">
        <v>12</v>
      </c>
      <c r="AT2588" t="s">
        <v>327</v>
      </c>
      <c r="AV2588" t="s">
        <v>871</v>
      </c>
    </row>
    <row r="2589" spans="1:48" x14ac:dyDescent="0.25">
      <c r="A2589" t="s">
        <v>3323</v>
      </c>
      <c r="B2589" t="s">
        <v>302</v>
      </c>
      <c r="C2589" t="s">
        <v>62</v>
      </c>
      <c r="D2589">
        <v>99999</v>
      </c>
      <c r="F2589" s="109">
        <v>7000</v>
      </c>
      <c r="G2589" t="b">
        <v>0</v>
      </c>
      <c r="H2589" t="s">
        <v>337</v>
      </c>
      <c r="K2589" t="s">
        <v>379</v>
      </c>
      <c r="L2589" t="s">
        <v>303</v>
      </c>
      <c r="M2589" t="s">
        <v>323</v>
      </c>
      <c r="N2589" t="s">
        <v>63</v>
      </c>
      <c r="O2589" s="110">
        <v>39.9</v>
      </c>
      <c r="R2589" s="110">
        <v>269.89</v>
      </c>
      <c r="S2589" s="110">
        <v>69.900000000000006</v>
      </c>
      <c r="T2589" s="110">
        <v>0</v>
      </c>
      <c r="U2589" s="110">
        <v>42.99</v>
      </c>
      <c r="X2589">
        <v>97.1</v>
      </c>
      <c r="Y2589">
        <v>59.9</v>
      </c>
      <c r="Z2589">
        <v>59.9</v>
      </c>
      <c r="AA2589">
        <v>0</v>
      </c>
      <c r="AB2589" t="s">
        <v>363</v>
      </c>
      <c r="AF2589" t="s">
        <v>986</v>
      </c>
      <c r="AG2589" t="s">
        <v>986</v>
      </c>
      <c r="AH2589" t="s">
        <v>758</v>
      </c>
      <c r="AI2589">
        <v>99999</v>
      </c>
      <c r="AJ2589">
        <v>99999</v>
      </c>
      <c r="AK2589">
        <v>699</v>
      </c>
      <c r="AL2589" t="b">
        <v>1</v>
      </c>
      <c r="AM2589" t="b">
        <v>1</v>
      </c>
      <c r="AN2589" t="b">
        <v>0</v>
      </c>
      <c r="AO2589">
        <v>99999</v>
      </c>
      <c r="AP2589" t="s">
        <v>64</v>
      </c>
      <c r="AR2589" t="b">
        <v>0</v>
      </c>
      <c r="AS2589">
        <v>12</v>
      </c>
      <c r="AT2589" t="s">
        <v>327</v>
      </c>
      <c r="AV2589" t="s">
        <v>1005</v>
      </c>
    </row>
    <row r="2590" spans="1:48" x14ac:dyDescent="0.25">
      <c r="A2590" t="s">
        <v>3323</v>
      </c>
      <c r="B2590" t="s">
        <v>302</v>
      </c>
      <c r="C2590" t="s">
        <v>62</v>
      </c>
      <c r="D2590">
        <v>99999</v>
      </c>
      <c r="F2590" s="109">
        <v>7000</v>
      </c>
      <c r="G2590" t="b">
        <v>0</v>
      </c>
      <c r="H2590" t="s">
        <v>337</v>
      </c>
      <c r="K2590" t="s">
        <v>379</v>
      </c>
      <c r="L2590" t="s">
        <v>303</v>
      </c>
      <c r="M2590" t="s">
        <v>323</v>
      </c>
      <c r="N2590" t="s">
        <v>63</v>
      </c>
      <c r="O2590" s="110">
        <v>39.9</v>
      </c>
      <c r="R2590" s="110">
        <v>284.89</v>
      </c>
      <c r="S2590" s="110">
        <v>70</v>
      </c>
      <c r="T2590" s="110">
        <v>0</v>
      </c>
      <c r="U2590" s="110">
        <v>42.99</v>
      </c>
      <c r="X2590">
        <v>112</v>
      </c>
      <c r="Y2590">
        <v>59.9</v>
      </c>
      <c r="Z2590">
        <v>59.9</v>
      </c>
      <c r="AA2590">
        <v>0</v>
      </c>
      <c r="AB2590" t="s">
        <v>363</v>
      </c>
      <c r="AF2590" t="s">
        <v>1134</v>
      </c>
      <c r="AG2590" t="s">
        <v>1134</v>
      </c>
      <c r="AH2590" t="s">
        <v>758</v>
      </c>
      <c r="AI2590">
        <v>99999</v>
      </c>
      <c r="AJ2590">
        <v>99999</v>
      </c>
      <c r="AK2590">
        <v>699</v>
      </c>
      <c r="AL2590" t="b">
        <v>1</v>
      </c>
      <c r="AM2590" t="b">
        <v>1</v>
      </c>
      <c r="AN2590" t="b">
        <v>0</v>
      </c>
      <c r="AO2590">
        <v>99999</v>
      </c>
      <c r="AP2590" t="s">
        <v>64</v>
      </c>
      <c r="AR2590" t="b">
        <v>0</v>
      </c>
      <c r="AS2590">
        <v>12</v>
      </c>
      <c r="AT2590" t="s">
        <v>327</v>
      </c>
      <c r="AV2590" t="s">
        <v>1153</v>
      </c>
    </row>
    <row r="2591" spans="1:48" x14ac:dyDescent="0.25">
      <c r="A2591" t="s">
        <v>3323</v>
      </c>
      <c r="B2591" t="s">
        <v>302</v>
      </c>
      <c r="C2591" t="s">
        <v>62</v>
      </c>
      <c r="D2591">
        <v>99999</v>
      </c>
      <c r="F2591" s="109">
        <v>7000</v>
      </c>
      <c r="G2591" t="b">
        <v>0</v>
      </c>
      <c r="H2591" t="s">
        <v>337</v>
      </c>
      <c r="K2591" t="s">
        <v>379</v>
      </c>
      <c r="L2591" t="s">
        <v>303</v>
      </c>
      <c r="M2591" t="s">
        <v>323</v>
      </c>
      <c r="N2591" t="s">
        <v>63</v>
      </c>
      <c r="O2591" s="110">
        <v>49.9</v>
      </c>
      <c r="R2591" s="110">
        <v>300.68999999999994</v>
      </c>
      <c r="S2591" s="110">
        <v>130</v>
      </c>
      <c r="T2591" s="110">
        <v>0</v>
      </c>
      <c r="U2591" s="110">
        <v>34.99</v>
      </c>
      <c r="X2591">
        <v>75.799999999999983</v>
      </c>
      <c r="Y2591">
        <v>59.9</v>
      </c>
      <c r="Z2591">
        <v>59.9</v>
      </c>
      <c r="AA2591">
        <v>0</v>
      </c>
      <c r="AB2591" t="s">
        <v>363</v>
      </c>
      <c r="AF2591" t="s">
        <v>2494</v>
      </c>
      <c r="AG2591" t="s">
        <v>2494</v>
      </c>
      <c r="AH2591" t="s">
        <v>758</v>
      </c>
      <c r="AI2591">
        <v>99999</v>
      </c>
      <c r="AJ2591">
        <v>99999</v>
      </c>
      <c r="AK2591">
        <v>699</v>
      </c>
      <c r="AL2591" t="b">
        <v>1</v>
      </c>
      <c r="AM2591" t="b">
        <v>1</v>
      </c>
      <c r="AN2591" t="b">
        <v>0</v>
      </c>
      <c r="AO2591">
        <v>99999</v>
      </c>
      <c r="AP2591" t="s">
        <v>64</v>
      </c>
      <c r="AR2591" t="b">
        <v>0</v>
      </c>
      <c r="AS2591">
        <v>12</v>
      </c>
      <c r="AT2591" t="s">
        <v>327</v>
      </c>
      <c r="AV2591" t="s">
        <v>2513</v>
      </c>
    </row>
    <row r="2592" spans="1:48" x14ac:dyDescent="0.25">
      <c r="A2592" t="s">
        <v>3323</v>
      </c>
      <c r="B2592" t="s">
        <v>302</v>
      </c>
      <c r="C2592" t="s">
        <v>62</v>
      </c>
      <c r="D2592">
        <v>99999</v>
      </c>
      <c r="F2592" s="109">
        <v>7000</v>
      </c>
      <c r="G2592" t="b">
        <v>0</v>
      </c>
      <c r="H2592" t="s">
        <v>337</v>
      </c>
      <c r="K2592" t="s">
        <v>379</v>
      </c>
      <c r="L2592" t="s">
        <v>303</v>
      </c>
      <c r="M2592" t="s">
        <v>323</v>
      </c>
      <c r="N2592" t="s">
        <v>63</v>
      </c>
      <c r="O2592" s="110">
        <v>49.9</v>
      </c>
      <c r="R2592" s="110">
        <v>314.99</v>
      </c>
      <c r="S2592" s="110">
        <v>130</v>
      </c>
      <c r="T2592" s="110">
        <v>0</v>
      </c>
      <c r="U2592" s="110">
        <v>42.99</v>
      </c>
      <c r="X2592">
        <v>82.1</v>
      </c>
      <c r="Y2592">
        <v>59.9</v>
      </c>
      <c r="Z2592">
        <v>59.9</v>
      </c>
      <c r="AA2592">
        <v>0</v>
      </c>
      <c r="AB2592" t="s">
        <v>363</v>
      </c>
      <c r="AF2592" t="s">
        <v>2568</v>
      </c>
      <c r="AG2592" t="s">
        <v>2568</v>
      </c>
      <c r="AH2592" t="s">
        <v>758</v>
      </c>
      <c r="AI2592">
        <v>99999</v>
      </c>
      <c r="AJ2592">
        <v>99999</v>
      </c>
      <c r="AK2592">
        <v>699</v>
      </c>
      <c r="AL2592" t="b">
        <v>1</v>
      </c>
      <c r="AM2592" t="b">
        <v>1</v>
      </c>
      <c r="AN2592" t="b">
        <v>0</v>
      </c>
      <c r="AO2592">
        <v>99999</v>
      </c>
      <c r="AP2592" t="s">
        <v>64</v>
      </c>
      <c r="AR2592" t="b">
        <v>0</v>
      </c>
      <c r="AS2592">
        <v>12</v>
      </c>
      <c r="AT2592" t="s">
        <v>327</v>
      </c>
      <c r="AV2592" t="s">
        <v>2587</v>
      </c>
    </row>
    <row r="2593" spans="1:48" x14ac:dyDescent="0.25">
      <c r="A2593" t="s">
        <v>3323</v>
      </c>
      <c r="B2593" t="s">
        <v>302</v>
      </c>
      <c r="C2593" t="s">
        <v>62</v>
      </c>
      <c r="D2593">
        <v>99999</v>
      </c>
      <c r="F2593" s="109">
        <v>7000</v>
      </c>
      <c r="G2593" t="b">
        <v>0</v>
      </c>
      <c r="H2593" t="s">
        <v>337</v>
      </c>
      <c r="K2593" t="s">
        <v>379</v>
      </c>
      <c r="L2593" t="s">
        <v>303</v>
      </c>
      <c r="M2593" t="s">
        <v>323</v>
      </c>
      <c r="N2593" t="s">
        <v>63</v>
      </c>
      <c r="O2593" s="110">
        <v>49.9</v>
      </c>
      <c r="R2593" s="110">
        <v>329.99</v>
      </c>
      <c r="S2593" s="110">
        <v>130</v>
      </c>
      <c r="T2593" s="110">
        <v>0</v>
      </c>
      <c r="U2593" s="110">
        <v>42.99</v>
      </c>
      <c r="X2593">
        <v>97.1</v>
      </c>
      <c r="Y2593">
        <v>59.9</v>
      </c>
      <c r="Z2593">
        <v>59.9</v>
      </c>
      <c r="AA2593">
        <v>0</v>
      </c>
      <c r="AB2593" t="s">
        <v>363</v>
      </c>
      <c r="AF2593" t="s">
        <v>2633</v>
      </c>
      <c r="AG2593" t="s">
        <v>2633</v>
      </c>
      <c r="AH2593" t="s">
        <v>758</v>
      </c>
      <c r="AI2593">
        <v>99999</v>
      </c>
      <c r="AJ2593">
        <v>99999</v>
      </c>
      <c r="AK2593">
        <v>699</v>
      </c>
      <c r="AL2593" t="b">
        <v>1</v>
      </c>
      <c r="AM2593" t="b">
        <v>1</v>
      </c>
      <c r="AN2593" t="b">
        <v>0</v>
      </c>
      <c r="AO2593">
        <v>99999</v>
      </c>
      <c r="AP2593" t="s">
        <v>64</v>
      </c>
      <c r="AR2593" t="b">
        <v>0</v>
      </c>
      <c r="AS2593">
        <v>12</v>
      </c>
      <c r="AT2593" t="s">
        <v>327</v>
      </c>
      <c r="AV2593" t="s">
        <v>2651</v>
      </c>
    </row>
    <row r="2594" spans="1:48" x14ac:dyDescent="0.25">
      <c r="A2594" t="s">
        <v>3323</v>
      </c>
      <c r="B2594" t="s">
        <v>302</v>
      </c>
      <c r="C2594" t="s">
        <v>62</v>
      </c>
      <c r="D2594">
        <v>99999</v>
      </c>
      <c r="F2594" s="109">
        <v>7000</v>
      </c>
      <c r="G2594" t="b">
        <v>0</v>
      </c>
      <c r="H2594" t="s">
        <v>337</v>
      </c>
      <c r="K2594" t="s">
        <v>379</v>
      </c>
      <c r="L2594" t="s">
        <v>303</v>
      </c>
      <c r="M2594" t="s">
        <v>323</v>
      </c>
      <c r="N2594" t="s">
        <v>63</v>
      </c>
      <c r="O2594" s="110">
        <v>49.9</v>
      </c>
      <c r="R2594" s="110">
        <v>344.89</v>
      </c>
      <c r="S2594" s="110">
        <v>130</v>
      </c>
      <c r="T2594" s="110">
        <v>0</v>
      </c>
      <c r="U2594" s="110">
        <v>42.99</v>
      </c>
      <c r="X2594">
        <v>112</v>
      </c>
      <c r="Y2594">
        <v>59.9</v>
      </c>
      <c r="Z2594">
        <v>59.9</v>
      </c>
      <c r="AA2594">
        <v>0</v>
      </c>
      <c r="AB2594" t="s">
        <v>363</v>
      </c>
      <c r="AF2594" t="s">
        <v>2704</v>
      </c>
      <c r="AG2594" t="s">
        <v>2704</v>
      </c>
      <c r="AH2594" t="s">
        <v>758</v>
      </c>
      <c r="AI2594">
        <v>99999</v>
      </c>
      <c r="AJ2594">
        <v>99999</v>
      </c>
      <c r="AK2594">
        <v>699</v>
      </c>
      <c r="AL2594" t="b">
        <v>1</v>
      </c>
      <c r="AM2594" t="b">
        <v>1</v>
      </c>
      <c r="AN2594" t="b">
        <v>0</v>
      </c>
      <c r="AO2594">
        <v>99999</v>
      </c>
      <c r="AP2594" t="s">
        <v>64</v>
      </c>
      <c r="AR2594" t="b">
        <v>0</v>
      </c>
      <c r="AS2594">
        <v>12</v>
      </c>
      <c r="AT2594" t="s">
        <v>327</v>
      </c>
      <c r="AV2594" t="s">
        <v>2723</v>
      </c>
    </row>
    <row r="2595" spans="1:48" x14ac:dyDescent="0.25">
      <c r="A2595" t="s">
        <v>3323</v>
      </c>
      <c r="B2595" t="s">
        <v>302</v>
      </c>
      <c r="C2595" t="s">
        <v>62</v>
      </c>
      <c r="D2595">
        <v>99999</v>
      </c>
      <c r="F2595" s="109">
        <v>7000</v>
      </c>
      <c r="G2595" t="b">
        <v>0</v>
      </c>
      <c r="H2595" t="s">
        <v>337</v>
      </c>
      <c r="K2595" t="s">
        <v>61</v>
      </c>
      <c r="L2595" t="s">
        <v>303</v>
      </c>
      <c r="M2595" t="s">
        <v>323</v>
      </c>
      <c r="N2595" t="s">
        <v>63</v>
      </c>
      <c r="O2595">
        <v>29.9</v>
      </c>
      <c r="R2595">
        <v>239.89000000000001</v>
      </c>
      <c r="S2595">
        <v>69.900000000000006</v>
      </c>
      <c r="T2595" s="110">
        <v>0</v>
      </c>
      <c r="U2595">
        <v>42.99</v>
      </c>
      <c r="X2595">
        <v>82.1</v>
      </c>
      <c r="Y2595">
        <v>44.9</v>
      </c>
      <c r="Z2595">
        <v>44.9</v>
      </c>
      <c r="AA2595">
        <v>0</v>
      </c>
      <c r="AB2595" t="s">
        <v>324</v>
      </c>
      <c r="AF2595" t="s">
        <v>757</v>
      </c>
      <c r="AG2595" t="s">
        <v>757</v>
      </c>
      <c r="AH2595" t="s">
        <v>758</v>
      </c>
      <c r="AI2595">
        <v>99999</v>
      </c>
      <c r="AJ2595">
        <v>99999</v>
      </c>
      <c r="AK2595">
        <v>699</v>
      </c>
      <c r="AL2595" t="b">
        <v>1</v>
      </c>
      <c r="AM2595" t="b">
        <v>1</v>
      </c>
      <c r="AN2595" t="b">
        <v>0</v>
      </c>
      <c r="AO2595">
        <v>99999</v>
      </c>
      <c r="AP2595" t="s">
        <v>64</v>
      </c>
      <c r="AR2595" t="b">
        <v>0</v>
      </c>
      <c r="AS2595">
        <v>12</v>
      </c>
      <c r="AT2595" t="s">
        <v>327</v>
      </c>
      <c r="AV2595" t="s">
        <v>764</v>
      </c>
    </row>
    <row r="2596" spans="1:48" x14ac:dyDescent="0.25">
      <c r="A2596" t="s">
        <v>3323</v>
      </c>
      <c r="B2596" t="s">
        <v>302</v>
      </c>
      <c r="C2596" t="s">
        <v>62</v>
      </c>
      <c r="D2596">
        <v>99999</v>
      </c>
      <c r="F2596" s="109">
        <v>7000</v>
      </c>
      <c r="G2596" t="b">
        <v>0</v>
      </c>
      <c r="H2596" t="s">
        <v>337</v>
      </c>
      <c r="K2596" t="s">
        <v>61</v>
      </c>
      <c r="L2596" t="s">
        <v>303</v>
      </c>
      <c r="M2596" t="s">
        <v>323</v>
      </c>
      <c r="N2596" t="s">
        <v>63</v>
      </c>
      <c r="O2596" s="110">
        <v>29.9</v>
      </c>
      <c r="R2596" s="110">
        <v>254.89000000000001</v>
      </c>
      <c r="S2596" s="110">
        <v>69.900000000000006</v>
      </c>
      <c r="T2596" s="110">
        <v>0</v>
      </c>
      <c r="U2596" s="110">
        <v>42.99</v>
      </c>
      <c r="X2596">
        <v>97.1</v>
      </c>
      <c r="Y2596">
        <v>44.9</v>
      </c>
      <c r="Z2596">
        <v>44.9</v>
      </c>
      <c r="AA2596">
        <v>0</v>
      </c>
      <c r="AB2596" t="s">
        <v>324</v>
      </c>
      <c r="AF2596" t="s">
        <v>892</v>
      </c>
      <c r="AG2596" t="s">
        <v>892</v>
      </c>
      <c r="AH2596" t="s">
        <v>758</v>
      </c>
      <c r="AI2596">
        <v>99999</v>
      </c>
      <c r="AJ2596">
        <v>99999</v>
      </c>
      <c r="AK2596">
        <v>699</v>
      </c>
      <c r="AL2596" t="b">
        <v>1</v>
      </c>
      <c r="AM2596" t="b">
        <v>1</v>
      </c>
      <c r="AN2596" t="b">
        <v>0</v>
      </c>
      <c r="AO2596">
        <v>99999</v>
      </c>
      <c r="AP2596" t="s">
        <v>64</v>
      </c>
      <c r="AR2596" t="b">
        <v>0</v>
      </c>
      <c r="AS2596">
        <v>12</v>
      </c>
      <c r="AT2596" t="s">
        <v>327</v>
      </c>
      <c r="AV2596" t="s">
        <v>898</v>
      </c>
    </row>
    <row r="2597" spans="1:48" x14ac:dyDescent="0.25">
      <c r="A2597" t="s">
        <v>3323</v>
      </c>
      <c r="B2597" t="s">
        <v>302</v>
      </c>
      <c r="C2597" t="s">
        <v>62</v>
      </c>
      <c r="D2597">
        <v>99999</v>
      </c>
      <c r="F2597" s="109">
        <v>7000</v>
      </c>
      <c r="G2597" t="b">
        <v>0</v>
      </c>
      <c r="H2597" t="s">
        <v>337</v>
      </c>
      <c r="K2597" t="s">
        <v>61</v>
      </c>
      <c r="L2597" t="s">
        <v>303</v>
      </c>
      <c r="M2597" t="s">
        <v>323</v>
      </c>
      <c r="N2597" t="s">
        <v>63</v>
      </c>
      <c r="O2597" s="110">
        <v>29.9</v>
      </c>
      <c r="R2597" s="110">
        <v>269.89</v>
      </c>
      <c r="S2597" s="110">
        <v>70</v>
      </c>
      <c r="T2597" s="110">
        <v>0</v>
      </c>
      <c r="U2597" s="110">
        <v>42.99</v>
      </c>
      <c r="X2597">
        <v>112</v>
      </c>
      <c r="Y2597">
        <v>44.9</v>
      </c>
      <c r="Z2597">
        <v>44.9</v>
      </c>
      <c r="AA2597">
        <v>0</v>
      </c>
      <c r="AB2597" t="s">
        <v>324</v>
      </c>
      <c r="AF2597" t="s">
        <v>1040</v>
      </c>
      <c r="AG2597" t="s">
        <v>1040</v>
      </c>
      <c r="AH2597" t="s">
        <v>758</v>
      </c>
      <c r="AI2597">
        <v>99999</v>
      </c>
      <c r="AJ2597">
        <v>99999</v>
      </c>
      <c r="AK2597">
        <v>699</v>
      </c>
      <c r="AL2597" t="b">
        <v>1</v>
      </c>
      <c r="AM2597" t="b">
        <v>1</v>
      </c>
      <c r="AN2597" t="b">
        <v>0</v>
      </c>
      <c r="AO2597">
        <v>99999</v>
      </c>
      <c r="AP2597" t="s">
        <v>64</v>
      </c>
      <c r="AR2597" t="b">
        <v>0</v>
      </c>
      <c r="AS2597">
        <v>12</v>
      </c>
      <c r="AT2597" t="s">
        <v>327</v>
      </c>
      <c r="AV2597" t="s">
        <v>1046</v>
      </c>
    </row>
    <row r="2598" spans="1:48" x14ac:dyDescent="0.25">
      <c r="A2598" t="s">
        <v>3323</v>
      </c>
      <c r="B2598" t="s">
        <v>302</v>
      </c>
      <c r="C2598" t="s">
        <v>62</v>
      </c>
      <c r="D2598">
        <v>99999</v>
      </c>
      <c r="F2598" s="109">
        <v>7000</v>
      </c>
      <c r="G2598" t="b">
        <v>0</v>
      </c>
      <c r="H2598" t="s">
        <v>337</v>
      </c>
      <c r="K2598" t="s">
        <v>61</v>
      </c>
      <c r="L2598" t="s">
        <v>303</v>
      </c>
      <c r="M2598" t="s">
        <v>323</v>
      </c>
      <c r="N2598" t="s">
        <v>63</v>
      </c>
      <c r="O2598" s="110">
        <v>39.9</v>
      </c>
      <c r="R2598" s="110">
        <v>239.89000000000001</v>
      </c>
      <c r="S2598" s="110">
        <v>69.900000000000006</v>
      </c>
      <c r="T2598" s="110">
        <v>0</v>
      </c>
      <c r="U2598" s="110">
        <v>42.99</v>
      </c>
      <c r="X2598">
        <v>82.1</v>
      </c>
      <c r="Y2598">
        <v>44.9</v>
      </c>
      <c r="Z2598">
        <v>44.9</v>
      </c>
      <c r="AA2598">
        <v>0</v>
      </c>
      <c r="AB2598" t="s">
        <v>324</v>
      </c>
      <c r="AF2598" t="s">
        <v>825</v>
      </c>
      <c r="AG2598" t="s">
        <v>825</v>
      </c>
      <c r="AH2598" t="s">
        <v>758</v>
      </c>
      <c r="AI2598">
        <v>99999</v>
      </c>
      <c r="AJ2598">
        <v>99999</v>
      </c>
      <c r="AK2598">
        <v>699</v>
      </c>
      <c r="AL2598" t="b">
        <v>1</v>
      </c>
      <c r="AM2598" t="b">
        <v>1</v>
      </c>
      <c r="AN2598" t="b">
        <v>0</v>
      </c>
      <c r="AO2598">
        <v>99999</v>
      </c>
      <c r="AP2598" t="s">
        <v>64</v>
      </c>
      <c r="AR2598" t="b">
        <v>0</v>
      </c>
      <c r="AS2598">
        <v>12</v>
      </c>
      <c r="AT2598" t="s">
        <v>327</v>
      </c>
      <c r="AV2598" t="s">
        <v>831</v>
      </c>
    </row>
    <row r="2599" spans="1:48" x14ac:dyDescent="0.25">
      <c r="A2599" t="s">
        <v>3323</v>
      </c>
      <c r="B2599" t="s">
        <v>302</v>
      </c>
      <c r="C2599" t="s">
        <v>62</v>
      </c>
      <c r="D2599">
        <v>99999</v>
      </c>
      <c r="F2599" s="109">
        <v>7000</v>
      </c>
      <c r="G2599" t="b">
        <v>0</v>
      </c>
      <c r="H2599" t="s">
        <v>337</v>
      </c>
      <c r="K2599" t="s">
        <v>61</v>
      </c>
      <c r="L2599" t="s">
        <v>303</v>
      </c>
      <c r="M2599" t="s">
        <v>323</v>
      </c>
      <c r="N2599" t="s">
        <v>63</v>
      </c>
      <c r="O2599" s="110">
        <v>39.9</v>
      </c>
      <c r="R2599" s="110">
        <v>254.89000000000001</v>
      </c>
      <c r="S2599" s="110">
        <v>69.900000000000006</v>
      </c>
      <c r="T2599" s="110">
        <v>0</v>
      </c>
      <c r="U2599" s="110">
        <v>42.99</v>
      </c>
      <c r="X2599">
        <v>97.1</v>
      </c>
      <c r="Y2599">
        <v>44.9</v>
      </c>
      <c r="Z2599">
        <v>44.9</v>
      </c>
      <c r="AA2599">
        <v>0</v>
      </c>
      <c r="AB2599" t="s">
        <v>324</v>
      </c>
      <c r="AF2599" t="s">
        <v>959</v>
      </c>
      <c r="AG2599" t="s">
        <v>959</v>
      </c>
      <c r="AH2599" t="s">
        <v>758</v>
      </c>
      <c r="AI2599">
        <v>99999</v>
      </c>
      <c r="AJ2599">
        <v>99999</v>
      </c>
      <c r="AK2599">
        <v>699</v>
      </c>
      <c r="AL2599" t="b">
        <v>1</v>
      </c>
      <c r="AM2599" t="b">
        <v>1</v>
      </c>
      <c r="AN2599" t="b">
        <v>0</v>
      </c>
      <c r="AO2599">
        <v>99999</v>
      </c>
      <c r="AP2599" t="s">
        <v>64</v>
      </c>
      <c r="AR2599" t="b">
        <v>0</v>
      </c>
      <c r="AS2599">
        <v>12</v>
      </c>
      <c r="AT2599" t="s">
        <v>327</v>
      </c>
      <c r="AV2599" t="s">
        <v>965</v>
      </c>
    </row>
    <row r="2600" spans="1:48" x14ac:dyDescent="0.25">
      <c r="A2600" t="s">
        <v>3323</v>
      </c>
      <c r="B2600" t="s">
        <v>302</v>
      </c>
      <c r="C2600" t="s">
        <v>62</v>
      </c>
      <c r="D2600">
        <v>99999</v>
      </c>
      <c r="F2600" s="109">
        <v>7000</v>
      </c>
      <c r="G2600" t="b">
        <v>0</v>
      </c>
      <c r="H2600" t="s">
        <v>337</v>
      </c>
      <c r="K2600" t="s">
        <v>61</v>
      </c>
      <c r="L2600" t="s">
        <v>303</v>
      </c>
      <c r="M2600" t="s">
        <v>323</v>
      </c>
      <c r="N2600" t="s">
        <v>63</v>
      </c>
      <c r="O2600" s="110">
        <v>39.9</v>
      </c>
      <c r="R2600" s="110">
        <v>269.89</v>
      </c>
      <c r="S2600" s="110">
        <v>70</v>
      </c>
      <c r="T2600" s="110">
        <v>0</v>
      </c>
      <c r="U2600" s="110">
        <v>42.99</v>
      </c>
      <c r="X2600">
        <v>112</v>
      </c>
      <c r="Y2600">
        <v>44.9</v>
      </c>
      <c r="Z2600">
        <v>44.9</v>
      </c>
      <c r="AA2600">
        <v>0</v>
      </c>
      <c r="AB2600" t="s">
        <v>324</v>
      </c>
      <c r="AF2600" t="s">
        <v>1107</v>
      </c>
      <c r="AG2600" t="s">
        <v>1107</v>
      </c>
      <c r="AH2600" t="s">
        <v>758</v>
      </c>
      <c r="AI2600">
        <v>99999</v>
      </c>
      <c r="AJ2600">
        <v>99999</v>
      </c>
      <c r="AK2600">
        <v>699</v>
      </c>
      <c r="AL2600" t="b">
        <v>1</v>
      </c>
      <c r="AM2600" t="b">
        <v>1</v>
      </c>
      <c r="AN2600" t="b">
        <v>0</v>
      </c>
      <c r="AO2600">
        <v>99999</v>
      </c>
      <c r="AP2600" t="s">
        <v>64</v>
      </c>
      <c r="AR2600" t="b">
        <v>0</v>
      </c>
      <c r="AS2600">
        <v>12</v>
      </c>
      <c r="AT2600" t="s">
        <v>327</v>
      </c>
      <c r="AV2600" t="s">
        <v>1113</v>
      </c>
    </row>
    <row r="2601" spans="1:48" x14ac:dyDescent="0.25">
      <c r="A2601" t="s">
        <v>3323</v>
      </c>
      <c r="B2601" t="s">
        <v>302</v>
      </c>
      <c r="C2601" t="s">
        <v>62</v>
      </c>
      <c r="D2601">
        <v>99999</v>
      </c>
      <c r="F2601" s="109">
        <v>7000</v>
      </c>
      <c r="G2601" t="b">
        <v>0</v>
      </c>
      <c r="H2601" t="s">
        <v>337</v>
      </c>
      <c r="K2601" t="s">
        <v>61</v>
      </c>
      <c r="L2601" t="s">
        <v>303</v>
      </c>
      <c r="M2601" t="s">
        <v>323</v>
      </c>
      <c r="N2601" t="s">
        <v>63</v>
      </c>
      <c r="O2601" s="110">
        <v>49.9</v>
      </c>
      <c r="R2601" s="110">
        <v>285.68999999999994</v>
      </c>
      <c r="S2601" s="110">
        <v>130</v>
      </c>
      <c r="T2601" s="110">
        <v>0</v>
      </c>
      <c r="U2601" s="110">
        <v>34.99</v>
      </c>
      <c r="X2601">
        <v>75.799999999999983</v>
      </c>
      <c r="Y2601">
        <v>44.9</v>
      </c>
      <c r="Z2601">
        <v>44.9</v>
      </c>
      <c r="AA2601">
        <v>0</v>
      </c>
      <c r="AB2601" t="s">
        <v>324</v>
      </c>
      <c r="AF2601" t="s">
        <v>2467</v>
      </c>
      <c r="AG2601" t="s">
        <v>2467</v>
      </c>
      <c r="AH2601" t="s">
        <v>758</v>
      </c>
      <c r="AI2601">
        <v>99999</v>
      </c>
      <c r="AJ2601">
        <v>99999</v>
      </c>
      <c r="AK2601">
        <v>699</v>
      </c>
      <c r="AL2601" t="b">
        <v>1</v>
      </c>
      <c r="AM2601" t="b">
        <v>1</v>
      </c>
      <c r="AN2601" t="b">
        <v>0</v>
      </c>
      <c r="AO2601">
        <v>99999</v>
      </c>
      <c r="AP2601" t="s">
        <v>64</v>
      </c>
      <c r="AR2601" t="b">
        <v>0</v>
      </c>
      <c r="AS2601">
        <v>12</v>
      </c>
      <c r="AT2601" t="s">
        <v>327</v>
      </c>
      <c r="AV2601" t="s">
        <v>2473</v>
      </c>
    </row>
    <row r="2602" spans="1:48" x14ac:dyDescent="0.25">
      <c r="A2602" t="s">
        <v>3323</v>
      </c>
      <c r="B2602" t="s">
        <v>302</v>
      </c>
      <c r="C2602" t="s">
        <v>62</v>
      </c>
      <c r="D2602">
        <v>99999</v>
      </c>
      <c r="F2602" s="109">
        <v>7000</v>
      </c>
      <c r="G2602" t="b">
        <v>0</v>
      </c>
      <c r="H2602" t="s">
        <v>337</v>
      </c>
      <c r="K2602" t="s">
        <v>61</v>
      </c>
      <c r="L2602" t="s">
        <v>303</v>
      </c>
      <c r="M2602" t="s">
        <v>323</v>
      </c>
      <c r="N2602" t="s">
        <v>63</v>
      </c>
      <c r="O2602" s="110">
        <v>49.9</v>
      </c>
      <c r="R2602" s="110">
        <v>299.99</v>
      </c>
      <c r="S2602" s="110">
        <v>130</v>
      </c>
      <c r="T2602" s="110">
        <v>0</v>
      </c>
      <c r="U2602" s="110">
        <v>42.99</v>
      </c>
      <c r="X2602">
        <v>82.1</v>
      </c>
      <c r="Y2602">
        <v>44.9</v>
      </c>
      <c r="Z2602">
        <v>44.9</v>
      </c>
      <c r="AA2602">
        <v>0</v>
      </c>
      <c r="AB2602" t="s">
        <v>324</v>
      </c>
      <c r="AF2602" t="s">
        <v>2541</v>
      </c>
      <c r="AG2602" t="s">
        <v>2541</v>
      </c>
      <c r="AH2602" t="s">
        <v>758</v>
      </c>
      <c r="AI2602">
        <v>99999</v>
      </c>
      <c r="AJ2602">
        <v>99999</v>
      </c>
      <c r="AK2602">
        <v>699</v>
      </c>
      <c r="AL2602" t="b">
        <v>1</v>
      </c>
      <c r="AM2602" t="b">
        <v>1</v>
      </c>
      <c r="AN2602" t="b">
        <v>0</v>
      </c>
      <c r="AO2602">
        <v>99999</v>
      </c>
      <c r="AP2602" t="s">
        <v>64</v>
      </c>
      <c r="AR2602" t="b">
        <v>0</v>
      </c>
      <c r="AS2602">
        <v>12</v>
      </c>
      <c r="AT2602" t="s">
        <v>327</v>
      </c>
      <c r="AV2602" t="s">
        <v>2547</v>
      </c>
    </row>
    <row r="2603" spans="1:48" x14ac:dyDescent="0.25">
      <c r="A2603" t="s">
        <v>3323</v>
      </c>
      <c r="B2603" t="s">
        <v>302</v>
      </c>
      <c r="C2603" t="s">
        <v>62</v>
      </c>
      <c r="D2603">
        <v>99999</v>
      </c>
      <c r="F2603" s="109">
        <v>7000</v>
      </c>
      <c r="G2603" t="b">
        <v>0</v>
      </c>
      <c r="H2603" t="s">
        <v>337</v>
      </c>
      <c r="K2603" t="s">
        <v>61</v>
      </c>
      <c r="L2603" t="s">
        <v>303</v>
      </c>
      <c r="M2603" t="s">
        <v>323</v>
      </c>
      <c r="N2603" t="s">
        <v>63</v>
      </c>
      <c r="O2603" s="110">
        <v>49.9</v>
      </c>
      <c r="R2603" s="110">
        <v>314.99</v>
      </c>
      <c r="S2603" s="110">
        <v>130</v>
      </c>
      <c r="T2603" s="110">
        <v>0</v>
      </c>
      <c r="U2603" s="110">
        <v>42.99</v>
      </c>
      <c r="X2603">
        <v>97.1</v>
      </c>
      <c r="Y2603">
        <v>44.9</v>
      </c>
      <c r="Z2603">
        <v>44.9</v>
      </c>
      <c r="AA2603">
        <v>0</v>
      </c>
      <c r="AB2603" t="s">
        <v>324</v>
      </c>
      <c r="AF2603" t="s">
        <v>2608</v>
      </c>
      <c r="AG2603" t="s">
        <v>2608</v>
      </c>
      <c r="AH2603" t="s">
        <v>758</v>
      </c>
      <c r="AI2603">
        <v>99999</v>
      </c>
      <c r="AJ2603">
        <v>99999</v>
      </c>
      <c r="AK2603">
        <v>699</v>
      </c>
      <c r="AL2603" t="b">
        <v>1</v>
      </c>
      <c r="AM2603" t="b">
        <v>1</v>
      </c>
      <c r="AN2603" t="b">
        <v>0</v>
      </c>
      <c r="AO2603">
        <v>99999</v>
      </c>
      <c r="AP2603" t="s">
        <v>64</v>
      </c>
      <c r="AR2603" t="b">
        <v>0</v>
      </c>
      <c r="AS2603">
        <v>12</v>
      </c>
      <c r="AT2603" t="s">
        <v>327</v>
      </c>
      <c r="AV2603" t="s">
        <v>2614</v>
      </c>
    </row>
    <row r="2604" spans="1:48" x14ac:dyDescent="0.25">
      <c r="A2604" t="s">
        <v>3323</v>
      </c>
      <c r="B2604" t="s">
        <v>302</v>
      </c>
      <c r="C2604" t="s">
        <v>62</v>
      </c>
      <c r="D2604">
        <v>99999</v>
      </c>
      <c r="F2604" s="109">
        <v>7000</v>
      </c>
      <c r="G2604" t="b">
        <v>0</v>
      </c>
      <c r="H2604" t="s">
        <v>337</v>
      </c>
      <c r="K2604" t="s">
        <v>61</v>
      </c>
      <c r="L2604" t="s">
        <v>303</v>
      </c>
      <c r="M2604" t="s">
        <v>323</v>
      </c>
      <c r="N2604" t="s">
        <v>63</v>
      </c>
      <c r="O2604" s="110">
        <v>49.9</v>
      </c>
      <c r="R2604" s="110">
        <v>329.89</v>
      </c>
      <c r="S2604" s="110">
        <v>130</v>
      </c>
      <c r="T2604" s="110">
        <v>0</v>
      </c>
      <c r="U2604" s="110">
        <v>42.99</v>
      </c>
      <c r="X2604">
        <v>112</v>
      </c>
      <c r="Y2604">
        <v>44.9</v>
      </c>
      <c r="Z2604">
        <v>44.9</v>
      </c>
      <c r="AA2604">
        <v>0</v>
      </c>
      <c r="AB2604" t="s">
        <v>324</v>
      </c>
      <c r="AF2604" t="s">
        <v>2677</v>
      </c>
      <c r="AG2604" t="s">
        <v>2677</v>
      </c>
      <c r="AH2604" t="s">
        <v>758</v>
      </c>
      <c r="AI2604">
        <v>99999</v>
      </c>
      <c r="AJ2604">
        <v>99999</v>
      </c>
      <c r="AK2604">
        <v>699</v>
      </c>
      <c r="AL2604" t="b">
        <v>1</v>
      </c>
      <c r="AM2604" t="b">
        <v>1</v>
      </c>
      <c r="AN2604" t="b">
        <v>0</v>
      </c>
      <c r="AO2604">
        <v>99999</v>
      </c>
      <c r="AP2604" t="s">
        <v>64</v>
      </c>
      <c r="AR2604" t="b">
        <v>0</v>
      </c>
      <c r="AS2604">
        <v>12</v>
      </c>
      <c r="AT2604" t="s">
        <v>327</v>
      </c>
      <c r="AV2604" t="s">
        <v>2683</v>
      </c>
    </row>
    <row r="2605" spans="1:48" x14ac:dyDescent="0.25">
      <c r="A2605" t="s">
        <v>3323</v>
      </c>
      <c r="B2605" t="s">
        <v>302</v>
      </c>
      <c r="C2605" t="s">
        <v>62</v>
      </c>
      <c r="D2605">
        <v>99999</v>
      </c>
      <c r="F2605" s="109">
        <v>7000</v>
      </c>
      <c r="G2605" t="b">
        <v>0</v>
      </c>
      <c r="H2605" t="s">
        <v>341</v>
      </c>
      <c r="K2605" t="s">
        <v>349</v>
      </c>
      <c r="L2605" t="s">
        <v>303</v>
      </c>
      <c r="M2605" t="s">
        <v>323</v>
      </c>
      <c r="N2605" t="s">
        <v>63</v>
      </c>
      <c r="O2605" s="110">
        <v>29.9</v>
      </c>
      <c r="R2605" s="110">
        <v>284.89</v>
      </c>
      <c r="S2605" s="110">
        <v>69.900000000000006</v>
      </c>
      <c r="T2605" s="110">
        <v>0</v>
      </c>
      <c r="U2605" s="110">
        <v>42.99</v>
      </c>
      <c r="X2605">
        <v>127.1</v>
      </c>
      <c r="Y2605">
        <v>44.9</v>
      </c>
      <c r="Z2605">
        <v>44.9</v>
      </c>
      <c r="AA2605">
        <v>0</v>
      </c>
      <c r="AB2605" t="s">
        <v>324</v>
      </c>
      <c r="AF2605" t="s">
        <v>757</v>
      </c>
      <c r="AG2605" t="s">
        <v>757</v>
      </c>
      <c r="AH2605" t="s">
        <v>758</v>
      </c>
      <c r="AI2605">
        <v>99999</v>
      </c>
      <c r="AJ2605">
        <v>99999</v>
      </c>
      <c r="AK2605">
        <v>699</v>
      </c>
      <c r="AL2605" t="b">
        <v>1</v>
      </c>
      <c r="AM2605" t="b">
        <v>1</v>
      </c>
      <c r="AN2605" t="b">
        <v>0</v>
      </c>
      <c r="AO2605">
        <v>99999</v>
      </c>
      <c r="AP2605" t="s">
        <v>64</v>
      </c>
      <c r="AR2605" t="b">
        <v>0</v>
      </c>
      <c r="AS2605">
        <v>12</v>
      </c>
      <c r="AT2605" t="s">
        <v>327</v>
      </c>
      <c r="AV2605" t="s">
        <v>779</v>
      </c>
    </row>
    <row r="2606" spans="1:48" x14ac:dyDescent="0.25">
      <c r="A2606" t="s">
        <v>3323</v>
      </c>
      <c r="B2606" t="s">
        <v>302</v>
      </c>
      <c r="C2606" t="s">
        <v>62</v>
      </c>
      <c r="D2606">
        <v>99999</v>
      </c>
      <c r="F2606" s="109">
        <v>7000</v>
      </c>
      <c r="G2606" t="b">
        <v>0</v>
      </c>
      <c r="H2606" t="s">
        <v>341</v>
      </c>
      <c r="K2606" t="s">
        <v>349</v>
      </c>
      <c r="L2606" t="s">
        <v>303</v>
      </c>
      <c r="M2606" t="s">
        <v>323</v>
      </c>
      <c r="N2606" t="s">
        <v>63</v>
      </c>
      <c r="O2606" s="110">
        <v>29.9</v>
      </c>
      <c r="R2606" s="110">
        <v>299.89</v>
      </c>
      <c r="S2606" s="110">
        <v>69.900000000000006</v>
      </c>
      <c r="T2606" s="110">
        <v>0</v>
      </c>
      <c r="U2606" s="110">
        <v>42.99</v>
      </c>
      <c r="X2606">
        <v>142.1</v>
      </c>
      <c r="Y2606">
        <v>44.9</v>
      </c>
      <c r="Z2606">
        <v>44.9</v>
      </c>
      <c r="AA2606">
        <v>0</v>
      </c>
      <c r="AB2606" t="s">
        <v>324</v>
      </c>
      <c r="AF2606" t="s">
        <v>892</v>
      </c>
      <c r="AG2606" t="s">
        <v>892</v>
      </c>
      <c r="AH2606" t="s">
        <v>758</v>
      </c>
      <c r="AI2606">
        <v>99999</v>
      </c>
      <c r="AJ2606">
        <v>99999</v>
      </c>
      <c r="AK2606">
        <v>699</v>
      </c>
      <c r="AL2606" t="b">
        <v>1</v>
      </c>
      <c r="AM2606" t="b">
        <v>1</v>
      </c>
      <c r="AN2606" t="b">
        <v>0</v>
      </c>
      <c r="AO2606">
        <v>99999</v>
      </c>
      <c r="AP2606" t="s">
        <v>64</v>
      </c>
      <c r="AR2606" t="b">
        <v>0</v>
      </c>
      <c r="AS2606">
        <v>12</v>
      </c>
      <c r="AT2606" t="s">
        <v>327</v>
      </c>
      <c r="AV2606" t="s">
        <v>913</v>
      </c>
    </row>
    <row r="2607" spans="1:48" x14ac:dyDescent="0.25">
      <c r="A2607" t="s">
        <v>3323</v>
      </c>
      <c r="B2607" t="s">
        <v>302</v>
      </c>
      <c r="C2607" t="s">
        <v>62</v>
      </c>
      <c r="D2607">
        <v>99999</v>
      </c>
      <c r="F2607" s="109">
        <v>7000</v>
      </c>
      <c r="G2607" t="b">
        <v>0</v>
      </c>
      <c r="H2607" t="s">
        <v>341</v>
      </c>
      <c r="K2607" t="s">
        <v>349</v>
      </c>
      <c r="L2607" t="s">
        <v>303</v>
      </c>
      <c r="M2607" t="s">
        <v>323</v>
      </c>
      <c r="N2607" t="s">
        <v>63</v>
      </c>
      <c r="O2607" s="110">
        <v>29.9</v>
      </c>
      <c r="R2607" s="110">
        <v>314.89</v>
      </c>
      <c r="S2607" s="110">
        <v>70</v>
      </c>
      <c r="T2607" s="110">
        <v>0</v>
      </c>
      <c r="U2607" s="110">
        <v>42.99</v>
      </c>
      <c r="X2607">
        <v>157</v>
      </c>
      <c r="Y2607">
        <v>44.9</v>
      </c>
      <c r="Z2607">
        <v>44.9</v>
      </c>
      <c r="AA2607">
        <v>0</v>
      </c>
      <c r="AB2607" t="s">
        <v>324</v>
      </c>
      <c r="AF2607" t="s">
        <v>1040</v>
      </c>
      <c r="AG2607" t="s">
        <v>1040</v>
      </c>
      <c r="AH2607" t="s">
        <v>758</v>
      </c>
      <c r="AI2607">
        <v>99999</v>
      </c>
      <c r="AJ2607">
        <v>99999</v>
      </c>
      <c r="AK2607">
        <v>699</v>
      </c>
      <c r="AL2607" t="b">
        <v>1</v>
      </c>
      <c r="AM2607" t="b">
        <v>1</v>
      </c>
      <c r="AN2607" t="b">
        <v>0</v>
      </c>
      <c r="AO2607">
        <v>99999</v>
      </c>
      <c r="AP2607" t="s">
        <v>64</v>
      </c>
      <c r="AR2607" t="b">
        <v>0</v>
      </c>
      <c r="AS2607">
        <v>12</v>
      </c>
      <c r="AT2607" t="s">
        <v>327</v>
      </c>
      <c r="AV2607" t="s">
        <v>1061</v>
      </c>
    </row>
    <row r="2608" spans="1:48" x14ac:dyDescent="0.25">
      <c r="A2608" t="s">
        <v>3323</v>
      </c>
      <c r="B2608" t="s">
        <v>302</v>
      </c>
      <c r="C2608" t="s">
        <v>62</v>
      </c>
      <c r="D2608">
        <v>99999</v>
      </c>
      <c r="F2608" s="109">
        <v>7000</v>
      </c>
      <c r="G2608" t="b">
        <v>0</v>
      </c>
      <c r="H2608" t="s">
        <v>341</v>
      </c>
      <c r="K2608" t="s">
        <v>349</v>
      </c>
      <c r="L2608" t="s">
        <v>303</v>
      </c>
      <c r="M2608" t="s">
        <v>323</v>
      </c>
      <c r="N2608" t="s">
        <v>63</v>
      </c>
      <c r="O2608" s="110">
        <v>39.9</v>
      </c>
      <c r="R2608" s="110">
        <v>284.89</v>
      </c>
      <c r="S2608" s="110">
        <v>69.900000000000006</v>
      </c>
      <c r="T2608" s="110">
        <v>0</v>
      </c>
      <c r="U2608" s="110">
        <v>42.99</v>
      </c>
      <c r="X2608">
        <v>127.1</v>
      </c>
      <c r="Y2608">
        <v>44.9</v>
      </c>
      <c r="Z2608">
        <v>44.9</v>
      </c>
      <c r="AA2608">
        <v>0</v>
      </c>
      <c r="AB2608" t="s">
        <v>324</v>
      </c>
      <c r="AF2608" t="s">
        <v>825</v>
      </c>
      <c r="AG2608" t="s">
        <v>825</v>
      </c>
      <c r="AH2608" t="s">
        <v>758</v>
      </c>
      <c r="AI2608">
        <v>99999</v>
      </c>
      <c r="AJ2608">
        <v>99999</v>
      </c>
      <c r="AK2608">
        <v>699</v>
      </c>
      <c r="AL2608" t="b">
        <v>1</v>
      </c>
      <c r="AM2608" t="b">
        <v>1</v>
      </c>
      <c r="AN2608" t="b">
        <v>0</v>
      </c>
      <c r="AO2608">
        <v>99999</v>
      </c>
      <c r="AP2608" t="s">
        <v>64</v>
      </c>
      <c r="AR2608" t="b">
        <v>0</v>
      </c>
      <c r="AS2608">
        <v>12</v>
      </c>
      <c r="AT2608" t="s">
        <v>327</v>
      </c>
      <c r="AV2608" t="s">
        <v>846</v>
      </c>
    </row>
    <row r="2609" spans="1:48" x14ac:dyDescent="0.25">
      <c r="A2609" t="s">
        <v>3323</v>
      </c>
      <c r="B2609" t="s">
        <v>302</v>
      </c>
      <c r="C2609" t="s">
        <v>62</v>
      </c>
      <c r="D2609">
        <v>99999</v>
      </c>
      <c r="F2609" s="109">
        <v>7000</v>
      </c>
      <c r="G2609" t="b">
        <v>0</v>
      </c>
      <c r="H2609" t="s">
        <v>341</v>
      </c>
      <c r="K2609" t="s">
        <v>349</v>
      </c>
      <c r="L2609" t="s">
        <v>303</v>
      </c>
      <c r="M2609" t="s">
        <v>323</v>
      </c>
      <c r="N2609" t="s">
        <v>63</v>
      </c>
      <c r="O2609" s="110">
        <v>39.9</v>
      </c>
      <c r="R2609" s="110">
        <v>299.89</v>
      </c>
      <c r="S2609" s="110">
        <v>69.900000000000006</v>
      </c>
      <c r="T2609" s="110">
        <v>0</v>
      </c>
      <c r="U2609" s="110">
        <v>42.99</v>
      </c>
      <c r="X2609">
        <v>142.1</v>
      </c>
      <c r="Y2609">
        <v>44.9</v>
      </c>
      <c r="Z2609">
        <v>44.9</v>
      </c>
      <c r="AA2609">
        <v>0</v>
      </c>
      <c r="AB2609" t="s">
        <v>324</v>
      </c>
      <c r="AF2609" t="s">
        <v>959</v>
      </c>
      <c r="AG2609" t="s">
        <v>959</v>
      </c>
      <c r="AH2609" t="s">
        <v>758</v>
      </c>
      <c r="AI2609">
        <v>99999</v>
      </c>
      <c r="AJ2609">
        <v>99999</v>
      </c>
      <c r="AK2609">
        <v>699</v>
      </c>
      <c r="AL2609" t="b">
        <v>1</v>
      </c>
      <c r="AM2609" t="b">
        <v>1</v>
      </c>
      <c r="AN2609" t="b">
        <v>0</v>
      </c>
      <c r="AO2609">
        <v>99999</v>
      </c>
      <c r="AP2609" t="s">
        <v>64</v>
      </c>
      <c r="AR2609" t="b">
        <v>0</v>
      </c>
      <c r="AS2609">
        <v>12</v>
      </c>
      <c r="AT2609" t="s">
        <v>327</v>
      </c>
      <c r="AV2609" t="s">
        <v>980</v>
      </c>
    </row>
    <row r="2610" spans="1:48" x14ac:dyDescent="0.25">
      <c r="A2610" t="s">
        <v>3323</v>
      </c>
      <c r="B2610" t="s">
        <v>302</v>
      </c>
      <c r="C2610" t="s">
        <v>62</v>
      </c>
      <c r="D2610">
        <v>99999</v>
      </c>
      <c r="F2610" s="109">
        <v>7000</v>
      </c>
      <c r="G2610" t="b">
        <v>0</v>
      </c>
      <c r="H2610" t="s">
        <v>341</v>
      </c>
      <c r="K2610" t="s">
        <v>349</v>
      </c>
      <c r="L2610" t="s">
        <v>303</v>
      </c>
      <c r="M2610" t="s">
        <v>323</v>
      </c>
      <c r="N2610" t="s">
        <v>63</v>
      </c>
      <c r="O2610" s="110">
        <v>39.9</v>
      </c>
      <c r="R2610" s="110">
        <v>314.89</v>
      </c>
      <c r="S2610" s="110">
        <v>70</v>
      </c>
      <c r="T2610" s="110">
        <v>0</v>
      </c>
      <c r="U2610" s="110">
        <v>42.99</v>
      </c>
      <c r="X2610">
        <v>157</v>
      </c>
      <c r="Y2610">
        <v>44.9</v>
      </c>
      <c r="Z2610">
        <v>44.9</v>
      </c>
      <c r="AA2610">
        <v>0</v>
      </c>
      <c r="AB2610" t="s">
        <v>324</v>
      </c>
      <c r="AF2610" t="s">
        <v>1107</v>
      </c>
      <c r="AG2610" t="s">
        <v>1107</v>
      </c>
      <c r="AH2610" t="s">
        <v>758</v>
      </c>
      <c r="AI2610">
        <v>99999</v>
      </c>
      <c r="AJ2610">
        <v>99999</v>
      </c>
      <c r="AK2610">
        <v>699</v>
      </c>
      <c r="AL2610" t="b">
        <v>1</v>
      </c>
      <c r="AM2610" t="b">
        <v>1</v>
      </c>
      <c r="AN2610" t="b">
        <v>0</v>
      </c>
      <c r="AO2610">
        <v>99999</v>
      </c>
      <c r="AP2610" t="s">
        <v>64</v>
      </c>
      <c r="AR2610" t="b">
        <v>0</v>
      </c>
      <c r="AS2610">
        <v>12</v>
      </c>
      <c r="AT2610" t="s">
        <v>327</v>
      </c>
      <c r="AV2610" t="s">
        <v>1128</v>
      </c>
    </row>
    <row r="2611" spans="1:48" x14ac:dyDescent="0.25">
      <c r="A2611" t="s">
        <v>3323</v>
      </c>
      <c r="B2611" t="s">
        <v>302</v>
      </c>
      <c r="C2611" t="s">
        <v>62</v>
      </c>
      <c r="D2611">
        <v>99999</v>
      </c>
      <c r="F2611" s="109">
        <v>7000</v>
      </c>
      <c r="G2611" t="b">
        <v>0</v>
      </c>
      <c r="H2611" t="s">
        <v>341</v>
      </c>
      <c r="K2611" t="s">
        <v>349</v>
      </c>
      <c r="L2611" t="s">
        <v>303</v>
      </c>
      <c r="M2611" t="s">
        <v>323</v>
      </c>
      <c r="N2611" t="s">
        <v>63</v>
      </c>
      <c r="O2611" s="110">
        <v>49.9</v>
      </c>
      <c r="R2611" s="110">
        <v>330.68999999999994</v>
      </c>
      <c r="S2611" s="110">
        <v>130</v>
      </c>
      <c r="T2611" s="110">
        <v>0</v>
      </c>
      <c r="U2611" s="110">
        <v>34.99</v>
      </c>
      <c r="X2611">
        <v>120.79999999999998</v>
      </c>
      <c r="Y2611">
        <v>44.9</v>
      </c>
      <c r="Z2611">
        <v>44.9</v>
      </c>
      <c r="AA2611">
        <v>0</v>
      </c>
      <c r="AB2611" t="s">
        <v>324</v>
      </c>
      <c r="AF2611" t="s">
        <v>2467</v>
      </c>
      <c r="AG2611" t="s">
        <v>2467</v>
      </c>
      <c r="AH2611" t="s">
        <v>758</v>
      </c>
      <c r="AI2611">
        <v>99999</v>
      </c>
      <c r="AJ2611">
        <v>99999</v>
      </c>
      <c r="AK2611">
        <v>699</v>
      </c>
      <c r="AL2611" t="b">
        <v>1</v>
      </c>
      <c r="AM2611" t="b">
        <v>1</v>
      </c>
      <c r="AN2611" t="b">
        <v>0</v>
      </c>
      <c r="AO2611">
        <v>99999</v>
      </c>
      <c r="AP2611" t="s">
        <v>64</v>
      </c>
      <c r="AR2611" t="b">
        <v>0</v>
      </c>
      <c r="AS2611">
        <v>12</v>
      </c>
      <c r="AT2611" t="s">
        <v>327</v>
      </c>
      <c r="AV2611" t="s">
        <v>2488</v>
      </c>
    </row>
    <row r="2612" spans="1:48" x14ac:dyDescent="0.25">
      <c r="A2612" t="s">
        <v>3323</v>
      </c>
      <c r="B2612" t="s">
        <v>302</v>
      </c>
      <c r="C2612" t="s">
        <v>62</v>
      </c>
      <c r="D2612">
        <v>99999</v>
      </c>
      <c r="F2612" s="109">
        <v>7000</v>
      </c>
      <c r="G2612" t="b">
        <v>0</v>
      </c>
      <c r="H2612" t="s">
        <v>341</v>
      </c>
      <c r="K2612" t="s">
        <v>349</v>
      </c>
      <c r="L2612" t="s">
        <v>303</v>
      </c>
      <c r="M2612" t="s">
        <v>323</v>
      </c>
      <c r="N2612" t="s">
        <v>63</v>
      </c>
      <c r="O2612" s="110">
        <v>49.9</v>
      </c>
      <c r="R2612" s="110">
        <v>344.99</v>
      </c>
      <c r="S2612" s="110">
        <v>130</v>
      </c>
      <c r="T2612" s="110">
        <v>0</v>
      </c>
      <c r="U2612" s="110">
        <v>42.99</v>
      </c>
      <c r="X2612">
        <v>127.1</v>
      </c>
      <c r="Y2612">
        <v>44.9</v>
      </c>
      <c r="Z2612">
        <v>44.9</v>
      </c>
      <c r="AA2612">
        <v>0</v>
      </c>
      <c r="AB2612" t="s">
        <v>324</v>
      </c>
      <c r="AF2612" t="s">
        <v>2541</v>
      </c>
      <c r="AG2612" t="s">
        <v>2541</v>
      </c>
      <c r="AH2612" t="s">
        <v>758</v>
      </c>
      <c r="AI2612">
        <v>99999</v>
      </c>
      <c r="AJ2612">
        <v>99999</v>
      </c>
      <c r="AK2612">
        <v>699</v>
      </c>
      <c r="AL2612" t="b">
        <v>1</v>
      </c>
      <c r="AM2612" t="b">
        <v>1</v>
      </c>
      <c r="AN2612" t="b">
        <v>0</v>
      </c>
      <c r="AO2612">
        <v>99999</v>
      </c>
      <c r="AP2612" t="s">
        <v>64</v>
      </c>
      <c r="AR2612" t="b">
        <v>0</v>
      </c>
      <c r="AS2612">
        <v>12</v>
      </c>
      <c r="AT2612" t="s">
        <v>327</v>
      </c>
      <c r="AV2612" t="s">
        <v>2562</v>
      </c>
    </row>
    <row r="2613" spans="1:48" x14ac:dyDescent="0.25">
      <c r="A2613" t="s">
        <v>3323</v>
      </c>
      <c r="B2613" t="s">
        <v>302</v>
      </c>
      <c r="C2613" t="s">
        <v>62</v>
      </c>
      <c r="D2613">
        <v>99999</v>
      </c>
      <c r="F2613" s="109">
        <v>7000</v>
      </c>
      <c r="G2613" t="b">
        <v>0</v>
      </c>
      <c r="H2613" t="s">
        <v>341</v>
      </c>
      <c r="K2613" t="s">
        <v>349</v>
      </c>
      <c r="L2613" t="s">
        <v>303</v>
      </c>
      <c r="M2613" t="s">
        <v>323</v>
      </c>
      <c r="N2613" t="s">
        <v>63</v>
      </c>
      <c r="O2613" s="110">
        <v>49.9</v>
      </c>
      <c r="R2613" s="110">
        <v>359.99</v>
      </c>
      <c r="S2613" s="110">
        <v>130</v>
      </c>
      <c r="T2613" s="110">
        <v>0</v>
      </c>
      <c r="U2613" s="110">
        <v>42.99</v>
      </c>
      <c r="X2613">
        <v>142.1</v>
      </c>
      <c r="Y2613">
        <v>44.9</v>
      </c>
      <c r="Z2613">
        <v>44.9</v>
      </c>
      <c r="AA2613">
        <v>0</v>
      </c>
      <c r="AB2613" t="s">
        <v>324</v>
      </c>
      <c r="AF2613" t="s">
        <v>2608</v>
      </c>
      <c r="AG2613" t="s">
        <v>2608</v>
      </c>
      <c r="AH2613" t="s">
        <v>758</v>
      </c>
      <c r="AI2613">
        <v>99999</v>
      </c>
      <c r="AJ2613">
        <v>99999</v>
      </c>
      <c r="AK2613">
        <v>699</v>
      </c>
      <c r="AL2613" t="b">
        <v>1</v>
      </c>
      <c r="AM2613" t="b">
        <v>1</v>
      </c>
      <c r="AN2613" t="b">
        <v>0</v>
      </c>
      <c r="AO2613">
        <v>99999</v>
      </c>
      <c r="AP2613" t="s">
        <v>64</v>
      </c>
      <c r="AR2613" t="b">
        <v>0</v>
      </c>
      <c r="AS2613">
        <v>12</v>
      </c>
      <c r="AT2613" t="s">
        <v>327</v>
      </c>
      <c r="AV2613" t="s">
        <v>2628</v>
      </c>
    </row>
    <row r="2614" spans="1:48" x14ac:dyDescent="0.25">
      <c r="A2614" t="s">
        <v>3323</v>
      </c>
      <c r="B2614" t="s">
        <v>302</v>
      </c>
      <c r="C2614" t="s">
        <v>62</v>
      </c>
      <c r="D2614">
        <v>99999</v>
      </c>
      <c r="F2614" s="109">
        <v>7000</v>
      </c>
      <c r="G2614" t="b">
        <v>0</v>
      </c>
      <c r="H2614" t="s">
        <v>341</v>
      </c>
      <c r="K2614" t="s">
        <v>349</v>
      </c>
      <c r="L2614" t="s">
        <v>303</v>
      </c>
      <c r="M2614" t="s">
        <v>323</v>
      </c>
      <c r="N2614" t="s">
        <v>63</v>
      </c>
      <c r="O2614" s="110">
        <v>49.9</v>
      </c>
      <c r="R2614" s="110">
        <v>374.89</v>
      </c>
      <c r="S2614" s="110">
        <v>130</v>
      </c>
      <c r="T2614" s="110">
        <v>0</v>
      </c>
      <c r="U2614" s="110">
        <v>42.99</v>
      </c>
      <c r="X2614">
        <v>157</v>
      </c>
      <c r="Y2614">
        <v>44.9</v>
      </c>
      <c r="Z2614">
        <v>44.9</v>
      </c>
      <c r="AA2614">
        <v>0</v>
      </c>
      <c r="AB2614" t="s">
        <v>324</v>
      </c>
      <c r="AF2614" t="s">
        <v>2677</v>
      </c>
      <c r="AG2614" t="s">
        <v>2677</v>
      </c>
      <c r="AH2614" t="s">
        <v>758</v>
      </c>
      <c r="AI2614">
        <v>99999</v>
      </c>
      <c r="AJ2614">
        <v>99999</v>
      </c>
      <c r="AK2614">
        <v>699</v>
      </c>
      <c r="AL2614" t="b">
        <v>1</v>
      </c>
      <c r="AM2614" t="b">
        <v>1</v>
      </c>
      <c r="AN2614" t="b">
        <v>0</v>
      </c>
      <c r="AO2614">
        <v>99999</v>
      </c>
      <c r="AP2614" t="s">
        <v>64</v>
      </c>
      <c r="AR2614" t="b">
        <v>0</v>
      </c>
      <c r="AS2614">
        <v>12</v>
      </c>
      <c r="AT2614" t="s">
        <v>327</v>
      </c>
      <c r="AV2614" t="s">
        <v>2698</v>
      </c>
    </row>
    <row r="2615" spans="1:48" x14ac:dyDescent="0.25">
      <c r="A2615" t="s">
        <v>3323</v>
      </c>
      <c r="B2615" t="s">
        <v>302</v>
      </c>
      <c r="C2615" t="s">
        <v>62</v>
      </c>
      <c r="D2615">
        <v>99999</v>
      </c>
      <c r="F2615" s="109">
        <v>7000</v>
      </c>
      <c r="G2615" t="b">
        <v>0</v>
      </c>
      <c r="H2615" t="s">
        <v>341</v>
      </c>
      <c r="K2615" t="s">
        <v>393</v>
      </c>
      <c r="L2615" t="s">
        <v>303</v>
      </c>
      <c r="M2615" t="s">
        <v>323</v>
      </c>
      <c r="N2615" t="s">
        <v>63</v>
      </c>
      <c r="O2615" s="110">
        <v>29.9</v>
      </c>
      <c r="R2615" s="110">
        <v>309.89</v>
      </c>
      <c r="S2615" s="110">
        <v>69.900000000000006</v>
      </c>
      <c r="T2615" s="110">
        <v>0</v>
      </c>
      <c r="U2615" s="110">
        <v>42.99</v>
      </c>
      <c r="X2615">
        <v>127.1</v>
      </c>
      <c r="Y2615">
        <v>69.900000000000006</v>
      </c>
      <c r="Z2615">
        <v>69.900000000000006</v>
      </c>
      <c r="AA2615">
        <v>0</v>
      </c>
      <c r="AB2615" t="s">
        <v>363</v>
      </c>
      <c r="AF2615" t="s">
        <v>785</v>
      </c>
      <c r="AG2615" t="s">
        <v>785</v>
      </c>
      <c r="AH2615" t="s">
        <v>758</v>
      </c>
      <c r="AI2615">
        <v>99999</v>
      </c>
      <c r="AJ2615">
        <v>99999</v>
      </c>
      <c r="AK2615">
        <v>699</v>
      </c>
      <c r="AL2615" t="b">
        <v>1</v>
      </c>
      <c r="AM2615" t="b">
        <v>1</v>
      </c>
      <c r="AN2615" t="b">
        <v>0</v>
      </c>
      <c r="AO2615">
        <v>99999</v>
      </c>
      <c r="AP2615" t="s">
        <v>64</v>
      </c>
      <c r="AR2615" t="b">
        <v>0</v>
      </c>
      <c r="AS2615">
        <v>12</v>
      </c>
      <c r="AT2615" t="s">
        <v>327</v>
      </c>
      <c r="AV2615" t="s">
        <v>819</v>
      </c>
    </row>
    <row r="2616" spans="1:48" x14ac:dyDescent="0.25">
      <c r="A2616" t="s">
        <v>3323</v>
      </c>
      <c r="B2616" t="s">
        <v>302</v>
      </c>
      <c r="C2616" t="s">
        <v>62</v>
      </c>
      <c r="D2616">
        <v>99999</v>
      </c>
      <c r="F2616" s="109">
        <v>7000</v>
      </c>
      <c r="G2616" t="b">
        <v>0</v>
      </c>
      <c r="H2616" t="s">
        <v>341</v>
      </c>
      <c r="K2616" t="s">
        <v>393</v>
      </c>
      <c r="L2616" t="s">
        <v>303</v>
      </c>
      <c r="M2616" t="s">
        <v>323</v>
      </c>
      <c r="N2616" t="s">
        <v>63</v>
      </c>
      <c r="O2616" s="110">
        <v>29.9</v>
      </c>
      <c r="R2616" s="110">
        <v>324.89</v>
      </c>
      <c r="S2616" s="110">
        <v>69.900000000000006</v>
      </c>
      <c r="T2616" s="110">
        <v>0</v>
      </c>
      <c r="U2616" s="110">
        <v>42.99</v>
      </c>
      <c r="X2616">
        <v>142.1</v>
      </c>
      <c r="Y2616">
        <v>69.900000000000006</v>
      </c>
      <c r="Z2616">
        <v>69.900000000000006</v>
      </c>
      <c r="AA2616">
        <v>0</v>
      </c>
      <c r="AB2616" t="s">
        <v>363</v>
      </c>
      <c r="AF2616" t="s">
        <v>919</v>
      </c>
      <c r="AG2616" t="s">
        <v>919</v>
      </c>
      <c r="AH2616" t="s">
        <v>758</v>
      </c>
      <c r="AI2616">
        <v>99999</v>
      </c>
      <c r="AJ2616">
        <v>99999</v>
      </c>
      <c r="AK2616">
        <v>699</v>
      </c>
      <c r="AL2616" t="b">
        <v>1</v>
      </c>
      <c r="AM2616" t="b">
        <v>1</v>
      </c>
      <c r="AN2616" t="b">
        <v>0</v>
      </c>
      <c r="AO2616">
        <v>99999</v>
      </c>
      <c r="AP2616" t="s">
        <v>64</v>
      </c>
      <c r="AR2616" t="b">
        <v>0</v>
      </c>
      <c r="AS2616">
        <v>12</v>
      </c>
      <c r="AT2616" t="s">
        <v>327</v>
      </c>
      <c r="AV2616" t="s">
        <v>953</v>
      </c>
    </row>
    <row r="2617" spans="1:48" x14ac:dyDescent="0.25">
      <c r="A2617" t="s">
        <v>3323</v>
      </c>
      <c r="B2617" t="s">
        <v>302</v>
      </c>
      <c r="C2617" t="s">
        <v>62</v>
      </c>
      <c r="D2617">
        <v>99999</v>
      </c>
      <c r="F2617" s="109">
        <v>7000</v>
      </c>
      <c r="G2617" t="b">
        <v>0</v>
      </c>
      <c r="H2617" t="s">
        <v>341</v>
      </c>
      <c r="K2617" t="s">
        <v>393</v>
      </c>
      <c r="L2617" t="s">
        <v>303</v>
      </c>
      <c r="M2617" t="s">
        <v>323</v>
      </c>
      <c r="N2617" t="s">
        <v>63</v>
      </c>
      <c r="O2617" s="110">
        <v>29.9</v>
      </c>
      <c r="R2617" s="110">
        <v>339.89</v>
      </c>
      <c r="S2617" s="110">
        <v>70</v>
      </c>
      <c r="T2617" s="110">
        <v>0</v>
      </c>
      <c r="U2617" s="110">
        <v>42.99</v>
      </c>
      <c r="X2617">
        <v>157</v>
      </c>
      <c r="Y2617">
        <v>69.900000000000006</v>
      </c>
      <c r="Z2617">
        <v>69.900000000000006</v>
      </c>
      <c r="AA2617">
        <v>0</v>
      </c>
      <c r="AB2617" t="s">
        <v>363</v>
      </c>
      <c r="AF2617" t="s">
        <v>1067</v>
      </c>
      <c r="AG2617" t="s">
        <v>1067</v>
      </c>
      <c r="AH2617" t="s">
        <v>758</v>
      </c>
      <c r="AI2617">
        <v>99999</v>
      </c>
      <c r="AJ2617">
        <v>99999</v>
      </c>
      <c r="AK2617">
        <v>699</v>
      </c>
      <c r="AL2617" t="b">
        <v>1</v>
      </c>
      <c r="AM2617" t="b">
        <v>1</v>
      </c>
      <c r="AN2617" t="b">
        <v>0</v>
      </c>
      <c r="AO2617">
        <v>99999</v>
      </c>
      <c r="AP2617" t="s">
        <v>64</v>
      </c>
      <c r="AR2617" t="b">
        <v>0</v>
      </c>
      <c r="AS2617">
        <v>12</v>
      </c>
      <c r="AT2617" t="s">
        <v>327</v>
      </c>
      <c r="AV2617" t="s">
        <v>1101</v>
      </c>
    </row>
    <row r="2618" spans="1:48" x14ac:dyDescent="0.25">
      <c r="A2618" t="s">
        <v>3323</v>
      </c>
      <c r="B2618" t="s">
        <v>302</v>
      </c>
      <c r="C2618" t="s">
        <v>62</v>
      </c>
      <c r="D2618">
        <v>99999</v>
      </c>
      <c r="F2618" s="109">
        <v>7000</v>
      </c>
      <c r="G2618" t="b">
        <v>0</v>
      </c>
      <c r="H2618" t="s">
        <v>341</v>
      </c>
      <c r="K2618" t="s">
        <v>393</v>
      </c>
      <c r="L2618" t="s">
        <v>303</v>
      </c>
      <c r="M2618" t="s">
        <v>323</v>
      </c>
      <c r="N2618" t="s">
        <v>63</v>
      </c>
      <c r="O2618" s="110">
        <v>39.9</v>
      </c>
      <c r="R2618" s="110">
        <v>309.89</v>
      </c>
      <c r="S2618" s="110">
        <v>69.900000000000006</v>
      </c>
      <c r="T2618" s="110">
        <v>0</v>
      </c>
      <c r="U2618" s="110">
        <v>42.99</v>
      </c>
      <c r="X2618">
        <v>127.1</v>
      </c>
      <c r="Y2618">
        <v>69.900000000000006</v>
      </c>
      <c r="Z2618">
        <v>69.900000000000006</v>
      </c>
      <c r="AA2618">
        <v>0</v>
      </c>
      <c r="AB2618" t="s">
        <v>363</v>
      </c>
      <c r="AF2618" t="s">
        <v>852</v>
      </c>
      <c r="AG2618" t="s">
        <v>852</v>
      </c>
      <c r="AH2618" t="s">
        <v>758</v>
      </c>
      <c r="AI2618">
        <v>99999</v>
      </c>
      <c r="AJ2618">
        <v>99999</v>
      </c>
      <c r="AK2618">
        <v>699</v>
      </c>
      <c r="AL2618" t="b">
        <v>1</v>
      </c>
      <c r="AM2618" t="b">
        <v>1</v>
      </c>
      <c r="AN2618" t="b">
        <v>0</v>
      </c>
      <c r="AO2618">
        <v>99999</v>
      </c>
      <c r="AP2618" t="s">
        <v>64</v>
      </c>
      <c r="AR2618" t="b">
        <v>0</v>
      </c>
      <c r="AS2618">
        <v>12</v>
      </c>
      <c r="AT2618" t="s">
        <v>327</v>
      </c>
      <c r="AV2618" t="s">
        <v>886</v>
      </c>
    </row>
    <row r="2619" spans="1:48" x14ac:dyDescent="0.25">
      <c r="A2619" t="s">
        <v>3323</v>
      </c>
      <c r="B2619" t="s">
        <v>302</v>
      </c>
      <c r="C2619" t="s">
        <v>62</v>
      </c>
      <c r="D2619">
        <v>99999</v>
      </c>
      <c r="F2619" s="109">
        <v>7000</v>
      </c>
      <c r="G2619" t="b">
        <v>0</v>
      </c>
      <c r="H2619" t="s">
        <v>341</v>
      </c>
      <c r="K2619" t="s">
        <v>393</v>
      </c>
      <c r="L2619" t="s">
        <v>303</v>
      </c>
      <c r="M2619" t="s">
        <v>323</v>
      </c>
      <c r="N2619" t="s">
        <v>63</v>
      </c>
      <c r="O2619" s="110">
        <v>39.9</v>
      </c>
      <c r="R2619" s="110">
        <v>324.89</v>
      </c>
      <c r="S2619" s="110">
        <v>69.900000000000006</v>
      </c>
      <c r="T2619" s="110">
        <v>0</v>
      </c>
      <c r="U2619" s="110">
        <v>42.99</v>
      </c>
      <c r="X2619">
        <v>142.1</v>
      </c>
      <c r="Y2619">
        <v>69.900000000000006</v>
      </c>
      <c r="Z2619">
        <v>69.900000000000006</v>
      </c>
      <c r="AA2619">
        <v>0</v>
      </c>
      <c r="AB2619" t="s">
        <v>363</v>
      </c>
      <c r="AF2619" t="s">
        <v>986</v>
      </c>
      <c r="AG2619" t="s">
        <v>986</v>
      </c>
      <c r="AH2619" t="s">
        <v>758</v>
      </c>
      <c r="AI2619">
        <v>99999</v>
      </c>
      <c r="AJ2619">
        <v>99999</v>
      </c>
      <c r="AK2619">
        <v>699</v>
      </c>
      <c r="AL2619" t="b">
        <v>1</v>
      </c>
      <c r="AM2619" t="b">
        <v>1</v>
      </c>
      <c r="AN2619" t="b">
        <v>0</v>
      </c>
      <c r="AO2619">
        <v>99999</v>
      </c>
      <c r="AP2619" t="s">
        <v>64</v>
      </c>
      <c r="AR2619" t="b">
        <v>0</v>
      </c>
      <c r="AS2619">
        <v>12</v>
      </c>
      <c r="AT2619" t="s">
        <v>327</v>
      </c>
      <c r="AV2619" t="s">
        <v>1020</v>
      </c>
    </row>
    <row r="2620" spans="1:48" x14ac:dyDescent="0.25">
      <c r="A2620" t="s">
        <v>3323</v>
      </c>
      <c r="B2620" t="s">
        <v>302</v>
      </c>
      <c r="C2620" t="s">
        <v>62</v>
      </c>
      <c r="D2620">
        <v>99999</v>
      </c>
      <c r="F2620" s="109">
        <v>7000</v>
      </c>
      <c r="G2620" t="b">
        <v>0</v>
      </c>
      <c r="H2620" t="s">
        <v>341</v>
      </c>
      <c r="K2620" t="s">
        <v>393</v>
      </c>
      <c r="L2620" t="s">
        <v>303</v>
      </c>
      <c r="M2620" t="s">
        <v>323</v>
      </c>
      <c r="N2620" t="s">
        <v>63</v>
      </c>
      <c r="O2620" s="110">
        <v>39.9</v>
      </c>
      <c r="R2620" s="110">
        <v>339.89</v>
      </c>
      <c r="S2620" s="110">
        <v>70</v>
      </c>
      <c r="T2620" s="110">
        <v>0</v>
      </c>
      <c r="U2620" s="110">
        <v>42.99</v>
      </c>
      <c r="X2620">
        <v>157</v>
      </c>
      <c r="Y2620">
        <v>69.900000000000006</v>
      </c>
      <c r="Z2620">
        <v>69.900000000000006</v>
      </c>
      <c r="AA2620">
        <v>0</v>
      </c>
      <c r="AB2620" t="s">
        <v>363</v>
      </c>
      <c r="AF2620" t="s">
        <v>1134</v>
      </c>
      <c r="AG2620" t="s">
        <v>1134</v>
      </c>
      <c r="AH2620" t="s">
        <v>758</v>
      </c>
      <c r="AI2620">
        <v>99999</v>
      </c>
      <c r="AJ2620">
        <v>99999</v>
      </c>
      <c r="AK2620">
        <v>699</v>
      </c>
      <c r="AL2620" t="b">
        <v>1</v>
      </c>
      <c r="AM2620" t="b">
        <v>1</v>
      </c>
      <c r="AN2620" t="b">
        <v>0</v>
      </c>
      <c r="AO2620">
        <v>99999</v>
      </c>
      <c r="AP2620" t="s">
        <v>64</v>
      </c>
      <c r="AR2620" t="b">
        <v>0</v>
      </c>
      <c r="AS2620">
        <v>12</v>
      </c>
      <c r="AT2620" t="s">
        <v>327</v>
      </c>
      <c r="AV2620" t="s">
        <v>1168</v>
      </c>
    </row>
    <row r="2621" spans="1:48" x14ac:dyDescent="0.25">
      <c r="A2621" t="s">
        <v>3323</v>
      </c>
      <c r="B2621" t="s">
        <v>302</v>
      </c>
      <c r="C2621" t="s">
        <v>62</v>
      </c>
      <c r="D2621">
        <v>99999</v>
      </c>
      <c r="F2621" s="109">
        <v>7000</v>
      </c>
      <c r="G2621" t="b">
        <v>0</v>
      </c>
      <c r="H2621" t="s">
        <v>341</v>
      </c>
      <c r="K2621" t="s">
        <v>393</v>
      </c>
      <c r="L2621" t="s">
        <v>303</v>
      </c>
      <c r="M2621" t="s">
        <v>323</v>
      </c>
      <c r="N2621" t="s">
        <v>63</v>
      </c>
      <c r="O2621" s="110">
        <v>49.9</v>
      </c>
      <c r="R2621" s="110">
        <v>355.69</v>
      </c>
      <c r="S2621" s="110">
        <v>130</v>
      </c>
      <c r="T2621" s="110">
        <v>0</v>
      </c>
      <c r="U2621" s="110">
        <v>34.99</v>
      </c>
      <c r="X2621">
        <v>120.79999999999998</v>
      </c>
      <c r="Y2621">
        <v>69.900000000000006</v>
      </c>
      <c r="Z2621">
        <v>69.900000000000006</v>
      </c>
      <c r="AA2621">
        <v>0</v>
      </c>
      <c r="AB2621" t="s">
        <v>363</v>
      </c>
      <c r="AF2621" t="s">
        <v>2494</v>
      </c>
      <c r="AG2621" t="s">
        <v>2494</v>
      </c>
      <c r="AH2621" t="s">
        <v>758</v>
      </c>
      <c r="AI2621">
        <v>99999</v>
      </c>
      <c r="AJ2621">
        <v>99999</v>
      </c>
      <c r="AK2621">
        <v>699</v>
      </c>
      <c r="AL2621" t="b">
        <v>1</v>
      </c>
      <c r="AM2621" t="b">
        <v>1</v>
      </c>
      <c r="AN2621" t="b">
        <v>0</v>
      </c>
      <c r="AO2621">
        <v>99999</v>
      </c>
      <c r="AP2621" t="s">
        <v>64</v>
      </c>
      <c r="AR2621" t="b">
        <v>0</v>
      </c>
      <c r="AS2621">
        <v>12</v>
      </c>
      <c r="AT2621" t="s">
        <v>327</v>
      </c>
      <c r="AV2621" t="s">
        <v>2528</v>
      </c>
    </row>
    <row r="2622" spans="1:48" x14ac:dyDescent="0.25">
      <c r="A2622" t="s">
        <v>3323</v>
      </c>
      <c r="B2622" t="s">
        <v>302</v>
      </c>
      <c r="C2622" t="s">
        <v>62</v>
      </c>
      <c r="D2622">
        <v>99999</v>
      </c>
      <c r="F2622" s="109">
        <v>7000</v>
      </c>
      <c r="G2622" t="b">
        <v>0</v>
      </c>
      <c r="H2622" t="s">
        <v>341</v>
      </c>
      <c r="K2622" t="s">
        <v>393</v>
      </c>
      <c r="L2622" t="s">
        <v>303</v>
      </c>
      <c r="M2622" t="s">
        <v>323</v>
      </c>
      <c r="N2622" t="s">
        <v>63</v>
      </c>
      <c r="O2622" s="110">
        <v>49.9</v>
      </c>
      <c r="R2622" s="110">
        <v>369.99</v>
      </c>
      <c r="S2622" s="110">
        <v>130</v>
      </c>
      <c r="T2622" s="110">
        <v>0</v>
      </c>
      <c r="U2622" s="110">
        <v>42.99</v>
      </c>
      <c r="X2622">
        <v>127.1</v>
      </c>
      <c r="Y2622">
        <v>69.900000000000006</v>
      </c>
      <c r="Z2622">
        <v>69.900000000000006</v>
      </c>
      <c r="AA2622">
        <v>0</v>
      </c>
      <c r="AB2622" t="s">
        <v>363</v>
      </c>
      <c r="AF2622" t="s">
        <v>2568</v>
      </c>
      <c r="AG2622" t="s">
        <v>2568</v>
      </c>
      <c r="AH2622" t="s">
        <v>758</v>
      </c>
      <c r="AI2622">
        <v>99999</v>
      </c>
      <c r="AJ2622">
        <v>99999</v>
      </c>
      <c r="AK2622">
        <v>699</v>
      </c>
      <c r="AL2622" t="b">
        <v>1</v>
      </c>
      <c r="AM2622" t="b">
        <v>1</v>
      </c>
      <c r="AN2622" t="b">
        <v>0</v>
      </c>
      <c r="AO2622">
        <v>99999</v>
      </c>
      <c r="AP2622" t="s">
        <v>64</v>
      </c>
      <c r="AR2622" t="b">
        <v>0</v>
      </c>
      <c r="AS2622">
        <v>12</v>
      </c>
      <c r="AT2622" t="s">
        <v>327</v>
      </c>
      <c r="AV2622" t="s">
        <v>2602</v>
      </c>
    </row>
    <row r="2623" spans="1:48" x14ac:dyDescent="0.25">
      <c r="A2623" t="s">
        <v>3323</v>
      </c>
      <c r="B2623" t="s">
        <v>302</v>
      </c>
      <c r="C2623" t="s">
        <v>62</v>
      </c>
      <c r="D2623">
        <v>99999</v>
      </c>
      <c r="F2623" s="109">
        <v>7000</v>
      </c>
      <c r="G2623" t="b">
        <v>0</v>
      </c>
      <c r="H2623" t="s">
        <v>341</v>
      </c>
      <c r="K2623" t="s">
        <v>393</v>
      </c>
      <c r="L2623" t="s">
        <v>303</v>
      </c>
      <c r="M2623" t="s">
        <v>323</v>
      </c>
      <c r="N2623" t="s">
        <v>63</v>
      </c>
      <c r="O2623" s="110">
        <v>49.9</v>
      </c>
      <c r="R2623" s="110">
        <v>384.99</v>
      </c>
      <c r="S2623" s="110">
        <v>130</v>
      </c>
      <c r="T2623" s="110">
        <v>0</v>
      </c>
      <c r="U2623" s="110">
        <v>42.99</v>
      </c>
      <c r="X2623">
        <v>142.1</v>
      </c>
      <c r="Y2623">
        <v>69.900000000000006</v>
      </c>
      <c r="Z2623">
        <v>69.900000000000006</v>
      </c>
      <c r="AA2623">
        <v>0</v>
      </c>
      <c r="AB2623" t="s">
        <v>363</v>
      </c>
      <c r="AF2623" t="s">
        <v>2633</v>
      </c>
      <c r="AG2623" t="s">
        <v>2633</v>
      </c>
      <c r="AH2623" t="s">
        <v>758</v>
      </c>
      <c r="AI2623">
        <v>99999</v>
      </c>
      <c r="AJ2623">
        <v>99999</v>
      </c>
      <c r="AK2623">
        <v>699</v>
      </c>
      <c r="AL2623" t="b">
        <v>1</v>
      </c>
      <c r="AM2623" t="b">
        <v>1</v>
      </c>
      <c r="AN2623" t="b">
        <v>0</v>
      </c>
      <c r="AO2623">
        <v>99999</v>
      </c>
      <c r="AP2623" t="s">
        <v>64</v>
      </c>
      <c r="AR2623" t="b">
        <v>0</v>
      </c>
      <c r="AS2623">
        <v>12</v>
      </c>
      <c r="AT2623" t="s">
        <v>327</v>
      </c>
      <c r="AV2623" t="s">
        <v>2665</v>
      </c>
    </row>
    <row r="2624" spans="1:48" x14ac:dyDescent="0.25">
      <c r="A2624" t="s">
        <v>3323</v>
      </c>
      <c r="B2624" t="s">
        <v>302</v>
      </c>
      <c r="C2624" t="s">
        <v>62</v>
      </c>
      <c r="D2624">
        <v>99999</v>
      </c>
      <c r="F2624" s="109">
        <v>7000</v>
      </c>
      <c r="G2624" t="b">
        <v>0</v>
      </c>
      <c r="H2624" t="s">
        <v>341</v>
      </c>
      <c r="K2624" t="s">
        <v>393</v>
      </c>
      <c r="L2624" t="s">
        <v>303</v>
      </c>
      <c r="M2624" t="s">
        <v>323</v>
      </c>
      <c r="N2624" t="s">
        <v>63</v>
      </c>
      <c r="O2624" s="110">
        <v>49.9</v>
      </c>
      <c r="R2624" s="110">
        <v>399.89</v>
      </c>
      <c r="S2624" s="110">
        <v>130</v>
      </c>
      <c r="T2624" s="110">
        <v>0</v>
      </c>
      <c r="U2624" s="110">
        <v>42.99</v>
      </c>
      <c r="X2624">
        <v>157</v>
      </c>
      <c r="Y2624">
        <v>69.900000000000006</v>
      </c>
      <c r="Z2624">
        <v>69.900000000000006</v>
      </c>
      <c r="AA2624">
        <v>0</v>
      </c>
      <c r="AB2624" t="s">
        <v>363</v>
      </c>
      <c r="AF2624" t="s">
        <v>2704</v>
      </c>
      <c r="AG2624" t="s">
        <v>2704</v>
      </c>
      <c r="AH2624" t="s">
        <v>758</v>
      </c>
      <c r="AI2624">
        <v>99999</v>
      </c>
      <c r="AJ2624">
        <v>99999</v>
      </c>
      <c r="AK2624">
        <v>699</v>
      </c>
      <c r="AL2624" t="b">
        <v>1</v>
      </c>
      <c r="AM2624" t="b">
        <v>1</v>
      </c>
      <c r="AN2624" t="b">
        <v>0</v>
      </c>
      <c r="AO2624">
        <v>99999</v>
      </c>
      <c r="AP2624" t="s">
        <v>64</v>
      </c>
      <c r="AR2624" t="b">
        <v>0</v>
      </c>
      <c r="AS2624">
        <v>12</v>
      </c>
      <c r="AT2624" t="s">
        <v>327</v>
      </c>
      <c r="AV2624" t="s">
        <v>2738</v>
      </c>
    </row>
    <row r="2625" spans="1:48" x14ac:dyDescent="0.25">
      <c r="A2625" t="s">
        <v>3323</v>
      </c>
      <c r="B2625" t="s">
        <v>302</v>
      </c>
      <c r="C2625" t="s">
        <v>62</v>
      </c>
      <c r="D2625">
        <v>99999</v>
      </c>
      <c r="F2625" s="109">
        <v>7000</v>
      </c>
      <c r="G2625" t="b">
        <v>0</v>
      </c>
      <c r="H2625" t="s">
        <v>341</v>
      </c>
      <c r="K2625" t="s">
        <v>364</v>
      </c>
      <c r="L2625" t="s">
        <v>303</v>
      </c>
      <c r="M2625" t="s">
        <v>323</v>
      </c>
      <c r="N2625" t="s">
        <v>63</v>
      </c>
      <c r="O2625" s="110">
        <v>29.9</v>
      </c>
      <c r="R2625" s="110">
        <v>289.89</v>
      </c>
      <c r="S2625" s="110">
        <v>69.900000000000006</v>
      </c>
      <c r="T2625" s="110">
        <v>0</v>
      </c>
      <c r="U2625" s="110">
        <v>42.99</v>
      </c>
      <c r="X2625">
        <v>127.1</v>
      </c>
      <c r="Y2625">
        <v>49.9</v>
      </c>
      <c r="Z2625">
        <v>49.9</v>
      </c>
      <c r="AA2625">
        <v>0</v>
      </c>
      <c r="AB2625" t="s">
        <v>363</v>
      </c>
      <c r="AF2625" t="s">
        <v>785</v>
      </c>
      <c r="AG2625" t="s">
        <v>785</v>
      </c>
      <c r="AH2625" t="s">
        <v>758</v>
      </c>
      <c r="AI2625">
        <v>99999</v>
      </c>
      <c r="AJ2625">
        <v>99999</v>
      </c>
      <c r="AK2625">
        <v>699</v>
      </c>
      <c r="AL2625" t="b">
        <v>1</v>
      </c>
      <c r="AM2625" t="b">
        <v>1</v>
      </c>
      <c r="AN2625" t="b">
        <v>0</v>
      </c>
      <c r="AO2625">
        <v>99999</v>
      </c>
      <c r="AP2625" t="s">
        <v>64</v>
      </c>
      <c r="AR2625" t="b">
        <v>0</v>
      </c>
      <c r="AS2625">
        <v>12</v>
      </c>
      <c r="AT2625" t="s">
        <v>327</v>
      </c>
      <c r="AV2625" t="s">
        <v>793</v>
      </c>
    </row>
    <row r="2626" spans="1:48" x14ac:dyDescent="0.25">
      <c r="A2626" t="s">
        <v>3323</v>
      </c>
      <c r="B2626" t="s">
        <v>302</v>
      </c>
      <c r="C2626" t="s">
        <v>62</v>
      </c>
      <c r="D2626">
        <v>99999</v>
      </c>
      <c r="F2626" s="109">
        <v>7000</v>
      </c>
      <c r="G2626" t="b">
        <v>0</v>
      </c>
      <c r="H2626" t="s">
        <v>341</v>
      </c>
      <c r="K2626" t="s">
        <v>364</v>
      </c>
      <c r="L2626" t="s">
        <v>303</v>
      </c>
      <c r="M2626" t="s">
        <v>323</v>
      </c>
      <c r="N2626" t="s">
        <v>63</v>
      </c>
      <c r="O2626" s="110">
        <v>29.9</v>
      </c>
      <c r="R2626" s="110">
        <v>304.89</v>
      </c>
      <c r="S2626" s="110">
        <v>69.900000000000006</v>
      </c>
      <c r="T2626" s="110">
        <v>0</v>
      </c>
      <c r="U2626" s="110">
        <v>42.99</v>
      </c>
      <c r="X2626">
        <v>142.1</v>
      </c>
      <c r="Y2626">
        <v>49.9</v>
      </c>
      <c r="Z2626">
        <v>49.9</v>
      </c>
      <c r="AA2626">
        <v>0</v>
      </c>
      <c r="AB2626" t="s">
        <v>363</v>
      </c>
      <c r="AF2626" t="s">
        <v>919</v>
      </c>
      <c r="AG2626" t="s">
        <v>919</v>
      </c>
      <c r="AH2626" t="s">
        <v>758</v>
      </c>
      <c r="AI2626">
        <v>99999</v>
      </c>
      <c r="AJ2626">
        <v>99999</v>
      </c>
      <c r="AK2626">
        <v>699</v>
      </c>
      <c r="AL2626" t="b">
        <v>1</v>
      </c>
      <c r="AM2626" t="b">
        <v>1</v>
      </c>
      <c r="AN2626" t="b">
        <v>0</v>
      </c>
      <c r="AO2626">
        <v>99999</v>
      </c>
      <c r="AP2626" t="s">
        <v>64</v>
      </c>
      <c r="AR2626" t="b">
        <v>0</v>
      </c>
      <c r="AS2626">
        <v>12</v>
      </c>
      <c r="AT2626" t="s">
        <v>327</v>
      </c>
      <c r="AV2626" t="s">
        <v>927</v>
      </c>
    </row>
    <row r="2627" spans="1:48" x14ac:dyDescent="0.25">
      <c r="A2627" t="s">
        <v>3323</v>
      </c>
      <c r="B2627" t="s">
        <v>302</v>
      </c>
      <c r="C2627" t="s">
        <v>62</v>
      </c>
      <c r="D2627">
        <v>99999</v>
      </c>
      <c r="F2627" s="109">
        <v>7000</v>
      </c>
      <c r="G2627" t="b">
        <v>0</v>
      </c>
      <c r="H2627" t="s">
        <v>341</v>
      </c>
      <c r="K2627" t="s">
        <v>364</v>
      </c>
      <c r="L2627" t="s">
        <v>303</v>
      </c>
      <c r="M2627" t="s">
        <v>323</v>
      </c>
      <c r="N2627" t="s">
        <v>63</v>
      </c>
      <c r="O2627" s="110">
        <v>29.9</v>
      </c>
      <c r="R2627" s="110">
        <v>319.89</v>
      </c>
      <c r="S2627" s="110">
        <v>70</v>
      </c>
      <c r="T2627" s="110">
        <v>0</v>
      </c>
      <c r="U2627" s="110">
        <v>42.99</v>
      </c>
      <c r="X2627">
        <v>157</v>
      </c>
      <c r="Y2627">
        <v>49.9</v>
      </c>
      <c r="Z2627">
        <v>49.9</v>
      </c>
      <c r="AA2627">
        <v>0</v>
      </c>
      <c r="AB2627" t="s">
        <v>363</v>
      </c>
      <c r="AF2627" t="s">
        <v>1067</v>
      </c>
      <c r="AG2627" t="s">
        <v>1067</v>
      </c>
      <c r="AH2627" t="s">
        <v>758</v>
      </c>
      <c r="AI2627">
        <v>99999</v>
      </c>
      <c r="AJ2627">
        <v>99999</v>
      </c>
      <c r="AK2627">
        <v>699</v>
      </c>
      <c r="AL2627" t="b">
        <v>1</v>
      </c>
      <c r="AM2627" t="b">
        <v>1</v>
      </c>
      <c r="AN2627" t="b">
        <v>0</v>
      </c>
      <c r="AO2627">
        <v>99999</v>
      </c>
      <c r="AP2627" t="s">
        <v>64</v>
      </c>
      <c r="AR2627" t="b">
        <v>0</v>
      </c>
      <c r="AS2627">
        <v>12</v>
      </c>
      <c r="AT2627" t="s">
        <v>327</v>
      </c>
      <c r="AV2627" t="s">
        <v>1075</v>
      </c>
    </row>
    <row r="2628" spans="1:48" x14ac:dyDescent="0.25">
      <c r="A2628" t="s">
        <v>3323</v>
      </c>
      <c r="B2628" t="s">
        <v>302</v>
      </c>
      <c r="C2628" t="s">
        <v>62</v>
      </c>
      <c r="D2628">
        <v>99999</v>
      </c>
      <c r="F2628" s="109">
        <v>7000</v>
      </c>
      <c r="G2628" t="b">
        <v>0</v>
      </c>
      <c r="H2628" t="s">
        <v>341</v>
      </c>
      <c r="K2628" t="s">
        <v>364</v>
      </c>
      <c r="L2628" t="s">
        <v>303</v>
      </c>
      <c r="M2628" t="s">
        <v>323</v>
      </c>
      <c r="N2628" t="s">
        <v>63</v>
      </c>
      <c r="O2628" s="110">
        <v>39.9</v>
      </c>
      <c r="R2628" s="110">
        <v>289.89</v>
      </c>
      <c r="S2628" s="110">
        <v>69.900000000000006</v>
      </c>
      <c r="T2628" s="110">
        <v>0</v>
      </c>
      <c r="U2628" s="110">
        <v>42.99</v>
      </c>
      <c r="X2628">
        <v>127.1</v>
      </c>
      <c r="Y2628">
        <v>49.9</v>
      </c>
      <c r="Z2628">
        <v>49.9</v>
      </c>
      <c r="AA2628">
        <v>0</v>
      </c>
      <c r="AB2628" t="s">
        <v>363</v>
      </c>
      <c r="AF2628" t="s">
        <v>852</v>
      </c>
      <c r="AG2628" t="s">
        <v>852</v>
      </c>
      <c r="AH2628" t="s">
        <v>758</v>
      </c>
      <c r="AI2628">
        <v>99999</v>
      </c>
      <c r="AJ2628">
        <v>99999</v>
      </c>
      <c r="AK2628">
        <v>699</v>
      </c>
      <c r="AL2628" t="b">
        <v>1</v>
      </c>
      <c r="AM2628" t="b">
        <v>1</v>
      </c>
      <c r="AN2628" t="b">
        <v>0</v>
      </c>
      <c r="AO2628">
        <v>99999</v>
      </c>
      <c r="AP2628" t="s">
        <v>64</v>
      </c>
      <c r="AR2628" t="b">
        <v>0</v>
      </c>
      <c r="AS2628">
        <v>12</v>
      </c>
      <c r="AT2628" t="s">
        <v>327</v>
      </c>
      <c r="AV2628" t="s">
        <v>860</v>
      </c>
    </row>
    <row r="2629" spans="1:48" x14ac:dyDescent="0.25">
      <c r="A2629" t="s">
        <v>3323</v>
      </c>
      <c r="B2629" t="s">
        <v>302</v>
      </c>
      <c r="C2629" t="s">
        <v>62</v>
      </c>
      <c r="D2629">
        <v>99999</v>
      </c>
      <c r="F2629" s="109">
        <v>7000</v>
      </c>
      <c r="G2629" t="b">
        <v>0</v>
      </c>
      <c r="H2629" t="s">
        <v>341</v>
      </c>
      <c r="K2629" t="s">
        <v>364</v>
      </c>
      <c r="L2629" t="s">
        <v>303</v>
      </c>
      <c r="M2629" t="s">
        <v>323</v>
      </c>
      <c r="N2629" t="s">
        <v>63</v>
      </c>
      <c r="O2629" s="110">
        <v>39.9</v>
      </c>
      <c r="R2629" s="110">
        <v>304.89</v>
      </c>
      <c r="S2629" s="110">
        <v>69.900000000000006</v>
      </c>
      <c r="T2629" s="110">
        <v>0</v>
      </c>
      <c r="U2629" s="110">
        <v>42.99</v>
      </c>
      <c r="X2629">
        <v>142.1</v>
      </c>
      <c r="Y2629">
        <v>49.9</v>
      </c>
      <c r="Z2629">
        <v>49.9</v>
      </c>
      <c r="AA2629">
        <v>0</v>
      </c>
      <c r="AB2629" t="s">
        <v>363</v>
      </c>
      <c r="AF2629" t="s">
        <v>986</v>
      </c>
      <c r="AG2629" t="s">
        <v>986</v>
      </c>
      <c r="AH2629" t="s">
        <v>758</v>
      </c>
      <c r="AI2629">
        <v>99999</v>
      </c>
      <c r="AJ2629">
        <v>99999</v>
      </c>
      <c r="AK2629">
        <v>699</v>
      </c>
      <c r="AL2629" t="b">
        <v>1</v>
      </c>
      <c r="AM2629" t="b">
        <v>1</v>
      </c>
      <c r="AN2629" t="b">
        <v>0</v>
      </c>
      <c r="AO2629">
        <v>99999</v>
      </c>
      <c r="AP2629" t="s">
        <v>64</v>
      </c>
      <c r="AR2629" t="b">
        <v>0</v>
      </c>
      <c r="AS2629">
        <v>12</v>
      </c>
      <c r="AT2629" t="s">
        <v>327</v>
      </c>
      <c r="AV2629" t="s">
        <v>994</v>
      </c>
    </row>
    <row r="2630" spans="1:48" x14ac:dyDescent="0.25">
      <c r="A2630" t="s">
        <v>3323</v>
      </c>
      <c r="B2630" t="s">
        <v>302</v>
      </c>
      <c r="C2630" t="s">
        <v>62</v>
      </c>
      <c r="D2630">
        <v>99999</v>
      </c>
      <c r="F2630" s="109">
        <v>7000</v>
      </c>
      <c r="G2630" t="b">
        <v>0</v>
      </c>
      <c r="H2630" t="s">
        <v>341</v>
      </c>
      <c r="K2630" t="s">
        <v>364</v>
      </c>
      <c r="L2630" t="s">
        <v>303</v>
      </c>
      <c r="M2630" t="s">
        <v>323</v>
      </c>
      <c r="N2630" t="s">
        <v>63</v>
      </c>
      <c r="O2630" s="110">
        <v>39.9</v>
      </c>
      <c r="R2630" s="110">
        <v>319.89</v>
      </c>
      <c r="S2630" s="110">
        <v>70</v>
      </c>
      <c r="T2630" s="110">
        <v>0</v>
      </c>
      <c r="U2630" s="110">
        <v>42.99</v>
      </c>
      <c r="X2630">
        <v>157</v>
      </c>
      <c r="Y2630">
        <v>49.9</v>
      </c>
      <c r="Z2630">
        <v>49.9</v>
      </c>
      <c r="AA2630">
        <v>0</v>
      </c>
      <c r="AB2630" t="s">
        <v>363</v>
      </c>
      <c r="AF2630" t="s">
        <v>1134</v>
      </c>
      <c r="AG2630" t="s">
        <v>1134</v>
      </c>
      <c r="AH2630" t="s">
        <v>758</v>
      </c>
      <c r="AI2630">
        <v>99999</v>
      </c>
      <c r="AJ2630">
        <v>99999</v>
      </c>
      <c r="AK2630">
        <v>699</v>
      </c>
      <c r="AL2630" t="b">
        <v>1</v>
      </c>
      <c r="AM2630" t="b">
        <v>1</v>
      </c>
      <c r="AN2630" t="b">
        <v>0</v>
      </c>
      <c r="AO2630">
        <v>99999</v>
      </c>
      <c r="AP2630" t="s">
        <v>64</v>
      </c>
      <c r="AR2630" t="b">
        <v>0</v>
      </c>
      <c r="AS2630">
        <v>12</v>
      </c>
      <c r="AT2630" t="s">
        <v>327</v>
      </c>
      <c r="AV2630" t="s">
        <v>1142</v>
      </c>
    </row>
    <row r="2631" spans="1:48" x14ac:dyDescent="0.25">
      <c r="A2631" t="s">
        <v>3323</v>
      </c>
      <c r="B2631" t="s">
        <v>302</v>
      </c>
      <c r="C2631" t="s">
        <v>62</v>
      </c>
      <c r="D2631">
        <v>99999</v>
      </c>
      <c r="F2631" s="109">
        <v>7000</v>
      </c>
      <c r="G2631" t="b">
        <v>0</v>
      </c>
      <c r="H2631" t="s">
        <v>341</v>
      </c>
      <c r="K2631" t="s">
        <v>364</v>
      </c>
      <c r="L2631" t="s">
        <v>303</v>
      </c>
      <c r="M2631" t="s">
        <v>323</v>
      </c>
      <c r="N2631" t="s">
        <v>63</v>
      </c>
      <c r="O2631" s="110">
        <v>49.9</v>
      </c>
      <c r="R2631" s="110">
        <v>335.68999999999994</v>
      </c>
      <c r="S2631" s="110">
        <v>130</v>
      </c>
      <c r="T2631" s="110">
        <v>0</v>
      </c>
      <c r="U2631" s="110">
        <v>34.99</v>
      </c>
      <c r="X2631">
        <v>120.79999999999998</v>
      </c>
      <c r="Y2631">
        <v>49.9</v>
      </c>
      <c r="Z2631">
        <v>49.9</v>
      </c>
      <c r="AA2631">
        <v>0</v>
      </c>
      <c r="AB2631" t="s">
        <v>363</v>
      </c>
      <c r="AF2631" t="s">
        <v>2494</v>
      </c>
      <c r="AG2631" t="s">
        <v>2494</v>
      </c>
      <c r="AH2631" t="s">
        <v>758</v>
      </c>
      <c r="AI2631">
        <v>99999</v>
      </c>
      <c r="AJ2631">
        <v>99999</v>
      </c>
      <c r="AK2631">
        <v>699</v>
      </c>
      <c r="AL2631" t="b">
        <v>1</v>
      </c>
      <c r="AM2631" t="b">
        <v>1</v>
      </c>
      <c r="AN2631" t="b">
        <v>0</v>
      </c>
      <c r="AO2631">
        <v>99999</v>
      </c>
      <c r="AP2631" t="s">
        <v>64</v>
      </c>
      <c r="AR2631" t="b">
        <v>0</v>
      </c>
      <c r="AS2631">
        <v>12</v>
      </c>
      <c r="AT2631" t="s">
        <v>327</v>
      </c>
      <c r="AV2631" t="s">
        <v>2502</v>
      </c>
    </row>
    <row r="2632" spans="1:48" x14ac:dyDescent="0.25">
      <c r="A2632" t="s">
        <v>3323</v>
      </c>
      <c r="B2632" t="s">
        <v>302</v>
      </c>
      <c r="C2632" t="s">
        <v>62</v>
      </c>
      <c r="D2632">
        <v>99999</v>
      </c>
      <c r="F2632" s="109">
        <v>7000</v>
      </c>
      <c r="G2632" t="b">
        <v>0</v>
      </c>
      <c r="H2632" t="s">
        <v>341</v>
      </c>
      <c r="K2632" t="s">
        <v>364</v>
      </c>
      <c r="L2632" t="s">
        <v>303</v>
      </c>
      <c r="M2632" t="s">
        <v>323</v>
      </c>
      <c r="N2632" t="s">
        <v>63</v>
      </c>
      <c r="O2632" s="110">
        <v>49.9</v>
      </c>
      <c r="R2632" s="110">
        <v>349.99</v>
      </c>
      <c r="S2632" s="110">
        <v>130</v>
      </c>
      <c r="T2632" s="110">
        <v>0</v>
      </c>
      <c r="U2632" s="110">
        <v>42.99</v>
      </c>
      <c r="X2632">
        <v>127.1</v>
      </c>
      <c r="Y2632">
        <v>49.9</v>
      </c>
      <c r="Z2632">
        <v>49.9</v>
      </c>
      <c r="AA2632">
        <v>0</v>
      </c>
      <c r="AB2632" t="s">
        <v>363</v>
      </c>
      <c r="AF2632" t="s">
        <v>2568</v>
      </c>
      <c r="AG2632" t="s">
        <v>2568</v>
      </c>
      <c r="AH2632" t="s">
        <v>758</v>
      </c>
      <c r="AI2632">
        <v>99999</v>
      </c>
      <c r="AJ2632">
        <v>99999</v>
      </c>
      <c r="AK2632">
        <v>699</v>
      </c>
      <c r="AL2632" t="b">
        <v>1</v>
      </c>
      <c r="AM2632" t="b">
        <v>1</v>
      </c>
      <c r="AN2632" t="b">
        <v>0</v>
      </c>
      <c r="AO2632">
        <v>99999</v>
      </c>
      <c r="AP2632" t="s">
        <v>64</v>
      </c>
      <c r="AR2632" t="b">
        <v>0</v>
      </c>
      <c r="AS2632">
        <v>12</v>
      </c>
      <c r="AT2632" t="s">
        <v>327</v>
      </c>
      <c r="AV2632" t="s">
        <v>2576</v>
      </c>
    </row>
    <row r="2633" spans="1:48" x14ac:dyDescent="0.25">
      <c r="A2633" t="s">
        <v>3323</v>
      </c>
      <c r="B2633" t="s">
        <v>302</v>
      </c>
      <c r="C2633" t="s">
        <v>62</v>
      </c>
      <c r="D2633">
        <v>99999</v>
      </c>
      <c r="F2633" s="109">
        <v>7000</v>
      </c>
      <c r="G2633" t="b">
        <v>0</v>
      </c>
      <c r="H2633" t="s">
        <v>341</v>
      </c>
      <c r="K2633" t="s">
        <v>364</v>
      </c>
      <c r="L2633" t="s">
        <v>303</v>
      </c>
      <c r="M2633" t="s">
        <v>323</v>
      </c>
      <c r="N2633" t="s">
        <v>63</v>
      </c>
      <c r="O2633" s="110">
        <v>49.9</v>
      </c>
      <c r="R2633" s="110">
        <v>364.99</v>
      </c>
      <c r="S2633" s="110">
        <v>130</v>
      </c>
      <c r="T2633" s="110">
        <v>0</v>
      </c>
      <c r="U2633" s="110">
        <v>42.99</v>
      </c>
      <c r="X2633">
        <v>142.1</v>
      </c>
      <c r="Y2633">
        <v>49.9</v>
      </c>
      <c r="Z2633">
        <v>49.9</v>
      </c>
      <c r="AA2633">
        <v>0</v>
      </c>
      <c r="AB2633" t="s">
        <v>363</v>
      </c>
      <c r="AF2633" t="s">
        <v>2633</v>
      </c>
      <c r="AG2633" t="s">
        <v>2633</v>
      </c>
      <c r="AH2633" t="s">
        <v>758</v>
      </c>
      <c r="AI2633">
        <v>99999</v>
      </c>
      <c r="AJ2633">
        <v>99999</v>
      </c>
      <c r="AK2633">
        <v>699</v>
      </c>
      <c r="AL2633" t="b">
        <v>1</v>
      </c>
      <c r="AM2633" t="b">
        <v>1</v>
      </c>
      <c r="AN2633" t="b">
        <v>0</v>
      </c>
      <c r="AO2633">
        <v>99999</v>
      </c>
      <c r="AP2633" t="s">
        <v>64</v>
      </c>
      <c r="AR2633" t="b">
        <v>0</v>
      </c>
      <c r="AS2633">
        <v>12</v>
      </c>
      <c r="AT2633" t="s">
        <v>327</v>
      </c>
      <c r="AV2633" t="s">
        <v>2641</v>
      </c>
    </row>
    <row r="2634" spans="1:48" x14ac:dyDescent="0.25">
      <c r="A2634" t="s">
        <v>3323</v>
      </c>
      <c r="B2634" t="s">
        <v>302</v>
      </c>
      <c r="C2634" t="s">
        <v>62</v>
      </c>
      <c r="D2634">
        <v>99999</v>
      </c>
      <c r="F2634" s="109">
        <v>7000</v>
      </c>
      <c r="G2634" t="b">
        <v>0</v>
      </c>
      <c r="H2634" t="s">
        <v>341</v>
      </c>
      <c r="K2634" t="s">
        <v>364</v>
      </c>
      <c r="L2634" t="s">
        <v>303</v>
      </c>
      <c r="M2634" t="s">
        <v>323</v>
      </c>
      <c r="N2634" t="s">
        <v>63</v>
      </c>
      <c r="O2634" s="110">
        <v>49.9</v>
      </c>
      <c r="R2634" s="110">
        <v>379.89</v>
      </c>
      <c r="S2634" s="110">
        <v>130</v>
      </c>
      <c r="T2634" s="110">
        <v>0</v>
      </c>
      <c r="U2634" s="110">
        <v>42.99</v>
      </c>
      <c r="X2634">
        <v>157</v>
      </c>
      <c r="Y2634">
        <v>49.9</v>
      </c>
      <c r="Z2634">
        <v>49.9</v>
      </c>
      <c r="AA2634">
        <v>0</v>
      </c>
      <c r="AB2634" t="s">
        <v>363</v>
      </c>
      <c r="AF2634" t="s">
        <v>2704</v>
      </c>
      <c r="AG2634" t="s">
        <v>2704</v>
      </c>
      <c r="AH2634" t="s">
        <v>758</v>
      </c>
      <c r="AI2634">
        <v>99999</v>
      </c>
      <c r="AJ2634">
        <v>99999</v>
      </c>
      <c r="AK2634">
        <v>699</v>
      </c>
      <c r="AL2634" t="b">
        <v>1</v>
      </c>
      <c r="AM2634" t="b">
        <v>1</v>
      </c>
      <c r="AN2634" t="b">
        <v>0</v>
      </c>
      <c r="AO2634">
        <v>99999</v>
      </c>
      <c r="AP2634" t="s">
        <v>64</v>
      </c>
      <c r="AR2634" t="b">
        <v>0</v>
      </c>
      <c r="AS2634">
        <v>12</v>
      </c>
      <c r="AT2634" t="s">
        <v>327</v>
      </c>
      <c r="AV2634" t="s">
        <v>2712</v>
      </c>
    </row>
    <row r="2635" spans="1:48" x14ac:dyDescent="0.25">
      <c r="A2635" t="s">
        <v>3323</v>
      </c>
      <c r="B2635" t="s">
        <v>302</v>
      </c>
      <c r="C2635" t="s">
        <v>62</v>
      </c>
      <c r="D2635">
        <v>99999</v>
      </c>
      <c r="F2635" s="109">
        <v>7000</v>
      </c>
      <c r="G2635" t="b">
        <v>0</v>
      </c>
      <c r="H2635" t="s">
        <v>341</v>
      </c>
      <c r="K2635" t="s">
        <v>379</v>
      </c>
      <c r="L2635" t="s">
        <v>303</v>
      </c>
      <c r="M2635" t="s">
        <v>323</v>
      </c>
      <c r="N2635" t="s">
        <v>63</v>
      </c>
      <c r="O2635" s="110">
        <v>29.9</v>
      </c>
      <c r="R2635" s="110">
        <v>299.89</v>
      </c>
      <c r="S2635" s="110">
        <v>69.900000000000006</v>
      </c>
      <c r="T2635" s="110">
        <v>0</v>
      </c>
      <c r="U2635" s="110">
        <v>42.99</v>
      </c>
      <c r="X2635">
        <v>127.1</v>
      </c>
      <c r="Y2635">
        <v>59.9</v>
      </c>
      <c r="Z2635">
        <v>59.9</v>
      </c>
      <c r="AA2635">
        <v>0</v>
      </c>
      <c r="AB2635" t="s">
        <v>363</v>
      </c>
      <c r="AF2635" t="s">
        <v>785</v>
      </c>
      <c r="AG2635" t="s">
        <v>785</v>
      </c>
      <c r="AH2635" t="s">
        <v>758</v>
      </c>
      <c r="AI2635">
        <v>99999</v>
      </c>
      <c r="AJ2635">
        <v>99999</v>
      </c>
      <c r="AK2635">
        <v>699</v>
      </c>
      <c r="AL2635" t="b">
        <v>1</v>
      </c>
      <c r="AM2635" t="b">
        <v>1</v>
      </c>
      <c r="AN2635" t="b">
        <v>0</v>
      </c>
      <c r="AO2635">
        <v>99999</v>
      </c>
      <c r="AP2635" t="s">
        <v>64</v>
      </c>
      <c r="AR2635" t="b">
        <v>0</v>
      </c>
      <c r="AS2635">
        <v>12</v>
      </c>
      <c r="AT2635" t="s">
        <v>327</v>
      </c>
      <c r="AV2635" t="s">
        <v>806</v>
      </c>
    </row>
    <row r="2636" spans="1:48" x14ac:dyDescent="0.25">
      <c r="A2636" t="s">
        <v>3323</v>
      </c>
      <c r="B2636" t="s">
        <v>302</v>
      </c>
      <c r="C2636" t="s">
        <v>62</v>
      </c>
      <c r="D2636">
        <v>99999</v>
      </c>
      <c r="F2636" s="109">
        <v>7000</v>
      </c>
      <c r="G2636" t="b">
        <v>0</v>
      </c>
      <c r="H2636" t="s">
        <v>341</v>
      </c>
      <c r="K2636" t="s">
        <v>379</v>
      </c>
      <c r="L2636" t="s">
        <v>303</v>
      </c>
      <c r="M2636" t="s">
        <v>323</v>
      </c>
      <c r="N2636" t="s">
        <v>63</v>
      </c>
      <c r="O2636" s="110">
        <v>29.9</v>
      </c>
      <c r="R2636" s="110">
        <v>314.89</v>
      </c>
      <c r="S2636" s="110">
        <v>69.900000000000006</v>
      </c>
      <c r="T2636" s="110">
        <v>0</v>
      </c>
      <c r="U2636" s="110">
        <v>42.99</v>
      </c>
      <c r="X2636">
        <v>142.1</v>
      </c>
      <c r="Y2636">
        <v>59.9</v>
      </c>
      <c r="Z2636">
        <v>59.9</v>
      </c>
      <c r="AA2636">
        <v>0</v>
      </c>
      <c r="AB2636" t="s">
        <v>363</v>
      </c>
      <c r="AF2636" t="s">
        <v>919</v>
      </c>
      <c r="AG2636" t="s">
        <v>919</v>
      </c>
      <c r="AH2636" t="s">
        <v>758</v>
      </c>
      <c r="AI2636">
        <v>99999</v>
      </c>
      <c r="AJ2636">
        <v>99999</v>
      </c>
      <c r="AK2636">
        <v>699</v>
      </c>
      <c r="AL2636" t="b">
        <v>1</v>
      </c>
      <c r="AM2636" t="b">
        <v>1</v>
      </c>
      <c r="AN2636" t="b">
        <v>0</v>
      </c>
      <c r="AO2636">
        <v>99999</v>
      </c>
      <c r="AP2636" t="s">
        <v>64</v>
      </c>
      <c r="AR2636" t="b">
        <v>0</v>
      </c>
      <c r="AS2636">
        <v>12</v>
      </c>
      <c r="AT2636" t="s">
        <v>327</v>
      </c>
      <c r="AV2636" t="s">
        <v>940</v>
      </c>
    </row>
    <row r="2637" spans="1:48" x14ac:dyDescent="0.25">
      <c r="A2637" t="s">
        <v>3323</v>
      </c>
      <c r="B2637" t="s">
        <v>302</v>
      </c>
      <c r="C2637" t="s">
        <v>62</v>
      </c>
      <c r="D2637">
        <v>99999</v>
      </c>
      <c r="F2637" s="109">
        <v>7000</v>
      </c>
      <c r="G2637" t="b">
        <v>0</v>
      </c>
      <c r="H2637" t="s">
        <v>341</v>
      </c>
      <c r="K2637" t="s">
        <v>379</v>
      </c>
      <c r="L2637" t="s">
        <v>303</v>
      </c>
      <c r="M2637" t="s">
        <v>323</v>
      </c>
      <c r="N2637" t="s">
        <v>63</v>
      </c>
      <c r="O2637" s="110">
        <v>29.9</v>
      </c>
      <c r="R2637" s="110">
        <v>329.89</v>
      </c>
      <c r="S2637" s="110">
        <v>70</v>
      </c>
      <c r="T2637" s="110">
        <v>0</v>
      </c>
      <c r="U2637" s="110">
        <v>42.99</v>
      </c>
      <c r="X2637">
        <v>157</v>
      </c>
      <c r="Y2637">
        <v>59.9</v>
      </c>
      <c r="Z2637">
        <v>59.9</v>
      </c>
      <c r="AA2637">
        <v>0</v>
      </c>
      <c r="AB2637" t="s">
        <v>363</v>
      </c>
      <c r="AF2637" t="s">
        <v>1067</v>
      </c>
      <c r="AG2637" t="s">
        <v>1067</v>
      </c>
      <c r="AH2637" t="s">
        <v>758</v>
      </c>
      <c r="AI2637">
        <v>99999</v>
      </c>
      <c r="AJ2637">
        <v>99999</v>
      </c>
      <c r="AK2637">
        <v>699</v>
      </c>
      <c r="AL2637" t="b">
        <v>1</v>
      </c>
      <c r="AM2637" t="b">
        <v>1</v>
      </c>
      <c r="AN2637" t="b">
        <v>0</v>
      </c>
      <c r="AO2637">
        <v>99999</v>
      </c>
      <c r="AP2637" t="s">
        <v>64</v>
      </c>
      <c r="AR2637" t="b">
        <v>0</v>
      </c>
      <c r="AS2637">
        <v>12</v>
      </c>
      <c r="AT2637" t="s">
        <v>327</v>
      </c>
      <c r="AV2637" t="s">
        <v>1088</v>
      </c>
    </row>
    <row r="2638" spans="1:48" x14ac:dyDescent="0.25">
      <c r="A2638" t="s">
        <v>3323</v>
      </c>
      <c r="B2638" t="s">
        <v>302</v>
      </c>
      <c r="C2638" t="s">
        <v>62</v>
      </c>
      <c r="D2638">
        <v>99999</v>
      </c>
      <c r="F2638" s="109">
        <v>7000</v>
      </c>
      <c r="G2638" t="b">
        <v>0</v>
      </c>
      <c r="H2638" t="s">
        <v>341</v>
      </c>
      <c r="K2638" t="s">
        <v>379</v>
      </c>
      <c r="L2638" t="s">
        <v>303</v>
      </c>
      <c r="M2638" t="s">
        <v>323</v>
      </c>
      <c r="N2638" t="s">
        <v>63</v>
      </c>
      <c r="O2638" s="110">
        <v>39.9</v>
      </c>
      <c r="R2638" s="110">
        <v>299.89</v>
      </c>
      <c r="S2638" s="110">
        <v>69.900000000000006</v>
      </c>
      <c r="T2638" s="110">
        <v>0</v>
      </c>
      <c r="U2638" s="110">
        <v>42.99</v>
      </c>
      <c r="X2638">
        <v>127.1</v>
      </c>
      <c r="Y2638">
        <v>59.9</v>
      </c>
      <c r="Z2638">
        <v>59.9</v>
      </c>
      <c r="AA2638">
        <v>0</v>
      </c>
      <c r="AB2638" t="s">
        <v>363</v>
      </c>
      <c r="AF2638" t="s">
        <v>852</v>
      </c>
      <c r="AG2638" t="s">
        <v>852</v>
      </c>
      <c r="AH2638" t="s">
        <v>758</v>
      </c>
      <c r="AI2638">
        <v>99999</v>
      </c>
      <c r="AJ2638">
        <v>99999</v>
      </c>
      <c r="AK2638">
        <v>699</v>
      </c>
      <c r="AL2638" t="b">
        <v>1</v>
      </c>
      <c r="AM2638" t="b">
        <v>1</v>
      </c>
      <c r="AN2638" t="b">
        <v>0</v>
      </c>
      <c r="AO2638">
        <v>99999</v>
      </c>
      <c r="AP2638" t="s">
        <v>64</v>
      </c>
      <c r="AR2638" t="b">
        <v>0</v>
      </c>
      <c r="AS2638">
        <v>12</v>
      </c>
      <c r="AT2638" t="s">
        <v>327</v>
      </c>
      <c r="AV2638" t="s">
        <v>873</v>
      </c>
    </row>
    <row r="2639" spans="1:48" x14ac:dyDescent="0.25">
      <c r="A2639" t="s">
        <v>3323</v>
      </c>
      <c r="B2639" t="s">
        <v>302</v>
      </c>
      <c r="C2639" t="s">
        <v>62</v>
      </c>
      <c r="D2639">
        <v>99999</v>
      </c>
      <c r="F2639" s="109">
        <v>7000</v>
      </c>
      <c r="G2639" t="b">
        <v>0</v>
      </c>
      <c r="H2639" t="s">
        <v>341</v>
      </c>
      <c r="K2639" t="s">
        <v>379</v>
      </c>
      <c r="L2639" t="s">
        <v>303</v>
      </c>
      <c r="M2639" t="s">
        <v>323</v>
      </c>
      <c r="N2639" t="s">
        <v>63</v>
      </c>
      <c r="O2639" s="110">
        <v>39.9</v>
      </c>
      <c r="R2639" s="110">
        <v>314.89</v>
      </c>
      <c r="S2639" s="110">
        <v>69.900000000000006</v>
      </c>
      <c r="T2639" s="110">
        <v>0</v>
      </c>
      <c r="U2639" s="110">
        <v>42.99</v>
      </c>
      <c r="X2639">
        <v>142.1</v>
      </c>
      <c r="Y2639">
        <v>59.9</v>
      </c>
      <c r="Z2639">
        <v>59.9</v>
      </c>
      <c r="AA2639">
        <v>0</v>
      </c>
      <c r="AB2639" t="s">
        <v>363</v>
      </c>
      <c r="AF2639" t="s">
        <v>986</v>
      </c>
      <c r="AG2639" t="s">
        <v>986</v>
      </c>
      <c r="AH2639" t="s">
        <v>758</v>
      </c>
      <c r="AI2639">
        <v>99999</v>
      </c>
      <c r="AJ2639">
        <v>99999</v>
      </c>
      <c r="AK2639">
        <v>699</v>
      </c>
      <c r="AL2639" t="b">
        <v>1</v>
      </c>
      <c r="AM2639" t="b">
        <v>1</v>
      </c>
      <c r="AN2639" t="b">
        <v>0</v>
      </c>
      <c r="AO2639">
        <v>99999</v>
      </c>
      <c r="AP2639" t="s">
        <v>64</v>
      </c>
      <c r="AR2639" t="b">
        <v>0</v>
      </c>
      <c r="AS2639">
        <v>12</v>
      </c>
      <c r="AT2639" t="s">
        <v>327</v>
      </c>
      <c r="AV2639" t="s">
        <v>1007</v>
      </c>
    </row>
    <row r="2640" spans="1:48" x14ac:dyDescent="0.25">
      <c r="A2640" t="s">
        <v>3323</v>
      </c>
      <c r="B2640" t="s">
        <v>302</v>
      </c>
      <c r="C2640" t="s">
        <v>62</v>
      </c>
      <c r="D2640">
        <v>99999</v>
      </c>
      <c r="F2640" s="109">
        <v>7000</v>
      </c>
      <c r="G2640" t="b">
        <v>0</v>
      </c>
      <c r="H2640" t="s">
        <v>341</v>
      </c>
      <c r="K2640" t="s">
        <v>379</v>
      </c>
      <c r="L2640" t="s">
        <v>303</v>
      </c>
      <c r="M2640" t="s">
        <v>323</v>
      </c>
      <c r="N2640" t="s">
        <v>63</v>
      </c>
      <c r="O2640" s="110">
        <v>39.9</v>
      </c>
      <c r="R2640" s="110">
        <v>329.89</v>
      </c>
      <c r="S2640" s="110">
        <v>70</v>
      </c>
      <c r="T2640" s="110">
        <v>0</v>
      </c>
      <c r="U2640" s="110">
        <v>42.99</v>
      </c>
      <c r="X2640">
        <v>157</v>
      </c>
      <c r="Y2640">
        <v>59.9</v>
      </c>
      <c r="Z2640">
        <v>59.9</v>
      </c>
      <c r="AA2640">
        <v>0</v>
      </c>
      <c r="AB2640" t="s">
        <v>363</v>
      </c>
      <c r="AF2640" t="s">
        <v>1134</v>
      </c>
      <c r="AG2640" t="s">
        <v>1134</v>
      </c>
      <c r="AH2640" t="s">
        <v>758</v>
      </c>
      <c r="AI2640">
        <v>99999</v>
      </c>
      <c r="AJ2640">
        <v>99999</v>
      </c>
      <c r="AK2640">
        <v>699</v>
      </c>
      <c r="AL2640" t="b">
        <v>1</v>
      </c>
      <c r="AM2640" t="b">
        <v>1</v>
      </c>
      <c r="AN2640" t="b">
        <v>0</v>
      </c>
      <c r="AO2640">
        <v>99999</v>
      </c>
      <c r="AP2640" t="s">
        <v>64</v>
      </c>
      <c r="AR2640" t="b">
        <v>0</v>
      </c>
      <c r="AS2640">
        <v>12</v>
      </c>
      <c r="AT2640" t="s">
        <v>327</v>
      </c>
      <c r="AV2640" t="s">
        <v>1155</v>
      </c>
    </row>
    <row r="2641" spans="1:48" x14ac:dyDescent="0.25">
      <c r="A2641" t="s">
        <v>3323</v>
      </c>
      <c r="B2641" t="s">
        <v>302</v>
      </c>
      <c r="C2641" t="s">
        <v>62</v>
      </c>
      <c r="D2641">
        <v>99999</v>
      </c>
      <c r="F2641" s="109">
        <v>7000</v>
      </c>
      <c r="G2641" t="b">
        <v>0</v>
      </c>
      <c r="H2641" t="s">
        <v>341</v>
      </c>
      <c r="K2641" t="s">
        <v>379</v>
      </c>
      <c r="L2641" t="s">
        <v>303</v>
      </c>
      <c r="M2641" t="s">
        <v>323</v>
      </c>
      <c r="N2641" t="s">
        <v>63</v>
      </c>
      <c r="O2641" s="110">
        <v>49.9</v>
      </c>
      <c r="R2641" s="110">
        <v>345.68999999999994</v>
      </c>
      <c r="S2641" s="110">
        <v>130</v>
      </c>
      <c r="T2641" s="110">
        <v>0</v>
      </c>
      <c r="U2641" s="110">
        <v>34.99</v>
      </c>
      <c r="X2641">
        <v>120.79999999999998</v>
      </c>
      <c r="Y2641">
        <v>59.9</v>
      </c>
      <c r="Z2641">
        <v>59.9</v>
      </c>
      <c r="AA2641">
        <v>0</v>
      </c>
      <c r="AB2641" t="s">
        <v>363</v>
      </c>
      <c r="AF2641" t="s">
        <v>2494</v>
      </c>
      <c r="AG2641" t="s">
        <v>2494</v>
      </c>
      <c r="AH2641" t="s">
        <v>758</v>
      </c>
      <c r="AI2641">
        <v>99999</v>
      </c>
      <c r="AJ2641">
        <v>99999</v>
      </c>
      <c r="AK2641">
        <v>699</v>
      </c>
      <c r="AL2641" t="b">
        <v>1</v>
      </c>
      <c r="AM2641" t="b">
        <v>1</v>
      </c>
      <c r="AN2641" t="b">
        <v>0</v>
      </c>
      <c r="AO2641">
        <v>99999</v>
      </c>
      <c r="AP2641" t="s">
        <v>64</v>
      </c>
      <c r="AR2641" t="b">
        <v>0</v>
      </c>
      <c r="AS2641">
        <v>12</v>
      </c>
      <c r="AT2641" t="s">
        <v>327</v>
      </c>
      <c r="AV2641" t="s">
        <v>2515</v>
      </c>
    </row>
    <row r="2642" spans="1:48" x14ac:dyDescent="0.25">
      <c r="A2642" t="s">
        <v>3323</v>
      </c>
      <c r="B2642" t="s">
        <v>302</v>
      </c>
      <c r="C2642" t="s">
        <v>62</v>
      </c>
      <c r="D2642">
        <v>99999</v>
      </c>
      <c r="F2642" s="109">
        <v>7000</v>
      </c>
      <c r="G2642" t="b">
        <v>0</v>
      </c>
      <c r="H2642" t="s">
        <v>341</v>
      </c>
      <c r="K2642" t="s">
        <v>379</v>
      </c>
      <c r="L2642" t="s">
        <v>303</v>
      </c>
      <c r="M2642" t="s">
        <v>323</v>
      </c>
      <c r="N2642" t="s">
        <v>63</v>
      </c>
      <c r="O2642" s="110">
        <v>49.9</v>
      </c>
      <c r="R2642" s="110">
        <v>359.99</v>
      </c>
      <c r="S2642" s="110">
        <v>130</v>
      </c>
      <c r="T2642" s="110">
        <v>0</v>
      </c>
      <c r="U2642" s="110">
        <v>42.99</v>
      </c>
      <c r="X2642">
        <v>127.1</v>
      </c>
      <c r="Y2642">
        <v>59.9</v>
      </c>
      <c r="Z2642">
        <v>59.9</v>
      </c>
      <c r="AA2642">
        <v>0</v>
      </c>
      <c r="AB2642" t="s">
        <v>363</v>
      </c>
      <c r="AF2642" t="s">
        <v>2568</v>
      </c>
      <c r="AG2642" t="s">
        <v>2568</v>
      </c>
      <c r="AH2642" t="s">
        <v>758</v>
      </c>
      <c r="AI2642">
        <v>99999</v>
      </c>
      <c r="AJ2642">
        <v>99999</v>
      </c>
      <c r="AK2642">
        <v>699</v>
      </c>
      <c r="AL2642" t="b">
        <v>1</v>
      </c>
      <c r="AM2642" t="b">
        <v>1</v>
      </c>
      <c r="AN2642" t="b">
        <v>0</v>
      </c>
      <c r="AO2642">
        <v>99999</v>
      </c>
      <c r="AP2642" t="s">
        <v>64</v>
      </c>
      <c r="AR2642" t="b">
        <v>0</v>
      </c>
      <c r="AS2642">
        <v>12</v>
      </c>
      <c r="AT2642" t="s">
        <v>327</v>
      </c>
      <c r="AV2642" t="s">
        <v>2589</v>
      </c>
    </row>
    <row r="2643" spans="1:48" x14ac:dyDescent="0.25">
      <c r="A2643" t="s">
        <v>3323</v>
      </c>
      <c r="B2643" t="s">
        <v>302</v>
      </c>
      <c r="C2643" t="s">
        <v>62</v>
      </c>
      <c r="D2643">
        <v>99999</v>
      </c>
      <c r="F2643" s="109">
        <v>7000</v>
      </c>
      <c r="G2643" t="b">
        <v>0</v>
      </c>
      <c r="H2643" t="s">
        <v>341</v>
      </c>
      <c r="K2643" t="s">
        <v>379</v>
      </c>
      <c r="L2643" t="s">
        <v>303</v>
      </c>
      <c r="M2643" t="s">
        <v>323</v>
      </c>
      <c r="N2643" t="s">
        <v>63</v>
      </c>
      <c r="O2643" s="110">
        <v>49.9</v>
      </c>
      <c r="R2643" s="110">
        <v>374.99</v>
      </c>
      <c r="S2643" s="110">
        <v>130</v>
      </c>
      <c r="T2643" s="110">
        <v>0</v>
      </c>
      <c r="U2643" s="110">
        <v>42.99</v>
      </c>
      <c r="X2643">
        <v>142.1</v>
      </c>
      <c r="Y2643">
        <v>59.9</v>
      </c>
      <c r="Z2643">
        <v>59.9</v>
      </c>
      <c r="AA2643">
        <v>0</v>
      </c>
      <c r="AB2643" t="s">
        <v>363</v>
      </c>
      <c r="AF2643" t="s">
        <v>2633</v>
      </c>
      <c r="AG2643" t="s">
        <v>2633</v>
      </c>
      <c r="AH2643" t="s">
        <v>758</v>
      </c>
      <c r="AI2643">
        <v>99999</v>
      </c>
      <c r="AJ2643">
        <v>99999</v>
      </c>
      <c r="AK2643">
        <v>699</v>
      </c>
      <c r="AL2643" t="b">
        <v>1</v>
      </c>
      <c r="AM2643" t="b">
        <v>1</v>
      </c>
      <c r="AN2643" t="b">
        <v>0</v>
      </c>
      <c r="AO2643">
        <v>99999</v>
      </c>
      <c r="AP2643" t="s">
        <v>64</v>
      </c>
      <c r="AR2643" t="b">
        <v>0</v>
      </c>
      <c r="AS2643">
        <v>12</v>
      </c>
      <c r="AT2643" t="s">
        <v>327</v>
      </c>
      <c r="AV2643" t="s">
        <v>2653</v>
      </c>
    </row>
    <row r="2644" spans="1:48" x14ac:dyDescent="0.25">
      <c r="A2644" t="s">
        <v>3323</v>
      </c>
      <c r="B2644" t="s">
        <v>302</v>
      </c>
      <c r="C2644" t="s">
        <v>62</v>
      </c>
      <c r="D2644">
        <v>99999</v>
      </c>
      <c r="F2644" s="109">
        <v>7000</v>
      </c>
      <c r="G2644" t="b">
        <v>0</v>
      </c>
      <c r="H2644" t="s">
        <v>341</v>
      </c>
      <c r="K2644" t="s">
        <v>379</v>
      </c>
      <c r="L2644" t="s">
        <v>303</v>
      </c>
      <c r="M2644" t="s">
        <v>323</v>
      </c>
      <c r="N2644" t="s">
        <v>63</v>
      </c>
      <c r="O2644" s="110">
        <v>49.9</v>
      </c>
      <c r="R2644" s="110">
        <v>389.89</v>
      </c>
      <c r="S2644" s="110">
        <v>130</v>
      </c>
      <c r="T2644" s="110">
        <v>0</v>
      </c>
      <c r="U2644" s="110">
        <v>42.99</v>
      </c>
      <c r="X2644">
        <v>157</v>
      </c>
      <c r="Y2644">
        <v>59.9</v>
      </c>
      <c r="Z2644">
        <v>59.9</v>
      </c>
      <c r="AA2644">
        <v>0</v>
      </c>
      <c r="AB2644" t="s">
        <v>363</v>
      </c>
      <c r="AF2644" t="s">
        <v>2704</v>
      </c>
      <c r="AG2644" t="s">
        <v>2704</v>
      </c>
      <c r="AH2644" t="s">
        <v>758</v>
      </c>
      <c r="AI2644">
        <v>99999</v>
      </c>
      <c r="AJ2644">
        <v>99999</v>
      </c>
      <c r="AK2644">
        <v>699</v>
      </c>
      <c r="AL2644" t="b">
        <v>1</v>
      </c>
      <c r="AM2644" t="b">
        <v>1</v>
      </c>
      <c r="AN2644" t="b">
        <v>0</v>
      </c>
      <c r="AO2644">
        <v>99999</v>
      </c>
      <c r="AP2644" t="s">
        <v>64</v>
      </c>
      <c r="AR2644" t="b">
        <v>0</v>
      </c>
      <c r="AS2644">
        <v>12</v>
      </c>
      <c r="AT2644" t="s">
        <v>327</v>
      </c>
      <c r="AV2644" t="s">
        <v>2725</v>
      </c>
    </row>
    <row r="2645" spans="1:48" x14ac:dyDescent="0.25">
      <c r="A2645" t="s">
        <v>3323</v>
      </c>
      <c r="B2645" t="s">
        <v>302</v>
      </c>
      <c r="C2645" t="s">
        <v>62</v>
      </c>
      <c r="D2645">
        <v>99999</v>
      </c>
      <c r="F2645" s="109">
        <v>7000</v>
      </c>
      <c r="G2645" t="b">
        <v>0</v>
      </c>
      <c r="H2645" t="s">
        <v>341</v>
      </c>
      <c r="K2645" t="s">
        <v>61</v>
      </c>
      <c r="L2645" t="s">
        <v>303</v>
      </c>
      <c r="M2645" t="s">
        <v>323</v>
      </c>
      <c r="N2645" t="s">
        <v>63</v>
      </c>
      <c r="O2645">
        <v>29.9</v>
      </c>
      <c r="R2645">
        <v>284.89</v>
      </c>
      <c r="S2645">
        <v>69.900000000000006</v>
      </c>
      <c r="T2645" s="110">
        <v>0</v>
      </c>
      <c r="U2645">
        <v>42.99</v>
      </c>
      <c r="X2645">
        <v>127.1</v>
      </c>
      <c r="Y2645">
        <v>44.9</v>
      </c>
      <c r="Z2645">
        <v>44.9</v>
      </c>
      <c r="AA2645">
        <v>0</v>
      </c>
      <c r="AB2645" t="s">
        <v>324</v>
      </c>
      <c r="AF2645" t="s">
        <v>757</v>
      </c>
      <c r="AG2645" t="s">
        <v>757</v>
      </c>
      <c r="AH2645" t="s">
        <v>758</v>
      </c>
      <c r="AI2645">
        <v>99999</v>
      </c>
      <c r="AJ2645">
        <v>99999</v>
      </c>
      <c r="AK2645">
        <v>699</v>
      </c>
      <c r="AL2645" t="b">
        <v>1</v>
      </c>
      <c r="AM2645" t="b">
        <v>1</v>
      </c>
      <c r="AN2645" t="b">
        <v>0</v>
      </c>
      <c r="AO2645">
        <v>99999</v>
      </c>
      <c r="AP2645" t="s">
        <v>64</v>
      </c>
      <c r="AR2645" t="b">
        <v>0</v>
      </c>
      <c r="AS2645">
        <v>12</v>
      </c>
      <c r="AT2645" t="s">
        <v>327</v>
      </c>
      <c r="AV2645" t="s">
        <v>766</v>
      </c>
    </row>
    <row r="2646" spans="1:48" x14ac:dyDescent="0.25">
      <c r="A2646" t="s">
        <v>3323</v>
      </c>
      <c r="B2646" t="s">
        <v>302</v>
      </c>
      <c r="C2646" t="s">
        <v>62</v>
      </c>
      <c r="D2646">
        <v>99999</v>
      </c>
      <c r="F2646" s="109">
        <v>7000</v>
      </c>
      <c r="G2646" t="b">
        <v>0</v>
      </c>
      <c r="H2646" t="s">
        <v>341</v>
      </c>
      <c r="K2646" t="s">
        <v>61</v>
      </c>
      <c r="L2646" t="s">
        <v>303</v>
      </c>
      <c r="M2646" t="s">
        <v>323</v>
      </c>
      <c r="N2646" t="s">
        <v>63</v>
      </c>
      <c r="O2646" s="110">
        <v>29.9</v>
      </c>
      <c r="R2646" s="110">
        <v>299.89</v>
      </c>
      <c r="S2646" s="110">
        <v>69.900000000000006</v>
      </c>
      <c r="T2646" s="110">
        <v>0</v>
      </c>
      <c r="U2646" s="110">
        <v>42.99</v>
      </c>
      <c r="X2646">
        <v>142.1</v>
      </c>
      <c r="Y2646">
        <v>44.9</v>
      </c>
      <c r="Z2646">
        <v>44.9</v>
      </c>
      <c r="AA2646">
        <v>0</v>
      </c>
      <c r="AB2646" t="s">
        <v>324</v>
      </c>
      <c r="AF2646" t="s">
        <v>892</v>
      </c>
      <c r="AG2646" t="s">
        <v>892</v>
      </c>
      <c r="AH2646" t="s">
        <v>758</v>
      </c>
      <c r="AI2646">
        <v>99999</v>
      </c>
      <c r="AJ2646">
        <v>99999</v>
      </c>
      <c r="AK2646">
        <v>699</v>
      </c>
      <c r="AL2646" t="b">
        <v>1</v>
      </c>
      <c r="AM2646" t="b">
        <v>1</v>
      </c>
      <c r="AN2646" t="b">
        <v>0</v>
      </c>
      <c r="AO2646">
        <v>99999</v>
      </c>
      <c r="AP2646" t="s">
        <v>64</v>
      </c>
      <c r="AR2646" t="b">
        <v>0</v>
      </c>
      <c r="AS2646">
        <v>12</v>
      </c>
      <c r="AT2646" t="s">
        <v>327</v>
      </c>
      <c r="AV2646" t="s">
        <v>900</v>
      </c>
    </row>
    <row r="2647" spans="1:48" x14ac:dyDescent="0.25">
      <c r="A2647" t="s">
        <v>3323</v>
      </c>
      <c r="B2647" t="s">
        <v>302</v>
      </c>
      <c r="C2647" t="s">
        <v>62</v>
      </c>
      <c r="D2647">
        <v>99999</v>
      </c>
      <c r="F2647" s="109">
        <v>7000</v>
      </c>
      <c r="G2647" t="b">
        <v>0</v>
      </c>
      <c r="H2647" t="s">
        <v>341</v>
      </c>
      <c r="K2647" t="s">
        <v>61</v>
      </c>
      <c r="L2647" t="s">
        <v>303</v>
      </c>
      <c r="M2647" t="s">
        <v>323</v>
      </c>
      <c r="N2647" t="s">
        <v>63</v>
      </c>
      <c r="O2647" s="110">
        <v>29.9</v>
      </c>
      <c r="R2647" s="110">
        <v>314.89</v>
      </c>
      <c r="S2647" s="110">
        <v>70</v>
      </c>
      <c r="T2647" s="110">
        <v>0</v>
      </c>
      <c r="U2647" s="110">
        <v>42.99</v>
      </c>
      <c r="X2647">
        <v>157</v>
      </c>
      <c r="Y2647">
        <v>44.9</v>
      </c>
      <c r="Z2647">
        <v>44.9</v>
      </c>
      <c r="AA2647">
        <v>0</v>
      </c>
      <c r="AB2647" t="s">
        <v>324</v>
      </c>
      <c r="AF2647" t="s">
        <v>1040</v>
      </c>
      <c r="AG2647" t="s">
        <v>1040</v>
      </c>
      <c r="AH2647" t="s">
        <v>758</v>
      </c>
      <c r="AI2647">
        <v>99999</v>
      </c>
      <c r="AJ2647">
        <v>99999</v>
      </c>
      <c r="AK2647">
        <v>699</v>
      </c>
      <c r="AL2647" t="b">
        <v>1</v>
      </c>
      <c r="AM2647" t="b">
        <v>1</v>
      </c>
      <c r="AN2647" t="b">
        <v>0</v>
      </c>
      <c r="AO2647">
        <v>99999</v>
      </c>
      <c r="AP2647" t="s">
        <v>64</v>
      </c>
      <c r="AR2647" t="b">
        <v>0</v>
      </c>
      <c r="AS2647">
        <v>12</v>
      </c>
      <c r="AT2647" t="s">
        <v>327</v>
      </c>
      <c r="AV2647" t="s">
        <v>1048</v>
      </c>
    </row>
    <row r="2648" spans="1:48" x14ac:dyDescent="0.25">
      <c r="A2648" t="s">
        <v>3323</v>
      </c>
      <c r="B2648" t="s">
        <v>302</v>
      </c>
      <c r="C2648" t="s">
        <v>62</v>
      </c>
      <c r="D2648">
        <v>99999</v>
      </c>
      <c r="F2648" s="109">
        <v>7000</v>
      </c>
      <c r="G2648" t="b">
        <v>0</v>
      </c>
      <c r="H2648" t="s">
        <v>341</v>
      </c>
      <c r="K2648" t="s">
        <v>61</v>
      </c>
      <c r="L2648" t="s">
        <v>303</v>
      </c>
      <c r="M2648" t="s">
        <v>323</v>
      </c>
      <c r="N2648" t="s">
        <v>63</v>
      </c>
      <c r="O2648" s="110">
        <v>39.9</v>
      </c>
      <c r="R2648" s="110">
        <v>284.89</v>
      </c>
      <c r="S2648" s="110">
        <v>69.900000000000006</v>
      </c>
      <c r="T2648" s="110">
        <v>0</v>
      </c>
      <c r="U2648" s="110">
        <v>42.99</v>
      </c>
      <c r="X2648">
        <v>127.1</v>
      </c>
      <c r="Y2648">
        <v>44.9</v>
      </c>
      <c r="Z2648">
        <v>44.9</v>
      </c>
      <c r="AA2648">
        <v>0</v>
      </c>
      <c r="AB2648" t="s">
        <v>324</v>
      </c>
      <c r="AF2648" t="s">
        <v>825</v>
      </c>
      <c r="AG2648" t="s">
        <v>825</v>
      </c>
      <c r="AH2648" t="s">
        <v>758</v>
      </c>
      <c r="AI2648">
        <v>99999</v>
      </c>
      <c r="AJ2648">
        <v>99999</v>
      </c>
      <c r="AK2648">
        <v>699</v>
      </c>
      <c r="AL2648" t="b">
        <v>1</v>
      </c>
      <c r="AM2648" t="b">
        <v>1</v>
      </c>
      <c r="AN2648" t="b">
        <v>0</v>
      </c>
      <c r="AO2648">
        <v>99999</v>
      </c>
      <c r="AP2648" t="s">
        <v>64</v>
      </c>
      <c r="AR2648" t="b">
        <v>0</v>
      </c>
      <c r="AS2648">
        <v>12</v>
      </c>
      <c r="AT2648" t="s">
        <v>327</v>
      </c>
      <c r="AV2648" t="s">
        <v>833</v>
      </c>
    </row>
    <row r="2649" spans="1:48" x14ac:dyDescent="0.25">
      <c r="A2649" t="s">
        <v>3323</v>
      </c>
      <c r="B2649" t="s">
        <v>302</v>
      </c>
      <c r="C2649" t="s">
        <v>62</v>
      </c>
      <c r="D2649">
        <v>99999</v>
      </c>
      <c r="F2649" s="109">
        <v>7000</v>
      </c>
      <c r="G2649" t="b">
        <v>0</v>
      </c>
      <c r="H2649" t="s">
        <v>341</v>
      </c>
      <c r="K2649" t="s">
        <v>61</v>
      </c>
      <c r="L2649" t="s">
        <v>303</v>
      </c>
      <c r="M2649" t="s">
        <v>323</v>
      </c>
      <c r="N2649" t="s">
        <v>63</v>
      </c>
      <c r="O2649" s="110">
        <v>39.9</v>
      </c>
      <c r="R2649" s="110">
        <v>299.89</v>
      </c>
      <c r="S2649" s="110">
        <v>69.900000000000006</v>
      </c>
      <c r="T2649" s="110">
        <v>0</v>
      </c>
      <c r="U2649" s="110">
        <v>42.99</v>
      </c>
      <c r="X2649">
        <v>142.1</v>
      </c>
      <c r="Y2649">
        <v>44.9</v>
      </c>
      <c r="Z2649">
        <v>44.9</v>
      </c>
      <c r="AA2649">
        <v>0</v>
      </c>
      <c r="AB2649" t="s">
        <v>324</v>
      </c>
      <c r="AF2649" t="s">
        <v>959</v>
      </c>
      <c r="AG2649" t="s">
        <v>959</v>
      </c>
      <c r="AH2649" t="s">
        <v>758</v>
      </c>
      <c r="AI2649">
        <v>99999</v>
      </c>
      <c r="AJ2649">
        <v>99999</v>
      </c>
      <c r="AK2649">
        <v>699</v>
      </c>
      <c r="AL2649" t="b">
        <v>1</v>
      </c>
      <c r="AM2649" t="b">
        <v>1</v>
      </c>
      <c r="AN2649" t="b">
        <v>0</v>
      </c>
      <c r="AO2649">
        <v>99999</v>
      </c>
      <c r="AP2649" t="s">
        <v>64</v>
      </c>
      <c r="AR2649" t="b">
        <v>0</v>
      </c>
      <c r="AS2649">
        <v>12</v>
      </c>
      <c r="AT2649" t="s">
        <v>327</v>
      </c>
      <c r="AV2649" t="s">
        <v>967</v>
      </c>
    </row>
    <row r="2650" spans="1:48" x14ac:dyDescent="0.25">
      <c r="A2650" t="s">
        <v>3323</v>
      </c>
      <c r="B2650" t="s">
        <v>302</v>
      </c>
      <c r="C2650" t="s">
        <v>62</v>
      </c>
      <c r="D2650">
        <v>99999</v>
      </c>
      <c r="F2650" s="109">
        <v>7000</v>
      </c>
      <c r="G2650" t="b">
        <v>0</v>
      </c>
      <c r="H2650" t="s">
        <v>341</v>
      </c>
      <c r="K2650" t="s">
        <v>61</v>
      </c>
      <c r="L2650" t="s">
        <v>303</v>
      </c>
      <c r="M2650" t="s">
        <v>323</v>
      </c>
      <c r="N2650" t="s">
        <v>63</v>
      </c>
      <c r="O2650" s="110">
        <v>39.9</v>
      </c>
      <c r="R2650" s="110">
        <v>314.89</v>
      </c>
      <c r="S2650" s="110">
        <v>70</v>
      </c>
      <c r="T2650" s="110">
        <v>0</v>
      </c>
      <c r="U2650" s="110">
        <v>42.99</v>
      </c>
      <c r="X2650">
        <v>157</v>
      </c>
      <c r="Y2650">
        <v>44.9</v>
      </c>
      <c r="Z2650">
        <v>44.9</v>
      </c>
      <c r="AA2650">
        <v>0</v>
      </c>
      <c r="AB2650" t="s">
        <v>324</v>
      </c>
      <c r="AF2650" t="s">
        <v>1107</v>
      </c>
      <c r="AG2650" t="s">
        <v>1107</v>
      </c>
      <c r="AH2650" t="s">
        <v>758</v>
      </c>
      <c r="AI2650">
        <v>99999</v>
      </c>
      <c r="AJ2650">
        <v>99999</v>
      </c>
      <c r="AK2650">
        <v>699</v>
      </c>
      <c r="AL2650" t="b">
        <v>1</v>
      </c>
      <c r="AM2650" t="b">
        <v>1</v>
      </c>
      <c r="AN2650" t="b">
        <v>0</v>
      </c>
      <c r="AO2650">
        <v>99999</v>
      </c>
      <c r="AP2650" t="s">
        <v>64</v>
      </c>
      <c r="AR2650" t="b">
        <v>0</v>
      </c>
      <c r="AS2650">
        <v>12</v>
      </c>
      <c r="AT2650" t="s">
        <v>327</v>
      </c>
      <c r="AV2650" t="s">
        <v>1115</v>
      </c>
    </row>
    <row r="2651" spans="1:48" x14ac:dyDescent="0.25">
      <c r="A2651" t="s">
        <v>3323</v>
      </c>
      <c r="B2651" t="s">
        <v>302</v>
      </c>
      <c r="C2651" t="s">
        <v>62</v>
      </c>
      <c r="D2651">
        <v>99999</v>
      </c>
      <c r="F2651" s="109">
        <v>7000</v>
      </c>
      <c r="G2651" t="b">
        <v>0</v>
      </c>
      <c r="H2651" t="s">
        <v>341</v>
      </c>
      <c r="K2651" t="s">
        <v>61</v>
      </c>
      <c r="L2651" t="s">
        <v>303</v>
      </c>
      <c r="M2651" t="s">
        <v>323</v>
      </c>
      <c r="N2651" t="s">
        <v>63</v>
      </c>
      <c r="O2651" s="110">
        <v>49.9</v>
      </c>
      <c r="R2651" s="110">
        <v>330.68999999999994</v>
      </c>
      <c r="S2651" s="110">
        <v>130</v>
      </c>
      <c r="T2651" s="110">
        <v>0</v>
      </c>
      <c r="U2651" s="110">
        <v>34.99</v>
      </c>
      <c r="X2651">
        <v>120.79999999999998</v>
      </c>
      <c r="Y2651">
        <v>44.9</v>
      </c>
      <c r="Z2651">
        <v>44.9</v>
      </c>
      <c r="AA2651">
        <v>0</v>
      </c>
      <c r="AB2651" t="s">
        <v>324</v>
      </c>
      <c r="AF2651" t="s">
        <v>2467</v>
      </c>
      <c r="AG2651" t="s">
        <v>2467</v>
      </c>
      <c r="AH2651" t="s">
        <v>758</v>
      </c>
      <c r="AI2651">
        <v>99999</v>
      </c>
      <c r="AJ2651">
        <v>99999</v>
      </c>
      <c r="AK2651">
        <v>699</v>
      </c>
      <c r="AL2651" t="b">
        <v>1</v>
      </c>
      <c r="AM2651" t="b">
        <v>1</v>
      </c>
      <c r="AN2651" t="b">
        <v>0</v>
      </c>
      <c r="AO2651">
        <v>99999</v>
      </c>
      <c r="AP2651" t="s">
        <v>64</v>
      </c>
      <c r="AR2651" t="b">
        <v>0</v>
      </c>
      <c r="AS2651">
        <v>12</v>
      </c>
      <c r="AT2651" t="s">
        <v>327</v>
      </c>
      <c r="AV2651" t="s">
        <v>2475</v>
      </c>
    </row>
    <row r="2652" spans="1:48" x14ac:dyDescent="0.25">
      <c r="A2652" t="s">
        <v>3323</v>
      </c>
      <c r="B2652" t="s">
        <v>302</v>
      </c>
      <c r="C2652" t="s">
        <v>62</v>
      </c>
      <c r="D2652">
        <v>99999</v>
      </c>
      <c r="F2652" s="109">
        <v>7000</v>
      </c>
      <c r="G2652" t="b">
        <v>0</v>
      </c>
      <c r="H2652" t="s">
        <v>341</v>
      </c>
      <c r="K2652" t="s">
        <v>61</v>
      </c>
      <c r="L2652" t="s">
        <v>303</v>
      </c>
      <c r="M2652" t="s">
        <v>323</v>
      </c>
      <c r="N2652" t="s">
        <v>63</v>
      </c>
      <c r="O2652" s="110">
        <v>49.9</v>
      </c>
      <c r="R2652" s="110">
        <v>344.99</v>
      </c>
      <c r="S2652" s="110">
        <v>130</v>
      </c>
      <c r="T2652" s="110">
        <v>0</v>
      </c>
      <c r="U2652" s="110">
        <v>42.99</v>
      </c>
      <c r="X2652">
        <v>127.1</v>
      </c>
      <c r="Y2652">
        <v>44.9</v>
      </c>
      <c r="Z2652">
        <v>44.9</v>
      </c>
      <c r="AA2652">
        <v>0</v>
      </c>
      <c r="AB2652" t="s">
        <v>324</v>
      </c>
      <c r="AF2652" t="s">
        <v>2541</v>
      </c>
      <c r="AG2652" t="s">
        <v>2541</v>
      </c>
      <c r="AH2652" t="s">
        <v>758</v>
      </c>
      <c r="AI2652">
        <v>99999</v>
      </c>
      <c r="AJ2652">
        <v>99999</v>
      </c>
      <c r="AK2652">
        <v>699</v>
      </c>
      <c r="AL2652" t="b">
        <v>1</v>
      </c>
      <c r="AM2652" t="b">
        <v>1</v>
      </c>
      <c r="AN2652" t="b">
        <v>0</v>
      </c>
      <c r="AO2652">
        <v>99999</v>
      </c>
      <c r="AP2652" t="s">
        <v>64</v>
      </c>
      <c r="AR2652" t="b">
        <v>0</v>
      </c>
      <c r="AS2652">
        <v>12</v>
      </c>
      <c r="AT2652" t="s">
        <v>327</v>
      </c>
      <c r="AV2652" t="s">
        <v>2549</v>
      </c>
    </row>
    <row r="2653" spans="1:48" x14ac:dyDescent="0.25">
      <c r="A2653" t="s">
        <v>3323</v>
      </c>
      <c r="B2653" t="s">
        <v>302</v>
      </c>
      <c r="C2653" t="s">
        <v>62</v>
      </c>
      <c r="D2653">
        <v>99999</v>
      </c>
      <c r="F2653" s="109">
        <v>7000</v>
      </c>
      <c r="G2653" t="b">
        <v>0</v>
      </c>
      <c r="H2653" t="s">
        <v>341</v>
      </c>
      <c r="K2653" t="s">
        <v>61</v>
      </c>
      <c r="L2653" t="s">
        <v>303</v>
      </c>
      <c r="M2653" t="s">
        <v>323</v>
      </c>
      <c r="N2653" t="s">
        <v>63</v>
      </c>
      <c r="O2653" s="110">
        <v>49.9</v>
      </c>
      <c r="R2653" s="110">
        <v>359.99</v>
      </c>
      <c r="S2653" s="110">
        <v>130</v>
      </c>
      <c r="T2653" s="110">
        <v>0</v>
      </c>
      <c r="U2653" s="110">
        <v>42.99</v>
      </c>
      <c r="X2653">
        <v>142.1</v>
      </c>
      <c r="Y2653">
        <v>44.9</v>
      </c>
      <c r="Z2653">
        <v>44.9</v>
      </c>
      <c r="AA2653">
        <v>0</v>
      </c>
      <c r="AB2653" t="s">
        <v>324</v>
      </c>
      <c r="AF2653" t="s">
        <v>2608</v>
      </c>
      <c r="AG2653" t="s">
        <v>2608</v>
      </c>
      <c r="AH2653" t="s">
        <v>758</v>
      </c>
      <c r="AI2653">
        <v>99999</v>
      </c>
      <c r="AJ2653">
        <v>99999</v>
      </c>
      <c r="AK2653">
        <v>699</v>
      </c>
      <c r="AL2653" t="b">
        <v>1</v>
      </c>
      <c r="AM2653" t="b">
        <v>1</v>
      </c>
      <c r="AN2653" t="b">
        <v>0</v>
      </c>
      <c r="AO2653">
        <v>99999</v>
      </c>
      <c r="AP2653" t="s">
        <v>64</v>
      </c>
      <c r="AR2653" t="b">
        <v>0</v>
      </c>
      <c r="AS2653">
        <v>12</v>
      </c>
      <c r="AT2653" t="s">
        <v>327</v>
      </c>
      <c r="AV2653" t="s">
        <v>2616</v>
      </c>
    </row>
    <row r="2654" spans="1:48" x14ac:dyDescent="0.25">
      <c r="A2654" t="s">
        <v>3323</v>
      </c>
      <c r="B2654" t="s">
        <v>302</v>
      </c>
      <c r="C2654" t="s">
        <v>62</v>
      </c>
      <c r="D2654">
        <v>99999</v>
      </c>
      <c r="F2654" s="109">
        <v>7000</v>
      </c>
      <c r="G2654" t="b">
        <v>0</v>
      </c>
      <c r="H2654" t="s">
        <v>341</v>
      </c>
      <c r="K2654" t="s">
        <v>61</v>
      </c>
      <c r="L2654" t="s">
        <v>303</v>
      </c>
      <c r="M2654" t="s">
        <v>323</v>
      </c>
      <c r="N2654" t="s">
        <v>63</v>
      </c>
      <c r="O2654" s="110">
        <v>49.9</v>
      </c>
      <c r="R2654" s="110">
        <v>374.89</v>
      </c>
      <c r="S2654" s="110">
        <v>130</v>
      </c>
      <c r="T2654" s="110">
        <v>0</v>
      </c>
      <c r="U2654" s="110">
        <v>42.99</v>
      </c>
      <c r="X2654">
        <v>157</v>
      </c>
      <c r="Y2654">
        <v>44.9</v>
      </c>
      <c r="Z2654">
        <v>44.9</v>
      </c>
      <c r="AA2654">
        <v>0</v>
      </c>
      <c r="AB2654" t="s">
        <v>324</v>
      </c>
      <c r="AF2654" t="s">
        <v>2677</v>
      </c>
      <c r="AG2654" t="s">
        <v>2677</v>
      </c>
      <c r="AH2654" t="s">
        <v>758</v>
      </c>
      <c r="AI2654">
        <v>99999</v>
      </c>
      <c r="AJ2654">
        <v>99999</v>
      </c>
      <c r="AK2654">
        <v>699</v>
      </c>
      <c r="AL2654" t="b">
        <v>1</v>
      </c>
      <c r="AM2654" t="b">
        <v>1</v>
      </c>
      <c r="AN2654" t="b">
        <v>0</v>
      </c>
      <c r="AO2654">
        <v>99999</v>
      </c>
      <c r="AP2654" t="s">
        <v>64</v>
      </c>
      <c r="AR2654" t="b">
        <v>0</v>
      </c>
      <c r="AS2654">
        <v>12</v>
      </c>
      <c r="AT2654" t="s">
        <v>327</v>
      </c>
      <c r="AV2654" t="s">
        <v>2685</v>
      </c>
    </row>
    <row r="2655" spans="1:48" x14ac:dyDescent="0.25">
      <c r="A2655" t="s">
        <v>3323</v>
      </c>
      <c r="B2655" t="s">
        <v>302</v>
      </c>
      <c r="C2655" t="s">
        <v>62</v>
      </c>
      <c r="D2655">
        <v>99999</v>
      </c>
      <c r="F2655" s="109">
        <v>7000</v>
      </c>
      <c r="G2655" t="b">
        <v>1</v>
      </c>
      <c r="H2655" t="s">
        <v>343</v>
      </c>
      <c r="K2655" t="s">
        <v>349</v>
      </c>
      <c r="L2655" t="s">
        <v>303</v>
      </c>
      <c r="M2655" t="s">
        <v>323</v>
      </c>
      <c r="N2655" t="s">
        <v>63</v>
      </c>
      <c r="O2655" s="110">
        <v>29.9</v>
      </c>
      <c r="R2655" s="110">
        <v>319.89</v>
      </c>
      <c r="S2655" s="110">
        <v>69.900000000000006</v>
      </c>
      <c r="T2655" s="110">
        <v>0</v>
      </c>
      <c r="U2655" s="110">
        <v>42.99</v>
      </c>
      <c r="X2655">
        <v>162.09999999999997</v>
      </c>
      <c r="Y2655">
        <v>44.9</v>
      </c>
      <c r="Z2655">
        <v>44.9</v>
      </c>
      <c r="AA2655">
        <v>0</v>
      </c>
      <c r="AB2655" t="s">
        <v>324</v>
      </c>
      <c r="AF2655" t="s">
        <v>757</v>
      </c>
      <c r="AG2655" t="s">
        <v>757</v>
      </c>
      <c r="AH2655" t="s">
        <v>758</v>
      </c>
      <c r="AI2655">
        <v>99999</v>
      </c>
      <c r="AJ2655">
        <v>99999</v>
      </c>
      <c r="AK2655">
        <v>699</v>
      </c>
      <c r="AL2655" t="b">
        <v>1</v>
      </c>
      <c r="AM2655" t="b">
        <v>1</v>
      </c>
      <c r="AN2655" t="b">
        <v>1</v>
      </c>
      <c r="AO2655">
        <v>99999</v>
      </c>
      <c r="AP2655" t="s">
        <v>64</v>
      </c>
      <c r="AR2655" t="b">
        <v>0</v>
      </c>
      <c r="AS2655">
        <v>12</v>
      </c>
      <c r="AT2655" t="s">
        <v>327</v>
      </c>
      <c r="AV2655" t="s">
        <v>784</v>
      </c>
    </row>
    <row r="2656" spans="1:48" x14ac:dyDescent="0.25">
      <c r="A2656" t="s">
        <v>3323</v>
      </c>
      <c r="B2656" t="s">
        <v>302</v>
      </c>
      <c r="C2656" t="s">
        <v>62</v>
      </c>
      <c r="D2656">
        <v>99999</v>
      </c>
      <c r="F2656" s="109">
        <v>7000</v>
      </c>
      <c r="G2656" t="b">
        <v>1</v>
      </c>
      <c r="H2656" t="s">
        <v>343</v>
      </c>
      <c r="K2656" t="s">
        <v>349</v>
      </c>
      <c r="L2656" t="s">
        <v>303</v>
      </c>
      <c r="M2656" t="s">
        <v>323</v>
      </c>
      <c r="N2656" t="s">
        <v>63</v>
      </c>
      <c r="O2656" s="110">
        <v>29.9</v>
      </c>
      <c r="R2656" s="110">
        <v>334.89</v>
      </c>
      <c r="S2656" s="110">
        <v>69.900000000000006</v>
      </c>
      <c r="T2656" s="110">
        <v>0</v>
      </c>
      <c r="U2656" s="110">
        <v>42.99</v>
      </c>
      <c r="X2656">
        <v>177.09999999999997</v>
      </c>
      <c r="Y2656">
        <v>44.9</v>
      </c>
      <c r="Z2656">
        <v>44.9</v>
      </c>
      <c r="AA2656">
        <v>0</v>
      </c>
      <c r="AB2656" t="s">
        <v>324</v>
      </c>
      <c r="AF2656" t="s">
        <v>892</v>
      </c>
      <c r="AG2656" t="s">
        <v>892</v>
      </c>
      <c r="AH2656" t="s">
        <v>758</v>
      </c>
      <c r="AI2656">
        <v>99999</v>
      </c>
      <c r="AJ2656">
        <v>99999</v>
      </c>
      <c r="AK2656">
        <v>699</v>
      </c>
      <c r="AL2656" t="b">
        <v>1</v>
      </c>
      <c r="AM2656" t="b">
        <v>1</v>
      </c>
      <c r="AN2656" t="b">
        <v>1</v>
      </c>
      <c r="AO2656">
        <v>99999</v>
      </c>
      <c r="AP2656" t="s">
        <v>64</v>
      </c>
      <c r="AR2656" t="b">
        <v>0</v>
      </c>
      <c r="AS2656">
        <v>12</v>
      </c>
      <c r="AT2656" t="s">
        <v>327</v>
      </c>
      <c r="AV2656" t="s">
        <v>918</v>
      </c>
    </row>
    <row r="2657" spans="1:48" x14ac:dyDescent="0.25">
      <c r="A2657" t="s">
        <v>3323</v>
      </c>
      <c r="B2657" t="s">
        <v>302</v>
      </c>
      <c r="C2657" t="s">
        <v>62</v>
      </c>
      <c r="D2657">
        <v>99999</v>
      </c>
      <c r="F2657" s="109">
        <v>7000</v>
      </c>
      <c r="G2657" t="b">
        <v>1</v>
      </c>
      <c r="H2657" t="s">
        <v>343</v>
      </c>
      <c r="K2657" t="s">
        <v>349</v>
      </c>
      <c r="L2657" t="s">
        <v>303</v>
      </c>
      <c r="M2657" t="s">
        <v>323</v>
      </c>
      <c r="N2657" t="s">
        <v>63</v>
      </c>
      <c r="O2657" s="110">
        <v>29.9</v>
      </c>
      <c r="R2657" s="110">
        <v>349.89</v>
      </c>
      <c r="S2657" s="110">
        <v>70</v>
      </c>
      <c r="T2657" s="110">
        <v>0</v>
      </c>
      <c r="U2657" s="110">
        <v>42.99</v>
      </c>
      <c r="X2657">
        <v>191.99999999999997</v>
      </c>
      <c r="Y2657">
        <v>44.9</v>
      </c>
      <c r="Z2657">
        <v>44.9</v>
      </c>
      <c r="AA2657">
        <v>0</v>
      </c>
      <c r="AB2657" t="s">
        <v>324</v>
      </c>
      <c r="AF2657" t="s">
        <v>1040</v>
      </c>
      <c r="AG2657" t="s">
        <v>1040</v>
      </c>
      <c r="AH2657" t="s">
        <v>758</v>
      </c>
      <c r="AI2657">
        <v>99999</v>
      </c>
      <c r="AJ2657">
        <v>99999</v>
      </c>
      <c r="AK2657">
        <v>699</v>
      </c>
      <c r="AL2657" t="b">
        <v>1</v>
      </c>
      <c r="AM2657" t="b">
        <v>1</v>
      </c>
      <c r="AN2657" t="b">
        <v>1</v>
      </c>
      <c r="AO2657">
        <v>99999</v>
      </c>
      <c r="AP2657" t="s">
        <v>64</v>
      </c>
      <c r="AR2657" t="b">
        <v>0</v>
      </c>
      <c r="AS2657">
        <v>12</v>
      </c>
      <c r="AT2657" t="s">
        <v>327</v>
      </c>
      <c r="AV2657" t="s">
        <v>1066</v>
      </c>
    </row>
    <row r="2658" spans="1:48" x14ac:dyDescent="0.25">
      <c r="A2658" t="s">
        <v>3323</v>
      </c>
      <c r="B2658" t="s">
        <v>302</v>
      </c>
      <c r="C2658" t="s">
        <v>62</v>
      </c>
      <c r="D2658">
        <v>99999</v>
      </c>
      <c r="F2658" s="109">
        <v>7000</v>
      </c>
      <c r="G2658" t="b">
        <v>1</v>
      </c>
      <c r="H2658" t="s">
        <v>343</v>
      </c>
      <c r="K2658" t="s">
        <v>349</v>
      </c>
      <c r="L2658" t="s">
        <v>303</v>
      </c>
      <c r="M2658" t="s">
        <v>323</v>
      </c>
      <c r="N2658" t="s">
        <v>63</v>
      </c>
      <c r="O2658" s="110">
        <v>39.9</v>
      </c>
      <c r="R2658" s="110">
        <v>319.89</v>
      </c>
      <c r="S2658" s="110">
        <v>69.900000000000006</v>
      </c>
      <c r="T2658" s="110">
        <v>0</v>
      </c>
      <c r="U2658" s="110">
        <v>42.99</v>
      </c>
      <c r="X2658">
        <v>162.09999999999997</v>
      </c>
      <c r="Y2658">
        <v>44.9</v>
      </c>
      <c r="Z2658">
        <v>44.9</v>
      </c>
      <c r="AA2658">
        <v>0</v>
      </c>
      <c r="AB2658" t="s">
        <v>324</v>
      </c>
      <c r="AF2658" t="s">
        <v>825</v>
      </c>
      <c r="AG2658" t="s">
        <v>825</v>
      </c>
      <c r="AH2658" t="s">
        <v>758</v>
      </c>
      <c r="AI2658">
        <v>99999</v>
      </c>
      <c r="AJ2658">
        <v>99999</v>
      </c>
      <c r="AK2658">
        <v>699</v>
      </c>
      <c r="AL2658" t="b">
        <v>1</v>
      </c>
      <c r="AM2658" t="b">
        <v>1</v>
      </c>
      <c r="AN2658" t="b">
        <v>1</v>
      </c>
      <c r="AO2658">
        <v>99999</v>
      </c>
      <c r="AP2658" t="s">
        <v>64</v>
      </c>
      <c r="AR2658" t="b">
        <v>0</v>
      </c>
      <c r="AS2658">
        <v>12</v>
      </c>
      <c r="AT2658" t="s">
        <v>327</v>
      </c>
      <c r="AV2658" t="s">
        <v>851</v>
      </c>
    </row>
    <row r="2659" spans="1:48" x14ac:dyDescent="0.25">
      <c r="A2659" t="s">
        <v>3323</v>
      </c>
      <c r="B2659" t="s">
        <v>302</v>
      </c>
      <c r="C2659" t="s">
        <v>62</v>
      </c>
      <c r="D2659">
        <v>99999</v>
      </c>
      <c r="F2659" s="109">
        <v>7000</v>
      </c>
      <c r="G2659" t="b">
        <v>1</v>
      </c>
      <c r="H2659" t="s">
        <v>343</v>
      </c>
      <c r="K2659" t="s">
        <v>349</v>
      </c>
      <c r="L2659" t="s">
        <v>303</v>
      </c>
      <c r="M2659" t="s">
        <v>323</v>
      </c>
      <c r="N2659" t="s">
        <v>63</v>
      </c>
      <c r="O2659" s="110">
        <v>39.9</v>
      </c>
      <c r="R2659" s="110">
        <v>334.89</v>
      </c>
      <c r="S2659" s="110">
        <v>69.900000000000006</v>
      </c>
      <c r="T2659" s="110">
        <v>0</v>
      </c>
      <c r="U2659" s="110">
        <v>42.99</v>
      </c>
      <c r="X2659">
        <v>177.09999999999997</v>
      </c>
      <c r="Y2659">
        <v>44.9</v>
      </c>
      <c r="Z2659">
        <v>44.9</v>
      </c>
      <c r="AA2659">
        <v>0</v>
      </c>
      <c r="AB2659" t="s">
        <v>324</v>
      </c>
      <c r="AF2659" t="s">
        <v>959</v>
      </c>
      <c r="AG2659" t="s">
        <v>959</v>
      </c>
      <c r="AH2659" t="s">
        <v>758</v>
      </c>
      <c r="AI2659">
        <v>99999</v>
      </c>
      <c r="AJ2659">
        <v>99999</v>
      </c>
      <c r="AK2659">
        <v>699</v>
      </c>
      <c r="AL2659" t="b">
        <v>1</v>
      </c>
      <c r="AM2659" t="b">
        <v>1</v>
      </c>
      <c r="AN2659" t="b">
        <v>1</v>
      </c>
      <c r="AO2659">
        <v>99999</v>
      </c>
      <c r="AP2659" t="s">
        <v>64</v>
      </c>
      <c r="AR2659" t="b">
        <v>0</v>
      </c>
      <c r="AS2659">
        <v>12</v>
      </c>
      <c r="AT2659" t="s">
        <v>327</v>
      </c>
      <c r="AV2659" t="s">
        <v>985</v>
      </c>
    </row>
    <row r="2660" spans="1:48" x14ac:dyDescent="0.25">
      <c r="A2660" t="s">
        <v>3323</v>
      </c>
      <c r="B2660" t="s">
        <v>302</v>
      </c>
      <c r="C2660" t="s">
        <v>62</v>
      </c>
      <c r="D2660">
        <v>99999</v>
      </c>
      <c r="F2660" s="109">
        <v>7000</v>
      </c>
      <c r="G2660" t="b">
        <v>1</v>
      </c>
      <c r="H2660" t="s">
        <v>343</v>
      </c>
      <c r="K2660" t="s">
        <v>349</v>
      </c>
      <c r="L2660" t="s">
        <v>303</v>
      </c>
      <c r="M2660" t="s">
        <v>323</v>
      </c>
      <c r="N2660" t="s">
        <v>63</v>
      </c>
      <c r="O2660" s="110">
        <v>39.9</v>
      </c>
      <c r="R2660" s="110">
        <v>349.89</v>
      </c>
      <c r="S2660" s="110">
        <v>70</v>
      </c>
      <c r="T2660" s="110">
        <v>0</v>
      </c>
      <c r="U2660" s="110">
        <v>42.99</v>
      </c>
      <c r="X2660">
        <v>191.99999999999997</v>
      </c>
      <c r="Y2660">
        <v>44.9</v>
      </c>
      <c r="Z2660">
        <v>44.9</v>
      </c>
      <c r="AA2660">
        <v>0</v>
      </c>
      <c r="AB2660" t="s">
        <v>324</v>
      </c>
      <c r="AF2660" t="s">
        <v>1107</v>
      </c>
      <c r="AG2660" t="s">
        <v>1107</v>
      </c>
      <c r="AH2660" t="s">
        <v>758</v>
      </c>
      <c r="AI2660">
        <v>99999</v>
      </c>
      <c r="AJ2660">
        <v>99999</v>
      </c>
      <c r="AK2660">
        <v>699</v>
      </c>
      <c r="AL2660" t="b">
        <v>1</v>
      </c>
      <c r="AM2660" t="b">
        <v>1</v>
      </c>
      <c r="AN2660" t="b">
        <v>1</v>
      </c>
      <c r="AO2660">
        <v>99999</v>
      </c>
      <c r="AP2660" t="s">
        <v>64</v>
      </c>
      <c r="AR2660" t="b">
        <v>0</v>
      </c>
      <c r="AS2660">
        <v>12</v>
      </c>
      <c r="AT2660" t="s">
        <v>327</v>
      </c>
      <c r="AV2660" t="s">
        <v>1133</v>
      </c>
    </row>
    <row r="2661" spans="1:48" x14ac:dyDescent="0.25">
      <c r="A2661" t="s">
        <v>3323</v>
      </c>
      <c r="B2661" t="s">
        <v>302</v>
      </c>
      <c r="C2661" t="s">
        <v>62</v>
      </c>
      <c r="D2661">
        <v>99999</v>
      </c>
      <c r="F2661" s="109">
        <v>7000</v>
      </c>
      <c r="G2661" t="b">
        <v>1</v>
      </c>
      <c r="H2661" t="s">
        <v>343</v>
      </c>
      <c r="K2661" t="s">
        <v>349</v>
      </c>
      <c r="L2661" t="s">
        <v>303</v>
      </c>
      <c r="M2661" t="s">
        <v>323</v>
      </c>
      <c r="N2661" t="s">
        <v>63</v>
      </c>
      <c r="O2661" s="110">
        <v>49.9</v>
      </c>
      <c r="R2661" s="110">
        <v>396.88999999999993</v>
      </c>
      <c r="S2661" s="110">
        <v>130</v>
      </c>
      <c r="T2661" s="110">
        <v>0</v>
      </c>
      <c r="U2661" s="110">
        <v>34.99</v>
      </c>
      <c r="X2661">
        <v>186.99999999999994</v>
      </c>
      <c r="Y2661">
        <v>44.9</v>
      </c>
      <c r="Z2661">
        <v>44.9</v>
      </c>
      <c r="AA2661">
        <v>0</v>
      </c>
      <c r="AB2661" t="s">
        <v>324</v>
      </c>
      <c r="AF2661" t="s">
        <v>2467</v>
      </c>
      <c r="AG2661" t="s">
        <v>2467</v>
      </c>
      <c r="AH2661" t="s">
        <v>758</v>
      </c>
      <c r="AI2661">
        <v>99999</v>
      </c>
      <c r="AJ2661">
        <v>99999</v>
      </c>
      <c r="AK2661">
        <v>699</v>
      </c>
      <c r="AL2661" t="b">
        <v>1</v>
      </c>
      <c r="AM2661" t="b">
        <v>1</v>
      </c>
      <c r="AN2661" t="b">
        <v>1</v>
      </c>
      <c r="AO2661">
        <v>99999</v>
      </c>
      <c r="AP2661" t="s">
        <v>64</v>
      </c>
      <c r="AR2661" t="b">
        <v>0</v>
      </c>
      <c r="AS2661">
        <v>12</v>
      </c>
      <c r="AT2661" t="s">
        <v>327</v>
      </c>
      <c r="AV2661" t="s">
        <v>2493</v>
      </c>
    </row>
    <row r="2662" spans="1:48" x14ac:dyDescent="0.25">
      <c r="A2662" t="s">
        <v>3323</v>
      </c>
      <c r="B2662" t="s">
        <v>302</v>
      </c>
      <c r="C2662" t="s">
        <v>62</v>
      </c>
      <c r="D2662">
        <v>99999</v>
      </c>
      <c r="F2662" s="109">
        <v>7000</v>
      </c>
      <c r="G2662" t="b">
        <v>1</v>
      </c>
      <c r="H2662" t="s">
        <v>343</v>
      </c>
      <c r="K2662" t="s">
        <v>349</v>
      </c>
      <c r="L2662" t="s">
        <v>303</v>
      </c>
      <c r="M2662" t="s">
        <v>323</v>
      </c>
      <c r="N2662" t="s">
        <v>63</v>
      </c>
      <c r="O2662" s="110">
        <v>49.9</v>
      </c>
      <c r="R2662" s="110">
        <v>382.38999999999993</v>
      </c>
      <c r="S2662" s="110">
        <v>130</v>
      </c>
      <c r="T2662" s="110">
        <v>0</v>
      </c>
      <c r="U2662" s="110">
        <v>42.99</v>
      </c>
      <c r="X2662">
        <v>164.49999999999994</v>
      </c>
      <c r="Y2662">
        <v>44.9</v>
      </c>
      <c r="Z2662">
        <v>44.9</v>
      </c>
      <c r="AA2662">
        <v>0</v>
      </c>
      <c r="AB2662" t="s">
        <v>324</v>
      </c>
      <c r="AF2662" t="s">
        <v>2541</v>
      </c>
      <c r="AG2662" t="s">
        <v>2541</v>
      </c>
      <c r="AH2662" t="s">
        <v>758</v>
      </c>
      <c r="AI2662">
        <v>99999</v>
      </c>
      <c r="AJ2662">
        <v>99999</v>
      </c>
      <c r="AK2662">
        <v>699</v>
      </c>
      <c r="AL2662" t="b">
        <v>1</v>
      </c>
      <c r="AM2662" t="b">
        <v>1</v>
      </c>
      <c r="AN2662" t="b">
        <v>1</v>
      </c>
      <c r="AO2662">
        <v>99999</v>
      </c>
      <c r="AP2662" t="s">
        <v>64</v>
      </c>
      <c r="AR2662" t="b">
        <v>0</v>
      </c>
      <c r="AS2662">
        <v>12</v>
      </c>
      <c r="AT2662" t="s">
        <v>327</v>
      </c>
      <c r="AV2662" t="s">
        <v>2567</v>
      </c>
    </row>
    <row r="2663" spans="1:48" x14ac:dyDescent="0.25">
      <c r="A2663" t="s">
        <v>3323</v>
      </c>
      <c r="B2663" t="s">
        <v>302</v>
      </c>
      <c r="C2663" t="s">
        <v>62</v>
      </c>
      <c r="D2663">
        <v>99999</v>
      </c>
      <c r="F2663" s="109">
        <v>7000</v>
      </c>
      <c r="G2663" t="b">
        <v>1</v>
      </c>
      <c r="H2663" t="s">
        <v>343</v>
      </c>
      <c r="K2663" t="s">
        <v>349</v>
      </c>
      <c r="L2663" t="s">
        <v>303</v>
      </c>
      <c r="M2663" t="s">
        <v>323</v>
      </c>
      <c r="N2663" t="s">
        <v>63</v>
      </c>
      <c r="O2663" s="110">
        <v>49.9</v>
      </c>
      <c r="R2663" s="110">
        <v>389.88999999999993</v>
      </c>
      <c r="S2663" s="110">
        <v>130</v>
      </c>
      <c r="T2663" s="110">
        <v>0</v>
      </c>
      <c r="U2663" s="110">
        <v>42.99</v>
      </c>
      <c r="X2663">
        <v>171.99999999999994</v>
      </c>
      <c r="Y2663">
        <v>44.9</v>
      </c>
      <c r="Z2663">
        <v>44.9</v>
      </c>
      <c r="AA2663">
        <v>0</v>
      </c>
      <c r="AB2663" t="s">
        <v>324</v>
      </c>
      <c r="AF2663" t="s">
        <v>2677</v>
      </c>
      <c r="AG2663" t="s">
        <v>2677</v>
      </c>
      <c r="AH2663" t="s">
        <v>758</v>
      </c>
      <c r="AI2663">
        <v>99999</v>
      </c>
      <c r="AJ2663">
        <v>99999</v>
      </c>
      <c r="AK2663">
        <v>699</v>
      </c>
      <c r="AL2663" t="b">
        <v>1</v>
      </c>
      <c r="AM2663" t="b">
        <v>1</v>
      </c>
      <c r="AN2663" t="b">
        <v>1</v>
      </c>
      <c r="AO2663">
        <v>99999</v>
      </c>
      <c r="AP2663" t="s">
        <v>64</v>
      </c>
      <c r="AR2663" t="b">
        <v>0</v>
      </c>
      <c r="AS2663">
        <v>12</v>
      </c>
      <c r="AT2663" t="s">
        <v>327</v>
      </c>
      <c r="AV2663" t="s">
        <v>2703</v>
      </c>
    </row>
    <row r="2664" spans="1:48" x14ac:dyDescent="0.25">
      <c r="A2664" t="s">
        <v>3323</v>
      </c>
      <c r="B2664" t="s">
        <v>302</v>
      </c>
      <c r="C2664" t="s">
        <v>62</v>
      </c>
      <c r="D2664">
        <v>99999</v>
      </c>
      <c r="F2664" s="109">
        <v>7000</v>
      </c>
      <c r="G2664" t="b">
        <v>1</v>
      </c>
      <c r="H2664" t="s">
        <v>343</v>
      </c>
      <c r="K2664" t="s">
        <v>393</v>
      </c>
      <c r="L2664" t="s">
        <v>303</v>
      </c>
      <c r="M2664" t="s">
        <v>323</v>
      </c>
      <c r="N2664" t="s">
        <v>63</v>
      </c>
      <c r="O2664" s="110">
        <v>29.9</v>
      </c>
      <c r="R2664" s="110">
        <v>344.89</v>
      </c>
      <c r="S2664" s="110">
        <v>69.900000000000006</v>
      </c>
      <c r="T2664" s="110">
        <v>0</v>
      </c>
      <c r="U2664" s="110">
        <v>42.99</v>
      </c>
      <c r="X2664">
        <v>162.09999999999997</v>
      </c>
      <c r="Y2664">
        <v>69.900000000000006</v>
      </c>
      <c r="Z2664">
        <v>69.900000000000006</v>
      </c>
      <c r="AA2664">
        <v>0</v>
      </c>
      <c r="AB2664" t="s">
        <v>363</v>
      </c>
      <c r="AF2664" t="s">
        <v>785</v>
      </c>
      <c r="AG2664" t="s">
        <v>785</v>
      </c>
      <c r="AH2664" t="s">
        <v>758</v>
      </c>
      <c r="AI2664">
        <v>99999</v>
      </c>
      <c r="AJ2664">
        <v>99999</v>
      </c>
      <c r="AK2664">
        <v>699</v>
      </c>
      <c r="AL2664" t="b">
        <v>1</v>
      </c>
      <c r="AM2664" t="b">
        <v>1</v>
      </c>
      <c r="AN2664" t="b">
        <v>1</v>
      </c>
      <c r="AO2664">
        <v>99999</v>
      </c>
      <c r="AP2664" t="s">
        <v>64</v>
      </c>
      <c r="AR2664" t="b">
        <v>0</v>
      </c>
      <c r="AS2664">
        <v>12</v>
      </c>
      <c r="AT2664" t="s">
        <v>327</v>
      </c>
      <c r="AV2664" t="s">
        <v>824</v>
      </c>
    </row>
    <row r="2665" spans="1:48" x14ac:dyDescent="0.25">
      <c r="A2665" t="s">
        <v>3323</v>
      </c>
      <c r="B2665" t="s">
        <v>302</v>
      </c>
      <c r="C2665" t="s">
        <v>62</v>
      </c>
      <c r="D2665">
        <v>99999</v>
      </c>
      <c r="F2665" s="109">
        <v>7000</v>
      </c>
      <c r="G2665" t="b">
        <v>1</v>
      </c>
      <c r="H2665" t="s">
        <v>343</v>
      </c>
      <c r="K2665" t="s">
        <v>393</v>
      </c>
      <c r="L2665" t="s">
        <v>303</v>
      </c>
      <c r="M2665" t="s">
        <v>323</v>
      </c>
      <c r="N2665" t="s">
        <v>63</v>
      </c>
      <c r="O2665" s="110">
        <v>29.9</v>
      </c>
      <c r="R2665" s="110">
        <v>359.89</v>
      </c>
      <c r="S2665" s="110">
        <v>69.900000000000006</v>
      </c>
      <c r="T2665" s="110">
        <v>0</v>
      </c>
      <c r="U2665" s="110">
        <v>42.99</v>
      </c>
      <c r="X2665">
        <v>177.09999999999997</v>
      </c>
      <c r="Y2665">
        <v>69.900000000000006</v>
      </c>
      <c r="Z2665">
        <v>69.900000000000006</v>
      </c>
      <c r="AA2665">
        <v>0</v>
      </c>
      <c r="AB2665" t="s">
        <v>363</v>
      </c>
      <c r="AF2665" t="s">
        <v>919</v>
      </c>
      <c r="AG2665" t="s">
        <v>919</v>
      </c>
      <c r="AH2665" t="s">
        <v>758</v>
      </c>
      <c r="AI2665">
        <v>99999</v>
      </c>
      <c r="AJ2665">
        <v>99999</v>
      </c>
      <c r="AK2665">
        <v>699</v>
      </c>
      <c r="AL2665" t="b">
        <v>1</v>
      </c>
      <c r="AM2665" t="b">
        <v>1</v>
      </c>
      <c r="AN2665" t="b">
        <v>1</v>
      </c>
      <c r="AO2665">
        <v>99999</v>
      </c>
      <c r="AP2665" t="s">
        <v>64</v>
      </c>
      <c r="AR2665" t="b">
        <v>0</v>
      </c>
      <c r="AS2665">
        <v>12</v>
      </c>
      <c r="AT2665" t="s">
        <v>327</v>
      </c>
      <c r="AV2665" t="s">
        <v>958</v>
      </c>
    </row>
    <row r="2666" spans="1:48" x14ac:dyDescent="0.25">
      <c r="A2666" t="s">
        <v>3323</v>
      </c>
      <c r="B2666" t="s">
        <v>302</v>
      </c>
      <c r="C2666" t="s">
        <v>62</v>
      </c>
      <c r="D2666">
        <v>99999</v>
      </c>
      <c r="F2666" s="109">
        <v>7000</v>
      </c>
      <c r="G2666" t="b">
        <v>1</v>
      </c>
      <c r="H2666" t="s">
        <v>343</v>
      </c>
      <c r="K2666" t="s">
        <v>393</v>
      </c>
      <c r="L2666" t="s">
        <v>303</v>
      </c>
      <c r="M2666" t="s">
        <v>323</v>
      </c>
      <c r="N2666" t="s">
        <v>63</v>
      </c>
      <c r="O2666" s="110">
        <v>29.9</v>
      </c>
      <c r="R2666" s="110">
        <v>374.89</v>
      </c>
      <c r="S2666" s="110">
        <v>70</v>
      </c>
      <c r="T2666" s="110">
        <v>0</v>
      </c>
      <c r="U2666" s="110">
        <v>42.99</v>
      </c>
      <c r="X2666">
        <v>191.99999999999997</v>
      </c>
      <c r="Y2666">
        <v>69.900000000000006</v>
      </c>
      <c r="Z2666">
        <v>69.900000000000006</v>
      </c>
      <c r="AA2666">
        <v>0</v>
      </c>
      <c r="AB2666" t="s">
        <v>363</v>
      </c>
      <c r="AF2666" t="s">
        <v>1067</v>
      </c>
      <c r="AG2666" t="s">
        <v>1067</v>
      </c>
      <c r="AH2666" t="s">
        <v>758</v>
      </c>
      <c r="AI2666">
        <v>99999</v>
      </c>
      <c r="AJ2666">
        <v>99999</v>
      </c>
      <c r="AK2666">
        <v>699</v>
      </c>
      <c r="AL2666" t="b">
        <v>1</v>
      </c>
      <c r="AM2666" t="b">
        <v>1</v>
      </c>
      <c r="AN2666" t="b">
        <v>1</v>
      </c>
      <c r="AO2666">
        <v>99999</v>
      </c>
      <c r="AP2666" t="s">
        <v>64</v>
      </c>
      <c r="AR2666" t="b">
        <v>0</v>
      </c>
      <c r="AS2666">
        <v>12</v>
      </c>
      <c r="AT2666" t="s">
        <v>327</v>
      </c>
      <c r="AV2666" t="s">
        <v>1106</v>
      </c>
    </row>
    <row r="2667" spans="1:48" x14ac:dyDescent="0.25">
      <c r="A2667" t="s">
        <v>3323</v>
      </c>
      <c r="B2667" t="s">
        <v>302</v>
      </c>
      <c r="C2667" t="s">
        <v>62</v>
      </c>
      <c r="D2667">
        <v>99999</v>
      </c>
      <c r="F2667" s="109">
        <v>7000</v>
      </c>
      <c r="G2667" t="b">
        <v>1</v>
      </c>
      <c r="H2667" t="s">
        <v>343</v>
      </c>
      <c r="K2667" t="s">
        <v>393</v>
      </c>
      <c r="L2667" t="s">
        <v>303</v>
      </c>
      <c r="M2667" t="s">
        <v>323</v>
      </c>
      <c r="N2667" t="s">
        <v>63</v>
      </c>
      <c r="O2667" s="110">
        <v>39.9</v>
      </c>
      <c r="R2667" s="110">
        <v>344.89</v>
      </c>
      <c r="S2667" s="110">
        <v>69.900000000000006</v>
      </c>
      <c r="T2667" s="110">
        <v>0</v>
      </c>
      <c r="U2667" s="110">
        <v>42.99</v>
      </c>
      <c r="X2667">
        <v>162.09999999999997</v>
      </c>
      <c r="Y2667">
        <v>69.900000000000006</v>
      </c>
      <c r="Z2667">
        <v>69.900000000000006</v>
      </c>
      <c r="AA2667">
        <v>0</v>
      </c>
      <c r="AB2667" t="s">
        <v>363</v>
      </c>
      <c r="AF2667" t="s">
        <v>852</v>
      </c>
      <c r="AG2667" t="s">
        <v>852</v>
      </c>
      <c r="AH2667" t="s">
        <v>758</v>
      </c>
      <c r="AI2667">
        <v>99999</v>
      </c>
      <c r="AJ2667">
        <v>99999</v>
      </c>
      <c r="AK2667">
        <v>699</v>
      </c>
      <c r="AL2667" t="b">
        <v>1</v>
      </c>
      <c r="AM2667" t="b">
        <v>1</v>
      </c>
      <c r="AN2667" t="b">
        <v>1</v>
      </c>
      <c r="AO2667">
        <v>99999</v>
      </c>
      <c r="AP2667" t="s">
        <v>64</v>
      </c>
      <c r="AR2667" t="b">
        <v>0</v>
      </c>
      <c r="AS2667">
        <v>12</v>
      </c>
      <c r="AT2667" t="s">
        <v>327</v>
      </c>
      <c r="AV2667" t="s">
        <v>891</v>
      </c>
    </row>
    <row r="2668" spans="1:48" x14ac:dyDescent="0.25">
      <c r="A2668" t="s">
        <v>3323</v>
      </c>
      <c r="B2668" t="s">
        <v>302</v>
      </c>
      <c r="C2668" t="s">
        <v>62</v>
      </c>
      <c r="D2668">
        <v>99999</v>
      </c>
      <c r="F2668" s="109">
        <v>7000</v>
      </c>
      <c r="G2668" t="b">
        <v>1</v>
      </c>
      <c r="H2668" t="s">
        <v>343</v>
      </c>
      <c r="K2668" t="s">
        <v>393</v>
      </c>
      <c r="L2668" t="s">
        <v>303</v>
      </c>
      <c r="M2668" t="s">
        <v>323</v>
      </c>
      <c r="N2668" t="s">
        <v>63</v>
      </c>
      <c r="O2668" s="110">
        <v>39.9</v>
      </c>
      <c r="R2668" s="110">
        <v>359.89</v>
      </c>
      <c r="S2668" s="110">
        <v>69.900000000000006</v>
      </c>
      <c r="T2668" s="110">
        <v>0</v>
      </c>
      <c r="U2668" s="110">
        <v>42.99</v>
      </c>
      <c r="X2668">
        <v>177.09999999999997</v>
      </c>
      <c r="Y2668">
        <v>69.900000000000006</v>
      </c>
      <c r="Z2668">
        <v>69.900000000000006</v>
      </c>
      <c r="AA2668">
        <v>0</v>
      </c>
      <c r="AB2668" t="s">
        <v>363</v>
      </c>
      <c r="AF2668" t="s">
        <v>986</v>
      </c>
      <c r="AG2668" t="s">
        <v>986</v>
      </c>
      <c r="AH2668" t="s">
        <v>758</v>
      </c>
      <c r="AI2668">
        <v>99999</v>
      </c>
      <c r="AJ2668">
        <v>99999</v>
      </c>
      <c r="AK2668">
        <v>699</v>
      </c>
      <c r="AL2668" t="b">
        <v>1</v>
      </c>
      <c r="AM2668" t="b">
        <v>1</v>
      </c>
      <c r="AN2668" t="b">
        <v>1</v>
      </c>
      <c r="AO2668">
        <v>99999</v>
      </c>
      <c r="AP2668" t="s">
        <v>64</v>
      </c>
      <c r="AR2668" t="b">
        <v>0</v>
      </c>
      <c r="AS2668">
        <v>12</v>
      </c>
      <c r="AT2668" t="s">
        <v>327</v>
      </c>
      <c r="AV2668" t="s">
        <v>1025</v>
      </c>
    </row>
    <row r="2669" spans="1:48" x14ac:dyDescent="0.25">
      <c r="A2669" t="s">
        <v>3323</v>
      </c>
      <c r="B2669" t="s">
        <v>302</v>
      </c>
      <c r="C2669" t="s">
        <v>62</v>
      </c>
      <c r="D2669">
        <v>99999</v>
      </c>
      <c r="F2669" s="109">
        <v>7000</v>
      </c>
      <c r="G2669" t="b">
        <v>1</v>
      </c>
      <c r="H2669" t="s">
        <v>343</v>
      </c>
      <c r="K2669" t="s">
        <v>393</v>
      </c>
      <c r="L2669" t="s">
        <v>303</v>
      </c>
      <c r="M2669" t="s">
        <v>323</v>
      </c>
      <c r="N2669" t="s">
        <v>63</v>
      </c>
      <c r="O2669" s="110">
        <v>39.9</v>
      </c>
      <c r="R2669" s="110">
        <v>374.89</v>
      </c>
      <c r="S2669" s="110">
        <v>70</v>
      </c>
      <c r="T2669" s="110">
        <v>0</v>
      </c>
      <c r="U2669" s="110">
        <v>42.99</v>
      </c>
      <c r="X2669">
        <v>191.99999999999997</v>
      </c>
      <c r="Y2669">
        <v>69.900000000000006</v>
      </c>
      <c r="Z2669">
        <v>69.900000000000006</v>
      </c>
      <c r="AA2669">
        <v>0</v>
      </c>
      <c r="AB2669" t="s">
        <v>363</v>
      </c>
      <c r="AF2669" t="s">
        <v>1134</v>
      </c>
      <c r="AG2669" t="s">
        <v>1134</v>
      </c>
      <c r="AH2669" t="s">
        <v>758</v>
      </c>
      <c r="AI2669">
        <v>99999</v>
      </c>
      <c r="AJ2669">
        <v>99999</v>
      </c>
      <c r="AK2669">
        <v>699</v>
      </c>
      <c r="AL2669" t="b">
        <v>1</v>
      </c>
      <c r="AM2669" t="b">
        <v>1</v>
      </c>
      <c r="AN2669" t="b">
        <v>1</v>
      </c>
      <c r="AO2669">
        <v>99999</v>
      </c>
      <c r="AP2669" t="s">
        <v>64</v>
      </c>
      <c r="AR2669" t="b">
        <v>0</v>
      </c>
      <c r="AS2669">
        <v>12</v>
      </c>
      <c r="AT2669" t="s">
        <v>327</v>
      </c>
      <c r="AV2669" t="s">
        <v>1173</v>
      </c>
    </row>
    <row r="2670" spans="1:48" x14ac:dyDescent="0.25">
      <c r="A2670" t="s">
        <v>3323</v>
      </c>
      <c r="B2670" t="s">
        <v>302</v>
      </c>
      <c r="C2670" t="s">
        <v>62</v>
      </c>
      <c r="D2670">
        <v>99999</v>
      </c>
      <c r="F2670" s="109">
        <v>7000</v>
      </c>
      <c r="G2670" t="b">
        <v>1</v>
      </c>
      <c r="H2670" t="s">
        <v>343</v>
      </c>
      <c r="K2670" t="s">
        <v>393</v>
      </c>
      <c r="L2670" t="s">
        <v>303</v>
      </c>
      <c r="M2670" t="s">
        <v>323</v>
      </c>
      <c r="N2670" t="s">
        <v>63</v>
      </c>
      <c r="O2670" s="110">
        <v>49.9</v>
      </c>
      <c r="R2670" s="110">
        <v>421.89</v>
      </c>
      <c r="S2670" s="110">
        <v>130</v>
      </c>
      <c r="T2670" s="110">
        <v>0</v>
      </c>
      <c r="U2670" s="110">
        <v>34.99</v>
      </c>
      <c r="X2670">
        <v>186.99999999999994</v>
      </c>
      <c r="Y2670">
        <v>69.900000000000006</v>
      </c>
      <c r="Z2670">
        <v>69.900000000000006</v>
      </c>
      <c r="AA2670">
        <v>0</v>
      </c>
      <c r="AB2670" t="s">
        <v>363</v>
      </c>
      <c r="AF2670" t="s">
        <v>2494</v>
      </c>
      <c r="AG2670" t="s">
        <v>2494</v>
      </c>
      <c r="AH2670" t="s">
        <v>758</v>
      </c>
      <c r="AI2670">
        <v>99999</v>
      </c>
      <c r="AJ2670">
        <v>99999</v>
      </c>
      <c r="AK2670">
        <v>699</v>
      </c>
      <c r="AL2670" t="b">
        <v>1</v>
      </c>
      <c r="AM2670" t="b">
        <v>1</v>
      </c>
      <c r="AN2670" t="b">
        <v>1</v>
      </c>
      <c r="AO2670">
        <v>99999</v>
      </c>
      <c r="AP2670" t="s">
        <v>64</v>
      </c>
      <c r="AR2670" t="b">
        <v>0</v>
      </c>
      <c r="AS2670">
        <v>12</v>
      </c>
      <c r="AT2670" t="s">
        <v>327</v>
      </c>
      <c r="AV2670" t="s">
        <v>2533</v>
      </c>
    </row>
    <row r="2671" spans="1:48" x14ac:dyDescent="0.25">
      <c r="A2671" t="s">
        <v>3323</v>
      </c>
      <c r="B2671" t="s">
        <v>302</v>
      </c>
      <c r="C2671" t="s">
        <v>62</v>
      </c>
      <c r="D2671">
        <v>99999</v>
      </c>
      <c r="F2671" s="109">
        <v>7000</v>
      </c>
      <c r="G2671" t="b">
        <v>1</v>
      </c>
      <c r="H2671" t="s">
        <v>343</v>
      </c>
      <c r="K2671" t="s">
        <v>393</v>
      </c>
      <c r="L2671" t="s">
        <v>303</v>
      </c>
      <c r="M2671" t="s">
        <v>323</v>
      </c>
      <c r="N2671" t="s">
        <v>63</v>
      </c>
      <c r="O2671" s="110">
        <v>49.9</v>
      </c>
      <c r="R2671" s="110">
        <v>407.39</v>
      </c>
      <c r="S2671" s="110">
        <v>130</v>
      </c>
      <c r="T2671" s="110">
        <v>0</v>
      </c>
      <c r="U2671" s="110">
        <v>42.99</v>
      </c>
      <c r="X2671">
        <v>164.49999999999994</v>
      </c>
      <c r="Y2671">
        <v>69.900000000000006</v>
      </c>
      <c r="Z2671">
        <v>69.900000000000006</v>
      </c>
      <c r="AA2671">
        <v>0</v>
      </c>
      <c r="AB2671" t="s">
        <v>363</v>
      </c>
      <c r="AF2671" t="s">
        <v>2568</v>
      </c>
      <c r="AG2671" t="s">
        <v>2568</v>
      </c>
      <c r="AH2671" t="s">
        <v>758</v>
      </c>
      <c r="AI2671">
        <v>99999</v>
      </c>
      <c r="AJ2671">
        <v>99999</v>
      </c>
      <c r="AK2671">
        <v>699</v>
      </c>
      <c r="AL2671" t="b">
        <v>1</v>
      </c>
      <c r="AM2671" t="b">
        <v>1</v>
      </c>
      <c r="AN2671" t="b">
        <v>1</v>
      </c>
      <c r="AO2671">
        <v>99999</v>
      </c>
      <c r="AP2671" t="s">
        <v>64</v>
      </c>
      <c r="AR2671" t="b">
        <v>0</v>
      </c>
      <c r="AS2671">
        <v>12</v>
      </c>
      <c r="AT2671" t="s">
        <v>327</v>
      </c>
      <c r="AV2671" t="s">
        <v>2607</v>
      </c>
    </row>
    <row r="2672" spans="1:48" x14ac:dyDescent="0.25">
      <c r="A2672" t="s">
        <v>3323</v>
      </c>
      <c r="B2672" t="s">
        <v>302</v>
      </c>
      <c r="C2672" t="s">
        <v>62</v>
      </c>
      <c r="D2672">
        <v>99999</v>
      </c>
      <c r="F2672" s="109">
        <v>7000</v>
      </c>
      <c r="G2672" t="b">
        <v>1</v>
      </c>
      <c r="H2672" t="s">
        <v>343</v>
      </c>
      <c r="K2672" t="s">
        <v>393</v>
      </c>
      <c r="L2672" t="s">
        <v>303</v>
      </c>
      <c r="M2672" t="s">
        <v>323</v>
      </c>
      <c r="N2672" t="s">
        <v>63</v>
      </c>
      <c r="O2672" s="110">
        <v>49.9</v>
      </c>
      <c r="R2672" s="110">
        <v>414.89</v>
      </c>
      <c r="S2672" s="110">
        <v>130</v>
      </c>
      <c r="T2672" s="110">
        <v>0</v>
      </c>
      <c r="U2672" s="110">
        <v>42.99</v>
      </c>
      <c r="X2672">
        <v>171.99999999999994</v>
      </c>
      <c r="Y2672">
        <v>69.900000000000006</v>
      </c>
      <c r="Z2672">
        <v>69.900000000000006</v>
      </c>
      <c r="AA2672">
        <v>0</v>
      </c>
      <c r="AB2672" t="s">
        <v>363</v>
      </c>
      <c r="AF2672" t="s">
        <v>2704</v>
      </c>
      <c r="AG2672" t="s">
        <v>2704</v>
      </c>
      <c r="AH2672" t="s">
        <v>758</v>
      </c>
      <c r="AI2672">
        <v>99999</v>
      </c>
      <c r="AJ2672">
        <v>99999</v>
      </c>
      <c r="AK2672">
        <v>699</v>
      </c>
      <c r="AL2672" t="b">
        <v>1</v>
      </c>
      <c r="AM2672" t="b">
        <v>1</v>
      </c>
      <c r="AN2672" t="b">
        <v>1</v>
      </c>
      <c r="AO2672">
        <v>99999</v>
      </c>
      <c r="AP2672" t="s">
        <v>64</v>
      </c>
      <c r="AR2672" t="b">
        <v>0</v>
      </c>
      <c r="AS2672">
        <v>12</v>
      </c>
      <c r="AT2672" t="s">
        <v>327</v>
      </c>
      <c r="AV2672" t="s">
        <v>2743</v>
      </c>
    </row>
    <row r="2673" spans="1:48" x14ac:dyDescent="0.25">
      <c r="A2673" t="s">
        <v>3323</v>
      </c>
      <c r="B2673" t="s">
        <v>302</v>
      </c>
      <c r="C2673" t="s">
        <v>62</v>
      </c>
      <c r="D2673">
        <v>99999</v>
      </c>
      <c r="F2673" s="109">
        <v>7000</v>
      </c>
      <c r="G2673" t="b">
        <v>1</v>
      </c>
      <c r="H2673" t="s">
        <v>343</v>
      </c>
      <c r="K2673" t="s">
        <v>364</v>
      </c>
      <c r="L2673" t="s">
        <v>303</v>
      </c>
      <c r="M2673" t="s">
        <v>323</v>
      </c>
      <c r="N2673" t="s">
        <v>63</v>
      </c>
      <c r="O2673" s="110">
        <v>29.9</v>
      </c>
      <c r="R2673" s="110">
        <v>324.89</v>
      </c>
      <c r="S2673" s="110">
        <v>69.900000000000006</v>
      </c>
      <c r="T2673" s="110">
        <v>0</v>
      </c>
      <c r="U2673" s="110">
        <v>42.99</v>
      </c>
      <c r="X2673">
        <v>162.09999999999997</v>
      </c>
      <c r="Y2673">
        <v>49.9</v>
      </c>
      <c r="Z2673">
        <v>49.9</v>
      </c>
      <c r="AA2673">
        <v>0</v>
      </c>
      <c r="AB2673" t="s">
        <v>363</v>
      </c>
      <c r="AF2673" t="s">
        <v>785</v>
      </c>
      <c r="AG2673" t="s">
        <v>785</v>
      </c>
      <c r="AH2673" t="s">
        <v>758</v>
      </c>
      <c r="AI2673">
        <v>99999</v>
      </c>
      <c r="AJ2673">
        <v>99999</v>
      </c>
      <c r="AK2673">
        <v>699</v>
      </c>
      <c r="AL2673" t="b">
        <v>1</v>
      </c>
      <c r="AM2673" t="b">
        <v>1</v>
      </c>
      <c r="AN2673" t="b">
        <v>1</v>
      </c>
      <c r="AO2673">
        <v>99999</v>
      </c>
      <c r="AP2673" t="s">
        <v>64</v>
      </c>
      <c r="AR2673" t="b">
        <v>0</v>
      </c>
      <c r="AS2673">
        <v>12</v>
      </c>
      <c r="AT2673" t="s">
        <v>327</v>
      </c>
      <c r="AV2673" t="s">
        <v>798</v>
      </c>
    </row>
    <row r="2674" spans="1:48" x14ac:dyDescent="0.25">
      <c r="A2674" t="s">
        <v>3323</v>
      </c>
      <c r="B2674" t="s">
        <v>302</v>
      </c>
      <c r="C2674" t="s">
        <v>62</v>
      </c>
      <c r="D2674">
        <v>99999</v>
      </c>
      <c r="F2674" s="109">
        <v>7000</v>
      </c>
      <c r="G2674" t="b">
        <v>1</v>
      </c>
      <c r="H2674" t="s">
        <v>343</v>
      </c>
      <c r="K2674" t="s">
        <v>364</v>
      </c>
      <c r="L2674" t="s">
        <v>303</v>
      </c>
      <c r="M2674" t="s">
        <v>323</v>
      </c>
      <c r="N2674" t="s">
        <v>63</v>
      </c>
      <c r="O2674" s="110">
        <v>29.9</v>
      </c>
      <c r="R2674" s="110">
        <v>339.89</v>
      </c>
      <c r="S2674" s="110">
        <v>69.900000000000006</v>
      </c>
      <c r="T2674" s="110">
        <v>0</v>
      </c>
      <c r="U2674" s="110">
        <v>42.99</v>
      </c>
      <c r="X2674">
        <v>177.09999999999997</v>
      </c>
      <c r="Y2674">
        <v>49.9</v>
      </c>
      <c r="Z2674">
        <v>49.9</v>
      </c>
      <c r="AA2674">
        <v>0</v>
      </c>
      <c r="AB2674" t="s">
        <v>363</v>
      </c>
      <c r="AF2674" t="s">
        <v>919</v>
      </c>
      <c r="AG2674" t="s">
        <v>919</v>
      </c>
      <c r="AH2674" t="s">
        <v>758</v>
      </c>
      <c r="AI2674">
        <v>99999</v>
      </c>
      <c r="AJ2674">
        <v>99999</v>
      </c>
      <c r="AK2674">
        <v>699</v>
      </c>
      <c r="AL2674" t="b">
        <v>1</v>
      </c>
      <c r="AM2674" t="b">
        <v>1</v>
      </c>
      <c r="AN2674" t="b">
        <v>1</v>
      </c>
      <c r="AO2674">
        <v>99999</v>
      </c>
      <c r="AP2674" t="s">
        <v>64</v>
      </c>
      <c r="AR2674" t="b">
        <v>0</v>
      </c>
      <c r="AS2674">
        <v>12</v>
      </c>
      <c r="AT2674" t="s">
        <v>327</v>
      </c>
      <c r="AV2674" t="s">
        <v>932</v>
      </c>
    </row>
    <row r="2675" spans="1:48" x14ac:dyDescent="0.25">
      <c r="A2675" t="s">
        <v>3323</v>
      </c>
      <c r="B2675" t="s">
        <v>302</v>
      </c>
      <c r="C2675" t="s">
        <v>62</v>
      </c>
      <c r="D2675">
        <v>99999</v>
      </c>
      <c r="F2675" s="109">
        <v>7000</v>
      </c>
      <c r="G2675" t="b">
        <v>1</v>
      </c>
      <c r="H2675" t="s">
        <v>343</v>
      </c>
      <c r="K2675" t="s">
        <v>364</v>
      </c>
      <c r="L2675" t="s">
        <v>303</v>
      </c>
      <c r="M2675" t="s">
        <v>323</v>
      </c>
      <c r="N2675" t="s">
        <v>63</v>
      </c>
      <c r="O2675" s="110">
        <v>29.9</v>
      </c>
      <c r="R2675" s="110">
        <v>354.89</v>
      </c>
      <c r="S2675" s="110">
        <v>70</v>
      </c>
      <c r="T2675" s="110">
        <v>0</v>
      </c>
      <c r="U2675" s="110">
        <v>42.99</v>
      </c>
      <c r="X2675">
        <v>191.99999999999997</v>
      </c>
      <c r="Y2675">
        <v>49.9</v>
      </c>
      <c r="Z2675">
        <v>49.9</v>
      </c>
      <c r="AA2675">
        <v>0</v>
      </c>
      <c r="AB2675" t="s">
        <v>363</v>
      </c>
      <c r="AF2675" t="s">
        <v>1067</v>
      </c>
      <c r="AG2675" t="s">
        <v>1067</v>
      </c>
      <c r="AH2675" t="s">
        <v>758</v>
      </c>
      <c r="AI2675">
        <v>99999</v>
      </c>
      <c r="AJ2675">
        <v>99999</v>
      </c>
      <c r="AK2675">
        <v>699</v>
      </c>
      <c r="AL2675" t="b">
        <v>1</v>
      </c>
      <c r="AM2675" t="b">
        <v>1</v>
      </c>
      <c r="AN2675" t="b">
        <v>1</v>
      </c>
      <c r="AO2675">
        <v>99999</v>
      </c>
      <c r="AP2675" t="s">
        <v>64</v>
      </c>
      <c r="AR2675" t="b">
        <v>0</v>
      </c>
      <c r="AS2675">
        <v>12</v>
      </c>
      <c r="AT2675" t="s">
        <v>327</v>
      </c>
      <c r="AV2675" t="s">
        <v>1080</v>
      </c>
    </row>
    <row r="2676" spans="1:48" x14ac:dyDescent="0.25">
      <c r="A2676" t="s">
        <v>3323</v>
      </c>
      <c r="B2676" t="s">
        <v>302</v>
      </c>
      <c r="C2676" t="s">
        <v>62</v>
      </c>
      <c r="D2676">
        <v>99999</v>
      </c>
      <c r="F2676" s="109">
        <v>7000</v>
      </c>
      <c r="G2676" t="b">
        <v>1</v>
      </c>
      <c r="H2676" t="s">
        <v>343</v>
      </c>
      <c r="K2676" t="s">
        <v>364</v>
      </c>
      <c r="L2676" t="s">
        <v>303</v>
      </c>
      <c r="M2676" t="s">
        <v>323</v>
      </c>
      <c r="N2676" t="s">
        <v>63</v>
      </c>
      <c r="O2676" s="110">
        <v>39.9</v>
      </c>
      <c r="R2676" s="110">
        <v>324.89</v>
      </c>
      <c r="S2676" s="110">
        <v>69.900000000000006</v>
      </c>
      <c r="T2676" s="110">
        <v>0</v>
      </c>
      <c r="U2676" s="110">
        <v>42.99</v>
      </c>
      <c r="X2676">
        <v>162.09999999999997</v>
      </c>
      <c r="Y2676">
        <v>49.9</v>
      </c>
      <c r="Z2676">
        <v>49.9</v>
      </c>
      <c r="AA2676">
        <v>0</v>
      </c>
      <c r="AB2676" t="s">
        <v>363</v>
      </c>
      <c r="AF2676" t="s">
        <v>852</v>
      </c>
      <c r="AG2676" t="s">
        <v>852</v>
      </c>
      <c r="AH2676" t="s">
        <v>758</v>
      </c>
      <c r="AI2676">
        <v>99999</v>
      </c>
      <c r="AJ2676">
        <v>99999</v>
      </c>
      <c r="AK2676">
        <v>699</v>
      </c>
      <c r="AL2676" t="b">
        <v>1</v>
      </c>
      <c r="AM2676" t="b">
        <v>1</v>
      </c>
      <c r="AN2676" t="b">
        <v>1</v>
      </c>
      <c r="AO2676">
        <v>99999</v>
      </c>
      <c r="AP2676" t="s">
        <v>64</v>
      </c>
      <c r="AR2676" t="b">
        <v>0</v>
      </c>
      <c r="AS2676">
        <v>12</v>
      </c>
      <c r="AT2676" t="s">
        <v>327</v>
      </c>
      <c r="AV2676" t="s">
        <v>865</v>
      </c>
    </row>
    <row r="2677" spans="1:48" x14ac:dyDescent="0.25">
      <c r="A2677" t="s">
        <v>3323</v>
      </c>
      <c r="B2677" t="s">
        <v>302</v>
      </c>
      <c r="C2677" t="s">
        <v>62</v>
      </c>
      <c r="D2677">
        <v>99999</v>
      </c>
      <c r="F2677" s="109">
        <v>7000</v>
      </c>
      <c r="G2677" t="b">
        <v>1</v>
      </c>
      <c r="H2677" t="s">
        <v>343</v>
      </c>
      <c r="K2677" t="s">
        <v>364</v>
      </c>
      <c r="L2677" t="s">
        <v>303</v>
      </c>
      <c r="M2677" t="s">
        <v>323</v>
      </c>
      <c r="N2677" t="s">
        <v>63</v>
      </c>
      <c r="O2677" s="110">
        <v>39.9</v>
      </c>
      <c r="R2677" s="110">
        <v>339.89</v>
      </c>
      <c r="S2677" s="110">
        <v>69.900000000000006</v>
      </c>
      <c r="T2677" s="110">
        <v>0</v>
      </c>
      <c r="U2677" s="110">
        <v>42.99</v>
      </c>
      <c r="X2677">
        <v>177.09999999999997</v>
      </c>
      <c r="Y2677">
        <v>49.9</v>
      </c>
      <c r="Z2677">
        <v>49.9</v>
      </c>
      <c r="AA2677">
        <v>0</v>
      </c>
      <c r="AB2677" t="s">
        <v>363</v>
      </c>
      <c r="AF2677" t="s">
        <v>986</v>
      </c>
      <c r="AG2677" t="s">
        <v>986</v>
      </c>
      <c r="AH2677" t="s">
        <v>758</v>
      </c>
      <c r="AI2677">
        <v>99999</v>
      </c>
      <c r="AJ2677">
        <v>99999</v>
      </c>
      <c r="AK2677">
        <v>699</v>
      </c>
      <c r="AL2677" t="b">
        <v>1</v>
      </c>
      <c r="AM2677" t="b">
        <v>1</v>
      </c>
      <c r="AN2677" t="b">
        <v>1</v>
      </c>
      <c r="AO2677">
        <v>99999</v>
      </c>
      <c r="AP2677" t="s">
        <v>64</v>
      </c>
      <c r="AR2677" t="b">
        <v>0</v>
      </c>
      <c r="AS2677">
        <v>12</v>
      </c>
      <c r="AT2677" t="s">
        <v>327</v>
      </c>
      <c r="AV2677" t="s">
        <v>999</v>
      </c>
    </row>
    <row r="2678" spans="1:48" x14ac:dyDescent="0.25">
      <c r="A2678" t="s">
        <v>3323</v>
      </c>
      <c r="B2678" t="s">
        <v>302</v>
      </c>
      <c r="C2678" t="s">
        <v>62</v>
      </c>
      <c r="D2678">
        <v>99999</v>
      </c>
      <c r="F2678" s="109">
        <v>7000</v>
      </c>
      <c r="G2678" t="b">
        <v>1</v>
      </c>
      <c r="H2678" t="s">
        <v>343</v>
      </c>
      <c r="K2678" t="s">
        <v>364</v>
      </c>
      <c r="L2678" t="s">
        <v>303</v>
      </c>
      <c r="M2678" t="s">
        <v>323</v>
      </c>
      <c r="N2678" t="s">
        <v>63</v>
      </c>
      <c r="O2678" s="110">
        <v>39.9</v>
      </c>
      <c r="R2678" s="110">
        <v>354.89</v>
      </c>
      <c r="S2678" s="110">
        <v>70</v>
      </c>
      <c r="T2678" s="110">
        <v>0</v>
      </c>
      <c r="U2678" s="110">
        <v>42.99</v>
      </c>
      <c r="X2678">
        <v>191.99999999999997</v>
      </c>
      <c r="Y2678">
        <v>49.9</v>
      </c>
      <c r="Z2678">
        <v>49.9</v>
      </c>
      <c r="AA2678">
        <v>0</v>
      </c>
      <c r="AB2678" t="s">
        <v>363</v>
      </c>
      <c r="AF2678" t="s">
        <v>1134</v>
      </c>
      <c r="AG2678" t="s">
        <v>1134</v>
      </c>
      <c r="AH2678" t="s">
        <v>758</v>
      </c>
      <c r="AI2678">
        <v>99999</v>
      </c>
      <c r="AJ2678">
        <v>99999</v>
      </c>
      <c r="AK2678">
        <v>699</v>
      </c>
      <c r="AL2678" t="b">
        <v>1</v>
      </c>
      <c r="AM2678" t="b">
        <v>1</v>
      </c>
      <c r="AN2678" t="b">
        <v>1</v>
      </c>
      <c r="AO2678">
        <v>99999</v>
      </c>
      <c r="AP2678" t="s">
        <v>64</v>
      </c>
      <c r="AR2678" t="b">
        <v>0</v>
      </c>
      <c r="AS2678">
        <v>12</v>
      </c>
      <c r="AT2678" t="s">
        <v>327</v>
      </c>
      <c r="AV2678" t="s">
        <v>1147</v>
      </c>
    </row>
    <row r="2679" spans="1:48" x14ac:dyDescent="0.25">
      <c r="A2679" t="s">
        <v>3323</v>
      </c>
      <c r="B2679" t="s">
        <v>302</v>
      </c>
      <c r="C2679" t="s">
        <v>62</v>
      </c>
      <c r="D2679">
        <v>99999</v>
      </c>
      <c r="F2679" s="109">
        <v>7000</v>
      </c>
      <c r="G2679" t="b">
        <v>1</v>
      </c>
      <c r="H2679" t="s">
        <v>343</v>
      </c>
      <c r="K2679" t="s">
        <v>364</v>
      </c>
      <c r="L2679" t="s">
        <v>303</v>
      </c>
      <c r="M2679" t="s">
        <v>323</v>
      </c>
      <c r="N2679" t="s">
        <v>63</v>
      </c>
      <c r="O2679" s="110">
        <v>49.9</v>
      </c>
      <c r="R2679" s="110">
        <v>401.88999999999993</v>
      </c>
      <c r="S2679" s="110">
        <v>130</v>
      </c>
      <c r="T2679" s="110">
        <v>0</v>
      </c>
      <c r="U2679" s="110">
        <v>34.99</v>
      </c>
      <c r="X2679">
        <v>186.99999999999994</v>
      </c>
      <c r="Y2679">
        <v>49.9</v>
      </c>
      <c r="Z2679">
        <v>49.9</v>
      </c>
      <c r="AA2679">
        <v>0</v>
      </c>
      <c r="AB2679" t="s">
        <v>363</v>
      </c>
      <c r="AF2679" t="s">
        <v>2494</v>
      </c>
      <c r="AG2679" t="s">
        <v>2494</v>
      </c>
      <c r="AH2679" t="s">
        <v>758</v>
      </c>
      <c r="AI2679">
        <v>99999</v>
      </c>
      <c r="AJ2679">
        <v>99999</v>
      </c>
      <c r="AK2679">
        <v>699</v>
      </c>
      <c r="AL2679" t="b">
        <v>1</v>
      </c>
      <c r="AM2679" t="b">
        <v>1</v>
      </c>
      <c r="AN2679" t="b">
        <v>1</v>
      </c>
      <c r="AO2679">
        <v>99999</v>
      </c>
      <c r="AP2679" t="s">
        <v>64</v>
      </c>
      <c r="AR2679" t="b">
        <v>0</v>
      </c>
      <c r="AS2679">
        <v>12</v>
      </c>
      <c r="AT2679" t="s">
        <v>327</v>
      </c>
      <c r="AV2679" t="s">
        <v>2507</v>
      </c>
    </row>
    <row r="2680" spans="1:48" x14ac:dyDescent="0.25">
      <c r="A2680" t="s">
        <v>3323</v>
      </c>
      <c r="B2680" t="s">
        <v>302</v>
      </c>
      <c r="C2680" t="s">
        <v>62</v>
      </c>
      <c r="D2680">
        <v>99999</v>
      </c>
      <c r="F2680" s="109">
        <v>7000</v>
      </c>
      <c r="G2680" t="b">
        <v>1</v>
      </c>
      <c r="H2680" t="s">
        <v>343</v>
      </c>
      <c r="K2680" t="s">
        <v>364</v>
      </c>
      <c r="L2680" t="s">
        <v>303</v>
      </c>
      <c r="M2680" t="s">
        <v>323</v>
      </c>
      <c r="N2680" t="s">
        <v>63</v>
      </c>
      <c r="O2680" s="110">
        <v>49.9</v>
      </c>
      <c r="R2680" s="110">
        <v>387.38999999999993</v>
      </c>
      <c r="S2680" s="110">
        <v>130</v>
      </c>
      <c r="T2680" s="110">
        <v>0</v>
      </c>
      <c r="U2680" s="110">
        <v>42.99</v>
      </c>
      <c r="X2680">
        <v>164.49999999999994</v>
      </c>
      <c r="Y2680">
        <v>49.9</v>
      </c>
      <c r="Z2680">
        <v>49.9</v>
      </c>
      <c r="AA2680">
        <v>0</v>
      </c>
      <c r="AB2680" t="s">
        <v>363</v>
      </c>
      <c r="AF2680" t="s">
        <v>2568</v>
      </c>
      <c r="AG2680" t="s">
        <v>2568</v>
      </c>
      <c r="AH2680" t="s">
        <v>758</v>
      </c>
      <c r="AI2680">
        <v>99999</v>
      </c>
      <c r="AJ2680">
        <v>99999</v>
      </c>
      <c r="AK2680">
        <v>699</v>
      </c>
      <c r="AL2680" t="b">
        <v>1</v>
      </c>
      <c r="AM2680" t="b">
        <v>1</v>
      </c>
      <c r="AN2680" t="b">
        <v>1</v>
      </c>
      <c r="AO2680">
        <v>99999</v>
      </c>
      <c r="AP2680" t="s">
        <v>64</v>
      </c>
      <c r="AR2680" t="b">
        <v>0</v>
      </c>
      <c r="AS2680">
        <v>12</v>
      </c>
      <c r="AT2680" t="s">
        <v>327</v>
      </c>
      <c r="AV2680" t="s">
        <v>2581</v>
      </c>
    </row>
    <row r="2681" spans="1:48" x14ac:dyDescent="0.25">
      <c r="A2681" t="s">
        <v>3323</v>
      </c>
      <c r="B2681" t="s">
        <v>302</v>
      </c>
      <c r="C2681" t="s">
        <v>62</v>
      </c>
      <c r="D2681">
        <v>99999</v>
      </c>
      <c r="F2681" s="109">
        <v>7000</v>
      </c>
      <c r="G2681" t="b">
        <v>1</v>
      </c>
      <c r="H2681" t="s">
        <v>343</v>
      </c>
      <c r="K2681" t="s">
        <v>364</v>
      </c>
      <c r="L2681" t="s">
        <v>303</v>
      </c>
      <c r="M2681" t="s">
        <v>323</v>
      </c>
      <c r="N2681" t="s">
        <v>63</v>
      </c>
      <c r="O2681" s="110">
        <v>49.9</v>
      </c>
      <c r="R2681" s="110">
        <v>394.88999999999993</v>
      </c>
      <c r="S2681" s="110">
        <v>130</v>
      </c>
      <c r="T2681" s="110">
        <v>0</v>
      </c>
      <c r="U2681" s="110">
        <v>42.99</v>
      </c>
      <c r="X2681">
        <v>171.99999999999994</v>
      </c>
      <c r="Y2681">
        <v>49.9</v>
      </c>
      <c r="Z2681">
        <v>49.9</v>
      </c>
      <c r="AA2681">
        <v>0</v>
      </c>
      <c r="AB2681" t="s">
        <v>363</v>
      </c>
      <c r="AF2681" t="s">
        <v>2704</v>
      </c>
      <c r="AG2681" t="s">
        <v>2704</v>
      </c>
      <c r="AH2681" t="s">
        <v>758</v>
      </c>
      <c r="AI2681">
        <v>99999</v>
      </c>
      <c r="AJ2681">
        <v>99999</v>
      </c>
      <c r="AK2681">
        <v>699</v>
      </c>
      <c r="AL2681" t="b">
        <v>1</v>
      </c>
      <c r="AM2681" t="b">
        <v>1</v>
      </c>
      <c r="AN2681" t="b">
        <v>1</v>
      </c>
      <c r="AO2681">
        <v>99999</v>
      </c>
      <c r="AP2681" t="s">
        <v>64</v>
      </c>
      <c r="AR2681" t="b">
        <v>0</v>
      </c>
      <c r="AS2681">
        <v>12</v>
      </c>
      <c r="AT2681" t="s">
        <v>327</v>
      </c>
      <c r="AV2681" t="s">
        <v>2717</v>
      </c>
    </row>
    <row r="2682" spans="1:48" x14ac:dyDescent="0.25">
      <c r="A2682" t="s">
        <v>3323</v>
      </c>
      <c r="B2682" t="s">
        <v>302</v>
      </c>
      <c r="C2682" t="s">
        <v>62</v>
      </c>
      <c r="D2682">
        <v>99999</v>
      </c>
      <c r="F2682" s="109">
        <v>7000</v>
      </c>
      <c r="G2682" t="b">
        <v>1</v>
      </c>
      <c r="H2682" t="s">
        <v>343</v>
      </c>
      <c r="K2682" t="s">
        <v>379</v>
      </c>
      <c r="L2682" t="s">
        <v>303</v>
      </c>
      <c r="M2682" t="s">
        <v>323</v>
      </c>
      <c r="N2682" t="s">
        <v>63</v>
      </c>
      <c r="O2682" s="110">
        <v>29.9</v>
      </c>
      <c r="R2682" s="110">
        <v>334.89</v>
      </c>
      <c r="S2682" s="110">
        <v>69.900000000000006</v>
      </c>
      <c r="T2682" s="110">
        <v>0</v>
      </c>
      <c r="U2682" s="110">
        <v>42.99</v>
      </c>
      <c r="X2682">
        <v>162.09999999999997</v>
      </c>
      <c r="Y2682">
        <v>59.9</v>
      </c>
      <c r="Z2682">
        <v>59.9</v>
      </c>
      <c r="AA2682">
        <v>0</v>
      </c>
      <c r="AB2682" t="s">
        <v>363</v>
      </c>
      <c r="AF2682" t="s">
        <v>785</v>
      </c>
      <c r="AG2682" t="s">
        <v>785</v>
      </c>
      <c r="AH2682" t="s">
        <v>758</v>
      </c>
      <c r="AI2682">
        <v>99999</v>
      </c>
      <c r="AJ2682">
        <v>99999</v>
      </c>
      <c r="AK2682">
        <v>699</v>
      </c>
      <c r="AL2682" t="b">
        <v>1</v>
      </c>
      <c r="AM2682" t="b">
        <v>1</v>
      </c>
      <c r="AN2682" t="b">
        <v>1</v>
      </c>
      <c r="AO2682">
        <v>99999</v>
      </c>
      <c r="AP2682" t="s">
        <v>64</v>
      </c>
      <c r="AR2682" t="b">
        <v>0</v>
      </c>
      <c r="AS2682">
        <v>12</v>
      </c>
      <c r="AT2682" t="s">
        <v>327</v>
      </c>
      <c r="AV2682" t="s">
        <v>811</v>
      </c>
    </row>
    <row r="2683" spans="1:48" x14ac:dyDescent="0.25">
      <c r="A2683" t="s">
        <v>3323</v>
      </c>
      <c r="B2683" t="s">
        <v>302</v>
      </c>
      <c r="C2683" t="s">
        <v>62</v>
      </c>
      <c r="D2683">
        <v>99999</v>
      </c>
      <c r="F2683" s="109">
        <v>7000</v>
      </c>
      <c r="G2683" t="b">
        <v>1</v>
      </c>
      <c r="H2683" t="s">
        <v>343</v>
      </c>
      <c r="K2683" t="s">
        <v>379</v>
      </c>
      <c r="L2683" t="s">
        <v>303</v>
      </c>
      <c r="M2683" t="s">
        <v>323</v>
      </c>
      <c r="N2683" t="s">
        <v>63</v>
      </c>
      <c r="O2683" s="110">
        <v>29.9</v>
      </c>
      <c r="R2683" s="110">
        <v>349.89</v>
      </c>
      <c r="S2683" s="110">
        <v>69.900000000000006</v>
      </c>
      <c r="T2683" s="110">
        <v>0</v>
      </c>
      <c r="U2683" s="110">
        <v>42.99</v>
      </c>
      <c r="X2683">
        <v>177.09999999999997</v>
      </c>
      <c r="Y2683">
        <v>59.9</v>
      </c>
      <c r="Z2683">
        <v>59.9</v>
      </c>
      <c r="AA2683">
        <v>0</v>
      </c>
      <c r="AB2683" t="s">
        <v>363</v>
      </c>
      <c r="AF2683" t="s">
        <v>919</v>
      </c>
      <c r="AG2683" t="s">
        <v>919</v>
      </c>
      <c r="AH2683" t="s">
        <v>758</v>
      </c>
      <c r="AI2683">
        <v>99999</v>
      </c>
      <c r="AJ2683">
        <v>99999</v>
      </c>
      <c r="AK2683">
        <v>699</v>
      </c>
      <c r="AL2683" t="b">
        <v>1</v>
      </c>
      <c r="AM2683" t="b">
        <v>1</v>
      </c>
      <c r="AN2683" t="b">
        <v>1</v>
      </c>
      <c r="AO2683">
        <v>99999</v>
      </c>
      <c r="AP2683" t="s">
        <v>64</v>
      </c>
      <c r="AR2683" t="b">
        <v>0</v>
      </c>
      <c r="AS2683">
        <v>12</v>
      </c>
      <c r="AT2683" t="s">
        <v>327</v>
      </c>
      <c r="AV2683" t="s">
        <v>945</v>
      </c>
    </row>
    <row r="2684" spans="1:48" x14ac:dyDescent="0.25">
      <c r="A2684" t="s">
        <v>3323</v>
      </c>
      <c r="B2684" t="s">
        <v>302</v>
      </c>
      <c r="C2684" t="s">
        <v>62</v>
      </c>
      <c r="D2684">
        <v>99999</v>
      </c>
      <c r="F2684" s="109">
        <v>7000</v>
      </c>
      <c r="G2684" t="b">
        <v>1</v>
      </c>
      <c r="H2684" t="s">
        <v>343</v>
      </c>
      <c r="K2684" t="s">
        <v>379</v>
      </c>
      <c r="L2684" t="s">
        <v>303</v>
      </c>
      <c r="M2684" t="s">
        <v>323</v>
      </c>
      <c r="N2684" t="s">
        <v>63</v>
      </c>
      <c r="O2684" s="110">
        <v>29.9</v>
      </c>
      <c r="R2684" s="110">
        <v>364.89</v>
      </c>
      <c r="S2684" s="110">
        <v>70</v>
      </c>
      <c r="T2684" s="110">
        <v>0</v>
      </c>
      <c r="U2684" s="110">
        <v>42.99</v>
      </c>
      <c r="X2684">
        <v>191.99999999999997</v>
      </c>
      <c r="Y2684">
        <v>59.9</v>
      </c>
      <c r="Z2684">
        <v>59.9</v>
      </c>
      <c r="AA2684">
        <v>0</v>
      </c>
      <c r="AB2684" t="s">
        <v>363</v>
      </c>
      <c r="AF2684" t="s">
        <v>1067</v>
      </c>
      <c r="AG2684" t="s">
        <v>1067</v>
      </c>
      <c r="AH2684" t="s">
        <v>758</v>
      </c>
      <c r="AI2684">
        <v>99999</v>
      </c>
      <c r="AJ2684">
        <v>99999</v>
      </c>
      <c r="AK2684">
        <v>699</v>
      </c>
      <c r="AL2684" t="b">
        <v>1</v>
      </c>
      <c r="AM2684" t="b">
        <v>1</v>
      </c>
      <c r="AN2684" t="b">
        <v>1</v>
      </c>
      <c r="AO2684">
        <v>99999</v>
      </c>
      <c r="AP2684" t="s">
        <v>64</v>
      </c>
      <c r="AR2684" t="b">
        <v>0</v>
      </c>
      <c r="AS2684">
        <v>12</v>
      </c>
      <c r="AT2684" t="s">
        <v>327</v>
      </c>
      <c r="AV2684" t="s">
        <v>1093</v>
      </c>
    </row>
    <row r="2685" spans="1:48" x14ac:dyDescent="0.25">
      <c r="A2685" t="s">
        <v>3323</v>
      </c>
      <c r="B2685" t="s">
        <v>302</v>
      </c>
      <c r="C2685" t="s">
        <v>62</v>
      </c>
      <c r="D2685">
        <v>99999</v>
      </c>
      <c r="F2685" s="109">
        <v>7000</v>
      </c>
      <c r="G2685" t="b">
        <v>1</v>
      </c>
      <c r="H2685" t="s">
        <v>343</v>
      </c>
      <c r="K2685" t="s">
        <v>379</v>
      </c>
      <c r="L2685" t="s">
        <v>303</v>
      </c>
      <c r="M2685" t="s">
        <v>323</v>
      </c>
      <c r="N2685" t="s">
        <v>63</v>
      </c>
      <c r="O2685" s="110">
        <v>39.9</v>
      </c>
      <c r="R2685" s="110">
        <v>334.89</v>
      </c>
      <c r="S2685" s="110">
        <v>69.900000000000006</v>
      </c>
      <c r="T2685" s="110">
        <v>0</v>
      </c>
      <c r="U2685" s="110">
        <v>42.99</v>
      </c>
      <c r="X2685">
        <v>162.09999999999997</v>
      </c>
      <c r="Y2685">
        <v>59.9</v>
      </c>
      <c r="Z2685">
        <v>59.9</v>
      </c>
      <c r="AA2685">
        <v>0</v>
      </c>
      <c r="AB2685" t="s">
        <v>363</v>
      </c>
      <c r="AF2685" t="s">
        <v>852</v>
      </c>
      <c r="AG2685" t="s">
        <v>852</v>
      </c>
      <c r="AH2685" t="s">
        <v>758</v>
      </c>
      <c r="AI2685">
        <v>99999</v>
      </c>
      <c r="AJ2685">
        <v>99999</v>
      </c>
      <c r="AK2685">
        <v>699</v>
      </c>
      <c r="AL2685" t="b">
        <v>1</v>
      </c>
      <c r="AM2685" t="b">
        <v>1</v>
      </c>
      <c r="AN2685" t="b">
        <v>1</v>
      </c>
      <c r="AO2685">
        <v>99999</v>
      </c>
      <c r="AP2685" t="s">
        <v>64</v>
      </c>
      <c r="AR2685" t="b">
        <v>0</v>
      </c>
      <c r="AS2685">
        <v>12</v>
      </c>
      <c r="AT2685" t="s">
        <v>327</v>
      </c>
      <c r="AV2685" t="s">
        <v>878</v>
      </c>
    </row>
    <row r="2686" spans="1:48" x14ac:dyDescent="0.25">
      <c r="A2686" t="s">
        <v>3323</v>
      </c>
      <c r="B2686" t="s">
        <v>302</v>
      </c>
      <c r="C2686" t="s">
        <v>62</v>
      </c>
      <c r="D2686">
        <v>99999</v>
      </c>
      <c r="F2686" s="109">
        <v>7000</v>
      </c>
      <c r="G2686" t="b">
        <v>1</v>
      </c>
      <c r="H2686" t="s">
        <v>343</v>
      </c>
      <c r="K2686" t="s">
        <v>379</v>
      </c>
      <c r="L2686" t="s">
        <v>303</v>
      </c>
      <c r="M2686" t="s">
        <v>323</v>
      </c>
      <c r="N2686" t="s">
        <v>63</v>
      </c>
      <c r="O2686" s="110">
        <v>39.9</v>
      </c>
      <c r="R2686" s="110">
        <v>349.89</v>
      </c>
      <c r="S2686" s="110">
        <v>69.900000000000006</v>
      </c>
      <c r="T2686" s="110">
        <v>0</v>
      </c>
      <c r="U2686" s="110">
        <v>42.99</v>
      </c>
      <c r="X2686">
        <v>177.09999999999997</v>
      </c>
      <c r="Y2686">
        <v>59.9</v>
      </c>
      <c r="Z2686">
        <v>59.9</v>
      </c>
      <c r="AA2686">
        <v>0</v>
      </c>
      <c r="AB2686" t="s">
        <v>363</v>
      </c>
      <c r="AF2686" t="s">
        <v>986</v>
      </c>
      <c r="AG2686" t="s">
        <v>986</v>
      </c>
      <c r="AH2686" t="s">
        <v>758</v>
      </c>
      <c r="AI2686">
        <v>99999</v>
      </c>
      <c r="AJ2686">
        <v>99999</v>
      </c>
      <c r="AK2686">
        <v>699</v>
      </c>
      <c r="AL2686" t="b">
        <v>1</v>
      </c>
      <c r="AM2686" t="b">
        <v>1</v>
      </c>
      <c r="AN2686" t="b">
        <v>1</v>
      </c>
      <c r="AO2686">
        <v>99999</v>
      </c>
      <c r="AP2686" t="s">
        <v>64</v>
      </c>
      <c r="AR2686" t="b">
        <v>0</v>
      </c>
      <c r="AS2686">
        <v>12</v>
      </c>
      <c r="AT2686" t="s">
        <v>327</v>
      </c>
      <c r="AV2686" t="s">
        <v>1012</v>
      </c>
    </row>
    <row r="2687" spans="1:48" x14ac:dyDescent="0.25">
      <c r="A2687" t="s">
        <v>3323</v>
      </c>
      <c r="B2687" t="s">
        <v>302</v>
      </c>
      <c r="C2687" t="s">
        <v>62</v>
      </c>
      <c r="D2687">
        <v>99999</v>
      </c>
      <c r="F2687" s="109">
        <v>7000</v>
      </c>
      <c r="G2687" t="b">
        <v>1</v>
      </c>
      <c r="H2687" t="s">
        <v>343</v>
      </c>
      <c r="K2687" t="s">
        <v>379</v>
      </c>
      <c r="L2687" t="s">
        <v>303</v>
      </c>
      <c r="M2687" t="s">
        <v>323</v>
      </c>
      <c r="N2687" t="s">
        <v>63</v>
      </c>
      <c r="O2687" s="110">
        <v>39.9</v>
      </c>
      <c r="R2687" s="110">
        <v>364.89</v>
      </c>
      <c r="S2687" s="110">
        <v>70</v>
      </c>
      <c r="T2687" s="110">
        <v>0</v>
      </c>
      <c r="U2687" s="110">
        <v>42.99</v>
      </c>
      <c r="X2687">
        <v>191.99999999999997</v>
      </c>
      <c r="Y2687">
        <v>59.9</v>
      </c>
      <c r="Z2687">
        <v>59.9</v>
      </c>
      <c r="AA2687">
        <v>0</v>
      </c>
      <c r="AB2687" t="s">
        <v>363</v>
      </c>
      <c r="AF2687" t="s">
        <v>1134</v>
      </c>
      <c r="AG2687" t="s">
        <v>1134</v>
      </c>
      <c r="AH2687" t="s">
        <v>758</v>
      </c>
      <c r="AI2687">
        <v>99999</v>
      </c>
      <c r="AJ2687">
        <v>99999</v>
      </c>
      <c r="AK2687">
        <v>699</v>
      </c>
      <c r="AL2687" t="b">
        <v>1</v>
      </c>
      <c r="AM2687" t="b">
        <v>1</v>
      </c>
      <c r="AN2687" t="b">
        <v>1</v>
      </c>
      <c r="AO2687">
        <v>99999</v>
      </c>
      <c r="AP2687" t="s">
        <v>64</v>
      </c>
      <c r="AR2687" t="b">
        <v>0</v>
      </c>
      <c r="AS2687">
        <v>12</v>
      </c>
      <c r="AT2687" t="s">
        <v>327</v>
      </c>
      <c r="AV2687" t="s">
        <v>1160</v>
      </c>
    </row>
    <row r="2688" spans="1:48" x14ac:dyDescent="0.25">
      <c r="A2688" t="s">
        <v>3323</v>
      </c>
      <c r="B2688" t="s">
        <v>302</v>
      </c>
      <c r="C2688" t="s">
        <v>62</v>
      </c>
      <c r="D2688">
        <v>99999</v>
      </c>
      <c r="F2688" s="109">
        <v>7000</v>
      </c>
      <c r="G2688" t="b">
        <v>1</v>
      </c>
      <c r="H2688" t="s">
        <v>343</v>
      </c>
      <c r="K2688" t="s">
        <v>379</v>
      </c>
      <c r="L2688" t="s">
        <v>303</v>
      </c>
      <c r="M2688" t="s">
        <v>323</v>
      </c>
      <c r="N2688" t="s">
        <v>63</v>
      </c>
      <c r="O2688" s="110">
        <v>49.9</v>
      </c>
      <c r="R2688" s="110">
        <v>411.88999999999993</v>
      </c>
      <c r="S2688" s="110">
        <v>130</v>
      </c>
      <c r="T2688" s="110">
        <v>0</v>
      </c>
      <c r="U2688" s="110">
        <v>34.99</v>
      </c>
      <c r="X2688">
        <v>186.99999999999994</v>
      </c>
      <c r="Y2688">
        <v>59.9</v>
      </c>
      <c r="Z2688">
        <v>59.9</v>
      </c>
      <c r="AA2688">
        <v>0</v>
      </c>
      <c r="AB2688" t="s">
        <v>363</v>
      </c>
      <c r="AF2688" t="s">
        <v>2494</v>
      </c>
      <c r="AG2688" t="s">
        <v>2494</v>
      </c>
      <c r="AH2688" t="s">
        <v>758</v>
      </c>
      <c r="AI2688">
        <v>99999</v>
      </c>
      <c r="AJ2688">
        <v>99999</v>
      </c>
      <c r="AK2688">
        <v>699</v>
      </c>
      <c r="AL2688" t="b">
        <v>1</v>
      </c>
      <c r="AM2688" t="b">
        <v>1</v>
      </c>
      <c r="AN2688" t="b">
        <v>1</v>
      </c>
      <c r="AO2688">
        <v>99999</v>
      </c>
      <c r="AP2688" t="s">
        <v>64</v>
      </c>
      <c r="AR2688" t="b">
        <v>0</v>
      </c>
      <c r="AS2688">
        <v>12</v>
      </c>
      <c r="AT2688" t="s">
        <v>327</v>
      </c>
      <c r="AV2688" t="s">
        <v>2520</v>
      </c>
    </row>
    <row r="2689" spans="1:48" x14ac:dyDescent="0.25">
      <c r="A2689" t="s">
        <v>3323</v>
      </c>
      <c r="B2689" t="s">
        <v>302</v>
      </c>
      <c r="C2689" t="s">
        <v>62</v>
      </c>
      <c r="D2689">
        <v>99999</v>
      </c>
      <c r="F2689" s="109">
        <v>7000</v>
      </c>
      <c r="G2689" t="b">
        <v>1</v>
      </c>
      <c r="H2689" t="s">
        <v>343</v>
      </c>
      <c r="K2689" t="s">
        <v>379</v>
      </c>
      <c r="L2689" t="s">
        <v>303</v>
      </c>
      <c r="M2689" t="s">
        <v>323</v>
      </c>
      <c r="N2689" t="s">
        <v>63</v>
      </c>
      <c r="O2689" s="110">
        <v>49.9</v>
      </c>
      <c r="R2689" s="110">
        <v>397.38999999999993</v>
      </c>
      <c r="S2689" s="110">
        <v>130</v>
      </c>
      <c r="T2689" s="110">
        <v>0</v>
      </c>
      <c r="U2689" s="110">
        <v>42.99</v>
      </c>
      <c r="X2689">
        <v>164.49999999999994</v>
      </c>
      <c r="Y2689">
        <v>59.9</v>
      </c>
      <c r="Z2689">
        <v>59.9</v>
      </c>
      <c r="AA2689">
        <v>0</v>
      </c>
      <c r="AB2689" t="s">
        <v>363</v>
      </c>
      <c r="AF2689" t="s">
        <v>2568</v>
      </c>
      <c r="AG2689" t="s">
        <v>2568</v>
      </c>
      <c r="AH2689" t="s">
        <v>758</v>
      </c>
      <c r="AI2689">
        <v>99999</v>
      </c>
      <c r="AJ2689">
        <v>99999</v>
      </c>
      <c r="AK2689">
        <v>699</v>
      </c>
      <c r="AL2689" t="b">
        <v>1</v>
      </c>
      <c r="AM2689" t="b">
        <v>1</v>
      </c>
      <c r="AN2689" t="b">
        <v>1</v>
      </c>
      <c r="AO2689">
        <v>99999</v>
      </c>
      <c r="AP2689" t="s">
        <v>64</v>
      </c>
      <c r="AR2689" t="b">
        <v>0</v>
      </c>
      <c r="AS2689">
        <v>12</v>
      </c>
      <c r="AT2689" t="s">
        <v>327</v>
      </c>
      <c r="AV2689" t="s">
        <v>2594</v>
      </c>
    </row>
    <row r="2690" spans="1:48" x14ac:dyDescent="0.25">
      <c r="A2690" t="s">
        <v>3323</v>
      </c>
      <c r="B2690" t="s">
        <v>302</v>
      </c>
      <c r="C2690" t="s">
        <v>62</v>
      </c>
      <c r="D2690">
        <v>99999</v>
      </c>
      <c r="F2690" s="109">
        <v>7000</v>
      </c>
      <c r="G2690" t="b">
        <v>1</v>
      </c>
      <c r="H2690" t="s">
        <v>343</v>
      </c>
      <c r="K2690" t="s">
        <v>379</v>
      </c>
      <c r="L2690" t="s">
        <v>303</v>
      </c>
      <c r="M2690" t="s">
        <v>323</v>
      </c>
      <c r="N2690" t="s">
        <v>63</v>
      </c>
      <c r="O2690" s="110">
        <v>49.9</v>
      </c>
      <c r="R2690" s="110">
        <v>404.88999999999993</v>
      </c>
      <c r="S2690" s="110">
        <v>130</v>
      </c>
      <c r="T2690" s="110">
        <v>0</v>
      </c>
      <c r="U2690" s="110">
        <v>42.99</v>
      </c>
      <c r="X2690">
        <v>171.99999999999994</v>
      </c>
      <c r="Y2690">
        <v>59.9</v>
      </c>
      <c r="Z2690">
        <v>59.9</v>
      </c>
      <c r="AA2690">
        <v>0</v>
      </c>
      <c r="AB2690" t="s">
        <v>363</v>
      </c>
      <c r="AF2690" t="s">
        <v>2704</v>
      </c>
      <c r="AG2690" t="s">
        <v>2704</v>
      </c>
      <c r="AH2690" t="s">
        <v>758</v>
      </c>
      <c r="AI2690">
        <v>99999</v>
      </c>
      <c r="AJ2690">
        <v>99999</v>
      </c>
      <c r="AK2690">
        <v>699</v>
      </c>
      <c r="AL2690" t="b">
        <v>1</v>
      </c>
      <c r="AM2690" t="b">
        <v>1</v>
      </c>
      <c r="AN2690" t="b">
        <v>1</v>
      </c>
      <c r="AO2690">
        <v>99999</v>
      </c>
      <c r="AP2690" t="s">
        <v>64</v>
      </c>
      <c r="AR2690" t="b">
        <v>0</v>
      </c>
      <c r="AS2690">
        <v>12</v>
      </c>
      <c r="AT2690" t="s">
        <v>327</v>
      </c>
      <c r="AV2690" t="s">
        <v>2730</v>
      </c>
    </row>
    <row r="2691" spans="1:48" x14ac:dyDescent="0.25">
      <c r="A2691" t="s">
        <v>3323</v>
      </c>
      <c r="B2691" t="s">
        <v>302</v>
      </c>
      <c r="C2691" t="s">
        <v>62</v>
      </c>
      <c r="D2691">
        <v>99999</v>
      </c>
      <c r="F2691" s="109">
        <v>7000</v>
      </c>
      <c r="G2691" t="b">
        <v>1</v>
      </c>
      <c r="H2691" t="s">
        <v>343</v>
      </c>
      <c r="K2691" t="s">
        <v>61</v>
      </c>
      <c r="L2691" t="s">
        <v>303</v>
      </c>
      <c r="M2691" t="s">
        <v>323</v>
      </c>
      <c r="N2691" t="s">
        <v>63</v>
      </c>
      <c r="O2691">
        <v>29.9</v>
      </c>
      <c r="R2691">
        <v>319.89</v>
      </c>
      <c r="S2691">
        <v>69.900000000000006</v>
      </c>
      <c r="T2691" s="110">
        <v>0</v>
      </c>
      <c r="U2691">
        <v>42.99</v>
      </c>
      <c r="X2691">
        <v>162.09999999999997</v>
      </c>
      <c r="Y2691">
        <v>44.9</v>
      </c>
      <c r="Z2691">
        <v>44.9</v>
      </c>
      <c r="AA2691">
        <v>0</v>
      </c>
      <c r="AB2691" t="s">
        <v>324</v>
      </c>
      <c r="AF2691" t="s">
        <v>757</v>
      </c>
      <c r="AG2691" t="s">
        <v>757</v>
      </c>
      <c r="AH2691" t="s">
        <v>758</v>
      </c>
      <c r="AI2691">
        <v>99999</v>
      </c>
      <c r="AJ2691">
        <v>99999</v>
      </c>
      <c r="AK2691">
        <v>699</v>
      </c>
      <c r="AL2691" t="b">
        <v>1</v>
      </c>
      <c r="AM2691" t="b">
        <v>1</v>
      </c>
      <c r="AN2691" t="b">
        <v>1</v>
      </c>
      <c r="AO2691">
        <v>99999</v>
      </c>
      <c r="AP2691" t="s">
        <v>64</v>
      </c>
      <c r="AR2691" t="b">
        <v>0</v>
      </c>
      <c r="AS2691">
        <v>12</v>
      </c>
      <c r="AT2691" t="s">
        <v>327</v>
      </c>
      <c r="AV2691" t="s">
        <v>771</v>
      </c>
    </row>
    <row r="2692" spans="1:48" x14ac:dyDescent="0.25">
      <c r="A2692" t="s">
        <v>3323</v>
      </c>
      <c r="B2692" t="s">
        <v>302</v>
      </c>
      <c r="C2692" t="s">
        <v>62</v>
      </c>
      <c r="D2692">
        <v>99999</v>
      </c>
      <c r="F2692" s="109">
        <v>7000</v>
      </c>
      <c r="G2692" t="b">
        <v>1</v>
      </c>
      <c r="H2692" t="s">
        <v>343</v>
      </c>
      <c r="K2692" t="s">
        <v>61</v>
      </c>
      <c r="L2692" t="s">
        <v>303</v>
      </c>
      <c r="M2692" t="s">
        <v>323</v>
      </c>
      <c r="N2692" t="s">
        <v>63</v>
      </c>
      <c r="O2692" s="110">
        <v>29.9</v>
      </c>
      <c r="R2692" s="110">
        <v>334.89</v>
      </c>
      <c r="S2692" s="110">
        <v>69.900000000000006</v>
      </c>
      <c r="T2692" s="110">
        <v>0</v>
      </c>
      <c r="U2692" s="110">
        <v>42.99</v>
      </c>
      <c r="X2692">
        <v>177.09999999999997</v>
      </c>
      <c r="Y2692">
        <v>44.9</v>
      </c>
      <c r="Z2692">
        <v>44.9</v>
      </c>
      <c r="AA2692">
        <v>0</v>
      </c>
      <c r="AB2692" t="s">
        <v>324</v>
      </c>
      <c r="AF2692" t="s">
        <v>892</v>
      </c>
      <c r="AG2692" t="s">
        <v>892</v>
      </c>
      <c r="AH2692" t="s">
        <v>758</v>
      </c>
      <c r="AI2692">
        <v>99999</v>
      </c>
      <c r="AJ2692">
        <v>99999</v>
      </c>
      <c r="AK2692">
        <v>699</v>
      </c>
      <c r="AL2692" t="b">
        <v>1</v>
      </c>
      <c r="AM2692" t="b">
        <v>1</v>
      </c>
      <c r="AN2692" t="b">
        <v>1</v>
      </c>
      <c r="AO2692">
        <v>99999</v>
      </c>
      <c r="AP2692" t="s">
        <v>64</v>
      </c>
      <c r="AR2692" t="b">
        <v>0</v>
      </c>
      <c r="AS2692">
        <v>12</v>
      </c>
      <c r="AT2692" t="s">
        <v>327</v>
      </c>
      <c r="AV2692" t="s">
        <v>905</v>
      </c>
    </row>
    <row r="2693" spans="1:48" x14ac:dyDescent="0.25">
      <c r="A2693" t="s">
        <v>3323</v>
      </c>
      <c r="B2693" t="s">
        <v>302</v>
      </c>
      <c r="C2693" t="s">
        <v>62</v>
      </c>
      <c r="D2693">
        <v>99999</v>
      </c>
      <c r="F2693" s="109">
        <v>7000</v>
      </c>
      <c r="G2693" t="b">
        <v>1</v>
      </c>
      <c r="H2693" t="s">
        <v>343</v>
      </c>
      <c r="K2693" t="s">
        <v>61</v>
      </c>
      <c r="L2693" t="s">
        <v>303</v>
      </c>
      <c r="M2693" t="s">
        <v>323</v>
      </c>
      <c r="N2693" t="s">
        <v>63</v>
      </c>
      <c r="O2693" s="110">
        <v>29.9</v>
      </c>
      <c r="R2693" s="110">
        <v>349.89</v>
      </c>
      <c r="S2693" s="110">
        <v>70</v>
      </c>
      <c r="T2693" s="110">
        <v>0</v>
      </c>
      <c r="U2693" s="110">
        <v>42.99</v>
      </c>
      <c r="X2693">
        <v>191.99999999999997</v>
      </c>
      <c r="Y2693">
        <v>44.9</v>
      </c>
      <c r="Z2693">
        <v>44.9</v>
      </c>
      <c r="AA2693">
        <v>0</v>
      </c>
      <c r="AB2693" t="s">
        <v>324</v>
      </c>
      <c r="AF2693" t="s">
        <v>1040</v>
      </c>
      <c r="AG2693" t="s">
        <v>1040</v>
      </c>
      <c r="AH2693" t="s">
        <v>758</v>
      </c>
      <c r="AI2693">
        <v>99999</v>
      </c>
      <c r="AJ2693">
        <v>99999</v>
      </c>
      <c r="AK2693">
        <v>699</v>
      </c>
      <c r="AL2693" t="b">
        <v>1</v>
      </c>
      <c r="AM2693" t="b">
        <v>1</v>
      </c>
      <c r="AN2693" t="b">
        <v>1</v>
      </c>
      <c r="AO2693">
        <v>99999</v>
      </c>
      <c r="AP2693" t="s">
        <v>64</v>
      </c>
      <c r="AR2693" t="b">
        <v>0</v>
      </c>
      <c r="AS2693">
        <v>12</v>
      </c>
      <c r="AT2693" t="s">
        <v>327</v>
      </c>
      <c r="AV2693" t="s">
        <v>1053</v>
      </c>
    </row>
    <row r="2694" spans="1:48" x14ac:dyDescent="0.25">
      <c r="A2694" t="s">
        <v>3323</v>
      </c>
      <c r="B2694" t="s">
        <v>302</v>
      </c>
      <c r="C2694" t="s">
        <v>62</v>
      </c>
      <c r="D2694">
        <v>99999</v>
      </c>
      <c r="F2694" s="109">
        <v>7000</v>
      </c>
      <c r="G2694" t="b">
        <v>1</v>
      </c>
      <c r="H2694" t="s">
        <v>343</v>
      </c>
      <c r="K2694" t="s">
        <v>61</v>
      </c>
      <c r="L2694" t="s">
        <v>303</v>
      </c>
      <c r="M2694" t="s">
        <v>323</v>
      </c>
      <c r="N2694" t="s">
        <v>63</v>
      </c>
      <c r="O2694" s="110">
        <v>39.9</v>
      </c>
      <c r="R2694" s="110">
        <v>319.89</v>
      </c>
      <c r="S2694" s="110">
        <v>69.900000000000006</v>
      </c>
      <c r="T2694" s="110">
        <v>0</v>
      </c>
      <c r="U2694" s="110">
        <v>42.99</v>
      </c>
      <c r="X2694">
        <v>162.09999999999997</v>
      </c>
      <c r="Y2694">
        <v>44.9</v>
      </c>
      <c r="Z2694">
        <v>44.9</v>
      </c>
      <c r="AA2694">
        <v>0</v>
      </c>
      <c r="AB2694" t="s">
        <v>324</v>
      </c>
      <c r="AF2694" t="s">
        <v>825</v>
      </c>
      <c r="AG2694" t="s">
        <v>825</v>
      </c>
      <c r="AH2694" t="s">
        <v>758</v>
      </c>
      <c r="AI2694">
        <v>99999</v>
      </c>
      <c r="AJ2694">
        <v>99999</v>
      </c>
      <c r="AK2694">
        <v>699</v>
      </c>
      <c r="AL2694" t="b">
        <v>1</v>
      </c>
      <c r="AM2694" t="b">
        <v>1</v>
      </c>
      <c r="AN2694" t="b">
        <v>1</v>
      </c>
      <c r="AO2694">
        <v>99999</v>
      </c>
      <c r="AP2694" t="s">
        <v>64</v>
      </c>
      <c r="AR2694" t="b">
        <v>0</v>
      </c>
      <c r="AS2694">
        <v>12</v>
      </c>
      <c r="AT2694" t="s">
        <v>327</v>
      </c>
      <c r="AV2694" t="s">
        <v>838</v>
      </c>
    </row>
    <row r="2695" spans="1:48" x14ac:dyDescent="0.25">
      <c r="A2695" t="s">
        <v>3323</v>
      </c>
      <c r="B2695" t="s">
        <v>302</v>
      </c>
      <c r="C2695" t="s">
        <v>62</v>
      </c>
      <c r="D2695">
        <v>99999</v>
      </c>
      <c r="F2695" s="109">
        <v>7000</v>
      </c>
      <c r="G2695" t="b">
        <v>1</v>
      </c>
      <c r="H2695" t="s">
        <v>343</v>
      </c>
      <c r="K2695" t="s">
        <v>61</v>
      </c>
      <c r="L2695" t="s">
        <v>303</v>
      </c>
      <c r="M2695" t="s">
        <v>323</v>
      </c>
      <c r="N2695" t="s">
        <v>63</v>
      </c>
      <c r="O2695" s="110">
        <v>39.9</v>
      </c>
      <c r="R2695" s="110">
        <v>334.89</v>
      </c>
      <c r="S2695" s="110">
        <v>69.900000000000006</v>
      </c>
      <c r="T2695" s="110">
        <v>0</v>
      </c>
      <c r="U2695" s="110">
        <v>42.99</v>
      </c>
      <c r="X2695">
        <v>177.09999999999997</v>
      </c>
      <c r="Y2695">
        <v>44.9</v>
      </c>
      <c r="Z2695">
        <v>44.9</v>
      </c>
      <c r="AA2695">
        <v>0</v>
      </c>
      <c r="AB2695" t="s">
        <v>324</v>
      </c>
      <c r="AF2695" t="s">
        <v>959</v>
      </c>
      <c r="AG2695" t="s">
        <v>959</v>
      </c>
      <c r="AH2695" t="s">
        <v>758</v>
      </c>
      <c r="AI2695">
        <v>99999</v>
      </c>
      <c r="AJ2695">
        <v>99999</v>
      </c>
      <c r="AK2695">
        <v>699</v>
      </c>
      <c r="AL2695" t="b">
        <v>1</v>
      </c>
      <c r="AM2695" t="b">
        <v>1</v>
      </c>
      <c r="AN2695" t="b">
        <v>1</v>
      </c>
      <c r="AO2695">
        <v>99999</v>
      </c>
      <c r="AP2695" t="s">
        <v>64</v>
      </c>
      <c r="AR2695" t="b">
        <v>0</v>
      </c>
      <c r="AS2695">
        <v>12</v>
      </c>
      <c r="AT2695" t="s">
        <v>327</v>
      </c>
      <c r="AV2695" t="s">
        <v>972</v>
      </c>
    </row>
    <row r="2696" spans="1:48" x14ac:dyDescent="0.25">
      <c r="A2696" t="s">
        <v>3323</v>
      </c>
      <c r="B2696" t="s">
        <v>302</v>
      </c>
      <c r="C2696" t="s">
        <v>62</v>
      </c>
      <c r="D2696">
        <v>99999</v>
      </c>
      <c r="F2696" s="109">
        <v>7000</v>
      </c>
      <c r="G2696" t="b">
        <v>1</v>
      </c>
      <c r="H2696" t="s">
        <v>343</v>
      </c>
      <c r="K2696" t="s">
        <v>61</v>
      </c>
      <c r="L2696" t="s">
        <v>303</v>
      </c>
      <c r="M2696" t="s">
        <v>323</v>
      </c>
      <c r="N2696" t="s">
        <v>63</v>
      </c>
      <c r="O2696" s="110">
        <v>39.9</v>
      </c>
      <c r="R2696" s="110">
        <v>349.89</v>
      </c>
      <c r="S2696" s="110">
        <v>70</v>
      </c>
      <c r="T2696" s="110">
        <v>0</v>
      </c>
      <c r="U2696" s="110">
        <v>42.99</v>
      </c>
      <c r="X2696">
        <v>191.99999999999997</v>
      </c>
      <c r="Y2696">
        <v>44.9</v>
      </c>
      <c r="Z2696">
        <v>44.9</v>
      </c>
      <c r="AA2696">
        <v>0</v>
      </c>
      <c r="AB2696" t="s">
        <v>324</v>
      </c>
      <c r="AF2696" t="s">
        <v>1107</v>
      </c>
      <c r="AG2696" t="s">
        <v>1107</v>
      </c>
      <c r="AH2696" t="s">
        <v>758</v>
      </c>
      <c r="AI2696">
        <v>99999</v>
      </c>
      <c r="AJ2696">
        <v>99999</v>
      </c>
      <c r="AK2696">
        <v>699</v>
      </c>
      <c r="AL2696" t="b">
        <v>1</v>
      </c>
      <c r="AM2696" t="b">
        <v>1</v>
      </c>
      <c r="AN2696" t="b">
        <v>1</v>
      </c>
      <c r="AO2696">
        <v>99999</v>
      </c>
      <c r="AP2696" t="s">
        <v>64</v>
      </c>
      <c r="AR2696" t="b">
        <v>0</v>
      </c>
      <c r="AS2696">
        <v>12</v>
      </c>
      <c r="AT2696" t="s">
        <v>327</v>
      </c>
      <c r="AV2696" t="s">
        <v>1120</v>
      </c>
    </row>
    <row r="2697" spans="1:48" x14ac:dyDescent="0.25">
      <c r="A2697" t="s">
        <v>3323</v>
      </c>
      <c r="B2697" t="s">
        <v>302</v>
      </c>
      <c r="C2697" t="s">
        <v>62</v>
      </c>
      <c r="D2697">
        <v>99999</v>
      </c>
      <c r="F2697" s="109">
        <v>7000</v>
      </c>
      <c r="G2697" t="b">
        <v>1</v>
      </c>
      <c r="H2697" t="s">
        <v>343</v>
      </c>
      <c r="K2697" t="s">
        <v>61</v>
      </c>
      <c r="L2697" t="s">
        <v>303</v>
      </c>
      <c r="M2697" t="s">
        <v>323</v>
      </c>
      <c r="N2697" t="s">
        <v>63</v>
      </c>
      <c r="O2697" s="110">
        <v>49.9</v>
      </c>
      <c r="R2697" s="110">
        <v>396.88999999999993</v>
      </c>
      <c r="S2697" s="110">
        <v>130</v>
      </c>
      <c r="T2697" s="110">
        <v>0</v>
      </c>
      <c r="U2697" s="110">
        <v>34.99</v>
      </c>
      <c r="X2697">
        <v>186.99999999999994</v>
      </c>
      <c r="Y2697">
        <v>44.9</v>
      </c>
      <c r="Z2697">
        <v>44.9</v>
      </c>
      <c r="AA2697">
        <v>0</v>
      </c>
      <c r="AB2697" t="s">
        <v>324</v>
      </c>
      <c r="AF2697" t="s">
        <v>2467</v>
      </c>
      <c r="AG2697" t="s">
        <v>2467</v>
      </c>
      <c r="AH2697" t="s">
        <v>758</v>
      </c>
      <c r="AI2697">
        <v>99999</v>
      </c>
      <c r="AJ2697">
        <v>99999</v>
      </c>
      <c r="AK2697">
        <v>699</v>
      </c>
      <c r="AL2697" t="b">
        <v>1</v>
      </c>
      <c r="AM2697" t="b">
        <v>1</v>
      </c>
      <c r="AN2697" t="b">
        <v>1</v>
      </c>
      <c r="AO2697">
        <v>99999</v>
      </c>
      <c r="AP2697" t="s">
        <v>64</v>
      </c>
      <c r="AR2697" t="b">
        <v>0</v>
      </c>
      <c r="AS2697">
        <v>12</v>
      </c>
      <c r="AT2697" t="s">
        <v>327</v>
      </c>
      <c r="AV2697" t="s">
        <v>2480</v>
      </c>
    </row>
    <row r="2698" spans="1:48" x14ac:dyDescent="0.25">
      <c r="A2698" t="s">
        <v>3323</v>
      </c>
      <c r="B2698" t="s">
        <v>302</v>
      </c>
      <c r="C2698" t="s">
        <v>62</v>
      </c>
      <c r="D2698">
        <v>99999</v>
      </c>
      <c r="F2698" s="109">
        <v>7000</v>
      </c>
      <c r="G2698" t="b">
        <v>1</v>
      </c>
      <c r="H2698" t="s">
        <v>343</v>
      </c>
      <c r="K2698" t="s">
        <v>61</v>
      </c>
      <c r="L2698" t="s">
        <v>303</v>
      </c>
      <c r="M2698" t="s">
        <v>323</v>
      </c>
      <c r="N2698" t="s">
        <v>63</v>
      </c>
      <c r="O2698" s="110">
        <v>49.9</v>
      </c>
      <c r="R2698" s="110">
        <v>382.38999999999993</v>
      </c>
      <c r="S2698" s="110">
        <v>130</v>
      </c>
      <c r="T2698" s="110">
        <v>0</v>
      </c>
      <c r="U2698" s="110">
        <v>42.99</v>
      </c>
      <c r="X2698">
        <v>164.49999999999994</v>
      </c>
      <c r="Y2698">
        <v>44.9</v>
      </c>
      <c r="Z2698">
        <v>44.9</v>
      </c>
      <c r="AA2698">
        <v>0</v>
      </c>
      <c r="AB2698" t="s">
        <v>324</v>
      </c>
      <c r="AF2698" t="s">
        <v>2541</v>
      </c>
      <c r="AG2698" t="s">
        <v>2541</v>
      </c>
      <c r="AH2698" t="s">
        <v>758</v>
      </c>
      <c r="AI2698">
        <v>99999</v>
      </c>
      <c r="AJ2698">
        <v>99999</v>
      </c>
      <c r="AK2698">
        <v>699</v>
      </c>
      <c r="AL2698" t="b">
        <v>1</v>
      </c>
      <c r="AM2698" t="b">
        <v>1</v>
      </c>
      <c r="AN2698" t="b">
        <v>1</v>
      </c>
      <c r="AO2698">
        <v>99999</v>
      </c>
      <c r="AP2698" t="s">
        <v>64</v>
      </c>
      <c r="AR2698" t="b">
        <v>0</v>
      </c>
      <c r="AS2698">
        <v>12</v>
      </c>
      <c r="AT2698" t="s">
        <v>327</v>
      </c>
      <c r="AV2698" t="s">
        <v>2554</v>
      </c>
    </row>
    <row r="2699" spans="1:48" x14ac:dyDescent="0.25">
      <c r="A2699" t="s">
        <v>3323</v>
      </c>
      <c r="B2699" t="s">
        <v>302</v>
      </c>
      <c r="C2699" t="s">
        <v>62</v>
      </c>
      <c r="D2699">
        <v>99999</v>
      </c>
      <c r="F2699" s="109">
        <v>7000</v>
      </c>
      <c r="G2699" t="b">
        <v>1</v>
      </c>
      <c r="H2699" t="s">
        <v>343</v>
      </c>
      <c r="K2699" t="s">
        <v>61</v>
      </c>
      <c r="L2699" t="s">
        <v>303</v>
      </c>
      <c r="M2699" t="s">
        <v>323</v>
      </c>
      <c r="N2699" t="s">
        <v>63</v>
      </c>
      <c r="O2699" s="110">
        <v>49.9</v>
      </c>
      <c r="R2699" s="110">
        <v>389.88999999999993</v>
      </c>
      <c r="S2699" s="110">
        <v>130</v>
      </c>
      <c r="T2699" s="110">
        <v>0</v>
      </c>
      <c r="U2699" s="110">
        <v>42.99</v>
      </c>
      <c r="X2699">
        <v>171.99999999999994</v>
      </c>
      <c r="Y2699">
        <v>44.9</v>
      </c>
      <c r="Z2699">
        <v>44.9</v>
      </c>
      <c r="AA2699">
        <v>0</v>
      </c>
      <c r="AB2699" t="s">
        <v>324</v>
      </c>
      <c r="AF2699" t="s">
        <v>2677</v>
      </c>
      <c r="AG2699" t="s">
        <v>2677</v>
      </c>
      <c r="AH2699" t="s">
        <v>758</v>
      </c>
      <c r="AI2699">
        <v>99999</v>
      </c>
      <c r="AJ2699">
        <v>99999</v>
      </c>
      <c r="AK2699">
        <v>699</v>
      </c>
      <c r="AL2699" t="b">
        <v>1</v>
      </c>
      <c r="AM2699" t="b">
        <v>1</v>
      </c>
      <c r="AN2699" t="b">
        <v>1</v>
      </c>
      <c r="AO2699">
        <v>99999</v>
      </c>
      <c r="AP2699" t="s">
        <v>64</v>
      </c>
      <c r="AR2699" t="b">
        <v>0</v>
      </c>
      <c r="AS2699">
        <v>12</v>
      </c>
      <c r="AT2699" t="s">
        <v>327</v>
      </c>
      <c r="AV2699" t="s">
        <v>2690</v>
      </c>
    </row>
    <row r="2700" spans="1:48" x14ac:dyDescent="0.25">
      <c r="A2700" t="s">
        <v>3323</v>
      </c>
      <c r="B2700" t="s">
        <v>302</v>
      </c>
      <c r="C2700" t="s">
        <v>62</v>
      </c>
      <c r="D2700">
        <v>99999</v>
      </c>
      <c r="F2700" s="109">
        <v>7000</v>
      </c>
      <c r="G2700" t="b">
        <v>1</v>
      </c>
      <c r="H2700" t="s">
        <v>339</v>
      </c>
      <c r="K2700" t="s">
        <v>349</v>
      </c>
      <c r="L2700" t="s">
        <v>303</v>
      </c>
      <c r="M2700" t="s">
        <v>323</v>
      </c>
      <c r="N2700" t="s">
        <v>63</v>
      </c>
      <c r="O2700" s="110">
        <v>29.9</v>
      </c>
      <c r="R2700" s="110">
        <v>284.89</v>
      </c>
      <c r="S2700" s="110">
        <v>69.900000000000006</v>
      </c>
      <c r="T2700" s="110">
        <v>0</v>
      </c>
      <c r="U2700" s="110">
        <v>42.99</v>
      </c>
      <c r="X2700">
        <v>127.09999999999997</v>
      </c>
      <c r="Y2700">
        <v>44.9</v>
      </c>
      <c r="Z2700">
        <v>44.9</v>
      </c>
      <c r="AA2700">
        <v>0</v>
      </c>
      <c r="AB2700" t="s">
        <v>324</v>
      </c>
      <c r="AF2700" t="s">
        <v>757</v>
      </c>
      <c r="AG2700" t="s">
        <v>757</v>
      </c>
      <c r="AH2700" t="s">
        <v>758</v>
      </c>
      <c r="AI2700">
        <v>99999</v>
      </c>
      <c r="AJ2700">
        <v>99999</v>
      </c>
      <c r="AK2700">
        <v>699</v>
      </c>
      <c r="AL2700" t="b">
        <v>1</v>
      </c>
      <c r="AM2700" t="b">
        <v>1</v>
      </c>
      <c r="AN2700" t="b">
        <v>1</v>
      </c>
      <c r="AO2700">
        <v>99999</v>
      </c>
      <c r="AP2700" t="s">
        <v>64</v>
      </c>
      <c r="AR2700" t="b">
        <v>0</v>
      </c>
      <c r="AS2700">
        <v>12</v>
      </c>
      <c r="AT2700" t="s">
        <v>327</v>
      </c>
      <c r="AV2700" t="s">
        <v>782</v>
      </c>
    </row>
    <row r="2701" spans="1:48" x14ac:dyDescent="0.25">
      <c r="A2701" t="s">
        <v>3323</v>
      </c>
      <c r="B2701" t="s">
        <v>302</v>
      </c>
      <c r="C2701" t="s">
        <v>62</v>
      </c>
      <c r="D2701">
        <v>99999</v>
      </c>
      <c r="F2701" s="109">
        <v>7000</v>
      </c>
      <c r="G2701" t="b">
        <v>1</v>
      </c>
      <c r="H2701" t="s">
        <v>339</v>
      </c>
      <c r="K2701" t="s">
        <v>349</v>
      </c>
      <c r="L2701" t="s">
        <v>303</v>
      </c>
      <c r="M2701" t="s">
        <v>323</v>
      </c>
      <c r="N2701" t="s">
        <v>63</v>
      </c>
      <c r="O2701" s="110">
        <v>29.9</v>
      </c>
      <c r="R2701" s="110">
        <v>299.89</v>
      </c>
      <c r="S2701" s="110">
        <v>69.900000000000006</v>
      </c>
      <c r="T2701" s="110">
        <v>0</v>
      </c>
      <c r="U2701" s="110">
        <v>42.99</v>
      </c>
      <c r="X2701">
        <v>142.09999999999997</v>
      </c>
      <c r="Y2701">
        <v>44.9</v>
      </c>
      <c r="Z2701">
        <v>44.9</v>
      </c>
      <c r="AA2701">
        <v>0</v>
      </c>
      <c r="AB2701" t="s">
        <v>324</v>
      </c>
      <c r="AF2701" t="s">
        <v>892</v>
      </c>
      <c r="AG2701" t="s">
        <v>892</v>
      </c>
      <c r="AH2701" t="s">
        <v>758</v>
      </c>
      <c r="AI2701">
        <v>99999</v>
      </c>
      <c r="AJ2701">
        <v>99999</v>
      </c>
      <c r="AK2701">
        <v>699</v>
      </c>
      <c r="AL2701" t="b">
        <v>1</v>
      </c>
      <c r="AM2701" t="b">
        <v>1</v>
      </c>
      <c r="AN2701" t="b">
        <v>1</v>
      </c>
      <c r="AO2701">
        <v>99999</v>
      </c>
      <c r="AP2701" t="s">
        <v>64</v>
      </c>
      <c r="AR2701" t="b">
        <v>0</v>
      </c>
      <c r="AS2701">
        <v>12</v>
      </c>
      <c r="AT2701" t="s">
        <v>327</v>
      </c>
      <c r="AV2701" t="s">
        <v>916</v>
      </c>
    </row>
    <row r="2702" spans="1:48" x14ac:dyDescent="0.25">
      <c r="A2702" t="s">
        <v>3323</v>
      </c>
      <c r="B2702" t="s">
        <v>302</v>
      </c>
      <c r="C2702" t="s">
        <v>62</v>
      </c>
      <c r="D2702">
        <v>99999</v>
      </c>
      <c r="F2702" s="109">
        <v>7000</v>
      </c>
      <c r="G2702" t="b">
        <v>1</v>
      </c>
      <c r="H2702" t="s">
        <v>339</v>
      </c>
      <c r="K2702" t="s">
        <v>349</v>
      </c>
      <c r="L2702" t="s">
        <v>303</v>
      </c>
      <c r="M2702" t="s">
        <v>323</v>
      </c>
      <c r="N2702" t="s">
        <v>63</v>
      </c>
      <c r="O2702" s="110">
        <v>29.9</v>
      </c>
      <c r="R2702" s="110">
        <v>314.89</v>
      </c>
      <c r="S2702" s="110">
        <v>70</v>
      </c>
      <c r="T2702" s="110">
        <v>0</v>
      </c>
      <c r="U2702" s="110">
        <v>42.99</v>
      </c>
      <c r="X2702">
        <v>156.99999999999997</v>
      </c>
      <c r="Y2702">
        <v>44.9</v>
      </c>
      <c r="Z2702">
        <v>44.9</v>
      </c>
      <c r="AA2702">
        <v>0</v>
      </c>
      <c r="AB2702" t="s">
        <v>324</v>
      </c>
      <c r="AF2702" t="s">
        <v>1040</v>
      </c>
      <c r="AG2702" t="s">
        <v>1040</v>
      </c>
      <c r="AH2702" t="s">
        <v>758</v>
      </c>
      <c r="AI2702">
        <v>99999</v>
      </c>
      <c r="AJ2702">
        <v>99999</v>
      </c>
      <c r="AK2702">
        <v>699</v>
      </c>
      <c r="AL2702" t="b">
        <v>1</v>
      </c>
      <c r="AM2702" t="b">
        <v>1</v>
      </c>
      <c r="AN2702" t="b">
        <v>1</v>
      </c>
      <c r="AO2702">
        <v>99999</v>
      </c>
      <c r="AP2702" t="s">
        <v>64</v>
      </c>
      <c r="AR2702" t="b">
        <v>0</v>
      </c>
      <c r="AS2702">
        <v>12</v>
      </c>
      <c r="AT2702" t="s">
        <v>327</v>
      </c>
      <c r="AV2702" t="s">
        <v>1064</v>
      </c>
    </row>
    <row r="2703" spans="1:48" x14ac:dyDescent="0.25">
      <c r="A2703" t="s">
        <v>3323</v>
      </c>
      <c r="B2703" t="s">
        <v>302</v>
      </c>
      <c r="C2703" t="s">
        <v>62</v>
      </c>
      <c r="D2703">
        <v>99999</v>
      </c>
      <c r="F2703" s="109">
        <v>7000</v>
      </c>
      <c r="G2703" t="b">
        <v>1</v>
      </c>
      <c r="H2703" t="s">
        <v>339</v>
      </c>
      <c r="K2703" t="s">
        <v>349</v>
      </c>
      <c r="L2703" t="s">
        <v>303</v>
      </c>
      <c r="M2703" t="s">
        <v>323</v>
      </c>
      <c r="N2703" t="s">
        <v>63</v>
      </c>
      <c r="O2703" s="110">
        <v>39.9</v>
      </c>
      <c r="R2703" s="110">
        <v>284.89</v>
      </c>
      <c r="S2703" s="110">
        <v>69.900000000000006</v>
      </c>
      <c r="T2703" s="110">
        <v>0</v>
      </c>
      <c r="U2703" s="110">
        <v>42.99</v>
      </c>
      <c r="X2703">
        <v>127.09999999999997</v>
      </c>
      <c r="Y2703">
        <v>44.9</v>
      </c>
      <c r="Z2703">
        <v>44.9</v>
      </c>
      <c r="AA2703">
        <v>0</v>
      </c>
      <c r="AB2703" t="s">
        <v>324</v>
      </c>
      <c r="AF2703" t="s">
        <v>825</v>
      </c>
      <c r="AG2703" t="s">
        <v>825</v>
      </c>
      <c r="AH2703" t="s">
        <v>758</v>
      </c>
      <c r="AI2703">
        <v>99999</v>
      </c>
      <c r="AJ2703">
        <v>99999</v>
      </c>
      <c r="AK2703">
        <v>699</v>
      </c>
      <c r="AL2703" t="b">
        <v>1</v>
      </c>
      <c r="AM2703" t="b">
        <v>1</v>
      </c>
      <c r="AN2703" t="b">
        <v>1</v>
      </c>
      <c r="AO2703">
        <v>99999</v>
      </c>
      <c r="AP2703" t="s">
        <v>64</v>
      </c>
      <c r="AR2703" t="b">
        <v>0</v>
      </c>
      <c r="AS2703">
        <v>12</v>
      </c>
      <c r="AT2703" t="s">
        <v>327</v>
      </c>
      <c r="AV2703" t="s">
        <v>849</v>
      </c>
    </row>
    <row r="2704" spans="1:48" x14ac:dyDescent="0.25">
      <c r="A2704" t="s">
        <v>3323</v>
      </c>
      <c r="B2704" t="s">
        <v>302</v>
      </c>
      <c r="C2704" t="s">
        <v>62</v>
      </c>
      <c r="D2704">
        <v>99999</v>
      </c>
      <c r="F2704" s="109">
        <v>7000</v>
      </c>
      <c r="G2704" t="b">
        <v>1</v>
      </c>
      <c r="H2704" t="s">
        <v>339</v>
      </c>
      <c r="K2704" t="s">
        <v>349</v>
      </c>
      <c r="L2704" t="s">
        <v>303</v>
      </c>
      <c r="M2704" t="s">
        <v>323</v>
      </c>
      <c r="N2704" t="s">
        <v>63</v>
      </c>
      <c r="O2704" s="110">
        <v>39.9</v>
      </c>
      <c r="R2704" s="110">
        <v>299.89</v>
      </c>
      <c r="S2704" s="110">
        <v>69.900000000000006</v>
      </c>
      <c r="T2704" s="110">
        <v>0</v>
      </c>
      <c r="U2704" s="110">
        <v>42.99</v>
      </c>
      <c r="X2704">
        <v>142.09999999999997</v>
      </c>
      <c r="Y2704">
        <v>44.9</v>
      </c>
      <c r="Z2704">
        <v>44.9</v>
      </c>
      <c r="AA2704">
        <v>0</v>
      </c>
      <c r="AB2704" t="s">
        <v>324</v>
      </c>
      <c r="AF2704" t="s">
        <v>959</v>
      </c>
      <c r="AG2704" t="s">
        <v>959</v>
      </c>
      <c r="AH2704" t="s">
        <v>758</v>
      </c>
      <c r="AI2704">
        <v>99999</v>
      </c>
      <c r="AJ2704">
        <v>99999</v>
      </c>
      <c r="AK2704">
        <v>699</v>
      </c>
      <c r="AL2704" t="b">
        <v>1</v>
      </c>
      <c r="AM2704" t="b">
        <v>1</v>
      </c>
      <c r="AN2704" t="b">
        <v>1</v>
      </c>
      <c r="AO2704">
        <v>99999</v>
      </c>
      <c r="AP2704" t="s">
        <v>64</v>
      </c>
      <c r="AR2704" t="b">
        <v>0</v>
      </c>
      <c r="AS2704">
        <v>12</v>
      </c>
      <c r="AT2704" t="s">
        <v>327</v>
      </c>
      <c r="AV2704" t="s">
        <v>983</v>
      </c>
    </row>
    <row r="2705" spans="1:48" x14ac:dyDescent="0.25">
      <c r="A2705" t="s">
        <v>3323</v>
      </c>
      <c r="B2705" t="s">
        <v>302</v>
      </c>
      <c r="C2705" t="s">
        <v>62</v>
      </c>
      <c r="D2705">
        <v>99999</v>
      </c>
      <c r="F2705" s="109">
        <v>7000</v>
      </c>
      <c r="G2705" t="b">
        <v>1</v>
      </c>
      <c r="H2705" t="s">
        <v>339</v>
      </c>
      <c r="K2705" t="s">
        <v>349</v>
      </c>
      <c r="L2705" t="s">
        <v>303</v>
      </c>
      <c r="M2705" t="s">
        <v>323</v>
      </c>
      <c r="N2705" t="s">
        <v>63</v>
      </c>
      <c r="O2705" s="110">
        <v>39.9</v>
      </c>
      <c r="R2705" s="110">
        <v>314.89</v>
      </c>
      <c r="S2705" s="110">
        <v>70</v>
      </c>
      <c r="T2705" s="110">
        <v>0</v>
      </c>
      <c r="U2705" s="110">
        <v>42.99</v>
      </c>
      <c r="X2705">
        <v>156.99999999999997</v>
      </c>
      <c r="Y2705">
        <v>44.9</v>
      </c>
      <c r="Z2705">
        <v>44.9</v>
      </c>
      <c r="AA2705">
        <v>0</v>
      </c>
      <c r="AB2705" t="s">
        <v>324</v>
      </c>
      <c r="AF2705" t="s">
        <v>1107</v>
      </c>
      <c r="AG2705" t="s">
        <v>1107</v>
      </c>
      <c r="AH2705" t="s">
        <v>758</v>
      </c>
      <c r="AI2705">
        <v>99999</v>
      </c>
      <c r="AJ2705">
        <v>99999</v>
      </c>
      <c r="AK2705">
        <v>699</v>
      </c>
      <c r="AL2705" t="b">
        <v>1</v>
      </c>
      <c r="AM2705" t="b">
        <v>1</v>
      </c>
      <c r="AN2705" t="b">
        <v>1</v>
      </c>
      <c r="AO2705">
        <v>99999</v>
      </c>
      <c r="AP2705" t="s">
        <v>64</v>
      </c>
      <c r="AR2705" t="b">
        <v>0</v>
      </c>
      <c r="AS2705">
        <v>12</v>
      </c>
      <c r="AT2705" t="s">
        <v>327</v>
      </c>
      <c r="AV2705" t="s">
        <v>1131</v>
      </c>
    </row>
    <row r="2706" spans="1:48" x14ac:dyDescent="0.25">
      <c r="A2706" t="s">
        <v>3323</v>
      </c>
      <c r="B2706" t="s">
        <v>302</v>
      </c>
      <c r="C2706" t="s">
        <v>62</v>
      </c>
      <c r="D2706">
        <v>99999</v>
      </c>
      <c r="F2706" s="109">
        <v>7000</v>
      </c>
      <c r="G2706" t="b">
        <v>1</v>
      </c>
      <c r="H2706" t="s">
        <v>339</v>
      </c>
      <c r="K2706" t="s">
        <v>349</v>
      </c>
      <c r="L2706" t="s">
        <v>303</v>
      </c>
      <c r="M2706" t="s">
        <v>323</v>
      </c>
      <c r="N2706" t="s">
        <v>63</v>
      </c>
      <c r="O2706" s="110">
        <v>49.9</v>
      </c>
      <c r="R2706" s="110">
        <v>330.68999999999994</v>
      </c>
      <c r="S2706" s="110">
        <v>130</v>
      </c>
      <c r="T2706" s="110">
        <v>0</v>
      </c>
      <c r="U2706" s="110">
        <v>34.99</v>
      </c>
      <c r="X2706">
        <v>120.79999999999995</v>
      </c>
      <c r="Y2706">
        <v>44.9</v>
      </c>
      <c r="Z2706">
        <v>44.9</v>
      </c>
      <c r="AA2706">
        <v>0</v>
      </c>
      <c r="AB2706" t="s">
        <v>324</v>
      </c>
      <c r="AF2706" t="s">
        <v>2467</v>
      </c>
      <c r="AG2706" t="s">
        <v>2467</v>
      </c>
      <c r="AH2706" t="s">
        <v>758</v>
      </c>
      <c r="AI2706">
        <v>99999</v>
      </c>
      <c r="AJ2706">
        <v>99999</v>
      </c>
      <c r="AK2706">
        <v>699</v>
      </c>
      <c r="AL2706" t="b">
        <v>1</v>
      </c>
      <c r="AM2706" t="b">
        <v>1</v>
      </c>
      <c r="AN2706" t="b">
        <v>1</v>
      </c>
      <c r="AO2706">
        <v>99999</v>
      </c>
      <c r="AP2706" t="s">
        <v>64</v>
      </c>
      <c r="AR2706" t="b">
        <v>0</v>
      </c>
      <c r="AS2706">
        <v>12</v>
      </c>
      <c r="AT2706" t="s">
        <v>327</v>
      </c>
      <c r="AV2706" t="s">
        <v>2491</v>
      </c>
    </row>
    <row r="2707" spans="1:48" x14ac:dyDescent="0.25">
      <c r="A2707" t="s">
        <v>3323</v>
      </c>
      <c r="B2707" t="s">
        <v>302</v>
      </c>
      <c r="C2707" t="s">
        <v>62</v>
      </c>
      <c r="D2707">
        <v>99999</v>
      </c>
      <c r="F2707" s="109">
        <v>7000</v>
      </c>
      <c r="G2707" t="b">
        <v>1</v>
      </c>
      <c r="H2707" t="s">
        <v>339</v>
      </c>
      <c r="K2707" t="s">
        <v>349</v>
      </c>
      <c r="L2707" t="s">
        <v>303</v>
      </c>
      <c r="M2707" t="s">
        <v>323</v>
      </c>
      <c r="N2707" t="s">
        <v>63</v>
      </c>
      <c r="O2707" s="110">
        <v>49.9</v>
      </c>
      <c r="R2707" s="110">
        <v>344.98999999999995</v>
      </c>
      <c r="S2707" s="110">
        <v>130</v>
      </c>
      <c r="T2707" s="110">
        <v>0</v>
      </c>
      <c r="U2707" s="110">
        <v>42.99</v>
      </c>
      <c r="X2707">
        <v>127.09999999999997</v>
      </c>
      <c r="Y2707">
        <v>44.9</v>
      </c>
      <c r="Z2707">
        <v>44.9</v>
      </c>
      <c r="AA2707">
        <v>0</v>
      </c>
      <c r="AB2707" t="s">
        <v>324</v>
      </c>
      <c r="AF2707" t="s">
        <v>2541</v>
      </c>
      <c r="AG2707" t="s">
        <v>2541</v>
      </c>
      <c r="AH2707" t="s">
        <v>758</v>
      </c>
      <c r="AI2707">
        <v>99999</v>
      </c>
      <c r="AJ2707">
        <v>99999</v>
      </c>
      <c r="AK2707">
        <v>699</v>
      </c>
      <c r="AL2707" t="b">
        <v>1</v>
      </c>
      <c r="AM2707" t="b">
        <v>1</v>
      </c>
      <c r="AN2707" t="b">
        <v>1</v>
      </c>
      <c r="AO2707">
        <v>99999</v>
      </c>
      <c r="AP2707" t="s">
        <v>64</v>
      </c>
      <c r="AR2707" t="b">
        <v>0</v>
      </c>
      <c r="AS2707">
        <v>12</v>
      </c>
      <c r="AT2707" t="s">
        <v>327</v>
      </c>
      <c r="AV2707" t="s">
        <v>2565</v>
      </c>
    </row>
    <row r="2708" spans="1:48" x14ac:dyDescent="0.25">
      <c r="A2708" t="s">
        <v>3323</v>
      </c>
      <c r="B2708" t="s">
        <v>302</v>
      </c>
      <c r="C2708" t="s">
        <v>62</v>
      </c>
      <c r="D2708">
        <v>99999</v>
      </c>
      <c r="F2708" s="109">
        <v>7000</v>
      </c>
      <c r="G2708" t="b">
        <v>1</v>
      </c>
      <c r="H2708" t="s">
        <v>339</v>
      </c>
      <c r="K2708" t="s">
        <v>349</v>
      </c>
      <c r="L2708" t="s">
        <v>303</v>
      </c>
      <c r="M2708" t="s">
        <v>323</v>
      </c>
      <c r="N2708" t="s">
        <v>63</v>
      </c>
      <c r="O2708" s="110">
        <v>49.9</v>
      </c>
      <c r="R2708" s="110">
        <v>359.98999999999995</v>
      </c>
      <c r="S2708" s="110">
        <v>130</v>
      </c>
      <c r="T2708" s="110">
        <v>0</v>
      </c>
      <c r="U2708" s="110">
        <v>42.99</v>
      </c>
      <c r="X2708">
        <v>142.09999999999997</v>
      </c>
      <c r="Y2708">
        <v>44.9</v>
      </c>
      <c r="Z2708">
        <v>44.9</v>
      </c>
      <c r="AA2708">
        <v>0</v>
      </c>
      <c r="AB2708" t="s">
        <v>324</v>
      </c>
      <c r="AF2708" t="s">
        <v>2608</v>
      </c>
      <c r="AG2708" t="s">
        <v>2608</v>
      </c>
      <c r="AH2708" t="s">
        <v>758</v>
      </c>
      <c r="AI2708">
        <v>99999</v>
      </c>
      <c r="AJ2708">
        <v>99999</v>
      </c>
      <c r="AK2708">
        <v>699</v>
      </c>
      <c r="AL2708" t="b">
        <v>1</v>
      </c>
      <c r="AM2708" t="b">
        <v>1</v>
      </c>
      <c r="AN2708" t="b">
        <v>1</v>
      </c>
      <c r="AO2708">
        <v>99999</v>
      </c>
      <c r="AP2708" t="s">
        <v>64</v>
      </c>
      <c r="AR2708" t="b">
        <v>0</v>
      </c>
      <c r="AS2708">
        <v>12</v>
      </c>
      <c r="AT2708" t="s">
        <v>327</v>
      </c>
      <c r="AV2708" t="s">
        <v>2631</v>
      </c>
    </row>
    <row r="2709" spans="1:48" x14ac:dyDescent="0.25">
      <c r="A2709" t="s">
        <v>3323</v>
      </c>
      <c r="B2709" t="s">
        <v>302</v>
      </c>
      <c r="C2709" t="s">
        <v>62</v>
      </c>
      <c r="D2709">
        <v>99999</v>
      </c>
      <c r="F2709" s="109">
        <v>7000</v>
      </c>
      <c r="G2709" t="b">
        <v>1</v>
      </c>
      <c r="H2709" t="s">
        <v>339</v>
      </c>
      <c r="K2709" t="s">
        <v>349</v>
      </c>
      <c r="L2709" t="s">
        <v>303</v>
      </c>
      <c r="M2709" t="s">
        <v>323</v>
      </c>
      <c r="N2709" t="s">
        <v>63</v>
      </c>
      <c r="O2709" s="110">
        <v>49.9</v>
      </c>
      <c r="R2709" s="110">
        <v>374.89</v>
      </c>
      <c r="S2709" s="110">
        <v>130</v>
      </c>
      <c r="T2709" s="110">
        <v>0</v>
      </c>
      <c r="U2709" s="110">
        <v>42.99</v>
      </c>
      <c r="X2709">
        <v>156.99999999999997</v>
      </c>
      <c r="Y2709">
        <v>44.9</v>
      </c>
      <c r="Z2709">
        <v>44.9</v>
      </c>
      <c r="AA2709">
        <v>0</v>
      </c>
      <c r="AB2709" t="s">
        <v>324</v>
      </c>
      <c r="AF2709" t="s">
        <v>2677</v>
      </c>
      <c r="AG2709" t="s">
        <v>2677</v>
      </c>
      <c r="AH2709" t="s">
        <v>758</v>
      </c>
      <c r="AI2709">
        <v>99999</v>
      </c>
      <c r="AJ2709">
        <v>99999</v>
      </c>
      <c r="AK2709">
        <v>699</v>
      </c>
      <c r="AL2709" t="b">
        <v>1</v>
      </c>
      <c r="AM2709" t="b">
        <v>1</v>
      </c>
      <c r="AN2709" t="b">
        <v>1</v>
      </c>
      <c r="AO2709">
        <v>99999</v>
      </c>
      <c r="AP2709" t="s">
        <v>64</v>
      </c>
      <c r="AR2709" t="b">
        <v>0</v>
      </c>
      <c r="AS2709">
        <v>12</v>
      </c>
      <c r="AT2709" t="s">
        <v>327</v>
      </c>
      <c r="AV2709" t="s">
        <v>2701</v>
      </c>
    </row>
    <row r="2710" spans="1:48" x14ac:dyDescent="0.25">
      <c r="A2710" t="s">
        <v>3323</v>
      </c>
      <c r="B2710" t="s">
        <v>302</v>
      </c>
      <c r="C2710" t="s">
        <v>62</v>
      </c>
      <c r="D2710">
        <v>99999</v>
      </c>
      <c r="F2710" s="109">
        <v>7000</v>
      </c>
      <c r="G2710" t="b">
        <v>1</v>
      </c>
      <c r="H2710" t="s">
        <v>339</v>
      </c>
      <c r="K2710" t="s">
        <v>393</v>
      </c>
      <c r="L2710" t="s">
        <v>303</v>
      </c>
      <c r="M2710" t="s">
        <v>323</v>
      </c>
      <c r="N2710" t="s">
        <v>63</v>
      </c>
      <c r="O2710" s="110">
        <v>29.9</v>
      </c>
      <c r="R2710" s="110">
        <v>309.89</v>
      </c>
      <c r="S2710" s="110">
        <v>69.900000000000006</v>
      </c>
      <c r="T2710" s="110">
        <v>0</v>
      </c>
      <c r="U2710" s="110">
        <v>42.99</v>
      </c>
      <c r="X2710">
        <v>127.09999999999997</v>
      </c>
      <c r="Y2710">
        <v>69.900000000000006</v>
      </c>
      <c r="Z2710">
        <v>69.900000000000006</v>
      </c>
      <c r="AA2710">
        <v>0</v>
      </c>
      <c r="AB2710" t="s">
        <v>363</v>
      </c>
      <c r="AF2710" t="s">
        <v>785</v>
      </c>
      <c r="AG2710" t="s">
        <v>785</v>
      </c>
      <c r="AH2710" t="s">
        <v>758</v>
      </c>
      <c r="AI2710">
        <v>99999</v>
      </c>
      <c r="AJ2710">
        <v>99999</v>
      </c>
      <c r="AK2710">
        <v>699</v>
      </c>
      <c r="AL2710" t="b">
        <v>1</v>
      </c>
      <c r="AM2710" t="b">
        <v>1</v>
      </c>
      <c r="AN2710" t="b">
        <v>1</v>
      </c>
      <c r="AO2710">
        <v>99999</v>
      </c>
      <c r="AP2710" t="s">
        <v>64</v>
      </c>
      <c r="AR2710" t="b">
        <v>0</v>
      </c>
      <c r="AS2710">
        <v>12</v>
      </c>
      <c r="AT2710" t="s">
        <v>327</v>
      </c>
      <c r="AV2710" t="s">
        <v>822</v>
      </c>
    </row>
    <row r="2711" spans="1:48" x14ac:dyDescent="0.25">
      <c r="A2711" t="s">
        <v>3323</v>
      </c>
      <c r="B2711" t="s">
        <v>302</v>
      </c>
      <c r="C2711" t="s">
        <v>62</v>
      </c>
      <c r="D2711">
        <v>99999</v>
      </c>
      <c r="F2711" s="109">
        <v>7000</v>
      </c>
      <c r="G2711" t="b">
        <v>1</v>
      </c>
      <c r="H2711" t="s">
        <v>339</v>
      </c>
      <c r="K2711" t="s">
        <v>393</v>
      </c>
      <c r="L2711" t="s">
        <v>303</v>
      </c>
      <c r="M2711" t="s">
        <v>323</v>
      </c>
      <c r="N2711" t="s">
        <v>63</v>
      </c>
      <c r="O2711" s="110">
        <v>29.9</v>
      </c>
      <c r="R2711" s="110">
        <v>324.89</v>
      </c>
      <c r="S2711" s="110">
        <v>69.900000000000006</v>
      </c>
      <c r="T2711" s="110">
        <v>0</v>
      </c>
      <c r="U2711" s="110">
        <v>42.99</v>
      </c>
      <c r="X2711">
        <v>142.09999999999997</v>
      </c>
      <c r="Y2711">
        <v>69.900000000000006</v>
      </c>
      <c r="Z2711">
        <v>69.900000000000006</v>
      </c>
      <c r="AA2711">
        <v>0</v>
      </c>
      <c r="AB2711" t="s">
        <v>363</v>
      </c>
      <c r="AF2711" t="s">
        <v>919</v>
      </c>
      <c r="AG2711" t="s">
        <v>919</v>
      </c>
      <c r="AH2711" t="s">
        <v>758</v>
      </c>
      <c r="AI2711">
        <v>99999</v>
      </c>
      <c r="AJ2711">
        <v>99999</v>
      </c>
      <c r="AK2711">
        <v>699</v>
      </c>
      <c r="AL2711" t="b">
        <v>1</v>
      </c>
      <c r="AM2711" t="b">
        <v>1</v>
      </c>
      <c r="AN2711" t="b">
        <v>1</v>
      </c>
      <c r="AO2711">
        <v>99999</v>
      </c>
      <c r="AP2711" t="s">
        <v>64</v>
      </c>
      <c r="AR2711" t="b">
        <v>0</v>
      </c>
      <c r="AS2711">
        <v>12</v>
      </c>
      <c r="AT2711" t="s">
        <v>327</v>
      </c>
      <c r="AV2711" t="s">
        <v>956</v>
      </c>
    </row>
    <row r="2712" spans="1:48" x14ac:dyDescent="0.25">
      <c r="A2712" t="s">
        <v>3323</v>
      </c>
      <c r="B2712" t="s">
        <v>302</v>
      </c>
      <c r="C2712" t="s">
        <v>62</v>
      </c>
      <c r="D2712">
        <v>99999</v>
      </c>
      <c r="F2712" s="109">
        <v>7000</v>
      </c>
      <c r="G2712" t="b">
        <v>1</v>
      </c>
      <c r="H2712" t="s">
        <v>339</v>
      </c>
      <c r="K2712" t="s">
        <v>393</v>
      </c>
      <c r="L2712" t="s">
        <v>303</v>
      </c>
      <c r="M2712" t="s">
        <v>323</v>
      </c>
      <c r="N2712" t="s">
        <v>63</v>
      </c>
      <c r="O2712" s="110">
        <v>29.9</v>
      </c>
      <c r="R2712" s="110">
        <v>339.89</v>
      </c>
      <c r="S2712" s="110">
        <v>70</v>
      </c>
      <c r="T2712" s="110">
        <v>0</v>
      </c>
      <c r="U2712" s="110">
        <v>42.99</v>
      </c>
      <c r="X2712">
        <v>156.99999999999997</v>
      </c>
      <c r="Y2712">
        <v>69.900000000000006</v>
      </c>
      <c r="Z2712">
        <v>69.900000000000006</v>
      </c>
      <c r="AA2712">
        <v>0</v>
      </c>
      <c r="AB2712" t="s">
        <v>363</v>
      </c>
      <c r="AF2712" t="s">
        <v>1067</v>
      </c>
      <c r="AG2712" t="s">
        <v>1067</v>
      </c>
      <c r="AH2712" t="s">
        <v>758</v>
      </c>
      <c r="AI2712">
        <v>99999</v>
      </c>
      <c r="AJ2712">
        <v>99999</v>
      </c>
      <c r="AK2712">
        <v>699</v>
      </c>
      <c r="AL2712" t="b">
        <v>1</v>
      </c>
      <c r="AM2712" t="b">
        <v>1</v>
      </c>
      <c r="AN2712" t="b">
        <v>1</v>
      </c>
      <c r="AO2712">
        <v>99999</v>
      </c>
      <c r="AP2712" t="s">
        <v>64</v>
      </c>
      <c r="AR2712" t="b">
        <v>0</v>
      </c>
      <c r="AS2712">
        <v>12</v>
      </c>
      <c r="AT2712" t="s">
        <v>327</v>
      </c>
      <c r="AV2712" t="s">
        <v>1104</v>
      </c>
    </row>
    <row r="2713" spans="1:48" x14ac:dyDescent="0.25">
      <c r="A2713" t="s">
        <v>3323</v>
      </c>
      <c r="B2713" t="s">
        <v>302</v>
      </c>
      <c r="C2713" t="s">
        <v>62</v>
      </c>
      <c r="D2713">
        <v>99999</v>
      </c>
      <c r="F2713" s="109">
        <v>7000</v>
      </c>
      <c r="G2713" t="b">
        <v>1</v>
      </c>
      <c r="H2713" t="s">
        <v>339</v>
      </c>
      <c r="K2713" t="s">
        <v>393</v>
      </c>
      <c r="L2713" t="s">
        <v>303</v>
      </c>
      <c r="M2713" t="s">
        <v>323</v>
      </c>
      <c r="N2713" t="s">
        <v>63</v>
      </c>
      <c r="O2713" s="110">
        <v>39.9</v>
      </c>
      <c r="R2713" s="110">
        <v>309.89</v>
      </c>
      <c r="S2713" s="110">
        <v>69.900000000000006</v>
      </c>
      <c r="T2713" s="110">
        <v>0</v>
      </c>
      <c r="U2713" s="110">
        <v>42.99</v>
      </c>
      <c r="X2713">
        <v>127.09999999999997</v>
      </c>
      <c r="Y2713">
        <v>69.900000000000006</v>
      </c>
      <c r="Z2713">
        <v>69.900000000000006</v>
      </c>
      <c r="AA2713">
        <v>0</v>
      </c>
      <c r="AB2713" t="s">
        <v>363</v>
      </c>
      <c r="AF2713" t="s">
        <v>852</v>
      </c>
      <c r="AG2713" t="s">
        <v>852</v>
      </c>
      <c r="AH2713" t="s">
        <v>758</v>
      </c>
      <c r="AI2713">
        <v>99999</v>
      </c>
      <c r="AJ2713">
        <v>99999</v>
      </c>
      <c r="AK2713">
        <v>699</v>
      </c>
      <c r="AL2713" t="b">
        <v>1</v>
      </c>
      <c r="AM2713" t="b">
        <v>1</v>
      </c>
      <c r="AN2713" t="b">
        <v>1</v>
      </c>
      <c r="AO2713">
        <v>99999</v>
      </c>
      <c r="AP2713" t="s">
        <v>64</v>
      </c>
      <c r="AR2713" t="b">
        <v>0</v>
      </c>
      <c r="AS2713">
        <v>12</v>
      </c>
      <c r="AT2713" t="s">
        <v>327</v>
      </c>
      <c r="AV2713" t="s">
        <v>889</v>
      </c>
    </row>
    <row r="2714" spans="1:48" x14ac:dyDescent="0.25">
      <c r="A2714" t="s">
        <v>3323</v>
      </c>
      <c r="B2714" t="s">
        <v>302</v>
      </c>
      <c r="C2714" t="s">
        <v>62</v>
      </c>
      <c r="D2714">
        <v>99999</v>
      </c>
      <c r="F2714" s="109">
        <v>7000</v>
      </c>
      <c r="G2714" t="b">
        <v>1</v>
      </c>
      <c r="H2714" t="s">
        <v>339</v>
      </c>
      <c r="K2714" t="s">
        <v>393</v>
      </c>
      <c r="L2714" t="s">
        <v>303</v>
      </c>
      <c r="M2714" t="s">
        <v>323</v>
      </c>
      <c r="N2714" t="s">
        <v>63</v>
      </c>
      <c r="O2714" s="110">
        <v>39.9</v>
      </c>
      <c r="R2714" s="110">
        <v>324.89</v>
      </c>
      <c r="S2714" s="110">
        <v>69.900000000000006</v>
      </c>
      <c r="T2714" s="110">
        <v>0</v>
      </c>
      <c r="U2714" s="110">
        <v>42.99</v>
      </c>
      <c r="X2714">
        <v>142.09999999999997</v>
      </c>
      <c r="Y2714">
        <v>69.900000000000006</v>
      </c>
      <c r="Z2714">
        <v>69.900000000000006</v>
      </c>
      <c r="AA2714">
        <v>0</v>
      </c>
      <c r="AB2714" t="s">
        <v>363</v>
      </c>
      <c r="AF2714" t="s">
        <v>986</v>
      </c>
      <c r="AG2714" t="s">
        <v>986</v>
      </c>
      <c r="AH2714" t="s">
        <v>758</v>
      </c>
      <c r="AI2714">
        <v>99999</v>
      </c>
      <c r="AJ2714">
        <v>99999</v>
      </c>
      <c r="AK2714">
        <v>699</v>
      </c>
      <c r="AL2714" t="b">
        <v>1</v>
      </c>
      <c r="AM2714" t="b">
        <v>1</v>
      </c>
      <c r="AN2714" t="b">
        <v>1</v>
      </c>
      <c r="AO2714">
        <v>99999</v>
      </c>
      <c r="AP2714" t="s">
        <v>64</v>
      </c>
      <c r="AR2714" t="b">
        <v>0</v>
      </c>
      <c r="AS2714">
        <v>12</v>
      </c>
      <c r="AT2714" t="s">
        <v>327</v>
      </c>
      <c r="AV2714" t="s">
        <v>1023</v>
      </c>
    </row>
    <row r="2715" spans="1:48" x14ac:dyDescent="0.25">
      <c r="A2715" t="s">
        <v>3323</v>
      </c>
      <c r="B2715" t="s">
        <v>302</v>
      </c>
      <c r="C2715" t="s">
        <v>62</v>
      </c>
      <c r="D2715">
        <v>99999</v>
      </c>
      <c r="F2715" s="109">
        <v>7000</v>
      </c>
      <c r="G2715" t="b">
        <v>1</v>
      </c>
      <c r="H2715" t="s">
        <v>339</v>
      </c>
      <c r="K2715" t="s">
        <v>393</v>
      </c>
      <c r="L2715" t="s">
        <v>303</v>
      </c>
      <c r="M2715" t="s">
        <v>323</v>
      </c>
      <c r="N2715" t="s">
        <v>63</v>
      </c>
      <c r="O2715" s="110">
        <v>39.9</v>
      </c>
      <c r="R2715" s="110">
        <v>339.89</v>
      </c>
      <c r="S2715" s="110">
        <v>70</v>
      </c>
      <c r="T2715" s="110">
        <v>0</v>
      </c>
      <c r="U2715" s="110">
        <v>42.99</v>
      </c>
      <c r="X2715">
        <v>156.99999999999997</v>
      </c>
      <c r="Y2715">
        <v>69.900000000000006</v>
      </c>
      <c r="Z2715">
        <v>69.900000000000006</v>
      </c>
      <c r="AA2715">
        <v>0</v>
      </c>
      <c r="AB2715" t="s">
        <v>363</v>
      </c>
      <c r="AF2715" t="s">
        <v>1134</v>
      </c>
      <c r="AG2715" t="s">
        <v>1134</v>
      </c>
      <c r="AH2715" t="s">
        <v>758</v>
      </c>
      <c r="AI2715">
        <v>99999</v>
      </c>
      <c r="AJ2715">
        <v>99999</v>
      </c>
      <c r="AK2715">
        <v>699</v>
      </c>
      <c r="AL2715" t="b">
        <v>1</v>
      </c>
      <c r="AM2715" t="b">
        <v>1</v>
      </c>
      <c r="AN2715" t="b">
        <v>1</v>
      </c>
      <c r="AO2715">
        <v>99999</v>
      </c>
      <c r="AP2715" t="s">
        <v>64</v>
      </c>
      <c r="AR2715" t="b">
        <v>0</v>
      </c>
      <c r="AS2715">
        <v>12</v>
      </c>
      <c r="AT2715" t="s">
        <v>327</v>
      </c>
      <c r="AV2715" t="s">
        <v>1171</v>
      </c>
    </row>
    <row r="2716" spans="1:48" x14ac:dyDescent="0.25">
      <c r="A2716" t="s">
        <v>3323</v>
      </c>
      <c r="B2716" t="s">
        <v>302</v>
      </c>
      <c r="C2716" t="s">
        <v>62</v>
      </c>
      <c r="D2716">
        <v>99999</v>
      </c>
      <c r="F2716" s="109">
        <v>7000</v>
      </c>
      <c r="G2716" t="b">
        <v>1</v>
      </c>
      <c r="H2716" t="s">
        <v>339</v>
      </c>
      <c r="K2716" t="s">
        <v>393</v>
      </c>
      <c r="L2716" t="s">
        <v>303</v>
      </c>
      <c r="M2716" t="s">
        <v>323</v>
      </c>
      <c r="N2716" t="s">
        <v>63</v>
      </c>
      <c r="O2716" s="110">
        <v>49.9</v>
      </c>
      <c r="R2716" s="110">
        <v>355.68999999999994</v>
      </c>
      <c r="S2716" s="110">
        <v>130</v>
      </c>
      <c r="T2716" s="110">
        <v>0</v>
      </c>
      <c r="U2716" s="110">
        <v>34.99</v>
      </c>
      <c r="X2716">
        <v>120.79999999999995</v>
      </c>
      <c r="Y2716">
        <v>69.900000000000006</v>
      </c>
      <c r="Z2716">
        <v>69.900000000000006</v>
      </c>
      <c r="AA2716">
        <v>0</v>
      </c>
      <c r="AB2716" t="s">
        <v>363</v>
      </c>
      <c r="AF2716" t="s">
        <v>2494</v>
      </c>
      <c r="AG2716" t="s">
        <v>2494</v>
      </c>
      <c r="AH2716" t="s">
        <v>758</v>
      </c>
      <c r="AI2716">
        <v>99999</v>
      </c>
      <c r="AJ2716">
        <v>99999</v>
      </c>
      <c r="AK2716">
        <v>699</v>
      </c>
      <c r="AL2716" t="b">
        <v>1</v>
      </c>
      <c r="AM2716" t="b">
        <v>1</v>
      </c>
      <c r="AN2716" t="b">
        <v>1</v>
      </c>
      <c r="AO2716">
        <v>99999</v>
      </c>
      <c r="AP2716" t="s">
        <v>64</v>
      </c>
      <c r="AR2716" t="b">
        <v>0</v>
      </c>
      <c r="AS2716">
        <v>12</v>
      </c>
      <c r="AT2716" t="s">
        <v>327</v>
      </c>
      <c r="AV2716" t="s">
        <v>2531</v>
      </c>
    </row>
    <row r="2717" spans="1:48" x14ac:dyDescent="0.25">
      <c r="A2717" t="s">
        <v>3323</v>
      </c>
      <c r="B2717" t="s">
        <v>302</v>
      </c>
      <c r="C2717" t="s">
        <v>62</v>
      </c>
      <c r="D2717">
        <v>99999</v>
      </c>
      <c r="F2717" s="109">
        <v>7000</v>
      </c>
      <c r="G2717" t="b">
        <v>1</v>
      </c>
      <c r="H2717" t="s">
        <v>339</v>
      </c>
      <c r="K2717" t="s">
        <v>393</v>
      </c>
      <c r="L2717" t="s">
        <v>303</v>
      </c>
      <c r="M2717" t="s">
        <v>323</v>
      </c>
      <c r="N2717" t="s">
        <v>63</v>
      </c>
      <c r="O2717" s="110">
        <v>49.9</v>
      </c>
      <c r="R2717" s="110">
        <v>369.99</v>
      </c>
      <c r="S2717" s="110">
        <v>130</v>
      </c>
      <c r="T2717" s="110">
        <v>0</v>
      </c>
      <c r="U2717" s="110">
        <v>42.99</v>
      </c>
      <c r="X2717">
        <v>127.09999999999997</v>
      </c>
      <c r="Y2717">
        <v>69.900000000000006</v>
      </c>
      <c r="Z2717">
        <v>69.900000000000006</v>
      </c>
      <c r="AA2717">
        <v>0</v>
      </c>
      <c r="AB2717" t="s">
        <v>363</v>
      </c>
      <c r="AF2717" t="s">
        <v>2568</v>
      </c>
      <c r="AG2717" t="s">
        <v>2568</v>
      </c>
      <c r="AH2717" t="s">
        <v>758</v>
      </c>
      <c r="AI2717">
        <v>99999</v>
      </c>
      <c r="AJ2717">
        <v>99999</v>
      </c>
      <c r="AK2717">
        <v>699</v>
      </c>
      <c r="AL2717" t="b">
        <v>1</v>
      </c>
      <c r="AM2717" t="b">
        <v>1</v>
      </c>
      <c r="AN2717" t="b">
        <v>1</v>
      </c>
      <c r="AO2717">
        <v>99999</v>
      </c>
      <c r="AP2717" t="s">
        <v>64</v>
      </c>
      <c r="AR2717" t="b">
        <v>0</v>
      </c>
      <c r="AS2717">
        <v>12</v>
      </c>
      <c r="AT2717" t="s">
        <v>327</v>
      </c>
      <c r="AV2717" t="s">
        <v>2605</v>
      </c>
    </row>
    <row r="2718" spans="1:48" x14ac:dyDescent="0.25">
      <c r="A2718" t="s">
        <v>3323</v>
      </c>
      <c r="B2718" t="s">
        <v>302</v>
      </c>
      <c r="C2718" t="s">
        <v>62</v>
      </c>
      <c r="D2718">
        <v>99999</v>
      </c>
      <c r="F2718" s="109">
        <v>7000</v>
      </c>
      <c r="G2718" t="b">
        <v>1</v>
      </c>
      <c r="H2718" t="s">
        <v>339</v>
      </c>
      <c r="K2718" t="s">
        <v>393</v>
      </c>
      <c r="L2718" t="s">
        <v>303</v>
      </c>
      <c r="M2718" t="s">
        <v>323</v>
      </c>
      <c r="N2718" t="s">
        <v>63</v>
      </c>
      <c r="O2718" s="110">
        <v>49.9</v>
      </c>
      <c r="R2718" s="110">
        <v>384.99</v>
      </c>
      <c r="S2718" s="110">
        <v>130</v>
      </c>
      <c r="T2718" s="110">
        <v>0</v>
      </c>
      <c r="U2718" s="110">
        <v>42.99</v>
      </c>
      <c r="X2718">
        <v>142.09999999999997</v>
      </c>
      <c r="Y2718">
        <v>69.900000000000006</v>
      </c>
      <c r="Z2718">
        <v>69.900000000000006</v>
      </c>
      <c r="AA2718">
        <v>0</v>
      </c>
      <c r="AB2718" t="s">
        <v>363</v>
      </c>
      <c r="AF2718" t="s">
        <v>2633</v>
      </c>
      <c r="AG2718" t="s">
        <v>2633</v>
      </c>
      <c r="AH2718" t="s">
        <v>758</v>
      </c>
      <c r="AI2718">
        <v>99999</v>
      </c>
      <c r="AJ2718">
        <v>99999</v>
      </c>
      <c r="AK2718">
        <v>699</v>
      </c>
      <c r="AL2718" t="b">
        <v>1</v>
      </c>
      <c r="AM2718" t="b">
        <v>1</v>
      </c>
      <c r="AN2718" t="b">
        <v>1</v>
      </c>
      <c r="AO2718">
        <v>99999</v>
      </c>
      <c r="AP2718" t="s">
        <v>64</v>
      </c>
      <c r="AR2718" t="b">
        <v>0</v>
      </c>
      <c r="AS2718">
        <v>12</v>
      </c>
      <c r="AT2718" t="s">
        <v>327</v>
      </c>
      <c r="AV2718" t="s">
        <v>2668</v>
      </c>
    </row>
    <row r="2719" spans="1:48" x14ac:dyDescent="0.25">
      <c r="A2719" t="s">
        <v>3323</v>
      </c>
      <c r="B2719" t="s">
        <v>302</v>
      </c>
      <c r="C2719" t="s">
        <v>62</v>
      </c>
      <c r="D2719">
        <v>99999</v>
      </c>
      <c r="F2719" s="109">
        <v>7000</v>
      </c>
      <c r="G2719" t="b">
        <v>1</v>
      </c>
      <c r="H2719" t="s">
        <v>339</v>
      </c>
      <c r="K2719" t="s">
        <v>393</v>
      </c>
      <c r="L2719" t="s">
        <v>303</v>
      </c>
      <c r="M2719" t="s">
        <v>323</v>
      </c>
      <c r="N2719" t="s">
        <v>63</v>
      </c>
      <c r="O2719" s="110">
        <v>49.9</v>
      </c>
      <c r="R2719" s="110">
        <v>399.89</v>
      </c>
      <c r="S2719" s="110">
        <v>130</v>
      </c>
      <c r="T2719" s="110">
        <v>0</v>
      </c>
      <c r="U2719" s="110">
        <v>42.99</v>
      </c>
      <c r="X2719">
        <v>156.99999999999997</v>
      </c>
      <c r="Y2719">
        <v>69.900000000000006</v>
      </c>
      <c r="Z2719">
        <v>69.900000000000006</v>
      </c>
      <c r="AA2719">
        <v>0</v>
      </c>
      <c r="AB2719" t="s">
        <v>363</v>
      </c>
      <c r="AF2719" t="s">
        <v>2704</v>
      </c>
      <c r="AG2719" t="s">
        <v>2704</v>
      </c>
      <c r="AH2719" t="s">
        <v>758</v>
      </c>
      <c r="AI2719">
        <v>99999</v>
      </c>
      <c r="AJ2719">
        <v>99999</v>
      </c>
      <c r="AK2719">
        <v>699</v>
      </c>
      <c r="AL2719" t="b">
        <v>1</v>
      </c>
      <c r="AM2719" t="b">
        <v>1</v>
      </c>
      <c r="AN2719" t="b">
        <v>1</v>
      </c>
      <c r="AO2719">
        <v>99999</v>
      </c>
      <c r="AP2719" t="s">
        <v>64</v>
      </c>
      <c r="AR2719" t="b">
        <v>0</v>
      </c>
      <c r="AS2719">
        <v>12</v>
      </c>
      <c r="AT2719" t="s">
        <v>327</v>
      </c>
      <c r="AV2719" t="s">
        <v>2741</v>
      </c>
    </row>
    <row r="2720" spans="1:48" x14ac:dyDescent="0.25">
      <c r="A2720" t="s">
        <v>3323</v>
      </c>
      <c r="B2720" t="s">
        <v>302</v>
      </c>
      <c r="C2720" t="s">
        <v>62</v>
      </c>
      <c r="D2720">
        <v>99999</v>
      </c>
      <c r="F2720" s="109">
        <v>7000</v>
      </c>
      <c r="G2720" t="b">
        <v>1</v>
      </c>
      <c r="H2720" t="s">
        <v>339</v>
      </c>
      <c r="K2720" t="s">
        <v>364</v>
      </c>
      <c r="L2720" t="s">
        <v>303</v>
      </c>
      <c r="M2720" t="s">
        <v>323</v>
      </c>
      <c r="N2720" t="s">
        <v>63</v>
      </c>
      <c r="O2720" s="110">
        <v>29.9</v>
      </c>
      <c r="R2720" s="110">
        <v>289.89</v>
      </c>
      <c r="S2720" s="110">
        <v>69.900000000000006</v>
      </c>
      <c r="T2720" s="110">
        <v>0</v>
      </c>
      <c r="U2720" s="110">
        <v>42.99</v>
      </c>
      <c r="X2720">
        <v>127.09999999999997</v>
      </c>
      <c r="Y2720">
        <v>49.9</v>
      </c>
      <c r="Z2720">
        <v>49.9</v>
      </c>
      <c r="AA2720">
        <v>0</v>
      </c>
      <c r="AB2720" t="s">
        <v>363</v>
      </c>
      <c r="AF2720" t="s">
        <v>785</v>
      </c>
      <c r="AG2720" t="s">
        <v>785</v>
      </c>
      <c r="AH2720" t="s">
        <v>758</v>
      </c>
      <c r="AI2720">
        <v>99999</v>
      </c>
      <c r="AJ2720">
        <v>99999</v>
      </c>
      <c r="AK2720">
        <v>699</v>
      </c>
      <c r="AL2720" t="b">
        <v>1</v>
      </c>
      <c r="AM2720" t="b">
        <v>1</v>
      </c>
      <c r="AN2720" t="b">
        <v>1</v>
      </c>
      <c r="AO2720">
        <v>99999</v>
      </c>
      <c r="AP2720" t="s">
        <v>64</v>
      </c>
      <c r="AR2720" t="b">
        <v>0</v>
      </c>
      <c r="AS2720">
        <v>12</v>
      </c>
      <c r="AT2720" t="s">
        <v>327</v>
      </c>
      <c r="AV2720" t="s">
        <v>796</v>
      </c>
    </row>
    <row r="2721" spans="1:48" x14ac:dyDescent="0.25">
      <c r="A2721" t="s">
        <v>3323</v>
      </c>
      <c r="B2721" t="s">
        <v>302</v>
      </c>
      <c r="C2721" t="s">
        <v>62</v>
      </c>
      <c r="D2721">
        <v>99999</v>
      </c>
      <c r="F2721" s="109">
        <v>7000</v>
      </c>
      <c r="G2721" t="b">
        <v>1</v>
      </c>
      <c r="H2721" t="s">
        <v>339</v>
      </c>
      <c r="K2721" t="s">
        <v>364</v>
      </c>
      <c r="L2721" t="s">
        <v>303</v>
      </c>
      <c r="M2721" t="s">
        <v>323</v>
      </c>
      <c r="N2721" t="s">
        <v>63</v>
      </c>
      <c r="O2721" s="110">
        <v>29.9</v>
      </c>
      <c r="R2721" s="110">
        <v>304.89</v>
      </c>
      <c r="S2721" s="110">
        <v>69.900000000000006</v>
      </c>
      <c r="T2721" s="110">
        <v>0</v>
      </c>
      <c r="U2721" s="110">
        <v>42.99</v>
      </c>
      <c r="X2721">
        <v>142.09999999999997</v>
      </c>
      <c r="Y2721">
        <v>49.9</v>
      </c>
      <c r="Z2721">
        <v>49.9</v>
      </c>
      <c r="AA2721">
        <v>0</v>
      </c>
      <c r="AB2721" t="s">
        <v>363</v>
      </c>
      <c r="AF2721" t="s">
        <v>919</v>
      </c>
      <c r="AG2721" t="s">
        <v>919</v>
      </c>
      <c r="AH2721" t="s">
        <v>758</v>
      </c>
      <c r="AI2721">
        <v>99999</v>
      </c>
      <c r="AJ2721">
        <v>99999</v>
      </c>
      <c r="AK2721">
        <v>699</v>
      </c>
      <c r="AL2721" t="b">
        <v>1</v>
      </c>
      <c r="AM2721" t="b">
        <v>1</v>
      </c>
      <c r="AN2721" t="b">
        <v>1</v>
      </c>
      <c r="AO2721">
        <v>99999</v>
      </c>
      <c r="AP2721" t="s">
        <v>64</v>
      </c>
      <c r="AR2721" t="b">
        <v>0</v>
      </c>
      <c r="AS2721">
        <v>12</v>
      </c>
      <c r="AT2721" t="s">
        <v>327</v>
      </c>
      <c r="AV2721" t="s">
        <v>930</v>
      </c>
    </row>
    <row r="2722" spans="1:48" x14ac:dyDescent="0.25">
      <c r="A2722" t="s">
        <v>3323</v>
      </c>
      <c r="B2722" t="s">
        <v>302</v>
      </c>
      <c r="C2722" t="s">
        <v>62</v>
      </c>
      <c r="D2722">
        <v>99999</v>
      </c>
      <c r="F2722" s="109">
        <v>7000</v>
      </c>
      <c r="G2722" t="b">
        <v>1</v>
      </c>
      <c r="H2722" t="s">
        <v>339</v>
      </c>
      <c r="K2722" t="s">
        <v>364</v>
      </c>
      <c r="L2722" t="s">
        <v>303</v>
      </c>
      <c r="M2722" t="s">
        <v>323</v>
      </c>
      <c r="N2722" t="s">
        <v>63</v>
      </c>
      <c r="O2722" s="110">
        <v>29.9</v>
      </c>
      <c r="R2722" s="110">
        <v>319.89</v>
      </c>
      <c r="S2722" s="110">
        <v>70</v>
      </c>
      <c r="T2722" s="110">
        <v>0</v>
      </c>
      <c r="U2722" s="110">
        <v>42.99</v>
      </c>
      <c r="X2722">
        <v>156.99999999999997</v>
      </c>
      <c r="Y2722">
        <v>49.9</v>
      </c>
      <c r="Z2722">
        <v>49.9</v>
      </c>
      <c r="AA2722">
        <v>0</v>
      </c>
      <c r="AB2722" t="s">
        <v>363</v>
      </c>
      <c r="AF2722" t="s">
        <v>1067</v>
      </c>
      <c r="AG2722" t="s">
        <v>1067</v>
      </c>
      <c r="AH2722" t="s">
        <v>758</v>
      </c>
      <c r="AI2722">
        <v>99999</v>
      </c>
      <c r="AJ2722">
        <v>99999</v>
      </c>
      <c r="AK2722">
        <v>699</v>
      </c>
      <c r="AL2722" t="b">
        <v>1</v>
      </c>
      <c r="AM2722" t="b">
        <v>1</v>
      </c>
      <c r="AN2722" t="b">
        <v>1</v>
      </c>
      <c r="AO2722">
        <v>99999</v>
      </c>
      <c r="AP2722" t="s">
        <v>64</v>
      </c>
      <c r="AR2722" t="b">
        <v>0</v>
      </c>
      <c r="AS2722">
        <v>12</v>
      </c>
      <c r="AT2722" t="s">
        <v>327</v>
      </c>
      <c r="AV2722" t="s">
        <v>1078</v>
      </c>
    </row>
    <row r="2723" spans="1:48" x14ac:dyDescent="0.25">
      <c r="A2723" t="s">
        <v>3323</v>
      </c>
      <c r="B2723" t="s">
        <v>302</v>
      </c>
      <c r="C2723" t="s">
        <v>62</v>
      </c>
      <c r="D2723">
        <v>99999</v>
      </c>
      <c r="F2723" s="109">
        <v>7000</v>
      </c>
      <c r="G2723" t="b">
        <v>1</v>
      </c>
      <c r="H2723" t="s">
        <v>339</v>
      </c>
      <c r="K2723" t="s">
        <v>364</v>
      </c>
      <c r="L2723" t="s">
        <v>303</v>
      </c>
      <c r="M2723" t="s">
        <v>323</v>
      </c>
      <c r="N2723" t="s">
        <v>63</v>
      </c>
      <c r="O2723" s="110">
        <v>39.9</v>
      </c>
      <c r="R2723" s="110">
        <v>289.89</v>
      </c>
      <c r="S2723" s="110">
        <v>69.900000000000006</v>
      </c>
      <c r="T2723" s="110">
        <v>0</v>
      </c>
      <c r="U2723" s="110">
        <v>42.99</v>
      </c>
      <c r="X2723">
        <v>127.09999999999997</v>
      </c>
      <c r="Y2723">
        <v>49.9</v>
      </c>
      <c r="Z2723">
        <v>49.9</v>
      </c>
      <c r="AA2723">
        <v>0</v>
      </c>
      <c r="AB2723" t="s">
        <v>363</v>
      </c>
      <c r="AF2723" t="s">
        <v>852</v>
      </c>
      <c r="AG2723" t="s">
        <v>852</v>
      </c>
      <c r="AH2723" t="s">
        <v>758</v>
      </c>
      <c r="AI2723">
        <v>99999</v>
      </c>
      <c r="AJ2723">
        <v>99999</v>
      </c>
      <c r="AK2723">
        <v>699</v>
      </c>
      <c r="AL2723" t="b">
        <v>1</v>
      </c>
      <c r="AM2723" t="b">
        <v>1</v>
      </c>
      <c r="AN2723" t="b">
        <v>1</v>
      </c>
      <c r="AO2723">
        <v>99999</v>
      </c>
      <c r="AP2723" t="s">
        <v>64</v>
      </c>
      <c r="AR2723" t="b">
        <v>0</v>
      </c>
      <c r="AS2723">
        <v>12</v>
      </c>
      <c r="AT2723" t="s">
        <v>327</v>
      </c>
      <c r="AV2723" t="s">
        <v>863</v>
      </c>
    </row>
    <row r="2724" spans="1:48" x14ac:dyDescent="0.25">
      <c r="A2724" t="s">
        <v>3323</v>
      </c>
      <c r="B2724" t="s">
        <v>302</v>
      </c>
      <c r="C2724" t="s">
        <v>62</v>
      </c>
      <c r="D2724">
        <v>99999</v>
      </c>
      <c r="F2724" s="109">
        <v>7000</v>
      </c>
      <c r="G2724" t="b">
        <v>1</v>
      </c>
      <c r="H2724" t="s">
        <v>339</v>
      </c>
      <c r="K2724" t="s">
        <v>364</v>
      </c>
      <c r="L2724" t="s">
        <v>303</v>
      </c>
      <c r="M2724" t="s">
        <v>323</v>
      </c>
      <c r="N2724" t="s">
        <v>63</v>
      </c>
      <c r="O2724" s="110">
        <v>39.9</v>
      </c>
      <c r="R2724" s="110">
        <v>304.89</v>
      </c>
      <c r="S2724" s="110">
        <v>69.900000000000006</v>
      </c>
      <c r="T2724" s="110">
        <v>0</v>
      </c>
      <c r="U2724" s="110">
        <v>42.99</v>
      </c>
      <c r="X2724">
        <v>142.09999999999997</v>
      </c>
      <c r="Y2724">
        <v>49.9</v>
      </c>
      <c r="Z2724">
        <v>49.9</v>
      </c>
      <c r="AA2724">
        <v>0</v>
      </c>
      <c r="AB2724" t="s">
        <v>363</v>
      </c>
      <c r="AF2724" t="s">
        <v>986</v>
      </c>
      <c r="AG2724" t="s">
        <v>986</v>
      </c>
      <c r="AH2724" t="s">
        <v>758</v>
      </c>
      <c r="AI2724">
        <v>99999</v>
      </c>
      <c r="AJ2724">
        <v>99999</v>
      </c>
      <c r="AK2724">
        <v>699</v>
      </c>
      <c r="AL2724" t="b">
        <v>1</v>
      </c>
      <c r="AM2724" t="b">
        <v>1</v>
      </c>
      <c r="AN2724" t="b">
        <v>1</v>
      </c>
      <c r="AO2724">
        <v>99999</v>
      </c>
      <c r="AP2724" t="s">
        <v>64</v>
      </c>
      <c r="AR2724" t="b">
        <v>0</v>
      </c>
      <c r="AS2724">
        <v>12</v>
      </c>
      <c r="AT2724" t="s">
        <v>327</v>
      </c>
      <c r="AV2724" t="s">
        <v>997</v>
      </c>
    </row>
    <row r="2725" spans="1:48" x14ac:dyDescent="0.25">
      <c r="A2725" t="s">
        <v>3323</v>
      </c>
      <c r="B2725" t="s">
        <v>302</v>
      </c>
      <c r="C2725" t="s">
        <v>62</v>
      </c>
      <c r="D2725">
        <v>99999</v>
      </c>
      <c r="F2725" s="109">
        <v>7000</v>
      </c>
      <c r="G2725" t="b">
        <v>1</v>
      </c>
      <c r="H2725" t="s">
        <v>339</v>
      </c>
      <c r="K2725" t="s">
        <v>364</v>
      </c>
      <c r="L2725" t="s">
        <v>303</v>
      </c>
      <c r="M2725" t="s">
        <v>323</v>
      </c>
      <c r="N2725" t="s">
        <v>63</v>
      </c>
      <c r="O2725" s="110">
        <v>39.9</v>
      </c>
      <c r="R2725" s="110">
        <v>319.89</v>
      </c>
      <c r="S2725" s="110">
        <v>70</v>
      </c>
      <c r="T2725" s="110">
        <v>0</v>
      </c>
      <c r="U2725" s="110">
        <v>42.99</v>
      </c>
      <c r="X2725">
        <v>156.99999999999997</v>
      </c>
      <c r="Y2725">
        <v>49.9</v>
      </c>
      <c r="Z2725">
        <v>49.9</v>
      </c>
      <c r="AA2725">
        <v>0</v>
      </c>
      <c r="AB2725" t="s">
        <v>363</v>
      </c>
      <c r="AF2725" t="s">
        <v>1134</v>
      </c>
      <c r="AG2725" t="s">
        <v>1134</v>
      </c>
      <c r="AH2725" t="s">
        <v>758</v>
      </c>
      <c r="AI2725">
        <v>99999</v>
      </c>
      <c r="AJ2725">
        <v>99999</v>
      </c>
      <c r="AK2725">
        <v>699</v>
      </c>
      <c r="AL2725" t="b">
        <v>1</v>
      </c>
      <c r="AM2725" t="b">
        <v>1</v>
      </c>
      <c r="AN2725" t="b">
        <v>1</v>
      </c>
      <c r="AO2725">
        <v>99999</v>
      </c>
      <c r="AP2725" t="s">
        <v>64</v>
      </c>
      <c r="AR2725" t="b">
        <v>0</v>
      </c>
      <c r="AS2725">
        <v>12</v>
      </c>
      <c r="AT2725" t="s">
        <v>327</v>
      </c>
      <c r="AV2725" t="s">
        <v>1145</v>
      </c>
    </row>
    <row r="2726" spans="1:48" x14ac:dyDescent="0.25">
      <c r="A2726" t="s">
        <v>3323</v>
      </c>
      <c r="B2726" t="s">
        <v>302</v>
      </c>
      <c r="C2726" t="s">
        <v>62</v>
      </c>
      <c r="D2726">
        <v>99999</v>
      </c>
      <c r="F2726" s="109">
        <v>7000</v>
      </c>
      <c r="G2726" t="b">
        <v>1</v>
      </c>
      <c r="H2726" t="s">
        <v>339</v>
      </c>
      <c r="K2726" t="s">
        <v>364</v>
      </c>
      <c r="L2726" t="s">
        <v>303</v>
      </c>
      <c r="M2726" t="s">
        <v>323</v>
      </c>
      <c r="N2726" t="s">
        <v>63</v>
      </c>
      <c r="O2726" s="110">
        <v>49.9</v>
      </c>
      <c r="R2726" s="110">
        <v>335.68999999999994</v>
      </c>
      <c r="S2726" s="110">
        <v>130</v>
      </c>
      <c r="T2726" s="110">
        <v>0</v>
      </c>
      <c r="U2726" s="110">
        <v>34.99</v>
      </c>
      <c r="X2726">
        <v>120.79999999999995</v>
      </c>
      <c r="Y2726">
        <v>49.9</v>
      </c>
      <c r="Z2726">
        <v>49.9</v>
      </c>
      <c r="AA2726">
        <v>0</v>
      </c>
      <c r="AB2726" t="s">
        <v>363</v>
      </c>
      <c r="AF2726" t="s">
        <v>2494</v>
      </c>
      <c r="AG2726" t="s">
        <v>2494</v>
      </c>
      <c r="AH2726" t="s">
        <v>758</v>
      </c>
      <c r="AI2726">
        <v>99999</v>
      </c>
      <c r="AJ2726">
        <v>99999</v>
      </c>
      <c r="AK2726">
        <v>699</v>
      </c>
      <c r="AL2726" t="b">
        <v>1</v>
      </c>
      <c r="AM2726" t="b">
        <v>1</v>
      </c>
      <c r="AN2726" t="b">
        <v>1</v>
      </c>
      <c r="AO2726">
        <v>99999</v>
      </c>
      <c r="AP2726" t="s">
        <v>64</v>
      </c>
      <c r="AR2726" t="b">
        <v>0</v>
      </c>
      <c r="AS2726">
        <v>12</v>
      </c>
      <c r="AT2726" t="s">
        <v>327</v>
      </c>
      <c r="AV2726" t="s">
        <v>2505</v>
      </c>
    </row>
    <row r="2727" spans="1:48" x14ac:dyDescent="0.25">
      <c r="A2727" t="s">
        <v>3323</v>
      </c>
      <c r="B2727" t="s">
        <v>302</v>
      </c>
      <c r="C2727" t="s">
        <v>62</v>
      </c>
      <c r="D2727">
        <v>99999</v>
      </c>
      <c r="F2727" s="109">
        <v>7000</v>
      </c>
      <c r="G2727" t="b">
        <v>1</v>
      </c>
      <c r="H2727" t="s">
        <v>339</v>
      </c>
      <c r="K2727" t="s">
        <v>364</v>
      </c>
      <c r="L2727" t="s">
        <v>303</v>
      </c>
      <c r="M2727" t="s">
        <v>323</v>
      </c>
      <c r="N2727" t="s">
        <v>63</v>
      </c>
      <c r="O2727" s="110">
        <v>49.9</v>
      </c>
      <c r="R2727" s="110">
        <v>349.98999999999995</v>
      </c>
      <c r="S2727" s="110">
        <v>130</v>
      </c>
      <c r="T2727" s="110">
        <v>0</v>
      </c>
      <c r="U2727" s="110">
        <v>42.99</v>
      </c>
      <c r="X2727">
        <v>127.09999999999997</v>
      </c>
      <c r="Y2727">
        <v>49.9</v>
      </c>
      <c r="Z2727">
        <v>49.9</v>
      </c>
      <c r="AA2727">
        <v>0</v>
      </c>
      <c r="AB2727" t="s">
        <v>363</v>
      </c>
      <c r="AF2727" t="s">
        <v>2568</v>
      </c>
      <c r="AG2727" t="s">
        <v>2568</v>
      </c>
      <c r="AH2727" t="s">
        <v>758</v>
      </c>
      <c r="AI2727">
        <v>99999</v>
      </c>
      <c r="AJ2727">
        <v>99999</v>
      </c>
      <c r="AK2727">
        <v>699</v>
      </c>
      <c r="AL2727" t="b">
        <v>1</v>
      </c>
      <c r="AM2727" t="b">
        <v>1</v>
      </c>
      <c r="AN2727" t="b">
        <v>1</v>
      </c>
      <c r="AO2727">
        <v>99999</v>
      </c>
      <c r="AP2727" t="s">
        <v>64</v>
      </c>
      <c r="AR2727" t="b">
        <v>0</v>
      </c>
      <c r="AS2727">
        <v>12</v>
      </c>
      <c r="AT2727" t="s">
        <v>327</v>
      </c>
      <c r="AV2727" t="s">
        <v>2579</v>
      </c>
    </row>
    <row r="2728" spans="1:48" x14ac:dyDescent="0.25">
      <c r="A2728" t="s">
        <v>3323</v>
      </c>
      <c r="B2728" t="s">
        <v>302</v>
      </c>
      <c r="C2728" t="s">
        <v>62</v>
      </c>
      <c r="D2728">
        <v>99999</v>
      </c>
      <c r="F2728" s="109">
        <v>7000</v>
      </c>
      <c r="G2728" t="b">
        <v>1</v>
      </c>
      <c r="H2728" t="s">
        <v>339</v>
      </c>
      <c r="K2728" t="s">
        <v>364</v>
      </c>
      <c r="L2728" t="s">
        <v>303</v>
      </c>
      <c r="M2728" t="s">
        <v>323</v>
      </c>
      <c r="N2728" t="s">
        <v>63</v>
      </c>
      <c r="O2728" s="110">
        <v>49.9</v>
      </c>
      <c r="R2728" s="110">
        <v>364.98999999999995</v>
      </c>
      <c r="S2728" s="110">
        <v>130</v>
      </c>
      <c r="T2728" s="110">
        <v>0</v>
      </c>
      <c r="U2728" s="110">
        <v>42.99</v>
      </c>
      <c r="X2728">
        <v>142.09999999999997</v>
      </c>
      <c r="Y2728">
        <v>49.9</v>
      </c>
      <c r="Z2728">
        <v>49.9</v>
      </c>
      <c r="AA2728">
        <v>0</v>
      </c>
      <c r="AB2728" t="s">
        <v>363</v>
      </c>
      <c r="AF2728" t="s">
        <v>2633</v>
      </c>
      <c r="AG2728" t="s">
        <v>2633</v>
      </c>
      <c r="AH2728" t="s">
        <v>758</v>
      </c>
      <c r="AI2728">
        <v>99999</v>
      </c>
      <c r="AJ2728">
        <v>99999</v>
      </c>
      <c r="AK2728">
        <v>699</v>
      </c>
      <c r="AL2728" t="b">
        <v>1</v>
      </c>
      <c r="AM2728" t="b">
        <v>1</v>
      </c>
      <c r="AN2728" t="b">
        <v>1</v>
      </c>
      <c r="AO2728">
        <v>99999</v>
      </c>
      <c r="AP2728" t="s">
        <v>64</v>
      </c>
      <c r="AR2728" t="b">
        <v>0</v>
      </c>
      <c r="AS2728">
        <v>12</v>
      </c>
      <c r="AT2728" t="s">
        <v>327</v>
      </c>
      <c r="AV2728" t="s">
        <v>2644</v>
      </c>
    </row>
    <row r="2729" spans="1:48" x14ac:dyDescent="0.25">
      <c r="A2729" t="s">
        <v>3323</v>
      </c>
      <c r="B2729" t="s">
        <v>302</v>
      </c>
      <c r="C2729" t="s">
        <v>62</v>
      </c>
      <c r="D2729">
        <v>99999</v>
      </c>
      <c r="F2729" s="109">
        <v>7000</v>
      </c>
      <c r="G2729" t="b">
        <v>1</v>
      </c>
      <c r="H2729" t="s">
        <v>339</v>
      </c>
      <c r="K2729" t="s">
        <v>364</v>
      </c>
      <c r="L2729" t="s">
        <v>303</v>
      </c>
      <c r="M2729" t="s">
        <v>323</v>
      </c>
      <c r="N2729" t="s">
        <v>63</v>
      </c>
      <c r="O2729" s="110">
        <v>49.9</v>
      </c>
      <c r="R2729" s="110">
        <v>379.89</v>
      </c>
      <c r="S2729" s="110">
        <v>130</v>
      </c>
      <c r="T2729" s="110">
        <v>0</v>
      </c>
      <c r="U2729" s="110">
        <v>42.99</v>
      </c>
      <c r="X2729">
        <v>156.99999999999997</v>
      </c>
      <c r="Y2729">
        <v>49.9</v>
      </c>
      <c r="Z2729">
        <v>49.9</v>
      </c>
      <c r="AA2729">
        <v>0</v>
      </c>
      <c r="AB2729" t="s">
        <v>363</v>
      </c>
      <c r="AF2729" t="s">
        <v>2704</v>
      </c>
      <c r="AG2729" t="s">
        <v>2704</v>
      </c>
      <c r="AH2729" t="s">
        <v>758</v>
      </c>
      <c r="AI2729">
        <v>99999</v>
      </c>
      <c r="AJ2729">
        <v>99999</v>
      </c>
      <c r="AK2729">
        <v>699</v>
      </c>
      <c r="AL2729" t="b">
        <v>1</v>
      </c>
      <c r="AM2729" t="b">
        <v>1</v>
      </c>
      <c r="AN2729" t="b">
        <v>1</v>
      </c>
      <c r="AO2729">
        <v>99999</v>
      </c>
      <c r="AP2729" t="s">
        <v>64</v>
      </c>
      <c r="AR2729" t="b">
        <v>0</v>
      </c>
      <c r="AS2729">
        <v>12</v>
      </c>
      <c r="AT2729" t="s">
        <v>327</v>
      </c>
      <c r="AV2729" t="s">
        <v>2715</v>
      </c>
    </row>
    <row r="2730" spans="1:48" x14ac:dyDescent="0.25">
      <c r="A2730" t="s">
        <v>3323</v>
      </c>
      <c r="B2730" t="s">
        <v>302</v>
      </c>
      <c r="C2730" t="s">
        <v>62</v>
      </c>
      <c r="D2730">
        <v>99999</v>
      </c>
      <c r="F2730" s="109">
        <v>7000</v>
      </c>
      <c r="G2730" t="b">
        <v>1</v>
      </c>
      <c r="H2730" t="s">
        <v>339</v>
      </c>
      <c r="K2730" t="s">
        <v>379</v>
      </c>
      <c r="L2730" t="s">
        <v>303</v>
      </c>
      <c r="M2730" t="s">
        <v>323</v>
      </c>
      <c r="N2730" t="s">
        <v>63</v>
      </c>
      <c r="O2730" s="110">
        <v>29.9</v>
      </c>
      <c r="R2730" s="110">
        <v>299.89</v>
      </c>
      <c r="S2730" s="110">
        <v>69.900000000000006</v>
      </c>
      <c r="T2730" s="110">
        <v>0</v>
      </c>
      <c r="U2730" s="110">
        <v>42.99</v>
      </c>
      <c r="X2730">
        <v>127.09999999999997</v>
      </c>
      <c r="Y2730">
        <v>59.9</v>
      </c>
      <c r="Z2730">
        <v>59.9</v>
      </c>
      <c r="AA2730">
        <v>0</v>
      </c>
      <c r="AB2730" t="s">
        <v>363</v>
      </c>
      <c r="AF2730" t="s">
        <v>785</v>
      </c>
      <c r="AG2730" t="s">
        <v>785</v>
      </c>
      <c r="AH2730" t="s">
        <v>758</v>
      </c>
      <c r="AI2730">
        <v>99999</v>
      </c>
      <c r="AJ2730">
        <v>99999</v>
      </c>
      <c r="AK2730">
        <v>699</v>
      </c>
      <c r="AL2730" t="b">
        <v>1</v>
      </c>
      <c r="AM2730" t="b">
        <v>1</v>
      </c>
      <c r="AN2730" t="b">
        <v>1</v>
      </c>
      <c r="AO2730">
        <v>99999</v>
      </c>
      <c r="AP2730" t="s">
        <v>64</v>
      </c>
      <c r="AR2730" t="b">
        <v>0</v>
      </c>
      <c r="AS2730">
        <v>12</v>
      </c>
      <c r="AT2730" t="s">
        <v>327</v>
      </c>
      <c r="AV2730" t="s">
        <v>809</v>
      </c>
    </row>
    <row r="2731" spans="1:48" x14ac:dyDescent="0.25">
      <c r="A2731" t="s">
        <v>3323</v>
      </c>
      <c r="B2731" t="s">
        <v>302</v>
      </c>
      <c r="C2731" t="s">
        <v>62</v>
      </c>
      <c r="D2731">
        <v>99999</v>
      </c>
      <c r="F2731" s="109">
        <v>7000</v>
      </c>
      <c r="G2731" t="b">
        <v>1</v>
      </c>
      <c r="H2731" t="s">
        <v>339</v>
      </c>
      <c r="K2731" t="s">
        <v>379</v>
      </c>
      <c r="L2731" t="s">
        <v>303</v>
      </c>
      <c r="M2731" t="s">
        <v>323</v>
      </c>
      <c r="N2731" t="s">
        <v>63</v>
      </c>
      <c r="O2731" s="110">
        <v>29.9</v>
      </c>
      <c r="R2731" s="110">
        <v>314.89</v>
      </c>
      <c r="S2731" s="110">
        <v>69.900000000000006</v>
      </c>
      <c r="T2731" s="110">
        <v>0</v>
      </c>
      <c r="U2731" s="110">
        <v>42.99</v>
      </c>
      <c r="X2731">
        <v>142.09999999999997</v>
      </c>
      <c r="Y2731">
        <v>59.9</v>
      </c>
      <c r="Z2731">
        <v>59.9</v>
      </c>
      <c r="AA2731">
        <v>0</v>
      </c>
      <c r="AB2731" t="s">
        <v>363</v>
      </c>
      <c r="AF2731" t="s">
        <v>919</v>
      </c>
      <c r="AG2731" t="s">
        <v>919</v>
      </c>
      <c r="AH2731" t="s">
        <v>758</v>
      </c>
      <c r="AI2731">
        <v>99999</v>
      </c>
      <c r="AJ2731">
        <v>99999</v>
      </c>
      <c r="AK2731">
        <v>699</v>
      </c>
      <c r="AL2731" t="b">
        <v>1</v>
      </c>
      <c r="AM2731" t="b">
        <v>1</v>
      </c>
      <c r="AN2731" t="b">
        <v>1</v>
      </c>
      <c r="AO2731">
        <v>99999</v>
      </c>
      <c r="AP2731" t="s">
        <v>64</v>
      </c>
      <c r="AR2731" t="b">
        <v>0</v>
      </c>
      <c r="AS2731">
        <v>12</v>
      </c>
      <c r="AT2731" t="s">
        <v>327</v>
      </c>
      <c r="AV2731" t="s">
        <v>943</v>
      </c>
    </row>
    <row r="2732" spans="1:48" x14ac:dyDescent="0.25">
      <c r="A2732" t="s">
        <v>3323</v>
      </c>
      <c r="B2732" t="s">
        <v>302</v>
      </c>
      <c r="C2732" t="s">
        <v>62</v>
      </c>
      <c r="D2732">
        <v>99999</v>
      </c>
      <c r="F2732" s="109">
        <v>7000</v>
      </c>
      <c r="G2732" t="b">
        <v>1</v>
      </c>
      <c r="H2732" t="s">
        <v>339</v>
      </c>
      <c r="K2732" t="s">
        <v>379</v>
      </c>
      <c r="L2732" t="s">
        <v>303</v>
      </c>
      <c r="M2732" t="s">
        <v>323</v>
      </c>
      <c r="N2732" t="s">
        <v>63</v>
      </c>
      <c r="O2732" s="110">
        <v>29.9</v>
      </c>
      <c r="R2732" s="110">
        <v>329.89</v>
      </c>
      <c r="S2732" s="110">
        <v>70</v>
      </c>
      <c r="T2732" s="110">
        <v>0</v>
      </c>
      <c r="U2732" s="110">
        <v>42.99</v>
      </c>
      <c r="X2732">
        <v>156.99999999999997</v>
      </c>
      <c r="Y2732">
        <v>59.9</v>
      </c>
      <c r="Z2732">
        <v>59.9</v>
      </c>
      <c r="AA2732">
        <v>0</v>
      </c>
      <c r="AB2732" t="s">
        <v>363</v>
      </c>
      <c r="AF2732" t="s">
        <v>1067</v>
      </c>
      <c r="AG2732" t="s">
        <v>1067</v>
      </c>
      <c r="AH2732" t="s">
        <v>758</v>
      </c>
      <c r="AI2732">
        <v>99999</v>
      </c>
      <c r="AJ2732">
        <v>99999</v>
      </c>
      <c r="AK2732">
        <v>699</v>
      </c>
      <c r="AL2732" t="b">
        <v>1</v>
      </c>
      <c r="AM2732" t="b">
        <v>1</v>
      </c>
      <c r="AN2732" t="b">
        <v>1</v>
      </c>
      <c r="AO2732">
        <v>99999</v>
      </c>
      <c r="AP2732" t="s">
        <v>64</v>
      </c>
      <c r="AR2732" t="b">
        <v>0</v>
      </c>
      <c r="AS2732">
        <v>12</v>
      </c>
      <c r="AT2732" t="s">
        <v>327</v>
      </c>
      <c r="AV2732" t="s">
        <v>1091</v>
      </c>
    </row>
    <row r="2733" spans="1:48" x14ac:dyDescent="0.25">
      <c r="A2733" t="s">
        <v>3323</v>
      </c>
      <c r="B2733" t="s">
        <v>302</v>
      </c>
      <c r="C2733" t="s">
        <v>62</v>
      </c>
      <c r="D2733">
        <v>99999</v>
      </c>
      <c r="F2733" s="109">
        <v>7000</v>
      </c>
      <c r="G2733" t="b">
        <v>1</v>
      </c>
      <c r="H2733" t="s">
        <v>339</v>
      </c>
      <c r="K2733" t="s">
        <v>379</v>
      </c>
      <c r="L2733" t="s">
        <v>303</v>
      </c>
      <c r="M2733" t="s">
        <v>323</v>
      </c>
      <c r="N2733" t="s">
        <v>63</v>
      </c>
      <c r="O2733" s="110">
        <v>39.9</v>
      </c>
      <c r="R2733" s="110">
        <v>299.89</v>
      </c>
      <c r="S2733" s="110">
        <v>69.900000000000006</v>
      </c>
      <c r="T2733" s="110">
        <v>0</v>
      </c>
      <c r="U2733" s="110">
        <v>42.99</v>
      </c>
      <c r="X2733">
        <v>127.09999999999997</v>
      </c>
      <c r="Y2733">
        <v>59.9</v>
      </c>
      <c r="Z2733">
        <v>59.9</v>
      </c>
      <c r="AA2733">
        <v>0</v>
      </c>
      <c r="AB2733" t="s">
        <v>363</v>
      </c>
      <c r="AF2733" t="s">
        <v>852</v>
      </c>
      <c r="AG2733" t="s">
        <v>852</v>
      </c>
      <c r="AH2733" t="s">
        <v>758</v>
      </c>
      <c r="AI2733">
        <v>99999</v>
      </c>
      <c r="AJ2733">
        <v>99999</v>
      </c>
      <c r="AK2733">
        <v>699</v>
      </c>
      <c r="AL2733" t="b">
        <v>1</v>
      </c>
      <c r="AM2733" t="b">
        <v>1</v>
      </c>
      <c r="AN2733" t="b">
        <v>1</v>
      </c>
      <c r="AO2733">
        <v>99999</v>
      </c>
      <c r="AP2733" t="s">
        <v>64</v>
      </c>
      <c r="AR2733" t="b">
        <v>0</v>
      </c>
      <c r="AS2733">
        <v>12</v>
      </c>
      <c r="AT2733" t="s">
        <v>327</v>
      </c>
      <c r="AV2733" t="s">
        <v>876</v>
      </c>
    </row>
    <row r="2734" spans="1:48" x14ac:dyDescent="0.25">
      <c r="A2734" t="s">
        <v>3323</v>
      </c>
      <c r="B2734" t="s">
        <v>302</v>
      </c>
      <c r="C2734" t="s">
        <v>62</v>
      </c>
      <c r="D2734">
        <v>99999</v>
      </c>
      <c r="F2734" s="109">
        <v>7000</v>
      </c>
      <c r="G2734" t="b">
        <v>1</v>
      </c>
      <c r="H2734" t="s">
        <v>339</v>
      </c>
      <c r="K2734" t="s">
        <v>379</v>
      </c>
      <c r="L2734" t="s">
        <v>303</v>
      </c>
      <c r="M2734" t="s">
        <v>323</v>
      </c>
      <c r="N2734" t="s">
        <v>63</v>
      </c>
      <c r="O2734" s="110">
        <v>39.9</v>
      </c>
      <c r="R2734" s="110">
        <v>314.89</v>
      </c>
      <c r="S2734" s="110">
        <v>69.900000000000006</v>
      </c>
      <c r="T2734" s="110">
        <v>0</v>
      </c>
      <c r="U2734" s="110">
        <v>42.99</v>
      </c>
      <c r="X2734">
        <v>142.09999999999997</v>
      </c>
      <c r="Y2734">
        <v>59.9</v>
      </c>
      <c r="Z2734">
        <v>59.9</v>
      </c>
      <c r="AA2734">
        <v>0</v>
      </c>
      <c r="AB2734" t="s">
        <v>363</v>
      </c>
      <c r="AF2734" t="s">
        <v>986</v>
      </c>
      <c r="AG2734" t="s">
        <v>986</v>
      </c>
      <c r="AH2734" t="s">
        <v>758</v>
      </c>
      <c r="AI2734">
        <v>99999</v>
      </c>
      <c r="AJ2734">
        <v>99999</v>
      </c>
      <c r="AK2734">
        <v>699</v>
      </c>
      <c r="AL2734" t="b">
        <v>1</v>
      </c>
      <c r="AM2734" t="b">
        <v>1</v>
      </c>
      <c r="AN2734" t="b">
        <v>1</v>
      </c>
      <c r="AO2734">
        <v>99999</v>
      </c>
      <c r="AP2734" t="s">
        <v>64</v>
      </c>
      <c r="AR2734" t="b">
        <v>0</v>
      </c>
      <c r="AS2734">
        <v>12</v>
      </c>
      <c r="AT2734" t="s">
        <v>327</v>
      </c>
      <c r="AV2734" t="s">
        <v>1010</v>
      </c>
    </row>
    <row r="2735" spans="1:48" x14ac:dyDescent="0.25">
      <c r="A2735" t="s">
        <v>3323</v>
      </c>
      <c r="B2735" t="s">
        <v>302</v>
      </c>
      <c r="C2735" t="s">
        <v>62</v>
      </c>
      <c r="D2735">
        <v>99999</v>
      </c>
      <c r="F2735" s="109">
        <v>7000</v>
      </c>
      <c r="G2735" t="b">
        <v>1</v>
      </c>
      <c r="H2735" t="s">
        <v>339</v>
      </c>
      <c r="K2735" t="s">
        <v>379</v>
      </c>
      <c r="L2735" t="s">
        <v>303</v>
      </c>
      <c r="M2735" t="s">
        <v>323</v>
      </c>
      <c r="N2735" t="s">
        <v>63</v>
      </c>
      <c r="O2735" s="110">
        <v>39.9</v>
      </c>
      <c r="R2735" s="110">
        <v>329.89</v>
      </c>
      <c r="S2735" s="110">
        <v>70</v>
      </c>
      <c r="T2735" s="110">
        <v>0</v>
      </c>
      <c r="U2735" s="110">
        <v>42.99</v>
      </c>
      <c r="X2735">
        <v>156.99999999999997</v>
      </c>
      <c r="Y2735">
        <v>59.9</v>
      </c>
      <c r="Z2735">
        <v>59.9</v>
      </c>
      <c r="AA2735">
        <v>0</v>
      </c>
      <c r="AB2735" t="s">
        <v>363</v>
      </c>
      <c r="AF2735" t="s">
        <v>1134</v>
      </c>
      <c r="AG2735" t="s">
        <v>1134</v>
      </c>
      <c r="AH2735" t="s">
        <v>758</v>
      </c>
      <c r="AI2735">
        <v>99999</v>
      </c>
      <c r="AJ2735">
        <v>99999</v>
      </c>
      <c r="AK2735">
        <v>699</v>
      </c>
      <c r="AL2735" t="b">
        <v>1</v>
      </c>
      <c r="AM2735" t="b">
        <v>1</v>
      </c>
      <c r="AN2735" t="b">
        <v>1</v>
      </c>
      <c r="AO2735">
        <v>99999</v>
      </c>
      <c r="AP2735" t="s">
        <v>64</v>
      </c>
      <c r="AR2735" t="b">
        <v>0</v>
      </c>
      <c r="AS2735">
        <v>12</v>
      </c>
      <c r="AT2735" t="s">
        <v>327</v>
      </c>
      <c r="AV2735" t="s">
        <v>1158</v>
      </c>
    </row>
    <row r="2736" spans="1:48" x14ac:dyDescent="0.25">
      <c r="A2736" t="s">
        <v>3323</v>
      </c>
      <c r="B2736" t="s">
        <v>302</v>
      </c>
      <c r="C2736" t="s">
        <v>62</v>
      </c>
      <c r="D2736">
        <v>99999</v>
      </c>
      <c r="F2736" s="109">
        <v>7000</v>
      </c>
      <c r="G2736" t="b">
        <v>1</v>
      </c>
      <c r="H2736" t="s">
        <v>339</v>
      </c>
      <c r="K2736" t="s">
        <v>379</v>
      </c>
      <c r="L2736" t="s">
        <v>303</v>
      </c>
      <c r="M2736" t="s">
        <v>323</v>
      </c>
      <c r="N2736" t="s">
        <v>63</v>
      </c>
      <c r="O2736" s="110">
        <v>49.9</v>
      </c>
      <c r="R2736" s="110">
        <v>345.68999999999994</v>
      </c>
      <c r="S2736" s="110">
        <v>130</v>
      </c>
      <c r="T2736" s="110">
        <v>0</v>
      </c>
      <c r="U2736" s="110">
        <v>34.99</v>
      </c>
      <c r="X2736">
        <v>120.79999999999995</v>
      </c>
      <c r="Y2736">
        <v>59.9</v>
      </c>
      <c r="Z2736">
        <v>59.9</v>
      </c>
      <c r="AA2736">
        <v>0</v>
      </c>
      <c r="AB2736" t="s">
        <v>363</v>
      </c>
      <c r="AF2736" t="s">
        <v>2494</v>
      </c>
      <c r="AG2736" t="s">
        <v>2494</v>
      </c>
      <c r="AH2736" t="s">
        <v>758</v>
      </c>
      <c r="AI2736">
        <v>99999</v>
      </c>
      <c r="AJ2736">
        <v>99999</v>
      </c>
      <c r="AK2736">
        <v>699</v>
      </c>
      <c r="AL2736" t="b">
        <v>1</v>
      </c>
      <c r="AM2736" t="b">
        <v>1</v>
      </c>
      <c r="AN2736" t="b">
        <v>1</v>
      </c>
      <c r="AO2736">
        <v>99999</v>
      </c>
      <c r="AP2736" t="s">
        <v>64</v>
      </c>
      <c r="AR2736" t="b">
        <v>0</v>
      </c>
      <c r="AS2736">
        <v>12</v>
      </c>
      <c r="AT2736" t="s">
        <v>327</v>
      </c>
      <c r="AV2736" t="s">
        <v>2518</v>
      </c>
    </row>
    <row r="2737" spans="1:48" x14ac:dyDescent="0.25">
      <c r="A2737" t="s">
        <v>3323</v>
      </c>
      <c r="B2737" t="s">
        <v>302</v>
      </c>
      <c r="C2737" t="s">
        <v>62</v>
      </c>
      <c r="D2737">
        <v>99999</v>
      </c>
      <c r="F2737" s="109">
        <v>7000</v>
      </c>
      <c r="G2737" t="b">
        <v>1</v>
      </c>
      <c r="H2737" t="s">
        <v>339</v>
      </c>
      <c r="K2737" t="s">
        <v>379</v>
      </c>
      <c r="L2737" t="s">
        <v>303</v>
      </c>
      <c r="M2737" t="s">
        <v>323</v>
      </c>
      <c r="N2737" t="s">
        <v>63</v>
      </c>
      <c r="O2737" s="110">
        <v>49.9</v>
      </c>
      <c r="R2737" s="110">
        <v>359.98999999999995</v>
      </c>
      <c r="S2737" s="110">
        <v>130</v>
      </c>
      <c r="T2737" s="110">
        <v>0</v>
      </c>
      <c r="U2737" s="110">
        <v>42.99</v>
      </c>
      <c r="X2737">
        <v>127.09999999999997</v>
      </c>
      <c r="Y2737">
        <v>59.9</v>
      </c>
      <c r="Z2737">
        <v>59.9</v>
      </c>
      <c r="AA2737">
        <v>0</v>
      </c>
      <c r="AB2737" t="s">
        <v>363</v>
      </c>
      <c r="AF2737" t="s">
        <v>2568</v>
      </c>
      <c r="AG2737" t="s">
        <v>2568</v>
      </c>
      <c r="AH2737" t="s">
        <v>758</v>
      </c>
      <c r="AI2737">
        <v>99999</v>
      </c>
      <c r="AJ2737">
        <v>99999</v>
      </c>
      <c r="AK2737">
        <v>699</v>
      </c>
      <c r="AL2737" t="b">
        <v>1</v>
      </c>
      <c r="AM2737" t="b">
        <v>1</v>
      </c>
      <c r="AN2737" t="b">
        <v>1</v>
      </c>
      <c r="AO2737">
        <v>99999</v>
      </c>
      <c r="AP2737" t="s">
        <v>64</v>
      </c>
      <c r="AR2737" t="b">
        <v>0</v>
      </c>
      <c r="AS2737">
        <v>12</v>
      </c>
      <c r="AT2737" t="s">
        <v>327</v>
      </c>
      <c r="AV2737" t="s">
        <v>2592</v>
      </c>
    </row>
    <row r="2738" spans="1:48" x14ac:dyDescent="0.25">
      <c r="A2738" t="s">
        <v>3323</v>
      </c>
      <c r="B2738" t="s">
        <v>302</v>
      </c>
      <c r="C2738" t="s">
        <v>62</v>
      </c>
      <c r="D2738">
        <v>99999</v>
      </c>
      <c r="F2738" s="109">
        <v>7000</v>
      </c>
      <c r="G2738" t="b">
        <v>1</v>
      </c>
      <c r="H2738" t="s">
        <v>339</v>
      </c>
      <c r="K2738" t="s">
        <v>379</v>
      </c>
      <c r="L2738" t="s">
        <v>303</v>
      </c>
      <c r="M2738" t="s">
        <v>323</v>
      </c>
      <c r="N2738" t="s">
        <v>63</v>
      </c>
      <c r="O2738" s="110">
        <v>49.9</v>
      </c>
      <c r="R2738" s="110">
        <v>374.98999999999995</v>
      </c>
      <c r="S2738" s="110">
        <v>130</v>
      </c>
      <c r="T2738" s="110">
        <v>0</v>
      </c>
      <c r="U2738" s="110">
        <v>42.99</v>
      </c>
      <c r="X2738">
        <v>142.09999999999997</v>
      </c>
      <c r="Y2738">
        <v>59.9</v>
      </c>
      <c r="Z2738">
        <v>59.9</v>
      </c>
      <c r="AA2738">
        <v>0</v>
      </c>
      <c r="AB2738" t="s">
        <v>363</v>
      </c>
      <c r="AF2738" t="s">
        <v>2633</v>
      </c>
      <c r="AG2738" t="s">
        <v>2633</v>
      </c>
      <c r="AH2738" t="s">
        <v>758</v>
      </c>
      <c r="AI2738">
        <v>99999</v>
      </c>
      <c r="AJ2738">
        <v>99999</v>
      </c>
      <c r="AK2738">
        <v>699</v>
      </c>
      <c r="AL2738" t="b">
        <v>1</v>
      </c>
      <c r="AM2738" t="b">
        <v>1</v>
      </c>
      <c r="AN2738" t="b">
        <v>1</v>
      </c>
      <c r="AO2738">
        <v>99999</v>
      </c>
      <c r="AP2738" t="s">
        <v>64</v>
      </c>
      <c r="AR2738" t="b">
        <v>0</v>
      </c>
      <c r="AS2738">
        <v>12</v>
      </c>
      <c r="AT2738" t="s">
        <v>327</v>
      </c>
      <c r="AV2738" t="s">
        <v>2656</v>
      </c>
    </row>
    <row r="2739" spans="1:48" x14ac:dyDescent="0.25">
      <c r="A2739" t="s">
        <v>3323</v>
      </c>
      <c r="B2739" t="s">
        <v>302</v>
      </c>
      <c r="C2739" t="s">
        <v>62</v>
      </c>
      <c r="D2739">
        <v>99999</v>
      </c>
      <c r="F2739" s="109">
        <v>7000</v>
      </c>
      <c r="G2739" t="b">
        <v>1</v>
      </c>
      <c r="H2739" t="s">
        <v>339</v>
      </c>
      <c r="K2739" t="s">
        <v>379</v>
      </c>
      <c r="L2739" t="s">
        <v>303</v>
      </c>
      <c r="M2739" t="s">
        <v>323</v>
      </c>
      <c r="N2739" t="s">
        <v>63</v>
      </c>
      <c r="O2739" s="110">
        <v>49.9</v>
      </c>
      <c r="R2739" s="110">
        <v>389.89</v>
      </c>
      <c r="S2739" s="110">
        <v>130</v>
      </c>
      <c r="T2739" s="110">
        <v>0</v>
      </c>
      <c r="U2739" s="110">
        <v>42.99</v>
      </c>
      <c r="X2739">
        <v>156.99999999999997</v>
      </c>
      <c r="Y2739">
        <v>59.9</v>
      </c>
      <c r="Z2739">
        <v>59.9</v>
      </c>
      <c r="AA2739">
        <v>0</v>
      </c>
      <c r="AB2739" t="s">
        <v>363</v>
      </c>
      <c r="AF2739" t="s">
        <v>2704</v>
      </c>
      <c r="AG2739" t="s">
        <v>2704</v>
      </c>
      <c r="AH2739" t="s">
        <v>758</v>
      </c>
      <c r="AI2739">
        <v>99999</v>
      </c>
      <c r="AJ2739">
        <v>99999</v>
      </c>
      <c r="AK2739">
        <v>699</v>
      </c>
      <c r="AL2739" t="b">
        <v>1</v>
      </c>
      <c r="AM2739" t="b">
        <v>1</v>
      </c>
      <c r="AN2739" t="b">
        <v>1</v>
      </c>
      <c r="AO2739">
        <v>99999</v>
      </c>
      <c r="AP2739" t="s">
        <v>64</v>
      </c>
      <c r="AR2739" t="b">
        <v>0</v>
      </c>
      <c r="AS2739">
        <v>12</v>
      </c>
      <c r="AT2739" t="s">
        <v>327</v>
      </c>
      <c r="AV2739" t="s">
        <v>2728</v>
      </c>
    </row>
    <row r="2740" spans="1:48" x14ac:dyDescent="0.25">
      <c r="A2740" t="s">
        <v>3323</v>
      </c>
      <c r="B2740" t="s">
        <v>302</v>
      </c>
      <c r="C2740" t="s">
        <v>62</v>
      </c>
      <c r="D2740">
        <v>99999</v>
      </c>
      <c r="F2740" s="109">
        <v>7000</v>
      </c>
      <c r="G2740" t="b">
        <v>1</v>
      </c>
      <c r="H2740" t="s">
        <v>339</v>
      </c>
      <c r="K2740" t="s">
        <v>61</v>
      </c>
      <c r="L2740" t="s">
        <v>303</v>
      </c>
      <c r="M2740" t="s">
        <v>323</v>
      </c>
      <c r="N2740" t="s">
        <v>63</v>
      </c>
      <c r="O2740">
        <v>29.9</v>
      </c>
      <c r="R2740">
        <v>284.89</v>
      </c>
      <c r="S2740">
        <v>69.900000000000006</v>
      </c>
      <c r="T2740" s="110">
        <v>0</v>
      </c>
      <c r="U2740">
        <v>42.99</v>
      </c>
      <c r="X2740">
        <v>127.09999999999997</v>
      </c>
      <c r="Y2740">
        <v>44.9</v>
      </c>
      <c r="Z2740">
        <v>44.9</v>
      </c>
      <c r="AA2740">
        <v>0</v>
      </c>
      <c r="AB2740" t="s">
        <v>324</v>
      </c>
      <c r="AF2740" t="s">
        <v>757</v>
      </c>
      <c r="AG2740" t="s">
        <v>757</v>
      </c>
      <c r="AH2740" t="s">
        <v>758</v>
      </c>
      <c r="AI2740">
        <v>99999</v>
      </c>
      <c r="AJ2740">
        <v>99999</v>
      </c>
      <c r="AK2740">
        <v>699</v>
      </c>
      <c r="AL2740" t="b">
        <v>1</v>
      </c>
      <c r="AM2740" t="b">
        <v>1</v>
      </c>
      <c r="AN2740" t="b">
        <v>1</v>
      </c>
      <c r="AO2740">
        <v>99999</v>
      </c>
      <c r="AP2740" t="s">
        <v>64</v>
      </c>
      <c r="AR2740" t="b">
        <v>0</v>
      </c>
      <c r="AS2740">
        <v>12</v>
      </c>
      <c r="AT2740" t="s">
        <v>327</v>
      </c>
      <c r="AV2740" t="s">
        <v>769</v>
      </c>
    </row>
    <row r="2741" spans="1:48" x14ac:dyDescent="0.25">
      <c r="A2741" t="s">
        <v>3323</v>
      </c>
      <c r="B2741" t="s">
        <v>302</v>
      </c>
      <c r="C2741" t="s">
        <v>62</v>
      </c>
      <c r="D2741">
        <v>99999</v>
      </c>
      <c r="F2741" s="109">
        <v>7000</v>
      </c>
      <c r="G2741" t="b">
        <v>1</v>
      </c>
      <c r="H2741" t="s">
        <v>339</v>
      </c>
      <c r="K2741" t="s">
        <v>61</v>
      </c>
      <c r="L2741" t="s">
        <v>303</v>
      </c>
      <c r="M2741" t="s">
        <v>323</v>
      </c>
      <c r="N2741" t="s">
        <v>63</v>
      </c>
      <c r="O2741" s="110">
        <v>29.9</v>
      </c>
      <c r="R2741" s="110">
        <v>299.89</v>
      </c>
      <c r="S2741" s="110">
        <v>69.900000000000006</v>
      </c>
      <c r="T2741" s="110">
        <v>0</v>
      </c>
      <c r="U2741" s="110">
        <v>42.99</v>
      </c>
      <c r="X2741">
        <v>142.09999999999997</v>
      </c>
      <c r="Y2741">
        <v>44.9</v>
      </c>
      <c r="Z2741">
        <v>44.9</v>
      </c>
      <c r="AA2741">
        <v>0</v>
      </c>
      <c r="AB2741" t="s">
        <v>324</v>
      </c>
      <c r="AF2741" t="s">
        <v>892</v>
      </c>
      <c r="AG2741" t="s">
        <v>892</v>
      </c>
      <c r="AH2741" t="s">
        <v>758</v>
      </c>
      <c r="AI2741">
        <v>99999</v>
      </c>
      <c r="AJ2741">
        <v>99999</v>
      </c>
      <c r="AK2741">
        <v>699</v>
      </c>
      <c r="AL2741" t="b">
        <v>1</v>
      </c>
      <c r="AM2741" t="b">
        <v>1</v>
      </c>
      <c r="AN2741" t="b">
        <v>1</v>
      </c>
      <c r="AO2741">
        <v>99999</v>
      </c>
      <c r="AP2741" t="s">
        <v>64</v>
      </c>
      <c r="AR2741" t="b">
        <v>0</v>
      </c>
      <c r="AS2741">
        <v>12</v>
      </c>
      <c r="AT2741" t="s">
        <v>327</v>
      </c>
      <c r="AV2741" t="s">
        <v>903</v>
      </c>
    </row>
    <row r="2742" spans="1:48" x14ac:dyDescent="0.25">
      <c r="A2742" t="s">
        <v>3323</v>
      </c>
      <c r="B2742" t="s">
        <v>302</v>
      </c>
      <c r="C2742" t="s">
        <v>62</v>
      </c>
      <c r="D2742">
        <v>99999</v>
      </c>
      <c r="F2742" s="109">
        <v>7000</v>
      </c>
      <c r="G2742" t="b">
        <v>1</v>
      </c>
      <c r="H2742" t="s">
        <v>339</v>
      </c>
      <c r="K2742" t="s">
        <v>61</v>
      </c>
      <c r="L2742" t="s">
        <v>303</v>
      </c>
      <c r="M2742" t="s">
        <v>323</v>
      </c>
      <c r="N2742" t="s">
        <v>63</v>
      </c>
      <c r="O2742" s="110">
        <v>29.9</v>
      </c>
      <c r="R2742" s="110">
        <v>314.89</v>
      </c>
      <c r="S2742" s="110">
        <v>70</v>
      </c>
      <c r="T2742" s="110">
        <v>0</v>
      </c>
      <c r="U2742" s="110">
        <v>42.99</v>
      </c>
      <c r="X2742">
        <v>156.99999999999997</v>
      </c>
      <c r="Y2742">
        <v>44.9</v>
      </c>
      <c r="Z2742">
        <v>44.9</v>
      </c>
      <c r="AA2742">
        <v>0</v>
      </c>
      <c r="AB2742" t="s">
        <v>324</v>
      </c>
      <c r="AF2742" t="s">
        <v>1040</v>
      </c>
      <c r="AG2742" t="s">
        <v>1040</v>
      </c>
      <c r="AH2742" t="s">
        <v>758</v>
      </c>
      <c r="AI2742">
        <v>99999</v>
      </c>
      <c r="AJ2742">
        <v>99999</v>
      </c>
      <c r="AK2742">
        <v>699</v>
      </c>
      <c r="AL2742" t="b">
        <v>1</v>
      </c>
      <c r="AM2742" t="b">
        <v>1</v>
      </c>
      <c r="AN2742" t="b">
        <v>1</v>
      </c>
      <c r="AO2742">
        <v>99999</v>
      </c>
      <c r="AP2742" t="s">
        <v>64</v>
      </c>
      <c r="AR2742" t="b">
        <v>0</v>
      </c>
      <c r="AS2742">
        <v>12</v>
      </c>
      <c r="AT2742" t="s">
        <v>327</v>
      </c>
      <c r="AV2742" t="s">
        <v>1051</v>
      </c>
    </row>
    <row r="2743" spans="1:48" x14ac:dyDescent="0.25">
      <c r="A2743" t="s">
        <v>3323</v>
      </c>
      <c r="B2743" t="s">
        <v>302</v>
      </c>
      <c r="C2743" t="s">
        <v>62</v>
      </c>
      <c r="D2743">
        <v>99999</v>
      </c>
      <c r="F2743" s="109">
        <v>7000</v>
      </c>
      <c r="G2743" t="b">
        <v>1</v>
      </c>
      <c r="H2743" t="s">
        <v>339</v>
      </c>
      <c r="K2743" t="s">
        <v>61</v>
      </c>
      <c r="L2743" t="s">
        <v>303</v>
      </c>
      <c r="M2743" t="s">
        <v>323</v>
      </c>
      <c r="N2743" t="s">
        <v>63</v>
      </c>
      <c r="O2743" s="110">
        <v>39.9</v>
      </c>
      <c r="R2743" s="110">
        <v>284.89</v>
      </c>
      <c r="S2743" s="110">
        <v>69.900000000000006</v>
      </c>
      <c r="T2743" s="110">
        <v>0</v>
      </c>
      <c r="U2743" s="110">
        <v>42.99</v>
      </c>
      <c r="X2743">
        <v>127.09999999999997</v>
      </c>
      <c r="Y2743">
        <v>44.9</v>
      </c>
      <c r="Z2743">
        <v>44.9</v>
      </c>
      <c r="AA2743">
        <v>0</v>
      </c>
      <c r="AB2743" t="s">
        <v>324</v>
      </c>
      <c r="AF2743" t="s">
        <v>825</v>
      </c>
      <c r="AG2743" t="s">
        <v>825</v>
      </c>
      <c r="AH2743" t="s">
        <v>758</v>
      </c>
      <c r="AI2743">
        <v>99999</v>
      </c>
      <c r="AJ2743">
        <v>99999</v>
      </c>
      <c r="AK2743">
        <v>699</v>
      </c>
      <c r="AL2743" t="b">
        <v>1</v>
      </c>
      <c r="AM2743" t="b">
        <v>1</v>
      </c>
      <c r="AN2743" t="b">
        <v>1</v>
      </c>
      <c r="AO2743">
        <v>99999</v>
      </c>
      <c r="AP2743" t="s">
        <v>64</v>
      </c>
      <c r="AR2743" t="b">
        <v>0</v>
      </c>
      <c r="AS2743">
        <v>12</v>
      </c>
      <c r="AT2743" t="s">
        <v>327</v>
      </c>
      <c r="AV2743" t="s">
        <v>836</v>
      </c>
    </row>
    <row r="2744" spans="1:48" x14ac:dyDescent="0.25">
      <c r="A2744" t="s">
        <v>3323</v>
      </c>
      <c r="B2744" t="s">
        <v>302</v>
      </c>
      <c r="C2744" t="s">
        <v>62</v>
      </c>
      <c r="D2744">
        <v>99999</v>
      </c>
      <c r="F2744" s="109">
        <v>7000</v>
      </c>
      <c r="G2744" t="b">
        <v>1</v>
      </c>
      <c r="H2744" t="s">
        <v>339</v>
      </c>
      <c r="K2744" t="s">
        <v>61</v>
      </c>
      <c r="L2744" t="s">
        <v>303</v>
      </c>
      <c r="M2744" t="s">
        <v>323</v>
      </c>
      <c r="N2744" t="s">
        <v>63</v>
      </c>
      <c r="O2744" s="110">
        <v>39.9</v>
      </c>
      <c r="R2744" s="110">
        <v>299.89</v>
      </c>
      <c r="S2744" s="110">
        <v>69.900000000000006</v>
      </c>
      <c r="T2744" s="110">
        <v>0</v>
      </c>
      <c r="U2744" s="110">
        <v>42.99</v>
      </c>
      <c r="X2744">
        <v>142.09999999999997</v>
      </c>
      <c r="Y2744">
        <v>44.9</v>
      </c>
      <c r="Z2744">
        <v>44.9</v>
      </c>
      <c r="AA2744">
        <v>0</v>
      </c>
      <c r="AB2744" t="s">
        <v>324</v>
      </c>
      <c r="AF2744" t="s">
        <v>959</v>
      </c>
      <c r="AG2744" t="s">
        <v>959</v>
      </c>
      <c r="AH2744" t="s">
        <v>758</v>
      </c>
      <c r="AI2744">
        <v>99999</v>
      </c>
      <c r="AJ2744">
        <v>99999</v>
      </c>
      <c r="AK2744">
        <v>699</v>
      </c>
      <c r="AL2744" t="b">
        <v>1</v>
      </c>
      <c r="AM2744" t="b">
        <v>1</v>
      </c>
      <c r="AN2744" t="b">
        <v>1</v>
      </c>
      <c r="AO2744">
        <v>99999</v>
      </c>
      <c r="AP2744" t="s">
        <v>64</v>
      </c>
      <c r="AR2744" t="b">
        <v>0</v>
      </c>
      <c r="AS2744">
        <v>12</v>
      </c>
      <c r="AT2744" t="s">
        <v>327</v>
      </c>
      <c r="AV2744" t="s">
        <v>970</v>
      </c>
    </row>
    <row r="2745" spans="1:48" x14ac:dyDescent="0.25">
      <c r="A2745" t="s">
        <v>3323</v>
      </c>
      <c r="B2745" t="s">
        <v>302</v>
      </c>
      <c r="C2745" t="s">
        <v>62</v>
      </c>
      <c r="D2745">
        <v>99999</v>
      </c>
      <c r="F2745" s="109">
        <v>7000</v>
      </c>
      <c r="G2745" t="b">
        <v>1</v>
      </c>
      <c r="H2745" t="s">
        <v>339</v>
      </c>
      <c r="K2745" t="s">
        <v>61</v>
      </c>
      <c r="L2745" t="s">
        <v>303</v>
      </c>
      <c r="M2745" t="s">
        <v>323</v>
      </c>
      <c r="N2745" t="s">
        <v>63</v>
      </c>
      <c r="O2745" s="110">
        <v>39.9</v>
      </c>
      <c r="R2745" s="110">
        <v>314.89</v>
      </c>
      <c r="S2745" s="110">
        <v>70</v>
      </c>
      <c r="T2745" s="110">
        <v>0</v>
      </c>
      <c r="U2745" s="110">
        <v>42.99</v>
      </c>
      <c r="X2745">
        <v>156.99999999999997</v>
      </c>
      <c r="Y2745">
        <v>44.9</v>
      </c>
      <c r="Z2745">
        <v>44.9</v>
      </c>
      <c r="AA2745">
        <v>0</v>
      </c>
      <c r="AB2745" t="s">
        <v>324</v>
      </c>
      <c r="AF2745" t="s">
        <v>1107</v>
      </c>
      <c r="AG2745" t="s">
        <v>1107</v>
      </c>
      <c r="AH2745" t="s">
        <v>758</v>
      </c>
      <c r="AI2745">
        <v>99999</v>
      </c>
      <c r="AJ2745">
        <v>99999</v>
      </c>
      <c r="AK2745">
        <v>699</v>
      </c>
      <c r="AL2745" t="b">
        <v>1</v>
      </c>
      <c r="AM2745" t="b">
        <v>1</v>
      </c>
      <c r="AN2745" t="b">
        <v>1</v>
      </c>
      <c r="AO2745">
        <v>99999</v>
      </c>
      <c r="AP2745" t="s">
        <v>64</v>
      </c>
      <c r="AR2745" t="b">
        <v>0</v>
      </c>
      <c r="AS2745">
        <v>12</v>
      </c>
      <c r="AT2745" t="s">
        <v>327</v>
      </c>
      <c r="AV2745" t="s">
        <v>1118</v>
      </c>
    </row>
    <row r="2746" spans="1:48" x14ac:dyDescent="0.25">
      <c r="A2746" t="s">
        <v>3323</v>
      </c>
      <c r="B2746" t="s">
        <v>302</v>
      </c>
      <c r="C2746" t="s">
        <v>62</v>
      </c>
      <c r="D2746">
        <v>99999</v>
      </c>
      <c r="F2746" s="109">
        <v>7000</v>
      </c>
      <c r="G2746" t="b">
        <v>1</v>
      </c>
      <c r="H2746" t="s">
        <v>339</v>
      </c>
      <c r="K2746" t="s">
        <v>61</v>
      </c>
      <c r="L2746" t="s">
        <v>303</v>
      </c>
      <c r="M2746" t="s">
        <v>323</v>
      </c>
      <c r="N2746" t="s">
        <v>63</v>
      </c>
      <c r="O2746" s="110">
        <v>49.9</v>
      </c>
      <c r="R2746" s="110">
        <v>330.68999999999994</v>
      </c>
      <c r="S2746" s="110">
        <v>130</v>
      </c>
      <c r="T2746" s="110">
        <v>0</v>
      </c>
      <c r="U2746" s="110">
        <v>34.99</v>
      </c>
      <c r="X2746">
        <v>120.79999999999995</v>
      </c>
      <c r="Y2746">
        <v>44.9</v>
      </c>
      <c r="Z2746">
        <v>44.9</v>
      </c>
      <c r="AA2746">
        <v>0</v>
      </c>
      <c r="AB2746" t="s">
        <v>324</v>
      </c>
      <c r="AF2746" t="s">
        <v>2467</v>
      </c>
      <c r="AG2746" t="s">
        <v>2467</v>
      </c>
      <c r="AH2746" t="s">
        <v>758</v>
      </c>
      <c r="AI2746">
        <v>99999</v>
      </c>
      <c r="AJ2746">
        <v>99999</v>
      </c>
      <c r="AK2746">
        <v>699</v>
      </c>
      <c r="AL2746" t="b">
        <v>1</v>
      </c>
      <c r="AM2746" t="b">
        <v>1</v>
      </c>
      <c r="AN2746" t="b">
        <v>1</v>
      </c>
      <c r="AO2746">
        <v>99999</v>
      </c>
      <c r="AP2746" t="s">
        <v>64</v>
      </c>
      <c r="AR2746" t="b">
        <v>0</v>
      </c>
      <c r="AS2746">
        <v>12</v>
      </c>
      <c r="AT2746" t="s">
        <v>327</v>
      </c>
      <c r="AV2746" t="s">
        <v>2478</v>
      </c>
    </row>
    <row r="2747" spans="1:48" x14ac:dyDescent="0.25">
      <c r="A2747" t="s">
        <v>3323</v>
      </c>
      <c r="B2747" t="s">
        <v>302</v>
      </c>
      <c r="C2747" t="s">
        <v>62</v>
      </c>
      <c r="D2747">
        <v>99999</v>
      </c>
      <c r="F2747" s="109">
        <v>7000</v>
      </c>
      <c r="G2747" t="b">
        <v>1</v>
      </c>
      <c r="H2747" t="s">
        <v>339</v>
      </c>
      <c r="K2747" t="s">
        <v>61</v>
      </c>
      <c r="L2747" t="s">
        <v>303</v>
      </c>
      <c r="M2747" t="s">
        <v>323</v>
      </c>
      <c r="N2747" t="s">
        <v>63</v>
      </c>
      <c r="O2747" s="110">
        <v>49.9</v>
      </c>
      <c r="R2747" s="110">
        <v>344.98999999999995</v>
      </c>
      <c r="S2747" s="110">
        <v>130</v>
      </c>
      <c r="T2747" s="110">
        <v>0</v>
      </c>
      <c r="U2747" s="110">
        <v>42.99</v>
      </c>
      <c r="X2747">
        <v>127.09999999999997</v>
      </c>
      <c r="Y2747">
        <v>44.9</v>
      </c>
      <c r="Z2747">
        <v>44.9</v>
      </c>
      <c r="AA2747">
        <v>0</v>
      </c>
      <c r="AB2747" t="s">
        <v>324</v>
      </c>
      <c r="AF2747" t="s">
        <v>2541</v>
      </c>
      <c r="AG2747" t="s">
        <v>2541</v>
      </c>
      <c r="AH2747" t="s">
        <v>758</v>
      </c>
      <c r="AI2747">
        <v>99999</v>
      </c>
      <c r="AJ2747">
        <v>99999</v>
      </c>
      <c r="AK2747">
        <v>699</v>
      </c>
      <c r="AL2747" t="b">
        <v>1</v>
      </c>
      <c r="AM2747" t="b">
        <v>1</v>
      </c>
      <c r="AN2747" t="b">
        <v>1</v>
      </c>
      <c r="AO2747">
        <v>99999</v>
      </c>
      <c r="AP2747" t="s">
        <v>64</v>
      </c>
      <c r="AR2747" t="b">
        <v>0</v>
      </c>
      <c r="AS2747">
        <v>12</v>
      </c>
      <c r="AT2747" t="s">
        <v>327</v>
      </c>
      <c r="AV2747" t="s">
        <v>2552</v>
      </c>
    </row>
    <row r="2748" spans="1:48" x14ac:dyDescent="0.25">
      <c r="A2748" t="s">
        <v>3323</v>
      </c>
      <c r="B2748" t="s">
        <v>302</v>
      </c>
      <c r="C2748" t="s">
        <v>62</v>
      </c>
      <c r="D2748">
        <v>99999</v>
      </c>
      <c r="F2748" s="109">
        <v>7000</v>
      </c>
      <c r="G2748" t="b">
        <v>1</v>
      </c>
      <c r="H2748" t="s">
        <v>339</v>
      </c>
      <c r="K2748" t="s">
        <v>61</v>
      </c>
      <c r="L2748" t="s">
        <v>303</v>
      </c>
      <c r="M2748" t="s">
        <v>323</v>
      </c>
      <c r="N2748" t="s">
        <v>63</v>
      </c>
      <c r="O2748" s="110">
        <v>49.9</v>
      </c>
      <c r="R2748" s="110">
        <v>359.98999999999995</v>
      </c>
      <c r="S2748" s="110">
        <v>130</v>
      </c>
      <c r="T2748" s="110">
        <v>0</v>
      </c>
      <c r="U2748" s="110">
        <v>42.99</v>
      </c>
      <c r="X2748">
        <v>142.09999999999997</v>
      </c>
      <c r="Y2748">
        <v>44.9</v>
      </c>
      <c r="Z2748">
        <v>44.9</v>
      </c>
      <c r="AA2748">
        <v>0</v>
      </c>
      <c r="AB2748" t="s">
        <v>324</v>
      </c>
      <c r="AF2748" t="s">
        <v>2608</v>
      </c>
      <c r="AG2748" t="s">
        <v>2608</v>
      </c>
      <c r="AH2748" t="s">
        <v>758</v>
      </c>
      <c r="AI2748">
        <v>99999</v>
      </c>
      <c r="AJ2748">
        <v>99999</v>
      </c>
      <c r="AK2748">
        <v>699</v>
      </c>
      <c r="AL2748" t="b">
        <v>1</v>
      </c>
      <c r="AM2748" t="b">
        <v>1</v>
      </c>
      <c r="AN2748" t="b">
        <v>1</v>
      </c>
      <c r="AO2748">
        <v>99999</v>
      </c>
      <c r="AP2748" t="s">
        <v>64</v>
      </c>
      <c r="AR2748" t="b">
        <v>0</v>
      </c>
      <c r="AS2748">
        <v>12</v>
      </c>
      <c r="AT2748" t="s">
        <v>327</v>
      </c>
      <c r="AV2748" t="s">
        <v>2619</v>
      </c>
    </row>
    <row r="2749" spans="1:48" x14ac:dyDescent="0.25">
      <c r="A2749" t="s">
        <v>3323</v>
      </c>
      <c r="B2749" t="s">
        <v>302</v>
      </c>
      <c r="C2749" t="s">
        <v>62</v>
      </c>
      <c r="D2749">
        <v>99999</v>
      </c>
      <c r="F2749" s="109">
        <v>7000</v>
      </c>
      <c r="G2749" t="b">
        <v>1</v>
      </c>
      <c r="H2749" t="s">
        <v>339</v>
      </c>
      <c r="K2749" t="s">
        <v>61</v>
      </c>
      <c r="L2749" t="s">
        <v>303</v>
      </c>
      <c r="M2749" t="s">
        <v>323</v>
      </c>
      <c r="N2749" t="s">
        <v>63</v>
      </c>
      <c r="O2749" s="110">
        <v>49.9</v>
      </c>
      <c r="R2749" s="110">
        <v>374.89</v>
      </c>
      <c r="S2749" s="110">
        <v>130</v>
      </c>
      <c r="T2749" s="110">
        <v>0</v>
      </c>
      <c r="U2749" s="110">
        <v>42.99</v>
      </c>
      <c r="X2749">
        <v>156.99999999999997</v>
      </c>
      <c r="Y2749">
        <v>44.9</v>
      </c>
      <c r="Z2749">
        <v>44.9</v>
      </c>
      <c r="AA2749">
        <v>0</v>
      </c>
      <c r="AB2749" t="s">
        <v>324</v>
      </c>
      <c r="AF2749" t="s">
        <v>2677</v>
      </c>
      <c r="AG2749" t="s">
        <v>2677</v>
      </c>
      <c r="AH2749" t="s">
        <v>758</v>
      </c>
      <c r="AI2749">
        <v>99999</v>
      </c>
      <c r="AJ2749">
        <v>99999</v>
      </c>
      <c r="AK2749">
        <v>699</v>
      </c>
      <c r="AL2749" t="b">
        <v>1</v>
      </c>
      <c r="AM2749" t="b">
        <v>1</v>
      </c>
      <c r="AN2749" t="b">
        <v>1</v>
      </c>
      <c r="AO2749">
        <v>99999</v>
      </c>
      <c r="AP2749" t="s">
        <v>64</v>
      </c>
      <c r="AR2749" t="b">
        <v>0</v>
      </c>
      <c r="AS2749">
        <v>12</v>
      </c>
      <c r="AT2749" t="s">
        <v>327</v>
      </c>
      <c r="AV2749" t="s">
        <v>2688</v>
      </c>
    </row>
    <row r="2750" spans="1:48" x14ac:dyDescent="0.25">
      <c r="A2750" t="s">
        <v>3323</v>
      </c>
      <c r="B2750" t="s">
        <v>302</v>
      </c>
      <c r="C2750" t="s">
        <v>62</v>
      </c>
      <c r="D2750">
        <v>99999</v>
      </c>
      <c r="F2750" s="109">
        <v>7000</v>
      </c>
      <c r="G2750" t="b">
        <v>1</v>
      </c>
      <c r="H2750" t="s">
        <v>337</v>
      </c>
      <c r="K2750" t="s">
        <v>349</v>
      </c>
      <c r="L2750" t="s">
        <v>303</v>
      </c>
      <c r="M2750" t="s">
        <v>323</v>
      </c>
      <c r="N2750" t="s">
        <v>63</v>
      </c>
      <c r="O2750" s="110">
        <v>29.9</v>
      </c>
      <c r="R2750" s="110">
        <v>259.89</v>
      </c>
      <c r="S2750" s="110">
        <v>69.900000000000006</v>
      </c>
      <c r="T2750" s="110">
        <v>0</v>
      </c>
      <c r="U2750" s="110">
        <v>42.99</v>
      </c>
      <c r="X2750">
        <v>102.1</v>
      </c>
      <c r="Y2750">
        <v>44.9</v>
      </c>
      <c r="Z2750">
        <v>44.9</v>
      </c>
      <c r="AA2750">
        <v>0</v>
      </c>
      <c r="AB2750" t="s">
        <v>324</v>
      </c>
      <c r="AF2750" t="s">
        <v>757</v>
      </c>
      <c r="AG2750" t="s">
        <v>757</v>
      </c>
      <c r="AH2750" t="s">
        <v>758</v>
      </c>
      <c r="AI2750">
        <v>99999</v>
      </c>
      <c r="AJ2750">
        <v>99999</v>
      </c>
      <c r="AK2750">
        <v>699</v>
      </c>
      <c r="AL2750" t="b">
        <v>1</v>
      </c>
      <c r="AM2750" t="b">
        <v>1</v>
      </c>
      <c r="AN2750" t="b">
        <v>1</v>
      </c>
      <c r="AO2750">
        <v>99999</v>
      </c>
      <c r="AP2750" t="s">
        <v>64</v>
      </c>
      <c r="AR2750" t="b">
        <v>0</v>
      </c>
      <c r="AS2750">
        <v>12</v>
      </c>
      <c r="AT2750" t="s">
        <v>327</v>
      </c>
      <c r="AV2750" t="s">
        <v>781</v>
      </c>
    </row>
    <row r="2751" spans="1:48" x14ac:dyDescent="0.25">
      <c r="A2751" t="s">
        <v>3323</v>
      </c>
      <c r="B2751" t="s">
        <v>302</v>
      </c>
      <c r="C2751" t="s">
        <v>62</v>
      </c>
      <c r="D2751">
        <v>99999</v>
      </c>
      <c r="F2751" s="109">
        <v>7000</v>
      </c>
      <c r="G2751" t="b">
        <v>1</v>
      </c>
      <c r="H2751" t="s">
        <v>337</v>
      </c>
      <c r="K2751" t="s">
        <v>349</v>
      </c>
      <c r="L2751" t="s">
        <v>303</v>
      </c>
      <c r="M2751" t="s">
        <v>323</v>
      </c>
      <c r="N2751" t="s">
        <v>63</v>
      </c>
      <c r="O2751" s="110">
        <v>29.9</v>
      </c>
      <c r="R2751" s="110">
        <v>274.89</v>
      </c>
      <c r="S2751" s="110">
        <v>69.900000000000006</v>
      </c>
      <c r="T2751" s="110">
        <v>0</v>
      </c>
      <c r="U2751" s="110">
        <v>42.99</v>
      </c>
      <c r="X2751">
        <v>117.1</v>
      </c>
      <c r="Y2751">
        <v>44.9</v>
      </c>
      <c r="Z2751">
        <v>44.9</v>
      </c>
      <c r="AA2751">
        <v>0</v>
      </c>
      <c r="AB2751" t="s">
        <v>324</v>
      </c>
      <c r="AF2751" t="s">
        <v>892</v>
      </c>
      <c r="AG2751" t="s">
        <v>892</v>
      </c>
      <c r="AH2751" t="s">
        <v>758</v>
      </c>
      <c r="AI2751">
        <v>99999</v>
      </c>
      <c r="AJ2751">
        <v>99999</v>
      </c>
      <c r="AK2751">
        <v>699</v>
      </c>
      <c r="AL2751" t="b">
        <v>1</v>
      </c>
      <c r="AM2751" t="b">
        <v>1</v>
      </c>
      <c r="AN2751" t="b">
        <v>1</v>
      </c>
      <c r="AO2751">
        <v>99999</v>
      </c>
      <c r="AP2751" t="s">
        <v>64</v>
      </c>
      <c r="AR2751" t="b">
        <v>0</v>
      </c>
      <c r="AS2751">
        <v>12</v>
      </c>
      <c r="AT2751" t="s">
        <v>327</v>
      </c>
      <c r="AV2751" t="s">
        <v>915</v>
      </c>
    </row>
    <row r="2752" spans="1:48" x14ac:dyDescent="0.25">
      <c r="A2752" t="s">
        <v>3323</v>
      </c>
      <c r="B2752" t="s">
        <v>302</v>
      </c>
      <c r="C2752" t="s">
        <v>62</v>
      </c>
      <c r="D2752">
        <v>99999</v>
      </c>
      <c r="F2752" s="109">
        <v>7000</v>
      </c>
      <c r="G2752" t="b">
        <v>1</v>
      </c>
      <c r="H2752" t="s">
        <v>337</v>
      </c>
      <c r="K2752" t="s">
        <v>349</v>
      </c>
      <c r="L2752" t="s">
        <v>303</v>
      </c>
      <c r="M2752" t="s">
        <v>323</v>
      </c>
      <c r="N2752" t="s">
        <v>63</v>
      </c>
      <c r="O2752" s="110">
        <v>29.9</v>
      </c>
      <c r="R2752" s="110">
        <v>289.89</v>
      </c>
      <c r="S2752" s="110">
        <v>70</v>
      </c>
      <c r="T2752" s="110">
        <v>0</v>
      </c>
      <c r="U2752" s="110">
        <v>42.99</v>
      </c>
      <c r="X2752">
        <v>132</v>
      </c>
      <c r="Y2752">
        <v>44.9</v>
      </c>
      <c r="Z2752">
        <v>44.9</v>
      </c>
      <c r="AA2752">
        <v>0</v>
      </c>
      <c r="AB2752" t="s">
        <v>324</v>
      </c>
      <c r="AF2752" t="s">
        <v>1040</v>
      </c>
      <c r="AG2752" t="s">
        <v>1040</v>
      </c>
      <c r="AH2752" t="s">
        <v>758</v>
      </c>
      <c r="AI2752">
        <v>99999</v>
      </c>
      <c r="AJ2752">
        <v>99999</v>
      </c>
      <c r="AK2752">
        <v>699</v>
      </c>
      <c r="AL2752" t="b">
        <v>1</v>
      </c>
      <c r="AM2752" t="b">
        <v>1</v>
      </c>
      <c r="AN2752" t="b">
        <v>1</v>
      </c>
      <c r="AO2752">
        <v>99999</v>
      </c>
      <c r="AP2752" t="s">
        <v>64</v>
      </c>
      <c r="AR2752" t="b">
        <v>0</v>
      </c>
      <c r="AS2752">
        <v>12</v>
      </c>
      <c r="AT2752" t="s">
        <v>327</v>
      </c>
      <c r="AV2752" t="s">
        <v>1063</v>
      </c>
    </row>
    <row r="2753" spans="1:48" x14ac:dyDescent="0.25">
      <c r="A2753" t="s">
        <v>3323</v>
      </c>
      <c r="B2753" t="s">
        <v>302</v>
      </c>
      <c r="C2753" t="s">
        <v>62</v>
      </c>
      <c r="D2753">
        <v>99999</v>
      </c>
      <c r="F2753" s="109">
        <v>7000</v>
      </c>
      <c r="G2753" t="b">
        <v>1</v>
      </c>
      <c r="H2753" t="s">
        <v>337</v>
      </c>
      <c r="K2753" t="s">
        <v>349</v>
      </c>
      <c r="L2753" t="s">
        <v>303</v>
      </c>
      <c r="M2753" t="s">
        <v>323</v>
      </c>
      <c r="N2753" t="s">
        <v>63</v>
      </c>
      <c r="O2753" s="110">
        <v>39.9</v>
      </c>
      <c r="R2753" s="110">
        <v>259.89</v>
      </c>
      <c r="S2753" s="110">
        <v>69.900000000000006</v>
      </c>
      <c r="T2753" s="110">
        <v>0</v>
      </c>
      <c r="U2753" s="110">
        <v>42.99</v>
      </c>
      <c r="X2753">
        <v>102.1</v>
      </c>
      <c r="Y2753">
        <v>44.9</v>
      </c>
      <c r="Z2753">
        <v>44.9</v>
      </c>
      <c r="AA2753">
        <v>0</v>
      </c>
      <c r="AB2753" t="s">
        <v>324</v>
      </c>
      <c r="AF2753" t="s">
        <v>825</v>
      </c>
      <c r="AG2753" t="s">
        <v>825</v>
      </c>
      <c r="AH2753" t="s">
        <v>758</v>
      </c>
      <c r="AI2753">
        <v>99999</v>
      </c>
      <c r="AJ2753">
        <v>99999</v>
      </c>
      <c r="AK2753">
        <v>699</v>
      </c>
      <c r="AL2753" t="b">
        <v>1</v>
      </c>
      <c r="AM2753" t="b">
        <v>1</v>
      </c>
      <c r="AN2753" t="b">
        <v>1</v>
      </c>
      <c r="AO2753">
        <v>99999</v>
      </c>
      <c r="AP2753" t="s">
        <v>64</v>
      </c>
      <c r="AR2753" t="b">
        <v>0</v>
      </c>
      <c r="AS2753">
        <v>12</v>
      </c>
      <c r="AT2753" t="s">
        <v>327</v>
      </c>
      <c r="AV2753" t="s">
        <v>848</v>
      </c>
    </row>
    <row r="2754" spans="1:48" x14ac:dyDescent="0.25">
      <c r="A2754" t="s">
        <v>3323</v>
      </c>
      <c r="B2754" t="s">
        <v>302</v>
      </c>
      <c r="C2754" t="s">
        <v>62</v>
      </c>
      <c r="D2754">
        <v>99999</v>
      </c>
      <c r="F2754" s="109">
        <v>7000</v>
      </c>
      <c r="G2754" t="b">
        <v>1</v>
      </c>
      <c r="H2754" t="s">
        <v>337</v>
      </c>
      <c r="K2754" t="s">
        <v>349</v>
      </c>
      <c r="L2754" t="s">
        <v>303</v>
      </c>
      <c r="M2754" t="s">
        <v>323</v>
      </c>
      <c r="N2754" t="s">
        <v>63</v>
      </c>
      <c r="O2754" s="110">
        <v>39.9</v>
      </c>
      <c r="R2754" s="110">
        <v>274.89</v>
      </c>
      <c r="S2754" s="110">
        <v>69.900000000000006</v>
      </c>
      <c r="T2754" s="110">
        <v>0</v>
      </c>
      <c r="U2754" s="110">
        <v>42.99</v>
      </c>
      <c r="X2754">
        <v>117.1</v>
      </c>
      <c r="Y2754">
        <v>44.9</v>
      </c>
      <c r="Z2754">
        <v>44.9</v>
      </c>
      <c r="AA2754">
        <v>0</v>
      </c>
      <c r="AB2754" t="s">
        <v>324</v>
      </c>
      <c r="AF2754" t="s">
        <v>959</v>
      </c>
      <c r="AG2754" t="s">
        <v>959</v>
      </c>
      <c r="AH2754" t="s">
        <v>758</v>
      </c>
      <c r="AI2754">
        <v>99999</v>
      </c>
      <c r="AJ2754">
        <v>99999</v>
      </c>
      <c r="AK2754">
        <v>699</v>
      </c>
      <c r="AL2754" t="b">
        <v>1</v>
      </c>
      <c r="AM2754" t="b">
        <v>1</v>
      </c>
      <c r="AN2754" t="b">
        <v>1</v>
      </c>
      <c r="AO2754">
        <v>99999</v>
      </c>
      <c r="AP2754" t="s">
        <v>64</v>
      </c>
      <c r="AR2754" t="b">
        <v>0</v>
      </c>
      <c r="AS2754">
        <v>12</v>
      </c>
      <c r="AT2754" t="s">
        <v>327</v>
      </c>
      <c r="AV2754" t="s">
        <v>982</v>
      </c>
    </row>
    <row r="2755" spans="1:48" x14ac:dyDescent="0.25">
      <c r="A2755" t="s">
        <v>3323</v>
      </c>
      <c r="B2755" t="s">
        <v>302</v>
      </c>
      <c r="C2755" t="s">
        <v>62</v>
      </c>
      <c r="D2755">
        <v>99999</v>
      </c>
      <c r="F2755" s="109">
        <v>7000</v>
      </c>
      <c r="G2755" t="b">
        <v>1</v>
      </c>
      <c r="H2755" t="s">
        <v>337</v>
      </c>
      <c r="K2755" t="s">
        <v>349</v>
      </c>
      <c r="L2755" t="s">
        <v>303</v>
      </c>
      <c r="M2755" t="s">
        <v>323</v>
      </c>
      <c r="N2755" t="s">
        <v>63</v>
      </c>
      <c r="O2755" s="110">
        <v>39.9</v>
      </c>
      <c r="R2755" s="110">
        <v>289.89</v>
      </c>
      <c r="S2755" s="110">
        <v>70</v>
      </c>
      <c r="T2755" s="110">
        <v>0</v>
      </c>
      <c r="U2755" s="110">
        <v>42.99</v>
      </c>
      <c r="X2755">
        <v>132</v>
      </c>
      <c r="Y2755">
        <v>44.9</v>
      </c>
      <c r="Z2755">
        <v>44.9</v>
      </c>
      <c r="AA2755">
        <v>0</v>
      </c>
      <c r="AB2755" t="s">
        <v>324</v>
      </c>
      <c r="AF2755" t="s">
        <v>1107</v>
      </c>
      <c r="AG2755" t="s">
        <v>1107</v>
      </c>
      <c r="AH2755" t="s">
        <v>758</v>
      </c>
      <c r="AI2755">
        <v>99999</v>
      </c>
      <c r="AJ2755">
        <v>99999</v>
      </c>
      <c r="AK2755">
        <v>699</v>
      </c>
      <c r="AL2755" t="b">
        <v>1</v>
      </c>
      <c r="AM2755" t="b">
        <v>1</v>
      </c>
      <c r="AN2755" t="b">
        <v>1</v>
      </c>
      <c r="AO2755">
        <v>99999</v>
      </c>
      <c r="AP2755" t="s">
        <v>64</v>
      </c>
      <c r="AR2755" t="b">
        <v>0</v>
      </c>
      <c r="AS2755">
        <v>12</v>
      </c>
      <c r="AT2755" t="s">
        <v>327</v>
      </c>
      <c r="AV2755" t="s">
        <v>1130</v>
      </c>
    </row>
    <row r="2756" spans="1:48" x14ac:dyDescent="0.25">
      <c r="A2756" t="s">
        <v>3323</v>
      </c>
      <c r="B2756" t="s">
        <v>302</v>
      </c>
      <c r="C2756" t="s">
        <v>62</v>
      </c>
      <c r="D2756">
        <v>99999</v>
      </c>
      <c r="F2756" s="109">
        <v>7000</v>
      </c>
      <c r="G2756" t="b">
        <v>1</v>
      </c>
      <c r="H2756" t="s">
        <v>337</v>
      </c>
      <c r="K2756" t="s">
        <v>349</v>
      </c>
      <c r="L2756" t="s">
        <v>303</v>
      </c>
      <c r="M2756" t="s">
        <v>323</v>
      </c>
      <c r="N2756" t="s">
        <v>63</v>
      </c>
      <c r="O2756" s="110">
        <v>49.9</v>
      </c>
      <c r="R2756" s="110">
        <v>305.68999999999994</v>
      </c>
      <c r="S2756" s="110">
        <v>130</v>
      </c>
      <c r="T2756" s="110">
        <v>0</v>
      </c>
      <c r="U2756" s="110">
        <v>34.99</v>
      </c>
      <c r="X2756">
        <v>95.799999999999983</v>
      </c>
      <c r="Y2756">
        <v>44.9</v>
      </c>
      <c r="Z2756">
        <v>44.9</v>
      </c>
      <c r="AA2756">
        <v>0</v>
      </c>
      <c r="AB2756" t="s">
        <v>324</v>
      </c>
      <c r="AF2756" t="s">
        <v>2467</v>
      </c>
      <c r="AG2756" t="s">
        <v>2467</v>
      </c>
      <c r="AH2756" t="s">
        <v>758</v>
      </c>
      <c r="AI2756">
        <v>99999</v>
      </c>
      <c r="AJ2756">
        <v>99999</v>
      </c>
      <c r="AK2756">
        <v>699</v>
      </c>
      <c r="AL2756" t="b">
        <v>1</v>
      </c>
      <c r="AM2756" t="b">
        <v>1</v>
      </c>
      <c r="AN2756" t="b">
        <v>1</v>
      </c>
      <c r="AO2756">
        <v>99999</v>
      </c>
      <c r="AP2756" t="s">
        <v>64</v>
      </c>
      <c r="AR2756" t="b">
        <v>0</v>
      </c>
      <c r="AS2756">
        <v>12</v>
      </c>
      <c r="AT2756" t="s">
        <v>327</v>
      </c>
      <c r="AV2756" t="s">
        <v>2490</v>
      </c>
    </row>
    <row r="2757" spans="1:48" x14ac:dyDescent="0.25">
      <c r="A2757" t="s">
        <v>3323</v>
      </c>
      <c r="B2757" t="s">
        <v>302</v>
      </c>
      <c r="C2757" t="s">
        <v>62</v>
      </c>
      <c r="D2757">
        <v>99999</v>
      </c>
      <c r="F2757" s="109">
        <v>7000</v>
      </c>
      <c r="G2757" t="b">
        <v>1</v>
      </c>
      <c r="H2757" t="s">
        <v>337</v>
      </c>
      <c r="K2757" t="s">
        <v>349</v>
      </c>
      <c r="L2757" t="s">
        <v>303</v>
      </c>
      <c r="M2757" t="s">
        <v>323</v>
      </c>
      <c r="N2757" t="s">
        <v>63</v>
      </c>
      <c r="O2757" s="110">
        <v>49.9</v>
      </c>
      <c r="R2757" s="110">
        <v>319.99</v>
      </c>
      <c r="S2757" s="110">
        <v>130</v>
      </c>
      <c r="T2757" s="110">
        <v>0</v>
      </c>
      <c r="U2757" s="110">
        <v>42.99</v>
      </c>
      <c r="X2757">
        <v>102.1</v>
      </c>
      <c r="Y2757">
        <v>44.9</v>
      </c>
      <c r="Z2757">
        <v>44.9</v>
      </c>
      <c r="AA2757">
        <v>0</v>
      </c>
      <c r="AB2757" t="s">
        <v>324</v>
      </c>
      <c r="AF2757" t="s">
        <v>2541</v>
      </c>
      <c r="AG2757" t="s">
        <v>2541</v>
      </c>
      <c r="AH2757" t="s">
        <v>758</v>
      </c>
      <c r="AI2757">
        <v>99999</v>
      </c>
      <c r="AJ2757">
        <v>99999</v>
      </c>
      <c r="AK2757">
        <v>699</v>
      </c>
      <c r="AL2757" t="b">
        <v>1</v>
      </c>
      <c r="AM2757" t="b">
        <v>1</v>
      </c>
      <c r="AN2757" t="b">
        <v>1</v>
      </c>
      <c r="AO2757">
        <v>99999</v>
      </c>
      <c r="AP2757" t="s">
        <v>64</v>
      </c>
      <c r="AR2757" t="b">
        <v>0</v>
      </c>
      <c r="AS2757">
        <v>12</v>
      </c>
      <c r="AT2757" t="s">
        <v>327</v>
      </c>
      <c r="AV2757" t="s">
        <v>2564</v>
      </c>
    </row>
    <row r="2758" spans="1:48" x14ac:dyDescent="0.25">
      <c r="A2758" t="s">
        <v>3323</v>
      </c>
      <c r="B2758" t="s">
        <v>302</v>
      </c>
      <c r="C2758" t="s">
        <v>62</v>
      </c>
      <c r="D2758">
        <v>99999</v>
      </c>
      <c r="F2758" s="109">
        <v>7000</v>
      </c>
      <c r="G2758" t="b">
        <v>1</v>
      </c>
      <c r="H2758" t="s">
        <v>337</v>
      </c>
      <c r="K2758" t="s">
        <v>349</v>
      </c>
      <c r="L2758" t="s">
        <v>303</v>
      </c>
      <c r="M2758" t="s">
        <v>323</v>
      </c>
      <c r="N2758" t="s">
        <v>63</v>
      </c>
      <c r="O2758" s="110">
        <v>49.9</v>
      </c>
      <c r="R2758" s="110">
        <v>334.99</v>
      </c>
      <c r="S2758" s="110">
        <v>130</v>
      </c>
      <c r="T2758" s="110">
        <v>0</v>
      </c>
      <c r="U2758" s="110">
        <v>42.99</v>
      </c>
      <c r="X2758">
        <v>117.1</v>
      </c>
      <c r="Y2758">
        <v>44.9</v>
      </c>
      <c r="Z2758">
        <v>44.9</v>
      </c>
      <c r="AA2758">
        <v>0</v>
      </c>
      <c r="AB2758" t="s">
        <v>324</v>
      </c>
      <c r="AF2758" t="s">
        <v>2608</v>
      </c>
      <c r="AG2758" t="s">
        <v>2608</v>
      </c>
      <c r="AH2758" t="s">
        <v>758</v>
      </c>
      <c r="AI2758">
        <v>99999</v>
      </c>
      <c r="AJ2758">
        <v>99999</v>
      </c>
      <c r="AK2758">
        <v>699</v>
      </c>
      <c r="AL2758" t="b">
        <v>1</v>
      </c>
      <c r="AM2758" t="b">
        <v>1</v>
      </c>
      <c r="AN2758" t="b">
        <v>1</v>
      </c>
      <c r="AO2758">
        <v>99999</v>
      </c>
      <c r="AP2758" t="s">
        <v>64</v>
      </c>
      <c r="AR2758" t="b">
        <v>0</v>
      </c>
      <c r="AS2758">
        <v>12</v>
      </c>
      <c r="AT2758" t="s">
        <v>327</v>
      </c>
      <c r="AV2758" t="s">
        <v>2630</v>
      </c>
    </row>
    <row r="2759" spans="1:48" x14ac:dyDescent="0.25">
      <c r="A2759" t="s">
        <v>3323</v>
      </c>
      <c r="B2759" t="s">
        <v>302</v>
      </c>
      <c r="C2759" t="s">
        <v>62</v>
      </c>
      <c r="D2759">
        <v>99999</v>
      </c>
      <c r="F2759" s="109">
        <v>7000</v>
      </c>
      <c r="G2759" t="b">
        <v>1</v>
      </c>
      <c r="H2759" t="s">
        <v>337</v>
      </c>
      <c r="K2759" t="s">
        <v>349</v>
      </c>
      <c r="L2759" t="s">
        <v>303</v>
      </c>
      <c r="M2759" t="s">
        <v>323</v>
      </c>
      <c r="N2759" t="s">
        <v>63</v>
      </c>
      <c r="O2759" s="110">
        <v>49.9</v>
      </c>
      <c r="R2759" s="110">
        <v>349.89</v>
      </c>
      <c r="S2759" s="110">
        <v>130</v>
      </c>
      <c r="T2759" s="110">
        <v>0</v>
      </c>
      <c r="U2759" s="110">
        <v>42.99</v>
      </c>
      <c r="X2759">
        <v>132</v>
      </c>
      <c r="Y2759">
        <v>44.9</v>
      </c>
      <c r="Z2759">
        <v>44.9</v>
      </c>
      <c r="AA2759">
        <v>0</v>
      </c>
      <c r="AB2759" t="s">
        <v>324</v>
      </c>
      <c r="AF2759" t="s">
        <v>2677</v>
      </c>
      <c r="AG2759" t="s">
        <v>2677</v>
      </c>
      <c r="AH2759" t="s">
        <v>758</v>
      </c>
      <c r="AI2759">
        <v>99999</v>
      </c>
      <c r="AJ2759">
        <v>99999</v>
      </c>
      <c r="AK2759">
        <v>699</v>
      </c>
      <c r="AL2759" t="b">
        <v>1</v>
      </c>
      <c r="AM2759" t="b">
        <v>1</v>
      </c>
      <c r="AN2759" t="b">
        <v>1</v>
      </c>
      <c r="AO2759">
        <v>99999</v>
      </c>
      <c r="AP2759" t="s">
        <v>64</v>
      </c>
      <c r="AR2759" t="b">
        <v>0</v>
      </c>
      <c r="AS2759">
        <v>12</v>
      </c>
      <c r="AT2759" t="s">
        <v>327</v>
      </c>
      <c r="AV2759" t="s">
        <v>2700</v>
      </c>
    </row>
    <row r="2760" spans="1:48" x14ac:dyDescent="0.25">
      <c r="A2760" t="s">
        <v>3323</v>
      </c>
      <c r="B2760" t="s">
        <v>302</v>
      </c>
      <c r="C2760" t="s">
        <v>62</v>
      </c>
      <c r="D2760">
        <v>99999</v>
      </c>
      <c r="F2760" s="109">
        <v>7000</v>
      </c>
      <c r="G2760" t="b">
        <v>1</v>
      </c>
      <c r="H2760" t="s">
        <v>337</v>
      </c>
      <c r="K2760" t="s">
        <v>393</v>
      </c>
      <c r="L2760" t="s">
        <v>303</v>
      </c>
      <c r="M2760" t="s">
        <v>323</v>
      </c>
      <c r="N2760" t="s">
        <v>63</v>
      </c>
      <c r="O2760" s="110">
        <v>29.9</v>
      </c>
      <c r="R2760" s="110">
        <v>284.89</v>
      </c>
      <c r="S2760" s="110">
        <v>69.900000000000006</v>
      </c>
      <c r="T2760" s="110">
        <v>0</v>
      </c>
      <c r="U2760" s="110">
        <v>42.99</v>
      </c>
      <c r="X2760">
        <v>102.1</v>
      </c>
      <c r="Y2760">
        <v>69.900000000000006</v>
      </c>
      <c r="Z2760">
        <v>69.900000000000006</v>
      </c>
      <c r="AA2760">
        <v>0</v>
      </c>
      <c r="AB2760" t="s">
        <v>363</v>
      </c>
      <c r="AF2760" t="s">
        <v>785</v>
      </c>
      <c r="AG2760" t="s">
        <v>785</v>
      </c>
      <c r="AH2760" t="s">
        <v>758</v>
      </c>
      <c r="AI2760">
        <v>99999</v>
      </c>
      <c r="AJ2760">
        <v>99999</v>
      </c>
      <c r="AK2760">
        <v>699</v>
      </c>
      <c r="AL2760" t="b">
        <v>1</v>
      </c>
      <c r="AM2760" t="b">
        <v>1</v>
      </c>
      <c r="AN2760" t="b">
        <v>1</v>
      </c>
      <c r="AO2760">
        <v>99999</v>
      </c>
      <c r="AP2760" t="s">
        <v>64</v>
      </c>
      <c r="AR2760" t="b">
        <v>0</v>
      </c>
      <c r="AS2760">
        <v>12</v>
      </c>
      <c r="AT2760" t="s">
        <v>327</v>
      </c>
      <c r="AV2760" t="s">
        <v>821</v>
      </c>
    </row>
    <row r="2761" spans="1:48" x14ac:dyDescent="0.25">
      <c r="A2761" t="s">
        <v>3323</v>
      </c>
      <c r="B2761" t="s">
        <v>302</v>
      </c>
      <c r="C2761" t="s">
        <v>62</v>
      </c>
      <c r="D2761">
        <v>99999</v>
      </c>
      <c r="F2761" s="109">
        <v>7000</v>
      </c>
      <c r="G2761" t="b">
        <v>1</v>
      </c>
      <c r="H2761" t="s">
        <v>337</v>
      </c>
      <c r="K2761" t="s">
        <v>393</v>
      </c>
      <c r="L2761" t="s">
        <v>303</v>
      </c>
      <c r="M2761" t="s">
        <v>323</v>
      </c>
      <c r="N2761" t="s">
        <v>63</v>
      </c>
      <c r="O2761" s="110">
        <v>29.9</v>
      </c>
      <c r="R2761" s="110">
        <v>299.89</v>
      </c>
      <c r="S2761" s="110">
        <v>69.900000000000006</v>
      </c>
      <c r="T2761" s="110">
        <v>0</v>
      </c>
      <c r="U2761" s="110">
        <v>42.99</v>
      </c>
      <c r="X2761">
        <v>117.1</v>
      </c>
      <c r="Y2761">
        <v>69.900000000000006</v>
      </c>
      <c r="Z2761">
        <v>69.900000000000006</v>
      </c>
      <c r="AA2761">
        <v>0</v>
      </c>
      <c r="AB2761" t="s">
        <v>363</v>
      </c>
      <c r="AF2761" t="s">
        <v>919</v>
      </c>
      <c r="AG2761" t="s">
        <v>919</v>
      </c>
      <c r="AH2761" t="s">
        <v>758</v>
      </c>
      <c r="AI2761">
        <v>99999</v>
      </c>
      <c r="AJ2761">
        <v>99999</v>
      </c>
      <c r="AK2761">
        <v>699</v>
      </c>
      <c r="AL2761" t="b">
        <v>1</v>
      </c>
      <c r="AM2761" t="b">
        <v>1</v>
      </c>
      <c r="AN2761" t="b">
        <v>1</v>
      </c>
      <c r="AO2761">
        <v>99999</v>
      </c>
      <c r="AP2761" t="s">
        <v>64</v>
      </c>
      <c r="AR2761" t="b">
        <v>0</v>
      </c>
      <c r="AS2761">
        <v>12</v>
      </c>
      <c r="AT2761" t="s">
        <v>327</v>
      </c>
      <c r="AV2761" t="s">
        <v>955</v>
      </c>
    </row>
    <row r="2762" spans="1:48" x14ac:dyDescent="0.25">
      <c r="A2762" t="s">
        <v>3323</v>
      </c>
      <c r="B2762" t="s">
        <v>302</v>
      </c>
      <c r="C2762" t="s">
        <v>62</v>
      </c>
      <c r="D2762">
        <v>99999</v>
      </c>
      <c r="F2762" s="109">
        <v>7000</v>
      </c>
      <c r="G2762" t="b">
        <v>1</v>
      </c>
      <c r="H2762" t="s">
        <v>337</v>
      </c>
      <c r="K2762" t="s">
        <v>393</v>
      </c>
      <c r="L2762" t="s">
        <v>303</v>
      </c>
      <c r="M2762" t="s">
        <v>323</v>
      </c>
      <c r="N2762" t="s">
        <v>63</v>
      </c>
      <c r="O2762" s="110">
        <v>29.9</v>
      </c>
      <c r="R2762" s="110">
        <v>314.89</v>
      </c>
      <c r="S2762" s="110">
        <v>70</v>
      </c>
      <c r="T2762" s="110">
        <v>0</v>
      </c>
      <c r="U2762" s="110">
        <v>42.99</v>
      </c>
      <c r="X2762">
        <v>132</v>
      </c>
      <c r="Y2762">
        <v>69.900000000000006</v>
      </c>
      <c r="Z2762">
        <v>69.900000000000006</v>
      </c>
      <c r="AA2762">
        <v>0</v>
      </c>
      <c r="AB2762" t="s">
        <v>363</v>
      </c>
      <c r="AF2762" t="s">
        <v>1067</v>
      </c>
      <c r="AG2762" t="s">
        <v>1067</v>
      </c>
      <c r="AH2762" t="s">
        <v>758</v>
      </c>
      <c r="AI2762">
        <v>99999</v>
      </c>
      <c r="AJ2762">
        <v>99999</v>
      </c>
      <c r="AK2762">
        <v>699</v>
      </c>
      <c r="AL2762" t="b">
        <v>1</v>
      </c>
      <c r="AM2762" t="b">
        <v>1</v>
      </c>
      <c r="AN2762" t="b">
        <v>1</v>
      </c>
      <c r="AO2762">
        <v>99999</v>
      </c>
      <c r="AP2762" t="s">
        <v>64</v>
      </c>
      <c r="AR2762" t="b">
        <v>0</v>
      </c>
      <c r="AS2762">
        <v>12</v>
      </c>
      <c r="AT2762" t="s">
        <v>327</v>
      </c>
      <c r="AV2762" t="s">
        <v>1103</v>
      </c>
    </row>
    <row r="2763" spans="1:48" x14ac:dyDescent="0.25">
      <c r="A2763" t="s">
        <v>3323</v>
      </c>
      <c r="B2763" t="s">
        <v>302</v>
      </c>
      <c r="C2763" t="s">
        <v>62</v>
      </c>
      <c r="D2763">
        <v>99999</v>
      </c>
      <c r="F2763" s="109">
        <v>7000</v>
      </c>
      <c r="G2763" t="b">
        <v>1</v>
      </c>
      <c r="H2763" t="s">
        <v>337</v>
      </c>
      <c r="K2763" t="s">
        <v>393</v>
      </c>
      <c r="L2763" t="s">
        <v>303</v>
      </c>
      <c r="M2763" t="s">
        <v>323</v>
      </c>
      <c r="N2763" t="s">
        <v>63</v>
      </c>
      <c r="O2763" s="110">
        <v>39.9</v>
      </c>
      <c r="R2763" s="110">
        <v>284.89</v>
      </c>
      <c r="S2763" s="110">
        <v>69.900000000000006</v>
      </c>
      <c r="T2763" s="110">
        <v>0</v>
      </c>
      <c r="U2763" s="110">
        <v>42.99</v>
      </c>
      <c r="X2763">
        <v>102.1</v>
      </c>
      <c r="Y2763">
        <v>69.900000000000006</v>
      </c>
      <c r="Z2763">
        <v>69.900000000000006</v>
      </c>
      <c r="AA2763">
        <v>0</v>
      </c>
      <c r="AB2763" t="s">
        <v>363</v>
      </c>
      <c r="AF2763" t="s">
        <v>852</v>
      </c>
      <c r="AG2763" t="s">
        <v>852</v>
      </c>
      <c r="AH2763" t="s">
        <v>758</v>
      </c>
      <c r="AI2763">
        <v>99999</v>
      </c>
      <c r="AJ2763">
        <v>99999</v>
      </c>
      <c r="AK2763">
        <v>699</v>
      </c>
      <c r="AL2763" t="b">
        <v>1</v>
      </c>
      <c r="AM2763" t="b">
        <v>1</v>
      </c>
      <c r="AN2763" t="b">
        <v>1</v>
      </c>
      <c r="AO2763">
        <v>99999</v>
      </c>
      <c r="AP2763" t="s">
        <v>64</v>
      </c>
      <c r="AR2763" t="b">
        <v>0</v>
      </c>
      <c r="AS2763">
        <v>12</v>
      </c>
      <c r="AT2763" t="s">
        <v>327</v>
      </c>
      <c r="AV2763" t="s">
        <v>888</v>
      </c>
    </row>
    <row r="2764" spans="1:48" x14ac:dyDescent="0.25">
      <c r="A2764" t="s">
        <v>3323</v>
      </c>
      <c r="B2764" t="s">
        <v>302</v>
      </c>
      <c r="C2764" t="s">
        <v>62</v>
      </c>
      <c r="D2764">
        <v>99999</v>
      </c>
      <c r="F2764" s="109">
        <v>7000</v>
      </c>
      <c r="G2764" t="b">
        <v>1</v>
      </c>
      <c r="H2764" t="s">
        <v>337</v>
      </c>
      <c r="K2764" t="s">
        <v>393</v>
      </c>
      <c r="L2764" t="s">
        <v>303</v>
      </c>
      <c r="M2764" t="s">
        <v>323</v>
      </c>
      <c r="N2764" t="s">
        <v>63</v>
      </c>
      <c r="O2764" s="110">
        <v>39.9</v>
      </c>
      <c r="R2764" s="110">
        <v>299.89</v>
      </c>
      <c r="S2764" s="110">
        <v>69.900000000000006</v>
      </c>
      <c r="T2764" s="110">
        <v>0</v>
      </c>
      <c r="U2764" s="110">
        <v>42.99</v>
      </c>
      <c r="X2764">
        <v>117.1</v>
      </c>
      <c r="Y2764">
        <v>69.900000000000006</v>
      </c>
      <c r="Z2764">
        <v>69.900000000000006</v>
      </c>
      <c r="AA2764">
        <v>0</v>
      </c>
      <c r="AB2764" t="s">
        <v>363</v>
      </c>
      <c r="AF2764" t="s">
        <v>986</v>
      </c>
      <c r="AG2764" t="s">
        <v>986</v>
      </c>
      <c r="AH2764" t="s">
        <v>758</v>
      </c>
      <c r="AI2764">
        <v>99999</v>
      </c>
      <c r="AJ2764">
        <v>99999</v>
      </c>
      <c r="AK2764">
        <v>699</v>
      </c>
      <c r="AL2764" t="b">
        <v>1</v>
      </c>
      <c r="AM2764" t="b">
        <v>1</v>
      </c>
      <c r="AN2764" t="b">
        <v>1</v>
      </c>
      <c r="AO2764">
        <v>99999</v>
      </c>
      <c r="AP2764" t="s">
        <v>64</v>
      </c>
      <c r="AR2764" t="b">
        <v>0</v>
      </c>
      <c r="AS2764">
        <v>12</v>
      </c>
      <c r="AT2764" t="s">
        <v>327</v>
      </c>
      <c r="AV2764" t="s">
        <v>1022</v>
      </c>
    </row>
    <row r="2765" spans="1:48" x14ac:dyDescent="0.25">
      <c r="A2765" t="s">
        <v>3323</v>
      </c>
      <c r="B2765" t="s">
        <v>302</v>
      </c>
      <c r="C2765" t="s">
        <v>62</v>
      </c>
      <c r="D2765">
        <v>99999</v>
      </c>
      <c r="F2765" s="109">
        <v>7000</v>
      </c>
      <c r="G2765" t="b">
        <v>1</v>
      </c>
      <c r="H2765" t="s">
        <v>337</v>
      </c>
      <c r="K2765" t="s">
        <v>393</v>
      </c>
      <c r="L2765" t="s">
        <v>303</v>
      </c>
      <c r="M2765" t="s">
        <v>323</v>
      </c>
      <c r="N2765" t="s">
        <v>63</v>
      </c>
      <c r="O2765" s="110">
        <v>39.9</v>
      </c>
      <c r="R2765" s="110">
        <v>314.89</v>
      </c>
      <c r="S2765" s="110">
        <v>70</v>
      </c>
      <c r="T2765" s="110">
        <v>0</v>
      </c>
      <c r="U2765" s="110">
        <v>42.99</v>
      </c>
      <c r="X2765">
        <v>132</v>
      </c>
      <c r="Y2765">
        <v>69.900000000000006</v>
      </c>
      <c r="Z2765">
        <v>69.900000000000006</v>
      </c>
      <c r="AA2765">
        <v>0</v>
      </c>
      <c r="AB2765" t="s">
        <v>363</v>
      </c>
      <c r="AF2765" t="s">
        <v>1134</v>
      </c>
      <c r="AG2765" t="s">
        <v>1134</v>
      </c>
      <c r="AH2765" t="s">
        <v>758</v>
      </c>
      <c r="AI2765">
        <v>99999</v>
      </c>
      <c r="AJ2765">
        <v>99999</v>
      </c>
      <c r="AK2765">
        <v>699</v>
      </c>
      <c r="AL2765" t="b">
        <v>1</v>
      </c>
      <c r="AM2765" t="b">
        <v>1</v>
      </c>
      <c r="AN2765" t="b">
        <v>1</v>
      </c>
      <c r="AO2765">
        <v>99999</v>
      </c>
      <c r="AP2765" t="s">
        <v>64</v>
      </c>
      <c r="AR2765" t="b">
        <v>0</v>
      </c>
      <c r="AS2765">
        <v>12</v>
      </c>
      <c r="AT2765" t="s">
        <v>327</v>
      </c>
      <c r="AV2765" t="s">
        <v>1170</v>
      </c>
    </row>
    <row r="2766" spans="1:48" x14ac:dyDescent="0.25">
      <c r="A2766" t="s">
        <v>3323</v>
      </c>
      <c r="B2766" t="s">
        <v>302</v>
      </c>
      <c r="C2766" t="s">
        <v>62</v>
      </c>
      <c r="D2766">
        <v>99999</v>
      </c>
      <c r="F2766" s="109">
        <v>7000</v>
      </c>
      <c r="G2766" t="b">
        <v>1</v>
      </c>
      <c r="H2766" t="s">
        <v>337</v>
      </c>
      <c r="K2766" t="s">
        <v>393</v>
      </c>
      <c r="L2766" t="s">
        <v>303</v>
      </c>
      <c r="M2766" t="s">
        <v>323</v>
      </c>
      <c r="N2766" t="s">
        <v>63</v>
      </c>
      <c r="O2766" s="110">
        <v>49.9</v>
      </c>
      <c r="R2766" s="110">
        <v>330.69</v>
      </c>
      <c r="S2766" s="110">
        <v>130</v>
      </c>
      <c r="T2766" s="110">
        <v>0</v>
      </c>
      <c r="U2766" s="110">
        <v>34.99</v>
      </c>
      <c r="X2766">
        <v>95.799999999999983</v>
      </c>
      <c r="Y2766">
        <v>69.900000000000006</v>
      </c>
      <c r="Z2766">
        <v>69.900000000000006</v>
      </c>
      <c r="AA2766">
        <v>0</v>
      </c>
      <c r="AB2766" t="s">
        <v>363</v>
      </c>
      <c r="AF2766" t="s">
        <v>2494</v>
      </c>
      <c r="AG2766" t="s">
        <v>2494</v>
      </c>
      <c r="AH2766" t="s">
        <v>758</v>
      </c>
      <c r="AI2766">
        <v>99999</v>
      </c>
      <c r="AJ2766">
        <v>99999</v>
      </c>
      <c r="AK2766">
        <v>699</v>
      </c>
      <c r="AL2766" t="b">
        <v>1</v>
      </c>
      <c r="AM2766" t="b">
        <v>1</v>
      </c>
      <c r="AN2766" t="b">
        <v>1</v>
      </c>
      <c r="AO2766">
        <v>99999</v>
      </c>
      <c r="AP2766" t="s">
        <v>64</v>
      </c>
      <c r="AR2766" t="b">
        <v>0</v>
      </c>
      <c r="AS2766">
        <v>12</v>
      </c>
      <c r="AT2766" t="s">
        <v>327</v>
      </c>
      <c r="AV2766" t="s">
        <v>2530</v>
      </c>
    </row>
    <row r="2767" spans="1:48" x14ac:dyDescent="0.25">
      <c r="A2767" t="s">
        <v>3323</v>
      </c>
      <c r="B2767" t="s">
        <v>302</v>
      </c>
      <c r="C2767" t="s">
        <v>62</v>
      </c>
      <c r="D2767">
        <v>99999</v>
      </c>
      <c r="F2767" s="109">
        <v>7000</v>
      </c>
      <c r="G2767" t="b">
        <v>1</v>
      </c>
      <c r="H2767" t="s">
        <v>337</v>
      </c>
      <c r="K2767" t="s">
        <v>393</v>
      </c>
      <c r="L2767" t="s">
        <v>303</v>
      </c>
      <c r="M2767" t="s">
        <v>323</v>
      </c>
      <c r="N2767" t="s">
        <v>63</v>
      </c>
      <c r="O2767" s="110">
        <v>49.9</v>
      </c>
      <c r="R2767" s="110">
        <v>344.99</v>
      </c>
      <c r="S2767" s="110">
        <v>130</v>
      </c>
      <c r="T2767" s="110">
        <v>0</v>
      </c>
      <c r="U2767" s="110">
        <v>42.99</v>
      </c>
      <c r="X2767">
        <v>102.1</v>
      </c>
      <c r="Y2767">
        <v>69.900000000000006</v>
      </c>
      <c r="Z2767">
        <v>69.900000000000006</v>
      </c>
      <c r="AA2767">
        <v>0</v>
      </c>
      <c r="AB2767" t="s">
        <v>363</v>
      </c>
      <c r="AF2767" t="s">
        <v>2568</v>
      </c>
      <c r="AG2767" t="s">
        <v>2568</v>
      </c>
      <c r="AH2767" t="s">
        <v>758</v>
      </c>
      <c r="AI2767">
        <v>99999</v>
      </c>
      <c r="AJ2767">
        <v>99999</v>
      </c>
      <c r="AK2767">
        <v>699</v>
      </c>
      <c r="AL2767" t="b">
        <v>1</v>
      </c>
      <c r="AM2767" t="b">
        <v>1</v>
      </c>
      <c r="AN2767" t="b">
        <v>1</v>
      </c>
      <c r="AO2767">
        <v>99999</v>
      </c>
      <c r="AP2767" t="s">
        <v>64</v>
      </c>
      <c r="AR2767" t="b">
        <v>0</v>
      </c>
      <c r="AS2767">
        <v>12</v>
      </c>
      <c r="AT2767" t="s">
        <v>327</v>
      </c>
      <c r="AV2767" t="s">
        <v>2604</v>
      </c>
    </row>
    <row r="2768" spans="1:48" x14ac:dyDescent="0.25">
      <c r="A2768" t="s">
        <v>3323</v>
      </c>
      <c r="B2768" t="s">
        <v>302</v>
      </c>
      <c r="C2768" t="s">
        <v>62</v>
      </c>
      <c r="D2768">
        <v>99999</v>
      </c>
      <c r="F2768" s="109">
        <v>7000</v>
      </c>
      <c r="G2768" t="b">
        <v>1</v>
      </c>
      <c r="H2768" t="s">
        <v>337</v>
      </c>
      <c r="K2768" t="s">
        <v>393</v>
      </c>
      <c r="L2768" t="s">
        <v>303</v>
      </c>
      <c r="M2768" t="s">
        <v>323</v>
      </c>
      <c r="N2768" t="s">
        <v>63</v>
      </c>
      <c r="O2768" s="110">
        <v>49.9</v>
      </c>
      <c r="R2768" s="110">
        <v>359.99</v>
      </c>
      <c r="S2768" s="110">
        <v>130</v>
      </c>
      <c r="T2768" s="110">
        <v>0</v>
      </c>
      <c r="U2768" s="110">
        <v>42.99</v>
      </c>
      <c r="X2768">
        <v>117.1</v>
      </c>
      <c r="Y2768">
        <v>69.900000000000006</v>
      </c>
      <c r="Z2768">
        <v>69.900000000000006</v>
      </c>
      <c r="AA2768">
        <v>0</v>
      </c>
      <c r="AB2768" t="s">
        <v>363</v>
      </c>
      <c r="AF2768" t="s">
        <v>2633</v>
      </c>
      <c r="AG2768" t="s">
        <v>2633</v>
      </c>
      <c r="AH2768" t="s">
        <v>758</v>
      </c>
      <c r="AI2768">
        <v>99999</v>
      </c>
      <c r="AJ2768">
        <v>99999</v>
      </c>
      <c r="AK2768">
        <v>699</v>
      </c>
      <c r="AL2768" t="b">
        <v>1</v>
      </c>
      <c r="AM2768" t="b">
        <v>1</v>
      </c>
      <c r="AN2768" t="b">
        <v>1</v>
      </c>
      <c r="AO2768">
        <v>99999</v>
      </c>
      <c r="AP2768" t="s">
        <v>64</v>
      </c>
      <c r="AR2768" t="b">
        <v>0</v>
      </c>
      <c r="AS2768">
        <v>12</v>
      </c>
      <c r="AT2768" t="s">
        <v>327</v>
      </c>
      <c r="AV2768" t="s">
        <v>2667</v>
      </c>
    </row>
    <row r="2769" spans="1:48" x14ac:dyDescent="0.25">
      <c r="A2769" t="s">
        <v>3323</v>
      </c>
      <c r="B2769" t="s">
        <v>302</v>
      </c>
      <c r="C2769" t="s">
        <v>62</v>
      </c>
      <c r="D2769">
        <v>99999</v>
      </c>
      <c r="F2769" s="109">
        <v>7000</v>
      </c>
      <c r="G2769" t="b">
        <v>1</v>
      </c>
      <c r="H2769" t="s">
        <v>337</v>
      </c>
      <c r="K2769" t="s">
        <v>393</v>
      </c>
      <c r="L2769" t="s">
        <v>303</v>
      </c>
      <c r="M2769" t="s">
        <v>323</v>
      </c>
      <c r="N2769" t="s">
        <v>63</v>
      </c>
      <c r="O2769" s="110">
        <v>49.9</v>
      </c>
      <c r="R2769" s="110">
        <v>374.89</v>
      </c>
      <c r="S2769" s="110">
        <v>130</v>
      </c>
      <c r="T2769" s="110">
        <v>0</v>
      </c>
      <c r="U2769" s="110">
        <v>42.99</v>
      </c>
      <c r="X2769">
        <v>132</v>
      </c>
      <c r="Y2769">
        <v>69.900000000000006</v>
      </c>
      <c r="Z2769">
        <v>69.900000000000006</v>
      </c>
      <c r="AA2769">
        <v>0</v>
      </c>
      <c r="AB2769" t="s">
        <v>363</v>
      </c>
      <c r="AF2769" t="s">
        <v>2704</v>
      </c>
      <c r="AG2769" t="s">
        <v>2704</v>
      </c>
      <c r="AH2769" t="s">
        <v>758</v>
      </c>
      <c r="AI2769">
        <v>99999</v>
      </c>
      <c r="AJ2769">
        <v>99999</v>
      </c>
      <c r="AK2769">
        <v>699</v>
      </c>
      <c r="AL2769" t="b">
        <v>1</v>
      </c>
      <c r="AM2769" t="b">
        <v>1</v>
      </c>
      <c r="AN2769" t="b">
        <v>1</v>
      </c>
      <c r="AO2769">
        <v>99999</v>
      </c>
      <c r="AP2769" t="s">
        <v>64</v>
      </c>
      <c r="AR2769" t="b">
        <v>0</v>
      </c>
      <c r="AS2769">
        <v>12</v>
      </c>
      <c r="AT2769" t="s">
        <v>327</v>
      </c>
      <c r="AV2769" t="s">
        <v>2740</v>
      </c>
    </row>
    <row r="2770" spans="1:48" x14ac:dyDescent="0.25">
      <c r="A2770" t="s">
        <v>3323</v>
      </c>
      <c r="B2770" t="s">
        <v>302</v>
      </c>
      <c r="C2770" t="s">
        <v>62</v>
      </c>
      <c r="D2770">
        <v>99999</v>
      </c>
      <c r="F2770" s="109">
        <v>7000</v>
      </c>
      <c r="G2770" t="b">
        <v>1</v>
      </c>
      <c r="H2770" t="s">
        <v>337</v>
      </c>
      <c r="K2770" t="s">
        <v>364</v>
      </c>
      <c r="L2770" t="s">
        <v>303</v>
      </c>
      <c r="M2770" t="s">
        <v>323</v>
      </c>
      <c r="N2770" t="s">
        <v>63</v>
      </c>
      <c r="O2770" s="110">
        <v>29.9</v>
      </c>
      <c r="R2770" s="110">
        <v>264.89</v>
      </c>
      <c r="S2770" s="110">
        <v>69.900000000000006</v>
      </c>
      <c r="T2770" s="110">
        <v>0</v>
      </c>
      <c r="U2770" s="110">
        <v>42.99</v>
      </c>
      <c r="X2770">
        <v>102.1</v>
      </c>
      <c r="Y2770">
        <v>49.9</v>
      </c>
      <c r="Z2770">
        <v>49.9</v>
      </c>
      <c r="AA2770">
        <v>0</v>
      </c>
      <c r="AB2770" t="s">
        <v>363</v>
      </c>
      <c r="AF2770" t="s">
        <v>785</v>
      </c>
      <c r="AG2770" t="s">
        <v>785</v>
      </c>
      <c r="AH2770" t="s">
        <v>758</v>
      </c>
      <c r="AI2770">
        <v>99999</v>
      </c>
      <c r="AJ2770">
        <v>99999</v>
      </c>
      <c r="AK2770">
        <v>699</v>
      </c>
      <c r="AL2770" t="b">
        <v>1</v>
      </c>
      <c r="AM2770" t="b">
        <v>1</v>
      </c>
      <c r="AN2770" t="b">
        <v>1</v>
      </c>
      <c r="AO2770">
        <v>99999</v>
      </c>
      <c r="AP2770" t="s">
        <v>64</v>
      </c>
      <c r="AR2770" t="b">
        <v>0</v>
      </c>
      <c r="AS2770">
        <v>12</v>
      </c>
      <c r="AT2770" t="s">
        <v>327</v>
      </c>
      <c r="AV2770" t="s">
        <v>795</v>
      </c>
    </row>
    <row r="2771" spans="1:48" x14ac:dyDescent="0.25">
      <c r="A2771" t="s">
        <v>3323</v>
      </c>
      <c r="B2771" t="s">
        <v>302</v>
      </c>
      <c r="C2771" t="s">
        <v>62</v>
      </c>
      <c r="D2771">
        <v>99999</v>
      </c>
      <c r="F2771" s="109">
        <v>7000</v>
      </c>
      <c r="G2771" t="b">
        <v>1</v>
      </c>
      <c r="H2771" t="s">
        <v>337</v>
      </c>
      <c r="K2771" t="s">
        <v>364</v>
      </c>
      <c r="L2771" t="s">
        <v>303</v>
      </c>
      <c r="M2771" t="s">
        <v>323</v>
      </c>
      <c r="N2771" t="s">
        <v>63</v>
      </c>
      <c r="O2771" s="110">
        <v>29.9</v>
      </c>
      <c r="R2771" s="110">
        <v>279.89</v>
      </c>
      <c r="S2771" s="110">
        <v>69.900000000000006</v>
      </c>
      <c r="T2771" s="110">
        <v>0</v>
      </c>
      <c r="U2771" s="110">
        <v>42.99</v>
      </c>
      <c r="X2771">
        <v>117.1</v>
      </c>
      <c r="Y2771">
        <v>49.9</v>
      </c>
      <c r="Z2771">
        <v>49.9</v>
      </c>
      <c r="AA2771">
        <v>0</v>
      </c>
      <c r="AB2771" t="s">
        <v>363</v>
      </c>
      <c r="AF2771" t="s">
        <v>919</v>
      </c>
      <c r="AG2771" t="s">
        <v>919</v>
      </c>
      <c r="AH2771" t="s">
        <v>758</v>
      </c>
      <c r="AI2771">
        <v>99999</v>
      </c>
      <c r="AJ2771">
        <v>99999</v>
      </c>
      <c r="AK2771">
        <v>699</v>
      </c>
      <c r="AL2771" t="b">
        <v>1</v>
      </c>
      <c r="AM2771" t="b">
        <v>1</v>
      </c>
      <c r="AN2771" t="b">
        <v>1</v>
      </c>
      <c r="AO2771">
        <v>99999</v>
      </c>
      <c r="AP2771" t="s">
        <v>64</v>
      </c>
      <c r="AR2771" t="b">
        <v>0</v>
      </c>
      <c r="AS2771">
        <v>12</v>
      </c>
      <c r="AT2771" t="s">
        <v>327</v>
      </c>
      <c r="AV2771" t="s">
        <v>929</v>
      </c>
    </row>
    <row r="2772" spans="1:48" x14ac:dyDescent="0.25">
      <c r="A2772" t="s">
        <v>3323</v>
      </c>
      <c r="B2772" t="s">
        <v>302</v>
      </c>
      <c r="C2772" t="s">
        <v>62</v>
      </c>
      <c r="D2772">
        <v>99999</v>
      </c>
      <c r="F2772" s="109">
        <v>7000</v>
      </c>
      <c r="G2772" t="b">
        <v>1</v>
      </c>
      <c r="H2772" t="s">
        <v>337</v>
      </c>
      <c r="K2772" t="s">
        <v>364</v>
      </c>
      <c r="L2772" t="s">
        <v>303</v>
      </c>
      <c r="M2772" t="s">
        <v>323</v>
      </c>
      <c r="N2772" t="s">
        <v>63</v>
      </c>
      <c r="O2772" s="110">
        <v>29.9</v>
      </c>
      <c r="R2772" s="110">
        <v>294.89</v>
      </c>
      <c r="S2772" s="110">
        <v>70</v>
      </c>
      <c r="T2772" s="110">
        <v>0</v>
      </c>
      <c r="U2772" s="110">
        <v>42.99</v>
      </c>
      <c r="X2772">
        <v>132</v>
      </c>
      <c r="Y2772">
        <v>49.9</v>
      </c>
      <c r="Z2772">
        <v>49.9</v>
      </c>
      <c r="AA2772">
        <v>0</v>
      </c>
      <c r="AB2772" t="s">
        <v>363</v>
      </c>
      <c r="AF2772" t="s">
        <v>1067</v>
      </c>
      <c r="AG2772" t="s">
        <v>1067</v>
      </c>
      <c r="AH2772" t="s">
        <v>758</v>
      </c>
      <c r="AI2772">
        <v>99999</v>
      </c>
      <c r="AJ2772">
        <v>99999</v>
      </c>
      <c r="AK2772">
        <v>699</v>
      </c>
      <c r="AL2772" t="b">
        <v>1</v>
      </c>
      <c r="AM2772" t="b">
        <v>1</v>
      </c>
      <c r="AN2772" t="b">
        <v>1</v>
      </c>
      <c r="AO2772">
        <v>99999</v>
      </c>
      <c r="AP2772" t="s">
        <v>64</v>
      </c>
      <c r="AR2772" t="b">
        <v>0</v>
      </c>
      <c r="AS2772">
        <v>12</v>
      </c>
      <c r="AT2772" t="s">
        <v>327</v>
      </c>
      <c r="AV2772" t="s">
        <v>1077</v>
      </c>
    </row>
    <row r="2773" spans="1:48" x14ac:dyDescent="0.25">
      <c r="A2773" t="s">
        <v>3323</v>
      </c>
      <c r="B2773" t="s">
        <v>302</v>
      </c>
      <c r="C2773" t="s">
        <v>62</v>
      </c>
      <c r="D2773">
        <v>99999</v>
      </c>
      <c r="F2773" s="109">
        <v>7000</v>
      </c>
      <c r="G2773" t="b">
        <v>1</v>
      </c>
      <c r="H2773" t="s">
        <v>337</v>
      </c>
      <c r="K2773" t="s">
        <v>364</v>
      </c>
      <c r="L2773" t="s">
        <v>303</v>
      </c>
      <c r="M2773" t="s">
        <v>323</v>
      </c>
      <c r="N2773" t="s">
        <v>63</v>
      </c>
      <c r="O2773" s="110">
        <v>39.9</v>
      </c>
      <c r="R2773" s="110">
        <v>264.89</v>
      </c>
      <c r="S2773" s="110">
        <v>69.900000000000006</v>
      </c>
      <c r="T2773" s="110">
        <v>0</v>
      </c>
      <c r="U2773" s="110">
        <v>42.99</v>
      </c>
      <c r="X2773">
        <v>102.1</v>
      </c>
      <c r="Y2773">
        <v>49.9</v>
      </c>
      <c r="Z2773">
        <v>49.9</v>
      </c>
      <c r="AA2773">
        <v>0</v>
      </c>
      <c r="AB2773" t="s">
        <v>363</v>
      </c>
      <c r="AF2773" t="s">
        <v>852</v>
      </c>
      <c r="AG2773" t="s">
        <v>852</v>
      </c>
      <c r="AH2773" t="s">
        <v>758</v>
      </c>
      <c r="AI2773">
        <v>99999</v>
      </c>
      <c r="AJ2773">
        <v>99999</v>
      </c>
      <c r="AK2773">
        <v>699</v>
      </c>
      <c r="AL2773" t="b">
        <v>1</v>
      </c>
      <c r="AM2773" t="b">
        <v>1</v>
      </c>
      <c r="AN2773" t="b">
        <v>1</v>
      </c>
      <c r="AO2773">
        <v>99999</v>
      </c>
      <c r="AP2773" t="s">
        <v>64</v>
      </c>
      <c r="AR2773" t="b">
        <v>0</v>
      </c>
      <c r="AS2773">
        <v>12</v>
      </c>
      <c r="AT2773" t="s">
        <v>327</v>
      </c>
      <c r="AV2773" t="s">
        <v>862</v>
      </c>
    </row>
    <row r="2774" spans="1:48" x14ac:dyDescent="0.25">
      <c r="A2774" t="s">
        <v>3323</v>
      </c>
      <c r="B2774" t="s">
        <v>302</v>
      </c>
      <c r="C2774" t="s">
        <v>62</v>
      </c>
      <c r="D2774">
        <v>99999</v>
      </c>
      <c r="F2774" s="109">
        <v>7000</v>
      </c>
      <c r="G2774" t="b">
        <v>1</v>
      </c>
      <c r="H2774" t="s">
        <v>337</v>
      </c>
      <c r="K2774" t="s">
        <v>364</v>
      </c>
      <c r="L2774" t="s">
        <v>303</v>
      </c>
      <c r="M2774" t="s">
        <v>323</v>
      </c>
      <c r="N2774" t="s">
        <v>63</v>
      </c>
      <c r="O2774" s="110">
        <v>39.9</v>
      </c>
      <c r="R2774" s="110">
        <v>279.89</v>
      </c>
      <c r="S2774" s="110">
        <v>69.900000000000006</v>
      </c>
      <c r="T2774" s="110">
        <v>0</v>
      </c>
      <c r="U2774" s="110">
        <v>42.99</v>
      </c>
      <c r="X2774">
        <v>117.1</v>
      </c>
      <c r="Y2774">
        <v>49.9</v>
      </c>
      <c r="Z2774">
        <v>49.9</v>
      </c>
      <c r="AA2774">
        <v>0</v>
      </c>
      <c r="AB2774" t="s">
        <v>363</v>
      </c>
      <c r="AF2774" t="s">
        <v>986</v>
      </c>
      <c r="AG2774" t="s">
        <v>986</v>
      </c>
      <c r="AH2774" t="s">
        <v>758</v>
      </c>
      <c r="AI2774">
        <v>99999</v>
      </c>
      <c r="AJ2774">
        <v>99999</v>
      </c>
      <c r="AK2774">
        <v>699</v>
      </c>
      <c r="AL2774" t="b">
        <v>1</v>
      </c>
      <c r="AM2774" t="b">
        <v>1</v>
      </c>
      <c r="AN2774" t="b">
        <v>1</v>
      </c>
      <c r="AO2774">
        <v>99999</v>
      </c>
      <c r="AP2774" t="s">
        <v>64</v>
      </c>
      <c r="AR2774" t="b">
        <v>0</v>
      </c>
      <c r="AS2774">
        <v>12</v>
      </c>
      <c r="AT2774" t="s">
        <v>327</v>
      </c>
      <c r="AV2774" t="s">
        <v>996</v>
      </c>
    </row>
    <row r="2775" spans="1:48" x14ac:dyDescent="0.25">
      <c r="A2775" t="s">
        <v>3323</v>
      </c>
      <c r="B2775" t="s">
        <v>302</v>
      </c>
      <c r="C2775" t="s">
        <v>62</v>
      </c>
      <c r="D2775">
        <v>99999</v>
      </c>
      <c r="F2775" s="109">
        <v>7000</v>
      </c>
      <c r="G2775" t="b">
        <v>1</v>
      </c>
      <c r="H2775" t="s">
        <v>337</v>
      </c>
      <c r="K2775" t="s">
        <v>364</v>
      </c>
      <c r="L2775" t="s">
        <v>303</v>
      </c>
      <c r="M2775" t="s">
        <v>323</v>
      </c>
      <c r="N2775" t="s">
        <v>63</v>
      </c>
      <c r="O2775" s="110">
        <v>39.9</v>
      </c>
      <c r="R2775" s="110">
        <v>294.89</v>
      </c>
      <c r="S2775" s="110">
        <v>70</v>
      </c>
      <c r="T2775" s="110">
        <v>0</v>
      </c>
      <c r="U2775" s="110">
        <v>42.99</v>
      </c>
      <c r="X2775">
        <v>132</v>
      </c>
      <c r="Y2775">
        <v>49.9</v>
      </c>
      <c r="Z2775">
        <v>49.9</v>
      </c>
      <c r="AA2775">
        <v>0</v>
      </c>
      <c r="AB2775" t="s">
        <v>363</v>
      </c>
      <c r="AF2775" t="s">
        <v>1134</v>
      </c>
      <c r="AG2775" t="s">
        <v>1134</v>
      </c>
      <c r="AH2775" t="s">
        <v>758</v>
      </c>
      <c r="AI2775">
        <v>99999</v>
      </c>
      <c r="AJ2775">
        <v>99999</v>
      </c>
      <c r="AK2775">
        <v>699</v>
      </c>
      <c r="AL2775" t="b">
        <v>1</v>
      </c>
      <c r="AM2775" t="b">
        <v>1</v>
      </c>
      <c r="AN2775" t="b">
        <v>1</v>
      </c>
      <c r="AO2775">
        <v>99999</v>
      </c>
      <c r="AP2775" t="s">
        <v>64</v>
      </c>
      <c r="AR2775" t="b">
        <v>0</v>
      </c>
      <c r="AS2775">
        <v>12</v>
      </c>
      <c r="AT2775" t="s">
        <v>327</v>
      </c>
      <c r="AV2775" t="s">
        <v>1144</v>
      </c>
    </row>
    <row r="2776" spans="1:48" x14ac:dyDescent="0.25">
      <c r="A2776" t="s">
        <v>3323</v>
      </c>
      <c r="B2776" t="s">
        <v>302</v>
      </c>
      <c r="C2776" t="s">
        <v>62</v>
      </c>
      <c r="D2776">
        <v>99999</v>
      </c>
      <c r="F2776" s="109">
        <v>7000</v>
      </c>
      <c r="G2776" t="b">
        <v>1</v>
      </c>
      <c r="H2776" t="s">
        <v>337</v>
      </c>
      <c r="K2776" t="s">
        <v>364</v>
      </c>
      <c r="L2776" t="s">
        <v>303</v>
      </c>
      <c r="M2776" t="s">
        <v>323</v>
      </c>
      <c r="N2776" t="s">
        <v>63</v>
      </c>
      <c r="O2776" s="110">
        <v>49.9</v>
      </c>
      <c r="R2776" s="110">
        <v>310.68999999999994</v>
      </c>
      <c r="S2776" s="110">
        <v>130</v>
      </c>
      <c r="T2776" s="110">
        <v>0</v>
      </c>
      <c r="U2776" s="110">
        <v>34.99</v>
      </c>
      <c r="X2776">
        <v>95.799999999999983</v>
      </c>
      <c r="Y2776">
        <v>49.9</v>
      </c>
      <c r="Z2776">
        <v>49.9</v>
      </c>
      <c r="AA2776">
        <v>0</v>
      </c>
      <c r="AB2776" t="s">
        <v>363</v>
      </c>
      <c r="AF2776" t="s">
        <v>2494</v>
      </c>
      <c r="AG2776" t="s">
        <v>2494</v>
      </c>
      <c r="AH2776" t="s">
        <v>758</v>
      </c>
      <c r="AI2776">
        <v>99999</v>
      </c>
      <c r="AJ2776">
        <v>99999</v>
      </c>
      <c r="AK2776">
        <v>699</v>
      </c>
      <c r="AL2776" t="b">
        <v>1</v>
      </c>
      <c r="AM2776" t="b">
        <v>1</v>
      </c>
      <c r="AN2776" t="b">
        <v>1</v>
      </c>
      <c r="AO2776">
        <v>99999</v>
      </c>
      <c r="AP2776" t="s">
        <v>64</v>
      </c>
      <c r="AR2776" t="b">
        <v>0</v>
      </c>
      <c r="AS2776">
        <v>12</v>
      </c>
      <c r="AT2776" t="s">
        <v>327</v>
      </c>
      <c r="AV2776" t="s">
        <v>2504</v>
      </c>
    </row>
    <row r="2777" spans="1:48" x14ac:dyDescent="0.25">
      <c r="A2777" t="s">
        <v>3323</v>
      </c>
      <c r="B2777" t="s">
        <v>302</v>
      </c>
      <c r="C2777" t="s">
        <v>62</v>
      </c>
      <c r="D2777">
        <v>99999</v>
      </c>
      <c r="F2777" s="109">
        <v>7000</v>
      </c>
      <c r="G2777" t="b">
        <v>1</v>
      </c>
      <c r="H2777" t="s">
        <v>337</v>
      </c>
      <c r="K2777" t="s">
        <v>364</v>
      </c>
      <c r="L2777" t="s">
        <v>303</v>
      </c>
      <c r="M2777" t="s">
        <v>323</v>
      </c>
      <c r="N2777" t="s">
        <v>63</v>
      </c>
      <c r="O2777" s="110">
        <v>49.9</v>
      </c>
      <c r="R2777" s="110">
        <v>324.99</v>
      </c>
      <c r="S2777" s="110">
        <v>130</v>
      </c>
      <c r="T2777" s="110">
        <v>0</v>
      </c>
      <c r="U2777" s="110">
        <v>42.99</v>
      </c>
      <c r="X2777">
        <v>102.1</v>
      </c>
      <c r="Y2777">
        <v>49.9</v>
      </c>
      <c r="Z2777">
        <v>49.9</v>
      </c>
      <c r="AA2777">
        <v>0</v>
      </c>
      <c r="AB2777" t="s">
        <v>363</v>
      </c>
      <c r="AF2777" t="s">
        <v>2568</v>
      </c>
      <c r="AG2777" t="s">
        <v>2568</v>
      </c>
      <c r="AH2777" t="s">
        <v>758</v>
      </c>
      <c r="AI2777">
        <v>99999</v>
      </c>
      <c r="AJ2777">
        <v>99999</v>
      </c>
      <c r="AK2777">
        <v>699</v>
      </c>
      <c r="AL2777" t="b">
        <v>1</v>
      </c>
      <c r="AM2777" t="b">
        <v>1</v>
      </c>
      <c r="AN2777" t="b">
        <v>1</v>
      </c>
      <c r="AO2777">
        <v>99999</v>
      </c>
      <c r="AP2777" t="s">
        <v>64</v>
      </c>
      <c r="AR2777" t="b">
        <v>0</v>
      </c>
      <c r="AS2777">
        <v>12</v>
      </c>
      <c r="AT2777" t="s">
        <v>327</v>
      </c>
      <c r="AV2777" t="s">
        <v>2578</v>
      </c>
    </row>
    <row r="2778" spans="1:48" x14ac:dyDescent="0.25">
      <c r="A2778" t="s">
        <v>3323</v>
      </c>
      <c r="B2778" t="s">
        <v>302</v>
      </c>
      <c r="C2778" t="s">
        <v>62</v>
      </c>
      <c r="D2778">
        <v>99999</v>
      </c>
      <c r="F2778" s="109">
        <v>7000</v>
      </c>
      <c r="G2778" t="b">
        <v>1</v>
      </c>
      <c r="H2778" t="s">
        <v>337</v>
      </c>
      <c r="K2778" t="s">
        <v>364</v>
      </c>
      <c r="L2778" t="s">
        <v>303</v>
      </c>
      <c r="M2778" t="s">
        <v>323</v>
      </c>
      <c r="N2778" t="s">
        <v>63</v>
      </c>
      <c r="O2778" s="110">
        <v>49.9</v>
      </c>
      <c r="R2778" s="110">
        <v>339.99</v>
      </c>
      <c r="S2778" s="110">
        <v>130</v>
      </c>
      <c r="T2778" s="110">
        <v>0</v>
      </c>
      <c r="U2778" s="110">
        <v>42.99</v>
      </c>
      <c r="X2778">
        <v>117.1</v>
      </c>
      <c r="Y2778">
        <v>49.9</v>
      </c>
      <c r="Z2778">
        <v>49.9</v>
      </c>
      <c r="AA2778">
        <v>0</v>
      </c>
      <c r="AB2778" t="s">
        <v>363</v>
      </c>
      <c r="AF2778" t="s">
        <v>2633</v>
      </c>
      <c r="AG2778" t="s">
        <v>2633</v>
      </c>
      <c r="AH2778" t="s">
        <v>758</v>
      </c>
      <c r="AI2778">
        <v>99999</v>
      </c>
      <c r="AJ2778">
        <v>99999</v>
      </c>
      <c r="AK2778">
        <v>699</v>
      </c>
      <c r="AL2778" t="b">
        <v>1</v>
      </c>
      <c r="AM2778" t="b">
        <v>1</v>
      </c>
      <c r="AN2778" t="b">
        <v>1</v>
      </c>
      <c r="AO2778">
        <v>99999</v>
      </c>
      <c r="AP2778" t="s">
        <v>64</v>
      </c>
      <c r="AR2778" t="b">
        <v>0</v>
      </c>
      <c r="AS2778">
        <v>12</v>
      </c>
      <c r="AT2778" t="s">
        <v>327</v>
      </c>
      <c r="AV2778" t="s">
        <v>2643</v>
      </c>
    </row>
    <row r="2779" spans="1:48" x14ac:dyDescent="0.25">
      <c r="A2779" t="s">
        <v>3323</v>
      </c>
      <c r="B2779" t="s">
        <v>302</v>
      </c>
      <c r="C2779" t="s">
        <v>62</v>
      </c>
      <c r="D2779">
        <v>99999</v>
      </c>
      <c r="F2779" s="109">
        <v>7000</v>
      </c>
      <c r="G2779" t="b">
        <v>1</v>
      </c>
      <c r="H2779" t="s">
        <v>337</v>
      </c>
      <c r="K2779" t="s">
        <v>364</v>
      </c>
      <c r="L2779" t="s">
        <v>303</v>
      </c>
      <c r="M2779" t="s">
        <v>323</v>
      </c>
      <c r="N2779" t="s">
        <v>63</v>
      </c>
      <c r="O2779" s="110">
        <v>49.9</v>
      </c>
      <c r="R2779" s="110">
        <v>354.89</v>
      </c>
      <c r="S2779" s="110">
        <v>130</v>
      </c>
      <c r="T2779" s="110">
        <v>0</v>
      </c>
      <c r="U2779" s="110">
        <v>42.99</v>
      </c>
      <c r="X2779">
        <v>132</v>
      </c>
      <c r="Y2779">
        <v>49.9</v>
      </c>
      <c r="Z2779">
        <v>49.9</v>
      </c>
      <c r="AA2779">
        <v>0</v>
      </c>
      <c r="AB2779" t="s">
        <v>363</v>
      </c>
      <c r="AF2779" t="s">
        <v>2704</v>
      </c>
      <c r="AG2779" t="s">
        <v>2704</v>
      </c>
      <c r="AH2779" t="s">
        <v>758</v>
      </c>
      <c r="AI2779">
        <v>99999</v>
      </c>
      <c r="AJ2779">
        <v>99999</v>
      </c>
      <c r="AK2779">
        <v>699</v>
      </c>
      <c r="AL2779" t="b">
        <v>1</v>
      </c>
      <c r="AM2779" t="b">
        <v>1</v>
      </c>
      <c r="AN2779" t="b">
        <v>1</v>
      </c>
      <c r="AO2779">
        <v>99999</v>
      </c>
      <c r="AP2779" t="s">
        <v>64</v>
      </c>
      <c r="AR2779" t="b">
        <v>0</v>
      </c>
      <c r="AS2779">
        <v>12</v>
      </c>
      <c r="AT2779" t="s">
        <v>327</v>
      </c>
      <c r="AV2779" t="s">
        <v>2714</v>
      </c>
    </row>
    <row r="2780" spans="1:48" x14ac:dyDescent="0.25">
      <c r="A2780" t="s">
        <v>3323</v>
      </c>
      <c r="B2780" t="s">
        <v>302</v>
      </c>
      <c r="C2780" t="s">
        <v>62</v>
      </c>
      <c r="D2780">
        <v>99999</v>
      </c>
      <c r="F2780" s="109">
        <v>7000</v>
      </c>
      <c r="G2780" t="b">
        <v>1</v>
      </c>
      <c r="H2780" t="s">
        <v>337</v>
      </c>
      <c r="K2780" t="s">
        <v>379</v>
      </c>
      <c r="L2780" t="s">
        <v>303</v>
      </c>
      <c r="M2780" t="s">
        <v>323</v>
      </c>
      <c r="N2780" t="s">
        <v>63</v>
      </c>
      <c r="O2780" s="110">
        <v>29.9</v>
      </c>
      <c r="R2780" s="110">
        <v>274.89</v>
      </c>
      <c r="S2780" s="110">
        <v>69.900000000000006</v>
      </c>
      <c r="T2780" s="110">
        <v>0</v>
      </c>
      <c r="U2780" s="110">
        <v>42.99</v>
      </c>
      <c r="X2780">
        <v>102.1</v>
      </c>
      <c r="Y2780">
        <v>59.9</v>
      </c>
      <c r="Z2780">
        <v>59.9</v>
      </c>
      <c r="AA2780">
        <v>0</v>
      </c>
      <c r="AB2780" t="s">
        <v>363</v>
      </c>
      <c r="AF2780" t="s">
        <v>785</v>
      </c>
      <c r="AG2780" t="s">
        <v>785</v>
      </c>
      <c r="AH2780" t="s">
        <v>758</v>
      </c>
      <c r="AI2780">
        <v>99999</v>
      </c>
      <c r="AJ2780">
        <v>99999</v>
      </c>
      <c r="AK2780">
        <v>699</v>
      </c>
      <c r="AL2780" t="b">
        <v>1</v>
      </c>
      <c r="AM2780" t="b">
        <v>1</v>
      </c>
      <c r="AN2780" t="b">
        <v>1</v>
      </c>
      <c r="AO2780">
        <v>99999</v>
      </c>
      <c r="AP2780" t="s">
        <v>64</v>
      </c>
      <c r="AR2780" t="b">
        <v>0</v>
      </c>
      <c r="AS2780">
        <v>12</v>
      </c>
      <c r="AT2780" t="s">
        <v>327</v>
      </c>
      <c r="AV2780" t="s">
        <v>808</v>
      </c>
    </row>
    <row r="2781" spans="1:48" x14ac:dyDescent="0.25">
      <c r="A2781" t="s">
        <v>3323</v>
      </c>
      <c r="B2781" t="s">
        <v>302</v>
      </c>
      <c r="C2781" t="s">
        <v>62</v>
      </c>
      <c r="D2781">
        <v>99999</v>
      </c>
      <c r="F2781" s="109">
        <v>7000</v>
      </c>
      <c r="G2781" t="b">
        <v>1</v>
      </c>
      <c r="H2781" t="s">
        <v>337</v>
      </c>
      <c r="K2781" t="s">
        <v>379</v>
      </c>
      <c r="L2781" t="s">
        <v>303</v>
      </c>
      <c r="M2781" t="s">
        <v>323</v>
      </c>
      <c r="N2781" t="s">
        <v>63</v>
      </c>
      <c r="O2781" s="110">
        <v>29.9</v>
      </c>
      <c r="R2781" s="110">
        <v>289.89</v>
      </c>
      <c r="S2781" s="110">
        <v>69.900000000000006</v>
      </c>
      <c r="T2781" s="110">
        <v>0</v>
      </c>
      <c r="U2781" s="110">
        <v>42.99</v>
      </c>
      <c r="X2781">
        <v>117.1</v>
      </c>
      <c r="Y2781">
        <v>59.9</v>
      </c>
      <c r="Z2781">
        <v>59.9</v>
      </c>
      <c r="AA2781">
        <v>0</v>
      </c>
      <c r="AB2781" t="s">
        <v>363</v>
      </c>
      <c r="AF2781" t="s">
        <v>919</v>
      </c>
      <c r="AG2781" t="s">
        <v>919</v>
      </c>
      <c r="AH2781" t="s">
        <v>758</v>
      </c>
      <c r="AI2781">
        <v>99999</v>
      </c>
      <c r="AJ2781">
        <v>99999</v>
      </c>
      <c r="AK2781">
        <v>699</v>
      </c>
      <c r="AL2781" t="b">
        <v>1</v>
      </c>
      <c r="AM2781" t="b">
        <v>1</v>
      </c>
      <c r="AN2781" t="b">
        <v>1</v>
      </c>
      <c r="AO2781">
        <v>99999</v>
      </c>
      <c r="AP2781" t="s">
        <v>64</v>
      </c>
      <c r="AR2781" t="b">
        <v>0</v>
      </c>
      <c r="AS2781">
        <v>12</v>
      </c>
      <c r="AT2781" t="s">
        <v>327</v>
      </c>
      <c r="AV2781" t="s">
        <v>942</v>
      </c>
    </row>
    <row r="2782" spans="1:48" x14ac:dyDescent="0.25">
      <c r="A2782" t="s">
        <v>3323</v>
      </c>
      <c r="B2782" t="s">
        <v>302</v>
      </c>
      <c r="C2782" t="s">
        <v>62</v>
      </c>
      <c r="D2782">
        <v>99999</v>
      </c>
      <c r="F2782" s="109">
        <v>7000</v>
      </c>
      <c r="G2782" t="b">
        <v>1</v>
      </c>
      <c r="H2782" t="s">
        <v>337</v>
      </c>
      <c r="K2782" t="s">
        <v>379</v>
      </c>
      <c r="L2782" t="s">
        <v>303</v>
      </c>
      <c r="M2782" t="s">
        <v>323</v>
      </c>
      <c r="N2782" t="s">
        <v>63</v>
      </c>
      <c r="O2782" s="110">
        <v>29.9</v>
      </c>
      <c r="R2782" s="110">
        <v>304.89</v>
      </c>
      <c r="S2782" s="110">
        <v>70</v>
      </c>
      <c r="T2782" s="110">
        <v>0</v>
      </c>
      <c r="U2782" s="110">
        <v>42.99</v>
      </c>
      <c r="X2782">
        <v>132</v>
      </c>
      <c r="Y2782">
        <v>59.9</v>
      </c>
      <c r="Z2782">
        <v>59.9</v>
      </c>
      <c r="AA2782">
        <v>0</v>
      </c>
      <c r="AB2782" t="s">
        <v>363</v>
      </c>
      <c r="AF2782" t="s">
        <v>1067</v>
      </c>
      <c r="AG2782" t="s">
        <v>1067</v>
      </c>
      <c r="AH2782" t="s">
        <v>758</v>
      </c>
      <c r="AI2782">
        <v>99999</v>
      </c>
      <c r="AJ2782">
        <v>99999</v>
      </c>
      <c r="AK2782">
        <v>699</v>
      </c>
      <c r="AL2782" t="b">
        <v>1</v>
      </c>
      <c r="AM2782" t="b">
        <v>1</v>
      </c>
      <c r="AN2782" t="b">
        <v>1</v>
      </c>
      <c r="AO2782">
        <v>99999</v>
      </c>
      <c r="AP2782" t="s">
        <v>64</v>
      </c>
      <c r="AR2782" t="b">
        <v>0</v>
      </c>
      <c r="AS2782">
        <v>12</v>
      </c>
      <c r="AT2782" t="s">
        <v>327</v>
      </c>
      <c r="AV2782" t="s">
        <v>1090</v>
      </c>
    </row>
    <row r="2783" spans="1:48" x14ac:dyDescent="0.25">
      <c r="A2783" t="s">
        <v>3323</v>
      </c>
      <c r="B2783" t="s">
        <v>302</v>
      </c>
      <c r="C2783" t="s">
        <v>62</v>
      </c>
      <c r="D2783">
        <v>99999</v>
      </c>
      <c r="F2783" s="109">
        <v>7000</v>
      </c>
      <c r="G2783" t="b">
        <v>1</v>
      </c>
      <c r="H2783" t="s">
        <v>337</v>
      </c>
      <c r="K2783" t="s">
        <v>379</v>
      </c>
      <c r="L2783" t="s">
        <v>303</v>
      </c>
      <c r="M2783" t="s">
        <v>323</v>
      </c>
      <c r="N2783" t="s">
        <v>63</v>
      </c>
      <c r="O2783" s="110">
        <v>39.9</v>
      </c>
      <c r="R2783" s="110">
        <v>274.89</v>
      </c>
      <c r="S2783" s="110">
        <v>69.900000000000006</v>
      </c>
      <c r="T2783" s="110">
        <v>0</v>
      </c>
      <c r="U2783" s="110">
        <v>42.99</v>
      </c>
      <c r="X2783">
        <v>102.1</v>
      </c>
      <c r="Y2783">
        <v>59.9</v>
      </c>
      <c r="Z2783">
        <v>59.9</v>
      </c>
      <c r="AA2783">
        <v>0</v>
      </c>
      <c r="AB2783" t="s">
        <v>363</v>
      </c>
      <c r="AF2783" t="s">
        <v>852</v>
      </c>
      <c r="AG2783" t="s">
        <v>852</v>
      </c>
      <c r="AH2783" t="s">
        <v>758</v>
      </c>
      <c r="AI2783">
        <v>99999</v>
      </c>
      <c r="AJ2783">
        <v>99999</v>
      </c>
      <c r="AK2783">
        <v>699</v>
      </c>
      <c r="AL2783" t="b">
        <v>1</v>
      </c>
      <c r="AM2783" t="b">
        <v>1</v>
      </c>
      <c r="AN2783" t="b">
        <v>1</v>
      </c>
      <c r="AO2783">
        <v>99999</v>
      </c>
      <c r="AP2783" t="s">
        <v>64</v>
      </c>
      <c r="AR2783" t="b">
        <v>0</v>
      </c>
      <c r="AS2783">
        <v>12</v>
      </c>
      <c r="AT2783" t="s">
        <v>327</v>
      </c>
      <c r="AV2783" t="s">
        <v>875</v>
      </c>
    </row>
    <row r="2784" spans="1:48" x14ac:dyDescent="0.25">
      <c r="A2784" t="s">
        <v>3323</v>
      </c>
      <c r="B2784" t="s">
        <v>302</v>
      </c>
      <c r="C2784" t="s">
        <v>62</v>
      </c>
      <c r="D2784">
        <v>99999</v>
      </c>
      <c r="F2784" s="109">
        <v>7000</v>
      </c>
      <c r="G2784" t="b">
        <v>1</v>
      </c>
      <c r="H2784" t="s">
        <v>337</v>
      </c>
      <c r="K2784" t="s">
        <v>379</v>
      </c>
      <c r="L2784" t="s">
        <v>303</v>
      </c>
      <c r="M2784" t="s">
        <v>323</v>
      </c>
      <c r="N2784" t="s">
        <v>63</v>
      </c>
      <c r="O2784" s="110">
        <v>39.9</v>
      </c>
      <c r="R2784" s="110">
        <v>289.89</v>
      </c>
      <c r="S2784" s="110">
        <v>69.900000000000006</v>
      </c>
      <c r="T2784" s="110">
        <v>0</v>
      </c>
      <c r="U2784" s="110">
        <v>42.99</v>
      </c>
      <c r="X2784">
        <v>117.1</v>
      </c>
      <c r="Y2784">
        <v>59.9</v>
      </c>
      <c r="Z2784">
        <v>59.9</v>
      </c>
      <c r="AA2784">
        <v>0</v>
      </c>
      <c r="AB2784" t="s">
        <v>363</v>
      </c>
      <c r="AF2784" t="s">
        <v>986</v>
      </c>
      <c r="AG2784" t="s">
        <v>986</v>
      </c>
      <c r="AH2784" t="s">
        <v>758</v>
      </c>
      <c r="AI2784">
        <v>99999</v>
      </c>
      <c r="AJ2784">
        <v>99999</v>
      </c>
      <c r="AK2784">
        <v>699</v>
      </c>
      <c r="AL2784" t="b">
        <v>1</v>
      </c>
      <c r="AM2784" t="b">
        <v>1</v>
      </c>
      <c r="AN2784" t="b">
        <v>1</v>
      </c>
      <c r="AO2784">
        <v>99999</v>
      </c>
      <c r="AP2784" t="s">
        <v>64</v>
      </c>
      <c r="AR2784" t="b">
        <v>0</v>
      </c>
      <c r="AS2784">
        <v>12</v>
      </c>
      <c r="AT2784" t="s">
        <v>327</v>
      </c>
      <c r="AV2784" t="s">
        <v>1009</v>
      </c>
    </row>
    <row r="2785" spans="1:48" x14ac:dyDescent="0.25">
      <c r="A2785" t="s">
        <v>3323</v>
      </c>
      <c r="B2785" t="s">
        <v>302</v>
      </c>
      <c r="C2785" t="s">
        <v>62</v>
      </c>
      <c r="D2785">
        <v>99999</v>
      </c>
      <c r="F2785" s="109">
        <v>7000</v>
      </c>
      <c r="G2785" t="b">
        <v>1</v>
      </c>
      <c r="H2785" t="s">
        <v>337</v>
      </c>
      <c r="K2785" t="s">
        <v>379</v>
      </c>
      <c r="L2785" t="s">
        <v>303</v>
      </c>
      <c r="M2785" t="s">
        <v>323</v>
      </c>
      <c r="N2785" t="s">
        <v>63</v>
      </c>
      <c r="O2785" s="110">
        <v>39.9</v>
      </c>
      <c r="R2785" s="110">
        <v>304.89</v>
      </c>
      <c r="S2785" s="110">
        <v>70</v>
      </c>
      <c r="T2785" s="110">
        <v>0</v>
      </c>
      <c r="U2785" s="110">
        <v>42.99</v>
      </c>
      <c r="X2785">
        <v>132</v>
      </c>
      <c r="Y2785">
        <v>59.9</v>
      </c>
      <c r="Z2785">
        <v>59.9</v>
      </c>
      <c r="AA2785">
        <v>0</v>
      </c>
      <c r="AB2785" t="s">
        <v>363</v>
      </c>
      <c r="AF2785" t="s">
        <v>1134</v>
      </c>
      <c r="AG2785" t="s">
        <v>1134</v>
      </c>
      <c r="AH2785" t="s">
        <v>758</v>
      </c>
      <c r="AI2785">
        <v>99999</v>
      </c>
      <c r="AJ2785">
        <v>99999</v>
      </c>
      <c r="AK2785">
        <v>699</v>
      </c>
      <c r="AL2785" t="b">
        <v>1</v>
      </c>
      <c r="AM2785" t="b">
        <v>1</v>
      </c>
      <c r="AN2785" t="b">
        <v>1</v>
      </c>
      <c r="AO2785">
        <v>99999</v>
      </c>
      <c r="AP2785" t="s">
        <v>64</v>
      </c>
      <c r="AR2785" t="b">
        <v>0</v>
      </c>
      <c r="AS2785">
        <v>12</v>
      </c>
      <c r="AT2785" t="s">
        <v>327</v>
      </c>
      <c r="AV2785" t="s">
        <v>1157</v>
      </c>
    </row>
    <row r="2786" spans="1:48" x14ac:dyDescent="0.25">
      <c r="A2786" t="s">
        <v>3323</v>
      </c>
      <c r="B2786" t="s">
        <v>302</v>
      </c>
      <c r="C2786" t="s">
        <v>62</v>
      </c>
      <c r="D2786">
        <v>99999</v>
      </c>
      <c r="F2786" s="109">
        <v>7000</v>
      </c>
      <c r="G2786" t="b">
        <v>1</v>
      </c>
      <c r="H2786" t="s">
        <v>337</v>
      </c>
      <c r="K2786" t="s">
        <v>379</v>
      </c>
      <c r="L2786" t="s">
        <v>303</v>
      </c>
      <c r="M2786" t="s">
        <v>323</v>
      </c>
      <c r="N2786" t="s">
        <v>63</v>
      </c>
      <c r="O2786" s="110">
        <v>49.9</v>
      </c>
      <c r="R2786" s="110">
        <v>320.68999999999994</v>
      </c>
      <c r="S2786" s="110">
        <v>130</v>
      </c>
      <c r="T2786" s="110">
        <v>0</v>
      </c>
      <c r="U2786" s="110">
        <v>34.99</v>
      </c>
      <c r="X2786">
        <v>95.799999999999983</v>
      </c>
      <c r="Y2786">
        <v>59.9</v>
      </c>
      <c r="Z2786">
        <v>59.9</v>
      </c>
      <c r="AA2786">
        <v>0</v>
      </c>
      <c r="AB2786" t="s">
        <v>363</v>
      </c>
      <c r="AF2786" t="s">
        <v>2494</v>
      </c>
      <c r="AG2786" t="s">
        <v>2494</v>
      </c>
      <c r="AH2786" t="s">
        <v>758</v>
      </c>
      <c r="AI2786">
        <v>99999</v>
      </c>
      <c r="AJ2786">
        <v>99999</v>
      </c>
      <c r="AK2786">
        <v>699</v>
      </c>
      <c r="AL2786" t="b">
        <v>1</v>
      </c>
      <c r="AM2786" t="b">
        <v>1</v>
      </c>
      <c r="AN2786" t="b">
        <v>1</v>
      </c>
      <c r="AO2786">
        <v>99999</v>
      </c>
      <c r="AP2786" t="s">
        <v>64</v>
      </c>
      <c r="AR2786" t="b">
        <v>0</v>
      </c>
      <c r="AS2786">
        <v>12</v>
      </c>
      <c r="AT2786" t="s">
        <v>327</v>
      </c>
      <c r="AV2786" t="s">
        <v>2517</v>
      </c>
    </row>
    <row r="2787" spans="1:48" x14ac:dyDescent="0.25">
      <c r="A2787" t="s">
        <v>3323</v>
      </c>
      <c r="B2787" t="s">
        <v>302</v>
      </c>
      <c r="C2787" t="s">
        <v>62</v>
      </c>
      <c r="D2787">
        <v>99999</v>
      </c>
      <c r="F2787" s="109">
        <v>7000</v>
      </c>
      <c r="G2787" t="b">
        <v>1</v>
      </c>
      <c r="H2787" t="s">
        <v>337</v>
      </c>
      <c r="K2787" t="s">
        <v>379</v>
      </c>
      <c r="L2787" t="s">
        <v>303</v>
      </c>
      <c r="M2787" t="s">
        <v>323</v>
      </c>
      <c r="N2787" t="s">
        <v>63</v>
      </c>
      <c r="O2787" s="110">
        <v>49.9</v>
      </c>
      <c r="R2787" s="110">
        <v>334.99</v>
      </c>
      <c r="S2787" s="110">
        <v>130</v>
      </c>
      <c r="T2787" s="110">
        <v>0</v>
      </c>
      <c r="U2787" s="110">
        <v>42.99</v>
      </c>
      <c r="X2787">
        <v>102.1</v>
      </c>
      <c r="Y2787">
        <v>59.9</v>
      </c>
      <c r="Z2787">
        <v>59.9</v>
      </c>
      <c r="AA2787">
        <v>0</v>
      </c>
      <c r="AB2787" t="s">
        <v>363</v>
      </c>
      <c r="AF2787" t="s">
        <v>2568</v>
      </c>
      <c r="AG2787" t="s">
        <v>2568</v>
      </c>
      <c r="AH2787" t="s">
        <v>758</v>
      </c>
      <c r="AI2787">
        <v>99999</v>
      </c>
      <c r="AJ2787">
        <v>99999</v>
      </c>
      <c r="AK2787">
        <v>699</v>
      </c>
      <c r="AL2787" t="b">
        <v>1</v>
      </c>
      <c r="AM2787" t="b">
        <v>1</v>
      </c>
      <c r="AN2787" t="b">
        <v>1</v>
      </c>
      <c r="AO2787">
        <v>99999</v>
      </c>
      <c r="AP2787" t="s">
        <v>64</v>
      </c>
      <c r="AR2787" t="b">
        <v>0</v>
      </c>
      <c r="AS2787">
        <v>12</v>
      </c>
      <c r="AT2787" t="s">
        <v>327</v>
      </c>
      <c r="AV2787" t="s">
        <v>2591</v>
      </c>
    </row>
    <row r="2788" spans="1:48" x14ac:dyDescent="0.25">
      <c r="A2788" t="s">
        <v>3323</v>
      </c>
      <c r="B2788" t="s">
        <v>302</v>
      </c>
      <c r="C2788" t="s">
        <v>62</v>
      </c>
      <c r="D2788">
        <v>99999</v>
      </c>
      <c r="F2788" s="109">
        <v>7000</v>
      </c>
      <c r="G2788" t="b">
        <v>1</v>
      </c>
      <c r="H2788" t="s">
        <v>337</v>
      </c>
      <c r="K2788" t="s">
        <v>379</v>
      </c>
      <c r="L2788" t="s">
        <v>303</v>
      </c>
      <c r="M2788" t="s">
        <v>323</v>
      </c>
      <c r="N2788" t="s">
        <v>63</v>
      </c>
      <c r="O2788" s="110">
        <v>49.9</v>
      </c>
      <c r="R2788" s="110">
        <v>349.99</v>
      </c>
      <c r="S2788" s="110">
        <v>130</v>
      </c>
      <c r="T2788" s="110">
        <v>0</v>
      </c>
      <c r="U2788" s="110">
        <v>42.99</v>
      </c>
      <c r="X2788">
        <v>117.1</v>
      </c>
      <c r="Y2788">
        <v>59.9</v>
      </c>
      <c r="Z2788">
        <v>59.9</v>
      </c>
      <c r="AA2788">
        <v>0</v>
      </c>
      <c r="AB2788" t="s">
        <v>363</v>
      </c>
      <c r="AF2788" t="s">
        <v>2633</v>
      </c>
      <c r="AG2788" t="s">
        <v>2633</v>
      </c>
      <c r="AH2788" t="s">
        <v>758</v>
      </c>
      <c r="AI2788">
        <v>99999</v>
      </c>
      <c r="AJ2788">
        <v>99999</v>
      </c>
      <c r="AK2788">
        <v>699</v>
      </c>
      <c r="AL2788" t="b">
        <v>1</v>
      </c>
      <c r="AM2788" t="b">
        <v>1</v>
      </c>
      <c r="AN2788" t="b">
        <v>1</v>
      </c>
      <c r="AO2788">
        <v>99999</v>
      </c>
      <c r="AP2788" t="s">
        <v>64</v>
      </c>
      <c r="AR2788" t="b">
        <v>0</v>
      </c>
      <c r="AS2788">
        <v>12</v>
      </c>
      <c r="AT2788" t="s">
        <v>327</v>
      </c>
      <c r="AV2788" t="s">
        <v>2655</v>
      </c>
    </row>
    <row r="2789" spans="1:48" x14ac:dyDescent="0.25">
      <c r="A2789" t="s">
        <v>3323</v>
      </c>
      <c r="B2789" t="s">
        <v>302</v>
      </c>
      <c r="C2789" t="s">
        <v>62</v>
      </c>
      <c r="D2789">
        <v>99999</v>
      </c>
      <c r="F2789" s="109">
        <v>7000</v>
      </c>
      <c r="G2789" t="b">
        <v>1</v>
      </c>
      <c r="H2789" t="s">
        <v>337</v>
      </c>
      <c r="K2789" t="s">
        <v>379</v>
      </c>
      <c r="L2789" t="s">
        <v>303</v>
      </c>
      <c r="M2789" t="s">
        <v>323</v>
      </c>
      <c r="N2789" t="s">
        <v>63</v>
      </c>
      <c r="O2789" s="110">
        <v>49.9</v>
      </c>
      <c r="R2789" s="110">
        <v>364.89</v>
      </c>
      <c r="S2789" s="110">
        <v>130</v>
      </c>
      <c r="T2789" s="110">
        <v>0</v>
      </c>
      <c r="U2789" s="110">
        <v>42.99</v>
      </c>
      <c r="X2789">
        <v>132</v>
      </c>
      <c r="Y2789">
        <v>59.9</v>
      </c>
      <c r="Z2789">
        <v>59.9</v>
      </c>
      <c r="AA2789">
        <v>0</v>
      </c>
      <c r="AB2789" t="s">
        <v>363</v>
      </c>
      <c r="AF2789" t="s">
        <v>2704</v>
      </c>
      <c r="AG2789" t="s">
        <v>2704</v>
      </c>
      <c r="AH2789" t="s">
        <v>758</v>
      </c>
      <c r="AI2789">
        <v>99999</v>
      </c>
      <c r="AJ2789">
        <v>99999</v>
      </c>
      <c r="AK2789">
        <v>699</v>
      </c>
      <c r="AL2789" t="b">
        <v>1</v>
      </c>
      <c r="AM2789" t="b">
        <v>1</v>
      </c>
      <c r="AN2789" t="b">
        <v>1</v>
      </c>
      <c r="AO2789">
        <v>99999</v>
      </c>
      <c r="AP2789" t="s">
        <v>64</v>
      </c>
      <c r="AR2789" t="b">
        <v>0</v>
      </c>
      <c r="AS2789">
        <v>12</v>
      </c>
      <c r="AT2789" t="s">
        <v>327</v>
      </c>
      <c r="AV2789" t="s">
        <v>2727</v>
      </c>
    </row>
    <row r="2790" spans="1:48" x14ac:dyDescent="0.25">
      <c r="A2790" t="s">
        <v>3323</v>
      </c>
      <c r="B2790" t="s">
        <v>302</v>
      </c>
      <c r="C2790" t="s">
        <v>62</v>
      </c>
      <c r="D2790">
        <v>99999</v>
      </c>
      <c r="F2790" s="109">
        <v>7000</v>
      </c>
      <c r="G2790" t="b">
        <v>1</v>
      </c>
      <c r="H2790" t="s">
        <v>337</v>
      </c>
      <c r="K2790" t="s">
        <v>61</v>
      </c>
      <c r="L2790" t="s">
        <v>303</v>
      </c>
      <c r="M2790" t="s">
        <v>323</v>
      </c>
      <c r="N2790" t="s">
        <v>63</v>
      </c>
      <c r="O2790">
        <v>29.9</v>
      </c>
      <c r="R2790">
        <v>259.89</v>
      </c>
      <c r="S2790">
        <v>69.900000000000006</v>
      </c>
      <c r="T2790" s="110">
        <v>0</v>
      </c>
      <c r="U2790">
        <v>42.99</v>
      </c>
      <c r="X2790">
        <v>102.1</v>
      </c>
      <c r="Y2790">
        <v>44.9</v>
      </c>
      <c r="Z2790">
        <v>44.9</v>
      </c>
      <c r="AA2790">
        <v>0</v>
      </c>
      <c r="AB2790" t="s">
        <v>324</v>
      </c>
      <c r="AF2790" t="s">
        <v>757</v>
      </c>
      <c r="AG2790" t="s">
        <v>757</v>
      </c>
      <c r="AH2790" t="s">
        <v>758</v>
      </c>
      <c r="AI2790">
        <v>99999</v>
      </c>
      <c r="AJ2790">
        <v>99999</v>
      </c>
      <c r="AK2790">
        <v>699</v>
      </c>
      <c r="AL2790" t="b">
        <v>1</v>
      </c>
      <c r="AM2790" t="b">
        <v>1</v>
      </c>
      <c r="AN2790" t="b">
        <v>1</v>
      </c>
      <c r="AO2790">
        <v>99999</v>
      </c>
      <c r="AP2790" t="s">
        <v>64</v>
      </c>
      <c r="AR2790" t="b">
        <v>0</v>
      </c>
      <c r="AS2790">
        <v>12</v>
      </c>
      <c r="AT2790" t="s">
        <v>327</v>
      </c>
      <c r="AV2790" t="s">
        <v>768</v>
      </c>
    </row>
    <row r="2791" spans="1:48" x14ac:dyDescent="0.25">
      <c r="A2791" t="s">
        <v>3323</v>
      </c>
      <c r="B2791" t="s">
        <v>302</v>
      </c>
      <c r="C2791" t="s">
        <v>62</v>
      </c>
      <c r="D2791">
        <v>99999</v>
      </c>
      <c r="F2791" s="109">
        <v>7000</v>
      </c>
      <c r="G2791" t="b">
        <v>1</v>
      </c>
      <c r="H2791" t="s">
        <v>337</v>
      </c>
      <c r="K2791" t="s">
        <v>61</v>
      </c>
      <c r="L2791" t="s">
        <v>303</v>
      </c>
      <c r="M2791" t="s">
        <v>323</v>
      </c>
      <c r="N2791" t="s">
        <v>63</v>
      </c>
      <c r="O2791" s="110">
        <v>29.9</v>
      </c>
      <c r="R2791" s="110">
        <v>274.89</v>
      </c>
      <c r="S2791" s="110">
        <v>69.900000000000006</v>
      </c>
      <c r="T2791" s="110">
        <v>0</v>
      </c>
      <c r="U2791" s="110">
        <v>42.99</v>
      </c>
      <c r="X2791">
        <v>117.1</v>
      </c>
      <c r="Y2791">
        <v>44.9</v>
      </c>
      <c r="Z2791">
        <v>44.9</v>
      </c>
      <c r="AA2791">
        <v>0</v>
      </c>
      <c r="AB2791" t="s">
        <v>324</v>
      </c>
      <c r="AF2791" t="s">
        <v>892</v>
      </c>
      <c r="AG2791" t="s">
        <v>892</v>
      </c>
      <c r="AH2791" t="s">
        <v>758</v>
      </c>
      <c r="AI2791">
        <v>99999</v>
      </c>
      <c r="AJ2791">
        <v>99999</v>
      </c>
      <c r="AK2791">
        <v>699</v>
      </c>
      <c r="AL2791" t="b">
        <v>1</v>
      </c>
      <c r="AM2791" t="b">
        <v>1</v>
      </c>
      <c r="AN2791" t="b">
        <v>1</v>
      </c>
      <c r="AO2791">
        <v>99999</v>
      </c>
      <c r="AP2791" t="s">
        <v>64</v>
      </c>
      <c r="AR2791" t="b">
        <v>0</v>
      </c>
      <c r="AS2791">
        <v>12</v>
      </c>
      <c r="AT2791" t="s">
        <v>327</v>
      </c>
      <c r="AV2791" t="s">
        <v>902</v>
      </c>
    </row>
    <row r="2792" spans="1:48" x14ac:dyDescent="0.25">
      <c r="A2792" t="s">
        <v>3323</v>
      </c>
      <c r="B2792" t="s">
        <v>302</v>
      </c>
      <c r="C2792" t="s">
        <v>62</v>
      </c>
      <c r="D2792">
        <v>99999</v>
      </c>
      <c r="F2792" s="109">
        <v>7000</v>
      </c>
      <c r="G2792" t="b">
        <v>1</v>
      </c>
      <c r="H2792" t="s">
        <v>337</v>
      </c>
      <c r="K2792" t="s">
        <v>61</v>
      </c>
      <c r="L2792" t="s">
        <v>303</v>
      </c>
      <c r="M2792" t="s">
        <v>323</v>
      </c>
      <c r="N2792" t="s">
        <v>63</v>
      </c>
      <c r="O2792" s="110">
        <v>29.9</v>
      </c>
      <c r="R2792" s="110">
        <v>289.89</v>
      </c>
      <c r="S2792" s="110">
        <v>70</v>
      </c>
      <c r="T2792" s="110">
        <v>0</v>
      </c>
      <c r="U2792" s="110">
        <v>42.99</v>
      </c>
      <c r="X2792">
        <v>132</v>
      </c>
      <c r="Y2792">
        <v>44.9</v>
      </c>
      <c r="Z2792">
        <v>44.9</v>
      </c>
      <c r="AA2792">
        <v>0</v>
      </c>
      <c r="AB2792" t="s">
        <v>324</v>
      </c>
      <c r="AF2792" t="s">
        <v>1040</v>
      </c>
      <c r="AG2792" t="s">
        <v>1040</v>
      </c>
      <c r="AH2792" t="s">
        <v>758</v>
      </c>
      <c r="AI2792">
        <v>99999</v>
      </c>
      <c r="AJ2792">
        <v>99999</v>
      </c>
      <c r="AK2792">
        <v>699</v>
      </c>
      <c r="AL2792" t="b">
        <v>1</v>
      </c>
      <c r="AM2792" t="b">
        <v>1</v>
      </c>
      <c r="AN2792" t="b">
        <v>1</v>
      </c>
      <c r="AO2792">
        <v>99999</v>
      </c>
      <c r="AP2792" t="s">
        <v>64</v>
      </c>
      <c r="AR2792" t="b">
        <v>0</v>
      </c>
      <c r="AS2792">
        <v>12</v>
      </c>
      <c r="AT2792" t="s">
        <v>327</v>
      </c>
      <c r="AV2792" t="s">
        <v>1050</v>
      </c>
    </row>
    <row r="2793" spans="1:48" x14ac:dyDescent="0.25">
      <c r="A2793" t="s">
        <v>3323</v>
      </c>
      <c r="B2793" t="s">
        <v>302</v>
      </c>
      <c r="C2793" t="s">
        <v>62</v>
      </c>
      <c r="D2793">
        <v>99999</v>
      </c>
      <c r="F2793" s="109">
        <v>7000</v>
      </c>
      <c r="G2793" t="b">
        <v>1</v>
      </c>
      <c r="H2793" t="s">
        <v>337</v>
      </c>
      <c r="K2793" t="s">
        <v>61</v>
      </c>
      <c r="L2793" t="s">
        <v>303</v>
      </c>
      <c r="M2793" t="s">
        <v>323</v>
      </c>
      <c r="N2793" t="s">
        <v>63</v>
      </c>
      <c r="O2793" s="110">
        <v>39.9</v>
      </c>
      <c r="R2793" s="110">
        <v>259.89</v>
      </c>
      <c r="S2793" s="110">
        <v>69.900000000000006</v>
      </c>
      <c r="T2793" s="110">
        <v>0</v>
      </c>
      <c r="U2793" s="110">
        <v>42.99</v>
      </c>
      <c r="X2793">
        <v>102.1</v>
      </c>
      <c r="Y2793">
        <v>44.9</v>
      </c>
      <c r="Z2793">
        <v>44.9</v>
      </c>
      <c r="AA2793">
        <v>0</v>
      </c>
      <c r="AB2793" t="s">
        <v>324</v>
      </c>
      <c r="AF2793" t="s">
        <v>825</v>
      </c>
      <c r="AG2793" t="s">
        <v>825</v>
      </c>
      <c r="AH2793" t="s">
        <v>758</v>
      </c>
      <c r="AI2793">
        <v>99999</v>
      </c>
      <c r="AJ2793">
        <v>99999</v>
      </c>
      <c r="AK2793">
        <v>699</v>
      </c>
      <c r="AL2793" t="b">
        <v>1</v>
      </c>
      <c r="AM2793" t="b">
        <v>1</v>
      </c>
      <c r="AN2793" t="b">
        <v>1</v>
      </c>
      <c r="AO2793">
        <v>99999</v>
      </c>
      <c r="AP2793" t="s">
        <v>64</v>
      </c>
      <c r="AR2793" t="b">
        <v>0</v>
      </c>
      <c r="AS2793">
        <v>12</v>
      </c>
      <c r="AT2793" t="s">
        <v>327</v>
      </c>
      <c r="AV2793" t="s">
        <v>835</v>
      </c>
    </row>
    <row r="2794" spans="1:48" x14ac:dyDescent="0.25">
      <c r="A2794" t="s">
        <v>3323</v>
      </c>
      <c r="B2794" t="s">
        <v>302</v>
      </c>
      <c r="C2794" t="s">
        <v>62</v>
      </c>
      <c r="D2794">
        <v>99999</v>
      </c>
      <c r="F2794" s="109">
        <v>7000</v>
      </c>
      <c r="G2794" t="b">
        <v>1</v>
      </c>
      <c r="H2794" t="s">
        <v>337</v>
      </c>
      <c r="K2794" t="s">
        <v>61</v>
      </c>
      <c r="L2794" t="s">
        <v>303</v>
      </c>
      <c r="M2794" t="s">
        <v>323</v>
      </c>
      <c r="N2794" t="s">
        <v>63</v>
      </c>
      <c r="O2794" s="110">
        <v>39.9</v>
      </c>
      <c r="R2794" s="110">
        <v>274.89</v>
      </c>
      <c r="S2794" s="110">
        <v>69.900000000000006</v>
      </c>
      <c r="T2794" s="110">
        <v>0</v>
      </c>
      <c r="U2794" s="110">
        <v>42.99</v>
      </c>
      <c r="X2794">
        <v>117.1</v>
      </c>
      <c r="Y2794">
        <v>44.9</v>
      </c>
      <c r="Z2794">
        <v>44.9</v>
      </c>
      <c r="AA2794">
        <v>0</v>
      </c>
      <c r="AB2794" t="s">
        <v>324</v>
      </c>
      <c r="AF2794" t="s">
        <v>959</v>
      </c>
      <c r="AG2794" t="s">
        <v>959</v>
      </c>
      <c r="AH2794" t="s">
        <v>758</v>
      </c>
      <c r="AI2794">
        <v>99999</v>
      </c>
      <c r="AJ2794">
        <v>99999</v>
      </c>
      <c r="AK2794">
        <v>699</v>
      </c>
      <c r="AL2794" t="b">
        <v>1</v>
      </c>
      <c r="AM2794" t="b">
        <v>1</v>
      </c>
      <c r="AN2794" t="b">
        <v>1</v>
      </c>
      <c r="AO2794">
        <v>99999</v>
      </c>
      <c r="AP2794" t="s">
        <v>64</v>
      </c>
      <c r="AR2794" t="b">
        <v>0</v>
      </c>
      <c r="AS2794">
        <v>12</v>
      </c>
      <c r="AT2794" t="s">
        <v>327</v>
      </c>
      <c r="AV2794" t="s">
        <v>969</v>
      </c>
    </row>
    <row r="2795" spans="1:48" x14ac:dyDescent="0.25">
      <c r="A2795" t="s">
        <v>3323</v>
      </c>
      <c r="B2795" t="s">
        <v>302</v>
      </c>
      <c r="C2795" t="s">
        <v>62</v>
      </c>
      <c r="D2795">
        <v>99999</v>
      </c>
      <c r="F2795" s="109">
        <v>7000</v>
      </c>
      <c r="G2795" t="b">
        <v>1</v>
      </c>
      <c r="H2795" t="s">
        <v>337</v>
      </c>
      <c r="K2795" t="s">
        <v>61</v>
      </c>
      <c r="L2795" t="s">
        <v>303</v>
      </c>
      <c r="M2795" t="s">
        <v>323</v>
      </c>
      <c r="N2795" t="s">
        <v>63</v>
      </c>
      <c r="O2795" s="110">
        <v>39.9</v>
      </c>
      <c r="R2795" s="110">
        <v>289.89</v>
      </c>
      <c r="S2795" s="110">
        <v>70</v>
      </c>
      <c r="T2795" s="110">
        <v>0</v>
      </c>
      <c r="U2795" s="110">
        <v>42.99</v>
      </c>
      <c r="X2795">
        <v>132</v>
      </c>
      <c r="Y2795">
        <v>44.9</v>
      </c>
      <c r="Z2795">
        <v>44.9</v>
      </c>
      <c r="AA2795">
        <v>0</v>
      </c>
      <c r="AB2795" t="s">
        <v>324</v>
      </c>
      <c r="AF2795" t="s">
        <v>1107</v>
      </c>
      <c r="AG2795" t="s">
        <v>1107</v>
      </c>
      <c r="AH2795" t="s">
        <v>758</v>
      </c>
      <c r="AI2795">
        <v>99999</v>
      </c>
      <c r="AJ2795">
        <v>99999</v>
      </c>
      <c r="AK2795">
        <v>699</v>
      </c>
      <c r="AL2795" t="b">
        <v>1</v>
      </c>
      <c r="AM2795" t="b">
        <v>1</v>
      </c>
      <c r="AN2795" t="b">
        <v>1</v>
      </c>
      <c r="AO2795">
        <v>99999</v>
      </c>
      <c r="AP2795" t="s">
        <v>64</v>
      </c>
      <c r="AR2795" t="b">
        <v>0</v>
      </c>
      <c r="AS2795">
        <v>12</v>
      </c>
      <c r="AT2795" t="s">
        <v>327</v>
      </c>
      <c r="AV2795" t="s">
        <v>1117</v>
      </c>
    </row>
    <row r="2796" spans="1:48" x14ac:dyDescent="0.25">
      <c r="A2796" t="s">
        <v>3323</v>
      </c>
      <c r="B2796" t="s">
        <v>302</v>
      </c>
      <c r="C2796" t="s">
        <v>62</v>
      </c>
      <c r="D2796">
        <v>99999</v>
      </c>
      <c r="F2796" s="109">
        <v>7000</v>
      </c>
      <c r="G2796" t="b">
        <v>1</v>
      </c>
      <c r="H2796" t="s">
        <v>337</v>
      </c>
      <c r="K2796" t="s">
        <v>61</v>
      </c>
      <c r="L2796" t="s">
        <v>303</v>
      </c>
      <c r="M2796" t="s">
        <v>323</v>
      </c>
      <c r="N2796" t="s">
        <v>63</v>
      </c>
      <c r="O2796" s="110">
        <v>49.9</v>
      </c>
      <c r="R2796" s="110">
        <v>305.68999999999994</v>
      </c>
      <c r="S2796" s="110">
        <v>130</v>
      </c>
      <c r="T2796" s="110">
        <v>0</v>
      </c>
      <c r="U2796" s="110">
        <v>34.99</v>
      </c>
      <c r="X2796">
        <v>95.799999999999983</v>
      </c>
      <c r="Y2796">
        <v>44.9</v>
      </c>
      <c r="Z2796">
        <v>44.9</v>
      </c>
      <c r="AA2796">
        <v>0</v>
      </c>
      <c r="AB2796" t="s">
        <v>324</v>
      </c>
      <c r="AF2796" t="s">
        <v>2467</v>
      </c>
      <c r="AG2796" t="s">
        <v>2467</v>
      </c>
      <c r="AH2796" t="s">
        <v>758</v>
      </c>
      <c r="AI2796">
        <v>99999</v>
      </c>
      <c r="AJ2796">
        <v>99999</v>
      </c>
      <c r="AK2796">
        <v>699</v>
      </c>
      <c r="AL2796" t="b">
        <v>1</v>
      </c>
      <c r="AM2796" t="b">
        <v>1</v>
      </c>
      <c r="AN2796" t="b">
        <v>1</v>
      </c>
      <c r="AO2796">
        <v>99999</v>
      </c>
      <c r="AP2796" t="s">
        <v>64</v>
      </c>
      <c r="AR2796" t="b">
        <v>0</v>
      </c>
      <c r="AS2796">
        <v>12</v>
      </c>
      <c r="AT2796" t="s">
        <v>327</v>
      </c>
      <c r="AV2796" t="s">
        <v>2477</v>
      </c>
    </row>
    <row r="2797" spans="1:48" x14ac:dyDescent="0.25">
      <c r="A2797" t="s">
        <v>3323</v>
      </c>
      <c r="B2797" t="s">
        <v>302</v>
      </c>
      <c r="C2797" t="s">
        <v>62</v>
      </c>
      <c r="D2797">
        <v>99999</v>
      </c>
      <c r="F2797" s="109">
        <v>7000</v>
      </c>
      <c r="G2797" t="b">
        <v>1</v>
      </c>
      <c r="H2797" t="s">
        <v>337</v>
      </c>
      <c r="K2797" t="s">
        <v>61</v>
      </c>
      <c r="L2797" t="s">
        <v>303</v>
      </c>
      <c r="M2797" t="s">
        <v>323</v>
      </c>
      <c r="N2797" t="s">
        <v>63</v>
      </c>
      <c r="O2797" s="110">
        <v>49.9</v>
      </c>
      <c r="R2797" s="110">
        <v>319.99</v>
      </c>
      <c r="S2797" s="110">
        <v>130</v>
      </c>
      <c r="T2797" s="110">
        <v>0</v>
      </c>
      <c r="U2797" s="110">
        <v>42.99</v>
      </c>
      <c r="X2797">
        <v>102.1</v>
      </c>
      <c r="Y2797">
        <v>44.9</v>
      </c>
      <c r="Z2797">
        <v>44.9</v>
      </c>
      <c r="AA2797">
        <v>0</v>
      </c>
      <c r="AB2797" t="s">
        <v>324</v>
      </c>
      <c r="AF2797" t="s">
        <v>2541</v>
      </c>
      <c r="AG2797" t="s">
        <v>2541</v>
      </c>
      <c r="AH2797" t="s">
        <v>758</v>
      </c>
      <c r="AI2797">
        <v>99999</v>
      </c>
      <c r="AJ2797">
        <v>99999</v>
      </c>
      <c r="AK2797">
        <v>699</v>
      </c>
      <c r="AL2797" t="b">
        <v>1</v>
      </c>
      <c r="AM2797" t="b">
        <v>1</v>
      </c>
      <c r="AN2797" t="b">
        <v>1</v>
      </c>
      <c r="AO2797">
        <v>99999</v>
      </c>
      <c r="AP2797" t="s">
        <v>64</v>
      </c>
      <c r="AR2797" t="b">
        <v>0</v>
      </c>
      <c r="AS2797">
        <v>12</v>
      </c>
      <c r="AT2797" t="s">
        <v>327</v>
      </c>
      <c r="AV2797" t="s">
        <v>2551</v>
      </c>
    </row>
    <row r="2798" spans="1:48" x14ac:dyDescent="0.25">
      <c r="A2798" t="s">
        <v>3323</v>
      </c>
      <c r="B2798" t="s">
        <v>302</v>
      </c>
      <c r="C2798" t="s">
        <v>62</v>
      </c>
      <c r="D2798">
        <v>99999</v>
      </c>
      <c r="F2798" s="109">
        <v>7000</v>
      </c>
      <c r="G2798" t="b">
        <v>1</v>
      </c>
      <c r="H2798" t="s">
        <v>337</v>
      </c>
      <c r="K2798" t="s">
        <v>61</v>
      </c>
      <c r="L2798" t="s">
        <v>303</v>
      </c>
      <c r="M2798" t="s">
        <v>323</v>
      </c>
      <c r="N2798" t="s">
        <v>63</v>
      </c>
      <c r="O2798" s="110">
        <v>49.9</v>
      </c>
      <c r="R2798" s="110">
        <v>334.99</v>
      </c>
      <c r="S2798" s="110">
        <v>130</v>
      </c>
      <c r="T2798" s="110">
        <v>0</v>
      </c>
      <c r="U2798" s="110">
        <v>42.99</v>
      </c>
      <c r="X2798">
        <v>117.1</v>
      </c>
      <c r="Y2798">
        <v>44.9</v>
      </c>
      <c r="Z2798">
        <v>44.9</v>
      </c>
      <c r="AA2798">
        <v>0</v>
      </c>
      <c r="AB2798" t="s">
        <v>324</v>
      </c>
      <c r="AF2798" t="s">
        <v>2608</v>
      </c>
      <c r="AG2798" t="s">
        <v>2608</v>
      </c>
      <c r="AH2798" t="s">
        <v>758</v>
      </c>
      <c r="AI2798">
        <v>99999</v>
      </c>
      <c r="AJ2798">
        <v>99999</v>
      </c>
      <c r="AK2798">
        <v>699</v>
      </c>
      <c r="AL2798" t="b">
        <v>1</v>
      </c>
      <c r="AM2798" t="b">
        <v>1</v>
      </c>
      <c r="AN2798" t="b">
        <v>1</v>
      </c>
      <c r="AO2798">
        <v>99999</v>
      </c>
      <c r="AP2798" t="s">
        <v>64</v>
      </c>
      <c r="AR2798" t="b">
        <v>0</v>
      </c>
      <c r="AS2798">
        <v>12</v>
      </c>
      <c r="AT2798" t="s">
        <v>327</v>
      </c>
      <c r="AV2798" t="s">
        <v>2618</v>
      </c>
    </row>
    <row r="2799" spans="1:48" x14ac:dyDescent="0.25">
      <c r="A2799" t="s">
        <v>3323</v>
      </c>
      <c r="B2799" t="s">
        <v>302</v>
      </c>
      <c r="C2799" t="s">
        <v>62</v>
      </c>
      <c r="D2799">
        <v>99999</v>
      </c>
      <c r="F2799" s="109">
        <v>7000</v>
      </c>
      <c r="G2799" t="b">
        <v>1</v>
      </c>
      <c r="H2799" t="s">
        <v>337</v>
      </c>
      <c r="K2799" t="s">
        <v>61</v>
      </c>
      <c r="L2799" t="s">
        <v>303</v>
      </c>
      <c r="M2799" t="s">
        <v>323</v>
      </c>
      <c r="N2799" t="s">
        <v>63</v>
      </c>
      <c r="O2799" s="110">
        <v>49.9</v>
      </c>
      <c r="R2799" s="110">
        <v>349.89</v>
      </c>
      <c r="S2799" s="110">
        <v>130</v>
      </c>
      <c r="T2799" s="110">
        <v>0</v>
      </c>
      <c r="U2799" s="110">
        <v>42.99</v>
      </c>
      <c r="X2799">
        <v>132</v>
      </c>
      <c r="Y2799">
        <v>44.9</v>
      </c>
      <c r="Z2799">
        <v>44.9</v>
      </c>
      <c r="AA2799">
        <v>0</v>
      </c>
      <c r="AB2799" t="s">
        <v>324</v>
      </c>
      <c r="AF2799" t="s">
        <v>2677</v>
      </c>
      <c r="AG2799" t="s">
        <v>2677</v>
      </c>
      <c r="AH2799" t="s">
        <v>758</v>
      </c>
      <c r="AI2799">
        <v>99999</v>
      </c>
      <c r="AJ2799">
        <v>99999</v>
      </c>
      <c r="AK2799">
        <v>699</v>
      </c>
      <c r="AL2799" t="b">
        <v>1</v>
      </c>
      <c r="AM2799" t="b">
        <v>1</v>
      </c>
      <c r="AN2799" t="b">
        <v>1</v>
      </c>
      <c r="AO2799">
        <v>99999</v>
      </c>
      <c r="AP2799" t="s">
        <v>64</v>
      </c>
      <c r="AR2799" t="b">
        <v>0</v>
      </c>
      <c r="AS2799">
        <v>12</v>
      </c>
      <c r="AT2799" t="s">
        <v>327</v>
      </c>
      <c r="AV2799" t="s">
        <v>2687</v>
      </c>
    </row>
    <row r="2800" spans="1:48" x14ac:dyDescent="0.25">
      <c r="A2800" t="s">
        <v>3323</v>
      </c>
      <c r="B2800" t="s">
        <v>302</v>
      </c>
      <c r="C2800" t="s">
        <v>62</v>
      </c>
      <c r="D2800">
        <v>99999</v>
      </c>
      <c r="F2800" s="109">
        <v>7000</v>
      </c>
      <c r="G2800" t="b">
        <v>1</v>
      </c>
      <c r="H2800" t="s">
        <v>341</v>
      </c>
      <c r="K2800" t="s">
        <v>349</v>
      </c>
      <c r="L2800" t="s">
        <v>303</v>
      </c>
      <c r="M2800" t="s">
        <v>323</v>
      </c>
      <c r="N2800" t="s">
        <v>63</v>
      </c>
      <c r="O2800" s="110">
        <v>29.9</v>
      </c>
      <c r="R2800" s="110">
        <v>284.89</v>
      </c>
      <c r="S2800" s="110">
        <v>69.900000000000006</v>
      </c>
      <c r="T2800" s="110">
        <v>0</v>
      </c>
      <c r="U2800" s="110">
        <v>42.99</v>
      </c>
      <c r="X2800">
        <v>127.09999999999997</v>
      </c>
      <c r="Y2800">
        <v>44.9</v>
      </c>
      <c r="Z2800">
        <v>44.9</v>
      </c>
      <c r="AA2800">
        <v>0</v>
      </c>
      <c r="AB2800" t="s">
        <v>324</v>
      </c>
      <c r="AF2800" t="s">
        <v>757</v>
      </c>
      <c r="AG2800" t="s">
        <v>757</v>
      </c>
      <c r="AH2800" t="s">
        <v>758</v>
      </c>
      <c r="AI2800">
        <v>99999</v>
      </c>
      <c r="AJ2800">
        <v>99999</v>
      </c>
      <c r="AK2800">
        <v>699</v>
      </c>
      <c r="AL2800" t="b">
        <v>1</v>
      </c>
      <c r="AM2800" t="b">
        <v>1</v>
      </c>
      <c r="AN2800" t="b">
        <v>1</v>
      </c>
      <c r="AO2800">
        <v>99999</v>
      </c>
      <c r="AP2800" t="s">
        <v>64</v>
      </c>
      <c r="AR2800" t="b">
        <v>0</v>
      </c>
      <c r="AS2800">
        <v>12</v>
      </c>
      <c r="AT2800" t="s">
        <v>327</v>
      </c>
      <c r="AV2800" t="s">
        <v>783</v>
      </c>
    </row>
    <row r="2801" spans="1:48" x14ac:dyDescent="0.25">
      <c r="A2801" t="s">
        <v>3323</v>
      </c>
      <c r="B2801" t="s">
        <v>302</v>
      </c>
      <c r="C2801" t="s">
        <v>62</v>
      </c>
      <c r="D2801">
        <v>99999</v>
      </c>
      <c r="F2801" s="109">
        <v>7000</v>
      </c>
      <c r="G2801" t="b">
        <v>1</v>
      </c>
      <c r="H2801" t="s">
        <v>341</v>
      </c>
      <c r="K2801" t="s">
        <v>349</v>
      </c>
      <c r="L2801" t="s">
        <v>303</v>
      </c>
      <c r="M2801" t="s">
        <v>323</v>
      </c>
      <c r="N2801" t="s">
        <v>63</v>
      </c>
      <c r="O2801" s="110">
        <v>29.9</v>
      </c>
      <c r="R2801" s="110">
        <v>299.89</v>
      </c>
      <c r="S2801" s="110">
        <v>69.900000000000006</v>
      </c>
      <c r="T2801" s="110">
        <v>0</v>
      </c>
      <c r="U2801" s="110">
        <v>42.99</v>
      </c>
      <c r="X2801">
        <v>142.09999999999997</v>
      </c>
      <c r="Y2801">
        <v>44.9</v>
      </c>
      <c r="Z2801">
        <v>44.9</v>
      </c>
      <c r="AA2801">
        <v>0</v>
      </c>
      <c r="AB2801" t="s">
        <v>324</v>
      </c>
      <c r="AF2801" t="s">
        <v>892</v>
      </c>
      <c r="AG2801" t="s">
        <v>892</v>
      </c>
      <c r="AH2801" t="s">
        <v>758</v>
      </c>
      <c r="AI2801">
        <v>99999</v>
      </c>
      <c r="AJ2801">
        <v>99999</v>
      </c>
      <c r="AK2801">
        <v>699</v>
      </c>
      <c r="AL2801" t="b">
        <v>1</v>
      </c>
      <c r="AM2801" t="b">
        <v>1</v>
      </c>
      <c r="AN2801" t="b">
        <v>1</v>
      </c>
      <c r="AO2801">
        <v>99999</v>
      </c>
      <c r="AP2801" t="s">
        <v>64</v>
      </c>
      <c r="AR2801" t="b">
        <v>0</v>
      </c>
      <c r="AS2801">
        <v>12</v>
      </c>
      <c r="AT2801" t="s">
        <v>327</v>
      </c>
      <c r="AV2801" t="s">
        <v>917</v>
      </c>
    </row>
    <row r="2802" spans="1:48" x14ac:dyDescent="0.25">
      <c r="A2802" t="s">
        <v>3323</v>
      </c>
      <c r="B2802" t="s">
        <v>302</v>
      </c>
      <c r="C2802" t="s">
        <v>62</v>
      </c>
      <c r="D2802">
        <v>99999</v>
      </c>
      <c r="F2802" s="109">
        <v>7000</v>
      </c>
      <c r="G2802" t="b">
        <v>1</v>
      </c>
      <c r="H2802" t="s">
        <v>341</v>
      </c>
      <c r="K2802" t="s">
        <v>349</v>
      </c>
      <c r="L2802" t="s">
        <v>303</v>
      </c>
      <c r="M2802" t="s">
        <v>323</v>
      </c>
      <c r="N2802" t="s">
        <v>63</v>
      </c>
      <c r="O2802" s="110">
        <v>29.9</v>
      </c>
      <c r="R2802" s="110">
        <v>314.89</v>
      </c>
      <c r="S2802" s="110">
        <v>70</v>
      </c>
      <c r="T2802" s="110">
        <v>0</v>
      </c>
      <c r="U2802" s="110">
        <v>42.99</v>
      </c>
      <c r="X2802">
        <v>156.99999999999997</v>
      </c>
      <c r="Y2802">
        <v>44.9</v>
      </c>
      <c r="Z2802">
        <v>44.9</v>
      </c>
      <c r="AA2802">
        <v>0</v>
      </c>
      <c r="AB2802" t="s">
        <v>324</v>
      </c>
      <c r="AF2802" t="s">
        <v>1040</v>
      </c>
      <c r="AG2802" t="s">
        <v>1040</v>
      </c>
      <c r="AH2802" t="s">
        <v>758</v>
      </c>
      <c r="AI2802">
        <v>99999</v>
      </c>
      <c r="AJ2802">
        <v>99999</v>
      </c>
      <c r="AK2802">
        <v>699</v>
      </c>
      <c r="AL2802" t="b">
        <v>1</v>
      </c>
      <c r="AM2802" t="b">
        <v>1</v>
      </c>
      <c r="AN2802" t="b">
        <v>1</v>
      </c>
      <c r="AO2802">
        <v>99999</v>
      </c>
      <c r="AP2802" t="s">
        <v>64</v>
      </c>
      <c r="AR2802" t="b">
        <v>0</v>
      </c>
      <c r="AS2802">
        <v>12</v>
      </c>
      <c r="AT2802" t="s">
        <v>327</v>
      </c>
      <c r="AV2802" t="s">
        <v>1065</v>
      </c>
    </row>
    <row r="2803" spans="1:48" x14ac:dyDescent="0.25">
      <c r="A2803" t="s">
        <v>3323</v>
      </c>
      <c r="B2803" t="s">
        <v>302</v>
      </c>
      <c r="C2803" t="s">
        <v>62</v>
      </c>
      <c r="D2803">
        <v>99999</v>
      </c>
      <c r="F2803" s="109">
        <v>7000</v>
      </c>
      <c r="G2803" t="b">
        <v>1</v>
      </c>
      <c r="H2803" t="s">
        <v>341</v>
      </c>
      <c r="K2803" t="s">
        <v>349</v>
      </c>
      <c r="L2803" t="s">
        <v>303</v>
      </c>
      <c r="M2803" t="s">
        <v>323</v>
      </c>
      <c r="N2803" t="s">
        <v>63</v>
      </c>
      <c r="O2803" s="110">
        <v>39.9</v>
      </c>
      <c r="R2803" s="110">
        <v>284.89</v>
      </c>
      <c r="S2803" s="110">
        <v>69.900000000000006</v>
      </c>
      <c r="T2803" s="110">
        <v>0</v>
      </c>
      <c r="U2803" s="110">
        <v>42.99</v>
      </c>
      <c r="X2803">
        <v>127.09999999999997</v>
      </c>
      <c r="Y2803">
        <v>44.9</v>
      </c>
      <c r="Z2803">
        <v>44.9</v>
      </c>
      <c r="AA2803">
        <v>0</v>
      </c>
      <c r="AB2803" t="s">
        <v>324</v>
      </c>
      <c r="AF2803" t="s">
        <v>825</v>
      </c>
      <c r="AG2803" t="s">
        <v>825</v>
      </c>
      <c r="AH2803" t="s">
        <v>758</v>
      </c>
      <c r="AI2803">
        <v>99999</v>
      </c>
      <c r="AJ2803">
        <v>99999</v>
      </c>
      <c r="AK2803">
        <v>699</v>
      </c>
      <c r="AL2803" t="b">
        <v>1</v>
      </c>
      <c r="AM2803" t="b">
        <v>1</v>
      </c>
      <c r="AN2803" t="b">
        <v>1</v>
      </c>
      <c r="AO2803">
        <v>99999</v>
      </c>
      <c r="AP2803" t="s">
        <v>64</v>
      </c>
      <c r="AR2803" t="b">
        <v>0</v>
      </c>
      <c r="AS2803">
        <v>12</v>
      </c>
      <c r="AT2803" t="s">
        <v>327</v>
      </c>
      <c r="AV2803" t="s">
        <v>850</v>
      </c>
    </row>
    <row r="2804" spans="1:48" x14ac:dyDescent="0.25">
      <c r="A2804" t="s">
        <v>3323</v>
      </c>
      <c r="B2804" t="s">
        <v>302</v>
      </c>
      <c r="C2804" t="s">
        <v>62</v>
      </c>
      <c r="D2804">
        <v>99999</v>
      </c>
      <c r="F2804" s="109">
        <v>7000</v>
      </c>
      <c r="G2804" t="b">
        <v>1</v>
      </c>
      <c r="H2804" t="s">
        <v>341</v>
      </c>
      <c r="K2804" t="s">
        <v>349</v>
      </c>
      <c r="L2804" t="s">
        <v>303</v>
      </c>
      <c r="M2804" t="s">
        <v>323</v>
      </c>
      <c r="N2804" t="s">
        <v>63</v>
      </c>
      <c r="O2804" s="110">
        <v>39.9</v>
      </c>
      <c r="R2804" s="110">
        <v>299.89</v>
      </c>
      <c r="S2804" s="110">
        <v>69.900000000000006</v>
      </c>
      <c r="T2804" s="110">
        <v>0</v>
      </c>
      <c r="U2804" s="110">
        <v>42.99</v>
      </c>
      <c r="X2804">
        <v>142.09999999999997</v>
      </c>
      <c r="Y2804">
        <v>44.9</v>
      </c>
      <c r="Z2804">
        <v>44.9</v>
      </c>
      <c r="AA2804">
        <v>0</v>
      </c>
      <c r="AB2804" t="s">
        <v>324</v>
      </c>
      <c r="AF2804" t="s">
        <v>959</v>
      </c>
      <c r="AG2804" t="s">
        <v>959</v>
      </c>
      <c r="AH2804" t="s">
        <v>758</v>
      </c>
      <c r="AI2804">
        <v>99999</v>
      </c>
      <c r="AJ2804">
        <v>99999</v>
      </c>
      <c r="AK2804">
        <v>699</v>
      </c>
      <c r="AL2804" t="b">
        <v>1</v>
      </c>
      <c r="AM2804" t="b">
        <v>1</v>
      </c>
      <c r="AN2804" t="b">
        <v>1</v>
      </c>
      <c r="AO2804">
        <v>99999</v>
      </c>
      <c r="AP2804" t="s">
        <v>64</v>
      </c>
      <c r="AR2804" t="b">
        <v>0</v>
      </c>
      <c r="AS2804">
        <v>12</v>
      </c>
      <c r="AT2804" t="s">
        <v>327</v>
      </c>
      <c r="AV2804" t="s">
        <v>984</v>
      </c>
    </row>
    <row r="2805" spans="1:48" x14ac:dyDescent="0.25">
      <c r="A2805" t="s">
        <v>3323</v>
      </c>
      <c r="B2805" t="s">
        <v>302</v>
      </c>
      <c r="C2805" t="s">
        <v>62</v>
      </c>
      <c r="D2805">
        <v>99999</v>
      </c>
      <c r="F2805" s="109">
        <v>7000</v>
      </c>
      <c r="G2805" t="b">
        <v>1</v>
      </c>
      <c r="H2805" t="s">
        <v>341</v>
      </c>
      <c r="K2805" t="s">
        <v>349</v>
      </c>
      <c r="L2805" t="s">
        <v>303</v>
      </c>
      <c r="M2805" t="s">
        <v>323</v>
      </c>
      <c r="N2805" t="s">
        <v>63</v>
      </c>
      <c r="O2805" s="110">
        <v>39.9</v>
      </c>
      <c r="R2805" s="110">
        <v>314.89</v>
      </c>
      <c r="S2805" s="110">
        <v>70</v>
      </c>
      <c r="T2805" s="110">
        <v>0</v>
      </c>
      <c r="U2805" s="110">
        <v>42.99</v>
      </c>
      <c r="X2805">
        <v>156.99999999999997</v>
      </c>
      <c r="Y2805">
        <v>44.9</v>
      </c>
      <c r="Z2805">
        <v>44.9</v>
      </c>
      <c r="AA2805">
        <v>0</v>
      </c>
      <c r="AB2805" t="s">
        <v>324</v>
      </c>
      <c r="AF2805" t="s">
        <v>1107</v>
      </c>
      <c r="AG2805" t="s">
        <v>1107</v>
      </c>
      <c r="AH2805" t="s">
        <v>758</v>
      </c>
      <c r="AI2805">
        <v>99999</v>
      </c>
      <c r="AJ2805">
        <v>99999</v>
      </c>
      <c r="AK2805">
        <v>699</v>
      </c>
      <c r="AL2805" t="b">
        <v>1</v>
      </c>
      <c r="AM2805" t="b">
        <v>1</v>
      </c>
      <c r="AN2805" t="b">
        <v>1</v>
      </c>
      <c r="AO2805">
        <v>99999</v>
      </c>
      <c r="AP2805" t="s">
        <v>64</v>
      </c>
      <c r="AR2805" t="b">
        <v>0</v>
      </c>
      <c r="AS2805">
        <v>12</v>
      </c>
      <c r="AT2805" t="s">
        <v>327</v>
      </c>
      <c r="AV2805" t="s">
        <v>1132</v>
      </c>
    </row>
    <row r="2806" spans="1:48" x14ac:dyDescent="0.25">
      <c r="A2806" t="s">
        <v>3323</v>
      </c>
      <c r="B2806" t="s">
        <v>302</v>
      </c>
      <c r="C2806" t="s">
        <v>62</v>
      </c>
      <c r="D2806">
        <v>99999</v>
      </c>
      <c r="F2806" s="109">
        <v>7000</v>
      </c>
      <c r="G2806" t="b">
        <v>1</v>
      </c>
      <c r="H2806" t="s">
        <v>341</v>
      </c>
      <c r="K2806" t="s">
        <v>349</v>
      </c>
      <c r="L2806" t="s">
        <v>303</v>
      </c>
      <c r="M2806" t="s">
        <v>323</v>
      </c>
      <c r="N2806" t="s">
        <v>63</v>
      </c>
      <c r="O2806" s="110">
        <v>49.9</v>
      </c>
      <c r="R2806" s="110">
        <v>330.68999999999994</v>
      </c>
      <c r="S2806" s="110">
        <v>130</v>
      </c>
      <c r="T2806" s="110">
        <v>0</v>
      </c>
      <c r="U2806" s="110">
        <v>34.99</v>
      </c>
      <c r="X2806">
        <v>120.79999999999995</v>
      </c>
      <c r="Y2806">
        <v>44.9</v>
      </c>
      <c r="Z2806">
        <v>44.9</v>
      </c>
      <c r="AA2806">
        <v>0</v>
      </c>
      <c r="AB2806" t="s">
        <v>324</v>
      </c>
      <c r="AF2806" t="s">
        <v>2467</v>
      </c>
      <c r="AG2806" t="s">
        <v>2467</v>
      </c>
      <c r="AH2806" t="s">
        <v>758</v>
      </c>
      <c r="AI2806">
        <v>99999</v>
      </c>
      <c r="AJ2806">
        <v>99999</v>
      </c>
      <c r="AK2806">
        <v>699</v>
      </c>
      <c r="AL2806" t="b">
        <v>1</v>
      </c>
      <c r="AM2806" t="b">
        <v>1</v>
      </c>
      <c r="AN2806" t="b">
        <v>1</v>
      </c>
      <c r="AO2806">
        <v>99999</v>
      </c>
      <c r="AP2806" t="s">
        <v>64</v>
      </c>
      <c r="AR2806" t="b">
        <v>0</v>
      </c>
      <c r="AS2806">
        <v>12</v>
      </c>
      <c r="AT2806" t="s">
        <v>327</v>
      </c>
      <c r="AV2806" t="s">
        <v>2492</v>
      </c>
    </row>
    <row r="2807" spans="1:48" x14ac:dyDescent="0.25">
      <c r="A2807" t="s">
        <v>3323</v>
      </c>
      <c r="B2807" t="s">
        <v>302</v>
      </c>
      <c r="C2807" t="s">
        <v>62</v>
      </c>
      <c r="D2807">
        <v>99999</v>
      </c>
      <c r="F2807" s="109">
        <v>7000</v>
      </c>
      <c r="G2807" t="b">
        <v>1</v>
      </c>
      <c r="H2807" t="s">
        <v>341</v>
      </c>
      <c r="K2807" t="s">
        <v>349</v>
      </c>
      <c r="L2807" t="s">
        <v>303</v>
      </c>
      <c r="M2807" t="s">
        <v>323</v>
      </c>
      <c r="N2807" t="s">
        <v>63</v>
      </c>
      <c r="O2807" s="110">
        <v>49.9</v>
      </c>
      <c r="R2807" s="110">
        <v>344.98999999999995</v>
      </c>
      <c r="S2807" s="110">
        <v>130</v>
      </c>
      <c r="T2807" s="110">
        <v>0</v>
      </c>
      <c r="U2807" s="110">
        <v>42.99</v>
      </c>
      <c r="X2807">
        <v>127.09999999999997</v>
      </c>
      <c r="Y2807">
        <v>44.9</v>
      </c>
      <c r="Z2807">
        <v>44.9</v>
      </c>
      <c r="AA2807">
        <v>0</v>
      </c>
      <c r="AB2807" t="s">
        <v>324</v>
      </c>
      <c r="AF2807" t="s">
        <v>2541</v>
      </c>
      <c r="AG2807" t="s">
        <v>2541</v>
      </c>
      <c r="AH2807" t="s">
        <v>758</v>
      </c>
      <c r="AI2807">
        <v>99999</v>
      </c>
      <c r="AJ2807">
        <v>99999</v>
      </c>
      <c r="AK2807">
        <v>699</v>
      </c>
      <c r="AL2807" t="b">
        <v>1</v>
      </c>
      <c r="AM2807" t="b">
        <v>1</v>
      </c>
      <c r="AN2807" t="b">
        <v>1</v>
      </c>
      <c r="AO2807">
        <v>99999</v>
      </c>
      <c r="AP2807" t="s">
        <v>64</v>
      </c>
      <c r="AR2807" t="b">
        <v>0</v>
      </c>
      <c r="AS2807">
        <v>12</v>
      </c>
      <c r="AT2807" t="s">
        <v>327</v>
      </c>
      <c r="AV2807" t="s">
        <v>2566</v>
      </c>
    </row>
    <row r="2808" spans="1:48" x14ac:dyDescent="0.25">
      <c r="A2808" t="s">
        <v>3323</v>
      </c>
      <c r="B2808" t="s">
        <v>302</v>
      </c>
      <c r="C2808" t="s">
        <v>62</v>
      </c>
      <c r="D2808">
        <v>99999</v>
      </c>
      <c r="F2808" s="109">
        <v>7000</v>
      </c>
      <c r="G2808" t="b">
        <v>1</v>
      </c>
      <c r="H2808" t="s">
        <v>341</v>
      </c>
      <c r="K2808" t="s">
        <v>349</v>
      </c>
      <c r="L2808" t="s">
        <v>303</v>
      </c>
      <c r="M2808" t="s">
        <v>323</v>
      </c>
      <c r="N2808" t="s">
        <v>63</v>
      </c>
      <c r="O2808" s="110">
        <v>49.9</v>
      </c>
      <c r="R2808" s="110">
        <v>359.98999999999995</v>
      </c>
      <c r="S2808" s="110">
        <v>130</v>
      </c>
      <c r="T2808" s="110">
        <v>0</v>
      </c>
      <c r="U2808" s="110">
        <v>42.99</v>
      </c>
      <c r="X2808">
        <v>142.09999999999997</v>
      </c>
      <c r="Y2808">
        <v>44.9</v>
      </c>
      <c r="Z2808">
        <v>44.9</v>
      </c>
      <c r="AA2808">
        <v>0</v>
      </c>
      <c r="AB2808" t="s">
        <v>324</v>
      </c>
      <c r="AF2808" t="s">
        <v>2608</v>
      </c>
      <c r="AG2808" t="s">
        <v>2608</v>
      </c>
      <c r="AH2808" t="s">
        <v>758</v>
      </c>
      <c r="AI2808">
        <v>99999</v>
      </c>
      <c r="AJ2808">
        <v>99999</v>
      </c>
      <c r="AK2808">
        <v>699</v>
      </c>
      <c r="AL2808" t="b">
        <v>1</v>
      </c>
      <c r="AM2808" t="b">
        <v>1</v>
      </c>
      <c r="AN2808" t="b">
        <v>1</v>
      </c>
      <c r="AO2808">
        <v>99999</v>
      </c>
      <c r="AP2808" t="s">
        <v>64</v>
      </c>
      <c r="AR2808" t="b">
        <v>0</v>
      </c>
      <c r="AS2808">
        <v>12</v>
      </c>
      <c r="AT2808" t="s">
        <v>327</v>
      </c>
      <c r="AV2808" t="s">
        <v>2632</v>
      </c>
    </row>
    <row r="2809" spans="1:48" x14ac:dyDescent="0.25">
      <c r="A2809" t="s">
        <v>3323</v>
      </c>
      <c r="B2809" t="s">
        <v>302</v>
      </c>
      <c r="C2809" t="s">
        <v>62</v>
      </c>
      <c r="D2809">
        <v>99999</v>
      </c>
      <c r="F2809" s="109">
        <v>7000</v>
      </c>
      <c r="G2809" t="b">
        <v>1</v>
      </c>
      <c r="H2809" t="s">
        <v>341</v>
      </c>
      <c r="K2809" t="s">
        <v>349</v>
      </c>
      <c r="L2809" t="s">
        <v>303</v>
      </c>
      <c r="M2809" t="s">
        <v>323</v>
      </c>
      <c r="N2809" t="s">
        <v>63</v>
      </c>
      <c r="O2809" s="110">
        <v>49.9</v>
      </c>
      <c r="R2809" s="110">
        <v>374.89</v>
      </c>
      <c r="S2809" s="110">
        <v>130</v>
      </c>
      <c r="T2809" s="110">
        <v>0</v>
      </c>
      <c r="U2809" s="110">
        <v>42.99</v>
      </c>
      <c r="X2809">
        <v>156.99999999999997</v>
      </c>
      <c r="Y2809">
        <v>44.9</v>
      </c>
      <c r="Z2809">
        <v>44.9</v>
      </c>
      <c r="AA2809">
        <v>0</v>
      </c>
      <c r="AB2809" t="s">
        <v>324</v>
      </c>
      <c r="AF2809" t="s">
        <v>2677</v>
      </c>
      <c r="AG2809" t="s">
        <v>2677</v>
      </c>
      <c r="AH2809" t="s">
        <v>758</v>
      </c>
      <c r="AI2809">
        <v>99999</v>
      </c>
      <c r="AJ2809">
        <v>99999</v>
      </c>
      <c r="AK2809">
        <v>699</v>
      </c>
      <c r="AL2809" t="b">
        <v>1</v>
      </c>
      <c r="AM2809" t="b">
        <v>1</v>
      </c>
      <c r="AN2809" t="b">
        <v>1</v>
      </c>
      <c r="AO2809">
        <v>99999</v>
      </c>
      <c r="AP2809" t="s">
        <v>64</v>
      </c>
      <c r="AR2809" t="b">
        <v>0</v>
      </c>
      <c r="AS2809">
        <v>12</v>
      </c>
      <c r="AT2809" t="s">
        <v>327</v>
      </c>
      <c r="AV2809" t="s">
        <v>2702</v>
      </c>
    </row>
    <row r="2810" spans="1:48" x14ac:dyDescent="0.25">
      <c r="A2810" t="s">
        <v>3323</v>
      </c>
      <c r="B2810" t="s">
        <v>302</v>
      </c>
      <c r="C2810" t="s">
        <v>62</v>
      </c>
      <c r="D2810">
        <v>99999</v>
      </c>
      <c r="F2810" s="109">
        <v>7000</v>
      </c>
      <c r="G2810" t="b">
        <v>1</v>
      </c>
      <c r="H2810" t="s">
        <v>341</v>
      </c>
      <c r="K2810" t="s">
        <v>393</v>
      </c>
      <c r="L2810" t="s">
        <v>303</v>
      </c>
      <c r="M2810" t="s">
        <v>323</v>
      </c>
      <c r="N2810" t="s">
        <v>63</v>
      </c>
      <c r="O2810" s="110">
        <v>29.9</v>
      </c>
      <c r="R2810" s="110">
        <v>309.89</v>
      </c>
      <c r="S2810" s="110">
        <v>69.900000000000006</v>
      </c>
      <c r="T2810" s="110">
        <v>0</v>
      </c>
      <c r="U2810" s="110">
        <v>42.99</v>
      </c>
      <c r="X2810">
        <v>127.09999999999997</v>
      </c>
      <c r="Y2810">
        <v>69.900000000000006</v>
      </c>
      <c r="Z2810">
        <v>69.900000000000006</v>
      </c>
      <c r="AA2810">
        <v>0</v>
      </c>
      <c r="AB2810" t="s">
        <v>363</v>
      </c>
      <c r="AF2810" t="s">
        <v>785</v>
      </c>
      <c r="AG2810" t="s">
        <v>785</v>
      </c>
      <c r="AH2810" t="s">
        <v>758</v>
      </c>
      <c r="AI2810">
        <v>99999</v>
      </c>
      <c r="AJ2810">
        <v>99999</v>
      </c>
      <c r="AK2810">
        <v>699</v>
      </c>
      <c r="AL2810" t="b">
        <v>1</v>
      </c>
      <c r="AM2810" t="b">
        <v>1</v>
      </c>
      <c r="AN2810" t="b">
        <v>1</v>
      </c>
      <c r="AO2810">
        <v>99999</v>
      </c>
      <c r="AP2810" t="s">
        <v>64</v>
      </c>
      <c r="AR2810" t="b">
        <v>0</v>
      </c>
      <c r="AS2810">
        <v>12</v>
      </c>
      <c r="AT2810" t="s">
        <v>327</v>
      </c>
      <c r="AV2810" t="s">
        <v>823</v>
      </c>
    </row>
    <row r="2811" spans="1:48" x14ac:dyDescent="0.25">
      <c r="A2811" t="s">
        <v>3323</v>
      </c>
      <c r="B2811" t="s">
        <v>302</v>
      </c>
      <c r="C2811" t="s">
        <v>62</v>
      </c>
      <c r="D2811">
        <v>99999</v>
      </c>
      <c r="F2811" s="109">
        <v>7000</v>
      </c>
      <c r="G2811" t="b">
        <v>1</v>
      </c>
      <c r="H2811" t="s">
        <v>341</v>
      </c>
      <c r="K2811" t="s">
        <v>393</v>
      </c>
      <c r="L2811" t="s">
        <v>303</v>
      </c>
      <c r="M2811" t="s">
        <v>323</v>
      </c>
      <c r="N2811" t="s">
        <v>63</v>
      </c>
      <c r="O2811" s="110">
        <v>29.9</v>
      </c>
      <c r="R2811" s="110">
        <v>324.89</v>
      </c>
      <c r="S2811" s="110">
        <v>69.900000000000006</v>
      </c>
      <c r="T2811" s="110">
        <v>0</v>
      </c>
      <c r="U2811" s="110">
        <v>42.99</v>
      </c>
      <c r="X2811">
        <v>142.09999999999997</v>
      </c>
      <c r="Y2811">
        <v>69.900000000000006</v>
      </c>
      <c r="Z2811">
        <v>69.900000000000006</v>
      </c>
      <c r="AA2811">
        <v>0</v>
      </c>
      <c r="AB2811" t="s">
        <v>363</v>
      </c>
      <c r="AF2811" t="s">
        <v>919</v>
      </c>
      <c r="AG2811" t="s">
        <v>919</v>
      </c>
      <c r="AH2811" t="s">
        <v>758</v>
      </c>
      <c r="AI2811">
        <v>99999</v>
      </c>
      <c r="AJ2811">
        <v>99999</v>
      </c>
      <c r="AK2811">
        <v>699</v>
      </c>
      <c r="AL2811" t="b">
        <v>1</v>
      </c>
      <c r="AM2811" t="b">
        <v>1</v>
      </c>
      <c r="AN2811" t="b">
        <v>1</v>
      </c>
      <c r="AO2811">
        <v>99999</v>
      </c>
      <c r="AP2811" t="s">
        <v>64</v>
      </c>
      <c r="AR2811" t="b">
        <v>0</v>
      </c>
      <c r="AS2811">
        <v>12</v>
      </c>
      <c r="AT2811" t="s">
        <v>327</v>
      </c>
      <c r="AV2811" t="s">
        <v>957</v>
      </c>
    </row>
    <row r="2812" spans="1:48" x14ac:dyDescent="0.25">
      <c r="A2812" t="s">
        <v>3323</v>
      </c>
      <c r="B2812" t="s">
        <v>302</v>
      </c>
      <c r="C2812" t="s">
        <v>62</v>
      </c>
      <c r="D2812">
        <v>99999</v>
      </c>
      <c r="F2812" s="109">
        <v>7000</v>
      </c>
      <c r="G2812" t="b">
        <v>1</v>
      </c>
      <c r="H2812" t="s">
        <v>341</v>
      </c>
      <c r="K2812" t="s">
        <v>393</v>
      </c>
      <c r="L2812" t="s">
        <v>303</v>
      </c>
      <c r="M2812" t="s">
        <v>323</v>
      </c>
      <c r="N2812" t="s">
        <v>63</v>
      </c>
      <c r="O2812" s="110">
        <v>29.9</v>
      </c>
      <c r="R2812" s="110">
        <v>339.89</v>
      </c>
      <c r="S2812" s="110">
        <v>70</v>
      </c>
      <c r="T2812" s="110">
        <v>0</v>
      </c>
      <c r="U2812" s="110">
        <v>42.99</v>
      </c>
      <c r="X2812">
        <v>156.99999999999997</v>
      </c>
      <c r="Y2812">
        <v>69.900000000000006</v>
      </c>
      <c r="Z2812">
        <v>69.900000000000006</v>
      </c>
      <c r="AA2812">
        <v>0</v>
      </c>
      <c r="AB2812" t="s">
        <v>363</v>
      </c>
      <c r="AF2812" t="s">
        <v>1067</v>
      </c>
      <c r="AG2812" t="s">
        <v>1067</v>
      </c>
      <c r="AH2812" t="s">
        <v>758</v>
      </c>
      <c r="AI2812">
        <v>99999</v>
      </c>
      <c r="AJ2812">
        <v>99999</v>
      </c>
      <c r="AK2812">
        <v>699</v>
      </c>
      <c r="AL2812" t="b">
        <v>1</v>
      </c>
      <c r="AM2812" t="b">
        <v>1</v>
      </c>
      <c r="AN2812" t="b">
        <v>1</v>
      </c>
      <c r="AO2812">
        <v>99999</v>
      </c>
      <c r="AP2812" t="s">
        <v>64</v>
      </c>
      <c r="AR2812" t="b">
        <v>0</v>
      </c>
      <c r="AS2812">
        <v>12</v>
      </c>
      <c r="AT2812" t="s">
        <v>327</v>
      </c>
      <c r="AV2812" t="s">
        <v>1105</v>
      </c>
    </row>
    <row r="2813" spans="1:48" x14ac:dyDescent="0.25">
      <c r="A2813" t="s">
        <v>3323</v>
      </c>
      <c r="B2813" t="s">
        <v>302</v>
      </c>
      <c r="C2813" t="s">
        <v>62</v>
      </c>
      <c r="D2813">
        <v>99999</v>
      </c>
      <c r="F2813" s="109">
        <v>7000</v>
      </c>
      <c r="G2813" t="b">
        <v>1</v>
      </c>
      <c r="H2813" t="s">
        <v>341</v>
      </c>
      <c r="K2813" t="s">
        <v>393</v>
      </c>
      <c r="L2813" t="s">
        <v>303</v>
      </c>
      <c r="M2813" t="s">
        <v>323</v>
      </c>
      <c r="N2813" t="s">
        <v>63</v>
      </c>
      <c r="O2813" s="110">
        <v>39.9</v>
      </c>
      <c r="R2813" s="110">
        <v>309.89</v>
      </c>
      <c r="S2813" s="110">
        <v>69.900000000000006</v>
      </c>
      <c r="T2813" s="110">
        <v>0</v>
      </c>
      <c r="U2813" s="110">
        <v>42.99</v>
      </c>
      <c r="X2813">
        <v>127.09999999999997</v>
      </c>
      <c r="Y2813">
        <v>69.900000000000006</v>
      </c>
      <c r="Z2813">
        <v>69.900000000000006</v>
      </c>
      <c r="AA2813">
        <v>0</v>
      </c>
      <c r="AB2813" t="s">
        <v>363</v>
      </c>
      <c r="AF2813" t="s">
        <v>852</v>
      </c>
      <c r="AG2813" t="s">
        <v>852</v>
      </c>
      <c r="AH2813" t="s">
        <v>758</v>
      </c>
      <c r="AI2813">
        <v>99999</v>
      </c>
      <c r="AJ2813">
        <v>99999</v>
      </c>
      <c r="AK2813">
        <v>699</v>
      </c>
      <c r="AL2813" t="b">
        <v>1</v>
      </c>
      <c r="AM2813" t="b">
        <v>1</v>
      </c>
      <c r="AN2813" t="b">
        <v>1</v>
      </c>
      <c r="AO2813">
        <v>99999</v>
      </c>
      <c r="AP2813" t="s">
        <v>64</v>
      </c>
      <c r="AR2813" t="b">
        <v>0</v>
      </c>
      <c r="AS2813">
        <v>12</v>
      </c>
      <c r="AT2813" t="s">
        <v>327</v>
      </c>
      <c r="AV2813" t="s">
        <v>890</v>
      </c>
    </row>
    <row r="2814" spans="1:48" x14ac:dyDescent="0.25">
      <c r="A2814" t="s">
        <v>3323</v>
      </c>
      <c r="B2814" t="s">
        <v>302</v>
      </c>
      <c r="C2814" t="s">
        <v>62</v>
      </c>
      <c r="D2814">
        <v>99999</v>
      </c>
      <c r="F2814" s="109">
        <v>7000</v>
      </c>
      <c r="G2814" t="b">
        <v>1</v>
      </c>
      <c r="H2814" t="s">
        <v>341</v>
      </c>
      <c r="K2814" t="s">
        <v>393</v>
      </c>
      <c r="L2814" t="s">
        <v>303</v>
      </c>
      <c r="M2814" t="s">
        <v>323</v>
      </c>
      <c r="N2814" t="s">
        <v>63</v>
      </c>
      <c r="O2814" s="110">
        <v>39.9</v>
      </c>
      <c r="R2814" s="110">
        <v>324.89</v>
      </c>
      <c r="S2814" s="110">
        <v>69.900000000000006</v>
      </c>
      <c r="T2814" s="110">
        <v>0</v>
      </c>
      <c r="U2814" s="110">
        <v>42.99</v>
      </c>
      <c r="X2814">
        <v>142.09999999999997</v>
      </c>
      <c r="Y2814">
        <v>69.900000000000006</v>
      </c>
      <c r="Z2814">
        <v>69.900000000000006</v>
      </c>
      <c r="AA2814">
        <v>0</v>
      </c>
      <c r="AB2814" t="s">
        <v>363</v>
      </c>
      <c r="AF2814" t="s">
        <v>986</v>
      </c>
      <c r="AG2814" t="s">
        <v>986</v>
      </c>
      <c r="AH2814" t="s">
        <v>758</v>
      </c>
      <c r="AI2814">
        <v>99999</v>
      </c>
      <c r="AJ2814">
        <v>99999</v>
      </c>
      <c r="AK2814">
        <v>699</v>
      </c>
      <c r="AL2814" t="b">
        <v>1</v>
      </c>
      <c r="AM2814" t="b">
        <v>1</v>
      </c>
      <c r="AN2814" t="b">
        <v>1</v>
      </c>
      <c r="AO2814">
        <v>99999</v>
      </c>
      <c r="AP2814" t="s">
        <v>64</v>
      </c>
      <c r="AR2814" t="b">
        <v>0</v>
      </c>
      <c r="AS2814">
        <v>12</v>
      </c>
      <c r="AT2814" t="s">
        <v>327</v>
      </c>
      <c r="AV2814" t="s">
        <v>1024</v>
      </c>
    </row>
    <row r="2815" spans="1:48" x14ac:dyDescent="0.25">
      <c r="A2815" t="s">
        <v>3323</v>
      </c>
      <c r="B2815" t="s">
        <v>302</v>
      </c>
      <c r="C2815" t="s">
        <v>62</v>
      </c>
      <c r="D2815">
        <v>99999</v>
      </c>
      <c r="F2815" s="109">
        <v>7000</v>
      </c>
      <c r="G2815" t="b">
        <v>1</v>
      </c>
      <c r="H2815" t="s">
        <v>341</v>
      </c>
      <c r="K2815" t="s">
        <v>393</v>
      </c>
      <c r="L2815" t="s">
        <v>303</v>
      </c>
      <c r="M2815" t="s">
        <v>323</v>
      </c>
      <c r="N2815" t="s">
        <v>63</v>
      </c>
      <c r="O2815" s="110">
        <v>39.9</v>
      </c>
      <c r="R2815" s="110">
        <v>339.89</v>
      </c>
      <c r="S2815" s="110">
        <v>70</v>
      </c>
      <c r="T2815" s="110">
        <v>0</v>
      </c>
      <c r="U2815" s="110">
        <v>42.99</v>
      </c>
      <c r="X2815">
        <v>156.99999999999997</v>
      </c>
      <c r="Y2815">
        <v>69.900000000000006</v>
      </c>
      <c r="Z2815">
        <v>69.900000000000006</v>
      </c>
      <c r="AA2815">
        <v>0</v>
      </c>
      <c r="AB2815" t="s">
        <v>363</v>
      </c>
      <c r="AF2815" t="s">
        <v>1134</v>
      </c>
      <c r="AG2815" t="s">
        <v>1134</v>
      </c>
      <c r="AH2815" t="s">
        <v>758</v>
      </c>
      <c r="AI2815">
        <v>99999</v>
      </c>
      <c r="AJ2815">
        <v>99999</v>
      </c>
      <c r="AK2815">
        <v>699</v>
      </c>
      <c r="AL2815" t="b">
        <v>1</v>
      </c>
      <c r="AM2815" t="b">
        <v>1</v>
      </c>
      <c r="AN2815" t="b">
        <v>1</v>
      </c>
      <c r="AO2815">
        <v>99999</v>
      </c>
      <c r="AP2815" t="s">
        <v>64</v>
      </c>
      <c r="AR2815" t="b">
        <v>0</v>
      </c>
      <c r="AS2815">
        <v>12</v>
      </c>
      <c r="AT2815" t="s">
        <v>327</v>
      </c>
      <c r="AV2815" t="s">
        <v>1172</v>
      </c>
    </row>
    <row r="2816" spans="1:48" x14ac:dyDescent="0.25">
      <c r="A2816" t="s">
        <v>3323</v>
      </c>
      <c r="B2816" t="s">
        <v>302</v>
      </c>
      <c r="C2816" t="s">
        <v>62</v>
      </c>
      <c r="D2816">
        <v>99999</v>
      </c>
      <c r="F2816" s="109">
        <v>7000</v>
      </c>
      <c r="G2816" t="b">
        <v>1</v>
      </c>
      <c r="H2816" t="s">
        <v>341</v>
      </c>
      <c r="K2816" t="s">
        <v>393</v>
      </c>
      <c r="L2816" t="s">
        <v>303</v>
      </c>
      <c r="M2816" t="s">
        <v>323</v>
      </c>
      <c r="N2816" t="s">
        <v>63</v>
      </c>
      <c r="O2816" s="110">
        <v>49.9</v>
      </c>
      <c r="R2816" s="110">
        <v>355.68999999999994</v>
      </c>
      <c r="S2816" s="110">
        <v>130</v>
      </c>
      <c r="T2816" s="110">
        <v>0</v>
      </c>
      <c r="U2816" s="110">
        <v>34.99</v>
      </c>
      <c r="X2816">
        <v>120.79999999999995</v>
      </c>
      <c r="Y2816">
        <v>69.900000000000006</v>
      </c>
      <c r="Z2816">
        <v>69.900000000000006</v>
      </c>
      <c r="AA2816">
        <v>0</v>
      </c>
      <c r="AB2816" t="s">
        <v>363</v>
      </c>
      <c r="AF2816" t="s">
        <v>2494</v>
      </c>
      <c r="AG2816" t="s">
        <v>2494</v>
      </c>
      <c r="AH2816" t="s">
        <v>758</v>
      </c>
      <c r="AI2816">
        <v>99999</v>
      </c>
      <c r="AJ2816">
        <v>99999</v>
      </c>
      <c r="AK2816">
        <v>699</v>
      </c>
      <c r="AL2816" t="b">
        <v>1</v>
      </c>
      <c r="AM2816" t="b">
        <v>1</v>
      </c>
      <c r="AN2816" t="b">
        <v>1</v>
      </c>
      <c r="AO2816">
        <v>99999</v>
      </c>
      <c r="AP2816" t="s">
        <v>64</v>
      </c>
      <c r="AR2816" t="b">
        <v>0</v>
      </c>
      <c r="AS2816">
        <v>12</v>
      </c>
      <c r="AT2816" t="s">
        <v>327</v>
      </c>
      <c r="AV2816" t="s">
        <v>2532</v>
      </c>
    </row>
    <row r="2817" spans="1:48" x14ac:dyDescent="0.25">
      <c r="A2817" t="s">
        <v>3323</v>
      </c>
      <c r="B2817" t="s">
        <v>302</v>
      </c>
      <c r="C2817" t="s">
        <v>62</v>
      </c>
      <c r="D2817">
        <v>99999</v>
      </c>
      <c r="F2817" s="109">
        <v>7000</v>
      </c>
      <c r="G2817" t="b">
        <v>1</v>
      </c>
      <c r="H2817" t="s">
        <v>341</v>
      </c>
      <c r="K2817" t="s">
        <v>393</v>
      </c>
      <c r="L2817" t="s">
        <v>303</v>
      </c>
      <c r="M2817" t="s">
        <v>323</v>
      </c>
      <c r="N2817" t="s">
        <v>63</v>
      </c>
      <c r="O2817" s="110">
        <v>49.9</v>
      </c>
      <c r="R2817" s="110">
        <v>369.99</v>
      </c>
      <c r="S2817" s="110">
        <v>130</v>
      </c>
      <c r="T2817" s="110">
        <v>0</v>
      </c>
      <c r="U2817" s="110">
        <v>42.99</v>
      </c>
      <c r="X2817">
        <v>127.09999999999997</v>
      </c>
      <c r="Y2817">
        <v>69.900000000000006</v>
      </c>
      <c r="Z2817">
        <v>69.900000000000006</v>
      </c>
      <c r="AA2817">
        <v>0</v>
      </c>
      <c r="AB2817" t="s">
        <v>363</v>
      </c>
      <c r="AF2817" t="s">
        <v>2568</v>
      </c>
      <c r="AG2817" t="s">
        <v>2568</v>
      </c>
      <c r="AH2817" t="s">
        <v>758</v>
      </c>
      <c r="AI2817">
        <v>99999</v>
      </c>
      <c r="AJ2817">
        <v>99999</v>
      </c>
      <c r="AK2817">
        <v>699</v>
      </c>
      <c r="AL2817" t="b">
        <v>1</v>
      </c>
      <c r="AM2817" t="b">
        <v>1</v>
      </c>
      <c r="AN2817" t="b">
        <v>1</v>
      </c>
      <c r="AO2817">
        <v>99999</v>
      </c>
      <c r="AP2817" t="s">
        <v>64</v>
      </c>
      <c r="AR2817" t="b">
        <v>0</v>
      </c>
      <c r="AS2817">
        <v>12</v>
      </c>
      <c r="AT2817" t="s">
        <v>327</v>
      </c>
      <c r="AV2817" t="s">
        <v>2606</v>
      </c>
    </row>
    <row r="2818" spans="1:48" x14ac:dyDescent="0.25">
      <c r="A2818" t="s">
        <v>3323</v>
      </c>
      <c r="B2818" t="s">
        <v>302</v>
      </c>
      <c r="C2818" t="s">
        <v>62</v>
      </c>
      <c r="D2818">
        <v>99999</v>
      </c>
      <c r="F2818" s="109">
        <v>7000</v>
      </c>
      <c r="G2818" t="b">
        <v>1</v>
      </c>
      <c r="H2818" t="s">
        <v>341</v>
      </c>
      <c r="K2818" t="s">
        <v>393</v>
      </c>
      <c r="L2818" t="s">
        <v>303</v>
      </c>
      <c r="M2818" t="s">
        <v>323</v>
      </c>
      <c r="N2818" t="s">
        <v>63</v>
      </c>
      <c r="O2818" s="110">
        <v>49.9</v>
      </c>
      <c r="R2818" s="110">
        <v>384.99</v>
      </c>
      <c r="S2818" s="110">
        <v>130</v>
      </c>
      <c r="T2818" s="110">
        <v>0</v>
      </c>
      <c r="U2818" s="110">
        <v>42.99</v>
      </c>
      <c r="X2818">
        <v>142.09999999999997</v>
      </c>
      <c r="Y2818">
        <v>69.900000000000006</v>
      </c>
      <c r="Z2818">
        <v>69.900000000000006</v>
      </c>
      <c r="AA2818">
        <v>0</v>
      </c>
      <c r="AB2818" t="s">
        <v>363</v>
      </c>
      <c r="AF2818" t="s">
        <v>2633</v>
      </c>
      <c r="AG2818" t="s">
        <v>2633</v>
      </c>
      <c r="AH2818" t="s">
        <v>758</v>
      </c>
      <c r="AI2818">
        <v>99999</v>
      </c>
      <c r="AJ2818">
        <v>99999</v>
      </c>
      <c r="AK2818">
        <v>699</v>
      </c>
      <c r="AL2818" t="b">
        <v>1</v>
      </c>
      <c r="AM2818" t="b">
        <v>1</v>
      </c>
      <c r="AN2818" t="b">
        <v>1</v>
      </c>
      <c r="AO2818">
        <v>99999</v>
      </c>
      <c r="AP2818" t="s">
        <v>64</v>
      </c>
      <c r="AR2818" t="b">
        <v>0</v>
      </c>
      <c r="AS2818">
        <v>12</v>
      </c>
      <c r="AT2818" t="s">
        <v>327</v>
      </c>
      <c r="AV2818" t="s">
        <v>2669</v>
      </c>
    </row>
    <row r="2819" spans="1:48" x14ac:dyDescent="0.25">
      <c r="A2819" t="s">
        <v>3323</v>
      </c>
      <c r="B2819" t="s">
        <v>302</v>
      </c>
      <c r="C2819" t="s">
        <v>62</v>
      </c>
      <c r="D2819">
        <v>99999</v>
      </c>
      <c r="F2819" s="109">
        <v>7000</v>
      </c>
      <c r="G2819" t="b">
        <v>1</v>
      </c>
      <c r="H2819" t="s">
        <v>341</v>
      </c>
      <c r="K2819" t="s">
        <v>393</v>
      </c>
      <c r="L2819" t="s">
        <v>303</v>
      </c>
      <c r="M2819" t="s">
        <v>323</v>
      </c>
      <c r="N2819" t="s">
        <v>63</v>
      </c>
      <c r="O2819" s="110">
        <v>49.9</v>
      </c>
      <c r="R2819" s="110">
        <v>399.89</v>
      </c>
      <c r="S2819" s="110">
        <v>130</v>
      </c>
      <c r="T2819" s="110">
        <v>0</v>
      </c>
      <c r="U2819" s="110">
        <v>42.99</v>
      </c>
      <c r="X2819">
        <v>156.99999999999997</v>
      </c>
      <c r="Y2819">
        <v>69.900000000000006</v>
      </c>
      <c r="Z2819">
        <v>69.900000000000006</v>
      </c>
      <c r="AA2819">
        <v>0</v>
      </c>
      <c r="AB2819" t="s">
        <v>363</v>
      </c>
      <c r="AF2819" t="s">
        <v>2704</v>
      </c>
      <c r="AG2819" t="s">
        <v>2704</v>
      </c>
      <c r="AH2819" t="s">
        <v>758</v>
      </c>
      <c r="AI2819">
        <v>99999</v>
      </c>
      <c r="AJ2819">
        <v>99999</v>
      </c>
      <c r="AK2819">
        <v>699</v>
      </c>
      <c r="AL2819" t="b">
        <v>1</v>
      </c>
      <c r="AM2819" t="b">
        <v>1</v>
      </c>
      <c r="AN2819" t="b">
        <v>1</v>
      </c>
      <c r="AO2819">
        <v>99999</v>
      </c>
      <c r="AP2819" t="s">
        <v>64</v>
      </c>
      <c r="AR2819" t="b">
        <v>0</v>
      </c>
      <c r="AS2819">
        <v>12</v>
      </c>
      <c r="AT2819" t="s">
        <v>327</v>
      </c>
      <c r="AV2819" t="s">
        <v>2742</v>
      </c>
    </row>
    <row r="2820" spans="1:48" x14ac:dyDescent="0.25">
      <c r="A2820" t="s">
        <v>3323</v>
      </c>
      <c r="B2820" t="s">
        <v>302</v>
      </c>
      <c r="C2820" t="s">
        <v>62</v>
      </c>
      <c r="D2820">
        <v>99999</v>
      </c>
      <c r="F2820" s="109">
        <v>7000</v>
      </c>
      <c r="G2820" t="b">
        <v>1</v>
      </c>
      <c r="H2820" t="s">
        <v>341</v>
      </c>
      <c r="K2820" t="s">
        <v>364</v>
      </c>
      <c r="L2820" t="s">
        <v>303</v>
      </c>
      <c r="M2820" t="s">
        <v>323</v>
      </c>
      <c r="N2820" t="s">
        <v>63</v>
      </c>
      <c r="O2820" s="110">
        <v>29.9</v>
      </c>
      <c r="R2820" s="110">
        <v>289.89</v>
      </c>
      <c r="S2820" s="110">
        <v>69.900000000000006</v>
      </c>
      <c r="T2820" s="110">
        <v>0</v>
      </c>
      <c r="U2820" s="110">
        <v>42.99</v>
      </c>
      <c r="X2820">
        <v>127.09999999999997</v>
      </c>
      <c r="Y2820">
        <v>49.9</v>
      </c>
      <c r="Z2820">
        <v>49.9</v>
      </c>
      <c r="AA2820">
        <v>0</v>
      </c>
      <c r="AB2820" t="s">
        <v>363</v>
      </c>
      <c r="AF2820" t="s">
        <v>785</v>
      </c>
      <c r="AG2820" t="s">
        <v>785</v>
      </c>
      <c r="AH2820" t="s">
        <v>758</v>
      </c>
      <c r="AI2820">
        <v>99999</v>
      </c>
      <c r="AJ2820">
        <v>99999</v>
      </c>
      <c r="AK2820">
        <v>699</v>
      </c>
      <c r="AL2820" t="b">
        <v>1</v>
      </c>
      <c r="AM2820" t="b">
        <v>1</v>
      </c>
      <c r="AN2820" t="b">
        <v>1</v>
      </c>
      <c r="AO2820">
        <v>99999</v>
      </c>
      <c r="AP2820" t="s">
        <v>64</v>
      </c>
      <c r="AR2820" t="b">
        <v>0</v>
      </c>
      <c r="AS2820">
        <v>12</v>
      </c>
      <c r="AT2820" t="s">
        <v>327</v>
      </c>
      <c r="AV2820" t="s">
        <v>797</v>
      </c>
    </row>
    <row r="2821" spans="1:48" x14ac:dyDescent="0.25">
      <c r="A2821" t="s">
        <v>3323</v>
      </c>
      <c r="B2821" t="s">
        <v>302</v>
      </c>
      <c r="C2821" t="s">
        <v>62</v>
      </c>
      <c r="D2821">
        <v>99999</v>
      </c>
      <c r="F2821" s="109">
        <v>7000</v>
      </c>
      <c r="G2821" t="b">
        <v>1</v>
      </c>
      <c r="H2821" t="s">
        <v>341</v>
      </c>
      <c r="K2821" t="s">
        <v>364</v>
      </c>
      <c r="L2821" t="s">
        <v>303</v>
      </c>
      <c r="M2821" t="s">
        <v>323</v>
      </c>
      <c r="N2821" t="s">
        <v>63</v>
      </c>
      <c r="O2821" s="110">
        <v>29.9</v>
      </c>
      <c r="R2821" s="110">
        <v>304.89</v>
      </c>
      <c r="S2821" s="110">
        <v>69.900000000000006</v>
      </c>
      <c r="T2821" s="110">
        <v>0</v>
      </c>
      <c r="U2821" s="110">
        <v>42.99</v>
      </c>
      <c r="X2821">
        <v>142.09999999999997</v>
      </c>
      <c r="Y2821">
        <v>49.9</v>
      </c>
      <c r="Z2821">
        <v>49.9</v>
      </c>
      <c r="AA2821">
        <v>0</v>
      </c>
      <c r="AB2821" t="s">
        <v>363</v>
      </c>
      <c r="AF2821" t="s">
        <v>919</v>
      </c>
      <c r="AG2821" t="s">
        <v>919</v>
      </c>
      <c r="AH2821" t="s">
        <v>758</v>
      </c>
      <c r="AI2821">
        <v>99999</v>
      </c>
      <c r="AJ2821">
        <v>99999</v>
      </c>
      <c r="AK2821">
        <v>699</v>
      </c>
      <c r="AL2821" t="b">
        <v>1</v>
      </c>
      <c r="AM2821" t="b">
        <v>1</v>
      </c>
      <c r="AN2821" t="b">
        <v>1</v>
      </c>
      <c r="AO2821">
        <v>99999</v>
      </c>
      <c r="AP2821" t="s">
        <v>64</v>
      </c>
      <c r="AR2821" t="b">
        <v>0</v>
      </c>
      <c r="AS2821">
        <v>12</v>
      </c>
      <c r="AT2821" t="s">
        <v>327</v>
      </c>
      <c r="AV2821" t="s">
        <v>931</v>
      </c>
    </row>
    <row r="2822" spans="1:48" x14ac:dyDescent="0.25">
      <c r="A2822" t="s">
        <v>3323</v>
      </c>
      <c r="B2822" t="s">
        <v>302</v>
      </c>
      <c r="C2822" t="s">
        <v>62</v>
      </c>
      <c r="D2822">
        <v>99999</v>
      </c>
      <c r="F2822" s="109">
        <v>7000</v>
      </c>
      <c r="G2822" t="b">
        <v>1</v>
      </c>
      <c r="H2822" t="s">
        <v>341</v>
      </c>
      <c r="K2822" t="s">
        <v>364</v>
      </c>
      <c r="L2822" t="s">
        <v>303</v>
      </c>
      <c r="M2822" t="s">
        <v>323</v>
      </c>
      <c r="N2822" t="s">
        <v>63</v>
      </c>
      <c r="O2822" s="110">
        <v>29.9</v>
      </c>
      <c r="R2822" s="110">
        <v>319.89</v>
      </c>
      <c r="S2822" s="110">
        <v>70</v>
      </c>
      <c r="T2822" s="110">
        <v>0</v>
      </c>
      <c r="U2822" s="110">
        <v>42.99</v>
      </c>
      <c r="X2822">
        <v>156.99999999999997</v>
      </c>
      <c r="Y2822">
        <v>49.9</v>
      </c>
      <c r="Z2822">
        <v>49.9</v>
      </c>
      <c r="AA2822">
        <v>0</v>
      </c>
      <c r="AB2822" t="s">
        <v>363</v>
      </c>
      <c r="AF2822" t="s">
        <v>1067</v>
      </c>
      <c r="AG2822" t="s">
        <v>1067</v>
      </c>
      <c r="AH2822" t="s">
        <v>758</v>
      </c>
      <c r="AI2822">
        <v>99999</v>
      </c>
      <c r="AJ2822">
        <v>99999</v>
      </c>
      <c r="AK2822">
        <v>699</v>
      </c>
      <c r="AL2822" t="b">
        <v>1</v>
      </c>
      <c r="AM2822" t="b">
        <v>1</v>
      </c>
      <c r="AN2822" t="b">
        <v>1</v>
      </c>
      <c r="AO2822">
        <v>99999</v>
      </c>
      <c r="AP2822" t="s">
        <v>64</v>
      </c>
      <c r="AR2822" t="b">
        <v>0</v>
      </c>
      <c r="AS2822">
        <v>12</v>
      </c>
      <c r="AT2822" t="s">
        <v>327</v>
      </c>
      <c r="AV2822" t="s">
        <v>1079</v>
      </c>
    </row>
    <row r="2823" spans="1:48" x14ac:dyDescent="0.25">
      <c r="A2823" t="s">
        <v>3323</v>
      </c>
      <c r="B2823" t="s">
        <v>302</v>
      </c>
      <c r="C2823" t="s">
        <v>62</v>
      </c>
      <c r="D2823">
        <v>99999</v>
      </c>
      <c r="F2823" s="109">
        <v>7000</v>
      </c>
      <c r="G2823" t="b">
        <v>1</v>
      </c>
      <c r="H2823" t="s">
        <v>341</v>
      </c>
      <c r="K2823" t="s">
        <v>364</v>
      </c>
      <c r="L2823" t="s">
        <v>303</v>
      </c>
      <c r="M2823" t="s">
        <v>323</v>
      </c>
      <c r="N2823" t="s">
        <v>63</v>
      </c>
      <c r="O2823" s="110">
        <v>39.9</v>
      </c>
      <c r="R2823" s="110">
        <v>289.89</v>
      </c>
      <c r="S2823" s="110">
        <v>69.900000000000006</v>
      </c>
      <c r="T2823" s="110">
        <v>0</v>
      </c>
      <c r="U2823" s="110">
        <v>42.99</v>
      </c>
      <c r="X2823">
        <v>127.09999999999997</v>
      </c>
      <c r="Y2823">
        <v>49.9</v>
      </c>
      <c r="Z2823">
        <v>49.9</v>
      </c>
      <c r="AA2823">
        <v>0</v>
      </c>
      <c r="AB2823" t="s">
        <v>363</v>
      </c>
      <c r="AF2823" t="s">
        <v>852</v>
      </c>
      <c r="AG2823" t="s">
        <v>852</v>
      </c>
      <c r="AH2823" t="s">
        <v>758</v>
      </c>
      <c r="AI2823">
        <v>99999</v>
      </c>
      <c r="AJ2823">
        <v>99999</v>
      </c>
      <c r="AK2823">
        <v>699</v>
      </c>
      <c r="AL2823" t="b">
        <v>1</v>
      </c>
      <c r="AM2823" t="b">
        <v>1</v>
      </c>
      <c r="AN2823" t="b">
        <v>1</v>
      </c>
      <c r="AO2823">
        <v>99999</v>
      </c>
      <c r="AP2823" t="s">
        <v>64</v>
      </c>
      <c r="AR2823" t="b">
        <v>0</v>
      </c>
      <c r="AS2823">
        <v>12</v>
      </c>
      <c r="AT2823" t="s">
        <v>327</v>
      </c>
      <c r="AV2823" t="s">
        <v>864</v>
      </c>
    </row>
    <row r="2824" spans="1:48" x14ac:dyDescent="0.25">
      <c r="A2824" t="s">
        <v>3323</v>
      </c>
      <c r="B2824" t="s">
        <v>302</v>
      </c>
      <c r="C2824" t="s">
        <v>62</v>
      </c>
      <c r="D2824">
        <v>99999</v>
      </c>
      <c r="F2824" s="109">
        <v>7000</v>
      </c>
      <c r="G2824" t="b">
        <v>1</v>
      </c>
      <c r="H2824" t="s">
        <v>341</v>
      </c>
      <c r="K2824" t="s">
        <v>364</v>
      </c>
      <c r="L2824" t="s">
        <v>303</v>
      </c>
      <c r="M2824" t="s">
        <v>323</v>
      </c>
      <c r="N2824" t="s">
        <v>63</v>
      </c>
      <c r="O2824" s="110">
        <v>39.9</v>
      </c>
      <c r="R2824" s="110">
        <v>304.89</v>
      </c>
      <c r="S2824" s="110">
        <v>69.900000000000006</v>
      </c>
      <c r="T2824" s="110">
        <v>0</v>
      </c>
      <c r="U2824" s="110">
        <v>42.99</v>
      </c>
      <c r="X2824">
        <v>142.09999999999997</v>
      </c>
      <c r="Y2824">
        <v>49.9</v>
      </c>
      <c r="Z2824">
        <v>49.9</v>
      </c>
      <c r="AA2824">
        <v>0</v>
      </c>
      <c r="AB2824" t="s">
        <v>363</v>
      </c>
      <c r="AF2824" t="s">
        <v>986</v>
      </c>
      <c r="AG2824" t="s">
        <v>986</v>
      </c>
      <c r="AH2824" t="s">
        <v>758</v>
      </c>
      <c r="AI2824">
        <v>99999</v>
      </c>
      <c r="AJ2824">
        <v>99999</v>
      </c>
      <c r="AK2824">
        <v>699</v>
      </c>
      <c r="AL2824" t="b">
        <v>1</v>
      </c>
      <c r="AM2824" t="b">
        <v>1</v>
      </c>
      <c r="AN2824" t="b">
        <v>1</v>
      </c>
      <c r="AO2824">
        <v>99999</v>
      </c>
      <c r="AP2824" t="s">
        <v>64</v>
      </c>
      <c r="AR2824" t="b">
        <v>0</v>
      </c>
      <c r="AS2824">
        <v>12</v>
      </c>
      <c r="AT2824" t="s">
        <v>327</v>
      </c>
      <c r="AV2824" t="s">
        <v>998</v>
      </c>
    </row>
    <row r="2825" spans="1:48" x14ac:dyDescent="0.25">
      <c r="A2825" t="s">
        <v>3323</v>
      </c>
      <c r="B2825" t="s">
        <v>302</v>
      </c>
      <c r="C2825" t="s">
        <v>62</v>
      </c>
      <c r="D2825">
        <v>99999</v>
      </c>
      <c r="F2825" s="109">
        <v>7000</v>
      </c>
      <c r="G2825" t="b">
        <v>1</v>
      </c>
      <c r="H2825" t="s">
        <v>341</v>
      </c>
      <c r="K2825" t="s">
        <v>364</v>
      </c>
      <c r="L2825" t="s">
        <v>303</v>
      </c>
      <c r="M2825" t="s">
        <v>323</v>
      </c>
      <c r="N2825" t="s">
        <v>63</v>
      </c>
      <c r="O2825" s="110">
        <v>39.9</v>
      </c>
      <c r="R2825" s="110">
        <v>319.89</v>
      </c>
      <c r="S2825" s="110">
        <v>70</v>
      </c>
      <c r="T2825" s="110">
        <v>0</v>
      </c>
      <c r="U2825" s="110">
        <v>42.99</v>
      </c>
      <c r="X2825">
        <v>156.99999999999997</v>
      </c>
      <c r="Y2825">
        <v>49.9</v>
      </c>
      <c r="Z2825">
        <v>49.9</v>
      </c>
      <c r="AA2825">
        <v>0</v>
      </c>
      <c r="AB2825" t="s">
        <v>363</v>
      </c>
      <c r="AF2825" t="s">
        <v>1134</v>
      </c>
      <c r="AG2825" t="s">
        <v>1134</v>
      </c>
      <c r="AH2825" t="s">
        <v>758</v>
      </c>
      <c r="AI2825">
        <v>99999</v>
      </c>
      <c r="AJ2825">
        <v>99999</v>
      </c>
      <c r="AK2825">
        <v>699</v>
      </c>
      <c r="AL2825" t="b">
        <v>1</v>
      </c>
      <c r="AM2825" t="b">
        <v>1</v>
      </c>
      <c r="AN2825" t="b">
        <v>1</v>
      </c>
      <c r="AO2825">
        <v>99999</v>
      </c>
      <c r="AP2825" t="s">
        <v>64</v>
      </c>
      <c r="AR2825" t="b">
        <v>0</v>
      </c>
      <c r="AS2825">
        <v>12</v>
      </c>
      <c r="AT2825" t="s">
        <v>327</v>
      </c>
      <c r="AV2825" t="s">
        <v>1146</v>
      </c>
    </row>
    <row r="2826" spans="1:48" x14ac:dyDescent="0.25">
      <c r="A2826" t="s">
        <v>3323</v>
      </c>
      <c r="B2826" t="s">
        <v>302</v>
      </c>
      <c r="C2826" t="s">
        <v>62</v>
      </c>
      <c r="D2826">
        <v>99999</v>
      </c>
      <c r="F2826" s="109">
        <v>7000</v>
      </c>
      <c r="G2826" t="b">
        <v>1</v>
      </c>
      <c r="H2826" t="s">
        <v>341</v>
      </c>
      <c r="K2826" t="s">
        <v>364</v>
      </c>
      <c r="L2826" t="s">
        <v>303</v>
      </c>
      <c r="M2826" t="s">
        <v>323</v>
      </c>
      <c r="N2826" t="s">
        <v>63</v>
      </c>
      <c r="O2826" s="110">
        <v>49.9</v>
      </c>
      <c r="R2826" s="110">
        <v>335.68999999999994</v>
      </c>
      <c r="S2826" s="110">
        <v>130</v>
      </c>
      <c r="T2826" s="110">
        <v>0</v>
      </c>
      <c r="U2826" s="110">
        <v>34.99</v>
      </c>
      <c r="X2826">
        <v>120.79999999999995</v>
      </c>
      <c r="Y2826">
        <v>49.9</v>
      </c>
      <c r="Z2826">
        <v>49.9</v>
      </c>
      <c r="AA2826">
        <v>0</v>
      </c>
      <c r="AB2826" t="s">
        <v>363</v>
      </c>
      <c r="AF2826" t="s">
        <v>2494</v>
      </c>
      <c r="AG2826" t="s">
        <v>2494</v>
      </c>
      <c r="AH2826" t="s">
        <v>758</v>
      </c>
      <c r="AI2826">
        <v>99999</v>
      </c>
      <c r="AJ2826">
        <v>99999</v>
      </c>
      <c r="AK2826">
        <v>699</v>
      </c>
      <c r="AL2826" t="b">
        <v>1</v>
      </c>
      <c r="AM2826" t="b">
        <v>1</v>
      </c>
      <c r="AN2826" t="b">
        <v>1</v>
      </c>
      <c r="AO2826">
        <v>99999</v>
      </c>
      <c r="AP2826" t="s">
        <v>64</v>
      </c>
      <c r="AR2826" t="b">
        <v>0</v>
      </c>
      <c r="AS2826">
        <v>12</v>
      </c>
      <c r="AT2826" t="s">
        <v>327</v>
      </c>
      <c r="AV2826" t="s">
        <v>2506</v>
      </c>
    </row>
    <row r="2827" spans="1:48" x14ac:dyDescent="0.25">
      <c r="A2827" t="s">
        <v>3323</v>
      </c>
      <c r="B2827" t="s">
        <v>302</v>
      </c>
      <c r="C2827" t="s">
        <v>62</v>
      </c>
      <c r="D2827">
        <v>99999</v>
      </c>
      <c r="F2827" s="109">
        <v>7000</v>
      </c>
      <c r="G2827" t="b">
        <v>1</v>
      </c>
      <c r="H2827" t="s">
        <v>341</v>
      </c>
      <c r="K2827" t="s">
        <v>364</v>
      </c>
      <c r="L2827" t="s">
        <v>303</v>
      </c>
      <c r="M2827" t="s">
        <v>323</v>
      </c>
      <c r="N2827" t="s">
        <v>63</v>
      </c>
      <c r="O2827" s="110">
        <v>49.9</v>
      </c>
      <c r="R2827" s="110">
        <v>349.98999999999995</v>
      </c>
      <c r="S2827" s="110">
        <v>130</v>
      </c>
      <c r="T2827" s="110">
        <v>0</v>
      </c>
      <c r="U2827" s="110">
        <v>42.99</v>
      </c>
      <c r="X2827">
        <v>127.09999999999997</v>
      </c>
      <c r="Y2827">
        <v>49.9</v>
      </c>
      <c r="Z2827">
        <v>49.9</v>
      </c>
      <c r="AA2827">
        <v>0</v>
      </c>
      <c r="AB2827" t="s">
        <v>363</v>
      </c>
      <c r="AF2827" t="s">
        <v>2568</v>
      </c>
      <c r="AG2827" t="s">
        <v>2568</v>
      </c>
      <c r="AH2827" t="s">
        <v>758</v>
      </c>
      <c r="AI2827">
        <v>99999</v>
      </c>
      <c r="AJ2827">
        <v>99999</v>
      </c>
      <c r="AK2827">
        <v>699</v>
      </c>
      <c r="AL2827" t="b">
        <v>1</v>
      </c>
      <c r="AM2827" t="b">
        <v>1</v>
      </c>
      <c r="AN2827" t="b">
        <v>1</v>
      </c>
      <c r="AO2827">
        <v>99999</v>
      </c>
      <c r="AP2827" t="s">
        <v>64</v>
      </c>
      <c r="AR2827" t="b">
        <v>0</v>
      </c>
      <c r="AS2827">
        <v>12</v>
      </c>
      <c r="AT2827" t="s">
        <v>327</v>
      </c>
      <c r="AV2827" t="s">
        <v>2580</v>
      </c>
    </row>
    <row r="2828" spans="1:48" x14ac:dyDescent="0.25">
      <c r="A2828" t="s">
        <v>3323</v>
      </c>
      <c r="B2828" t="s">
        <v>302</v>
      </c>
      <c r="C2828" t="s">
        <v>62</v>
      </c>
      <c r="D2828">
        <v>99999</v>
      </c>
      <c r="F2828" s="109">
        <v>7000</v>
      </c>
      <c r="G2828" t="b">
        <v>1</v>
      </c>
      <c r="H2828" t="s">
        <v>341</v>
      </c>
      <c r="K2828" t="s">
        <v>364</v>
      </c>
      <c r="L2828" t="s">
        <v>303</v>
      </c>
      <c r="M2828" t="s">
        <v>323</v>
      </c>
      <c r="N2828" t="s">
        <v>63</v>
      </c>
      <c r="O2828" s="110">
        <v>49.9</v>
      </c>
      <c r="R2828" s="110">
        <v>364.98999999999995</v>
      </c>
      <c r="S2828" s="110">
        <v>130</v>
      </c>
      <c r="T2828" s="110">
        <v>0</v>
      </c>
      <c r="U2828" s="110">
        <v>42.99</v>
      </c>
      <c r="X2828">
        <v>142.09999999999997</v>
      </c>
      <c r="Y2828">
        <v>49.9</v>
      </c>
      <c r="Z2828">
        <v>49.9</v>
      </c>
      <c r="AA2828">
        <v>0</v>
      </c>
      <c r="AB2828" t="s">
        <v>363</v>
      </c>
      <c r="AF2828" t="s">
        <v>2633</v>
      </c>
      <c r="AG2828" t="s">
        <v>2633</v>
      </c>
      <c r="AH2828" t="s">
        <v>758</v>
      </c>
      <c r="AI2828">
        <v>99999</v>
      </c>
      <c r="AJ2828">
        <v>99999</v>
      </c>
      <c r="AK2828">
        <v>699</v>
      </c>
      <c r="AL2828" t="b">
        <v>1</v>
      </c>
      <c r="AM2828" t="b">
        <v>1</v>
      </c>
      <c r="AN2828" t="b">
        <v>1</v>
      </c>
      <c r="AO2828">
        <v>99999</v>
      </c>
      <c r="AP2828" t="s">
        <v>64</v>
      </c>
      <c r="AR2828" t="b">
        <v>0</v>
      </c>
      <c r="AS2828">
        <v>12</v>
      </c>
      <c r="AT2828" t="s">
        <v>327</v>
      </c>
      <c r="AV2828" t="s">
        <v>2645</v>
      </c>
    </row>
    <row r="2829" spans="1:48" x14ac:dyDescent="0.25">
      <c r="A2829" t="s">
        <v>3323</v>
      </c>
      <c r="B2829" t="s">
        <v>302</v>
      </c>
      <c r="C2829" t="s">
        <v>62</v>
      </c>
      <c r="D2829">
        <v>99999</v>
      </c>
      <c r="F2829" s="109">
        <v>7000</v>
      </c>
      <c r="G2829" t="b">
        <v>1</v>
      </c>
      <c r="H2829" t="s">
        <v>341</v>
      </c>
      <c r="K2829" t="s">
        <v>364</v>
      </c>
      <c r="L2829" t="s">
        <v>303</v>
      </c>
      <c r="M2829" t="s">
        <v>323</v>
      </c>
      <c r="N2829" t="s">
        <v>63</v>
      </c>
      <c r="O2829" s="110">
        <v>49.9</v>
      </c>
      <c r="R2829" s="110">
        <v>379.89</v>
      </c>
      <c r="S2829" s="110">
        <v>130</v>
      </c>
      <c r="T2829" s="110">
        <v>0</v>
      </c>
      <c r="U2829" s="110">
        <v>42.99</v>
      </c>
      <c r="X2829">
        <v>156.99999999999997</v>
      </c>
      <c r="Y2829">
        <v>49.9</v>
      </c>
      <c r="Z2829">
        <v>49.9</v>
      </c>
      <c r="AA2829">
        <v>0</v>
      </c>
      <c r="AB2829" t="s">
        <v>363</v>
      </c>
      <c r="AF2829" t="s">
        <v>2704</v>
      </c>
      <c r="AG2829" t="s">
        <v>2704</v>
      </c>
      <c r="AH2829" t="s">
        <v>758</v>
      </c>
      <c r="AI2829">
        <v>99999</v>
      </c>
      <c r="AJ2829">
        <v>99999</v>
      </c>
      <c r="AK2829">
        <v>699</v>
      </c>
      <c r="AL2829" t="b">
        <v>1</v>
      </c>
      <c r="AM2829" t="b">
        <v>1</v>
      </c>
      <c r="AN2829" t="b">
        <v>1</v>
      </c>
      <c r="AO2829">
        <v>99999</v>
      </c>
      <c r="AP2829" t="s">
        <v>64</v>
      </c>
      <c r="AR2829" t="b">
        <v>0</v>
      </c>
      <c r="AS2829">
        <v>12</v>
      </c>
      <c r="AT2829" t="s">
        <v>327</v>
      </c>
      <c r="AV2829" t="s">
        <v>2716</v>
      </c>
    </row>
    <row r="2830" spans="1:48" x14ac:dyDescent="0.25">
      <c r="A2830" t="s">
        <v>3323</v>
      </c>
      <c r="B2830" t="s">
        <v>302</v>
      </c>
      <c r="C2830" t="s">
        <v>62</v>
      </c>
      <c r="D2830">
        <v>99999</v>
      </c>
      <c r="F2830" s="109">
        <v>7000</v>
      </c>
      <c r="G2830" t="b">
        <v>1</v>
      </c>
      <c r="H2830" t="s">
        <v>341</v>
      </c>
      <c r="K2830" t="s">
        <v>379</v>
      </c>
      <c r="L2830" t="s">
        <v>303</v>
      </c>
      <c r="M2830" t="s">
        <v>323</v>
      </c>
      <c r="N2830" t="s">
        <v>63</v>
      </c>
      <c r="O2830" s="110">
        <v>29.9</v>
      </c>
      <c r="R2830" s="110">
        <v>299.89</v>
      </c>
      <c r="S2830" s="110">
        <v>69.900000000000006</v>
      </c>
      <c r="T2830" s="110">
        <v>0</v>
      </c>
      <c r="U2830" s="110">
        <v>42.99</v>
      </c>
      <c r="X2830">
        <v>127.09999999999997</v>
      </c>
      <c r="Y2830">
        <v>59.9</v>
      </c>
      <c r="Z2830">
        <v>59.9</v>
      </c>
      <c r="AA2830">
        <v>0</v>
      </c>
      <c r="AB2830" t="s">
        <v>363</v>
      </c>
      <c r="AF2830" t="s">
        <v>785</v>
      </c>
      <c r="AG2830" t="s">
        <v>785</v>
      </c>
      <c r="AH2830" t="s">
        <v>758</v>
      </c>
      <c r="AI2830">
        <v>99999</v>
      </c>
      <c r="AJ2830">
        <v>99999</v>
      </c>
      <c r="AK2830">
        <v>699</v>
      </c>
      <c r="AL2830" t="b">
        <v>1</v>
      </c>
      <c r="AM2830" t="b">
        <v>1</v>
      </c>
      <c r="AN2830" t="b">
        <v>1</v>
      </c>
      <c r="AO2830">
        <v>99999</v>
      </c>
      <c r="AP2830" t="s">
        <v>64</v>
      </c>
      <c r="AR2830" t="b">
        <v>0</v>
      </c>
      <c r="AS2830">
        <v>12</v>
      </c>
      <c r="AT2830" t="s">
        <v>327</v>
      </c>
      <c r="AV2830" t="s">
        <v>810</v>
      </c>
    </row>
    <row r="2831" spans="1:48" x14ac:dyDescent="0.25">
      <c r="A2831" t="s">
        <v>3323</v>
      </c>
      <c r="B2831" t="s">
        <v>302</v>
      </c>
      <c r="C2831" t="s">
        <v>62</v>
      </c>
      <c r="D2831">
        <v>99999</v>
      </c>
      <c r="F2831" s="109">
        <v>7000</v>
      </c>
      <c r="G2831" t="b">
        <v>1</v>
      </c>
      <c r="H2831" t="s">
        <v>341</v>
      </c>
      <c r="K2831" t="s">
        <v>379</v>
      </c>
      <c r="L2831" t="s">
        <v>303</v>
      </c>
      <c r="M2831" t="s">
        <v>323</v>
      </c>
      <c r="N2831" t="s">
        <v>63</v>
      </c>
      <c r="O2831" s="110">
        <v>29.9</v>
      </c>
      <c r="R2831" s="110">
        <v>314.89</v>
      </c>
      <c r="S2831" s="110">
        <v>69.900000000000006</v>
      </c>
      <c r="T2831" s="110">
        <v>0</v>
      </c>
      <c r="U2831" s="110">
        <v>42.99</v>
      </c>
      <c r="X2831">
        <v>142.09999999999997</v>
      </c>
      <c r="Y2831">
        <v>59.9</v>
      </c>
      <c r="Z2831">
        <v>59.9</v>
      </c>
      <c r="AA2831">
        <v>0</v>
      </c>
      <c r="AB2831" t="s">
        <v>363</v>
      </c>
      <c r="AF2831" t="s">
        <v>919</v>
      </c>
      <c r="AG2831" t="s">
        <v>919</v>
      </c>
      <c r="AH2831" t="s">
        <v>758</v>
      </c>
      <c r="AI2831">
        <v>99999</v>
      </c>
      <c r="AJ2831">
        <v>99999</v>
      </c>
      <c r="AK2831">
        <v>699</v>
      </c>
      <c r="AL2831" t="b">
        <v>1</v>
      </c>
      <c r="AM2831" t="b">
        <v>1</v>
      </c>
      <c r="AN2831" t="b">
        <v>1</v>
      </c>
      <c r="AO2831">
        <v>99999</v>
      </c>
      <c r="AP2831" t="s">
        <v>64</v>
      </c>
      <c r="AR2831" t="b">
        <v>0</v>
      </c>
      <c r="AS2831">
        <v>12</v>
      </c>
      <c r="AT2831" t="s">
        <v>327</v>
      </c>
      <c r="AV2831" t="s">
        <v>944</v>
      </c>
    </row>
    <row r="2832" spans="1:48" x14ac:dyDescent="0.25">
      <c r="A2832" t="s">
        <v>3323</v>
      </c>
      <c r="B2832" t="s">
        <v>302</v>
      </c>
      <c r="C2832" t="s">
        <v>62</v>
      </c>
      <c r="D2832">
        <v>99999</v>
      </c>
      <c r="F2832" s="109">
        <v>7000</v>
      </c>
      <c r="G2832" t="b">
        <v>1</v>
      </c>
      <c r="H2832" t="s">
        <v>341</v>
      </c>
      <c r="K2832" t="s">
        <v>379</v>
      </c>
      <c r="L2832" t="s">
        <v>303</v>
      </c>
      <c r="M2832" t="s">
        <v>323</v>
      </c>
      <c r="N2832" t="s">
        <v>63</v>
      </c>
      <c r="O2832" s="110">
        <v>29.9</v>
      </c>
      <c r="R2832" s="110">
        <v>329.89</v>
      </c>
      <c r="S2832" s="110">
        <v>70</v>
      </c>
      <c r="T2832" s="110">
        <v>0</v>
      </c>
      <c r="U2832" s="110">
        <v>42.99</v>
      </c>
      <c r="X2832">
        <v>156.99999999999997</v>
      </c>
      <c r="Y2832">
        <v>59.9</v>
      </c>
      <c r="Z2832">
        <v>59.9</v>
      </c>
      <c r="AA2832">
        <v>0</v>
      </c>
      <c r="AB2832" t="s">
        <v>363</v>
      </c>
      <c r="AF2832" t="s">
        <v>1067</v>
      </c>
      <c r="AG2832" t="s">
        <v>1067</v>
      </c>
      <c r="AH2832" t="s">
        <v>758</v>
      </c>
      <c r="AI2832">
        <v>99999</v>
      </c>
      <c r="AJ2832">
        <v>99999</v>
      </c>
      <c r="AK2832">
        <v>699</v>
      </c>
      <c r="AL2832" t="b">
        <v>1</v>
      </c>
      <c r="AM2832" t="b">
        <v>1</v>
      </c>
      <c r="AN2832" t="b">
        <v>1</v>
      </c>
      <c r="AO2832">
        <v>99999</v>
      </c>
      <c r="AP2832" t="s">
        <v>64</v>
      </c>
      <c r="AR2832" t="b">
        <v>0</v>
      </c>
      <c r="AS2832">
        <v>12</v>
      </c>
      <c r="AT2832" t="s">
        <v>327</v>
      </c>
      <c r="AV2832" t="s">
        <v>1092</v>
      </c>
    </row>
    <row r="2833" spans="1:48" x14ac:dyDescent="0.25">
      <c r="A2833" t="s">
        <v>3323</v>
      </c>
      <c r="B2833" t="s">
        <v>302</v>
      </c>
      <c r="C2833" t="s">
        <v>62</v>
      </c>
      <c r="D2833">
        <v>99999</v>
      </c>
      <c r="F2833" s="109">
        <v>7000</v>
      </c>
      <c r="G2833" t="b">
        <v>1</v>
      </c>
      <c r="H2833" t="s">
        <v>341</v>
      </c>
      <c r="K2833" t="s">
        <v>379</v>
      </c>
      <c r="L2833" t="s">
        <v>303</v>
      </c>
      <c r="M2833" t="s">
        <v>323</v>
      </c>
      <c r="N2833" t="s">
        <v>63</v>
      </c>
      <c r="O2833" s="110">
        <v>39.9</v>
      </c>
      <c r="R2833" s="110">
        <v>299.89</v>
      </c>
      <c r="S2833" s="110">
        <v>69.900000000000006</v>
      </c>
      <c r="T2833" s="110">
        <v>0</v>
      </c>
      <c r="U2833" s="110">
        <v>42.99</v>
      </c>
      <c r="X2833">
        <v>127.09999999999997</v>
      </c>
      <c r="Y2833">
        <v>59.9</v>
      </c>
      <c r="Z2833">
        <v>59.9</v>
      </c>
      <c r="AA2833">
        <v>0</v>
      </c>
      <c r="AB2833" t="s">
        <v>363</v>
      </c>
      <c r="AF2833" t="s">
        <v>852</v>
      </c>
      <c r="AG2833" t="s">
        <v>852</v>
      </c>
      <c r="AH2833" t="s">
        <v>758</v>
      </c>
      <c r="AI2833">
        <v>99999</v>
      </c>
      <c r="AJ2833">
        <v>99999</v>
      </c>
      <c r="AK2833">
        <v>699</v>
      </c>
      <c r="AL2833" t="b">
        <v>1</v>
      </c>
      <c r="AM2833" t="b">
        <v>1</v>
      </c>
      <c r="AN2833" t="b">
        <v>1</v>
      </c>
      <c r="AO2833">
        <v>99999</v>
      </c>
      <c r="AP2833" t="s">
        <v>64</v>
      </c>
      <c r="AR2833" t="b">
        <v>0</v>
      </c>
      <c r="AS2833">
        <v>12</v>
      </c>
      <c r="AT2833" t="s">
        <v>327</v>
      </c>
      <c r="AV2833" t="s">
        <v>877</v>
      </c>
    </row>
    <row r="2834" spans="1:48" x14ac:dyDescent="0.25">
      <c r="A2834" t="s">
        <v>3323</v>
      </c>
      <c r="B2834" t="s">
        <v>302</v>
      </c>
      <c r="C2834" t="s">
        <v>62</v>
      </c>
      <c r="D2834">
        <v>99999</v>
      </c>
      <c r="F2834" s="109">
        <v>7000</v>
      </c>
      <c r="G2834" t="b">
        <v>1</v>
      </c>
      <c r="H2834" t="s">
        <v>341</v>
      </c>
      <c r="K2834" t="s">
        <v>379</v>
      </c>
      <c r="L2834" t="s">
        <v>303</v>
      </c>
      <c r="M2834" t="s">
        <v>323</v>
      </c>
      <c r="N2834" t="s">
        <v>63</v>
      </c>
      <c r="O2834" s="110">
        <v>39.9</v>
      </c>
      <c r="R2834" s="110">
        <v>314.89</v>
      </c>
      <c r="S2834" s="110">
        <v>69.900000000000006</v>
      </c>
      <c r="T2834" s="110">
        <v>0</v>
      </c>
      <c r="U2834" s="110">
        <v>42.99</v>
      </c>
      <c r="X2834">
        <v>142.09999999999997</v>
      </c>
      <c r="Y2834">
        <v>59.9</v>
      </c>
      <c r="Z2834">
        <v>59.9</v>
      </c>
      <c r="AA2834">
        <v>0</v>
      </c>
      <c r="AB2834" t="s">
        <v>363</v>
      </c>
      <c r="AF2834" t="s">
        <v>986</v>
      </c>
      <c r="AG2834" t="s">
        <v>986</v>
      </c>
      <c r="AH2834" t="s">
        <v>758</v>
      </c>
      <c r="AI2834">
        <v>99999</v>
      </c>
      <c r="AJ2834">
        <v>99999</v>
      </c>
      <c r="AK2834">
        <v>699</v>
      </c>
      <c r="AL2834" t="b">
        <v>1</v>
      </c>
      <c r="AM2834" t="b">
        <v>1</v>
      </c>
      <c r="AN2834" t="b">
        <v>1</v>
      </c>
      <c r="AO2834">
        <v>99999</v>
      </c>
      <c r="AP2834" t="s">
        <v>64</v>
      </c>
      <c r="AR2834" t="b">
        <v>0</v>
      </c>
      <c r="AS2834">
        <v>12</v>
      </c>
      <c r="AT2834" t="s">
        <v>327</v>
      </c>
      <c r="AV2834" t="s">
        <v>1011</v>
      </c>
    </row>
    <row r="2835" spans="1:48" x14ac:dyDescent="0.25">
      <c r="A2835" t="s">
        <v>3323</v>
      </c>
      <c r="B2835" t="s">
        <v>302</v>
      </c>
      <c r="C2835" t="s">
        <v>62</v>
      </c>
      <c r="D2835">
        <v>99999</v>
      </c>
      <c r="F2835" s="109">
        <v>7000</v>
      </c>
      <c r="G2835" t="b">
        <v>1</v>
      </c>
      <c r="H2835" t="s">
        <v>341</v>
      </c>
      <c r="K2835" t="s">
        <v>379</v>
      </c>
      <c r="L2835" t="s">
        <v>303</v>
      </c>
      <c r="M2835" t="s">
        <v>323</v>
      </c>
      <c r="N2835" t="s">
        <v>63</v>
      </c>
      <c r="O2835" s="110">
        <v>39.9</v>
      </c>
      <c r="R2835" s="110">
        <v>329.89</v>
      </c>
      <c r="S2835" s="110">
        <v>70</v>
      </c>
      <c r="T2835" s="110">
        <v>0</v>
      </c>
      <c r="U2835" s="110">
        <v>42.99</v>
      </c>
      <c r="X2835">
        <v>156.99999999999997</v>
      </c>
      <c r="Y2835">
        <v>59.9</v>
      </c>
      <c r="Z2835">
        <v>59.9</v>
      </c>
      <c r="AA2835">
        <v>0</v>
      </c>
      <c r="AB2835" t="s">
        <v>363</v>
      </c>
      <c r="AF2835" t="s">
        <v>1134</v>
      </c>
      <c r="AG2835" t="s">
        <v>1134</v>
      </c>
      <c r="AH2835" t="s">
        <v>758</v>
      </c>
      <c r="AI2835">
        <v>99999</v>
      </c>
      <c r="AJ2835">
        <v>99999</v>
      </c>
      <c r="AK2835">
        <v>699</v>
      </c>
      <c r="AL2835" t="b">
        <v>1</v>
      </c>
      <c r="AM2835" t="b">
        <v>1</v>
      </c>
      <c r="AN2835" t="b">
        <v>1</v>
      </c>
      <c r="AO2835">
        <v>99999</v>
      </c>
      <c r="AP2835" t="s">
        <v>64</v>
      </c>
      <c r="AR2835" t="b">
        <v>0</v>
      </c>
      <c r="AS2835">
        <v>12</v>
      </c>
      <c r="AT2835" t="s">
        <v>327</v>
      </c>
      <c r="AV2835" t="s">
        <v>1159</v>
      </c>
    </row>
    <row r="2836" spans="1:48" x14ac:dyDescent="0.25">
      <c r="A2836" t="s">
        <v>3323</v>
      </c>
      <c r="B2836" t="s">
        <v>302</v>
      </c>
      <c r="C2836" t="s">
        <v>62</v>
      </c>
      <c r="D2836">
        <v>99999</v>
      </c>
      <c r="F2836" s="109">
        <v>7000</v>
      </c>
      <c r="G2836" t="b">
        <v>1</v>
      </c>
      <c r="H2836" t="s">
        <v>341</v>
      </c>
      <c r="K2836" t="s">
        <v>379</v>
      </c>
      <c r="L2836" t="s">
        <v>303</v>
      </c>
      <c r="M2836" t="s">
        <v>323</v>
      </c>
      <c r="N2836" t="s">
        <v>63</v>
      </c>
      <c r="O2836" s="110">
        <v>49.9</v>
      </c>
      <c r="R2836" s="110">
        <v>345.68999999999994</v>
      </c>
      <c r="S2836" s="110">
        <v>130</v>
      </c>
      <c r="T2836" s="110">
        <v>0</v>
      </c>
      <c r="U2836" s="110">
        <v>34.99</v>
      </c>
      <c r="X2836">
        <v>120.79999999999995</v>
      </c>
      <c r="Y2836">
        <v>59.9</v>
      </c>
      <c r="Z2836">
        <v>59.9</v>
      </c>
      <c r="AA2836">
        <v>0</v>
      </c>
      <c r="AB2836" t="s">
        <v>363</v>
      </c>
      <c r="AF2836" t="s">
        <v>2494</v>
      </c>
      <c r="AG2836" t="s">
        <v>2494</v>
      </c>
      <c r="AH2836" t="s">
        <v>758</v>
      </c>
      <c r="AI2836">
        <v>99999</v>
      </c>
      <c r="AJ2836">
        <v>99999</v>
      </c>
      <c r="AK2836">
        <v>699</v>
      </c>
      <c r="AL2836" t="b">
        <v>1</v>
      </c>
      <c r="AM2836" t="b">
        <v>1</v>
      </c>
      <c r="AN2836" t="b">
        <v>1</v>
      </c>
      <c r="AO2836">
        <v>99999</v>
      </c>
      <c r="AP2836" t="s">
        <v>64</v>
      </c>
      <c r="AR2836" t="b">
        <v>0</v>
      </c>
      <c r="AS2836">
        <v>12</v>
      </c>
      <c r="AT2836" t="s">
        <v>327</v>
      </c>
      <c r="AV2836" t="s">
        <v>2519</v>
      </c>
    </row>
    <row r="2837" spans="1:48" x14ac:dyDescent="0.25">
      <c r="A2837" t="s">
        <v>3323</v>
      </c>
      <c r="B2837" t="s">
        <v>302</v>
      </c>
      <c r="C2837" t="s">
        <v>62</v>
      </c>
      <c r="D2837">
        <v>99999</v>
      </c>
      <c r="F2837" s="109">
        <v>7000</v>
      </c>
      <c r="G2837" t="b">
        <v>1</v>
      </c>
      <c r="H2837" t="s">
        <v>341</v>
      </c>
      <c r="K2837" t="s">
        <v>379</v>
      </c>
      <c r="L2837" t="s">
        <v>303</v>
      </c>
      <c r="M2837" t="s">
        <v>323</v>
      </c>
      <c r="N2837" t="s">
        <v>63</v>
      </c>
      <c r="O2837" s="110">
        <v>49.9</v>
      </c>
      <c r="R2837" s="110">
        <v>359.98999999999995</v>
      </c>
      <c r="S2837" s="110">
        <v>130</v>
      </c>
      <c r="T2837" s="110">
        <v>0</v>
      </c>
      <c r="U2837" s="110">
        <v>42.99</v>
      </c>
      <c r="X2837">
        <v>127.09999999999997</v>
      </c>
      <c r="Y2837">
        <v>59.9</v>
      </c>
      <c r="Z2837">
        <v>59.9</v>
      </c>
      <c r="AA2837">
        <v>0</v>
      </c>
      <c r="AB2837" t="s">
        <v>363</v>
      </c>
      <c r="AF2837" t="s">
        <v>2568</v>
      </c>
      <c r="AG2837" t="s">
        <v>2568</v>
      </c>
      <c r="AH2837" t="s">
        <v>758</v>
      </c>
      <c r="AI2837">
        <v>99999</v>
      </c>
      <c r="AJ2837">
        <v>99999</v>
      </c>
      <c r="AK2837">
        <v>699</v>
      </c>
      <c r="AL2837" t="b">
        <v>1</v>
      </c>
      <c r="AM2837" t="b">
        <v>1</v>
      </c>
      <c r="AN2837" t="b">
        <v>1</v>
      </c>
      <c r="AO2837">
        <v>99999</v>
      </c>
      <c r="AP2837" t="s">
        <v>64</v>
      </c>
      <c r="AR2837" t="b">
        <v>0</v>
      </c>
      <c r="AS2837">
        <v>12</v>
      </c>
      <c r="AT2837" t="s">
        <v>327</v>
      </c>
      <c r="AV2837" t="s">
        <v>2593</v>
      </c>
    </row>
    <row r="2838" spans="1:48" x14ac:dyDescent="0.25">
      <c r="A2838" t="s">
        <v>3323</v>
      </c>
      <c r="B2838" t="s">
        <v>302</v>
      </c>
      <c r="C2838" t="s">
        <v>62</v>
      </c>
      <c r="D2838">
        <v>99999</v>
      </c>
      <c r="F2838" s="109">
        <v>7000</v>
      </c>
      <c r="G2838" t="b">
        <v>1</v>
      </c>
      <c r="H2838" t="s">
        <v>341</v>
      </c>
      <c r="K2838" t="s">
        <v>379</v>
      </c>
      <c r="L2838" t="s">
        <v>303</v>
      </c>
      <c r="M2838" t="s">
        <v>323</v>
      </c>
      <c r="N2838" t="s">
        <v>63</v>
      </c>
      <c r="O2838" s="110">
        <v>49.9</v>
      </c>
      <c r="R2838" s="110">
        <v>374.98999999999995</v>
      </c>
      <c r="S2838" s="110">
        <v>130</v>
      </c>
      <c r="T2838" s="110">
        <v>0</v>
      </c>
      <c r="U2838" s="110">
        <v>42.99</v>
      </c>
      <c r="X2838">
        <v>142.09999999999997</v>
      </c>
      <c r="Y2838">
        <v>59.9</v>
      </c>
      <c r="Z2838">
        <v>59.9</v>
      </c>
      <c r="AA2838">
        <v>0</v>
      </c>
      <c r="AB2838" t="s">
        <v>363</v>
      </c>
      <c r="AF2838" t="s">
        <v>2633</v>
      </c>
      <c r="AG2838" t="s">
        <v>2633</v>
      </c>
      <c r="AH2838" t="s">
        <v>758</v>
      </c>
      <c r="AI2838">
        <v>99999</v>
      </c>
      <c r="AJ2838">
        <v>99999</v>
      </c>
      <c r="AK2838">
        <v>699</v>
      </c>
      <c r="AL2838" t="b">
        <v>1</v>
      </c>
      <c r="AM2838" t="b">
        <v>1</v>
      </c>
      <c r="AN2838" t="b">
        <v>1</v>
      </c>
      <c r="AO2838">
        <v>99999</v>
      </c>
      <c r="AP2838" t="s">
        <v>64</v>
      </c>
      <c r="AR2838" t="b">
        <v>0</v>
      </c>
      <c r="AS2838">
        <v>12</v>
      </c>
      <c r="AT2838" t="s">
        <v>327</v>
      </c>
      <c r="AV2838" t="s">
        <v>2657</v>
      </c>
    </row>
    <row r="2839" spans="1:48" x14ac:dyDescent="0.25">
      <c r="A2839" t="s">
        <v>3323</v>
      </c>
      <c r="B2839" t="s">
        <v>302</v>
      </c>
      <c r="C2839" t="s">
        <v>62</v>
      </c>
      <c r="D2839">
        <v>99999</v>
      </c>
      <c r="F2839" s="109">
        <v>7000</v>
      </c>
      <c r="G2839" t="b">
        <v>1</v>
      </c>
      <c r="H2839" t="s">
        <v>341</v>
      </c>
      <c r="K2839" t="s">
        <v>379</v>
      </c>
      <c r="L2839" t="s">
        <v>303</v>
      </c>
      <c r="M2839" t="s">
        <v>323</v>
      </c>
      <c r="N2839" t="s">
        <v>63</v>
      </c>
      <c r="O2839" s="110">
        <v>49.9</v>
      </c>
      <c r="R2839" s="110">
        <v>389.89</v>
      </c>
      <c r="S2839" s="110">
        <v>130</v>
      </c>
      <c r="T2839" s="110">
        <v>0</v>
      </c>
      <c r="U2839" s="110">
        <v>42.99</v>
      </c>
      <c r="X2839">
        <v>156.99999999999997</v>
      </c>
      <c r="Y2839">
        <v>59.9</v>
      </c>
      <c r="Z2839">
        <v>59.9</v>
      </c>
      <c r="AA2839">
        <v>0</v>
      </c>
      <c r="AB2839" t="s">
        <v>363</v>
      </c>
      <c r="AF2839" t="s">
        <v>2704</v>
      </c>
      <c r="AG2839" t="s">
        <v>2704</v>
      </c>
      <c r="AH2839" t="s">
        <v>758</v>
      </c>
      <c r="AI2839">
        <v>99999</v>
      </c>
      <c r="AJ2839">
        <v>99999</v>
      </c>
      <c r="AK2839">
        <v>699</v>
      </c>
      <c r="AL2839" t="b">
        <v>1</v>
      </c>
      <c r="AM2839" t="b">
        <v>1</v>
      </c>
      <c r="AN2839" t="b">
        <v>1</v>
      </c>
      <c r="AO2839">
        <v>99999</v>
      </c>
      <c r="AP2839" t="s">
        <v>64</v>
      </c>
      <c r="AR2839" t="b">
        <v>0</v>
      </c>
      <c r="AS2839">
        <v>12</v>
      </c>
      <c r="AT2839" t="s">
        <v>327</v>
      </c>
      <c r="AV2839" t="s">
        <v>2729</v>
      </c>
    </row>
    <row r="2840" spans="1:48" x14ac:dyDescent="0.25">
      <c r="A2840" t="s">
        <v>3323</v>
      </c>
      <c r="B2840" t="s">
        <v>302</v>
      </c>
      <c r="C2840" t="s">
        <v>62</v>
      </c>
      <c r="D2840">
        <v>99999</v>
      </c>
      <c r="F2840" s="109">
        <v>7000</v>
      </c>
      <c r="G2840" t="b">
        <v>1</v>
      </c>
      <c r="H2840" t="s">
        <v>341</v>
      </c>
      <c r="K2840" t="s">
        <v>61</v>
      </c>
      <c r="L2840" t="s">
        <v>303</v>
      </c>
      <c r="M2840" t="s">
        <v>323</v>
      </c>
      <c r="N2840" t="s">
        <v>63</v>
      </c>
      <c r="O2840">
        <v>29.9</v>
      </c>
      <c r="R2840">
        <v>284.89</v>
      </c>
      <c r="S2840">
        <v>69.900000000000006</v>
      </c>
      <c r="T2840" s="110">
        <v>0</v>
      </c>
      <c r="U2840">
        <v>42.99</v>
      </c>
      <c r="X2840">
        <v>127.09999999999997</v>
      </c>
      <c r="Y2840">
        <v>44.9</v>
      </c>
      <c r="Z2840">
        <v>44.9</v>
      </c>
      <c r="AA2840">
        <v>0</v>
      </c>
      <c r="AB2840" t="s">
        <v>324</v>
      </c>
      <c r="AF2840" t="s">
        <v>757</v>
      </c>
      <c r="AG2840" t="s">
        <v>757</v>
      </c>
      <c r="AH2840" t="s">
        <v>758</v>
      </c>
      <c r="AI2840">
        <v>99999</v>
      </c>
      <c r="AJ2840">
        <v>99999</v>
      </c>
      <c r="AK2840">
        <v>699</v>
      </c>
      <c r="AL2840" t="b">
        <v>1</v>
      </c>
      <c r="AM2840" t="b">
        <v>1</v>
      </c>
      <c r="AN2840" t="b">
        <v>1</v>
      </c>
      <c r="AO2840">
        <v>99999</v>
      </c>
      <c r="AP2840" t="s">
        <v>64</v>
      </c>
      <c r="AR2840" t="b">
        <v>0</v>
      </c>
      <c r="AS2840">
        <v>12</v>
      </c>
      <c r="AT2840" t="s">
        <v>327</v>
      </c>
      <c r="AV2840" t="s">
        <v>770</v>
      </c>
    </row>
    <row r="2841" spans="1:48" x14ac:dyDescent="0.25">
      <c r="A2841" t="s">
        <v>3323</v>
      </c>
      <c r="B2841" t="s">
        <v>302</v>
      </c>
      <c r="C2841" t="s">
        <v>62</v>
      </c>
      <c r="D2841">
        <v>99999</v>
      </c>
      <c r="F2841" s="109">
        <v>7000</v>
      </c>
      <c r="G2841" t="b">
        <v>1</v>
      </c>
      <c r="H2841" t="s">
        <v>341</v>
      </c>
      <c r="K2841" t="s">
        <v>61</v>
      </c>
      <c r="L2841" t="s">
        <v>303</v>
      </c>
      <c r="M2841" t="s">
        <v>323</v>
      </c>
      <c r="N2841" t="s">
        <v>63</v>
      </c>
      <c r="O2841" s="110">
        <v>29.9</v>
      </c>
      <c r="R2841" s="110">
        <v>299.89</v>
      </c>
      <c r="S2841" s="110">
        <v>69.900000000000006</v>
      </c>
      <c r="T2841" s="110">
        <v>0</v>
      </c>
      <c r="U2841" s="110">
        <v>42.99</v>
      </c>
      <c r="X2841">
        <v>142.09999999999997</v>
      </c>
      <c r="Y2841">
        <v>44.9</v>
      </c>
      <c r="Z2841">
        <v>44.9</v>
      </c>
      <c r="AA2841">
        <v>0</v>
      </c>
      <c r="AB2841" t="s">
        <v>324</v>
      </c>
      <c r="AF2841" t="s">
        <v>892</v>
      </c>
      <c r="AG2841" t="s">
        <v>892</v>
      </c>
      <c r="AH2841" t="s">
        <v>758</v>
      </c>
      <c r="AI2841">
        <v>99999</v>
      </c>
      <c r="AJ2841">
        <v>99999</v>
      </c>
      <c r="AK2841">
        <v>699</v>
      </c>
      <c r="AL2841" t="b">
        <v>1</v>
      </c>
      <c r="AM2841" t="b">
        <v>1</v>
      </c>
      <c r="AN2841" t="b">
        <v>1</v>
      </c>
      <c r="AO2841">
        <v>99999</v>
      </c>
      <c r="AP2841" t="s">
        <v>64</v>
      </c>
      <c r="AR2841" t="b">
        <v>0</v>
      </c>
      <c r="AS2841">
        <v>12</v>
      </c>
      <c r="AT2841" t="s">
        <v>327</v>
      </c>
      <c r="AV2841" t="s">
        <v>904</v>
      </c>
    </row>
    <row r="2842" spans="1:48" x14ac:dyDescent="0.25">
      <c r="A2842" t="s">
        <v>3323</v>
      </c>
      <c r="B2842" t="s">
        <v>302</v>
      </c>
      <c r="C2842" t="s">
        <v>62</v>
      </c>
      <c r="D2842">
        <v>99999</v>
      </c>
      <c r="F2842" s="109">
        <v>7000</v>
      </c>
      <c r="G2842" t="b">
        <v>1</v>
      </c>
      <c r="H2842" t="s">
        <v>341</v>
      </c>
      <c r="K2842" t="s">
        <v>61</v>
      </c>
      <c r="L2842" t="s">
        <v>303</v>
      </c>
      <c r="M2842" t="s">
        <v>323</v>
      </c>
      <c r="N2842" t="s">
        <v>63</v>
      </c>
      <c r="O2842" s="110">
        <v>29.9</v>
      </c>
      <c r="R2842" s="110">
        <v>314.89</v>
      </c>
      <c r="S2842" s="110">
        <v>70</v>
      </c>
      <c r="T2842" s="110">
        <v>0</v>
      </c>
      <c r="U2842" s="110">
        <v>42.99</v>
      </c>
      <c r="X2842">
        <v>156.99999999999997</v>
      </c>
      <c r="Y2842">
        <v>44.9</v>
      </c>
      <c r="Z2842">
        <v>44.9</v>
      </c>
      <c r="AA2842">
        <v>0</v>
      </c>
      <c r="AB2842" t="s">
        <v>324</v>
      </c>
      <c r="AF2842" t="s">
        <v>1040</v>
      </c>
      <c r="AG2842" t="s">
        <v>1040</v>
      </c>
      <c r="AH2842" t="s">
        <v>758</v>
      </c>
      <c r="AI2842">
        <v>99999</v>
      </c>
      <c r="AJ2842">
        <v>99999</v>
      </c>
      <c r="AK2842">
        <v>699</v>
      </c>
      <c r="AL2842" t="b">
        <v>1</v>
      </c>
      <c r="AM2842" t="b">
        <v>1</v>
      </c>
      <c r="AN2842" t="b">
        <v>1</v>
      </c>
      <c r="AO2842">
        <v>99999</v>
      </c>
      <c r="AP2842" t="s">
        <v>64</v>
      </c>
      <c r="AR2842" t="b">
        <v>0</v>
      </c>
      <c r="AS2842">
        <v>12</v>
      </c>
      <c r="AT2842" t="s">
        <v>327</v>
      </c>
      <c r="AV2842" t="s">
        <v>1052</v>
      </c>
    </row>
    <row r="2843" spans="1:48" x14ac:dyDescent="0.25">
      <c r="A2843" t="s">
        <v>3323</v>
      </c>
      <c r="B2843" t="s">
        <v>302</v>
      </c>
      <c r="C2843" t="s">
        <v>62</v>
      </c>
      <c r="D2843">
        <v>99999</v>
      </c>
      <c r="F2843" s="109">
        <v>7000</v>
      </c>
      <c r="G2843" t="b">
        <v>1</v>
      </c>
      <c r="H2843" t="s">
        <v>341</v>
      </c>
      <c r="K2843" t="s">
        <v>61</v>
      </c>
      <c r="L2843" t="s">
        <v>303</v>
      </c>
      <c r="M2843" t="s">
        <v>323</v>
      </c>
      <c r="N2843" t="s">
        <v>63</v>
      </c>
      <c r="O2843" s="110">
        <v>39.9</v>
      </c>
      <c r="R2843" s="110">
        <v>284.89</v>
      </c>
      <c r="S2843" s="110">
        <v>69.900000000000006</v>
      </c>
      <c r="T2843" s="110">
        <v>0</v>
      </c>
      <c r="U2843" s="110">
        <v>42.99</v>
      </c>
      <c r="X2843">
        <v>127.09999999999997</v>
      </c>
      <c r="Y2843">
        <v>44.9</v>
      </c>
      <c r="Z2843">
        <v>44.9</v>
      </c>
      <c r="AA2843">
        <v>0</v>
      </c>
      <c r="AB2843" t="s">
        <v>324</v>
      </c>
      <c r="AF2843" t="s">
        <v>825</v>
      </c>
      <c r="AG2843" t="s">
        <v>825</v>
      </c>
      <c r="AH2843" t="s">
        <v>758</v>
      </c>
      <c r="AI2843">
        <v>99999</v>
      </c>
      <c r="AJ2843">
        <v>99999</v>
      </c>
      <c r="AK2843">
        <v>699</v>
      </c>
      <c r="AL2843" t="b">
        <v>1</v>
      </c>
      <c r="AM2843" t="b">
        <v>1</v>
      </c>
      <c r="AN2843" t="b">
        <v>1</v>
      </c>
      <c r="AO2843">
        <v>99999</v>
      </c>
      <c r="AP2843" t="s">
        <v>64</v>
      </c>
      <c r="AR2843" t="b">
        <v>0</v>
      </c>
      <c r="AS2843">
        <v>12</v>
      </c>
      <c r="AT2843" t="s">
        <v>327</v>
      </c>
      <c r="AV2843" t="s">
        <v>837</v>
      </c>
    </row>
    <row r="2844" spans="1:48" x14ac:dyDescent="0.25">
      <c r="A2844" t="s">
        <v>3323</v>
      </c>
      <c r="B2844" t="s">
        <v>302</v>
      </c>
      <c r="C2844" t="s">
        <v>62</v>
      </c>
      <c r="D2844">
        <v>99999</v>
      </c>
      <c r="F2844" s="109">
        <v>7000</v>
      </c>
      <c r="G2844" t="b">
        <v>1</v>
      </c>
      <c r="H2844" t="s">
        <v>341</v>
      </c>
      <c r="K2844" t="s">
        <v>61</v>
      </c>
      <c r="L2844" t="s">
        <v>303</v>
      </c>
      <c r="M2844" t="s">
        <v>323</v>
      </c>
      <c r="N2844" t="s">
        <v>63</v>
      </c>
      <c r="O2844" s="110">
        <v>39.9</v>
      </c>
      <c r="R2844" s="110">
        <v>299.89</v>
      </c>
      <c r="S2844" s="110">
        <v>69.900000000000006</v>
      </c>
      <c r="T2844" s="110">
        <v>0</v>
      </c>
      <c r="U2844" s="110">
        <v>42.99</v>
      </c>
      <c r="X2844">
        <v>142.09999999999997</v>
      </c>
      <c r="Y2844">
        <v>44.9</v>
      </c>
      <c r="Z2844">
        <v>44.9</v>
      </c>
      <c r="AA2844">
        <v>0</v>
      </c>
      <c r="AB2844" t="s">
        <v>324</v>
      </c>
      <c r="AF2844" t="s">
        <v>959</v>
      </c>
      <c r="AG2844" t="s">
        <v>959</v>
      </c>
      <c r="AH2844" t="s">
        <v>758</v>
      </c>
      <c r="AI2844">
        <v>99999</v>
      </c>
      <c r="AJ2844">
        <v>99999</v>
      </c>
      <c r="AK2844">
        <v>699</v>
      </c>
      <c r="AL2844" t="b">
        <v>1</v>
      </c>
      <c r="AM2844" t="b">
        <v>1</v>
      </c>
      <c r="AN2844" t="b">
        <v>1</v>
      </c>
      <c r="AO2844">
        <v>99999</v>
      </c>
      <c r="AP2844" t="s">
        <v>64</v>
      </c>
      <c r="AR2844" t="b">
        <v>0</v>
      </c>
      <c r="AS2844">
        <v>12</v>
      </c>
      <c r="AT2844" t="s">
        <v>327</v>
      </c>
      <c r="AV2844" t="s">
        <v>971</v>
      </c>
    </row>
    <row r="2845" spans="1:48" x14ac:dyDescent="0.25">
      <c r="A2845" t="s">
        <v>3323</v>
      </c>
      <c r="B2845" t="s">
        <v>302</v>
      </c>
      <c r="C2845" t="s">
        <v>62</v>
      </c>
      <c r="D2845">
        <v>99999</v>
      </c>
      <c r="F2845" s="109">
        <v>7000</v>
      </c>
      <c r="G2845" t="b">
        <v>1</v>
      </c>
      <c r="H2845" t="s">
        <v>341</v>
      </c>
      <c r="K2845" t="s">
        <v>61</v>
      </c>
      <c r="L2845" t="s">
        <v>303</v>
      </c>
      <c r="M2845" t="s">
        <v>323</v>
      </c>
      <c r="N2845" t="s">
        <v>63</v>
      </c>
      <c r="O2845" s="110">
        <v>39.9</v>
      </c>
      <c r="R2845" s="110">
        <v>314.89</v>
      </c>
      <c r="S2845" s="110">
        <v>70</v>
      </c>
      <c r="T2845" s="110">
        <v>0</v>
      </c>
      <c r="U2845" s="110">
        <v>42.99</v>
      </c>
      <c r="X2845">
        <v>156.99999999999997</v>
      </c>
      <c r="Y2845">
        <v>44.9</v>
      </c>
      <c r="Z2845">
        <v>44.9</v>
      </c>
      <c r="AA2845">
        <v>0</v>
      </c>
      <c r="AB2845" t="s">
        <v>324</v>
      </c>
      <c r="AF2845" t="s">
        <v>1107</v>
      </c>
      <c r="AG2845" t="s">
        <v>1107</v>
      </c>
      <c r="AH2845" t="s">
        <v>758</v>
      </c>
      <c r="AI2845">
        <v>99999</v>
      </c>
      <c r="AJ2845">
        <v>99999</v>
      </c>
      <c r="AK2845">
        <v>699</v>
      </c>
      <c r="AL2845" t="b">
        <v>1</v>
      </c>
      <c r="AM2845" t="b">
        <v>1</v>
      </c>
      <c r="AN2845" t="b">
        <v>1</v>
      </c>
      <c r="AO2845">
        <v>99999</v>
      </c>
      <c r="AP2845" t="s">
        <v>64</v>
      </c>
      <c r="AR2845" t="b">
        <v>0</v>
      </c>
      <c r="AS2845">
        <v>12</v>
      </c>
      <c r="AT2845" t="s">
        <v>327</v>
      </c>
      <c r="AV2845" t="s">
        <v>1119</v>
      </c>
    </row>
    <row r="2846" spans="1:48" x14ac:dyDescent="0.25">
      <c r="A2846" t="s">
        <v>3323</v>
      </c>
      <c r="B2846" t="s">
        <v>302</v>
      </c>
      <c r="C2846" t="s">
        <v>62</v>
      </c>
      <c r="D2846">
        <v>99999</v>
      </c>
      <c r="F2846" s="109">
        <v>7000</v>
      </c>
      <c r="G2846" t="b">
        <v>1</v>
      </c>
      <c r="H2846" t="s">
        <v>341</v>
      </c>
      <c r="K2846" t="s">
        <v>61</v>
      </c>
      <c r="L2846" t="s">
        <v>303</v>
      </c>
      <c r="M2846" t="s">
        <v>323</v>
      </c>
      <c r="N2846" t="s">
        <v>63</v>
      </c>
      <c r="O2846" s="110">
        <v>49.9</v>
      </c>
      <c r="R2846" s="110">
        <v>330.68999999999994</v>
      </c>
      <c r="S2846" s="110">
        <v>130</v>
      </c>
      <c r="T2846" s="110">
        <v>0</v>
      </c>
      <c r="U2846" s="110">
        <v>34.99</v>
      </c>
      <c r="X2846">
        <v>120.79999999999995</v>
      </c>
      <c r="Y2846">
        <v>44.9</v>
      </c>
      <c r="Z2846">
        <v>44.9</v>
      </c>
      <c r="AA2846">
        <v>0</v>
      </c>
      <c r="AB2846" t="s">
        <v>324</v>
      </c>
      <c r="AF2846" t="s">
        <v>2467</v>
      </c>
      <c r="AG2846" t="s">
        <v>2467</v>
      </c>
      <c r="AH2846" t="s">
        <v>758</v>
      </c>
      <c r="AI2846">
        <v>99999</v>
      </c>
      <c r="AJ2846">
        <v>99999</v>
      </c>
      <c r="AK2846">
        <v>699</v>
      </c>
      <c r="AL2846" t="b">
        <v>1</v>
      </c>
      <c r="AM2846" t="b">
        <v>1</v>
      </c>
      <c r="AN2846" t="b">
        <v>1</v>
      </c>
      <c r="AO2846">
        <v>99999</v>
      </c>
      <c r="AP2846" t="s">
        <v>64</v>
      </c>
      <c r="AR2846" t="b">
        <v>0</v>
      </c>
      <c r="AS2846">
        <v>12</v>
      </c>
      <c r="AT2846" t="s">
        <v>327</v>
      </c>
      <c r="AV2846" t="s">
        <v>2479</v>
      </c>
    </row>
    <row r="2847" spans="1:48" x14ac:dyDescent="0.25">
      <c r="A2847" t="s">
        <v>3323</v>
      </c>
      <c r="B2847" t="s">
        <v>302</v>
      </c>
      <c r="C2847" t="s">
        <v>62</v>
      </c>
      <c r="D2847">
        <v>99999</v>
      </c>
      <c r="F2847" s="109">
        <v>7000</v>
      </c>
      <c r="G2847" t="b">
        <v>1</v>
      </c>
      <c r="H2847" t="s">
        <v>341</v>
      </c>
      <c r="K2847" t="s">
        <v>61</v>
      </c>
      <c r="L2847" t="s">
        <v>303</v>
      </c>
      <c r="M2847" t="s">
        <v>323</v>
      </c>
      <c r="N2847" t="s">
        <v>63</v>
      </c>
      <c r="O2847" s="110">
        <v>49.9</v>
      </c>
      <c r="R2847" s="110">
        <v>344.98999999999995</v>
      </c>
      <c r="S2847" s="110">
        <v>130</v>
      </c>
      <c r="T2847" s="110">
        <v>0</v>
      </c>
      <c r="U2847" s="110">
        <v>42.99</v>
      </c>
      <c r="X2847">
        <v>127.09999999999997</v>
      </c>
      <c r="Y2847">
        <v>44.9</v>
      </c>
      <c r="Z2847">
        <v>44.9</v>
      </c>
      <c r="AA2847">
        <v>0</v>
      </c>
      <c r="AB2847" t="s">
        <v>324</v>
      </c>
      <c r="AF2847" t="s">
        <v>2541</v>
      </c>
      <c r="AG2847" t="s">
        <v>2541</v>
      </c>
      <c r="AH2847" t="s">
        <v>758</v>
      </c>
      <c r="AI2847">
        <v>99999</v>
      </c>
      <c r="AJ2847">
        <v>99999</v>
      </c>
      <c r="AK2847">
        <v>699</v>
      </c>
      <c r="AL2847" t="b">
        <v>1</v>
      </c>
      <c r="AM2847" t="b">
        <v>1</v>
      </c>
      <c r="AN2847" t="b">
        <v>1</v>
      </c>
      <c r="AO2847">
        <v>99999</v>
      </c>
      <c r="AP2847" t="s">
        <v>64</v>
      </c>
      <c r="AR2847" t="b">
        <v>0</v>
      </c>
      <c r="AS2847">
        <v>12</v>
      </c>
      <c r="AT2847" t="s">
        <v>327</v>
      </c>
      <c r="AV2847" t="s">
        <v>2553</v>
      </c>
    </row>
    <row r="2848" spans="1:48" x14ac:dyDescent="0.25">
      <c r="A2848" t="s">
        <v>3323</v>
      </c>
      <c r="B2848" t="s">
        <v>302</v>
      </c>
      <c r="C2848" t="s">
        <v>62</v>
      </c>
      <c r="D2848">
        <v>99999</v>
      </c>
      <c r="F2848" s="109">
        <v>7000</v>
      </c>
      <c r="G2848" t="b">
        <v>1</v>
      </c>
      <c r="H2848" t="s">
        <v>341</v>
      </c>
      <c r="K2848" t="s">
        <v>61</v>
      </c>
      <c r="L2848" t="s">
        <v>303</v>
      </c>
      <c r="M2848" t="s">
        <v>323</v>
      </c>
      <c r="N2848" t="s">
        <v>63</v>
      </c>
      <c r="O2848" s="110">
        <v>49.9</v>
      </c>
      <c r="R2848" s="110">
        <v>359.98999999999995</v>
      </c>
      <c r="S2848" s="110">
        <v>130</v>
      </c>
      <c r="T2848" s="110">
        <v>0</v>
      </c>
      <c r="U2848" s="110">
        <v>42.99</v>
      </c>
      <c r="X2848">
        <v>142.09999999999997</v>
      </c>
      <c r="Y2848">
        <v>44.9</v>
      </c>
      <c r="Z2848">
        <v>44.9</v>
      </c>
      <c r="AA2848">
        <v>0</v>
      </c>
      <c r="AB2848" t="s">
        <v>324</v>
      </c>
      <c r="AF2848" t="s">
        <v>2608</v>
      </c>
      <c r="AG2848" t="s">
        <v>2608</v>
      </c>
      <c r="AH2848" t="s">
        <v>758</v>
      </c>
      <c r="AI2848">
        <v>99999</v>
      </c>
      <c r="AJ2848">
        <v>99999</v>
      </c>
      <c r="AK2848">
        <v>699</v>
      </c>
      <c r="AL2848" t="b">
        <v>1</v>
      </c>
      <c r="AM2848" t="b">
        <v>1</v>
      </c>
      <c r="AN2848" t="b">
        <v>1</v>
      </c>
      <c r="AO2848">
        <v>99999</v>
      </c>
      <c r="AP2848" t="s">
        <v>64</v>
      </c>
      <c r="AR2848" t="b">
        <v>0</v>
      </c>
      <c r="AS2848">
        <v>12</v>
      </c>
      <c r="AT2848" t="s">
        <v>327</v>
      </c>
      <c r="AV2848" t="s">
        <v>2620</v>
      </c>
    </row>
    <row r="2849" spans="1:48" x14ac:dyDescent="0.25">
      <c r="A2849" t="s">
        <v>3323</v>
      </c>
      <c r="B2849" t="s">
        <v>302</v>
      </c>
      <c r="C2849" t="s">
        <v>62</v>
      </c>
      <c r="D2849">
        <v>99999</v>
      </c>
      <c r="F2849" s="109">
        <v>7000</v>
      </c>
      <c r="G2849" t="b">
        <v>1</v>
      </c>
      <c r="H2849" t="s">
        <v>341</v>
      </c>
      <c r="K2849" t="s">
        <v>61</v>
      </c>
      <c r="L2849" t="s">
        <v>303</v>
      </c>
      <c r="M2849" t="s">
        <v>323</v>
      </c>
      <c r="N2849" t="s">
        <v>63</v>
      </c>
      <c r="O2849" s="110">
        <v>49.9</v>
      </c>
      <c r="R2849" s="110">
        <v>374.89</v>
      </c>
      <c r="S2849" s="110">
        <v>130</v>
      </c>
      <c r="T2849" s="110">
        <v>0</v>
      </c>
      <c r="U2849" s="110">
        <v>42.99</v>
      </c>
      <c r="X2849">
        <v>156.99999999999997</v>
      </c>
      <c r="Y2849">
        <v>44.9</v>
      </c>
      <c r="Z2849">
        <v>44.9</v>
      </c>
      <c r="AA2849">
        <v>0</v>
      </c>
      <c r="AB2849" t="s">
        <v>324</v>
      </c>
      <c r="AF2849" t="s">
        <v>2677</v>
      </c>
      <c r="AG2849" t="s">
        <v>2677</v>
      </c>
      <c r="AH2849" t="s">
        <v>758</v>
      </c>
      <c r="AI2849">
        <v>99999</v>
      </c>
      <c r="AJ2849">
        <v>99999</v>
      </c>
      <c r="AK2849">
        <v>699</v>
      </c>
      <c r="AL2849" t="b">
        <v>1</v>
      </c>
      <c r="AM2849" t="b">
        <v>1</v>
      </c>
      <c r="AN2849" t="b">
        <v>1</v>
      </c>
      <c r="AO2849">
        <v>99999</v>
      </c>
      <c r="AP2849" t="s">
        <v>64</v>
      </c>
      <c r="AR2849" t="b">
        <v>0</v>
      </c>
      <c r="AS2849">
        <v>12</v>
      </c>
      <c r="AT2849" t="s">
        <v>327</v>
      </c>
      <c r="AV2849" t="s">
        <v>2689</v>
      </c>
    </row>
    <row r="2850" spans="1:48" x14ac:dyDescent="0.25">
      <c r="A2850" t="s">
        <v>322</v>
      </c>
      <c r="F2850"/>
      <c r="O2850"/>
      <c r="R2850"/>
      <c r="S2850"/>
      <c r="T2850"/>
      <c r="U2850"/>
    </row>
    <row r="2851" spans="1:48" x14ac:dyDescent="0.25">
      <c r="F2851"/>
      <c r="O2851"/>
      <c r="R2851"/>
      <c r="S2851"/>
      <c r="T2851"/>
      <c r="U2851"/>
    </row>
    <row r="2852" spans="1:48" x14ac:dyDescent="0.25">
      <c r="F2852"/>
      <c r="O2852"/>
      <c r="R2852"/>
      <c r="S2852"/>
      <c r="T2852"/>
      <c r="U2852"/>
    </row>
    <row r="2853" spans="1:48" x14ac:dyDescent="0.25">
      <c r="F2853"/>
      <c r="O2853"/>
      <c r="R2853"/>
      <c r="S2853"/>
      <c r="T2853"/>
      <c r="U2853"/>
    </row>
    <row r="2854" spans="1:48" x14ac:dyDescent="0.25">
      <c r="F2854"/>
      <c r="O2854"/>
      <c r="R2854"/>
      <c r="S2854"/>
      <c r="T2854"/>
      <c r="U2854"/>
    </row>
    <row r="2855" spans="1:48" x14ac:dyDescent="0.25">
      <c r="F2855"/>
      <c r="O2855"/>
      <c r="R2855"/>
      <c r="S2855"/>
      <c r="T2855"/>
      <c r="U2855"/>
    </row>
    <row r="2856" spans="1:48" x14ac:dyDescent="0.25">
      <c r="F2856"/>
      <c r="O2856"/>
      <c r="R2856"/>
      <c r="S2856"/>
      <c r="T2856"/>
      <c r="U2856"/>
    </row>
    <row r="2857" spans="1:48" x14ac:dyDescent="0.25">
      <c r="F2857"/>
      <c r="O2857"/>
      <c r="R2857"/>
      <c r="S2857"/>
      <c r="T2857"/>
      <c r="U2857"/>
    </row>
    <row r="2858" spans="1:48" x14ac:dyDescent="0.25">
      <c r="F2858"/>
      <c r="O2858"/>
      <c r="R2858"/>
      <c r="S2858"/>
      <c r="T2858"/>
      <c r="U2858"/>
    </row>
    <row r="2859" spans="1:48" x14ac:dyDescent="0.25">
      <c r="F2859"/>
      <c r="O2859"/>
      <c r="R2859"/>
      <c r="S2859"/>
      <c r="T2859"/>
      <c r="U2859"/>
    </row>
    <row r="2860" spans="1:48" x14ac:dyDescent="0.25">
      <c r="F2860"/>
      <c r="O2860"/>
      <c r="R2860"/>
      <c r="S2860"/>
      <c r="T2860"/>
      <c r="U2860"/>
    </row>
    <row r="2861" spans="1:48" x14ac:dyDescent="0.25">
      <c r="F2861"/>
      <c r="O2861"/>
      <c r="R2861"/>
      <c r="S2861"/>
      <c r="T2861"/>
      <c r="U2861"/>
    </row>
    <row r="2862" spans="1:48" x14ac:dyDescent="0.25">
      <c r="F2862"/>
      <c r="O2862"/>
      <c r="R2862"/>
      <c r="S2862"/>
      <c r="T2862"/>
      <c r="U2862"/>
    </row>
    <row r="2863" spans="1:48" x14ac:dyDescent="0.25">
      <c r="F2863"/>
      <c r="O2863"/>
      <c r="R2863"/>
      <c r="S2863"/>
      <c r="T2863"/>
      <c r="U2863"/>
    </row>
    <row r="2864" spans="1:48" x14ac:dyDescent="0.25">
      <c r="F2864"/>
      <c r="O2864"/>
      <c r="R2864"/>
      <c r="S2864"/>
      <c r="T2864"/>
      <c r="U2864"/>
    </row>
    <row r="2865" spans="6:21" x14ac:dyDescent="0.25">
      <c r="F2865"/>
      <c r="O2865"/>
      <c r="R2865"/>
      <c r="S2865"/>
      <c r="T2865"/>
      <c r="U2865"/>
    </row>
    <row r="2866" spans="6:21" x14ac:dyDescent="0.25">
      <c r="F2866"/>
      <c r="O2866"/>
      <c r="R2866"/>
      <c r="S2866"/>
      <c r="T2866"/>
      <c r="U2866"/>
    </row>
    <row r="2867" spans="6:21" x14ac:dyDescent="0.25">
      <c r="F2867"/>
      <c r="O2867"/>
      <c r="R2867"/>
      <c r="S2867"/>
      <c r="T2867"/>
      <c r="U2867"/>
    </row>
    <row r="2868" spans="6:21" x14ac:dyDescent="0.25">
      <c r="F2868"/>
      <c r="O2868"/>
      <c r="R2868"/>
      <c r="S2868"/>
      <c r="T2868"/>
      <c r="U2868"/>
    </row>
    <row r="2869" spans="6:21" x14ac:dyDescent="0.25">
      <c r="F2869"/>
      <c r="O2869"/>
      <c r="R2869"/>
      <c r="S2869"/>
      <c r="T2869"/>
      <c r="U2869"/>
    </row>
    <row r="2870" spans="6:21" x14ac:dyDescent="0.25">
      <c r="F2870"/>
      <c r="O2870"/>
      <c r="R2870"/>
      <c r="S2870"/>
      <c r="T2870"/>
      <c r="U2870"/>
    </row>
    <row r="2871" spans="6:21" x14ac:dyDescent="0.25">
      <c r="F2871"/>
      <c r="O2871"/>
      <c r="R2871"/>
      <c r="S2871"/>
      <c r="T2871"/>
      <c r="U2871"/>
    </row>
    <row r="2872" spans="6:21" x14ac:dyDescent="0.25">
      <c r="F2872"/>
      <c r="O2872"/>
      <c r="R2872"/>
      <c r="S2872"/>
      <c r="T2872"/>
      <c r="U2872"/>
    </row>
    <row r="2873" spans="6:21" x14ac:dyDescent="0.25">
      <c r="F2873"/>
      <c r="O2873"/>
      <c r="R2873"/>
      <c r="S2873"/>
      <c r="T2873"/>
      <c r="U2873"/>
    </row>
    <row r="2874" spans="6:21" x14ac:dyDescent="0.25">
      <c r="F2874"/>
      <c r="O2874"/>
      <c r="R2874"/>
      <c r="S2874"/>
      <c r="T2874"/>
      <c r="U2874"/>
    </row>
    <row r="2875" spans="6:21" x14ac:dyDescent="0.25">
      <c r="F2875"/>
      <c r="O2875"/>
      <c r="R2875"/>
      <c r="S2875"/>
      <c r="T2875"/>
      <c r="U2875"/>
    </row>
    <row r="2876" spans="6:21" x14ac:dyDescent="0.25">
      <c r="F2876"/>
      <c r="O2876"/>
      <c r="R2876"/>
      <c r="S2876"/>
      <c r="T2876"/>
      <c r="U2876"/>
    </row>
    <row r="2877" spans="6:21" x14ac:dyDescent="0.25">
      <c r="F2877"/>
      <c r="O2877"/>
      <c r="R2877"/>
      <c r="S2877"/>
      <c r="T2877"/>
      <c r="U2877"/>
    </row>
    <row r="2878" spans="6:21" x14ac:dyDescent="0.25">
      <c r="F2878"/>
      <c r="O2878"/>
      <c r="R2878"/>
      <c r="S2878"/>
      <c r="T2878"/>
      <c r="U2878"/>
    </row>
    <row r="2879" spans="6:21" x14ac:dyDescent="0.25">
      <c r="F2879"/>
      <c r="O2879"/>
      <c r="R2879"/>
      <c r="S2879"/>
      <c r="T2879"/>
      <c r="U2879"/>
    </row>
    <row r="2880" spans="6:21" x14ac:dyDescent="0.25">
      <c r="F2880"/>
      <c r="O2880"/>
      <c r="R2880"/>
      <c r="S2880"/>
      <c r="T2880"/>
      <c r="U2880"/>
    </row>
    <row r="2881" spans="6:21" x14ac:dyDescent="0.25">
      <c r="F2881"/>
      <c r="O2881"/>
      <c r="R2881"/>
      <c r="S2881"/>
      <c r="T2881"/>
      <c r="U2881"/>
    </row>
    <row r="2882" spans="6:21" x14ac:dyDescent="0.25">
      <c r="F2882"/>
      <c r="O2882"/>
      <c r="R2882"/>
      <c r="S2882"/>
      <c r="T2882"/>
      <c r="U2882"/>
    </row>
    <row r="2883" spans="6:21" x14ac:dyDescent="0.25">
      <c r="F2883"/>
      <c r="O2883"/>
      <c r="R2883"/>
      <c r="S2883"/>
      <c r="T2883"/>
      <c r="U2883"/>
    </row>
    <row r="2884" spans="6:21" x14ac:dyDescent="0.25">
      <c r="F2884"/>
      <c r="O2884"/>
      <c r="R2884"/>
      <c r="S2884"/>
      <c r="T2884"/>
      <c r="U2884"/>
    </row>
    <row r="2885" spans="6:21" x14ac:dyDescent="0.25">
      <c r="F2885"/>
      <c r="O2885"/>
      <c r="R2885"/>
      <c r="S2885"/>
      <c r="T2885"/>
      <c r="U2885"/>
    </row>
    <row r="2886" spans="6:21" x14ac:dyDescent="0.25">
      <c r="F2886"/>
      <c r="O2886"/>
      <c r="R2886"/>
      <c r="S2886"/>
      <c r="T2886"/>
      <c r="U2886"/>
    </row>
    <row r="2887" spans="6:21" x14ac:dyDescent="0.25">
      <c r="F2887"/>
      <c r="O2887"/>
      <c r="R2887"/>
      <c r="S2887"/>
      <c r="T2887"/>
      <c r="U2887"/>
    </row>
    <row r="2888" spans="6:21" x14ac:dyDescent="0.25">
      <c r="F2888"/>
      <c r="O2888"/>
      <c r="R2888"/>
      <c r="S2888"/>
      <c r="T2888"/>
      <c r="U2888"/>
    </row>
    <row r="2889" spans="6:21" x14ac:dyDescent="0.25">
      <c r="F2889"/>
      <c r="O2889"/>
      <c r="R2889"/>
      <c r="S2889"/>
      <c r="T2889"/>
      <c r="U2889"/>
    </row>
    <row r="2890" spans="6:21" x14ac:dyDescent="0.25">
      <c r="F2890"/>
      <c r="O2890"/>
      <c r="R2890"/>
      <c r="S2890"/>
      <c r="T2890"/>
      <c r="U2890"/>
    </row>
    <row r="2891" spans="6:21" x14ac:dyDescent="0.25">
      <c r="F2891"/>
      <c r="O2891"/>
      <c r="R2891"/>
      <c r="S2891"/>
      <c r="T2891"/>
      <c r="U2891"/>
    </row>
    <row r="2892" spans="6:21" x14ac:dyDescent="0.25">
      <c r="F2892"/>
      <c r="O2892"/>
      <c r="R2892"/>
      <c r="S2892"/>
      <c r="T2892"/>
      <c r="U2892"/>
    </row>
    <row r="2893" spans="6:21" x14ac:dyDescent="0.25">
      <c r="F2893"/>
      <c r="O2893"/>
      <c r="R2893"/>
      <c r="S2893"/>
      <c r="T2893"/>
      <c r="U2893"/>
    </row>
    <row r="2894" spans="6:21" x14ac:dyDescent="0.25">
      <c r="F2894"/>
      <c r="O2894"/>
      <c r="R2894"/>
      <c r="S2894"/>
      <c r="T2894"/>
      <c r="U2894"/>
    </row>
    <row r="2895" spans="6:21" x14ac:dyDescent="0.25">
      <c r="F2895"/>
      <c r="O2895"/>
      <c r="R2895"/>
      <c r="S2895"/>
      <c r="T2895"/>
      <c r="U2895"/>
    </row>
    <row r="2896" spans="6:21" x14ac:dyDescent="0.25">
      <c r="F2896"/>
      <c r="O2896"/>
      <c r="R2896"/>
      <c r="S2896"/>
      <c r="T2896"/>
      <c r="U2896"/>
    </row>
    <row r="2897" spans="6:21" x14ac:dyDescent="0.25">
      <c r="F2897"/>
      <c r="O2897"/>
      <c r="R2897"/>
      <c r="S2897"/>
      <c r="T2897"/>
      <c r="U2897"/>
    </row>
    <row r="2898" spans="6:21" x14ac:dyDescent="0.25">
      <c r="F2898"/>
      <c r="O2898"/>
      <c r="R2898"/>
      <c r="S2898"/>
      <c r="T2898"/>
      <c r="U2898"/>
    </row>
    <row r="2899" spans="6:21" x14ac:dyDescent="0.25">
      <c r="F2899"/>
      <c r="O2899"/>
      <c r="R2899"/>
      <c r="S2899"/>
      <c r="T2899"/>
      <c r="U2899"/>
    </row>
    <row r="2900" spans="6:21" x14ac:dyDescent="0.25">
      <c r="F2900"/>
      <c r="O2900"/>
      <c r="R2900"/>
      <c r="S2900"/>
      <c r="T2900"/>
      <c r="U2900"/>
    </row>
    <row r="2901" spans="6:21" x14ac:dyDescent="0.25">
      <c r="F2901"/>
      <c r="O2901"/>
      <c r="R2901"/>
      <c r="S2901"/>
      <c r="T2901"/>
      <c r="U2901"/>
    </row>
    <row r="2902" spans="6:21" x14ac:dyDescent="0.25">
      <c r="F2902"/>
      <c r="O2902"/>
      <c r="R2902"/>
      <c r="S2902"/>
      <c r="T2902"/>
      <c r="U2902"/>
    </row>
    <row r="2903" spans="6:21" x14ac:dyDescent="0.25">
      <c r="F2903"/>
      <c r="O2903"/>
      <c r="R2903"/>
      <c r="S2903"/>
      <c r="T2903"/>
      <c r="U2903"/>
    </row>
    <row r="2904" spans="6:21" x14ac:dyDescent="0.25">
      <c r="F2904"/>
      <c r="O2904"/>
      <c r="R2904"/>
      <c r="S2904"/>
      <c r="T2904"/>
      <c r="U2904"/>
    </row>
    <row r="2905" spans="6:21" x14ac:dyDescent="0.25">
      <c r="F2905"/>
      <c r="O2905"/>
      <c r="R2905"/>
      <c r="S2905"/>
      <c r="T2905"/>
      <c r="U2905"/>
    </row>
    <row r="2906" spans="6:21" x14ac:dyDescent="0.25">
      <c r="F2906"/>
      <c r="O2906"/>
      <c r="R2906"/>
      <c r="S2906"/>
      <c r="T2906"/>
      <c r="U2906"/>
    </row>
    <row r="2907" spans="6:21" x14ac:dyDescent="0.25">
      <c r="F2907"/>
      <c r="O2907"/>
      <c r="R2907"/>
      <c r="S2907"/>
      <c r="T2907"/>
      <c r="U2907"/>
    </row>
    <row r="2908" spans="6:21" x14ac:dyDescent="0.25">
      <c r="F2908"/>
      <c r="O2908"/>
      <c r="R2908"/>
      <c r="S2908"/>
      <c r="T2908"/>
      <c r="U2908"/>
    </row>
    <row r="2909" spans="6:21" x14ac:dyDescent="0.25">
      <c r="F2909"/>
      <c r="O2909"/>
      <c r="R2909"/>
      <c r="S2909"/>
      <c r="T2909"/>
      <c r="U2909"/>
    </row>
    <row r="2910" spans="6:21" x14ac:dyDescent="0.25">
      <c r="F2910"/>
      <c r="O2910"/>
      <c r="R2910"/>
      <c r="S2910"/>
      <c r="T2910"/>
      <c r="U2910"/>
    </row>
    <row r="2911" spans="6:21" x14ac:dyDescent="0.25">
      <c r="F2911"/>
      <c r="O2911"/>
      <c r="R2911"/>
      <c r="S2911"/>
      <c r="T2911"/>
      <c r="U2911"/>
    </row>
    <row r="2912" spans="6:21" x14ac:dyDescent="0.25">
      <c r="F2912"/>
      <c r="O2912"/>
      <c r="R2912"/>
      <c r="S2912"/>
      <c r="T2912"/>
      <c r="U2912"/>
    </row>
    <row r="2913" spans="6:21" x14ac:dyDescent="0.25">
      <c r="F2913"/>
      <c r="O2913"/>
      <c r="R2913"/>
      <c r="S2913"/>
      <c r="T2913"/>
      <c r="U2913"/>
    </row>
    <row r="2914" spans="6:21" x14ac:dyDescent="0.25">
      <c r="F2914"/>
      <c r="O2914"/>
      <c r="R2914"/>
      <c r="S2914"/>
      <c r="T2914"/>
      <c r="U2914"/>
    </row>
    <row r="2915" spans="6:21" x14ac:dyDescent="0.25">
      <c r="F2915"/>
      <c r="O2915"/>
      <c r="R2915"/>
      <c r="S2915"/>
      <c r="T2915"/>
      <c r="U2915"/>
    </row>
    <row r="2916" spans="6:21" x14ac:dyDescent="0.25">
      <c r="F2916"/>
      <c r="O2916"/>
      <c r="R2916"/>
      <c r="S2916"/>
      <c r="T2916"/>
      <c r="U2916"/>
    </row>
    <row r="2917" spans="6:21" x14ac:dyDescent="0.25">
      <c r="F2917"/>
      <c r="O2917"/>
      <c r="R2917"/>
      <c r="S2917"/>
      <c r="T2917"/>
      <c r="U2917"/>
    </row>
    <row r="2918" spans="6:21" x14ac:dyDescent="0.25">
      <c r="F2918"/>
      <c r="O2918"/>
      <c r="R2918"/>
      <c r="S2918"/>
      <c r="T2918"/>
      <c r="U2918"/>
    </row>
    <row r="2919" spans="6:21" x14ac:dyDescent="0.25">
      <c r="F2919"/>
      <c r="O2919"/>
      <c r="R2919"/>
      <c r="S2919"/>
      <c r="T2919"/>
      <c r="U2919"/>
    </row>
    <row r="2920" spans="6:21" x14ac:dyDescent="0.25">
      <c r="F2920"/>
      <c r="O2920"/>
      <c r="R2920"/>
      <c r="S2920"/>
      <c r="T2920"/>
      <c r="U2920"/>
    </row>
    <row r="2921" spans="6:21" x14ac:dyDescent="0.25">
      <c r="F2921"/>
      <c r="O2921"/>
      <c r="R2921"/>
      <c r="S2921"/>
      <c r="T2921"/>
      <c r="U2921"/>
    </row>
    <row r="2922" spans="6:21" x14ac:dyDescent="0.25">
      <c r="F2922"/>
      <c r="O2922"/>
      <c r="R2922"/>
      <c r="S2922"/>
      <c r="T2922"/>
      <c r="U2922"/>
    </row>
    <row r="2923" spans="6:21" x14ac:dyDescent="0.25">
      <c r="F2923"/>
      <c r="O2923"/>
      <c r="R2923"/>
      <c r="S2923"/>
      <c r="T2923"/>
      <c r="U2923"/>
    </row>
    <row r="2924" spans="6:21" x14ac:dyDescent="0.25">
      <c r="F2924"/>
      <c r="O2924"/>
      <c r="R2924"/>
      <c r="S2924"/>
      <c r="T2924"/>
      <c r="U2924"/>
    </row>
    <row r="2925" spans="6:21" x14ac:dyDescent="0.25">
      <c r="F2925"/>
      <c r="O2925"/>
      <c r="R2925"/>
      <c r="S2925"/>
      <c r="T2925"/>
      <c r="U2925"/>
    </row>
    <row r="2926" spans="6:21" x14ac:dyDescent="0.25">
      <c r="F2926"/>
      <c r="O2926"/>
      <c r="R2926"/>
      <c r="S2926"/>
      <c r="T2926"/>
      <c r="U2926"/>
    </row>
    <row r="2927" spans="6:21" x14ac:dyDescent="0.25">
      <c r="F2927"/>
      <c r="O2927"/>
      <c r="R2927"/>
      <c r="S2927"/>
      <c r="T2927"/>
      <c r="U2927"/>
    </row>
    <row r="2928" spans="6:21" x14ac:dyDescent="0.25">
      <c r="F2928"/>
      <c r="O2928"/>
      <c r="R2928"/>
      <c r="S2928"/>
      <c r="T2928"/>
      <c r="U2928"/>
    </row>
    <row r="2929" spans="6:21" x14ac:dyDescent="0.25">
      <c r="F2929"/>
      <c r="O2929"/>
      <c r="R2929"/>
      <c r="S2929"/>
      <c r="T2929"/>
      <c r="U2929"/>
    </row>
    <row r="2930" spans="6:21" x14ac:dyDescent="0.25">
      <c r="F2930"/>
      <c r="O2930"/>
      <c r="R2930"/>
      <c r="S2930"/>
      <c r="T2930"/>
      <c r="U2930"/>
    </row>
    <row r="2931" spans="6:21" x14ac:dyDescent="0.25">
      <c r="F2931"/>
      <c r="O2931"/>
      <c r="R2931"/>
      <c r="S2931"/>
      <c r="T2931"/>
      <c r="U2931"/>
    </row>
    <row r="2932" spans="6:21" x14ac:dyDescent="0.25">
      <c r="F2932"/>
      <c r="O2932"/>
      <c r="R2932"/>
      <c r="S2932"/>
      <c r="T2932"/>
      <c r="U2932"/>
    </row>
    <row r="2933" spans="6:21" x14ac:dyDescent="0.25">
      <c r="F2933"/>
      <c r="O2933"/>
      <c r="R2933"/>
      <c r="S2933"/>
      <c r="T2933"/>
      <c r="U2933"/>
    </row>
    <row r="2934" spans="6:21" x14ac:dyDescent="0.25">
      <c r="F2934"/>
      <c r="O2934"/>
      <c r="R2934"/>
      <c r="S2934"/>
      <c r="T2934"/>
      <c r="U2934"/>
    </row>
    <row r="2935" spans="6:21" x14ac:dyDescent="0.25">
      <c r="F2935"/>
      <c r="O2935"/>
      <c r="R2935"/>
      <c r="S2935"/>
      <c r="T2935"/>
      <c r="U2935"/>
    </row>
    <row r="2936" spans="6:21" x14ac:dyDescent="0.25">
      <c r="F2936"/>
      <c r="O2936"/>
      <c r="R2936"/>
      <c r="S2936"/>
      <c r="T2936"/>
      <c r="U2936"/>
    </row>
    <row r="2937" spans="6:21" x14ac:dyDescent="0.25">
      <c r="F2937"/>
      <c r="O2937"/>
      <c r="R2937"/>
      <c r="S2937"/>
      <c r="T2937"/>
      <c r="U2937"/>
    </row>
    <row r="2938" spans="6:21" x14ac:dyDescent="0.25">
      <c r="F2938"/>
      <c r="O2938"/>
      <c r="R2938"/>
      <c r="S2938"/>
      <c r="T2938"/>
      <c r="U2938"/>
    </row>
    <row r="2939" spans="6:21" x14ac:dyDescent="0.25">
      <c r="F2939"/>
      <c r="O2939"/>
      <c r="R2939"/>
      <c r="S2939"/>
      <c r="T2939"/>
      <c r="U2939"/>
    </row>
    <row r="2940" spans="6:21" x14ac:dyDescent="0.25">
      <c r="F2940"/>
      <c r="O2940"/>
      <c r="R2940"/>
      <c r="S2940"/>
      <c r="T2940"/>
      <c r="U2940"/>
    </row>
    <row r="2941" spans="6:21" x14ac:dyDescent="0.25">
      <c r="F2941"/>
      <c r="O2941"/>
      <c r="R2941"/>
      <c r="S2941"/>
      <c r="T2941"/>
      <c r="U2941"/>
    </row>
    <row r="2942" spans="6:21" x14ac:dyDescent="0.25">
      <c r="F2942"/>
      <c r="O2942"/>
      <c r="R2942"/>
      <c r="S2942"/>
      <c r="T2942"/>
      <c r="U2942"/>
    </row>
    <row r="2943" spans="6:21" x14ac:dyDescent="0.25">
      <c r="F2943"/>
      <c r="O2943"/>
      <c r="R2943"/>
      <c r="S2943"/>
      <c r="T2943"/>
      <c r="U2943"/>
    </row>
    <row r="2944" spans="6:21" x14ac:dyDescent="0.25">
      <c r="F2944"/>
      <c r="O2944"/>
      <c r="R2944"/>
      <c r="S2944"/>
      <c r="T2944"/>
      <c r="U2944"/>
    </row>
    <row r="2945" spans="6:21" x14ac:dyDescent="0.25">
      <c r="F2945"/>
      <c r="O2945"/>
      <c r="R2945"/>
      <c r="S2945"/>
      <c r="T2945"/>
      <c r="U2945"/>
    </row>
    <row r="2946" spans="6:21" x14ac:dyDescent="0.25">
      <c r="F2946"/>
      <c r="O2946"/>
      <c r="R2946"/>
      <c r="S2946"/>
      <c r="T2946"/>
      <c r="U2946"/>
    </row>
    <row r="2947" spans="6:21" x14ac:dyDescent="0.25">
      <c r="F2947"/>
      <c r="O2947"/>
      <c r="R2947"/>
      <c r="S2947"/>
      <c r="T2947"/>
      <c r="U2947"/>
    </row>
    <row r="2948" spans="6:21" x14ac:dyDescent="0.25">
      <c r="F2948"/>
      <c r="O2948"/>
      <c r="R2948"/>
      <c r="S2948"/>
      <c r="T2948"/>
      <c r="U2948"/>
    </row>
    <row r="2949" spans="6:21" x14ac:dyDescent="0.25">
      <c r="F2949"/>
      <c r="O2949"/>
      <c r="R2949"/>
      <c r="S2949"/>
      <c r="T2949"/>
      <c r="U2949"/>
    </row>
    <row r="2950" spans="6:21" x14ac:dyDescent="0.25">
      <c r="F2950"/>
      <c r="O2950"/>
      <c r="R2950"/>
      <c r="S2950"/>
      <c r="T2950"/>
      <c r="U2950"/>
    </row>
    <row r="2951" spans="6:21" x14ac:dyDescent="0.25">
      <c r="F2951"/>
      <c r="O2951"/>
      <c r="R2951"/>
      <c r="S2951"/>
      <c r="T2951"/>
      <c r="U2951"/>
    </row>
    <row r="2952" spans="6:21" x14ac:dyDescent="0.25">
      <c r="F2952"/>
      <c r="O2952"/>
      <c r="R2952"/>
      <c r="S2952"/>
      <c r="T2952"/>
      <c r="U2952"/>
    </row>
    <row r="2953" spans="6:21" x14ac:dyDescent="0.25">
      <c r="F2953"/>
      <c r="O2953"/>
      <c r="R2953"/>
      <c r="S2953"/>
      <c r="T2953"/>
      <c r="U2953"/>
    </row>
    <row r="2954" spans="6:21" x14ac:dyDescent="0.25">
      <c r="F2954"/>
      <c r="O2954"/>
      <c r="R2954"/>
      <c r="S2954"/>
      <c r="T2954"/>
      <c r="U2954"/>
    </row>
    <row r="2955" spans="6:21" x14ac:dyDescent="0.25">
      <c r="F2955"/>
      <c r="O2955"/>
      <c r="R2955"/>
      <c r="S2955"/>
      <c r="T2955"/>
      <c r="U2955"/>
    </row>
    <row r="2956" spans="6:21" x14ac:dyDescent="0.25">
      <c r="F2956"/>
      <c r="O2956"/>
      <c r="R2956"/>
      <c r="S2956"/>
      <c r="T2956"/>
      <c r="U2956"/>
    </row>
    <row r="2957" spans="6:21" x14ac:dyDescent="0.25">
      <c r="F2957"/>
      <c r="O2957"/>
      <c r="R2957"/>
      <c r="S2957"/>
      <c r="T2957"/>
      <c r="U2957"/>
    </row>
    <row r="2958" spans="6:21" x14ac:dyDescent="0.25">
      <c r="F2958"/>
      <c r="O2958"/>
      <c r="R2958"/>
      <c r="S2958"/>
      <c r="T2958"/>
      <c r="U2958"/>
    </row>
    <row r="2959" spans="6:21" x14ac:dyDescent="0.25">
      <c r="F2959"/>
      <c r="O2959"/>
      <c r="R2959"/>
      <c r="S2959"/>
      <c r="T2959"/>
      <c r="U2959"/>
    </row>
    <row r="2960" spans="6:21" x14ac:dyDescent="0.25">
      <c r="F2960"/>
      <c r="O2960"/>
      <c r="R2960"/>
      <c r="S2960"/>
      <c r="T2960"/>
      <c r="U2960"/>
    </row>
    <row r="2961" spans="6:21" x14ac:dyDescent="0.25">
      <c r="F2961"/>
      <c r="O2961"/>
      <c r="R2961"/>
      <c r="S2961"/>
      <c r="T2961"/>
      <c r="U2961"/>
    </row>
    <row r="2962" spans="6:21" x14ac:dyDescent="0.25">
      <c r="F2962"/>
      <c r="O2962"/>
      <c r="R2962"/>
      <c r="S2962"/>
      <c r="T2962"/>
      <c r="U2962"/>
    </row>
    <row r="2963" spans="6:21" x14ac:dyDescent="0.25">
      <c r="F2963"/>
      <c r="O2963"/>
      <c r="R2963"/>
      <c r="S2963"/>
      <c r="T2963"/>
      <c r="U2963"/>
    </row>
    <row r="2964" spans="6:21" x14ac:dyDescent="0.25">
      <c r="F2964"/>
      <c r="O2964"/>
      <c r="R2964"/>
      <c r="S2964"/>
      <c r="T2964"/>
      <c r="U2964"/>
    </row>
    <row r="2965" spans="6:21" x14ac:dyDescent="0.25">
      <c r="F2965"/>
      <c r="O2965"/>
      <c r="R2965"/>
      <c r="S2965"/>
      <c r="T2965"/>
      <c r="U2965"/>
    </row>
    <row r="2966" spans="6:21" x14ac:dyDescent="0.25">
      <c r="F2966"/>
      <c r="O2966"/>
      <c r="R2966"/>
      <c r="S2966"/>
      <c r="T2966"/>
      <c r="U2966"/>
    </row>
    <row r="2967" spans="6:21" x14ac:dyDescent="0.25">
      <c r="F2967"/>
      <c r="O2967"/>
      <c r="R2967"/>
      <c r="S2967"/>
      <c r="T2967"/>
      <c r="U2967"/>
    </row>
    <row r="2968" spans="6:21" x14ac:dyDescent="0.25">
      <c r="F2968"/>
      <c r="O2968"/>
      <c r="R2968"/>
      <c r="S2968"/>
      <c r="T2968"/>
      <c r="U2968"/>
    </row>
    <row r="2969" spans="6:21" x14ac:dyDescent="0.25">
      <c r="F2969"/>
      <c r="O2969"/>
      <c r="R2969"/>
      <c r="S2969"/>
      <c r="T2969"/>
      <c r="U2969"/>
    </row>
    <row r="2970" spans="6:21" x14ac:dyDescent="0.25">
      <c r="F2970"/>
      <c r="O2970"/>
      <c r="R2970"/>
      <c r="S2970"/>
      <c r="T2970"/>
      <c r="U2970"/>
    </row>
    <row r="2971" spans="6:21" x14ac:dyDescent="0.25">
      <c r="F2971"/>
      <c r="O2971"/>
      <c r="R2971"/>
      <c r="S2971"/>
      <c r="T2971"/>
      <c r="U2971"/>
    </row>
    <row r="2972" spans="6:21" x14ac:dyDescent="0.25">
      <c r="F2972"/>
      <c r="O2972"/>
      <c r="R2972"/>
      <c r="S2972"/>
      <c r="T2972"/>
      <c r="U2972"/>
    </row>
    <row r="2973" spans="6:21" x14ac:dyDescent="0.25">
      <c r="F2973"/>
      <c r="O2973"/>
      <c r="R2973"/>
      <c r="S2973"/>
      <c r="T2973"/>
      <c r="U2973"/>
    </row>
    <row r="2974" spans="6:21" x14ac:dyDescent="0.25">
      <c r="F2974"/>
      <c r="O2974"/>
      <c r="R2974"/>
      <c r="S2974"/>
      <c r="T2974"/>
      <c r="U2974"/>
    </row>
    <row r="2975" spans="6:21" x14ac:dyDescent="0.25">
      <c r="F2975"/>
      <c r="O2975"/>
      <c r="R2975"/>
      <c r="S2975"/>
      <c r="T2975"/>
      <c r="U2975"/>
    </row>
    <row r="2976" spans="6:21" x14ac:dyDescent="0.25">
      <c r="F2976"/>
      <c r="O2976"/>
      <c r="R2976"/>
      <c r="S2976"/>
      <c r="T2976"/>
      <c r="U2976"/>
    </row>
    <row r="2977" spans="6:21" x14ac:dyDescent="0.25">
      <c r="F2977"/>
      <c r="O2977"/>
      <c r="R2977"/>
      <c r="S2977"/>
      <c r="T2977"/>
      <c r="U2977"/>
    </row>
    <row r="2978" spans="6:21" x14ac:dyDescent="0.25">
      <c r="F2978"/>
      <c r="O2978"/>
      <c r="R2978"/>
      <c r="S2978"/>
      <c r="T2978"/>
      <c r="U2978"/>
    </row>
    <row r="2979" spans="6:21" x14ac:dyDescent="0.25">
      <c r="F2979"/>
      <c r="O2979"/>
      <c r="R2979"/>
      <c r="S2979"/>
      <c r="T2979"/>
      <c r="U2979"/>
    </row>
    <row r="2980" spans="6:21" x14ac:dyDescent="0.25">
      <c r="F2980"/>
      <c r="O2980"/>
      <c r="R2980"/>
      <c r="S2980"/>
      <c r="T2980"/>
      <c r="U2980"/>
    </row>
    <row r="2981" spans="6:21" x14ac:dyDescent="0.25">
      <c r="F2981"/>
      <c r="O2981"/>
      <c r="R2981"/>
      <c r="S2981"/>
      <c r="T2981"/>
      <c r="U2981"/>
    </row>
    <row r="2982" spans="6:21" x14ac:dyDescent="0.25">
      <c r="F2982"/>
      <c r="O2982"/>
      <c r="R2982"/>
      <c r="S2982"/>
      <c r="T2982"/>
      <c r="U2982"/>
    </row>
    <row r="2983" spans="6:21" x14ac:dyDescent="0.25">
      <c r="F2983"/>
      <c r="O2983"/>
      <c r="R2983"/>
      <c r="S2983"/>
      <c r="T2983"/>
      <c r="U2983"/>
    </row>
    <row r="2984" spans="6:21" x14ac:dyDescent="0.25">
      <c r="F2984"/>
      <c r="O2984"/>
      <c r="R2984"/>
      <c r="S2984"/>
      <c r="T2984"/>
      <c r="U2984"/>
    </row>
    <row r="2985" spans="6:21" x14ac:dyDescent="0.25">
      <c r="F2985"/>
      <c r="O2985"/>
      <c r="R2985"/>
      <c r="S2985"/>
      <c r="T2985"/>
      <c r="U2985"/>
    </row>
    <row r="2986" spans="6:21" x14ac:dyDescent="0.25">
      <c r="F2986"/>
      <c r="O2986"/>
      <c r="R2986"/>
      <c r="S2986"/>
      <c r="T2986"/>
      <c r="U2986"/>
    </row>
    <row r="2987" spans="6:21" x14ac:dyDescent="0.25">
      <c r="F2987"/>
      <c r="O2987"/>
      <c r="R2987"/>
      <c r="S2987"/>
      <c r="T2987"/>
      <c r="U2987"/>
    </row>
    <row r="2988" spans="6:21" x14ac:dyDescent="0.25">
      <c r="F2988"/>
      <c r="O2988"/>
      <c r="R2988"/>
      <c r="S2988"/>
      <c r="T2988"/>
      <c r="U2988"/>
    </row>
    <row r="2989" spans="6:21" x14ac:dyDescent="0.25">
      <c r="F2989"/>
      <c r="O2989"/>
      <c r="R2989"/>
      <c r="S2989"/>
      <c r="T2989"/>
      <c r="U2989"/>
    </row>
    <row r="2990" spans="6:21" x14ac:dyDescent="0.25">
      <c r="F2990"/>
      <c r="O2990"/>
      <c r="R2990"/>
      <c r="S2990"/>
      <c r="T2990"/>
      <c r="U2990"/>
    </row>
    <row r="2991" spans="6:21" x14ac:dyDescent="0.25">
      <c r="F2991"/>
      <c r="O2991"/>
      <c r="R2991"/>
      <c r="S2991"/>
      <c r="T2991"/>
      <c r="U2991"/>
    </row>
    <row r="2992" spans="6:21" x14ac:dyDescent="0.25">
      <c r="F2992"/>
      <c r="O2992"/>
      <c r="R2992"/>
      <c r="S2992"/>
      <c r="T2992"/>
      <c r="U2992"/>
    </row>
    <row r="2993" spans="6:21" x14ac:dyDescent="0.25">
      <c r="F2993"/>
      <c r="O2993"/>
      <c r="R2993"/>
      <c r="S2993"/>
      <c r="T2993"/>
      <c r="U2993"/>
    </row>
    <row r="2994" spans="6:21" x14ac:dyDescent="0.25">
      <c r="F2994"/>
      <c r="O2994"/>
      <c r="R2994"/>
      <c r="S2994"/>
      <c r="T2994"/>
      <c r="U2994"/>
    </row>
    <row r="2995" spans="6:21" x14ac:dyDescent="0.25">
      <c r="F2995"/>
      <c r="O2995"/>
      <c r="R2995"/>
      <c r="S2995"/>
      <c r="T2995"/>
      <c r="U2995"/>
    </row>
    <row r="2996" spans="6:21" x14ac:dyDescent="0.25">
      <c r="F2996"/>
      <c r="O2996"/>
      <c r="R2996"/>
      <c r="S2996"/>
      <c r="T2996"/>
      <c r="U2996"/>
    </row>
    <row r="2997" spans="6:21" x14ac:dyDescent="0.25">
      <c r="F2997"/>
      <c r="O2997"/>
      <c r="R2997"/>
      <c r="S2997"/>
      <c r="T2997"/>
      <c r="U2997"/>
    </row>
    <row r="2998" spans="6:21" x14ac:dyDescent="0.25">
      <c r="F2998"/>
      <c r="O2998"/>
      <c r="R2998"/>
      <c r="S2998"/>
      <c r="T2998"/>
      <c r="U2998"/>
    </row>
    <row r="2999" spans="6:21" x14ac:dyDescent="0.25">
      <c r="F2999"/>
      <c r="O2999"/>
      <c r="R2999"/>
      <c r="S2999"/>
      <c r="T2999"/>
      <c r="U2999"/>
    </row>
    <row r="3000" spans="6:21" x14ac:dyDescent="0.25">
      <c r="F3000"/>
      <c r="O3000"/>
      <c r="R3000"/>
      <c r="S3000"/>
      <c r="T3000"/>
      <c r="U3000"/>
    </row>
    <row r="3001" spans="6:21" x14ac:dyDescent="0.25">
      <c r="F3001"/>
      <c r="O3001"/>
      <c r="R3001"/>
      <c r="S3001"/>
      <c r="T3001"/>
      <c r="U3001"/>
    </row>
    <row r="3002" spans="6:21" x14ac:dyDescent="0.25">
      <c r="F3002"/>
      <c r="O3002"/>
      <c r="R3002"/>
      <c r="S3002"/>
      <c r="T3002"/>
      <c r="U3002"/>
    </row>
    <row r="3003" spans="6:21" x14ac:dyDescent="0.25">
      <c r="F3003"/>
      <c r="O3003"/>
      <c r="R3003"/>
      <c r="S3003"/>
      <c r="T3003"/>
      <c r="U3003"/>
    </row>
    <row r="3004" spans="6:21" x14ac:dyDescent="0.25">
      <c r="F3004"/>
      <c r="O3004"/>
      <c r="R3004"/>
      <c r="S3004"/>
      <c r="T3004"/>
      <c r="U3004"/>
    </row>
    <row r="3005" spans="6:21" x14ac:dyDescent="0.25">
      <c r="F3005"/>
      <c r="O3005"/>
      <c r="R3005"/>
      <c r="S3005"/>
      <c r="T3005"/>
      <c r="U3005"/>
    </row>
    <row r="3006" spans="6:21" x14ac:dyDescent="0.25">
      <c r="F3006"/>
      <c r="O3006"/>
      <c r="R3006"/>
      <c r="S3006"/>
      <c r="T3006"/>
      <c r="U3006"/>
    </row>
    <row r="3007" spans="6:21" x14ac:dyDescent="0.25">
      <c r="F3007"/>
      <c r="O3007"/>
      <c r="R3007"/>
      <c r="S3007"/>
      <c r="T3007"/>
      <c r="U3007"/>
    </row>
    <row r="3008" spans="6:21" x14ac:dyDescent="0.25">
      <c r="F3008"/>
      <c r="O3008"/>
      <c r="R3008"/>
      <c r="S3008"/>
      <c r="T3008"/>
      <c r="U3008"/>
    </row>
    <row r="3009" spans="6:21" x14ac:dyDescent="0.25">
      <c r="F3009"/>
      <c r="O3009"/>
      <c r="R3009"/>
      <c r="S3009"/>
      <c r="T3009"/>
      <c r="U3009"/>
    </row>
    <row r="3010" spans="6:21" x14ac:dyDescent="0.25">
      <c r="F3010"/>
      <c r="O3010"/>
      <c r="R3010"/>
      <c r="S3010"/>
      <c r="T3010"/>
      <c r="U3010"/>
    </row>
    <row r="3011" spans="6:21" x14ac:dyDescent="0.25">
      <c r="F3011"/>
      <c r="O3011"/>
      <c r="R3011"/>
      <c r="S3011"/>
      <c r="T3011"/>
      <c r="U3011"/>
    </row>
    <row r="3012" spans="6:21" x14ac:dyDescent="0.25">
      <c r="F3012"/>
      <c r="O3012"/>
      <c r="R3012"/>
      <c r="S3012"/>
      <c r="T3012"/>
      <c r="U3012"/>
    </row>
    <row r="3013" spans="6:21" x14ac:dyDescent="0.25">
      <c r="F3013"/>
      <c r="O3013"/>
      <c r="R3013"/>
      <c r="S3013"/>
      <c r="T3013"/>
      <c r="U3013"/>
    </row>
    <row r="3014" spans="6:21" x14ac:dyDescent="0.25">
      <c r="F3014"/>
      <c r="O3014"/>
      <c r="R3014"/>
      <c r="S3014"/>
      <c r="T3014"/>
      <c r="U3014"/>
    </row>
    <row r="3015" spans="6:21" x14ac:dyDescent="0.25">
      <c r="F3015"/>
      <c r="O3015"/>
      <c r="R3015"/>
      <c r="S3015"/>
      <c r="T3015"/>
      <c r="U3015"/>
    </row>
    <row r="3016" spans="6:21" x14ac:dyDescent="0.25">
      <c r="F3016"/>
      <c r="O3016"/>
      <c r="R3016"/>
      <c r="S3016"/>
      <c r="T3016"/>
      <c r="U3016"/>
    </row>
    <row r="3017" spans="6:21" x14ac:dyDescent="0.25">
      <c r="F3017"/>
      <c r="O3017"/>
      <c r="R3017"/>
      <c r="S3017"/>
      <c r="T3017"/>
      <c r="U3017"/>
    </row>
    <row r="3018" spans="6:21" x14ac:dyDescent="0.25">
      <c r="F3018"/>
      <c r="O3018"/>
      <c r="R3018"/>
      <c r="S3018"/>
      <c r="T3018"/>
      <c r="U3018"/>
    </row>
    <row r="3019" spans="6:21" x14ac:dyDescent="0.25">
      <c r="F3019"/>
      <c r="O3019"/>
      <c r="R3019"/>
      <c r="S3019"/>
      <c r="T3019"/>
      <c r="U3019"/>
    </row>
    <row r="3020" spans="6:21" x14ac:dyDescent="0.25">
      <c r="F3020"/>
      <c r="O3020"/>
      <c r="R3020"/>
      <c r="S3020"/>
      <c r="T3020"/>
      <c r="U3020"/>
    </row>
    <row r="3021" spans="6:21" x14ac:dyDescent="0.25">
      <c r="F3021"/>
      <c r="O3021"/>
      <c r="R3021"/>
      <c r="S3021"/>
      <c r="T3021"/>
      <c r="U3021"/>
    </row>
    <row r="3022" spans="6:21" x14ac:dyDescent="0.25">
      <c r="F3022"/>
      <c r="O3022"/>
      <c r="R3022"/>
      <c r="S3022"/>
      <c r="T3022"/>
      <c r="U3022"/>
    </row>
    <row r="3023" spans="6:21" x14ac:dyDescent="0.25">
      <c r="F3023"/>
      <c r="O3023"/>
      <c r="R3023"/>
      <c r="S3023"/>
      <c r="T3023"/>
      <c r="U3023"/>
    </row>
    <row r="3024" spans="6:21" x14ac:dyDescent="0.25">
      <c r="F3024"/>
      <c r="O3024"/>
      <c r="R3024"/>
      <c r="S3024"/>
      <c r="T3024"/>
      <c r="U3024"/>
    </row>
    <row r="3025" spans="6:21" x14ac:dyDescent="0.25">
      <c r="F3025"/>
      <c r="O3025"/>
      <c r="R3025"/>
      <c r="S3025"/>
      <c r="T3025"/>
      <c r="U3025"/>
    </row>
    <row r="3026" spans="6:21" x14ac:dyDescent="0.25">
      <c r="F3026"/>
      <c r="O3026"/>
      <c r="R3026"/>
      <c r="S3026"/>
      <c r="T3026"/>
      <c r="U3026"/>
    </row>
    <row r="3027" spans="6:21" x14ac:dyDescent="0.25">
      <c r="F3027"/>
      <c r="O3027"/>
      <c r="R3027"/>
      <c r="S3027"/>
      <c r="T3027"/>
      <c r="U3027"/>
    </row>
    <row r="3028" spans="6:21" x14ac:dyDescent="0.25">
      <c r="F3028"/>
      <c r="O3028"/>
      <c r="R3028"/>
      <c r="S3028"/>
      <c r="T3028"/>
      <c r="U3028"/>
    </row>
    <row r="3029" spans="6:21" x14ac:dyDescent="0.25">
      <c r="F3029"/>
      <c r="O3029"/>
      <c r="R3029"/>
      <c r="S3029"/>
      <c r="T3029"/>
      <c r="U3029"/>
    </row>
    <row r="3030" spans="6:21" x14ac:dyDescent="0.25">
      <c r="F3030"/>
      <c r="O3030"/>
      <c r="R3030"/>
      <c r="S3030"/>
      <c r="T3030"/>
      <c r="U3030"/>
    </row>
    <row r="3031" spans="6:21" x14ac:dyDescent="0.25">
      <c r="F3031"/>
      <c r="O3031"/>
      <c r="R3031"/>
      <c r="S3031"/>
      <c r="T3031"/>
      <c r="U3031"/>
    </row>
    <row r="3032" spans="6:21" x14ac:dyDescent="0.25">
      <c r="F3032"/>
      <c r="O3032"/>
      <c r="R3032"/>
      <c r="S3032"/>
      <c r="T3032"/>
      <c r="U3032"/>
    </row>
    <row r="3033" spans="6:21" x14ac:dyDescent="0.25">
      <c r="F3033"/>
      <c r="O3033"/>
      <c r="R3033"/>
      <c r="S3033"/>
      <c r="T3033"/>
      <c r="U3033"/>
    </row>
    <row r="3034" spans="6:21" x14ac:dyDescent="0.25">
      <c r="F3034"/>
      <c r="O3034"/>
      <c r="R3034"/>
      <c r="S3034"/>
      <c r="T3034"/>
      <c r="U3034"/>
    </row>
    <row r="3035" spans="6:21" x14ac:dyDescent="0.25">
      <c r="F3035"/>
      <c r="O3035"/>
      <c r="R3035"/>
      <c r="S3035"/>
      <c r="T3035"/>
      <c r="U3035"/>
    </row>
    <row r="3036" spans="6:21" x14ac:dyDescent="0.25">
      <c r="F3036"/>
      <c r="O3036"/>
      <c r="R3036"/>
      <c r="S3036"/>
      <c r="T3036"/>
      <c r="U3036"/>
    </row>
    <row r="3037" spans="6:21" x14ac:dyDescent="0.25">
      <c r="F3037"/>
      <c r="O3037"/>
      <c r="R3037"/>
      <c r="S3037"/>
      <c r="T3037"/>
      <c r="U3037"/>
    </row>
    <row r="3038" spans="6:21" x14ac:dyDescent="0.25">
      <c r="F3038"/>
      <c r="O3038"/>
      <c r="R3038"/>
      <c r="S3038"/>
      <c r="T3038"/>
      <c r="U3038"/>
    </row>
    <row r="3039" spans="6:21" x14ac:dyDescent="0.25">
      <c r="F3039"/>
      <c r="O3039"/>
      <c r="R3039"/>
      <c r="S3039"/>
      <c r="T3039"/>
      <c r="U3039"/>
    </row>
    <row r="3040" spans="6:21" x14ac:dyDescent="0.25">
      <c r="F3040"/>
      <c r="O3040"/>
      <c r="R3040"/>
      <c r="S3040"/>
      <c r="T3040"/>
      <c r="U3040"/>
    </row>
    <row r="3041" spans="6:21" x14ac:dyDescent="0.25">
      <c r="F3041"/>
      <c r="O3041"/>
      <c r="R3041"/>
      <c r="S3041"/>
      <c r="T3041"/>
      <c r="U3041"/>
    </row>
    <row r="3042" spans="6:21" x14ac:dyDescent="0.25">
      <c r="F3042"/>
      <c r="O3042"/>
      <c r="R3042"/>
      <c r="S3042"/>
      <c r="T3042"/>
      <c r="U3042"/>
    </row>
    <row r="3043" spans="6:21" x14ac:dyDescent="0.25">
      <c r="F3043"/>
      <c r="O3043"/>
      <c r="R3043"/>
      <c r="S3043"/>
      <c r="T3043"/>
      <c r="U3043"/>
    </row>
    <row r="3044" spans="6:21" x14ac:dyDescent="0.25">
      <c r="F3044"/>
      <c r="O3044"/>
      <c r="R3044"/>
      <c r="S3044"/>
      <c r="T3044"/>
      <c r="U3044"/>
    </row>
    <row r="3045" spans="6:21" x14ac:dyDescent="0.25">
      <c r="F3045"/>
      <c r="O3045"/>
      <c r="R3045"/>
      <c r="S3045"/>
      <c r="T3045"/>
      <c r="U3045"/>
    </row>
    <row r="3046" spans="6:21" x14ac:dyDescent="0.25">
      <c r="F3046"/>
      <c r="O3046"/>
      <c r="R3046"/>
      <c r="S3046"/>
      <c r="T3046"/>
      <c r="U3046"/>
    </row>
    <row r="3047" spans="6:21" x14ac:dyDescent="0.25">
      <c r="F3047"/>
      <c r="O3047"/>
      <c r="R3047"/>
      <c r="S3047"/>
      <c r="T3047"/>
      <c r="U3047"/>
    </row>
    <row r="3048" spans="6:21" x14ac:dyDescent="0.25">
      <c r="F3048"/>
      <c r="O3048"/>
      <c r="R3048"/>
      <c r="S3048"/>
      <c r="T3048"/>
      <c r="U3048"/>
    </row>
    <row r="3049" spans="6:21" x14ac:dyDescent="0.25">
      <c r="F3049"/>
      <c r="O3049"/>
      <c r="R3049"/>
      <c r="S3049"/>
      <c r="T3049"/>
      <c r="U3049"/>
    </row>
    <row r="3050" spans="6:21" x14ac:dyDescent="0.25">
      <c r="F3050"/>
      <c r="O3050"/>
      <c r="R3050"/>
      <c r="S3050"/>
      <c r="T3050"/>
      <c r="U3050"/>
    </row>
    <row r="3051" spans="6:21" x14ac:dyDescent="0.25">
      <c r="F3051"/>
      <c r="O3051"/>
      <c r="R3051"/>
      <c r="S3051"/>
      <c r="T3051"/>
      <c r="U3051"/>
    </row>
    <row r="3052" spans="6:21" x14ac:dyDescent="0.25">
      <c r="F3052"/>
      <c r="O3052"/>
      <c r="R3052"/>
      <c r="S3052"/>
      <c r="T3052"/>
      <c r="U3052"/>
    </row>
    <row r="3053" spans="6:21" x14ac:dyDescent="0.25">
      <c r="F3053"/>
      <c r="O3053"/>
      <c r="R3053"/>
      <c r="S3053"/>
      <c r="T3053"/>
      <c r="U3053"/>
    </row>
    <row r="3054" spans="6:21" x14ac:dyDescent="0.25">
      <c r="F3054"/>
      <c r="O3054"/>
      <c r="R3054"/>
      <c r="S3054"/>
      <c r="T3054"/>
      <c r="U3054"/>
    </row>
    <row r="3055" spans="6:21" x14ac:dyDescent="0.25">
      <c r="F3055"/>
      <c r="O3055"/>
      <c r="R3055"/>
      <c r="S3055"/>
      <c r="T3055"/>
      <c r="U3055"/>
    </row>
    <row r="3056" spans="6:21" x14ac:dyDescent="0.25">
      <c r="F3056"/>
      <c r="O3056"/>
      <c r="R3056"/>
      <c r="S3056"/>
      <c r="T3056"/>
      <c r="U3056"/>
    </row>
    <row r="3057" spans="6:21" x14ac:dyDescent="0.25">
      <c r="F3057"/>
      <c r="O3057"/>
      <c r="R3057"/>
      <c r="S3057"/>
      <c r="T3057"/>
      <c r="U3057"/>
    </row>
    <row r="3058" spans="6:21" x14ac:dyDescent="0.25">
      <c r="F3058"/>
      <c r="O3058"/>
      <c r="R3058"/>
      <c r="S3058"/>
      <c r="T3058"/>
      <c r="U3058"/>
    </row>
    <row r="3059" spans="6:21" x14ac:dyDescent="0.25">
      <c r="F3059"/>
      <c r="O3059"/>
      <c r="R3059"/>
      <c r="S3059"/>
      <c r="T3059"/>
      <c r="U3059"/>
    </row>
    <row r="3060" spans="6:21" x14ac:dyDescent="0.25">
      <c r="F3060"/>
      <c r="O3060"/>
      <c r="R3060"/>
      <c r="S3060"/>
      <c r="T3060"/>
      <c r="U3060"/>
    </row>
    <row r="3061" spans="6:21" x14ac:dyDescent="0.25">
      <c r="F3061"/>
      <c r="O3061"/>
      <c r="R3061"/>
      <c r="S3061"/>
      <c r="T3061"/>
      <c r="U3061"/>
    </row>
    <row r="3062" spans="6:21" x14ac:dyDescent="0.25">
      <c r="F3062"/>
      <c r="O3062"/>
      <c r="R3062"/>
      <c r="S3062"/>
      <c r="T3062"/>
      <c r="U3062"/>
    </row>
    <row r="3063" spans="6:21" x14ac:dyDescent="0.25">
      <c r="F3063"/>
      <c r="O3063"/>
      <c r="R3063"/>
      <c r="S3063"/>
      <c r="T3063"/>
      <c r="U3063"/>
    </row>
    <row r="3064" spans="6:21" x14ac:dyDescent="0.25">
      <c r="F3064"/>
      <c r="O3064"/>
      <c r="R3064"/>
      <c r="S3064"/>
      <c r="T3064"/>
      <c r="U3064"/>
    </row>
    <row r="3065" spans="6:21" x14ac:dyDescent="0.25">
      <c r="F3065"/>
      <c r="O3065"/>
      <c r="R3065"/>
      <c r="S3065"/>
      <c r="T3065"/>
      <c r="U3065"/>
    </row>
    <row r="3066" spans="6:21" x14ac:dyDescent="0.25">
      <c r="F3066"/>
      <c r="O3066"/>
      <c r="R3066"/>
      <c r="S3066"/>
      <c r="T3066"/>
      <c r="U3066"/>
    </row>
    <row r="3067" spans="6:21" x14ac:dyDescent="0.25">
      <c r="F3067"/>
      <c r="O3067"/>
      <c r="R3067"/>
      <c r="S3067"/>
      <c r="T3067"/>
      <c r="U3067"/>
    </row>
    <row r="3068" spans="6:21" x14ac:dyDescent="0.25">
      <c r="F3068"/>
      <c r="O3068"/>
      <c r="R3068"/>
      <c r="S3068"/>
      <c r="T3068"/>
      <c r="U3068"/>
    </row>
    <row r="3069" spans="6:21" x14ac:dyDescent="0.25">
      <c r="F3069"/>
      <c r="O3069"/>
      <c r="R3069"/>
      <c r="S3069"/>
      <c r="T3069"/>
      <c r="U3069"/>
    </row>
    <row r="3070" spans="6:21" x14ac:dyDescent="0.25">
      <c r="F3070"/>
      <c r="O3070"/>
      <c r="R3070"/>
      <c r="S3070"/>
      <c r="T3070"/>
      <c r="U3070"/>
    </row>
    <row r="3071" spans="6:21" x14ac:dyDescent="0.25">
      <c r="F3071"/>
      <c r="O3071"/>
      <c r="R3071"/>
      <c r="S3071"/>
      <c r="T3071"/>
      <c r="U3071"/>
    </row>
    <row r="3072" spans="6:21" x14ac:dyDescent="0.25">
      <c r="F3072"/>
      <c r="O3072"/>
      <c r="R3072"/>
      <c r="S3072"/>
      <c r="T3072"/>
      <c r="U3072"/>
    </row>
    <row r="3073" spans="6:21" x14ac:dyDescent="0.25">
      <c r="F3073"/>
      <c r="O3073"/>
      <c r="R3073"/>
      <c r="S3073"/>
      <c r="T3073"/>
      <c r="U3073"/>
    </row>
    <row r="3074" spans="6:21" x14ac:dyDescent="0.25">
      <c r="F3074"/>
      <c r="O3074"/>
      <c r="R3074"/>
      <c r="S3074"/>
      <c r="T3074"/>
      <c r="U3074"/>
    </row>
    <row r="3075" spans="6:21" x14ac:dyDescent="0.25">
      <c r="F3075"/>
      <c r="O3075"/>
      <c r="R3075"/>
      <c r="S3075"/>
      <c r="T3075"/>
      <c r="U3075"/>
    </row>
    <row r="3076" spans="6:21" x14ac:dyDescent="0.25">
      <c r="F3076"/>
      <c r="O3076"/>
      <c r="R3076"/>
      <c r="S3076"/>
      <c r="T3076"/>
      <c r="U3076"/>
    </row>
    <row r="3077" spans="6:21" x14ac:dyDescent="0.25">
      <c r="F3077"/>
      <c r="O3077"/>
      <c r="R3077"/>
      <c r="S3077"/>
      <c r="T3077"/>
      <c r="U3077"/>
    </row>
    <row r="3078" spans="6:21" x14ac:dyDescent="0.25">
      <c r="F3078"/>
      <c r="O3078"/>
      <c r="R3078"/>
      <c r="S3078"/>
      <c r="T3078"/>
      <c r="U3078"/>
    </row>
    <row r="3079" spans="6:21" x14ac:dyDescent="0.25">
      <c r="F3079"/>
      <c r="O3079"/>
      <c r="R3079"/>
      <c r="S3079"/>
      <c r="T3079"/>
      <c r="U3079"/>
    </row>
    <row r="3080" spans="6:21" x14ac:dyDescent="0.25">
      <c r="F3080"/>
      <c r="O3080"/>
      <c r="R3080"/>
      <c r="S3080"/>
      <c r="T3080"/>
      <c r="U3080"/>
    </row>
    <row r="3081" spans="6:21" x14ac:dyDescent="0.25">
      <c r="F3081"/>
      <c r="O3081"/>
      <c r="R3081"/>
      <c r="S3081"/>
      <c r="T3081"/>
      <c r="U3081"/>
    </row>
    <row r="3082" spans="6:21" x14ac:dyDescent="0.25">
      <c r="F3082"/>
      <c r="O3082"/>
      <c r="R3082"/>
      <c r="S3082"/>
      <c r="T3082"/>
      <c r="U3082"/>
    </row>
    <row r="3083" spans="6:21" x14ac:dyDescent="0.25">
      <c r="F3083"/>
      <c r="O3083"/>
      <c r="R3083"/>
      <c r="S3083"/>
      <c r="T3083"/>
      <c r="U3083"/>
    </row>
    <row r="3084" spans="6:21" x14ac:dyDescent="0.25">
      <c r="F3084"/>
      <c r="O3084"/>
      <c r="R3084"/>
      <c r="S3084"/>
      <c r="T3084"/>
      <c r="U3084"/>
    </row>
    <row r="3085" spans="6:21" x14ac:dyDescent="0.25">
      <c r="F3085"/>
      <c r="O3085"/>
      <c r="R3085"/>
      <c r="S3085"/>
      <c r="T3085"/>
      <c r="U3085"/>
    </row>
    <row r="3086" spans="6:21" x14ac:dyDescent="0.25">
      <c r="F3086"/>
      <c r="O3086"/>
      <c r="R3086"/>
      <c r="S3086"/>
      <c r="T3086"/>
      <c r="U3086"/>
    </row>
    <row r="3087" spans="6:21" x14ac:dyDescent="0.25">
      <c r="F3087"/>
      <c r="O3087"/>
      <c r="R3087"/>
      <c r="S3087"/>
      <c r="T3087"/>
      <c r="U3087"/>
    </row>
    <row r="3088" spans="6:21" x14ac:dyDescent="0.25">
      <c r="F3088"/>
      <c r="O3088"/>
      <c r="R3088"/>
      <c r="S3088"/>
      <c r="T3088"/>
      <c r="U3088"/>
    </row>
    <row r="3089" spans="6:21" x14ac:dyDescent="0.25">
      <c r="F3089"/>
      <c r="O3089"/>
      <c r="R3089"/>
      <c r="S3089"/>
      <c r="T3089"/>
      <c r="U3089"/>
    </row>
    <row r="3090" spans="6:21" x14ac:dyDescent="0.25">
      <c r="F3090"/>
      <c r="O3090"/>
      <c r="R3090"/>
      <c r="S3090"/>
      <c r="T3090"/>
      <c r="U3090"/>
    </row>
    <row r="3091" spans="6:21" x14ac:dyDescent="0.25">
      <c r="F3091"/>
      <c r="O3091"/>
      <c r="R3091"/>
      <c r="S3091"/>
      <c r="T3091"/>
      <c r="U3091"/>
    </row>
    <row r="3092" spans="6:21" x14ac:dyDescent="0.25">
      <c r="F3092"/>
      <c r="O3092"/>
      <c r="R3092"/>
      <c r="S3092"/>
      <c r="T3092"/>
      <c r="U3092"/>
    </row>
    <row r="3093" spans="6:21" x14ac:dyDescent="0.25">
      <c r="F3093"/>
      <c r="O3093"/>
      <c r="R3093"/>
      <c r="S3093"/>
      <c r="T3093"/>
      <c r="U3093"/>
    </row>
    <row r="3094" spans="6:21" x14ac:dyDescent="0.25">
      <c r="F3094"/>
      <c r="O3094"/>
      <c r="R3094"/>
      <c r="S3094"/>
      <c r="T3094"/>
      <c r="U3094"/>
    </row>
    <row r="3095" spans="6:21" x14ac:dyDescent="0.25">
      <c r="F3095"/>
      <c r="O3095"/>
      <c r="R3095"/>
      <c r="S3095"/>
      <c r="T3095"/>
      <c r="U3095"/>
    </row>
    <row r="3096" spans="6:21" x14ac:dyDescent="0.25">
      <c r="F3096"/>
      <c r="O3096"/>
      <c r="R3096"/>
      <c r="S3096"/>
      <c r="T3096"/>
      <c r="U3096"/>
    </row>
    <row r="3097" spans="6:21" x14ac:dyDescent="0.25">
      <c r="F3097"/>
      <c r="O3097"/>
      <c r="R3097"/>
      <c r="S3097"/>
      <c r="T3097"/>
      <c r="U3097"/>
    </row>
    <row r="3098" spans="6:21" x14ac:dyDescent="0.25">
      <c r="F3098"/>
      <c r="O3098"/>
      <c r="R3098"/>
      <c r="S3098"/>
      <c r="T3098"/>
      <c r="U3098"/>
    </row>
    <row r="3099" spans="6:21" x14ac:dyDescent="0.25">
      <c r="F3099"/>
      <c r="O3099"/>
      <c r="R3099"/>
      <c r="S3099"/>
      <c r="T3099"/>
      <c r="U3099"/>
    </row>
    <row r="3100" spans="6:21" x14ac:dyDescent="0.25">
      <c r="F3100"/>
      <c r="O3100"/>
      <c r="R3100"/>
      <c r="S3100"/>
      <c r="T3100"/>
      <c r="U3100"/>
    </row>
    <row r="3101" spans="6:21" x14ac:dyDescent="0.25">
      <c r="F3101"/>
      <c r="O3101"/>
      <c r="R3101"/>
      <c r="S3101"/>
      <c r="T3101"/>
      <c r="U3101"/>
    </row>
    <row r="3102" spans="6:21" x14ac:dyDescent="0.25">
      <c r="F3102"/>
      <c r="O3102"/>
      <c r="R3102"/>
      <c r="S3102"/>
      <c r="T3102"/>
      <c r="U3102"/>
    </row>
    <row r="3103" spans="6:21" x14ac:dyDescent="0.25">
      <c r="F3103"/>
      <c r="O3103"/>
      <c r="R3103"/>
      <c r="S3103"/>
      <c r="T3103"/>
      <c r="U3103"/>
    </row>
    <row r="3104" spans="6:21" x14ac:dyDescent="0.25">
      <c r="F3104"/>
      <c r="O3104"/>
      <c r="R3104"/>
      <c r="S3104"/>
      <c r="T3104"/>
      <c r="U3104"/>
    </row>
    <row r="3105" spans="6:21" x14ac:dyDescent="0.25">
      <c r="F3105"/>
      <c r="O3105"/>
      <c r="R3105"/>
      <c r="S3105"/>
      <c r="T3105"/>
      <c r="U3105"/>
    </row>
    <row r="3106" spans="6:21" x14ac:dyDescent="0.25">
      <c r="F3106"/>
      <c r="O3106"/>
      <c r="R3106"/>
      <c r="S3106"/>
      <c r="T3106"/>
      <c r="U3106"/>
    </row>
    <row r="3107" spans="6:21" x14ac:dyDescent="0.25">
      <c r="F3107"/>
      <c r="O3107"/>
      <c r="R3107"/>
      <c r="S3107"/>
      <c r="T3107"/>
      <c r="U3107"/>
    </row>
    <row r="3108" spans="6:21" x14ac:dyDescent="0.25">
      <c r="F3108"/>
      <c r="O3108"/>
      <c r="R3108"/>
      <c r="S3108"/>
      <c r="T3108"/>
      <c r="U3108"/>
    </row>
    <row r="3109" spans="6:21" x14ac:dyDescent="0.25">
      <c r="F3109"/>
      <c r="O3109"/>
      <c r="R3109"/>
      <c r="S3109"/>
      <c r="T3109"/>
      <c r="U3109"/>
    </row>
    <row r="3110" spans="6:21" x14ac:dyDescent="0.25">
      <c r="F3110"/>
      <c r="O3110"/>
      <c r="R3110"/>
      <c r="S3110"/>
      <c r="T3110"/>
      <c r="U3110"/>
    </row>
    <row r="3111" spans="6:21" x14ac:dyDescent="0.25">
      <c r="F3111"/>
      <c r="O3111"/>
      <c r="R3111"/>
      <c r="S3111"/>
      <c r="T3111"/>
      <c r="U3111"/>
    </row>
    <row r="3112" spans="6:21" x14ac:dyDescent="0.25">
      <c r="F3112"/>
      <c r="O3112"/>
      <c r="R3112"/>
      <c r="S3112"/>
      <c r="T3112"/>
      <c r="U3112"/>
    </row>
    <row r="3113" spans="6:21" x14ac:dyDescent="0.25">
      <c r="F3113"/>
      <c r="O3113"/>
      <c r="R3113"/>
      <c r="S3113"/>
      <c r="T3113"/>
      <c r="U3113"/>
    </row>
    <row r="3114" spans="6:21" x14ac:dyDescent="0.25">
      <c r="F3114"/>
      <c r="O3114"/>
      <c r="R3114"/>
      <c r="S3114"/>
      <c r="T3114"/>
      <c r="U3114"/>
    </row>
    <row r="3115" spans="6:21" x14ac:dyDescent="0.25">
      <c r="F3115"/>
      <c r="O3115"/>
      <c r="R3115"/>
      <c r="S3115"/>
      <c r="T3115"/>
      <c r="U3115"/>
    </row>
    <row r="3116" spans="6:21" x14ac:dyDescent="0.25">
      <c r="F3116"/>
      <c r="O3116"/>
      <c r="R3116"/>
      <c r="S3116"/>
      <c r="T3116"/>
      <c r="U3116"/>
    </row>
    <row r="3117" spans="6:21" x14ac:dyDescent="0.25">
      <c r="F3117"/>
      <c r="O3117"/>
      <c r="R3117"/>
      <c r="S3117"/>
      <c r="T3117"/>
      <c r="U3117"/>
    </row>
    <row r="3118" spans="6:21" x14ac:dyDescent="0.25">
      <c r="F3118"/>
      <c r="O3118"/>
      <c r="R3118"/>
      <c r="S3118"/>
      <c r="T3118"/>
      <c r="U3118"/>
    </row>
    <row r="3119" spans="6:21" x14ac:dyDescent="0.25">
      <c r="F3119"/>
      <c r="O3119"/>
      <c r="R3119"/>
      <c r="S3119"/>
      <c r="T3119"/>
      <c r="U3119"/>
    </row>
    <row r="3120" spans="6:21" x14ac:dyDescent="0.25">
      <c r="F3120"/>
      <c r="O3120"/>
      <c r="R3120"/>
      <c r="S3120"/>
      <c r="T3120"/>
      <c r="U3120"/>
    </row>
    <row r="3121" spans="6:21" x14ac:dyDescent="0.25">
      <c r="F3121"/>
      <c r="O3121"/>
      <c r="R3121"/>
      <c r="S3121"/>
      <c r="T3121"/>
      <c r="U3121"/>
    </row>
    <row r="3122" spans="6:21" x14ac:dyDescent="0.25">
      <c r="F3122"/>
      <c r="O3122"/>
      <c r="R3122"/>
      <c r="S3122"/>
      <c r="T3122"/>
      <c r="U3122"/>
    </row>
    <row r="3123" spans="6:21" x14ac:dyDescent="0.25">
      <c r="F3123"/>
      <c r="O3123"/>
      <c r="R3123"/>
      <c r="S3123"/>
      <c r="T3123"/>
      <c r="U3123"/>
    </row>
    <row r="3124" spans="6:21" x14ac:dyDescent="0.25">
      <c r="F3124"/>
      <c r="O3124"/>
      <c r="R3124"/>
      <c r="S3124"/>
      <c r="T3124"/>
      <c r="U3124"/>
    </row>
    <row r="3125" spans="6:21" x14ac:dyDescent="0.25">
      <c r="F3125"/>
      <c r="O3125"/>
      <c r="R3125"/>
      <c r="S3125"/>
      <c r="T3125"/>
      <c r="U3125"/>
    </row>
    <row r="3126" spans="6:21" x14ac:dyDescent="0.25">
      <c r="F3126"/>
      <c r="O3126"/>
      <c r="R3126"/>
      <c r="S3126"/>
      <c r="T3126"/>
      <c r="U3126"/>
    </row>
    <row r="3127" spans="6:21" x14ac:dyDescent="0.25">
      <c r="F3127"/>
      <c r="O3127"/>
      <c r="R3127"/>
      <c r="S3127"/>
      <c r="T3127"/>
      <c r="U3127"/>
    </row>
    <row r="3128" spans="6:21" x14ac:dyDescent="0.25">
      <c r="F3128"/>
      <c r="O3128"/>
      <c r="R3128"/>
      <c r="S3128"/>
      <c r="T3128"/>
      <c r="U3128"/>
    </row>
    <row r="3129" spans="6:21" x14ac:dyDescent="0.25">
      <c r="F3129"/>
      <c r="O3129"/>
      <c r="R3129"/>
      <c r="S3129"/>
      <c r="T3129"/>
      <c r="U3129"/>
    </row>
    <row r="3130" spans="6:21" x14ac:dyDescent="0.25">
      <c r="F3130"/>
      <c r="O3130"/>
      <c r="R3130"/>
      <c r="S3130"/>
      <c r="T3130"/>
      <c r="U3130"/>
    </row>
    <row r="3131" spans="6:21" x14ac:dyDescent="0.25">
      <c r="F3131"/>
      <c r="O3131"/>
      <c r="R3131"/>
      <c r="S3131"/>
      <c r="T3131"/>
      <c r="U3131"/>
    </row>
    <row r="3132" spans="6:21" x14ac:dyDescent="0.25">
      <c r="F3132"/>
      <c r="O3132"/>
      <c r="R3132"/>
      <c r="S3132"/>
      <c r="T3132"/>
      <c r="U3132"/>
    </row>
    <row r="3133" spans="6:21" x14ac:dyDescent="0.25">
      <c r="F3133"/>
      <c r="O3133"/>
      <c r="R3133"/>
      <c r="S3133"/>
      <c r="T3133"/>
      <c r="U3133"/>
    </row>
    <row r="3134" spans="6:21" x14ac:dyDescent="0.25">
      <c r="F3134"/>
      <c r="O3134"/>
      <c r="R3134"/>
      <c r="S3134"/>
      <c r="T3134"/>
      <c r="U3134"/>
    </row>
    <row r="3135" spans="6:21" x14ac:dyDescent="0.25">
      <c r="F3135"/>
      <c r="O3135"/>
      <c r="R3135"/>
      <c r="S3135"/>
      <c r="T3135"/>
      <c r="U3135"/>
    </row>
    <row r="3136" spans="6:21" x14ac:dyDescent="0.25">
      <c r="F3136"/>
      <c r="O3136"/>
      <c r="R3136"/>
      <c r="S3136"/>
      <c r="T3136"/>
      <c r="U3136"/>
    </row>
    <row r="3137" spans="6:21" x14ac:dyDescent="0.25">
      <c r="F3137"/>
      <c r="O3137"/>
      <c r="R3137"/>
      <c r="S3137"/>
      <c r="T3137"/>
      <c r="U3137"/>
    </row>
    <row r="3138" spans="6:21" x14ac:dyDescent="0.25">
      <c r="F3138"/>
      <c r="O3138"/>
      <c r="R3138"/>
      <c r="S3138"/>
      <c r="T3138"/>
      <c r="U3138"/>
    </row>
    <row r="3139" spans="6:21" x14ac:dyDescent="0.25">
      <c r="F3139"/>
      <c r="O3139"/>
      <c r="R3139"/>
      <c r="S3139"/>
      <c r="T3139"/>
      <c r="U3139"/>
    </row>
    <row r="3140" spans="6:21" x14ac:dyDescent="0.25">
      <c r="F3140"/>
      <c r="O3140"/>
      <c r="R3140"/>
      <c r="S3140"/>
      <c r="T3140"/>
      <c r="U3140"/>
    </row>
    <row r="3141" spans="6:21" x14ac:dyDescent="0.25">
      <c r="F3141"/>
      <c r="O3141"/>
      <c r="R3141"/>
      <c r="S3141"/>
      <c r="T3141"/>
      <c r="U3141"/>
    </row>
    <row r="3142" spans="6:21" x14ac:dyDescent="0.25">
      <c r="F3142"/>
      <c r="O3142"/>
      <c r="R3142"/>
      <c r="S3142"/>
      <c r="T3142"/>
      <c r="U3142"/>
    </row>
    <row r="3143" spans="6:21" x14ac:dyDescent="0.25">
      <c r="F3143"/>
      <c r="O3143"/>
      <c r="R3143"/>
      <c r="S3143"/>
      <c r="T3143"/>
      <c r="U3143"/>
    </row>
    <row r="3144" spans="6:21" x14ac:dyDescent="0.25">
      <c r="F3144"/>
      <c r="O3144"/>
      <c r="R3144"/>
      <c r="S3144"/>
      <c r="T3144"/>
      <c r="U3144"/>
    </row>
    <row r="3145" spans="6:21" x14ac:dyDescent="0.25">
      <c r="F3145"/>
      <c r="O3145"/>
      <c r="R3145"/>
      <c r="S3145"/>
      <c r="T3145"/>
      <c r="U3145"/>
    </row>
    <row r="3146" spans="6:21" x14ac:dyDescent="0.25">
      <c r="F3146"/>
      <c r="O3146"/>
      <c r="R3146"/>
      <c r="S3146"/>
      <c r="T3146"/>
      <c r="U3146"/>
    </row>
    <row r="3147" spans="6:21" x14ac:dyDescent="0.25">
      <c r="F3147"/>
      <c r="O3147"/>
      <c r="R3147"/>
      <c r="S3147"/>
      <c r="T3147"/>
      <c r="U3147"/>
    </row>
    <row r="3148" spans="6:21" x14ac:dyDescent="0.25">
      <c r="F3148"/>
      <c r="O3148"/>
      <c r="R3148"/>
      <c r="S3148"/>
      <c r="T3148"/>
      <c r="U3148"/>
    </row>
    <row r="3149" spans="6:21" x14ac:dyDescent="0.25">
      <c r="F3149"/>
      <c r="O3149"/>
      <c r="R3149"/>
      <c r="S3149"/>
      <c r="T3149"/>
      <c r="U3149"/>
    </row>
    <row r="3150" spans="6:21" x14ac:dyDescent="0.25">
      <c r="F3150"/>
      <c r="O3150"/>
      <c r="R3150"/>
      <c r="S3150"/>
      <c r="T3150"/>
      <c r="U3150"/>
    </row>
    <row r="3151" spans="6:21" x14ac:dyDescent="0.25">
      <c r="F3151"/>
      <c r="O3151"/>
      <c r="R3151"/>
      <c r="S3151"/>
      <c r="T3151"/>
      <c r="U3151"/>
    </row>
    <row r="3152" spans="6:21" x14ac:dyDescent="0.25">
      <c r="F3152"/>
      <c r="O3152"/>
      <c r="R3152"/>
      <c r="S3152"/>
      <c r="T3152"/>
      <c r="U3152"/>
    </row>
    <row r="3153" spans="6:21" x14ac:dyDescent="0.25">
      <c r="F3153"/>
      <c r="O3153"/>
      <c r="R3153"/>
      <c r="S3153"/>
      <c r="T3153"/>
      <c r="U3153"/>
    </row>
    <row r="3154" spans="6:21" x14ac:dyDescent="0.25">
      <c r="F3154"/>
      <c r="O3154"/>
      <c r="R3154"/>
      <c r="S3154"/>
      <c r="T3154"/>
      <c r="U3154"/>
    </row>
    <row r="3155" spans="6:21" x14ac:dyDescent="0.25">
      <c r="F3155"/>
      <c r="O3155"/>
      <c r="R3155"/>
      <c r="S3155"/>
      <c r="T3155"/>
      <c r="U3155"/>
    </row>
    <row r="3156" spans="6:21" x14ac:dyDescent="0.25">
      <c r="F3156"/>
      <c r="O3156"/>
      <c r="R3156"/>
      <c r="S3156"/>
      <c r="T3156"/>
      <c r="U3156"/>
    </row>
    <row r="3157" spans="6:21" x14ac:dyDescent="0.25">
      <c r="F3157"/>
      <c r="O3157"/>
      <c r="R3157"/>
      <c r="S3157"/>
      <c r="T3157"/>
      <c r="U3157"/>
    </row>
    <row r="3158" spans="6:21" x14ac:dyDescent="0.25">
      <c r="F3158"/>
      <c r="O3158"/>
      <c r="R3158"/>
      <c r="S3158"/>
      <c r="T3158"/>
      <c r="U3158"/>
    </row>
    <row r="3159" spans="6:21" x14ac:dyDescent="0.25">
      <c r="F3159"/>
      <c r="O3159"/>
      <c r="R3159"/>
      <c r="S3159"/>
      <c r="T3159"/>
      <c r="U3159"/>
    </row>
    <row r="3160" spans="6:21" x14ac:dyDescent="0.25">
      <c r="F3160"/>
      <c r="O3160"/>
      <c r="R3160"/>
      <c r="S3160"/>
      <c r="T3160"/>
      <c r="U3160"/>
    </row>
    <row r="3161" spans="6:21" x14ac:dyDescent="0.25">
      <c r="F3161"/>
      <c r="O3161"/>
      <c r="R3161"/>
      <c r="S3161"/>
      <c r="T3161"/>
      <c r="U3161"/>
    </row>
    <row r="3162" spans="6:21" x14ac:dyDescent="0.25">
      <c r="F3162"/>
      <c r="O3162"/>
      <c r="R3162"/>
      <c r="S3162"/>
      <c r="T3162"/>
      <c r="U3162"/>
    </row>
    <row r="3163" spans="6:21" x14ac:dyDescent="0.25">
      <c r="F3163"/>
      <c r="O3163"/>
      <c r="R3163"/>
      <c r="S3163"/>
      <c r="T3163"/>
      <c r="U3163"/>
    </row>
    <row r="3164" spans="6:21" x14ac:dyDescent="0.25">
      <c r="F3164"/>
      <c r="O3164"/>
      <c r="R3164"/>
      <c r="S3164"/>
      <c r="T3164"/>
      <c r="U3164"/>
    </row>
    <row r="3165" spans="6:21" x14ac:dyDescent="0.25">
      <c r="F3165"/>
      <c r="O3165"/>
      <c r="R3165"/>
      <c r="S3165"/>
      <c r="T3165"/>
      <c r="U3165"/>
    </row>
    <row r="3166" spans="6:21" x14ac:dyDescent="0.25">
      <c r="F3166"/>
      <c r="O3166"/>
      <c r="R3166"/>
      <c r="S3166"/>
      <c r="T3166"/>
      <c r="U3166"/>
    </row>
    <row r="3167" spans="6:21" x14ac:dyDescent="0.25">
      <c r="F3167"/>
      <c r="O3167"/>
      <c r="R3167"/>
      <c r="S3167"/>
      <c r="T3167"/>
      <c r="U3167"/>
    </row>
    <row r="3168" spans="6:21" x14ac:dyDescent="0.25">
      <c r="F3168"/>
      <c r="O3168"/>
      <c r="R3168"/>
      <c r="S3168"/>
      <c r="T3168"/>
      <c r="U3168"/>
    </row>
    <row r="3169" spans="6:21" x14ac:dyDescent="0.25">
      <c r="F3169"/>
      <c r="O3169"/>
      <c r="R3169"/>
      <c r="S3169"/>
      <c r="T3169"/>
      <c r="U3169"/>
    </row>
    <row r="3170" spans="6:21" x14ac:dyDescent="0.25">
      <c r="F3170"/>
      <c r="O3170"/>
      <c r="R3170"/>
      <c r="S3170"/>
      <c r="T3170"/>
      <c r="U3170"/>
    </row>
    <row r="3171" spans="6:21" x14ac:dyDescent="0.25">
      <c r="F3171"/>
      <c r="O3171"/>
      <c r="R3171"/>
      <c r="S3171"/>
      <c r="T3171"/>
      <c r="U3171"/>
    </row>
    <row r="3172" spans="6:21" x14ac:dyDescent="0.25">
      <c r="F3172"/>
      <c r="O3172"/>
      <c r="R3172"/>
      <c r="S3172"/>
      <c r="T3172"/>
      <c r="U3172"/>
    </row>
    <row r="3173" spans="6:21" x14ac:dyDescent="0.25">
      <c r="F3173"/>
      <c r="O3173"/>
      <c r="R3173"/>
      <c r="S3173"/>
      <c r="T3173"/>
      <c r="U3173"/>
    </row>
    <row r="3174" spans="6:21" x14ac:dyDescent="0.25">
      <c r="F3174"/>
      <c r="O3174"/>
      <c r="R3174"/>
      <c r="S3174"/>
      <c r="T3174"/>
      <c r="U3174"/>
    </row>
    <row r="3175" spans="6:21" x14ac:dyDescent="0.25">
      <c r="F3175"/>
      <c r="O3175"/>
      <c r="R3175"/>
      <c r="S3175"/>
      <c r="T3175"/>
      <c r="U3175"/>
    </row>
    <row r="3176" spans="6:21" x14ac:dyDescent="0.25">
      <c r="F3176"/>
      <c r="O3176"/>
      <c r="R3176"/>
      <c r="S3176"/>
      <c r="T3176"/>
      <c r="U3176"/>
    </row>
    <row r="3177" spans="6:21" x14ac:dyDescent="0.25">
      <c r="F3177"/>
      <c r="O3177"/>
      <c r="R3177"/>
      <c r="S3177"/>
      <c r="T3177"/>
      <c r="U3177"/>
    </row>
    <row r="3178" spans="6:21" x14ac:dyDescent="0.25">
      <c r="F3178"/>
      <c r="O3178"/>
      <c r="R3178"/>
      <c r="S3178"/>
      <c r="T3178"/>
      <c r="U3178"/>
    </row>
    <row r="3179" spans="6:21" x14ac:dyDescent="0.25">
      <c r="F3179"/>
      <c r="O3179"/>
      <c r="R3179"/>
      <c r="S3179"/>
      <c r="T3179"/>
      <c r="U3179"/>
    </row>
    <row r="3180" spans="6:21" x14ac:dyDescent="0.25">
      <c r="F3180"/>
      <c r="O3180"/>
      <c r="R3180"/>
      <c r="S3180"/>
      <c r="T3180"/>
      <c r="U3180"/>
    </row>
    <row r="3181" spans="6:21" x14ac:dyDescent="0.25">
      <c r="F3181"/>
      <c r="O3181"/>
      <c r="R3181"/>
      <c r="S3181"/>
      <c r="T3181"/>
      <c r="U3181"/>
    </row>
    <row r="3182" spans="6:21" x14ac:dyDescent="0.25">
      <c r="F3182"/>
      <c r="O3182"/>
      <c r="R3182"/>
      <c r="S3182"/>
      <c r="T3182"/>
      <c r="U3182"/>
    </row>
    <row r="3183" spans="6:21" x14ac:dyDescent="0.25">
      <c r="F3183"/>
      <c r="O3183"/>
      <c r="R3183"/>
      <c r="S3183"/>
      <c r="T3183"/>
      <c r="U3183"/>
    </row>
    <row r="3184" spans="6:21" x14ac:dyDescent="0.25">
      <c r="F3184"/>
      <c r="O3184"/>
      <c r="R3184"/>
      <c r="S3184"/>
      <c r="T3184"/>
      <c r="U3184"/>
    </row>
    <row r="3185" spans="6:21" x14ac:dyDescent="0.25">
      <c r="F3185"/>
      <c r="O3185"/>
      <c r="R3185"/>
      <c r="S3185"/>
      <c r="T3185"/>
      <c r="U3185"/>
    </row>
    <row r="3186" spans="6:21" x14ac:dyDescent="0.25">
      <c r="F3186"/>
      <c r="O3186"/>
      <c r="R3186"/>
      <c r="S3186"/>
      <c r="T3186"/>
      <c r="U3186"/>
    </row>
    <row r="3187" spans="6:21" x14ac:dyDescent="0.25">
      <c r="F3187"/>
      <c r="O3187"/>
      <c r="R3187"/>
      <c r="S3187"/>
      <c r="T3187"/>
      <c r="U3187"/>
    </row>
    <row r="3188" spans="6:21" x14ac:dyDescent="0.25">
      <c r="F3188"/>
      <c r="O3188"/>
      <c r="R3188"/>
      <c r="S3188"/>
      <c r="T3188"/>
      <c r="U3188"/>
    </row>
    <row r="3189" spans="6:21" x14ac:dyDescent="0.25">
      <c r="F3189"/>
      <c r="O3189"/>
      <c r="R3189"/>
      <c r="S3189"/>
      <c r="T3189"/>
      <c r="U3189"/>
    </row>
    <row r="3190" spans="6:21" x14ac:dyDescent="0.25">
      <c r="F3190"/>
      <c r="O3190"/>
      <c r="R3190"/>
      <c r="S3190"/>
      <c r="T3190"/>
      <c r="U3190"/>
    </row>
    <row r="3191" spans="6:21" x14ac:dyDescent="0.25">
      <c r="F3191"/>
      <c r="O3191"/>
      <c r="R3191"/>
      <c r="S3191"/>
      <c r="T3191"/>
      <c r="U3191"/>
    </row>
    <row r="3192" spans="6:21" x14ac:dyDescent="0.25">
      <c r="F3192"/>
      <c r="O3192"/>
      <c r="R3192"/>
      <c r="S3192"/>
      <c r="T3192"/>
      <c r="U3192"/>
    </row>
    <row r="3193" spans="6:21" x14ac:dyDescent="0.25">
      <c r="F3193"/>
      <c r="O3193"/>
      <c r="R3193"/>
      <c r="S3193"/>
      <c r="T3193"/>
      <c r="U3193"/>
    </row>
    <row r="3194" spans="6:21" x14ac:dyDescent="0.25">
      <c r="F3194"/>
      <c r="O3194"/>
      <c r="R3194"/>
      <c r="S3194"/>
      <c r="T3194"/>
      <c r="U3194"/>
    </row>
    <row r="3195" spans="6:21" x14ac:dyDescent="0.25">
      <c r="F3195"/>
      <c r="O3195"/>
      <c r="R3195"/>
      <c r="S3195"/>
      <c r="T3195"/>
      <c r="U3195"/>
    </row>
    <row r="3196" spans="6:21" x14ac:dyDescent="0.25">
      <c r="F3196"/>
      <c r="O3196"/>
      <c r="R3196"/>
      <c r="S3196"/>
      <c r="T3196"/>
      <c r="U3196"/>
    </row>
    <row r="3197" spans="6:21" x14ac:dyDescent="0.25">
      <c r="F3197"/>
      <c r="O3197"/>
      <c r="R3197"/>
      <c r="S3197"/>
      <c r="T3197"/>
      <c r="U3197"/>
    </row>
    <row r="3198" spans="6:21" x14ac:dyDescent="0.25">
      <c r="F3198"/>
      <c r="O3198"/>
      <c r="R3198"/>
      <c r="S3198"/>
      <c r="T3198"/>
      <c r="U3198"/>
    </row>
    <row r="3199" spans="6:21" x14ac:dyDescent="0.25">
      <c r="F3199"/>
      <c r="O3199"/>
      <c r="R3199"/>
      <c r="S3199"/>
      <c r="T3199"/>
      <c r="U3199"/>
    </row>
    <row r="3200" spans="6:21" x14ac:dyDescent="0.25">
      <c r="F3200"/>
      <c r="O3200"/>
      <c r="R3200"/>
      <c r="S3200"/>
      <c r="T3200"/>
      <c r="U3200"/>
    </row>
    <row r="3201" spans="6:21" x14ac:dyDescent="0.25">
      <c r="F3201"/>
      <c r="O3201"/>
      <c r="R3201"/>
      <c r="S3201"/>
      <c r="T3201"/>
      <c r="U3201"/>
    </row>
    <row r="3202" spans="6:21" x14ac:dyDescent="0.25">
      <c r="F3202"/>
      <c r="O3202"/>
      <c r="R3202"/>
      <c r="S3202"/>
      <c r="T3202"/>
      <c r="U3202"/>
    </row>
    <row r="3203" spans="6:21" x14ac:dyDescent="0.25">
      <c r="F3203"/>
      <c r="O3203"/>
      <c r="R3203"/>
      <c r="S3203"/>
      <c r="T3203"/>
      <c r="U3203"/>
    </row>
    <row r="3204" spans="6:21" x14ac:dyDescent="0.25">
      <c r="F3204"/>
      <c r="O3204"/>
      <c r="R3204"/>
      <c r="S3204"/>
      <c r="T3204"/>
      <c r="U3204"/>
    </row>
    <row r="3205" spans="6:21" x14ac:dyDescent="0.25">
      <c r="F3205"/>
      <c r="O3205"/>
      <c r="R3205"/>
      <c r="S3205"/>
      <c r="T3205"/>
      <c r="U3205"/>
    </row>
    <row r="3206" spans="6:21" x14ac:dyDescent="0.25">
      <c r="F3206"/>
      <c r="O3206"/>
      <c r="R3206"/>
      <c r="S3206"/>
      <c r="T3206"/>
      <c r="U3206"/>
    </row>
    <row r="3207" spans="6:21" x14ac:dyDescent="0.25">
      <c r="F3207"/>
      <c r="O3207"/>
      <c r="R3207"/>
      <c r="S3207"/>
      <c r="T3207"/>
      <c r="U3207"/>
    </row>
    <row r="3208" spans="6:21" x14ac:dyDescent="0.25">
      <c r="F3208"/>
      <c r="O3208"/>
      <c r="R3208"/>
      <c r="S3208"/>
      <c r="T3208"/>
      <c r="U3208"/>
    </row>
    <row r="3209" spans="6:21" x14ac:dyDescent="0.25">
      <c r="F3209"/>
      <c r="O3209"/>
      <c r="R3209"/>
      <c r="S3209"/>
      <c r="T3209"/>
      <c r="U3209"/>
    </row>
    <row r="3210" spans="6:21" x14ac:dyDescent="0.25">
      <c r="F3210"/>
      <c r="O3210"/>
      <c r="R3210"/>
      <c r="S3210"/>
      <c r="T3210"/>
      <c r="U3210"/>
    </row>
    <row r="3211" spans="6:21" x14ac:dyDescent="0.25">
      <c r="F3211"/>
      <c r="O3211"/>
      <c r="R3211"/>
      <c r="S3211"/>
      <c r="T3211"/>
      <c r="U3211"/>
    </row>
    <row r="3212" spans="6:21" x14ac:dyDescent="0.25">
      <c r="F3212"/>
      <c r="O3212"/>
      <c r="R3212"/>
      <c r="S3212"/>
      <c r="T3212"/>
      <c r="U3212"/>
    </row>
    <row r="3213" spans="6:21" x14ac:dyDescent="0.25">
      <c r="F3213"/>
      <c r="O3213"/>
      <c r="R3213"/>
      <c r="S3213"/>
      <c r="T3213"/>
      <c r="U3213"/>
    </row>
    <row r="3214" spans="6:21" x14ac:dyDescent="0.25">
      <c r="F3214"/>
      <c r="O3214"/>
      <c r="R3214"/>
      <c r="S3214"/>
      <c r="T3214"/>
      <c r="U3214"/>
    </row>
    <row r="3215" spans="6:21" x14ac:dyDescent="0.25">
      <c r="F3215"/>
      <c r="O3215"/>
      <c r="R3215"/>
      <c r="S3215"/>
      <c r="T3215"/>
      <c r="U3215"/>
    </row>
    <row r="3216" spans="6:21" x14ac:dyDescent="0.25">
      <c r="F3216"/>
      <c r="O3216"/>
      <c r="R3216"/>
      <c r="S3216"/>
      <c r="T3216"/>
      <c r="U3216"/>
    </row>
    <row r="3217" spans="6:21" x14ac:dyDescent="0.25">
      <c r="F3217"/>
      <c r="O3217"/>
      <c r="R3217"/>
      <c r="S3217"/>
      <c r="T3217"/>
      <c r="U3217"/>
    </row>
    <row r="3218" spans="6:21" x14ac:dyDescent="0.25">
      <c r="F3218"/>
      <c r="O3218"/>
      <c r="R3218"/>
      <c r="S3218"/>
      <c r="T3218"/>
      <c r="U3218"/>
    </row>
    <row r="3219" spans="6:21" x14ac:dyDescent="0.25">
      <c r="F3219"/>
      <c r="O3219"/>
      <c r="R3219"/>
      <c r="S3219"/>
      <c r="T3219"/>
      <c r="U3219"/>
    </row>
    <row r="3220" spans="6:21" x14ac:dyDescent="0.25">
      <c r="F3220"/>
      <c r="O3220"/>
      <c r="R3220"/>
      <c r="S3220"/>
      <c r="T3220"/>
      <c r="U3220"/>
    </row>
    <row r="3221" spans="6:21" x14ac:dyDescent="0.25">
      <c r="F3221"/>
      <c r="O3221"/>
      <c r="R3221"/>
      <c r="S3221"/>
      <c r="T3221"/>
      <c r="U3221"/>
    </row>
    <row r="3222" spans="6:21" x14ac:dyDescent="0.25">
      <c r="F3222"/>
      <c r="O3222"/>
      <c r="R3222"/>
      <c r="S3222"/>
      <c r="T3222"/>
      <c r="U3222"/>
    </row>
    <row r="3223" spans="6:21" x14ac:dyDescent="0.25">
      <c r="F3223"/>
      <c r="O3223"/>
      <c r="R3223"/>
      <c r="S3223"/>
      <c r="T3223"/>
      <c r="U3223"/>
    </row>
    <row r="3224" spans="6:21" x14ac:dyDescent="0.25">
      <c r="F3224"/>
      <c r="O3224"/>
      <c r="R3224"/>
      <c r="S3224"/>
      <c r="T3224"/>
      <c r="U3224"/>
    </row>
    <row r="3225" spans="6:21" x14ac:dyDescent="0.25">
      <c r="F3225"/>
      <c r="O3225"/>
      <c r="R3225"/>
      <c r="S3225"/>
      <c r="T3225"/>
      <c r="U3225"/>
    </row>
    <row r="3226" spans="6:21" x14ac:dyDescent="0.25">
      <c r="F3226"/>
      <c r="O3226"/>
      <c r="R3226"/>
      <c r="S3226"/>
      <c r="T3226"/>
      <c r="U3226"/>
    </row>
    <row r="3227" spans="6:21" x14ac:dyDescent="0.25">
      <c r="F3227"/>
      <c r="O3227"/>
      <c r="R3227"/>
      <c r="S3227"/>
      <c r="T3227"/>
      <c r="U3227"/>
    </row>
    <row r="3228" spans="6:21" x14ac:dyDescent="0.25">
      <c r="F3228"/>
      <c r="O3228"/>
      <c r="R3228"/>
      <c r="S3228"/>
      <c r="T3228"/>
      <c r="U3228"/>
    </row>
    <row r="3229" spans="6:21" x14ac:dyDescent="0.25">
      <c r="F3229"/>
      <c r="O3229"/>
      <c r="R3229"/>
      <c r="S3229"/>
      <c r="T3229"/>
      <c r="U3229"/>
    </row>
    <row r="3230" spans="6:21" x14ac:dyDescent="0.25">
      <c r="F3230"/>
      <c r="O3230"/>
      <c r="R3230"/>
      <c r="S3230"/>
      <c r="T3230"/>
      <c r="U3230"/>
    </row>
    <row r="3231" spans="6:21" x14ac:dyDescent="0.25">
      <c r="F3231"/>
      <c r="O3231"/>
      <c r="R3231"/>
      <c r="S3231"/>
      <c r="T3231"/>
      <c r="U3231"/>
    </row>
    <row r="3232" spans="6:21" x14ac:dyDescent="0.25">
      <c r="F3232"/>
      <c r="O3232"/>
      <c r="R3232"/>
      <c r="S3232"/>
      <c r="T3232"/>
      <c r="U3232"/>
    </row>
    <row r="3233" spans="6:21" x14ac:dyDescent="0.25">
      <c r="F3233"/>
      <c r="O3233"/>
      <c r="R3233"/>
      <c r="S3233"/>
      <c r="T3233"/>
      <c r="U3233"/>
    </row>
    <row r="3234" spans="6:21" x14ac:dyDescent="0.25">
      <c r="F3234"/>
      <c r="O3234"/>
      <c r="R3234"/>
      <c r="S3234"/>
      <c r="T3234"/>
      <c r="U3234"/>
    </row>
    <row r="3235" spans="6:21" x14ac:dyDescent="0.25">
      <c r="F3235"/>
      <c r="O3235"/>
      <c r="R3235"/>
      <c r="S3235"/>
      <c r="T3235"/>
      <c r="U3235"/>
    </row>
    <row r="3236" spans="6:21" x14ac:dyDescent="0.25">
      <c r="F3236"/>
      <c r="O3236"/>
      <c r="R3236"/>
      <c r="S3236"/>
      <c r="T3236"/>
      <c r="U3236"/>
    </row>
    <row r="3237" spans="6:21" x14ac:dyDescent="0.25">
      <c r="F3237"/>
      <c r="O3237"/>
      <c r="R3237"/>
      <c r="S3237"/>
      <c r="T3237"/>
      <c r="U3237"/>
    </row>
    <row r="3238" spans="6:21" x14ac:dyDescent="0.25">
      <c r="F3238"/>
      <c r="O3238"/>
      <c r="R3238"/>
      <c r="S3238"/>
      <c r="T3238"/>
      <c r="U3238"/>
    </row>
    <row r="3239" spans="6:21" x14ac:dyDescent="0.25">
      <c r="F3239"/>
      <c r="O3239"/>
      <c r="R3239"/>
      <c r="S3239"/>
      <c r="T3239"/>
      <c r="U3239"/>
    </row>
    <row r="3240" spans="6:21" x14ac:dyDescent="0.25">
      <c r="F3240"/>
      <c r="O3240"/>
      <c r="R3240"/>
      <c r="S3240"/>
      <c r="T3240"/>
      <c r="U3240"/>
    </row>
    <row r="3241" spans="6:21" x14ac:dyDescent="0.25">
      <c r="F3241"/>
      <c r="O3241"/>
      <c r="R3241"/>
      <c r="S3241"/>
      <c r="T3241"/>
      <c r="U3241"/>
    </row>
    <row r="3242" spans="6:21" x14ac:dyDescent="0.25">
      <c r="F3242"/>
      <c r="O3242"/>
      <c r="R3242"/>
      <c r="S3242"/>
      <c r="T3242"/>
      <c r="U3242"/>
    </row>
    <row r="3243" spans="6:21" x14ac:dyDescent="0.25">
      <c r="F3243"/>
      <c r="O3243"/>
      <c r="R3243"/>
      <c r="S3243"/>
      <c r="T3243"/>
      <c r="U3243"/>
    </row>
    <row r="3244" spans="6:21" x14ac:dyDescent="0.25">
      <c r="F3244"/>
      <c r="O3244"/>
      <c r="R3244"/>
      <c r="S3244"/>
      <c r="T3244"/>
      <c r="U3244"/>
    </row>
    <row r="3245" spans="6:21" x14ac:dyDescent="0.25">
      <c r="F3245"/>
      <c r="O3245"/>
      <c r="R3245"/>
      <c r="S3245"/>
      <c r="T3245"/>
      <c r="U3245"/>
    </row>
    <row r="3246" spans="6:21" x14ac:dyDescent="0.25">
      <c r="F3246"/>
      <c r="O3246"/>
      <c r="R3246"/>
      <c r="S3246"/>
      <c r="T3246"/>
      <c r="U3246"/>
    </row>
    <row r="3247" spans="6:21" x14ac:dyDescent="0.25">
      <c r="F3247"/>
      <c r="O3247"/>
      <c r="R3247"/>
      <c r="S3247"/>
      <c r="T3247"/>
      <c r="U3247"/>
    </row>
    <row r="3248" spans="6:21" x14ac:dyDescent="0.25">
      <c r="F3248"/>
      <c r="O3248"/>
      <c r="R3248"/>
      <c r="S3248"/>
      <c r="T3248"/>
      <c r="U3248"/>
    </row>
    <row r="3249" spans="6:21" x14ac:dyDescent="0.25">
      <c r="F3249"/>
      <c r="O3249"/>
      <c r="R3249"/>
      <c r="S3249"/>
      <c r="T3249"/>
      <c r="U3249"/>
    </row>
    <row r="3250" spans="6:21" x14ac:dyDescent="0.25">
      <c r="F3250"/>
      <c r="O3250"/>
      <c r="R3250"/>
      <c r="S3250"/>
      <c r="T3250"/>
      <c r="U3250"/>
    </row>
    <row r="3251" spans="6:21" x14ac:dyDescent="0.25">
      <c r="F3251"/>
      <c r="O3251"/>
      <c r="R3251"/>
      <c r="S3251"/>
      <c r="T3251"/>
      <c r="U3251"/>
    </row>
    <row r="3252" spans="6:21" x14ac:dyDescent="0.25">
      <c r="F3252"/>
      <c r="O3252"/>
      <c r="R3252"/>
      <c r="S3252"/>
      <c r="T3252"/>
      <c r="U3252"/>
    </row>
    <row r="3253" spans="6:21" x14ac:dyDescent="0.25">
      <c r="F3253"/>
      <c r="O3253"/>
      <c r="R3253"/>
      <c r="S3253"/>
      <c r="T3253"/>
      <c r="U3253"/>
    </row>
    <row r="3254" spans="6:21" x14ac:dyDescent="0.25">
      <c r="F3254"/>
      <c r="O3254"/>
      <c r="R3254"/>
      <c r="S3254"/>
      <c r="T3254"/>
      <c r="U3254"/>
    </row>
    <row r="3255" spans="6:21" x14ac:dyDescent="0.25">
      <c r="F3255"/>
      <c r="O3255"/>
      <c r="R3255"/>
      <c r="S3255"/>
      <c r="T3255"/>
      <c r="U3255"/>
    </row>
    <row r="3256" spans="6:21" x14ac:dyDescent="0.25">
      <c r="F3256"/>
      <c r="O3256"/>
      <c r="R3256"/>
      <c r="S3256"/>
      <c r="T3256"/>
      <c r="U3256"/>
    </row>
    <row r="3257" spans="6:21" x14ac:dyDescent="0.25">
      <c r="F3257"/>
      <c r="O3257"/>
      <c r="R3257"/>
      <c r="S3257"/>
      <c r="T3257"/>
      <c r="U3257"/>
    </row>
    <row r="3258" spans="6:21" x14ac:dyDescent="0.25">
      <c r="F3258"/>
      <c r="O3258"/>
      <c r="R3258"/>
      <c r="S3258"/>
      <c r="T3258"/>
      <c r="U3258"/>
    </row>
    <row r="3259" spans="6:21" x14ac:dyDescent="0.25">
      <c r="F3259"/>
      <c r="O3259"/>
      <c r="R3259"/>
      <c r="S3259"/>
      <c r="T3259"/>
      <c r="U3259"/>
    </row>
    <row r="3260" spans="6:21" x14ac:dyDescent="0.25">
      <c r="F3260"/>
      <c r="O3260"/>
      <c r="R3260"/>
      <c r="S3260"/>
      <c r="T3260"/>
      <c r="U3260"/>
    </row>
    <row r="3261" spans="6:21" x14ac:dyDescent="0.25">
      <c r="F3261"/>
      <c r="O3261"/>
      <c r="R3261"/>
      <c r="S3261"/>
      <c r="T3261"/>
      <c r="U3261"/>
    </row>
    <row r="3262" spans="6:21" x14ac:dyDescent="0.25">
      <c r="F3262"/>
      <c r="O3262"/>
      <c r="R3262"/>
      <c r="S3262"/>
      <c r="T3262"/>
      <c r="U3262"/>
    </row>
    <row r="3263" spans="6:21" x14ac:dyDescent="0.25">
      <c r="F3263"/>
      <c r="O3263"/>
      <c r="R3263"/>
      <c r="S3263"/>
      <c r="T3263"/>
      <c r="U3263"/>
    </row>
    <row r="3264" spans="6:21" x14ac:dyDescent="0.25">
      <c r="F3264"/>
      <c r="O3264"/>
      <c r="R3264"/>
      <c r="S3264"/>
      <c r="T3264"/>
      <c r="U3264"/>
    </row>
    <row r="3265" spans="6:21" x14ac:dyDescent="0.25">
      <c r="F3265"/>
      <c r="O3265"/>
      <c r="R3265"/>
      <c r="S3265"/>
      <c r="T3265"/>
      <c r="U3265"/>
    </row>
    <row r="3266" spans="6:21" x14ac:dyDescent="0.25">
      <c r="F3266"/>
      <c r="O3266"/>
      <c r="R3266"/>
      <c r="S3266"/>
      <c r="T3266"/>
      <c r="U3266"/>
    </row>
    <row r="3267" spans="6:21" x14ac:dyDescent="0.25">
      <c r="F3267"/>
      <c r="O3267"/>
      <c r="R3267"/>
      <c r="S3267"/>
      <c r="T3267"/>
      <c r="U3267"/>
    </row>
    <row r="3268" spans="6:21" x14ac:dyDescent="0.25">
      <c r="F3268"/>
      <c r="O3268"/>
      <c r="R3268"/>
      <c r="S3268"/>
      <c r="T3268"/>
      <c r="U3268"/>
    </row>
    <row r="3269" spans="6:21" x14ac:dyDescent="0.25">
      <c r="F3269"/>
      <c r="O3269"/>
      <c r="R3269"/>
      <c r="S3269"/>
      <c r="T3269"/>
      <c r="U3269"/>
    </row>
    <row r="3270" spans="6:21" x14ac:dyDescent="0.25">
      <c r="F3270"/>
      <c r="O3270"/>
      <c r="R3270"/>
      <c r="S3270"/>
      <c r="T3270"/>
      <c r="U3270"/>
    </row>
    <row r="3271" spans="6:21" x14ac:dyDescent="0.25">
      <c r="F3271"/>
      <c r="O3271"/>
      <c r="R3271"/>
      <c r="S3271"/>
      <c r="T3271"/>
      <c r="U3271"/>
    </row>
    <row r="3272" spans="6:21" x14ac:dyDescent="0.25">
      <c r="F3272"/>
      <c r="O3272"/>
      <c r="R3272"/>
      <c r="S3272"/>
      <c r="T3272"/>
      <c r="U3272"/>
    </row>
    <row r="3273" spans="6:21" x14ac:dyDescent="0.25">
      <c r="F3273"/>
      <c r="O3273"/>
      <c r="R3273"/>
      <c r="S3273"/>
      <c r="T3273"/>
      <c r="U3273"/>
    </row>
    <row r="3274" spans="6:21" x14ac:dyDescent="0.25">
      <c r="F3274"/>
      <c r="O3274"/>
      <c r="R3274"/>
      <c r="S3274"/>
      <c r="T3274"/>
      <c r="U3274"/>
    </row>
    <row r="3275" spans="6:21" x14ac:dyDescent="0.25">
      <c r="F3275"/>
      <c r="O3275"/>
      <c r="R3275"/>
      <c r="S3275"/>
      <c r="T3275"/>
      <c r="U3275"/>
    </row>
    <row r="3276" spans="6:21" x14ac:dyDescent="0.25">
      <c r="F3276"/>
      <c r="O3276"/>
      <c r="R3276"/>
      <c r="S3276"/>
      <c r="T3276"/>
      <c r="U3276"/>
    </row>
    <row r="3277" spans="6:21" x14ac:dyDescent="0.25">
      <c r="F3277"/>
      <c r="O3277"/>
      <c r="R3277"/>
      <c r="S3277"/>
      <c r="T3277"/>
      <c r="U3277"/>
    </row>
    <row r="3278" spans="6:21" x14ac:dyDescent="0.25">
      <c r="F3278"/>
      <c r="O3278"/>
      <c r="R3278"/>
      <c r="S3278"/>
      <c r="T3278"/>
      <c r="U3278"/>
    </row>
    <row r="3279" spans="6:21" x14ac:dyDescent="0.25">
      <c r="F3279"/>
      <c r="O3279"/>
      <c r="R3279"/>
      <c r="S3279"/>
      <c r="T3279"/>
      <c r="U3279"/>
    </row>
    <row r="3280" spans="6:21" x14ac:dyDescent="0.25">
      <c r="F3280"/>
      <c r="O3280"/>
      <c r="R3280"/>
      <c r="S3280"/>
      <c r="T3280"/>
      <c r="U3280"/>
    </row>
    <row r="3281" spans="6:21" x14ac:dyDescent="0.25">
      <c r="F3281"/>
      <c r="O3281"/>
      <c r="R3281"/>
      <c r="S3281"/>
      <c r="T3281"/>
      <c r="U3281"/>
    </row>
    <row r="3282" spans="6:21" x14ac:dyDescent="0.25">
      <c r="F3282"/>
      <c r="O3282"/>
      <c r="R3282"/>
      <c r="S3282"/>
      <c r="T3282"/>
      <c r="U3282"/>
    </row>
    <row r="3283" spans="6:21" x14ac:dyDescent="0.25">
      <c r="F3283"/>
      <c r="O3283"/>
      <c r="R3283"/>
      <c r="S3283"/>
      <c r="T3283"/>
      <c r="U3283"/>
    </row>
    <row r="3284" spans="6:21" x14ac:dyDescent="0.25">
      <c r="F3284"/>
      <c r="O3284"/>
      <c r="R3284"/>
      <c r="S3284"/>
      <c r="T3284"/>
      <c r="U3284"/>
    </row>
    <row r="3285" spans="6:21" x14ac:dyDescent="0.25">
      <c r="F3285"/>
      <c r="O3285"/>
      <c r="R3285"/>
      <c r="S3285"/>
      <c r="T3285"/>
      <c r="U3285"/>
    </row>
    <row r="3286" spans="6:21" x14ac:dyDescent="0.25">
      <c r="F3286"/>
      <c r="O3286"/>
      <c r="R3286"/>
      <c r="S3286"/>
      <c r="T3286"/>
      <c r="U3286"/>
    </row>
    <row r="3287" spans="6:21" x14ac:dyDescent="0.25">
      <c r="F3287"/>
      <c r="O3287"/>
      <c r="R3287"/>
      <c r="S3287"/>
      <c r="T3287"/>
      <c r="U3287"/>
    </row>
    <row r="3288" spans="6:21" x14ac:dyDescent="0.25">
      <c r="F3288"/>
      <c r="O3288"/>
      <c r="R3288"/>
      <c r="S3288"/>
      <c r="T3288"/>
      <c r="U3288"/>
    </row>
    <row r="3289" spans="6:21" x14ac:dyDescent="0.25">
      <c r="F3289"/>
      <c r="O3289"/>
      <c r="R3289"/>
      <c r="S3289"/>
      <c r="T3289"/>
      <c r="U3289"/>
    </row>
    <row r="3290" spans="6:21" x14ac:dyDescent="0.25">
      <c r="F3290"/>
      <c r="O3290"/>
      <c r="R3290"/>
      <c r="S3290"/>
      <c r="T3290"/>
      <c r="U3290"/>
    </row>
    <row r="3291" spans="6:21" x14ac:dyDescent="0.25">
      <c r="F3291"/>
      <c r="O3291"/>
      <c r="R3291"/>
      <c r="S3291"/>
      <c r="T3291"/>
      <c r="U3291"/>
    </row>
    <row r="3292" spans="6:21" x14ac:dyDescent="0.25">
      <c r="F3292"/>
      <c r="O3292"/>
      <c r="R3292"/>
      <c r="S3292"/>
      <c r="T3292"/>
      <c r="U3292"/>
    </row>
    <row r="3293" spans="6:21" x14ac:dyDescent="0.25">
      <c r="F3293"/>
      <c r="O3293"/>
      <c r="R3293"/>
      <c r="S3293"/>
      <c r="T3293"/>
      <c r="U3293"/>
    </row>
    <row r="3294" spans="6:21" x14ac:dyDescent="0.25">
      <c r="F3294"/>
      <c r="O3294"/>
      <c r="R3294"/>
      <c r="S3294"/>
      <c r="T3294"/>
      <c r="U3294"/>
    </row>
    <row r="3295" spans="6:21" x14ac:dyDescent="0.25">
      <c r="F3295"/>
      <c r="O3295"/>
      <c r="R3295"/>
      <c r="S3295"/>
      <c r="T3295"/>
      <c r="U3295"/>
    </row>
    <row r="3296" spans="6:21" x14ac:dyDescent="0.25">
      <c r="F3296"/>
      <c r="O3296"/>
      <c r="R3296"/>
      <c r="S3296"/>
      <c r="T3296"/>
      <c r="U3296"/>
    </row>
    <row r="3297" spans="6:21" x14ac:dyDescent="0.25">
      <c r="F3297"/>
      <c r="O3297"/>
      <c r="R3297"/>
      <c r="S3297"/>
      <c r="T3297"/>
      <c r="U3297"/>
    </row>
    <row r="3298" spans="6:21" x14ac:dyDescent="0.25">
      <c r="F3298"/>
      <c r="O3298"/>
      <c r="R3298"/>
      <c r="S3298"/>
      <c r="T3298"/>
      <c r="U3298"/>
    </row>
    <row r="3299" spans="6:21" x14ac:dyDescent="0.25">
      <c r="F3299"/>
      <c r="O3299"/>
      <c r="R3299"/>
      <c r="S3299"/>
      <c r="T3299"/>
      <c r="U3299"/>
    </row>
    <row r="3300" spans="6:21" x14ac:dyDescent="0.25">
      <c r="F3300"/>
      <c r="O3300"/>
      <c r="R3300"/>
      <c r="S3300"/>
      <c r="T3300"/>
      <c r="U3300"/>
    </row>
    <row r="3301" spans="6:21" x14ac:dyDescent="0.25">
      <c r="F3301"/>
      <c r="O3301"/>
      <c r="R3301"/>
      <c r="S3301"/>
      <c r="T3301"/>
      <c r="U3301"/>
    </row>
    <row r="3302" spans="6:21" x14ac:dyDescent="0.25">
      <c r="F3302"/>
      <c r="O3302"/>
      <c r="R3302"/>
      <c r="S3302"/>
      <c r="T3302"/>
      <c r="U3302"/>
    </row>
    <row r="3303" spans="6:21" x14ac:dyDescent="0.25">
      <c r="F3303"/>
      <c r="O3303"/>
      <c r="R3303"/>
      <c r="S3303"/>
      <c r="T3303"/>
      <c r="U3303"/>
    </row>
    <row r="3304" spans="6:21" x14ac:dyDescent="0.25">
      <c r="F3304"/>
      <c r="O3304"/>
      <c r="R3304"/>
      <c r="S3304"/>
      <c r="T3304"/>
      <c r="U3304"/>
    </row>
    <row r="3305" spans="6:21" x14ac:dyDescent="0.25">
      <c r="F3305"/>
      <c r="O3305"/>
      <c r="R3305"/>
      <c r="S3305"/>
      <c r="T3305"/>
      <c r="U3305"/>
    </row>
    <row r="3306" spans="6:21" x14ac:dyDescent="0.25">
      <c r="F3306"/>
      <c r="O3306"/>
      <c r="R3306"/>
      <c r="S3306"/>
      <c r="T3306"/>
      <c r="U3306"/>
    </row>
    <row r="3307" spans="6:21" x14ac:dyDescent="0.25">
      <c r="F3307"/>
      <c r="O3307"/>
      <c r="R3307"/>
      <c r="S3307"/>
      <c r="T3307"/>
      <c r="U3307"/>
    </row>
    <row r="3308" spans="6:21" x14ac:dyDescent="0.25">
      <c r="F3308"/>
      <c r="O3308"/>
      <c r="R3308"/>
      <c r="S3308"/>
      <c r="T3308"/>
      <c r="U3308"/>
    </row>
    <row r="3309" spans="6:21" x14ac:dyDescent="0.25">
      <c r="F3309"/>
      <c r="O3309"/>
      <c r="R3309"/>
      <c r="S3309"/>
      <c r="T3309"/>
      <c r="U3309"/>
    </row>
    <row r="3310" spans="6:21" x14ac:dyDescent="0.25">
      <c r="F3310"/>
      <c r="O3310"/>
      <c r="R3310"/>
      <c r="S3310"/>
      <c r="T3310"/>
      <c r="U3310"/>
    </row>
    <row r="3311" spans="6:21" x14ac:dyDescent="0.25">
      <c r="F3311"/>
      <c r="O3311"/>
      <c r="R3311"/>
      <c r="S3311"/>
      <c r="T3311"/>
      <c r="U3311"/>
    </row>
    <row r="3312" spans="6:21" x14ac:dyDescent="0.25">
      <c r="F3312"/>
      <c r="O3312"/>
      <c r="R3312"/>
      <c r="S3312"/>
      <c r="T3312"/>
      <c r="U3312"/>
    </row>
    <row r="3313" spans="6:21" x14ac:dyDescent="0.25">
      <c r="F3313"/>
      <c r="O3313"/>
      <c r="R3313"/>
      <c r="S3313"/>
      <c r="T3313"/>
      <c r="U3313"/>
    </row>
    <row r="3314" spans="6:21" x14ac:dyDescent="0.25">
      <c r="F3314"/>
      <c r="O3314"/>
      <c r="R3314"/>
      <c r="S3314"/>
      <c r="T3314"/>
      <c r="U3314"/>
    </row>
    <row r="3315" spans="6:21" x14ac:dyDescent="0.25">
      <c r="F3315"/>
      <c r="O3315"/>
      <c r="R3315"/>
      <c r="S3315"/>
      <c r="T3315"/>
      <c r="U3315"/>
    </row>
    <row r="3316" spans="6:21" x14ac:dyDescent="0.25">
      <c r="F3316"/>
      <c r="O3316"/>
      <c r="R3316"/>
      <c r="S3316"/>
      <c r="T3316"/>
      <c r="U3316"/>
    </row>
    <row r="3317" spans="6:21" x14ac:dyDescent="0.25">
      <c r="F3317"/>
      <c r="O3317"/>
      <c r="R3317"/>
      <c r="S3317"/>
      <c r="T3317"/>
      <c r="U3317"/>
    </row>
    <row r="3318" spans="6:21" x14ac:dyDescent="0.25">
      <c r="F3318"/>
      <c r="O3318"/>
      <c r="R3318"/>
      <c r="S3318"/>
      <c r="T3318"/>
      <c r="U3318"/>
    </row>
    <row r="3319" spans="6:21" x14ac:dyDescent="0.25">
      <c r="F3319"/>
      <c r="O3319"/>
      <c r="R3319"/>
      <c r="S3319"/>
      <c r="T3319"/>
      <c r="U3319"/>
    </row>
    <row r="3320" spans="6:21" x14ac:dyDescent="0.25">
      <c r="F3320"/>
      <c r="O3320"/>
      <c r="R3320"/>
      <c r="S3320"/>
      <c r="T3320"/>
      <c r="U3320"/>
    </row>
    <row r="3321" spans="6:21" x14ac:dyDescent="0.25">
      <c r="F3321"/>
      <c r="O3321"/>
      <c r="R3321"/>
      <c r="S3321"/>
      <c r="T3321"/>
      <c r="U3321"/>
    </row>
    <row r="3322" spans="6:21" x14ac:dyDescent="0.25">
      <c r="F3322"/>
      <c r="O3322"/>
      <c r="R3322"/>
      <c r="S3322"/>
      <c r="T3322"/>
      <c r="U3322"/>
    </row>
    <row r="3323" spans="6:21" x14ac:dyDescent="0.25">
      <c r="F3323"/>
      <c r="O3323"/>
      <c r="R3323"/>
      <c r="S3323"/>
      <c r="T3323"/>
      <c r="U3323"/>
    </row>
    <row r="3324" spans="6:21" x14ac:dyDescent="0.25">
      <c r="F3324"/>
      <c r="O3324"/>
      <c r="R3324"/>
      <c r="S3324"/>
      <c r="T3324"/>
      <c r="U3324"/>
    </row>
    <row r="3325" spans="6:21" x14ac:dyDescent="0.25">
      <c r="F3325"/>
      <c r="O3325"/>
      <c r="R3325"/>
      <c r="S3325"/>
      <c r="T3325"/>
      <c r="U3325"/>
    </row>
    <row r="3326" spans="6:21" x14ac:dyDescent="0.25">
      <c r="F3326"/>
      <c r="O3326"/>
      <c r="R3326"/>
      <c r="S3326"/>
      <c r="T3326"/>
      <c r="U3326"/>
    </row>
    <row r="3327" spans="6:21" x14ac:dyDescent="0.25">
      <c r="F3327"/>
      <c r="O3327"/>
      <c r="R3327"/>
      <c r="S3327"/>
      <c r="T3327"/>
      <c r="U3327"/>
    </row>
    <row r="3328" spans="6:21" x14ac:dyDescent="0.25">
      <c r="F3328"/>
      <c r="O3328"/>
      <c r="R3328"/>
      <c r="S3328"/>
      <c r="T3328"/>
      <c r="U3328"/>
    </row>
    <row r="3329" spans="6:21" x14ac:dyDescent="0.25">
      <c r="F3329"/>
      <c r="O3329"/>
      <c r="R3329"/>
      <c r="S3329"/>
      <c r="T3329"/>
      <c r="U3329"/>
    </row>
    <row r="3330" spans="6:21" x14ac:dyDescent="0.25">
      <c r="F3330"/>
      <c r="O3330"/>
      <c r="R3330"/>
      <c r="S3330"/>
      <c r="T3330"/>
      <c r="U3330"/>
    </row>
    <row r="3331" spans="6:21" x14ac:dyDescent="0.25">
      <c r="F3331"/>
      <c r="O3331"/>
      <c r="R3331"/>
      <c r="S3331"/>
      <c r="T3331"/>
      <c r="U3331"/>
    </row>
    <row r="3332" spans="6:21" x14ac:dyDescent="0.25">
      <c r="F3332"/>
      <c r="O3332"/>
      <c r="R3332"/>
      <c r="S3332"/>
      <c r="T3332"/>
      <c r="U3332"/>
    </row>
    <row r="3333" spans="6:21" x14ac:dyDescent="0.25">
      <c r="F3333"/>
      <c r="O3333"/>
      <c r="R3333"/>
      <c r="S3333"/>
      <c r="T3333"/>
      <c r="U3333"/>
    </row>
    <row r="3334" spans="6:21" x14ac:dyDescent="0.25">
      <c r="F3334"/>
      <c r="O3334"/>
      <c r="R3334"/>
      <c r="S3334"/>
      <c r="T3334"/>
      <c r="U3334"/>
    </row>
    <row r="3335" spans="6:21" x14ac:dyDescent="0.25">
      <c r="F3335"/>
      <c r="O3335"/>
      <c r="R3335"/>
      <c r="S3335"/>
      <c r="T3335"/>
      <c r="U3335"/>
    </row>
    <row r="3336" spans="6:21" x14ac:dyDescent="0.25">
      <c r="F3336"/>
      <c r="O3336"/>
      <c r="R3336"/>
      <c r="S3336"/>
      <c r="T3336"/>
      <c r="U3336"/>
    </row>
    <row r="3337" spans="6:21" x14ac:dyDescent="0.25">
      <c r="F3337"/>
      <c r="O3337"/>
      <c r="R3337"/>
      <c r="S3337"/>
      <c r="T3337"/>
      <c r="U3337"/>
    </row>
    <row r="3338" spans="6:21" x14ac:dyDescent="0.25">
      <c r="F3338"/>
      <c r="O3338"/>
      <c r="R3338"/>
      <c r="S3338"/>
      <c r="T3338"/>
      <c r="U3338"/>
    </row>
    <row r="3339" spans="6:21" x14ac:dyDescent="0.25">
      <c r="F3339"/>
      <c r="O3339"/>
      <c r="R3339"/>
      <c r="S3339"/>
      <c r="T3339"/>
      <c r="U3339"/>
    </row>
    <row r="3340" spans="6:21" x14ac:dyDescent="0.25">
      <c r="F3340"/>
      <c r="O3340"/>
      <c r="R3340"/>
      <c r="S3340"/>
      <c r="T3340"/>
      <c r="U3340"/>
    </row>
    <row r="3341" spans="6:21" x14ac:dyDescent="0.25">
      <c r="F3341"/>
      <c r="O3341"/>
      <c r="R3341"/>
      <c r="S3341"/>
      <c r="T3341"/>
      <c r="U3341"/>
    </row>
    <row r="3342" spans="6:21" x14ac:dyDescent="0.25">
      <c r="F3342"/>
      <c r="O3342"/>
      <c r="R3342"/>
      <c r="S3342"/>
      <c r="T3342"/>
      <c r="U3342"/>
    </row>
    <row r="3343" spans="6:21" x14ac:dyDescent="0.25">
      <c r="F3343"/>
      <c r="O3343"/>
      <c r="R3343"/>
      <c r="S3343"/>
      <c r="T3343"/>
      <c r="U3343"/>
    </row>
    <row r="3344" spans="6:21" x14ac:dyDescent="0.25">
      <c r="F3344"/>
      <c r="O3344"/>
      <c r="R3344"/>
      <c r="S3344"/>
      <c r="T3344"/>
      <c r="U3344"/>
    </row>
    <row r="3345" spans="6:21" x14ac:dyDescent="0.25">
      <c r="F3345"/>
      <c r="O3345"/>
      <c r="R3345"/>
      <c r="S3345"/>
      <c r="T3345"/>
      <c r="U3345"/>
    </row>
    <row r="3346" spans="6:21" x14ac:dyDescent="0.25">
      <c r="F3346"/>
      <c r="O3346"/>
      <c r="R3346"/>
      <c r="S3346"/>
      <c r="T3346"/>
      <c r="U3346"/>
    </row>
    <row r="3347" spans="6:21" x14ac:dyDescent="0.25">
      <c r="F3347"/>
      <c r="O3347"/>
      <c r="R3347"/>
      <c r="S3347"/>
      <c r="T3347"/>
      <c r="U3347"/>
    </row>
    <row r="3348" spans="6:21" x14ac:dyDescent="0.25">
      <c r="F3348"/>
      <c r="O3348"/>
      <c r="R3348"/>
      <c r="S3348"/>
      <c r="T3348"/>
      <c r="U3348"/>
    </row>
    <row r="3349" spans="6:21" x14ac:dyDescent="0.25">
      <c r="F3349"/>
      <c r="O3349"/>
      <c r="R3349"/>
      <c r="S3349"/>
      <c r="T3349"/>
      <c r="U3349"/>
    </row>
    <row r="3350" spans="6:21" x14ac:dyDescent="0.25">
      <c r="F3350"/>
      <c r="O3350"/>
      <c r="R3350"/>
      <c r="S3350"/>
      <c r="T3350"/>
      <c r="U3350"/>
    </row>
    <row r="3351" spans="6:21" x14ac:dyDescent="0.25">
      <c r="F3351"/>
      <c r="O3351"/>
      <c r="R3351"/>
      <c r="S3351"/>
      <c r="T3351"/>
      <c r="U3351"/>
    </row>
    <row r="3352" spans="6:21" x14ac:dyDescent="0.25">
      <c r="F3352"/>
      <c r="O3352"/>
      <c r="R3352"/>
      <c r="S3352"/>
      <c r="T3352"/>
      <c r="U3352"/>
    </row>
    <row r="3353" spans="6:21" x14ac:dyDescent="0.25">
      <c r="F3353"/>
      <c r="O3353"/>
      <c r="R3353"/>
      <c r="S3353"/>
      <c r="T3353"/>
      <c r="U3353"/>
    </row>
    <row r="3354" spans="6:21" x14ac:dyDescent="0.25">
      <c r="F3354"/>
      <c r="O3354"/>
      <c r="R3354"/>
      <c r="S3354"/>
      <c r="T3354"/>
      <c r="U3354"/>
    </row>
    <row r="3355" spans="6:21" x14ac:dyDescent="0.25">
      <c r="F3355"/>
      <c r="O3355"/>
      <c r="R3355"/>
      <c r="S3355"/>
      <c r="T3355"/>
      <c r="U3355"/>
    </row>
    <row r="3356" spans="6:21" x14ac:dyDescent="0.25">
      <c r="F3356"/>
      <c r="O3356"/>
      <c r="R3356"/>
      <c r="S3356"/>
      <c r="T3356"/>
      <c r="U3356"/>
    </row>
    <row r="3357" spans="6:21" x14ac:dyDescent="0.25">
      <c r="F3357"/>
      <c r="O3357"/>
      <c r="R3357"/>
      <c r="S3357"/>
      <c r="T3357"/>
      <c r="U3357"/>
    </row>
    <row r="3358" spans="6:21" x14ac:dyDescent="0.25">
      <c r="F3358"/>
      <c r="O3358"/>
      <c r="R3358"/>
      <c r="S3358"/>
      <c r="T3358"/>
      <c r="U3358"/>
    </row>
    <row r="3359" spans="6:21" x14ac:dyDescent="0.25">
      <c r="F3359"/>
      <c r="O3359"/>
      <c r="R3359"/>
      <c r="S3359"/>
      <c r="T3359"/>
      <c r="U3359"/>
    </row>
    <row r="3360" spans="6:21" x14ac:dyDescent="0.25">
      <c r="F3360"/>
      <c r="O3360"/>
      <c r="R3360"/>
      <c r="S3360"/>
      <c r="T3360"/>
      <c r="U3360"/>
    </row>
    <row r="3361" spans="6:21" x14ac:dyDescent="0.25">
      <c r="F3361"/>
      <c r="O3361"/>
      <c r="R3361"/>
      <c r="S3361"/>
      <c r="T3361"/>
      <c r="U3361"/>
    </row>
    <row r="3362" spans="6:21" x14ac:dyDescent="0.25">
      <c r="F3362"/>
      <c r="O3362"/>
      <c r="R3362"/>
      <c r="S3362"/>
      <c r="T3362"/>
      <c r="U3362"/>
    </row>
    <row r="3363" spans="6:21" x14ac:dyDescent="0.25">
      <c r="F3363"/>
      <c r="O3363"/>
      <c r="R3363"/>
      <c r="S3363"/>
      <c r="T3363"/>
      <c r="U3363"/>
    </row>
    <row r="3364" spans="6:21" x14ac:dyDescent="0.25">
      <c r="F3364"/>
      <c r="O3364"/>
      <c r="R3364"/>
      <c r="S3364"/>
      <c r="T3364"/>
      <c r="U3364"/>
    </row>
    <row r="3365" spans="6:21" x14ac:dyDescent="0.25">
      <c r="F3365"/>
      <c r="O3365"/>
      <c r="R3365"/>
      <c r="S3365"/>
      <c r="T3365"/>
      <c r="U3365"/>
    </row>
    <row r="3366" spans="6:21" x14ac:dyDescent="0.25">
      <c r="F3366"/>
      <c r="O3366"/>
      <c r="R3366"/>
      <c r="S3366"/>
      <c r="T3366"/>
      <c r="U3366"/>
    </row>
    <row r="3367" spans="6:21" x14ac:dyDescent="0.25">
      <c r="F3367"/>
      <c r="O3367"/>
      <c r="R3367"/>
      <c r="S3367"/>
      <c r="T3367"/>
      <c r="U3367"/>
    </row>
    <row r="3368" spans="6:21" x14ac:dyDescent="0.25">
      <c r="F3368"/>
      <c r="O3368"/>
      <c r="R3368"/>
      <c r="S3368"/>
      <c r="T3368"/>
      <c r="U3368"/>
    </row>
    <row r="3369" spans="6:21" x14ac:dyDescent="0.25">
      <c r="F3369"/>
      <c r="O3369"/>
      <c r="R3369"/>
      <c r="S3369"/>
      <c r="T3369"/>
      <c r="U3369"/>
    </row>
    <row r="3370" spans="6:21" x14ac:dyDescent="0.25">
      <c r="F3370"/>
      <c r="O3370"/>
      <c r="R3370"/>
      <c r="S3370"/>
      <c r="T3370"/>
      <c r="U3370"/>
    </row>
    <row r="3371" spans="6:21" x14ac:dyDescent="0.25">
      <c r="F3371"/>
      <c r="O3371"/>
      <c r="R3371"/>
      <c r="S3371"/>
      <c r="T3371"/>
      <c r="U3371"/>
    </row>
    <row r="3372" spans="6:21" x14ac:dyDescent="0.25">
      <c r="F3372"/>
      <c r="O3372"/>
      <c r="R3372"/>
      <c r="S3372"/>
      <c r="T3372"/>
      <c r="U3372"/>
    </row>
    <row r="3373" spans="6:21" x14ac:dyDescent="0.25">
      <c r="F3373"/>
      <c r="O3373"/>
      <c r="R3373"/>
      <c r="S3373"/>
      <c r="T3373"/>
      <c r="U3373"/>
    </row>
    <row r="3374" spans="6:21" x14ac:dyDescent="0.25">
      <c r="F3374"/>
      <c r="O3374"/>
      <c r="R3374"/>
      <c r="S3374"/>
      <c r="T3374"/>
      <c r="U3374"/>
    </row>
    <row r="3375" spans="6:21" x14ac:dyDescent="0.25">
      <c r="F3375"/>
      <c r="O3375"/>
      <c r="R3375"/>
      <c r="S3375"/>
      <c r="T3375"/>
      <c r="U3375"/>
    </row>
    <row r="3376" spans="6:21" x14ac:dyDescent="0.25">
      <c r="F3376"/>
      <c r="O3376"/>
      <c r="R3376"/>
      <c r="S3376"/>
      <c r="T3376"/>
      <c r="U3376"/>
    </row>
    <row r="3377" spans="6:21" x14ac:dyDescent="0.25">
      <c r="F3377"/>
      <c r="O3377"/>
      <c r="R3377"/>
      <c r="S3377"/>
      <c r="T3377"/>
      <c r="U3377"/>
    </row>
    <row r="3378" spans="6:21" x14ac:dyDescent="0.25">
      <c r="F3378"/>
      <c r="O3378"/>
      <c r="R3378"/>
      <c r="S3378"/>
      <c r="T3378"/>
      <c r="U3378"/>
    </row>
    <row r="3379" spans="6:21" x14ac:dyDescent="0.25">
      <c r="F3379"/>
      <c r="O3379"/>
      <c r="R3379"/>
      <c r="S3379"/>
      <c r="T3379"/>
      <c r="U3379"/>
    </row>
    <row r="3380" spans="6:21" x14ac:dyDescent="0.25">
      <c r="F3380"/>
      <c r="O3380"/>
      <c r="R3380"/>
      <c r="S3380"/>
      <c r="T3380"/>
      <c r="U3380"/>
    </row>
    <row r="3381" spans="6:21" x14ac:dyDescent="0.25">
      <c r="F3381"/>
      <c r="O3381"/>
      <c r="R3381"/>
      <c r="S3381"/>
      <c r="T3381"/>
      <c r="U3381"/>
    </row>
    <row r="3382" spans="6:21" x14ac:dyDescent="0.25">
      <c r="F3382"/>
      <c r="O3382"/>
      <c r="R3382"/>
      <c r="S3382"/>
      <c r="T3382"/>
      <c r="U3382"/>
    </row>
    <row r="3383" spans="6:21" x14ac:dyDescent="0.25">
      <c r="F3383"/>
      <c r="O3383"/>
      <c r="R3383"/>
      <c r="S3383"/>
      <c r="T3383"/>
      <c r="U3383"/>
    </row>
    <row r="3384" spans="6:21" x14ac:dyDescent="0.25">
      <c r="F3384"/>
      <c r="O3384"/>
      <c r="R3384"/>
      <c r="S3384"/>
      <c r="T3384"/>
      <c r="U3384"/>
    </row>
    <row r="3385" spans="6:21" x14ac:dyDescent="0.25">
      <c r="F3385"/>
      <c r="O3385"/>
      <c r="R3385"/>
      <c r="S3385"/>
      <c r="T3385"/>
      <c r="U3385"/>
    </row>
    <row r="3386" spans="6:21" x14ac:dyDescent="0.25">
      <c r="F3386"/>
      <c r="O3386"/>
      <c r="R3386"/>
      <c r="S3386"/>
      <c r="T3386"/>
      <c r="U3386"/>
    </row>
    <row r="3387" spans="6:21" x14ac:dyDescent="0.25">
      <c r="F3387"/>
      <c r="O3387"/>
      <c r="R3387"/>
      <c r="S3387"/>
      <c r="T3387"/>
      <c r="U3387"/>
    </row>
    <row r="3388" spans="6:21" x14ac:dyDescent="0.25">
      <c r="F3388"/>
      <c r="O3388"/>
      <c r="R3388"/>
      <c r="S3388"/>
      <c r="T3388"/>
      <c r="U3388"/>
    </row>
    <row r="3389" spans="6:21" x14ac:dyDescent="0.25">
      <c r="F3389"/>
      <c r="O3389"/>
      <c r="R3389"/>
      <c r="S3389"/>
      <c r="T3389"/>
      <c r="U3389"/>
    </row>
    <row r="3390" spans="6:21" x14ac:dyDescent="0.25">
      <c r="F3390"/>
      <c r="O3390"/>
      <c r="R3390"/>
      <c r="S3390"/>
      <c r="T3390"/>
      <c r="U3390"/>
    </row>
    <row r="3391" spans="6:21" x14ac:dyDescent="0.25">
      <c r="F3391"/>
      <c r="O3391"/>
      <c r="R3391"/>
      <c r="S3391"/>
      <c r="T3391"/>
      <c r="U3391"/>
    </row>
    <row r="3392" spans="6:21" x14ac:dyDescent="0.25">
      <c r="F3392"/>
      <c r="O3392"/>
      <c r="R3392"/>
      <c r="S3392"/>
      <c r="T3392"/>
      <c r="U3392"/>
    </row>
    <row r="3393" spans="6:21" x14ac:dyDescent="0.25">
      <c r="F3393"/>
      <c r="O3393"/>
      <c r="R3393"/>
      <c r="S3393"/>
      <c r="T3393"/>
      <c r="U3393"/>
    </row>
    <row r="3394" spans="6:21" x14ac:dyDescent="0.25">
      <c r="F3394"/>
      <c r="O3394"/>
      <c r="R3394"/>
      <c r="S3394"/>
      <c r="T3394"/>
      <c r="U3394"/>
    </row>
    <row r="3395" spans="6:21" x14ac:dyDescent="0.25">
      <c r="F3395"/>
      <c r="O3395"/>
      <c r="R3395"/>
      <c r="S3395"/>
      <c r="T3395"/>
      <c r="U3395"/>
    </row>
    <row r="3396" spans="6:21" x14ac:dyDescent="0.25">
      <c r="F3396"/>
      <c r="O3396"/>
      <c r="R3396"/>
      <c r="S3396"/>
      <c r="T3396"/>
      <c r="U3396"/>
    </row>
    <row r="3397" spans="6:21" x14ac:dyDescent="0.25">
      <c r="F3397"/>
      <c r="O3397"/>
      <c r="R3397"/>
      <c r="S3397"/>
      <c r="T3397"/>
      <c r="U3397"/>
    </row>
    <row r="3398" spans="6:21" x14ac:dyDescent="0.25">
      <c r="F3398"/>
      <c r="O3398"/>
      <c r="R3398"/>
      <c r="S3398"/>
      <c r="T3398"/>
      <c r="U3398"/>
    </row>
    <row r="3399" spans="6:21" x14ac:dyDescent="0.25">
      <c r="F3399"/>
      <c r="O3399"/>
      <c r="R3399"/>
      <c r="S3399"/>
      <c r="T3399"/>
      <c r="U3399"/>
    </row>
    <row r="3400" spans="6:21" x14ac:dyDescent="0.25">
      <c r="F3400"/>
      <c r="O3400"/>
      <c r="R3400"/>
      <c r="S3400"/>
      <c r="T3400"/>
      <c r="U3400"/>
    </row>
    <row r="3401" spans="6:21" x14ac:dyDescent="0.25">
      <c r="F3401"/>
      <c r="O3401"/>
      <c r="R3401"/>
      <c r="S3401"/>
      <c r="T3401"/>
      <c r="U3401"/>
    </row>
    <row r="3402" spans="6:21" x14ac:dyDescent="0.25">
      <c r="F3402"/>
      <c r="O3402"/>
      <c r="R3402"/>
      <c r="S3402"/>
      <c r="T3402"/>
      <c r="U3402"/>
    </row>
    <row r="3403" spans="6:21" x14ac:dyDescent="0.25">
      <c r="F3403"/>
      <c r="O3403"/>
      <c r="R3403"/>
      <c r="S3403"/>
      <c r="T3403"/>
      <c r="U3403"/>
    </row>
    <row r="3404" spans="6:21" x14ac:dyDescent="0.25">
      <c r="F3404"/>
      <c r="O3404"/>
      <c r="R3404"/>
      <c r="S3404"/>
      <c r="T3404"/>
      <c r="U3404"/>
    </row>
    <row r="3405" spans="6:21" x14ac:dyDescent="0.25">
      <c r="F3405"/>
      <c r="O3405"/>
      <c r="R3405"/>
      <c r="S3405"/>
      <c r="T3405"/>
      <c r="U3405"/>
    </row>
    <row r="3406" spans="6:21" x14ac:dyDescent="0.25">
      <c r="F3406"/>
      <c r="O3406"/>
      <c r="R3406"/>
      <c r="S3406"/>
      <c r="T3406"/>
      <c r="U3406"/>
    </row>
    <row r="3407" spans="6:21" x14ac:dyDescent="0.25">
      <c r="F3407"/>
      <c r="O3407"/>
      <c r="R3407"/>
      <c r="S3407"/>
      <c r="T3407"/>
      <c r="U3407"/>
    </row>
    <row r="3408" spans="6:21" x14ac:dyDescent="0.25">
      <c r="F3408"/>
      <c r="O3408"/>
      <c r="R3408"/>
      <c r="S3408"/>
      <c r="T3408"/>
      <c r="U3408"/>
    </row>
    <row r="3409" spans="6:21" x14ac:dyDescent="0.25">
      <c r="F3409"/>
      <c r="O3409"/>
      <c r="R3409"/>
      <c r="S3409"/>
      <c r="T3409"/>
      <c r="U3409"/>
    </row>
    <row r="3410" spans="6:21" x14ac:dyDescent="0.25">
      <c r="F3410"/>
      <c r="O3410"/>
      <c r="R3410"/>
      <c r="S3410"/>
      <c r="T3410"/>
      <c r="U3410"/>
    </row>
    <row r="3411" spans="6:21" x14ac:dyDescent="0.25">
      <c r="F3411"/>
      <c r="O3411"/>
      <c r="R3411"/>
      <c r="S3411"/>
      <c r="T3411"/>
      <c r="U3411"/>
    </row>
    <row r="3412" spans="6:21" x14ac:dyDescent="0.25">
      <c r="F3412"/>
      <c r="O3412"/>
      <c r="R3412"/>
      <c r="S3412"/>
      <c r="T3412"/>
      <c r="U3412"/>
    </row>
    <row r="3413" spans="6:21" x14ac:dyDescent="0.25">
      <c r="F3413"/>
      <c r="O3413"/>
      <c r="R3413"/>
      <c r="S3413"/>
      <c r="T3413"/>
      <c r="U3413"/>
    </row>
    <row r="3414" spans="6:21" x14ac:dyDescent="0.25">
      <c r="F3414"/>
      <c r="O3414"/>
      <c r="R3414"/>
      <c r="S3414"/>
      <c r="T3414"/>
      <c r="U3414"/>
    </row>
    <row r="3415" spans="6:21" x14ac:dyDescent="0.25">
      <c r="F3415"/>
      <c r="O3415"/>
      <c r="R3415"/>
      <c r="S3415"/>
      <c r="T3415"/>
      <c r="U3415"/>
    </row>
    <row r="3416" spans="6:21" x14ac:dyDescent="0.25">
      <c r="F3416"/>
      <c r="O3416"/>
      <c r="R3416"/>
      <c r="S3416"/>
      <c r="T3416"/>
      <c r="U3416"/>
    </row>
    <row r="3417" spans="6:21" x14ac:dyDescent="0.25">
      <c r="F3417"/>
      <c r="O3417"/>
      <c r="R3417"/>
      <c r="S3417"/>
      <c r="T3417"/>
      <c r="U3417"/>
    </row>
    <row r="3418" spans="6:21" x14ac:dyDescent="0.25">
      <c r="F3418"/>
      <c r="O3418"/>
      <c r="R3418"/>
      <c r="S3418"/>
      <c r="T3418"/>
      <c r="U3418"/>
    </row>
    <row r="3419" spans="6:21" x14ac:dyDescent="0.25">
      <c r="F3419"/>
      <c r="O3419"/>
      <c r="R3419"/>
      <c r="S3419"/>
      <c r="T3419"/>
      <c r="U3419"/>
    </row>
    <row r="3420" spans="6:21" x14ac:dyDescent="0.25">
      <c r="F3420"/>
      <c r="O3420"/>
      <c r="R3420"/>
      <c r="S3420"/>
      <c r="T3420"/>
      <c r="U3420"/>
    </row>
    <row r="3421" spans="6:21" x14ac:dyDescent="0.25">
      <c r="F3421"/>
      <c r="O3421"/>
      <c r="R3421"/>
      <c r="S3421"/>
      <c r="T3421"/>
      <c r="U3421"/>
    </row>
    <row r="3422" spans="6:21" x14ac:dyDescent="0.25">
      <c r="F3422"/>
      <c r="O3422"/>
      <c r="R3422"/>
      <c r="S3422"/>
      <c r="T3422"/>
      <c r="U3422"/>
    </row>
    <row r="3423" spans="6:21" x14ac:dyDescent="0.25">
      <c r="F3423"/>
      <c r="O3423"/>
      <c r="R3423"/>
      <c r="S3423"/>
      <c r="T3423"/>
      <c r="U3423"/>
    </row>
    <row r="3424" spans="6:21" x14ac:dyDescent="0.25">
      <c r="F3424"/>
      <c r="O3424"/>
      <c r="R3424"/>
      <c r="S3424"/>
      <c r="T3424"/>
      <c r="U3424"/>
    </row>
    <row r="3425" spans="6:21" x14ac:dyDescent="0.25">
      <c r="F3425"/>
      <c r="O3425"/>
      <c r="R3425"/>
      <c r="S3425"/>
      <c r="T3425"/>
      <c r="U3425"/>
    </row>
    <row r="3426" spans="6:21" x14ac:dyDescent="0.25">
      <c r="F3426"/>
      <c r="O3426"/>
      <c r="R3426"/>
      <c r="S3426"/>
      <c r="T3426"/>
      <c r="U3426"/>
    </row>
    <row r="3427" spans="6:21" x14ac:dyDescent="0.25">
      <c r="F3427"/>
      <c r="O3427"/>
      <c r="R3427"/>
      <c r="S3427"/>
      <c r="T3427"/>
      <c r="U3427"/>
    </row>
    <row r="3428" spans="6:21" x14ac:dyDescent="0.25">
      <c r="F3428"/>
      <c r="O3428"/>
      <c r="R3428"/>
      <c r="S3428"/>
      <c r="T3428"/>
      <c r="U3428"/>
    </row>
    <row r="3429" spans="6:21" x14ac:dyDescent="0.25">
      <c r="F3429"/>
      <c r="O3429"/>
      <c r="R3429"/>
      <c r="S3429"/>
      <c r="T3429"/>
      <c r="U3429"/>
    </row>
    <row r="3430" spans="6:21" x14ac:dyDescent="0.25">
      <c r="F3430"/>
      <c r="O3430"/>
      <c r="R3430"/>
      <c r="S3430"/>
      <c r="T3430"/>
      <c r="U3430"/>
    </row>
    <row r="3431" spans="6:21" x14ac:dyDescent="0.25">
      <c r="F3431"/>
      <c r="O3431"/>
      <c r="R3431"/>
      <c r="S3431"/>
      <c r="T3431"/>
      <c r="U3431"/>
    </row>
    <row r="3432" spans="6:21" x14ac:dyDescent="0.25">
      <c r="F3432"/>
      <c r="O3432"/>
      <c r="R3432"/>
      <c r="S3432"/>
      <c r="T3432"/>
      <c r="U3432"/>
    </row>
    <row r="3433" spans="6:21" x14ac:dyDescent="0.25">
      <c r="F3433"/>
      <c r="O3433"/>
      <c r="R3433"/>
      <c r="S3433"/>
      <c r="T3433"/>
      <c r="U3433"/>
    </row>
    <row r="3434" spans="6:21" x14ac:dyDescent="0.25">
      <c r="F3434"/>
      <c r="O3434"/>
      <c r="R3434"/>
      <c r="S3434"/>
      <c r="T3434"/>
      <c r="U3434"/>
    </row>
    <row r="3435" spans="6:21" x14ac:dyDescent="0.25">
      <c r="F3435"/>
      <c r="O3435"/>
      <c r="R3435"/>
      <c r="S3435"/>
      <c r="T3435"/>
      <c r="U3435"/>
    </row>
    <row r="3436" spans="6:21" x14ac:dyDescent="0.25">
      <c r="F3436"/>
      <c r="O3436"/>
      <c r="R3436"/>
      <c r="S3436"/>
      <c r="T3436"/>
      <c r="U3436"/>
    </row>
    <row r="3437" spans="6:21" x14ac:dyDescent="0.25">
      <c r="F3437"/>
      <c r="O3437"/>
      <c r="R3437"/>
      <c r="S3437"/>
      <c r="T3437"/>
      <c r="U3437"/>
    </row>
    <row r="3438" spans="6:21" x14ac:dyDescent="0.25">
      <c r="F3438"/>
      <c r="O3438"/>
      <c r="R3438"/>
      <c r="S3438"/>
      <c r="T3438"/>
      <c r="U3438"/>
    </row>
    <row r="3439" spans="6:21" x14ac:dyDescent="0.25">
      <c r="F3439"/>
      <c r="O3439"/>
      <c r="R3439"/>
      <c r="S3439"/>
      <c r="T3439"/>
      <c r="U3439"/>
    </row>
    <row r="3440" spans="6:21" x14ac:dyDescent="0.25">
      <c r="F3440"/>
      <c r="O3440"/>
      <c r="R3440"/>
      <c r="S3440"/>
      <c r="T3440"/>
      <c r="U3440"/>
    </row>
    <row r="3441" spans="6:21" x14ac:dyDescent="0.25">
      <c r="F3441"/>
      <c r="O3441"/>
      <c r="R3441"/>
      <c r="S3441"/>
      <c r="T3441"/>
      <c r="U3441"/>
    </row>
    <row r="3442" spans="6:21" x14ac:dyDescent="0.25">
      <c r="F3442"/>
      <c r="O3442"/>
      <c r="R3442"/>
      <c r="S3442"/>
      <c r="T3442"/>
      <c r="U3442"/>
    </row>
    <row r="3443" spans="6:21" x14ac:dyDescent="0.25">
      <c r="F3443"/>
      <c r="O3443"/>
      <c r="R3443"/>
      <c r="S3443"/>
      <c r="T3443"/>
      <c r="U3443"/>
    </row>
    <row r="3444" spans="6:21" x14ac:dyDescent="0.25">
      <c r="F3444"/>
      <c r="O3444"/>
      <c r="R3444"/>
      <c r="S3444"/>
      <c r="T3444"/>
      <c r="U3444"/>
    </row>
    <row r="3445" spans="6:21" x14ac:dyDescent="0.25">
      <c r="F3445"/>
      <c r="O3445"/>
      <c r="R3445"/>
      <c r="S3445"/>
      <c r="T3445"/>
      <c r="U3445"/>
    </row>
    <row r="3446" spans="6:21" x14ac:dyDescent="0.25">
      <c r="F3446"/>
      <c r="O3446"/>
      <c r="R3446"/>
      <c r="S3446"/>
      <c r="T3446"/>
      <c r="U3446"/>
    </row>
    <row r="3447" spans="6:21" x14ac:dyDescent="0.25">
      <c r="F3447"/>
      <c r="O3447"/>
      <c r="R3447"/>
      <c r="S3447"/>
      <c r="T3447"/>
      <c r="U3447"/>
    </row>
    <row r="3448" spans="6:21" x14ac:dyDescent="0.25">
      <c r="F3448"/>
      <c r="O3448"/>
      <c r="R3448"/>
      <c r="S3448"/>
      <c r="T3448"/>
      <c r="U3448"/>
    </row>
    <row r="3449" spans="6:21" x14ac:dyDescent="0.25">
      <c r="F3449"/>
      <c r="O3449"/>
      <c r="R3449"/>
      <c r="S3449"/>
      <c r="T3449"/>
      <c r="U3449"/>
    </row>
    <row r="3450" spans="6:21" x14ac:dyDescent="0.25">
      <c r="F3450"/>
      <c r="O3450"/>
      <c r="R3450"/>
      <c r="S3450"/>
      <c r="T3450"/>
      <c r="U3450"/>
    </row>
    <row r="3451" spans="6:21" x14ac:dyDescent="0.25">
      <c r="F3451"/>
      <c r="O3451"/>
      <c r="R3451"/>
      <c r="S3451"/>
      <c r="T3451"/>
      <c r="U3451"/>
    </row>
    <row r="3452" spans="6:21" x14ac:dyDescent="0.25">
      <c r="F3452"/>
      <c r="O3452"/>
      <c r="R3452"/>
      <c r="S3452"/>
      <c r="T3452"/>
      <c r="U3452"/>
    </row>
    <row r="3453" spans="6:21" x14ac:dyDescent="0.25">
      <c r="F3453"/>
      <c r="O3453"/>
      <c r="R3453"/>
      <c r="S3453"/>
      <c r="T3453"/>
      <c r="U3453"/>
    </row>
    <row r="3454" spans="6:21" x14ac:dyDescent="0.25">
      <c r="F3454"/>
      <c r="O3454"/>
      <c r="R3454"/>
      <c r="S3454"/>
      <c r="T3454"/>
      <c r="U3454"/>
    </row>
    <row r="3455" spans="6:21" x14ac:dyDescent="0.25">
      <c r="F3455"/>
      <c r="O3455"/>
      <c r="R3455"/>
      <c r="S3455"/>
      <c r="T3455"/>
      <c r="U3455"/>
    </row>
    <row r="3456" spans="6:21" x14ac:dyDescent="0.25">
      <c r="F3456"/>
      <c r="O3456"/>
      <c r="R3456"/>
      <c r="S3456"/>
      <c r="T3456"/>
      <c r="U3456"/>
    </row>
    <row r="3457" spans="6:21" x14ac:dyDescent="0.25">
      <c r="F3457"/>
      <c r="O3457"/>
      <c r="R3457"/>
      <c r="S3457"/>
      <c r="T3457"/>
      <c r="U3457"/>
    </row>
    <row r="3458" spans="6:21" x14ac:dyDescent="0.25">
      <c r="F3458"/>
      <c r="O3458"/>
      <c r="R3458"/>
      <c r="S3458"/>
      <c r="T3458"/>
      <c r="U3458"/>
    </row>
    <row r="3459" spans="6:21" x14ac:dyDescent="0.25">
      <c r="F3459"/>
      <c r="O3459"/>
      <c r="R3459"/>
      <c r="S3459"/>
      <c r="T3459"/>
      <c r="U3459"/>
    </row>
    <row r="3460" spans="6:21" x14ac:dyDescent="0.25">
      <c r="F3460"/>
      <c r="O3460"/>
      <c r="R3460"/>
      <c r="S3460"/>
      <c r="T3460"/>
      <c r="U3460"/>
    </row>
    <row r="3461" spans="6:21" x14ac:dyDescent="0.25">
      <c r="F3461"/>
      <c r="O3461"/>
      <c r="R3461"/>
      <c r="S3461"/>
      <c r="T3461"/>
      <c r="U3461"/>
    </row>
    <row r="3462" spans="6:21" x14ac:dyDescent="0.25">
      <c r="F3462"/>
      <c r="O3462"/>
      <c r="R3462"/>
      <c r="S3462"/>
      <c r="T3462"/>
      <c r="U3462"/>
    </row>
    <row r="3463" spans="6:21" x14ac:dyDescent="0.25">
      <c r="F3463"/>
      <c r="O3463"/>
      <c r="R3463"/>
      <c r="S3463"/>
      <c r="T3463"/>
      <c r="U3463"/>
    </row>
    <row r="3464" spans="6:21" x14ac:dyDescent="0.25">
      <c r="F3464"/>
      <c r="O3464"/>
      <c r="R3464"/>
      <c r="S3464"/>
      <c r="T3464"/>
      <c r="U3464"/>
    </row>
    <row r="3465" spans="6:21" x14ac:dyDescent="0.25">
      <c r="F3465"/>
      <c r="O3465"/>
      <c r="R3465"/>
      <c r="S3465"/>
      <c r="T3465"/>
      <c r="U3465"/>
    </row>
    <row r="3466" spans="6:21" x14ac:dyDescent="0.25">
      <c r="F3466"/>
      <c r="O3466"/>
      <c r="R3466"/>
      <c r="S3466"/>
      <c r="T3466"/>
      <c r="U3466"/>
    </row>
    <row r="3467" spans="6:21" x14ac:dyDescent="0.25">
      <c r="F3467"/>
      <c r="O3467"/>
      <c r="R3467"/>
      <c r="S3467"/>
      <c r="T3467"/>
      <c r="U3467"/>
    </row>
    <row r="3468" spans="6:21" x14ac:dyDescent="0.25">
      <c r="F3468"/>
      <c r="O3468"/>
      <c r="R3468"/>
      <c r="S3468"/>
      <c r="T3468"/>
      <c r="U3468"/>
    </row>
    <row r="3469" spans="6:21" x14ac:dyDescent="0.25">
      <c r="F3469"/>
      <c r="O3469"/>
      <c r="R3469"/>
      <c r="S3469"/>
      <c r="T3469"/>
      <c r="U3469"/>
    </row>
    <row r="3470" spans="6:21" x14ac:dyDescent="0.25">
      <c r="F3470"/>
      <c r="O3470"/>
      <c r="R3470"/>
      <c r="S3470"/>
      <c r="T3470"/>
      <c r="U3470"/>
    </row>
    <row r="3471" spans="6:21" x14ac:dyDescent="0.25">
      <c r="F3471"/>
      <c r="O3471"/>
      <c r="R3471"/>
      <c r="S3471"/>
      <c r="T3471"/>
      <c r="U3471"/>
    </row>
    <row r="3472" spans="6:21" x14ac:dyDescent="0.25">
      <c r="F3472"/>
      <c r="O3472"/>
      <c r="R3472"/>
      <c r="S3472"/>
      <c r="T3472"/>
      <c r="U3472"/>
    </row>
    <row r="3473" spans="6:21" x14ac:dyDescent="0.25">
      <c r="F3473"/>
      <c r="O3473"/>
      <c r="R3473"/>
      <c r="S3473"/>
      <c r="T3473"/>
      <c r="U3473"/>
    </row>
    <row r="3474" spans="6:21" x14ac:dyDescent="0.25">
      <c r="F3474"/>
      <c r="O3474"/>
      <c r="R3474"/>
      <c r="S3474"/>
      <c r="T3474"/>
      <c r="U3474"/>
    </row>
    <row r="3475" spans="6:21" x14ac:dyDescent="0.25">
      <c r="F3475"/>
      <c r="O3475"/>
      <c r="R3475"/>
      <c r="S3475"/>
      <c r="T3475"/>
      <c r="U3475"/>
    </row>
    <row r="3476" spans="6:21" x14ac:dyDescent="0.25">
      <c r="F3476"/>
      <c r="O3476"/>
      <c r="R3476"/>
      <c r="S3476"/>
      <c r="T3476"/>
      <c r="U3476"/>
    </row>
    <row r="3477" spans="6:21" x14ac:dyDescent="0.25">
      <c r="F3477"/>
      <c r="O3477"/>
      <c r="R3477"/>
      <c r="S3477"/>
      <c r="T3477"/>
      <c r="U3477"/>
    </row>
    <row r="3478" spans="6:21" x14ac:dyDescent="0.25">
      <c r="F3478"/>
      <c r="O3478"/>
      <c r="R3478"/>
      <c r="S3478"/>
      <c r="T3478"/>
      <c r="U3478"/>
    </row>
    <row r="3479" spans="6:21" x14ac:dyDescent="0.25">
      <c r="F3479"/>
      <c r="O3479"/>
      <c r="R3479"/>
      <c r="S3479"/>
      <c r="T3479"/>
      <c r="U3479"/>
    </row>
    <row r="3480" spans="6:21" x14ac:dyDescent="0.25">
      <c r="F3480"/>
      <c r="O3480"/>
      <c r="R3480"/>
      <c r="S3480"/>
      <c r="T3480"/>
      <c r="U3480"/>
    </row>
    <row r="3481" spans="6:21" x14ac:dyDescent="0.25">
      <c r="F3481"/>
      <c r="O3481"/>
      <c r="R3481"/>
      <c r="S3481"/>
      <c r="T3481"/>
      <c r="U3481"/>
    </row>
    <row r="3482" spans="6:21" x14ac:dyDescent="0.25">
      <c r="F3482"/>
      <c r="O3482"/>
      <c r="R3482"/>
      <c r="S3482"/>
      <c r="T3482"/>
      <c r="U3482"/>
    </row>
    <row r="3483" spans="6:21" x14ac:dyDescent="0.25">
      <c r="F3483"/>
      <c r="O3483"/>
      <c r="R3483"/>
      <c r="S3483"/>
      <c r="T3483"/>
      <c r="U3483"/>
    </row>
    <row r="3484" spans="6:21" x14ac:dyDescent="0.25">
      <c r="F3484"/>
      <c r="O3484"/>
      <c r="R3484"/>
      <c r="S3484"/>
      <c r="T3484"/>
      <c r="U3484"/>
    </row>
    <row r="3485" spans="6:21" x14ac:dyDescent="0.25">
      <c r="F3485"/>
      <c r="O3485"/>
      <c r="R3485"/>
      <c r="S3485"/>
      <c r="T3485"/>
      <c r="U3485"/>
    </row>
    <row r="3486" spans="6:21" x14ac:dyDescent="0.25">
      <c r="F3486"/>
      <c r="O3486"/>
      <c r="R3486"/>
      <c r="S3486"/>
      <c r="T3486"/>
      <c r="U3486"/>
    </row>
    <row r="3487" spans="6:21" x14ac:dyDescent="0.25">
      <c r="F3487"/>
      <c r="O3487"/>
      <c r="R3487"/>
      <c r="S3487"/>
      <c r="T3487"/>
      <c r="U3487"/>
    </row>
    <row r="3488" spans="6:21" x14ac:dyDescent="0.25">
      <c r="F3488"/>
      <c r="O3488"/>
      <c r="R3488"/>
      <c r="S3488"/>
      <c r="T3488"/>
      <c r="U3488"/>
    </row>
    <row r="3489" spans="6:21" x14ac:dyDescent="0.25">
      <c r="F3489"/>
      <c r="O3489"/>
      <c r="R3489"/>
      <c r="S3489"/>
      <c r="T3489"/>
      <c r="U3489"/>
    </row>
    <row r="3490" spans="6:21" x14ac:dyDescent="0.25">
      <c r="F3490"/>
      <c r="O3490"/>
      <c r="R3490"/>
      <c r="S3490"/>
      <c r="T3490"/>
      <c r="U3490"/>
    </row>
    <row r="3491" spans="6:21" x14ac:dyDescent="0.25">
      <c r="F3491"/>
      <c r="O3491"/>
      <c r="R3491"/>
      <c r="S3491"/>
      <c r="T3491"/>
      <c r="U3491"/>
    </row>
    <row r="3492" spans="6:21" x14ac:dyDescent="0.25">
      <c r="F3492"/>
      <c r="O3492"/>
      <c r="R3492"/>
      <c r="S3492"/>
      <c r="T3492"/>
      <c r="U3492"/>
    </row>
    <row r="3493" spans="6:21" x14ac:dyDescent="0.25">
      <c r="F3493"/>
      <c r="O3493"/>
      <c r="R3493"/>
      <c r="S3493"/>
      <c r="T3493"/>
      <c r="U3493"/>
    </row>
    <row r="3494" spans="6:21" x14ac:dyDescent="0.25">
      <c r="F3494"/>
      <c r="O3494"/>
      <c r="R3494"/>
      <c r="S3494"/>
      <c r="T3494"/>
      <c r="U3494"/>
    </row>
    <row r="3495" spans="6:21" x14ac:dyDescent="0.25">
      <c r="F3495"/>
      <c r="O3495"/>
      <c r="R3495"/>
      <c r="S3495"/>
      <c r="T3495"/>
      <c r="U3495"/>
    </row>
    <row r="3496" spans="6:21" x14ac:dyDescent="0.25">
      <c r="F3496"/>
      <c r="O3496"/>
      <c r="R3496"/>
      <c r="S3496"/>
      <c r="T3496"/>
      <c r="U3496"/>
    </row>
    <row r="3497" spans="6:21" x14ac:dyDescent="0.25">
      <c r="F3497"/>
      <c r="O3497"/>
      <c r="R3497"/>
      <c r="S3497"/>
      <c r="T3497"/>
      <c r="U3497"/>
    </row>
    <row r="3498" spans="6:21" x14ac:dyDescent="0.25">
      <c r="F3498"/>
      <c r="O3498"/>
      <c r="R3498"/>
      <c r="S3498"/>
      <c r="T3498"/>
      <c r="U3498"/>
    </row>
    <row r="3499" spans="6:21" x14ac:dyDescent="0.25">
      <c r="F3499"/>
      <c r="O3499"/>
      <c r="R3499"/>
      <c r="S3499"/>
      <c r="T3499"/>
      <c r="U3499"/>
    </row>
    <row r="3500" spans="6:21" x14ac:dyDescent="0.25">
      <c r="F3500"/>
      <c r="O3500"/>
      <c r="R3500"/>
      <c r="S3500"/>
      <c r="T3500"/>
      <c r="U3500"/>
    </row>
    <row r="3501" spans="6:21" x14ac:dyDescent="0.25">
      <c r="F3501"/>
      <c r="O3501"/>
      <c r="R3501"/>
      <c r="S3501"/>
      <c r="T3501"/>
      <c r="U3501"/>
    </row>
    <row r="3502" spans="6:21" x14ac:dyDescent="0.25">
      <c r="F3502"/>
      <c r="O3502"/>
      <c r="R3502"/>
      <c r="S3502"/>
      <c r="T3502"/>
      <c r="U3502"/>
    </row>
    <row r="3503" spans="6:21" x14ac:dyDescent="0.25">
      <c r="F3503"/>
      <c r="O3503"/>
      <c r="R3503"/>
      <c r="S3503"/>
      <c r="T3503"/>
      <c r="U3503"/>
    </row>
    <row r="3504" spans="6:21" x14ac:dyDescent="0.25">
      <c r="F3504"/>
      <c r="O3504"/>
      <c r="R3504"/>
      <c r="S3504"/>
      <c r="T3504"/>
      <c r="U3504"/>
    </row>
    <row r="3505" spans="6:21" x14ac:dyDescent="0.25">
      <c r="F3505"/>
      <c r="O3505"/>
      <c r="R3505"/>
      <c r="S3505"/>
      <c r="T3505"/>
      <c r="U3505"/>
    </row>
    <row r="3506" spans="6:21" x14ac:dyDescent="0.25">
      <c r="F3506"/>
      <c r="O3506"/>
      <c r="R3506"/>
      <c r="S3506"/>
      <c r="T3506"/>
      <c r="U3506"/>
    </row>
    <row r="3507" spans="6:21" x14ac:dyDescent="0.25">
      <c r="F3507"/>
      <c r="O3507"/>
      <c r="R3507"/>
      <c r="S3507"/>
      <c r="T3507"/>
      <c r="U3507"/>
    </row>
    <row r="3508" spans="6:21" x14ac:dyDescent="0.25">
      <c r="F3508"/>
      <c r="O3508"/>
      <c r="R3508"/>
      <c r="S3508"/>
      <c r="T3508"/>
      <c r="U3508"/>
    </row>
    <row r="3509" spans="6:21" x14ac:dyDescent="0.25">
      <c r="F3509"/>
      <c r="O3509"/>
      <c r="R3509"/>
      <c r="S3509"/>
      <c r="T3509"/>
      <c r="U3509"/>
    </row>
    <row r="3510" spans="6:21" x14ac:dyDescent="0.25">
      <c r="F3510"/>
      <c r="O3510"/>
      <c r="R3510"/>
      <c r="S3510"/>
      <c r="T3510"/>
      <c r="U3510"/>
    </row>
    <row r="3511" spans="6:21" x14ac:dyDescent="0.25">
      <c r="F3511"/>
      <c r="O3511"/>
      <c r="R3511"/>
      <c r="S3511"/>
      <c r="T3511"/>
      <c r="U3511"/>
    </row>
    <row r="3512" spans="6:21" x14ac:dyDescent="0.25">
      <c r="F3512"/>
      <c r="O3512"/>
      <c r="R3512"/>
      <c r="S3512"/>
      <c r="T3512"/>
      <c r="U3512"/>
    </row>
    <row r="3513" spans="6:21" x14ac:dyDescent="0.25">
      <c r="F3513"/>
      <c r="O3513"/>
      <c r="R3513"/>
      <c r="S3513"/>
      <c r="T3513"/>
      <c r="U3513"/>
    </row>
    <row r="3514" spans="6:21" x14ac:dyDescent="0.25">
      <c r="F3514"/>
      <c r="O3514"/>
      <c r="R3514"/>
      <c r="S3514"/>
      <c r="T3514"/>
      <c r="U3514"/>
    </row>
    <row r="3515" spans="6:21" x14ac:dyDescent="0.25">
      <c r="F3515"/>
      <c r="O3515"/>
      <c r="R3515"/>
      <c r="S3515"/>
      <c r="T3515"/>
      <c r="U3515"/>
    </row>
    <row r="3516" spans="6:21" x14ac:dyDescent="0.25">
      <c r="F3516"/>
      <c r="O3516"/>
      <c r="R3516"/>
      <c r="S3516"/>
      <c r="T3516"/>
      <c r="U3516"/>
    </row>
    <row r="3517" spans="6:21" x14ac:dyDescent="0.25">
      <c r="F3517"/>
      <c r="O3517"/>
      <c r="R3517"/>
      <c r="S3517"/>
      <c r="T3517"/>
      <c r="U3517"/>
    </row>
    <row r="3518" spans="6:21" x14ac:dyDescent="0.25">
      <c r="F3518"/>
      <c r="O3518"/>
      <c r="R3518"/>
      <c r="S3518"/>
      <c r="T3518"/>
      <c r="U3518"/>
    </row>
    <row r="3519" spans="6:21" x14ac:dyDescent="0.25">
      <c r="F3519"/>
      <c r="O3519"/>
      <c r="R3519"/>
      <c r="S3519"/>
      <c r="T3519"/>
      <c r="U3519"/>
    </row>
    <row r="3520" spans="6:21" x14ac:dyDescent="0.25">
      <c r="F3520"/>
      <c r="O3520"/>
      <c r="R3520"/>
      <c r="S3520"/>
      <c r="T3520"/>
      <c r="U3520"/>
    </row>
    <row r="3521" spans="6:21" x14ac:dyDescent="0.25">
      <c r="F3521"/>
      <c r="O3521"/>
      <c r="R3521"/>
      <c r="S3521"/>
      <c r="T3521"/>
      <c r="U3521"/>
    </row>
    <row r="3522" spans="6:21" x14ac:dyDescent="0.25">
      <c r="F3522"/>
      <c r="O3522"/>
      <c r="R3522"/>
      <c r="S3522"/>
      <c r="T3522"/>
      <c r="U3522"/>
    </row>
    <row r="3523" spans="6:21" x14ac:dyDescent="0.25">
      <c r="F3523"/>
      <c r="O3523"/>
      <c r="R3523"/>
      <c r="S3523"/>
      <c r="T3523"/>
      <c r="U3523"/>
    </row>
    <row r="3524" spans="6:21" x14ac:dyDescent="0.25">
      <c r="F3524"/>
      <c r="O3524"/>
      <c r="R3524"/>
      <c r="S3524"/>
      <c r="T3524"/>
      <c r="U3524"/>
    </row>
    <row r="3525" spans="6:21" x14ac:dyDescent="0.25">
      <c r="F3525"/>
      <c r="O3525"/>
      <c r="R3525"/>
      <c r="S3525"/>
      <c r="T3525"/>
      <c r="U3525"/>
    </row>
    <row r="3526" spans="6:21" x14ac:dyDescent="0.25">
      <c r="F3526"/>
      <c r="O3526"/>
      <c r="R3526"/>
      <c r="S3526"/>
      <c r="T3526"/>
      <c r="U3526"/>
    </row>
    <row r="3527" spans="6:21" x14ac:dyDescent="0.25">
      <c r="F3527"/>
      <c r="O3527"/>
      <c r="R3527"/>
      <c r="S3527"/>
      <c r="T3527"/>
      <c r="U3527"/>
    </row>
    <row r="3528" spans="6:21" x14ac:dyDescent="0.25">
      <c r="F3528"/>
      <c r="O3528"/>
      <c r="R3528"/>
      <c r="S3528"/>
      <c r="T3528"/>
      <c r="U3528"/>
    </row>
    <row r="3529" spans="6:21" x14ac:dyDescent="0.25">
      <c r="F3529"/>
      <c r="O3529"/>
      <c r="R3529"/>
      <c r="S3529"/>
      <c r="T3529"/>
      <c r="U3529"/>
    </row>
    <row r="3530" spans="6:21" x14ac:dyDescent="0.25">
      <c r="F3530"/>
      <c r="O3530"/>
      <c r="R3530"/>
      <c r="S3530"/>
      <c r="T3530"/>
      <c r="U3530"/>
    </row>
    <row r="3531" spans="6:21" x14ac:dyDescent="0.25">
      <c r="F3531"/>
      <c r="O3531"/>
      <c r="R3531"/>
      <c r="S3531"/>
      <c r="T3531"/>
      <c r="U3531"/>
    </row>
    <row r="3532" spans="6:21" x14ac:dyDescent="0.25">
      <c r="F3532"/>
      <c r="O3532"/>
      <c r="R3532"/>
      <c r="S3532"/>
      <c r="T3532"/>
      <c r="U3532"/>
    </row>
    <row r="3533" spans="6:21" x14ac:dyDescent="0.25">
      <c r="F3533"/>
      <c r="O3533"/>
      <c r="R3533"/>
      <c r="S3533"/>
      <c r="T3533"/>
      <c r="U3533"/>
    </row>
    <row r="3534" spans="6:21" x14ac:dyDescent="0.25">
      <c r="F3534"/>
      <c r="O3534"/>
      <c r="R3534"/>
      <c r="S3534"/>
      <c r="T3534"/>
      <c r="U3534"/>
    </row>
    <row r="3535" spans="6:21" x14ac:dyDescent="0.25">
      <c r="F3535"/>
      <c r="O3535"/>
      <c r="R3535"/>
      <c r="S3535"/>
      <c r="T3535"/>
      <c r="U3535"/>
    </row>
    <row r="3536" spans="6:21" x14ac:dyDescent="0.25">
      <c r="F3536"/>
      <c r="O3536"/>
      <c r="R3536"/>
      <c r="S3536"/>
      <c r="T3536"/>
      <c r="U3536"/>
    </row>
    <row r="3537" spans="6:21" x14ac:dyDescent="0.25">
      <c r="F3537"/>
      <c r="O3537"/>
      <c r="R3537"/>
      <c r="S3537"/>
      <c r="T3537"/>
      <c r="U3537"/>
    </row>
    <row r="3538" spans="6:21" x14ac:dyDescent="0.25">
      <c r="F3538"/>
      <c r="O3538"/>
      <c r="R3538"/>
      <c r="S3538"/>
      <c r="T3538"/>
      <c r="U3538"/>
    </row>
    <row r="3539" spans="6:21" x14ac:dyDescent="0.25">
      <c r="F3539"/>
      <c r="O3539"/>
      <c r="R3539"/>
      <c r="S3539"/>
      <c r="T3539"/>
      <c r="U3539"/>
    </row>
    <row r="3540" spans="6:21" x14ac:dyDescent="0.25">
      <c r="F3540"/>
      <c r="O3540"/>
      <c r="R3540"/>
      <c r="S3540"/>
      <c r="T3540"/>
      <c r="U3540"/>
    </row>
    <row r="3541" spans="6:21" x14ac:dyDescent="0.25">
      <c r="F3541"/>
      <c r="O3541"/>
      <c r="R3541"/>
      <c r="S3541"/>
      <c r="T3541"/>
      <c r="U3541"/>
    </row>
    <row r="3542" spans="6:21" x14ac:dyDescent="0.25">
      <c r="F3542"/>
      <c r="O3542"/>
      <c r="R3542"/>
      <c r="S3542"/>
      <c r="T3542"/>
      <c r="U3542"/>
    </row>
    <row r="3543" spans="6:21" x14ac:dyDescent="0.25">
      <c r="F3543"/>
      <c r="O3543"/>
      <c r="R3543"/>
      <c r="S3543"/>
      <c r="T3543"/>
      <c r="U3543"/>
    </row>
    <row r="3544" spans="6:21" x14ac:dyDescent="0.25">
      <c r="F3544"/>
      <c r="O3544"/>
      <c r="R3544"/>
      <c r="S3544"/>
      <c r="T3544"/>
      <c r="U3544"/>
    </row>
    <row r="3545" spans="6:21" x14ac:dyDescent="0.25">
      <c r="F3545"/>
      <c r="O3545"/>
      <c r="R3545"/>
      <c r="S3545"/>
      <c r="T3545"/>
      <c r="U3545"/>
    </row>
    <row r="3546" spans="6:21" x14ac:dyDescent="0.25">
      <c r="F3546"/>
      <c r="O3546"/>
      <c r="R3546"/>
      <c r="S3546"/>
      <c r="T3546"/>
      <c r="U3546"/>
    </row>
    <row r="3547" spans="6:21" x14ac:dyDescent="0.25">
      <c r="F3547"/>
      <c r="O3547"/>
      <c r="R3547"/>
      <c r="S3547"/>
      <c r="T3547"/>
      <c r="U3547"/>
    </row>
    <row r="3548" spans="6:21" x14ac:dyDescent="0.25">
      <c r="F3548"/>
      <c r="O3548"/>
      <c r="R3548"/>
      <c r="S3548"/>
      <c r="T3548"/>
      <c r="U3548"/>
    </row>
    <row r="3549" spans="6:21" x14ac:dyDescent="0.25">
      <c r="F3549"/>
      <c r="O3549"/>
      <c r="R3549"/>
      <c r="S3549"/>
      <c r="T3549"/>
      <c r="U3549"/>
    </row>
    <row r="3550" spans="6:21" x14ac:dyDescent="0.25">
      <c r="F3550"/>
      <c r="O3550"/>
      <c r="R3550"/>
      <c r="S3550"/>
      <c r="T3550"/>
      <c r="U3550"/>
    </row>
    <row r="3551" spans="6:21" x14ac:dyDescent="0.25">
      <c r="F3551"/>
      <c r="O3551"/>
      <c r="R3551"/>
      <c r="S3551"/>
      <c r="T3551"/>
      <c r="U3551"/>
    </row>
    <row r="3552" spans="6:21" x14ac:dyDescent="0.25">
      <c r="F3552"/>
      <c r="O3552"/>
      <c r="R3552"/>
      <c r="S3552"/>
      <c r="T3552"/>
      <c r="U3552"/>
    </row>
    <row r="3553" spans="6:21" x14ac:dyDescent="0.25">
      <c r="F3553"/>
      <c r="O3553"/>
      <c r="R3553"/>
      <c r="S3553"/>
      <c r="T3553"/>
      <c r="U3553"/>
    </row>
    <row r="3554" spans="6:21" x14ac:dyDescent="0.25">
      <c r="F3554"/>
      <c r="O3554"/>
      <c r="R3554"/>
      <c r="S3554"/>
      <c r="T3554"/>
      <c r="U3554"/>
    </row>
    <row r="3555" spans="6:21" x14ac:dyDescent="0.25">
      <c r="F3555"/>
      <c r="O3555"/>
      <c r="R3555"/>
      <c r="S3555"/>
      <c r="T3555"/>
      <c r="U3555"/>
    </row>
    <row r="3556" spans="6:21" x14ac:dyDescent="0.25">
      <c r="F3556"/>
      <c r="O3556"/>
      <c r="R3556"/>
      <c r="S3556"/>
      <c r="T3556"/>
      <c r="U3556"/>
    </row>
    <row r="3557" spans="6:21" x14ac:dyDescent="0.25">
      <c r="F3557"/>
      <c r="O3557"/>
      <c r="R3557"/>
      <c r="S3557"/>
      <c r="T3557"/>
      <c r="U3557"/>
    </row>
    <row r="3558" spans="6:21" x14ac:dyDescent="0.25">
      <c r="F3558"/>
      <c r="O3558"/>
      <c r="R3558"/>
      <c r="S3558"/>
      <c r="T3558"/>
      <c r="U3558"/>
    </row>
    <row r="3559" spans="6:21" x14ac:dyDescent="0.25">
      <c r="F3559"/>
      <c r="O3559"/>
      <c r="R3559"/>
      <c r="S3559"/>
      <c r="T3559"/>
      <c r="U3559"/>
    </row>
    <row r="3560" spans="6:21" x14ac:dyDescent="0.25">
      <c r="F3560"/>
      <c r="O3560"/>
      <c r="R3560"/>
      <c r="S3560"/>
      <c r="T3560"/>
      <c r="U3560"/>
    </row>
    <row r="3561" spans="6:21" x14ac:dyDescent="0.25">
      <c r="F3561"/>
      <c r="O3561"/>
      <c r="R3561"/>
      <c r="S3561"/>
      <c r="T3561"/>
      <c r="U3561"/>
    </row>
    <row r="3562" spans="6:21" x14ac:dyDescent="0.25">
      <c r="F3562"/>
      <c r="O3562"/>
      <c r="R3562"/>
      <c r="S3562"/>
      <c r="T3562"/>
      <c r="U3562"/>
    </row>
    <row r="3563" spans="6:21" x14ac:dyDescent="0.25">
      <c r="F3563"/>
      <c r="O3563"/>
      <c r="R3563"/>
      <c r="S3563"/>
      <c r="T3563"/>
      <c r="U3563"/>
    </row>
    <row r="3564" spans="6:21" x14ac:dyDescent="0.25">
      <c r="F3564"/>
      <c r="O3564"/>
      <c r="R3564"/>
      <c r="S3564"/>
      <c r="T3564"/>
      <c r="U3564"/>
    </row>
    <row r="3565" spans="6:21" x14ac:dyDescent="0.25">
      <c r="F3565"/>
      <c r="O3565"/>
      <c r="R3565"/>
      <c r="S3565"/>
      <c r="T3565"/>
      <c r="U3565"/>
    </row>
    <row r="3566" spans="6:21" x14ac:dyDescent="0.25">
      <c r="F3566"/>
      <c r="O3566"/>
      <c r="R3566"/>
      <c r="S3566"/>
      <c r="T3566"/>
      <c r="U3566"/>
    </row>
    <row r="3567" spans="6:21" x14ac:dyDescent="0.25">
      <c r="F3567"/>
      <c r="O3567"/>
      <c r="R3567"/>
      <c r="S3567"/>
      <c r="T3567"/>
      <c r="U3567"/>
    </row>
    <row r="3568" spans="6:21" x14ac:dyDescent="0.25">
      <c r="F3568"/>
      <c r="O3568"/>
      <c r="R3568"/>
      <c r="S3568"/>
      <c r="T3568"/>
      <c r="U3568"/>
    </row>
    <row r="3569" spans="6:21" x14ac:dyDescent="0.25">
      <c r="F3569"/>
      <c r="O3569"/>
      <c r="R3569"/>
      <c r="S3569"/>
      <c r="T3569"/>
      <c r="U3569"/>
    </row>
    <row r="3570" spans="6:21" x14ac:dyDescent="0.25">
      <c r="F3570"/>
      <c r="O3570"/>
      <c r="R3570"/>
      <c r="S3570"/>
      <c r="T3570"/>
      <c r="U3570"/>
    </row>
    <row r="3571" spans="6:21" x14ac:dyDescent="0.25">
      <c r="F3571"/>
      <c r="O3571"/>
      <c r="R3571"/>
      <c r="S3571"/>
      <c r="T3571"/>
      <c r="U3571"/>
    </row>
    <row r="3572" spans="6:21" x14ac:dyDescent="0.25">
      <c r="F3572"/>
      <c r="O3572"/>
      <c r="R3572"/>
      <c r="S3572"/>
      <c r="T3572"/>
      <c r="U3572"/>
    </row>
    <row r="3573" spans="6:21" x14ac:dyDescent="0.25">
      <c r="F3573"/>
      <c r="O3573"/>
      <c r="R3573"/>
      <c r="S3573"/>
      <c r="T3573"/>
      <c r="U3573"/>
    </row>
    <row r="3574" spans="6:21" x14ac:dyDescent="0.25">
      <c r="F3574"/>
      <c r="O3574"/>
      <c r="R3574"/>
      <c r="S3574"/>
      <c r="T3574"/>
      <c r="U3574"/>
    </row>
    <row r="3575" spans="6:21" x14ac:dyDescent="0.25">
      <c r="F3575"/>
      <c r="O3575"/>
      <c r="R3575"/>
      <c r="S3575"/>
      <c r="T3575"/>
      <c r="U3575"/>
    </row>
    <row r="3576" spans="6:21" x14ac:dyDescent="0.25">
      <c r="F3576"/>
      <c r="O3576"/>
      <c r="R3576"/>
      <c r="S3576"/>
      <c r="T3576"/>
      <c r="U3576"/>
    </row>
    <row r="3577" spans="6:21" x14ac:dyDescent="0.25">
      <c r="F3577"/>
      <c r="O3577"/>
      <c r="R3577"/>
      <c r="S3577"/>
      <c r="T3577"/>
      <c r="U3577"/>
    </row>
    <row r="3578" spans="6:21" x14ac:dyDescent="0.25">
      <c r="F3578"/>
      <c r="O3578"/>
      <c r="R3578"/>
      <c r="S3578"/>
      <c r="T3578"/>
      <c r="U3578"/>
    </row>
    <row r="3579" spans="6:21" x14ac:dyDescent="0.25">
      <c r="F3579"/>
      <c r="O3579"/>
      <c r="R3579"/>
      <c r="S3579"/>
      <c r="T3579"/>
      <c r="U3579"/>
    </row>
    <row r="3580" spans="6:21" x14ac:dyDescent="0.25">
      <c r="F3580"/>
      <c r="O3580"/>
      <c r="R3580"/>
      <c r="S3580"/>
      <c r="T3580"/>
      <c r="U3580"/>
    </row>
    <row r="3581" spans="6:21" x14ac:dyDescent="0.25">
      <c r="F3581"/>
      <c r="O3581"/>
      <c r="R3581"/>
      <c r="S3581"/>
      <c r="T3581"/>
      <c r="U3581"/>
    </row>
    <row r="3582" spans="6:21" x14ac:dyDescent="0.25">
      <c r="F3582"/>
      <c r="O3582"/>
      <c r="R3582"/>
      <c r="S3582"/>
      <c r="T3582"/>
      <c r="U3582"/>
    </row>
    <row r="3583" spans="6:21" x14ac:dyDescent="0.25">
      <c r="F3583"/>
      <c r="O3583"/>
      <c r="R3583"/>
      <c r="S3583"/>
      <c r="T3583"/>
      <c r="U3583"/>
    </row>
    <row r="3584" spans="6:21" x14ac:dyDescent="0.25">
      <c r="F3584"/>
      <c r="O3584"/>
      <c r="R3584"/>
      <c r="S3584"/>
      <c r="T3584"/>
      <c r="U3584"/>
    </row>
    <row r="3585" spans="6:21" x14ac:dyDescent="0.25">
      <c r="F3585"/>
      <c r="O3585"/>
      <c r="R3585"/>
      <c r="S3585"/>
      <c r="T3585"/>
      <c r="U3585"/>
    </row>
    <row r="3586" spans="6:21" x14ac:dyDescent="0.25">
      <c r="F3586"/>
      <c r="O3586"/>
      <c r="R3586"/>
      <c r="S3586"/>
      <c r="T3586"/>
      <c r="U3586"/>
    </row>
    <row r="3587" spans="6:21" x14ac:dyDescent="0.25">
      <c r="F3587"/>
      <c r="O3587"/>
      <c r="R3587"/>
      <c r="S3587"/>
      <c r="T3587"/>
      <c r="U3587"/>
    </row>
    <row r="3588" spans="6:21" x14ac:dyDescent="0.25">
      <c r="F3588"/>
      <c r="O3588"/>
      <c r="R3588"/>
      <c r="S3588"/>
      <c r="T3588"/>
      <c r="U3588"/>
    </row>
    <row r="3589" spans="6:21" x14ac:dyDescent="0.25">
      <c r="F3589"/>
      <c r="O3589"/>
      <c r="R3589"/>
      <c r="S3589"/>
      <c r="T3589"/>
      <c r="U3589"/>
    </row>
    <row r="3590" spans="6:21" x14ac:dyDescent="0.25">
      <c r="F3590"/>
      <c r="O3590"/>
      <c r="R3590"/>
      <c r="S3590"/>
      <c r="T3590"/>
      <c r="U3590"/>
    </row>
    <row r="3591" spans="6:21" x14ac:dyDescent="0.25">
      <c r="F3591"/>
      <c r="O3591"/>
      <c r="R3591"/>
      <c r="S3591"/>
      <c r="T3591"/>
      <c r="U3591"/>
    </row>
    <row r="3592" spans="6:21" x14ac:dyDescent="0.25">
      <c r="F3592"/>
      <c r="O3592"/>
      <c r="R3592"/>
      <c r="S3592"/>
      <c r="T3592"/>
      <c r="U3592"/>
    </row>
    <row r="3593" spans="6:21" x14ac:dyDescent="0.25">
      <c r="F3593"/>
      <c r="O3593"/>
      <c r="R3593"/>
      <c r="S3593"/>
      <c r="T3593"/>
      <c r="U3593"/>
    </row>
    <row r="3594" spans="6:21" x14ac:dyDescent="0.25">
      <c r="F3594"/>
      <c r="O3594"/>
      <c r="R3594"/>
      <c r="S3594"/>
      <c r="T3594"/>
      <c r="U3594"/>
    </row>
    <row r="3595" spans="6:21" x14ac:dyDescent="0.25">
      <c r="F3595"/>
      <c r="O3595"/>
      <c r="R3595"/>
      <c r="S3595"/>
      <c r="T3595"/>
      <c r="U3595"/>
    </row>
    <row r="3596" spans="6:21" x14ac:dyDescent="0.25">
      <c r="F3596"/>
      <c r="O3596"/>
      <c r="R3596"/>
      <c r="S3596"/>
      <c r="T3596"/>
      <c r="U3596"/>
    </row>
    <row r="3597" spans="6:21" x14ac:dyDescent="0.25">
      <c r="F3597"/>
      <c r="O3597"/>
      <c r="R3597"/>
      <c r="S3597"/>
      <c r="T3597"/>
      <c r="U3597"/>
    </row>
    <row r="3598" spans="6:21" x14ac:dyDescent="0.25">
      <c r="F3598"/>
      <c r="O3598"/>
      <c r="R3598"/>
      <c r="S3598"/>
      <c r="T3598"/>
      <c r="U3598"/>
    </row>
    <row r="3599" spans="6:21" x14ac:dyDescent="0.25">
      <c r="F3599"/>
      <c r="O3599"/>
      <c r="R3599"/>
      <c r="S3599"/>
      <c r="T3599"/>
      <c r="U3599"/>
    </row>
    <row r="3600" spans="6:21" x14ac:dyDescent="0.25">
      <c r="F3600"/>
      <c r="O3600"/>
      <c r="R3600"/>
      <c r="S3600"/>
      <c r="T3600"/>
      <c r="U3600"/>
    </row>
    <row r="3601" spans="6:21" x14ac:dyDescent="0.25">
      <c r="F3601"/>
      <c r="O3601"/>
      <c r="R3601"/>
      <c r="S3601"/>
      <c r="T3601"/>
      <c r="U3601"/>
    </row>
    <row r="3602" spans="6:21" x14ac:dyDescent="0.25">
      <c r="F3602"/>
      <c r="O3602"/>
      <c r="R3602"/>
      <c r="S3602"/>
      <c r="T3602"/>
      <c r="U3602"/>
    </row>
    <row r="3603" spans="6:21" x14ac:dyDescent="0.25">
      <c r="F3603"/>
      <c r="O3603"/>
      <c r="R3603"/>
      <c r="S3603"/>
      <c r="T3603"/>
      <c r="U3603"/>
    </row>
    <row r="3604" spans="6:21" x14ac:dyDescent="0.25">
      <c r="F3604"/>
      <c r="O3604"/>
      <c r="R3604"/>
      <c r="S3604"/>
      <c r="T3604"/>
      <c r="U3604"/>
    </row>
    <row r="3605" spans="6:21" x14ac:dyDescent="0.25">
      <c r="F3605"/>
      <c r="O3605"/>
      <c r="R3605"/>
      <c r="S3605"/>
      <c r="T3605"/>
      <c r="U3605"/>
    </row>
    <row r="3606" spans="6:21" x14ac:dyDescent="0.25">
      <c r="F3606"/>
      <c r="O3606"/>
      <c r="R3606"/>
      <c r="S3606"/>
      <c r="T3606"/>
      <c r="U3606"/>
    </row>
    <row r="3607" spans="6:21" x14ac:dyDescent="0.25">
      <c r="F3607"/>
      <c r="O3607"/>
      <c r="R3607"/>
      <c r="S3607"/>
      <c r="T3607"/>
      <c r="U3607"/>
    </row>
    <row r="3608" spans="6:21" x14ac:dyDescent="0.25">
      <c r="F3608"/>
      <c r="O3608"/>
      <c r="R3608"/>
      <c r="S3608"/>
      <c r="T3608"/>
      <c r="U3608"/>
    </row>
    <row r="3609" spans="6:21" x14ac:dyDescent="0.25">
      <c r="F3609"/>
      <c r="O3609"/>
      <c r="R3609"/>
      <c r="S3609"/>
      <c r="T3609"/>
      <c r="U3609"/>
    </row>
    <row r="3610" spans="6:21" x14ac:dyDescent="0.25">
      <c r="F3610"/>
      <c r="O3610"/>
      <c r="R3610"/>
      <c r="S3610"/>
      <c r="T3610"/>
      <c r="U3610"/>
    </row>
    <row r="3611" spans="6:21" x14ac:dyDescent="0.25">
      <c r="F3611"/>
      <c r="O3611"/>
      <c r="R3611"/>
      <c r="S3611"/>
      <c r="T3611"/>
      <c r="U3611"/>
    </row>
    <row r="3612" spans="6:21" x14ac:dyDescent="0.25">
      <c r="F3612"/>
      <c r="O3612"/>
      <c r="R3612"/>
      <c r="S3612"/>
      <c r="T3612"/>
      <c r="U3612"/>
    </row>
    <row r="3613" spans="6:21" x14ac:dyDescent="0.25">
      <c r="F3613"/>
      <c r="O3613"/>
      <c r="R3613"/>
      <c r="S3613"/>
      <c r="T3613"/>
      <c r="U3613"/>
    </row>
    <row r="3614" spans="6:21" x14ac:dyDescent="0.25">
      <c r="F3614"/>
      <c r="O3614"/>
      <c r="R3614"/>
      <c r="S3614"/>
      <c r="T3614"/>
      <c r="U3614"/>
    </row>
    <row r="3615" spans="6:21" x14ac:dyDescent="0.25">
      <c r="F3615"/>
      <c r="O3615"/>
      <c r="R3615"/>
      <c r="S3615"/>
      <c r="T3615"/>
      <c r="U3615"/>
    </row>
    <row r="3616" spans="6:21" x14ac:dyDescent="0.25">
      <c r="F3616"/>
      <c r="O3616"/>
      <c r="R3616"/>
      <c r="S3616"/>
      <c r="T3616"/>
      <c r="U3616"/>
    </row>
    <row r="3617" spans="6:21" x14ac:dyDescent="0.25">
      <c r="F3617"/>
      <c r="O3617"/>
      <c r="R3617"/>
      <c r="S3617"/>
      <c r="T3617"/>
      <c r="U3617"/>
    </row>
    <row r="3618" spans="6:21" x14ac:dyDescent="0.25">
      <c r="F3618"/>
      <c r="O3618"/>
      <c r="R3618"/>
      <c r="S3618"/>
      <c r="T3618"/>
      <c r="U3618"/>
    </row>
    <row r="3619" spans="6:21" x14ac:dyDescent="0.25">
      <c r="F3619"/>
      <c r="O3619"/>
      <c r="R3619"/>
      <c r="S3619"/>
      <c r="T3619"/>
      <c r="U3619"/>
    </row>
    <row r="3620" spans="6:21" x14ac:dyDescent="0.25">
      <c r="F3620"/>
      <c r="O3620"/>
      <c r="R3620"/>
      <c r="S3620"/>
      <c r="T3620"/>
      <c r="U3620"/>
    </row>
    <row r="3621" spans="6:21" x14ac:dyDescent="0.25">
      <c r="F3621"/>
      <c r="O3621"/>
      <c r="R3621"/>
      <c r="S3621"/>
      <c r="T3621"/>
      <c r="U3621"/>
    </row>
    <row r="3622" spans="6:21" x14ac:dyDescent="0.25">
      <c r="F3622"/>
      <c r="O3622"/>
      <c r="R3622"/>
      <c r="S3622"/>
      <c r="T3622"/>
      <c r="U3622"/>
    </row>
    <row r="3623" spans="6:21" x14ac:dyDescent="0.25">
      <c r="F3623"/>
      <c r="O3623"/>
      <c r="R3623"/>
      <c r="S3623"/>
      <c r="T3623"/>
      <c r="U3623"/>
    </row>
    <row r="3624" spans="6:21" x14ac:dyDescent="0.25">
      <c r="F3624"/>
      <c r="O3624"/>
      <c r="R3624"/>
      <c r="S3624"/>
      <c r="T3624"/>
      <c r="U3624"/>
    </row>
    <row r="3625" spans="6:21" x14ac:dyDescent="0.25">
      <c r="F3625"/>
      <c r="O3625"/>
      <c r="R3625"/>
      <c r="S3625"/>
      <c r="T3625"/>
      <c r="U3625"/>
    </row>
    <row r="3626" spans="6:21" x14ac:dyDescent="0.25">
      <c r="F3626"/>
      <c r="O3626"/>
      <c r="R3626"/>
      <c r="S3626"/>
      <c r="T3626"/>
      <c r="U3626"/>
    </row>
    <row r="3627" spans="6:21" x14ac:dyDescent="0.25">
      <c r="F3627"/>
      <c r="O3627"/>
      <c r="R3627"/>
      <c r="S3627"/>
      <c r="T3627"/>
      <c r="U3627"/>
    </row>
    <row r="3628" spans="6:21" x14ac:dyDescent="0.25">
      <c r="F3628"/>
      <c r="O3628"/>
      <c r="R3628"/>
      <c r="S3628"/>
      <c r="T3628"/>
      <c r="U3628"/>
    </row>
    <row r="3629" spans="6:21" x14ac:dyDescent="0.25">
      <c r="F3629"/>
      <c r="O3629"/>
      <c r="R3629"/>
      <c r="S3629"/>
      <c r="T3629"/>
      <c r="U3629"/>
    </row>
    <row r="3630" spans="6:21" x14ac:dyDescent="0.25">
      <c r="F3630"/>
      <c r="O3630"/>
      <c r="R3630"/>
      <c r="S3630"/>
      <c r="T3630"/>
      <c r="U3630"/>
    </row>
    <row r="3631" spans="6:21" x14ac:dyDescent="0.25">
      <c r="F3631"/>
      <c r="O3631"/>
      <c r="R3631"/>
      <c r="S3631"/>
      <c r="T3631"/>
      <c r="U3631"/>
    </row>
    <row r="3632" spans="6:21" x14ac:dyDescent="0.25">
      <c r="F3632"/>
      <c r="O3632"/>
      <c r="R3632"/>
      <c r="S3632"/>
      <c r="T3632"/>
      <c r="U3632"/>
    </row>
    <row r="3633" spans="6:21" x14ac:dyDescent="0.25">
      <c r="F3633"/>
      <c r="O3633"/>
      <c r="R3633"/>
      <c r="S3633"/>
      <c r="T3633"/>
      <c r="U3633"/>
    </row>
    <row r="3634" spans="6:21" x14ac:dyDescent="0.25">
      <c r="F3634"/>
      <c r="O3634"/>
      <c r="R3634"/>
      <c r="S3634"/>
      <c r="T3634"/>
      <c r="U3634"/>
    </row>
    <row r="3635" spans="6:21" x14ac:dyDescent="0.25">
      <c r="F3635"/>
      <c r="O3635"/>
      <c r="R3635"/>
      <c r="S3635"/>
      <c r="T3635"/>
      <c r="U3635"/>
    </row>
    <row r="3636" spans="6:21" x14ac:dyDescent="0.25">
      <c r="F3636"/>
      <c r="O3636"/>
      <c r="R3636"/>
      <c r="S3636"/>
      <c r="T3636"/>
      <c r="U3636"/>
    </row>
    <row r="3637" spans="6:21" x14ac:dyDescent="0.25">
      <c r="F3637"/>
      <c r="O3637"/>
      <c r="R3637"/>
      <c r="S3637"/>
      <c r="T3637"/>
      <c r="U3637"/>
    </row>
    <row r="3638" spans="6:21" x14ac:dyDescent="0.25">
      <c r="F3638"/>
      <c r="O3638"/>
      <c r="R3638"/>
      <c r="S3638"/>
      <c r="T3638"/>
      <c r="U3638"/>
    </row>
    <row r="3639" spans="6:21" x14ac:dyDescent="0.25">
      <c r="F3639"/>
      <c r="O3639"/>
      <c r="R3639"/>
      <c r="S3639"/>
      <c r="T3639"/>
      <c r="U3639"/>
    </row>
    <row r="3640" spans="6:21" x14ac:dyDescent="0.25">
      <c r="F3640"/>
      <c r="O3640"/>
      <c r="R3640"/>
      <c r="S3640"/>
      <c r="T3640"/>
      <c r="U3640"/>
    </row>
    <row r="3641" spans="6:21" x14ac:dyDescent="0.25">
      <c r="F3641"/>
      <c r="O3641"/>
      <c r="R3641"/>
      <c r="S3641"/>
      <c r="T3641"/>
      <c r="U3641"/>
    </row>
    <row r="3642" spans="6:21" x14ac:dyDescent="0.25">
      <c r="F3642"/>
      <c r="O3642"/>
      <c r="R3642"/>
      <c r="S3642"/>
      <c r="T3642"/>
      <c r="U3642"/>
    </row>
    <row r="3643" spans="6:21" x14ac:dyDescent="0.25">
      <c r="F3643"/>
      <c r="O3643"/>
      <c r="R3643"/>
      <c r="S3643"/>
      <c r="T3643"/>
      <c r="U3643"/>
    </row>
    <row r="3644" spans="6:21" x14ac:dyDescent="0.25">
      <c r="F3644"/>
      <c r="O3644"/>
      <c r="R3644"/>
      <c r="S3644"/>
      <c r="T3644"/>
      <c r="U3644"/>
    </row>
    <row r="3645" spans="6:21" x14ac:dyDescent="0.25">
      <c r="F3645"/>
      <c r="O3645"/>
      <c r="R3645"/>
      <c r="S3645"/>
      <c r="T3645"/>
      <c r="U3645"/>
    </row>
    <row r="3646" spans="6:21" x14ac:dyDescent="0.25">
      <c r="F3646"/>
      <c r="O3646"/>
      <c r="R3646"/>
      <c r="S3646"/>
      <c r="T3646"/>
      <c r="U3646"/>
    </row>
    <row r="3647" spans="6:21" x14ac:dyDescent="0.25">
      <c r="F3647"/>
      <c r="O3647"/>
      <c r="R3647"/>
      <c r="S3647"/>
      <c r="T3647"/>
      <c r="U3647"/>
    </row>
    <row r="3648" spans="6:21" x14ac:dyDescent="0.25">
      <c r="F3648"/>
      <c r="O3648"/>
      <c r="R3648"/>
      <c r="S3648"/>
      <c r="T3648"/>
      <c r="U3648"/>
    </row>
    <row r="3649" spans="6:21" x14ac:dyDescent="0.25">
      <c r="F3649"/>
      <c r="O3649"/>
      <c r="R3649"/>
      <c r="S3649"/>
      <c r="T3649"/>
      <c r="U3649"/>
    </row>
    <row r="3650" spans="6:21" x14ac:dyDescent="0.25">
      <c r="F3650"/>
      <c r="O3650"/>
      <c r="R3650"/>
      <c r="S3650"/>
      <c r="T3650"/>
      <c r="U3650"/>
    </row>
    <row r="3651" spans="6:21" x14ac:dyDescent="0.25">
      <c r="F3651"/>
      <c r="O3651"/>
      <c r="R3651"/>
      <c r="S3651"/>
      <c r="T3651"/>
      <c r="U3651"/>
    </row>
    <row r="3652" spans="6:21" x14ac:dyDescent="0.25">
      <c r="F3652"/>
      <c r="O3652"/>
      <c r="R3652"/>
      <c r="S3652"/>
      <c r="T3652"/>
      <c r="U3652"/>
    </row>
    <row r="3653" spans="6:21" x14ac:dyDescent="0.25">
      <c r="F3653"/>
      <c r="O3653"/>
      <c r="R3653"/>
      <c r="S3653"/>
      <c r="T3653"/>
      <c r="U3653"/>
    </row>
    <row r="3654" spans="6:21" x14ac:dyDescent="0.25">
      <c r="F3654"/>
      <c r="O3654"/>
      <c r="R3654"/>
      <c r="S3654"/>
      <c r="T3654"/>
      <c r="U3654"/>
    </row>
    <row r="3655" spans="6:21" x14ac:dyDescent="0.25">
      <c r="F3655"/>
      <c r="O3655"/>
      <c r="R3655"/>
      <c r="S3655"/>
      <c r="T3655"/>
      <c r="U3655"/>
    </row>
    <row r="3656" spans="6:21" x14ac:dyDescent="0.25">
      <c r="F3656"/>
      <c r="O3656"/>
      <c r="R3656"/>
      <c r="S3656"/>
      <c r="T3656"/>
      <c r="U3656"/>
    </row>
    <row r="3657" spans="6:21" x14ac:dyDescent="0.25">
      <c r="F3657"/>
      <c r="O3657"/>
      <c r="R3657"/>
      <c r="S3657"/>
      <c r="T3657"/>
      <c r="U3657"/>
    </row>
    <row r="3658" spans="6:21" x14ac:dyDescent="0.25">
      <c r="F3658"/>
      <c r="O3658"/>
      <c r="R3658"/>
      <c r="S3658"/>
      <c r="T3658"/>
      <c r="U3658"/>
    </row>
    <row r="3659" spans="6:21" x14ac:dyDescent="0.25">
      <c r="F3659"/>
      <c r="O3659"/>
      <c r="R3659"/>
      <c r="S3659"/>
      <c r="T3659"/>
      <c r="U3659"/>
    </row>
    <row r="3660" spans="6:21" x14ac:dyDescent="0.25">
      <c r="F3660"/>
      <c r="O3660"/>
      <c r="R3660"/>
      <c r="S3660"/>
      <c r="T3660"/>
      <c r="U3660"/>
    </row>
    <row r="3661" spans="6:21" x14ac:dyDescent="0.25">
      <c r="F3661"/>
      <c r="O3661"/>
      <c r="R3661"/>
      <c r="S3661"/>
      <c r="T3661"/>
      <c r="U3661"/>
    </row>
    <row r="3662" spans="6:21" x14ac:dyDescent="0.25">
      <c r="F3662"/>
      <c r="O3662"/>
      <c r="R3662"/>
      <c r="S3662"/>
      <c r="T3662"/>
      <c r="U3662"/>
    </row>
    <row r="3663" spans="6:21" x14ac:dyDescent="0.25">
      <c r="F3663"/>
      <c r="O3663"/>
      <c r="R3663"/>
      <c r="S3663"/>
      <c r="T3663"/>
      <c r="U3663"/>
    </row>
    <row r="3664" spans="6:21" x14ac:dyDescent="0.25">
      <c r="F3664"/>
      <c r="O3664"/>
      <c r="R3664"/>
      <c r="S3664"/>
      <c r="T3664"/>
      <c r="U3664"/>
    </row>
    <row r="3665" spans="6:21" x14ac:dyDescent="0.25">
      <c r="F3665"/>
      <c r="O3665"/>
      <c r="R3665"/>
      <c r="S3665"/>
      <c r="T3665"/>
      <c r="U3665"/>
    </row>
    <row r="3666" spans="6:21" x14ac:dyDescent="0.25">
      <c r="F3666"/>
      <c r="O3666"/>
      <c r="R3666"/>
      <c r="S3666"/>
      <c r="T3666"/>
      <c r="U3666"/>
    </row>
    <row r="3667" spans="6:21" x14ac:dyDescent="0.25">
      <c r="F3667"/>
      <c r="O3667"/>
      <c r="R3667"/>
      <c r="S3667"/>
      <c r="T3667"/>
      <c r="U3667"/>
    </row>
    <row r="3668" spans="6:21" x14ac:dyDescent="0.25">
      <c r="F3668"/>
      <c r="O3668"/>
      <c r="R3668"/>
      <c r="S3668"/>
      <c r="T3668"/>
      <c r="U3668"/>
    </row>
    <row r="3669" spans="6:21" x14ac:dyDescent="0.25">
      <c r="F3669"/>
      <c r="O3669"/>
      <c r="R3669"/>
      <c r="S3669"/>
      <c r="T3669"/>
      <c r="U3669"/>
    </row>
    <row r="3670" spans="6:21" x14ac:dyDescent="0.25">
      <c r="F3670"/>
      <c r="O3670"/>
      <c r="R3670"/>
      <c r="S3670"/>
      <c r="T3670"/>
      <c r="U3670"/>
    </row>
    <row r="3671" spans="6:21" x14ac:dyDescent="0.25">
      <c r="F3671"/>
      <c r="O3671"/>
      <c r="R3671"/>
      <c r="S3671"/>
      <c r="T3671"/>
      <c r="U3671"/>
    </row>
    <row r="3672" spans="6:21" x14ac:dyDescent="0.25">
      <c r="F3672"/>
      <c r="O3672"/>
      <c r="R3672"/>
      <c r="S3672"/>
      <c r="T3672"/>
      <c r="U3672"/>
    </row>
    <row r="3673" spans="6:21" x14ac:dyDescent="0.25">
      <c r="F3673"/>
      <c r="O3673"/>
      <c r="R3673"/>
      <c r="S3673"/>
      <c r="T3673"/>
      <c r="U3673"/>
    </row>
    <row r="3674" spans="6:21" x14ac:dyDescent="0.25">
      <c r="F3674"/>
      <c r="O3674"/>
      <c r="R3674"/>
      <c r="S3674"/>
      <c r="T3674"/>
      <c r="U3674"/>
    </row>
    <row r="3675" spans="6:21" x14ac:dyDescent="0.25">
      <c r="F3675"/>
      <c r="O3675"/>
      <c r="R3675"/>
      <c r="S3675"/>
      <c r="T3675"/>
      <c r="U3675"/>
    </row>
    <row r="3676" spans="6:21" x14ac:dyDescent="0.25">
      <c r="F3676"/>
      <c r="O3676"/>
      <c r="R3676"/>
      <c r="S3676"/>
      <c r="T3676"/>
      <c r="U3676"/>
    </row>
    <row r="3677" spans="6:21" x14ac:dyDescent="0.25">
      <c r="F3677"/>
      <c r="O3677"/>
      <c r="R3677"/>
      <c r="S3677"/>
      <c r="T3677"/>
      <c r="U3677"/>
    </row>
    <row r="3678" spans="6:21" x14ac:dyDescent="0.25">
      <c r="F3678"/>
      <c r="O3678"/>
      <c r="R3678"/>
      <c r="S3678"/>
      <c r="T3678"/>
      <c r="U3678"/>
    </row>
    <row r="3679" spans="6:21" x14ac:dyDescent="0.25">
      <c r="F3679"/>
      <c r="O3679"/>
      <c r="R3679"/>
      <c r="S3679"/>
      <c r="T3679"/>
      <c r="U3679"/>
    </row>
    <row r="3680" spans="6:21" x14ac:dyDescent="0.25">
      <c r="F3680"/>
      <c r="O3680"/>
      <c r="R3680"/>
      <c r="S3680"/>
      <c r="T3680"/>
      <c r="U3680"/>
    </row>
    <row r="3681" spans="6:21" x14ac:dyDescent="0.25">
      <c r="F3681"/>
      <c r="O3681"/>
      <c r="R3681"/>
      <c r="S3681"/>
      <c r="T3681"/>
      <c r="U3681"/>
    </row>
    <row r="3682" spans="6:21" x14ac:dyDescent="0.25">
      <c r="F3682"/>
      <c r="O3682"/>
      <c r="R3682"/>
      <c r="S3682"/>
      <c r="T3682"/>
      <c r="U3682"/>
    </row>
    <row r="3683" spans="6:21" x14ac:dyDescent="0.25">
      <c r="F3683"/>
      <c r="O3683"/>
      <c r="R3683"/>
      <c r="S3683"/>
      <c r="T3683"/>
      <c r="U3683"/>
    </row>
    <row r="3684" spans="6:21" x14ac:dyDescent="0.25">
      <c r="F3684"/>
      <c r="O3684"/>
      <c r="R3684"/>
      <c r="S3684"/>
      <c r="T3684"/>
      <c r="U3684"/>
    </row>
    <row r="3685" spans="6:21" x14ac:dyDescent="0.25">
      <c r="F3685"/>
      <c r="O3685"/>
      <c r="R3685"/>
      <c r="S3685"/>
      <c r="T3685"/>
      <c r="U3685"/>
    </row>
    <row r="3686" spans="6:21" x14ac:dyDescent="0.25">
      <c r="F3686"/>
      <c r="O3686"/>
      <c r="R3686"/>
      <c r="S3686"/>
      <c r="T3686"/>
      <c r="U3686"/>
    </row>
    <row r="3687" spans="6:21" x14ac:dyDescent="0.25">
      <c r="F3687"/>
      <c r="O3687"/>
      <c r="R3687"/>
      <c r="S3687"/>
      <c r="T3687"/>
      <c r="U3687"/>
    </row>
    <row r="3688" spans="6:21" x14ac:dyDescent="0.25">
      <c r="F3688"/>
      <c r="O3688"/>
      <c r="R3688"/>
      <c r="S3688"/>
      <c r="T3688"/>
      <c r="U3688"/>
    </row>
    <row r="3689" spans="6:21" x14ac:dyDescent="0.25">
      <c r="F3689"/>
      <c r="O3689"/>
      <c r="R3689"/>
      <c r="S3689"/>
      <c r="T3689"/>
      <c r="U3689"/>
    </row>
    <row r="3690" spans="6:21" x14ac:dyDescent="0.25">
      <c r="F3690"/>
      <c r="O3690"/>
      <c r="R3690"/>
      <c r="S3690"/>
      <c r="T3690"/>
      <c r="U3690"/>
    </row>
    <row r="3691" spans="6:21" x14ac:dyDescent="0.25">
      <c r="F3691"/>
      <c r="O3691"/>
      <c r="R3691"/>
      <c r="S3691"/>
      <c r="T3691"/>
      <c r="U3691"/>
    </row>
    <row r="3692" spans="6:21" x14ac:dyDescent="0.25">
      <c r="F3692"/>
      <c r="O3692"/>
      <c r="R3692"/>
      <c r="S3692"/>
      <c r="T3692"/>
      <c r="U3692"/>
    </row>
    <row r="3693" spans="6:21" x14ac:dyDescent="0.25">
      <c r="F3693"/>
      <c r="O3693"/>
      <c r="R3693"/>
      <c r="S3693"/>
      <c r="T3693"/>
      <c r="U3693"/>
    </row>
    <row r="3694" spans="6:21" x14ac:dyDescent="0.25">
      <c r="F3694"/>
      <c r="O3694"/>
      <c r="R3694"/>
      <c r="S3694"/>
      <c r="T3694"/>
      <c r="U3694"/>
    </row>
    <row r="3695" spans="6:21" x14ac:dyDescent="0.25">
      <c r="F3695"/>
      <c r="O3695"/>
      <c r="R3695"/>
      <c r="S3695"/>
      <c r="T3695"/>
      <c r="U3695"/>
    </row>
    <row r="3696" spans="6:21" x14ac:dyDescent="0.25">
      <c r="F3696"/>
      <c r="O3696"/>
      <c r="R3696"/>
      <c r="S3696"/>
      <c r="T3696"/>
      <c r="U3696"/>
    </row>
    <row r="3697" spans="6:21" x14ac:dyDescent="0.25">
      <c r="F3697"/>
      <c r="O3697"/>
      <c r="R3697"/>
      <c r="S3697"/>
      <c r="T3697"/>
      <c r="U3697"/>
    </row>
    <row r="3698" spans="6:21" x14ac:dyDescent="0.25">
      <c r="F3698"/>
      <c r="O3698"/>
      <c r="R3698"/>
      <c r="S3698"/>
      <c r="T3698"/>
      <c r="U3698"/>
    </row>
    <row r="3699" spans="6:21" x14ac:dyDescent="0.25">
      <c r="F3699"/>
      <c r="O3699"/>
      <c r="R3699"/>
      <c r="S3699"/>
      <c r="T3699"/>
      <c r="U3699"/>
    </row>
    <row r="3700" spans="6:21" x14ac:dyDescent="0.25">
      <c r="F3700"/>
      <c r="O3700"/>
      <c r="R3700"/>
      <c r="S3700"/>
      <c r="T3700"/>
      <c r="U3700"/>
    </row>
    <row r="3701" spans="6:21" x14ac:dyDescent="0.25">
      <c r="F3701"/>
      <c r="O3701"/>
      <c r="R3701"/>
      <c r="S3701"/>
      <c r="T3701"/>
      <c r="U3701"/>
    </row>
    <row r="3702" spans="6:21" x14ac:dyDescent="0.25">
      <c r="F3702"/>
      <c r="O3702"/>
      <c r="R3702"/>
      <c r="S3702"/>
      <c r="T3702"/>
      <c r="U3702"/>
    </row>
    <row r="3703" spans="6:21" x14ac:dyDescent="0.25">
      <c r="F3703"/>
      <c r="O3703"/>
      <c r="R3703"/>
      <c r="S3703"/>
      <c r="T3703"/>
      <c r="U3703"/>
    </row>
    <row r="3704" spans="6:21" x14ac:dyDescent="0.25">
      <c r="F3704"/>
      <c r="O3704"/>
      <c r="R3704"/>
      <c r="S3704"/>
      <c r="T3704"/>
      <c r="U3704"/>
    </row>
    <row r="3705" spans="6:21" x14ac:dyDescent="0.25">
      <c r="F3705"/>
      <c r="O3705"/>
      <c r="R3705"/>
      <c r="S3705"/>
      <c r="T3705"/>
      <c r="U3705"/>
    </row>
    <row r="3706" spans="6:21" x14ac:dyDescent="0.25">
      <c r="F3706"/>
      <c r="O3706"/>
      <c r="R3706"/>
      <c r="S3706"/>
      <c r="T3706"/>
      <c r="U3706"/>
    </row>
    <row r="3707" spans="6:21" x14ac:dyDescent="0.25">
      <c r="F3707"/>
      <c r="O3707"/>
      <c r="R3707"/>
      <c r="S3707"/>
      <c r="T3707"/>
      <c r="U3707"/>
    </row>
    <row r="3708" spans="6:21" x14ac:dyDescent="0.25">
      <c r="F3708"/>
      <c r="O3708"/>
      <c r="R3708"/>
      <c r="S3708"/>
      <c r="T3708"/>
      <c r="U3708"/>
    </row>
    <row r="3709" spans="6:21" x14ac:dyDescent="0.25">
      <c r="F3709"/>
      <c r="O3709"/>
      <c r="R3709"/>
      <c r="S3709"/>
      <c r="T3709"/>
      <c r="U3709"/>
    </row>
    <row r="3710" spans="6:21" x14ac:dyDescent="0.25">
      <c r="F3710"/>
      <c r="O3710"/>
      <c r="R3710"/>
      <c r="S3710"/>
      <c r="T3710"/>
      <c r="U3710"/>
    </row>
    <row r="3711" spans="6:21" x14ac:dyDescent="0.25">
      <c r="F3711"/>
      <c r="O3711"/>
      <c r="R3711"/>
      <c r="S3711"/>
      <c r="T3711"/>
      <c r="U3711"/>
    </row>
    <row r="3712" spans="6:21" x14ac:dyDescent="0.25">
      <c r="F3712"/>
      <c r="O3712"/>
      <c r="R3712"/>
      <c r="S3712"/>
      <c r="T3712"/>
      <c r="U3712"/>
    </row>
    <row r="3713" spans="6:21" x14ac:dyDescent="0.25">
      <c r="F3713"/>
      <c r="O3713"/>
      <c r="R3713"/>
      <c r="S3713"/>
      <c r="T3713"/>
      <c r="U3713"/>
    </row>
    <row r="3714" spans="6:21" x14ac:dyDescent="0.25">
      <c r="F3714"/>
      <c r="O3714"/>
      <c r="R3714"/>
      <c r="S3714"/>
      <c r="T3714"/>
      <c r="U3714"/>
    </row>
    <row r="3715" spans="6:21" x14ac:dyDescent="0.25">
      <c r="F3715"/>
      <c r="O3715"/>
      <c r="R3715"/>
      <c r="S3715"/>
      <c r="T3715"/>
      <c r="U3715"/>
    </row>
    <row r="3716" spans="6:21" x14ac:dyDescent="0.25">
      <c r="F3716"/>
      <c r="O3716"/>
      <c r="R3716"/>
      <c r="S3716"/>
      <c r="T3716"/>
      <c r="U3716"/>
    </row>
    <row r="3717" spans="6:21" x14ac:dyDescent="0.25">
      <c r="F3717"/>
      <c r="O3717"/>
      <c r="R3717"/>
      <c r="S3717"/>
      <c r="T3717"/>
      <c r="U3717"/>
    </row>
    <row r="3718" spans="6:21" x14ac:dyDescent="0.25">
      <c r="F3718"/>
      <c r="O3718"/>
      <c r="R3718"/>
      <c r="S3718"/>
      <c r="T3718"/>
      <c r="U3718"/>
    </row>
    <row r="3719" spans="6:21" x14ac:dyDescent="0.25">
      <c r="F3719"/>
      <c r="O3719"/>
      <c r="R3719"/>
      <c r="S3719"/>
      <c r="T3719"/>
      <c r="U3719"/>
    </row>
    <row r="3720" spans="6:21" x14ac:dyDescent="0.25">
      <c r="F3720"/>
      <c r="O3720"/>
      <c r="R3720"/>
      <c r="S3720"/>
      <c r="T3720"/>
      <c r="U3720"/>
    </row>
    <row r="3721" spans="6:21" x14ac:dyDescent="0.25">
      <c r="F3721"/>
      <c r="O3721"/>
      <c r="R3721"/>
      <c r="S3721"/>
      <c r="T3721"/>
      <c r="U3721"/>
    </row>
    <row r="3722" spans="6:21" x14ac:dyDescent="0.25">
      <c r="F3722"/>
      <c r="O3722"/>
      <c r="R3722"/>
      <c r="S3722"/>
      <c r="T3722"/>
      <c r="U3722"/>
    </row>
    <row r="3723" spans="6:21" x14ac:dyDescent="0.25">
      <c r="F3723"/>
      <c r="O3723"/>
      <c r="R3723"/>
      <c r="S3723"/>
      <c r="T3723"/>
      <c r="U3723"/>
    </row>
    <row r="3724" spans="6:21" x14ac:dyDescent="0.25">
      <c r="F3724"/>
      <c r="O3724"/>
      <c r="R3724"/>
      <c r="S3724"/>
      <c r="T3724"/>
      <c r="U3724"/>
    </row>
    <row r="3725" spans="6:21" x14ac:dyDescent="0.25">
      <c r="F3725"/>
      <c r="O3725"/>
      <c r="R3725"/>
      <c r="S3725"/>
      <c r="T3725"/>
      <c r="U3725"/>
    </row>
    <row r="3726" spans="6:21" x14ac:dyDescent="0.25">
      <c r="F3726"/>
      <c r="O3726"/>
      <c r="R3726"/>
      <c r="S3726"/>
      <c r="T3726"/>
      <c r="U3726"/>
    </row>
    <row r="3727" spans="6:21" x14ac:dyDescent="0.25">
      <c r="F3727"/>
      <c r="O3727"/>
      <c r="R3727"/>
      <c r="S3727"/>
      <c r="T3727"/>
      <c r="U3727"/>
    </row>
    <row r="3728" spans="6:21" x14ac:dyDescent="0.25">
      <c r="F3728"/>
      <c r="O3728"/>
      <c r="R3728"/>
      <c r="S3728"/>
      <c r="T3728"/>
      <c r="U3728"/>
    </row>
    <row r="3729" spans="6:21" x14ac:dyDescent="0.25">
      <c r="F3729"/>
      <c r="O3729"/>
      <c r="R3729"/>
      <c r="S3729"/>
      <c r="T3729"/>
      <c r="U3729"/>
    </row>
    <row r="3730" spans="6:21" x14ac:dyDescent="0.25">
      <c r="F3730"/>
      <c r="O3730"/>
      <c r="R3730"/>
      <c r="S3730"/>
      <c r="T3730"/>
      <c r="U3730"/>
    </row>
    <row r="3731" spans="6:21" x14ac:dyDescent="0.25">
      <c r="F3731"/>
      <c r="O3731"/>
      <c r="R3731"/>
      <c r="S3731"/>
      <c r="T3731"/>
      <c r="U3731"/>
    </row>
    <row r="3732" spans="6:21" x14ac:dyDescent="0.25">
      <c r="F3732"/>
      <c r="O3732"/>
      <c r="R3732"/>
      <c r="S3732"/>
      <c r="T3732"/>
      <c r="U3732"/>
    </row>
    <row r="3733" spans="6:21" x14ac:dyDescent="0.25">
      <c r="F3733"/>
      <c r="O3733"/>
      <c r="R3733"/>
      <c r="S3733"/>
      <c r="T3733"/>
      <c r="U3733"/>
    </row>
    <row r="3734" spans="6:21" x14ac:dyDescent="0.25">
      <c r="F3734"/>
      <c r="O3734"/>
      <c r="R3734"/>
      <c r="S3734"/>
      <c r="T3734"/>
      <c r="U3734"/>
    </row>
    <row r="3735" spans="6:21" x14ac:dyDescent="0.25">
      <c r="F3735"/>
      <c r="O3735"/>
      <c r="R3735"/>
      <c r="S3735"/>
      <c r="T3735"/>
      <c r="U3735"/>
    </row>
    <row r="3736" spans="6:21" x14ac:dyDescent="0.25">
      <c r="F3736"/>
      <c r="O3736"/>
      <c r="R3736"/>
      <c r="S3736"/>
      <c r="T3736"/>
      <c r="U3736"/>
    </row>
    <row r="3737" spans="6:21" x14ac:dyDescent="0.25">
      <c r="F3737"/>
      <c r="O3737"/>
      <c r="R3737"/>
      <c r="S3737"/>
      <c r="T3737"/>
      <c r="U3737"/>
    </row>
    <row r="3738" spans="6:21" x14ac:dyDescent="0.25">
      <c r="F3738"/>
      <c r="O3738"/>
      <c r="R3738"/>
      <c r="S3738"/>
      <c r="T3738"/>
      <c r="U3738"/>
    </row>
    <row r="3739" spans="6:21" x14ac:dyDescent="0.25">
      <c r="F3739"/>
      <c r="O3739"/>
      <c r="R3739"/>
      <c r="S3739"/>
      <c r="T3739"/>
      <c r="U3739"/>
    </row>
    <row r="3740" spans="6:21" x14ac:dyDescent="0.25">
      <c r="F3740"/>
      <c r="O3740"/>
      <c r="R3740"/>
      <c r="S3740"/>
      <c r="T3740"/>
      <c r="U3740"/>
    </row>
    <row r="3741" spans="6:21" x14ac:dyDescent="0.25">
      <c r="F3741"/>
      <c r="O3741"/>
      <c r="R3741"/>
      <c r="S3741"/>
      <c r="T3741"/>
      <c r="U3741"/>
    </row>
    <row r="3742" spans="6:21" x14ac:dyDescent="0.25">
      <c r="F3742"/>
      <c r="O3742"/>
      <c r="R3742"/>
      <c r="S3742"/>
      <c r="T3742"/>
      <c r="U3742"/>
    </row>
    <row r="3743" spans="6:21" x14ac:dyDescent="0.25">
      <c r="F3743"/>
      <c r="O3743"/>
      <c r="R3743"/>
      <c r="S3743"/>
      <c r="T3743"/>
      <c r="U3743"/>
    </row>
    <row r="3744" spans="6:21" x14ac:dyDescent="0.25">
      <c r="F3744"/>
      <c r="O3744"/>
      <c r="R3744"/>
      <c r="S3744"/>
      <c r="T3744"/>
      <c r="U3744"/>
    </row>
    <row r="3745" spans="6:21" x14ac:dyDescent="0.25">
      <c r="F3745"/>
      <c r="O3745"/>
      <c r="R3745"/>
      <c r="S3745"/>
      <c r="T3745"/>
      <c r="U3745"/>
    </row>
    <row r="3746" spans="6:21" x14ac:dyDescent="0.25">
      <c r="F3746"/>
      <c r="O3746"/>
      <c r="R3746"/>
      <c r="S3746"/>
      <c r="T3746"/>
      <c r="U3746"/>
    </row>
    <row r="3747" spans="6:21" x14ac:dyDescent="0.25">
      <c r="F3747"/>
      <c r="O3747"/>
      <c r="R3747"/>
      <c r="S3747"/>
      <c r="T3747"/>
      <c r="U3747"/>
    </row>
    <row r="3748" spans="6:21" x14ac:dyDescent="0.25">
      <c r="F3748"/>
      <c r="O3748"/>
      <c r="R3748"/>
      <c r="S3748"/>
      <c r="T3748"/>
      <c r="U3748"/>
    </row>
    <row r="3749" spans="6:21" x14ac:dyDescent="0.25">
      <c r="F3749"/>
      <c r="O3749"/>
      <c r="R3749"/>
      <c r="S3749"/>
      <c r="T3749"/>
      <c r="U3749"/>
    </row>
    <row r="3750" spans="6:21" x14ac:dyDescent="0.25">
      <c r="F3750"/>
      <c r="O3750"/>
      <c r="R3750"/>
      <c r="S3750"/>
      <c r="T3750"/>
      <c r="U3750"/>
    </row>
    <row r="3751" spans="6:21" x14ac:dyDescent="0.25">
      <c r="F3751"/>
      <c r="O3751"/>
      <c r="R3751"/>
      <c r="S3751"/>
      <c r="T3751"/>
      <c r="U3751"/>
    </row>
    <row r="3752" spans="6:21" x14ac:dyDescent="0.25">
      <c r="F3752"/>
      <c r="O3752"/>
      <c r="R3752"/>
      <c r="S3752"/>
      <c r="T3752"/>
      <c r="U3752"/>
    </row>
    <row r="3753" spans="6:21" x14ac:dyDescent="0.25">
      <c r="F3753"/>
      <c r="O3753"/>
      <c r="R3753"/>
      <c r="S3753"/>
      <c r="T3753"/>
      <c r="U3753"/>
    </row>
    <row r="3754" spans="6:21" x14ac:dyDescent="0.25">
      <c r="F3754"/>
      <c r="O3754"/>
      <c r="R3754"/>
      <c r="S3754"/>
      <c r="T3754"/>
      <c r="U3754"/>
    </row>
    <row r="3755" spans="6:21" x14ac:dyDescent="0.25">
      <c r="F3755"/>
      <c r="O3755"/>
      <c r="R3755"/>
      <c r="S3755"/>
      <c r="T3755"/>
      <c r="U3755"/>
    </row>
    <row r="3756" spans="6:21" x14ac:dyDescent="0.25">
      <c r="F3756"/>
      <c r="O3756"/>
      <c r="R3756"/>
      <c r="S3756"/>
      <c r="T3756"/>
      <c r="U3756"/>
    </row>
    <row r="3757" spans="6:21" x14ac:dyDescent="0.25">
      <c r="F3757"/>
      <c r="O3757"/>
      <c r="R3757"/>
      <c r="S3757"/>
      <c r="T3757"/>
      <c r="U3757"/>
    </row>
    <row r="3758" spans="6:21" x14ac:dyDescent="0.25">
      <c r="F3758"/>
      <c r="O3758"/>
      <c r="R3758"/>
      <c r="S3758"/>
      <c r="T3758"/>
      <c r="U3758"/>
    </row>
    <row r="3759" spans="6:21" x14ac:dyDescent="0.25">
      <c r="F3759"/>
      <c r="O3759"/>
      <c r="R3759"/>
      <c r="S3759"/>
      <c r="T3759"/>
      <c r="U3759"/>
    </row>
    <row r="3760" spans="6:21" x14ac:dyDescent="0.25">
      <c r="F3760"/>
      <c r="O3760"/>
      <c r="R3760"/>
      <c r="S3760"/>
      <c r="T3760"/>
      <c r="U3760"/>
    </row>
    <row r="3761" spans="6:21" x14ac:dyDescent="0.25">
      <c r="F3761"/>
      <c r="O3761"/>
      <c r="R3761"/>
      <c r="S3761"/>
      <c r="T3761"/>
      <c r="U3761"/>
    </row>
    <row r="3762" spans="6:21" x14ac:dyDescent="0.25">
      <c r="F3762"/>
      <c r="O3762"/>
      <c r="R3762"/>
      <c r="S3762"/>
      <c r="T3762"/>
      <c r="U3762"/>
    </row>
    <row r="3763" spans="6:21" x14ac:dyDescent="0.25">
      <c r="F3763"/>
      <c r="O3763"/>
      <c r="R3763"/>
      <c r="S3763"/>
      <c r="T3763"/>
      <c r="U3763"/>
    </row>
    <row r="3764" spans="6:21" x14ac:dyDescent="0.25">
      <c r="F3764"/>
      <c r="O3764"/>
      <c r="R3764"/>
      <c r="S3764"/>
      <c r="T3764"/>
      <c r="U3764"/>
    </row>
    <row r="3765" spans="6:21" x14ac:dyDescent="0.25">
      <c r="F3765"/>
      <c r="O3765"/>
      <c r="R3765"/>
      <c r="S3765"/>
      <c r="T3765"/>
      <c r="U3765"/>
    </row>
    <row r="3766" spans="6:21" x14ac:dyDescent="0.25">
      <c r="F3766"/>
      <c r="O3766"/>
      <c r="R3766"/>
      <c r="S3766"/>
      <c r="T3766"/>
      <c r="U3766"/>
    </row>
    <row r="3767" spans="6:21" x14ac:dyDescent="0.25">
      <c r="F3767"/>
      <c r="O3767"/>
      <c r="R3767"/>
      <c r="S3767"/>
      <c r="T3767"/>
      <c r="U3767"/>
    </row>
    <row r="3768" spans="6:21" x14ac:dyDescent="0.25">
      <c r="F3768"/>
      <c r="O3768"/>
      <c r="R3768"/>
      <c r="S3768"/>
      <c r="T3768"/>
      <c r="U3768"/>
    </row>
    <row r="3769" spans="6:21" x14ac:dyDescent="0.25">
      <c r="F3769"/>
      <c r="O3769"/>
      <c r="R3769"/>
      <c r="S3769"/>
      <c r="T3769"/>
      <c r="U3769"/>
    </row>
    <row r="3770" spans="6:21" x14ac:dyDescent="0.25">
      <c r="F3770"/>
      <c r="O3770"/>
      <c r="R3770"/>
      <c r="S3770"/>
      <c r="T3770"/>
      <c r="U3770"/>
    </row>
    <row r="3771" spans="6:21" x14ac:dyDescent="0.25">
      <c r="F3771"/>
      <c r="O3771"/>
      <c r="R3771"/>
      <c r="S3771"/>
      <c r="T3771"/>
      <c r="U3771"/>
    </row>
    <row r="3772" spans="6:21" x14ac:dyDescent="0.25">
      <c r="F3772"/>
      <c r="O3772"/>
      <c r="R3772"/>
      <c r="S3772"/>
      <c r="T3772"/>
      <c r="U3772"/>
    </row>
    <row r="3773" spans="6:21" x14ac:dyDescent="0.25">
      <c r="F3773"/>
      <c r="O3773"/>
      <c r="R3773"/>
      <c r="S3773"/>
      <c r="T3773"/>
      <c r="U3773"/>
    </row>
    <row r="3774" spans="6:21" x14ac:dyDescent="0.25">
      <c r="F3774"/>
      <c r="O3774"/>
      <c r="R3774"/>
      <c r="S3774"/>
      <c r="T3774"/>
      <c r="U3774"/>
    </row>
    <row r="3775" spans="6:21" x14ac:dyDescent="0.25">
      <c r="F3775"/>
      <c r="O3775"/>
      <c r="R3775"/>
      <c r="S3775"/>
      <c r="T3775"/>
      <c r="U3775"/>
    </row>
    <row r="3776" spans="6:21" x14ac:dyDescent="0.25">
      <c r="F3776"/>
      <c r="O3776"/>
      <c r="R3776"/>
      <c r="S3776"/>
      <c r="T3776"/>
      <c r="U3776"/>
    </row>
    <row r="3777" spans="6:21" x14ac:dyDescent="0.25">
      <c r="F3777"/>
      <c r="O3777"/>
      <c r="R3777"/>
      <c r="S3777"/>
      <c r="T3777"/>
      <c r="U3777"/>
    </row>
    <row r="3778" spans="6:21" x14ac:dyDescent="0.25">
      <c r="F3778"/>
      <c r="O3778"/>
      <c r="R3778"/>
      <c r="S3778"/>
      <c r="T3778"/>
      <c r="U3778"/>
    </row>
    <row r="3779" spans="6:21" x14ac:dyDescent="0.25">
      <c r="F3779"/>
      <c r="O3779"/>
      <c r="R3779"/>
      <c r="S3779"/>
      <c r="T3779"/>
      <c r="U3779"/>
    </row>
    <row r="3780" spans="6:21" x14ac:dyDescent="0.25">
      <c r="F3780"/>
      <c r="O3780"/>
      <c r="R3780"/>
      <c r="S3780"/>
      <c r="T3780"/>
      <c r="U3780"/>
    </row>
    <row r="3781" spans="6:21" x14ac:dyDescent="0.25">
      <c r="F3781"/>
      <c r="O3781"/>
      <c r="R3781"/>
      <c r="S3781"/>
      <c r="T3781"/>
      <c r="U3781"/>
    </row>
    <row r="3782" spans="6:21" x14ac:dyDescent="0.25">
      <c r="F3782"/>
      <c r="O3782"/>
      <c r="R3782"/>
      <c r="S3782"/>
      <c r="T3782"/>
      <c r="U3782"/>
    </row>
    <row r="3783" spans="6:21" x14ac:dyDescent="0.25">
      <c r="F3783"/>
      <c r="O3783"/>
      <c r="R3783"/>
      <c r="S3783"/>
      <c r="T3783"/>
      <c r="U3783"/>
    </row>
    <row r="3784" spans="6:21" x14ac:dyDescent="0.25">
      <c r="F3784"/>
      <c r="O3784"/>
      <c r="R3784"/>
      <c r="S3784"/>
      <c r="T3784"/>
      <c r="U3784"/>
    </row>
    <row r="3785" spans="6:21" x14ac:dyDescent="0.25">
      <c r="F3785"/>
      <c r="O3785"/>
      <c r="R3785"/>
      <c r="S3785"/>
      <c r="T3785"/>
      <c r="U3785"/>
    </row>
    <row r="3786" spans="6:21" x14ac:dyDescent="0.25">
      <c r="F3786"/>
      <c r="O3786"/>
      <c r="R3786"/>
      <c r="S3786"/>
      <c r="T3786"/>
      <c r="U3786"/>
    </row>
    <row r="3787" spans="6:21" x14ac:dyDescent="0.25">
      <c r="F3787"/>
      <c r="O3787"/>
      <c r="R3787"/>
      <c r="S3787"/>
      <c r="T3787"/>
      <c r="U3787"/>
    </row>
    <row r="3788" spans="6:21" x14ac:dyDescent="0.25">
      <c r="F3788"/>
      <c r="O3788"/>
      <c r="R3788"/>
      <c r="S3788"/>
      <c r="T3788"/>
      <c r="U3788"/>
    </row>
    <row r="3789" spans="6:21" x14ac:dyDescent="0.25">
      <c r="F3789"/>
      <c r="O3789"/>
      <c r="R3789"/>
      <c r="S3789"/>
      <c r="T3789"/>
      <c r="U3789"/>
    </row>
    <row r="3790" spans="6:21" x14ac:dyDescent="0.25">
      <c r="F3790"/>
      <c r="O3790"/>
      <c r="R3790"/>
      <c r="S3790"/>
      <c r="T3790"/>
      <c r="U3790"/>
    </row>
    <row r="3791" spans="6:21" x14ac:dyDescent="0.25">
      <c r="F3791"/>
      <c r="O3791"/>
      <c r="R3791"/>
      <c r="S3791"/>
      <c r="T3791"/>
      <c r="U3791"/>
    </row>
    <row r="3792" spans="6:21" x14ac:dyDescent="0.25">
      <c r="F3792"/>
      <c r="O3792"/>
      <c r="R3792"/>
      <c r="S3792"/>
      <c r="T3792"/>
      <c r="U3792"/>
    </row>
    <row r="3793" spans="6:21" x14ac:dyDescent="0.25">
      <c r="F3793"/>
      <c r="O3793"/>
      <c r="R3793"/>
      <c r="S3793"/>
      <c r="T3793"/>
      <c r="U3793"/>
    </row>
    <row r="3794" spans="6:21" x14ac:dyDescent="0.25">
      <c r="F3794"/>
      <c r="O3794"/>
      <c r="R3794"/>
      <c r="S3794"/>
      <c r="T3794"/>
      <c r="U3794"/>
    </row>
    <row r="3795" spans="6:21" x14ac:dyDescent="0.25">
      <c r="F3795"/>
      <c r="O3795"/>
      <c r="R3795"/>
      <c r="S3795"/>
      <c r="T3795"/>
      <c r="U3795"/>
    </row>
    <row r="3796" spans="6:21" x14ac:dyDescent="0.25">
      <c r="F3796"/>
      <c r="O3796"/>
      <c r="R3796"/>
      <c r="S3796"/>
      <c r="T3796"/>
      <c r="U3796"/>
    </row>
    <row r="3797" spans="6:21" x14ac:dyDescent="0.25">
      <c r="F3797"/>
      <c r="O3797"/>
      <c r="R3797"/>
      <c r="S3797"/>
      <c r="T3797"/>
      <c r="U3797"/>
    </row>
    <row r="3798" spans="6:21" x14ac:dyDescent="0.25">
      <c r="F3798"/>
      <c r="O3798"/>
      <c r="R3798"/>
      <c r="S3798"/>
      <c r="T3798"/>
      <c r="U3798"/>
    </row>
    <row r="3799" spans="6:21" x14ac:dyDescent="0.25">
      <c r="F3799"/>
      <c r="O3799"/>
      <c r="R3799"/>
      <c r="S3799"/>
      <c r="T3799"/>
      <c r="U3799"/>
    </row>
    <row r="3800" spans="6:21" x14ac:dyDescent="0.25">
      <c r="F3800"/>
      <c r="O3800"/>
      <c r="R3800"/>
      <c r="S3800"/>
      <c r="T3800"/>
      <c r="U3800"/>
    </row>
    <row r="3801" spans="6:21" x14ac:dyDescent="0.25">
      <c r="F3801"/>
      <c r="O3801"/>
      <c r="R3801"/>
      <c r="S3801"/>
      <c r="T3801"/>
      <c r="U3801"/>
    </row>
    <row r="3802" spans="6:21" x14ac:dyDescent="0.25">
      <c r="F3802"/>
      <c r="O3802"/>
      <c r="R3802"/>
      <c r="S3802"/>
      <c r="T3802"/>
      <c r="U3802"/>
    </row>
    <row r="3803" spans="6:21" x14ac:dyDescent="0.25">
      <c r="F3803"/>
      <c r="O3803"/>
      <c r="R3803"/>
      <c r="S3803"/>
      <c r="T3803"/>
      <c r="U3803"/>
    </row>
    <row r="3804" spans="6:21" x14ac:dyDescent="0.25">
      <c r="F3804"/>
      <c r="O3804"/>
      <c r="R3804"/>
      <c r="S3804"/>
      <c r="T3804"/>
      <c r="U3804"/>
    </row>
    <row r="3805" spans="6:21" x14ac:dyDescent="0.25">
      <c r="F3805"/>
      <c r="O3805"/>
      <c r="R3805"/>
      <c r="S3805"/>
      <c r="T3805"/>
      <c r="U3805"/>
    </row>
    <row r="3806" spans="6:21" x14ac:dyDescent="0.25">
      <c r="F3806"/>
      <c r="O3806"/>
      <c r="R3806"/>
      <c r="S3806"/>
      <c r="T3806"/>
      <c r="U3806"/>
    </row>
    <row r="3807" spans="6:21" x14ac:dyDescent="0.25">
      <c r="F3807"/>
      <c r="O3807"/>
      <c r="R3807"/>
      <c r="S3807"/>
      <c r="T3807"/>
      <c r="U3807"/>
    </row>
    <row r="3808" spans="6:21" x14ac:dyDescent="0.25">
      <c r="F3808"/>
      <c r="O3808"/>
      <c r="R3808"/>
      <c r="S3808"/>
      <c r="T3808"/>
      <c r="U3808"/>
    </row>
    <row r="3809" spans="6:21" x14ac:dyDescent="0.25">
      <c r="F3809"/>
      <c r="O3809"/>
      <c r="R3809"/>
      <c r="S3809"/>
      <c r="T3809"/>
      <c r="U3809"/>
    </row>
    <row r="3810" spans="6:21" x14ac:dyDescent="0.25">
      <c r="F3810"/>
      <c r="O3810"/>
      <c r="R3810"/>
      <c r="S3810"/>
      <c r="T3810"/>
      <c r="U3810"/>
    </row>
    <row r="3811" spans="6:21" x14ac:dyDescent="0.25">
      <c r="F3811"/>
      <c r="O3811"/>
      <c r="R3811"/>
      <c r="S3811"/>
      <c r="T3811"/>
      <c r="U3811"/>
    </row>
    <row r="3812" spans="6:21" x14ac:dyDescent="0.25">
      <c r="F3812"/>
      <c r="O3812"/>
      <c r="R3812"/>
      <c r="S3812"/>
      <c r="T3812"/>
      <c r="U3812"/>
    </row>
    <row r="3813" spans="6:21" x14ac:dyDescent="0.25">
      <c r="F3813"/>
      <c r="O3813"/>
      <c r="R3813"/>
      <c r="S3813"/>
      <c r="T3813"/>
      <c r="U3813"/>
    </row>
    <row r="3814" spans="6:21" x14ac:dyDescent="0.25">
      <c r="F3814"/>
      <c r="O3814"/>
      <c r="R3814"/>
      <c r="S3814"/>
      <c r="T3814"/>
      <c r="U3814"/>
    </row>
    <row r="3815" spans="6:21" x14ac:dyDescent="0.25">
      <c r="F3815"/>
      <c r="O3815"/>
      <c r="R3815"/>
      <c r="S3815"/>
      <c r="T3815"/>
      <c r="U3815"/>
    </row>
    <row r="3816" spans="6:21" x14ac:dyDescent="0.25">
      <c r="F3816"/>
      <c r="O3816"/>
      <c r="R3816"/>
      <c r="S3816"/>
      <c r="T3816"/>
      <c r="U3816"/>
    </row>
    <row r="3817" spans="6:21" x14ac:dyDescent="0.25">
      <c r="F3817"/>
      <c r="O3817"/>
      <c r="R3817"/>
      <c r="S3817"/>
      <c r="T3817"/>
      <c r="U3817"/>
    </row>
    <row r="3818" spans="6:21" x14ac:dyDescent="0.25">
      <c r="F3818"/>
      <c r="O3818"/>
      <c r="R3818"/>
      <c r="S3818"/>
      <c r="T3818"/>
      <c r="U3818"/>
    </row>
    <row r="3819" spans="6:21" x14ac:dyDescent="0.25">
      <c r="F3819"/>
      <c r="O3819"/>
      <c r="R3819"/>
      <c r="S3819"/>
      <c r="T3819"/>
      <c r="U3819"/>
    </row>
    <row r="3820" spans="6:21" x14ac:dyDescent="0.25">
      <c r="F3820"/>
      <c r="O3820"/>
      <c r="R3820"/>
      <c r="S3820"/>
      <c r="T3820"/>
      <c r="U3820"/>
    </row>
    <row r="3821" spans="6:21" x14ac:dyDescent="0.25">
      <c r="F3821"/>
      <c r="O3821"/>
      <c r="R3821"/>
      <c r="S3821"/>
      <c r="T3821"/>
      <c r="U3821"/>
    </row>
    <row r="3822" spans="6:21" x14ac:dyDescent="0.25">
      <c r="F3822"/>
      <c r="O3822"/>
      <c r="R3822"/>
      <c r="S3822"/>
      <c r="T3822"/>
      <c r="U3822"/>
    </row>
    <row r="3823" spans="6:21" x14ac:dyDescent="0.25">
      <c r="F3823"/>
      <c r="O3823"/>
      <c r="R3823"/>
      <c r="S3823"/>
      <c r="T3823"/>
      <c r="U3823"/>
    </row>
    <row r="3824" spans="6:21" x14ac:dyDescent="0.25">
      <c r="F3824"/>
      <c r="O3824"/>
      <c r="R3824"/>
      <c r="S3824"/>
      <c r="T3824"/>
      <c r="U3824"/>
    </row>
    <row r="3825" spans="6:21" x14ac:dyDescent="0.25">
      <c r="F3825"/>
      <c r="O3825"/>
      <c r="R3825"/>
      <c r="S3825"/>
      <c r="T3825"/>
      <c r="U3825"/>
    </row>
    <row r="3826" spans="6:21" x14ac:dyDescent="0.25">
      <c r="F3826"/>
      <c r="O3826"/>
      <c r="R3826"/>
      <c r="S3826"/>
      <c r="T3826"/>
      <c r="U3826"/>
    </row>
    <row r="3827" spans="6:21" x14ac:dyDescent="0.25">
      <c r="F3827"/>
      <c r="O3827"/>
      <c r="R3827"/>
      <c r="S3827"/>
      <c r="T3827"/>
      <c r="U3827"/>
    </row>
    <row r="3828" spans="6:21" x14ac:dyDescent="0.25">
      <c r="F3828"/>
      <c r="O3828"/>
      <c r="R3828"/>
      <c r="S3828"/>
      <c r="T3828"/>
      <c r="U3828"/>
    </row>
    <row r="3829" spans="6:21" x14ac:dyDescent="0.25">
      <c r="F3829"/>
      <c r="O3829"/>
      <c r="R3829"/>
      <c r="S3829"/>
      <c r="T3829"/>
      <c r="U3829"/>
    </row>
    <row r="3830" spans="6:21" x14ac:dyDescent="0.25">
      <c r="F3830"/>
      <c r="O3830"/>
      <c r="R3830"/>
      <c r="S3830"/>
      <c r="T3830"/>
      <c r="U3830"/>
    </row>
    <row r="3831" spans="6:21" x14ac:dyDescent="0.25">
      <c r="F3831"/>
      <c r="O3831"/>
      <c r="R3831"/>
      <c r="S3831"/>
      <c r="T3831"/>
      <c r="U3831"/>
    </row>
    <row r="3832" spans="6:21" x14ac:dyDescent="0.25">
      <c r="F3832"/>
      <c r="O3832"/>
      <c r="R3832"/>
      <c r="S3832"/>
      <c r="T3832"/>
      <c r="U3832"/>
    </row>
    <row r="3833" spans="6:21" x14ac:dyDescent="0.25">
      <c r="F3833"/>
      <c r="O3833"/>
      <c r="R3833"/>
      <c r="S3833"/>
      <c r="T3833"/>
      <c r="U3833"/>
    </row>
    <row r="3834" spans="6:21" x14ac:dyDescent="0.25">
      <c r="F3834"/>
      <c r="O3834"/>
      <c r="R3834"/>
      <c r="S3834"/>
      <c r="T3834"/>
      <c r="U3834"/>
    </row>
    <row r="3835" spans="6:21" x14ac:dyDescent="0.25">
      <c r="F3835"/>
      <c r="O3835"/>
      <c r="R3835"/>
      <c r="S3835"/>
      <c r="T3835"/>
      <c r="U3835"/>
    </row>
    <row r="3836" spans="6:21" x14ac:dyDescent="0.25">
      <c r="F3836"/>
      <c r="O3836"/>
      <c r="R3836"/>
      <c r="S3836"/>
      <c r="T3836"/>
      <c r="U3836"/>
    </row>
    <row r="3837" spans="6:21" x14ac:dyDescent="0.25">
      <c r="F3837"/>
      <c r="O3837"/>
      <c r="R3837"/>
      <c r="S3837"/>
      <c r="T3837"/>
      <c r="U3837"/>
    </row>
    <row r="3838" spans="6:21" x14ac:dyDescent="0.25">
      <c r="F3838"/>
      <c r="O3838"/>
      <c r="R3838"/>
      <c r="S3838"/>
      <c r="T3838"/>
      <c r="U3838"/>
    </row>
    <row r="3839" spans="6:21" x14ac:dyDescent="0.25">
      <c r="F3839"/>
      <c r="O3839"/>
      <c r="R3839"/>
      <c r="S3839"/>
      <c r="T3839"/>
      <c r="U3839"/>
    </row>
    <row r="3840" spans="6:21" x14ac:dyDescent="0.25">
      <c r="F3840"/>
      <c r="O3840"/>
      <c r="R3840"/>
      <c r="S3840"/>
      <c r="T3840"/>
      <c r="U3840"/>
    </row>
    <row r="3841" spans="6:21" x14ac:dyDescent="0.25">
      <c r="F3841"/>
      <c r="O3841"/>
      <c r="R3841"/>
      <c r="S3841"/>
      <c r="T3841"/>
      <c r="U3841"/>
    </row>
    <row r="3842" spans="6:21" x14ac:dyDescent="0.25">
      <c r="F3842"/>
      <c r="O3842"/>
      <c r="R3842"/>
      <c r="S3842"/>
      <c r="T3842"/>
      <c r="U3842"/>
    </row>
    <row r="3843" spans="6:21" x14ac:dyDescent="0.25">
      <c r="F3843"/>
      <c r="O3843"/>
      <c r="R3843"/>
      <c r="S3843"/>
      <c r="T3843"/>
      <c r="U3843"/>
    </row>
    <row r="3844" spans="6:21" x14ac:dyDescent="0.25">
      <c r="F3844"/>
      <c r="O3844"/>
      <c r="R3844"/>
      <c r="S3844"/>
      <c r="T3844"/>
      <c r="U3844"/>
    </row>
    <row r="3845" spans="6:21" x14ac:dyDescent="0.25">
      <c r="F3845"/>
      <c r="O3845"/>
      <c r="R3845"/>
      <c r="S3845"/>
      <c r="T3845"/>
      <c r="U3845"/>
    </row>
    <row r="3846" spans="6:21" x14ac:dyDescent="0.25">
      <c r="F3846"/>
      <c r="O3846"/>
      <c r="R3846"/>
      <c r="S3846"/>
      <c r="T3846"/>
      <c r="U3846"/>
    </row>
    <row r="3847" spans="6:21" x14ac:dyDescent="0.25">
      <c r="F3847"/>
      <c r="O3847"/>
      <c r="R3847"/>
      <c r="S3847"/>
      <c r="T3847"/>
      <c r="U3847"/>
    </row>
    <row r="3848" spans="6:21" x14ac:dyDescent="0.25">
      <c r="F3848"/>
      <c r="O3848"/>
      <c r="R3848"/>
      <c r="S3848"/>
      <c r="T3848"/>
      <c r="U3848"/>
    </row>
    <row r="3849" spans="6:21" x14ac:dyDescent="0.25">
      <c r="F3849"/>
      <c r="O3849"/>
      <c r="R3849"/>
      <c r="S3849"/>
      <c r="T3849"/>
      <c r="U3849"/>
    </row>
    <row r="3850" spans="6:21" x14ac:dyDescent="0.25">
      <c r="F3850"/>
      <c r="O3850"/>
      <c r="R3850"/>
      <c r="S3850"/>
      <c r="T3850"/>
      <c r="U3850"/>
    </row>
    <row r="3851" spans="6:21" x14ac:dyDescent="0.25">
      <c r="F3851"/>
      <c r="O3851"/>
      <c r="R3851"/>
      <c r="S3851"/>
      <c r="T3851"/>
      <c r="U3851"/>
    </row>
    <row r="3852" spans="6:21" x14ac:dyDescent="0.25">
      <c r="F3852"/>
      <c r="O3852"/>
      <c r="R3852"/>
      <c r="S3852"/>
      <c r="T3852"/>
      <c r="U3852"/>
    </row>
    <row r="3853" spans="6:21" x14ac:dyDescent="0.25">
      <c r="F3853"/>
      <c r="O3853"/>
      <c r="R3853"/>
      <c r="S3853"/>
      <c r="T3853"/>
      <c r="U3853"/>
    </row>
    <row r="3854" spans="6:21" x14ac:dyDescent="0.25">
      <c r="F3854"/>
      <c r="O3854"/>
      <c r="R3854"/>
      <c r="S3854"/>
      <c r="T3854"/>
      <c r="U3854"/>
    </row>
    <row r="3855" spans="6:21" x14ac:dyDescent="0.25">
      <c r="F3855"/>
      <c r="O3855"/>
      <c r="R3855"/>
      <c r="S3855"/>
      <c r="T3855"/>
      <c r="U3855"/>
    </row>
    <row r="3856" spans="6:21" x14ac:dyDescent="0.25">
      <c r="F3856"/>
      <c r="O3856"/>
      <c r="R3856"/>
      <c r="S3856"/>
      <c r="T3856"/>
      <c r="U3856"/>
    </row>
    <row r="3857" spans="6:21" x14ac:dyDescent="0.25">
      <c r="F3857"/>
      <c r="O3857"/>
      <c r="R3857"/>
      <c r="S3857"/>
      <c r="T3857"/>
      <c r="U3857"/>
    </row>
    <row r="3858" spans="6:21" x14ac:dyDescent="0.25">
      <c r="F3858"/>
      <c r="O3858"/>
      <c r="R3858"/>
      <c r="S3858"/>
      <c r="T3858"/>
      <c r="U3858"/>
    </row>
    <row r="3859" spans="6:21" x14ac:dyDescent="0.25">
      <c r="F3859"/>
      <c r="O3859"/>
      <c r="R3859"/>
      <c r="S3859"/>
      <c r="T3859"/>
      <c r="U3859"/>
    </row>
    <row r="3860" spans="6:21" x14ac:dyDescent="0.25">
      <c r="F3860"/>
      <c r="O3860"/>
      <c r="R3860"/>
      <c r="S3860"/>
      <c r="T3860"/>
      <c r="U3860"/>
    </row>
    <row r="3861" spans="6:21" x14ac:dyDescent="0.25">
      <c r="F3861"/>
      <c r="O3861"/>
      <c r="R3861"/>
      <c r="S3861"/>
      <c r="T3861"/>
      <c r="U3861"/>
    </row>
    <row r="3862" spans="6:21" x14ac:dyDescent="0.25">
      <c r="F3862"/>
      <c r="O3862"/>
      <c r="R3862"/>
      <c r="S3862"/>
      <c r="T3862"/>
      <c r="U3862"/>
    </row>
    <row r="3863" spans="6:21" x14ac:dyDescent="0.25">
      <c r="F3863"/>
      <c r="O3863"/>
      <c r="R3863"/>
      <c r="S3863"/>
      <c r="T3863"/>
      <c r="U3863"/>
    </row>
    <row r="3864" spans="6:21" x14ac:dyDescent="0.25">
      <c r="F3864"/>
      <c r="O3864"/>
      <c r="R3864"/>
      <c r="S3864"/>
      <c r="T3864"/>
      <c r="U3864"/>
    </row>
    <row r="3865" spans="6:21" x14ac:dyDescent="0.25">
      <c r="F3865"/>
      <c r="O3865"/>
      <c r="R3865"/>
      <c r="S3865"/>
      <c r="T3865"/>
      <c r="U3865"/>
    </row>
    <row r="3866" spans="6:21" x14ac:dyDescent="0.25">
      <c r="F3866"/>
      <c r="O3866"/>
      <c r="R3866"/>
      <c r="S3866"/>
      <c r="T3866"/>
      <c r="U3866"/>
    </row>
    <row r="3867" spans="6:21" x14ac:dyDescent="0.25">
      <c r="F3867"/>
      <c r="O3867"/>
      <c r="R3867"/>
      <c r="S3867"/>
      <c r="T3867"/>
      <c r="U3867"/>
    </row>
    <row r="3868" spans="6:21" x14ac:dyDescent="0.25">
      <c r="F3868"/>
      <c r="O3868"/>
      <c r="R3868"/>
      <c r="S3868"/>
      <c r="T3868"/>
      <c r="U3868"/>
    </row>
    <row r="3869" spans="6:21" x14ac:dyDescent="0.25">
      <c r="F3869"/>
      <c r="O3869"/>
      <c r="R3869"/>
      <c r="S3869"/>
      <c r="T3869"/>
      <c r="U3869"/>
    </row>
    <row r="3870" spans="6:21" x14ac:dyDescent="0.25">
      <c r="F3870"/>
      <c r="O3870"/>
      <c r="R3870"/>
      <c r="S3870"/>
      <c r="T3870"/>
      <c r="U3870"/>
    </row>
    <row r="3871" spans="6:21" x14ac:dyDescent="0.25">
      <c r="F3871"/>
      <c r="O3871"/>
      <c r="R3871"/>
      <c r="S3871"/>
      <c r="T3871"/>
      <c r="U3871"/>
    </row>
    <row r="3872" spans="6:21" x14ac:dyDescent="0.25">
      <c r="F3872"/>
      <c r="O3872"/>
      <c r="R3872"/>
      <c r="S3872"/>
      <c r="T3872"/>
      <c r="U3872"/>
    </row>
    <row r="3873" spans="6:21" x14ac:dyDescent="0.25">
      <c r="F3873"/>
      <c r="O3873"/>
      <c r="R3873"/>
      <c r="S3873"/>
      <c r="T3873"/>
      <c r="U3873"/>
    </row>
    <row r="3874" spans="6:21" x14ac:dyDescent="0.25">
      <c r="F3874"/>
      <c r="O3874"/>
      <c r="R3874"/>
      <c r="S3874"/>
      <c r="T3874"/>
      <c r="U3874"/>
    </row>
    <row r="3875" spans="6:21" x14ac:dyDescent="0.25">
      <c r="F3875"/>
      <c r="O3875"/>
      <c r="R3875"/>
      <c r="S3875"/>
      <c r="T3875"/>
      <c r="U3875"/>
    </row>
    <row r="3876" spans="6:21" x14ac:dyDescent="0.25">
      <c r="F3876"/>
      <c r="O3876"/>
      <c r="R3876"/>
      <c r="S3876"/>
      <c r="T3876"/>
      <c r="U3876"/>
    </row>
    <row r="3877" spans="6:21" x14ac:dyDescent="0.25">
      <c r="F3877"/>
      <c r="O3877"/>
      <c r="R3877"/>
      <c r="S3877"/>
      <c r="T3877"/>
      <c r="U3877"/>
    </row>
    <row r="3878" spans="6:21" x14ac:dyDescent="0.25">
      <c r="F3878"/>
      <c r="O3878"/>
      <c r="R3878"/>
      <c r="S3878"/>
      <c r="T3878"/>
      <c r="U3878"/>
    </row>
    <row r="3879" spans="6:21" x14ac:dyDescent="0.25">
      <c r="F3879"/>
      <c r="O3879"/>
      <c r="R3879"/>
      <c r="S3879"/>
      <c r="T3879"/>
      <c r="U3879"/>
    </row>
    <row r="3880" spans="6:21" x14ac:dyDescent="0.25">
      <c r="F3880"/>
      <c r="O3880"/>
      <c r="R3880"/>
      <c r="S3880"/>
      <c r="T3880"/>
      <c r="U3880"/>
    </row>
    <row r="3881" spans="6:21" x14ac:dyDescent="0.25">
      <c r="F3881"/>
      <c r="O3881"/>
      <c r="R3881"/>
      <c r="S3881"/>
      <c r="T3881"/>
      <c r="U3881"/>
    </row>
    <row r="3882" spans="6:21" x14ac:dyDescent="0.25">
      <c r="F3882"/>
      <c r="O3882"/>
      <c r="R3882"/>
      <c r="S3882"/>
      <c r="T3882"/>
      <c r="U3882"/>
    </row>
    <row r="3883" spans="6:21" x14ac:dyDescent="0.25">
      <c r="F3883"/>
      <c r="O3883"/>
      <c r="R3883"/>
      <c r="S3883"/>
      <c r="T3883"/>
      <c r="U3883"/>
    </row>
    <row r="3884" spans="6:21" x14ac:dyDescent="0.25">
      <c r="F3884"/>
      <c r="O3884"/>
      <c r="R3884"/>
      <c r="S3884"/>
      <c r="T3884"/>
      <c r="U3884"/>
    </row>
    <row r="3885" spans="6:21" x14ac:dyDescent="0.25">
      <c r="F3885"/>
      <c r="O3885"/>
      <c r="R3885"/>
      <c r="S3885"/>
      <c r="T3885"/>
      <c r="U3885"/>
    </row>
    <row r="3886" spans="6:21" x14ac:dyDescent="0.25">
      <c r="F3886"/>
      <c r="O3886"/>
      <c r="R3886"/>
      <c r="S3886"/>
      <c r="T3886"/>
      <c r="U3886"/>
    </row>
    <row r="3887" spans="6:21" x14ac:dyDescent="0.25">
      <c r="F3887"/>
      <c r="O3887"/>
      <c r="R3887"/>
      <c r="S3887"/>
      <c r="T3887"/>
      <c r="U3887"/>
    </row>
    <row r="3888" spans="6:21" x14ac:dyDescent="0.25">
      <c r="F3888"/>
      <c r="O3888"/>
      <c r="R3888"/>
      <c r="S3888"/>
      <c r="T3888"/>
      <c r="U3888"/>
    </row>
    <row r="3889" spans="6:21" x14ac:dyDescent="0.25">
      <c r="F3889"/>
      <c r="O3889"/>
      <c r="R3889"/>
      <c r="S3889"/>
      <c r="T3889"/>
      <c r="U3889"/>
    </row>
    <row r="3890" spans="6:21" x14ac:dyDescent="0.25">
      <c r="F3890"/>
      <c r="O3890"/>
      <c r="R3890"/>
      <c r="S3890"/>
      <c r="T3890"/>
      <c r="U3890"/>
    </row>
    <row r="3891" spans="6:21" x14ac:dyDescent="0.25">
      <c r="F3891"/>
      <c r="O3891"/>
      <c r="R3891"/>
      <c r="S3891"/>
      <c r="T3891"/>
      <c r="U3891"/>
    </row>
    <row r="3892" spans="6:21" x14ac:dyDescent="0.25">
      <c r="F3892"/>
      <c r="O3892"/>
      <c r="R3892"/>
      <c r="S3892"/>
      <c r="T3892"/>
      <c r="U3892"/>
    </row>
    <row r="3893" spans="6:21" x14ac:dyDescent="0.25">
      <c r="F3893"/>
      <c r="O3893"/>
      <c r="R3893"/>
      <c r="S3893"/>
      <c r="T3893"/>
      <c r="U3893"/>
    </row>
    <row r="3894" spans="6:21" x14ac:dyDescent="0.25">
      <c r="F3894"/>
      <c r="O3894"/>
      <c r="R3894"/>
      <c r="S3894"/>
      <c r="T3894"/>
      <c r="U3894"/>
    </row>
    <row r="3895" spans="6:21" x14ac:dyDescent="0.25">
      <c r="F3895"/>
      <c r="O3895"/>
      <c r="R3895"/>
      <c r="S3895"/>
      <c r="T3895"/>
      <c r="U3895"/>
    </row>
    <row r="3896" spans="6:21" x14ac:dyDescent="0.25">
      <c r="F3896"/>
      <c r="O3896"/>
      <c r="R3896"/>
      <c r="S3896"/>
      <c r="T3896"/>
      <c r="U3896"/>
    </row>
    <row r="3897" spans="6:21" x14ac:dyDescent="0.25">
      <c r="F3897"/>
      <c r="O3897"/>
      <c r="R3897"/>
      <c r="S3897"/>
      <c r="T3897"/>
      <c r="U3897"/>
    </row>
    <row r="3898" spans="6:21" x14ac:dyDescent="0.25">
      <c r="F3898"/>
      <c r="O3898"/>
      <c r="R3898"/>
      <c r="S3898"/>
      <c r="T3898"/>
      <c r="U3898"/>
    </row>
    <row r="3899" spans="6:21" x14ac:dyDescent="0.25">
      <c r="F3899"/>
      <c r="O3899"/>
      <c r="R3899"/>
      <c r="S3899"/>
      <c r="T3899"/>
      <c r="U3899"/>
    </row>
    <row r="3900" spans="6:21" x14ac:dyDescent="0.25">
      <c r="F3900"/>
      <c r="O3900"/>
      <c r="R3900"/>
      <c r="S3900"/>
      <c r="T3900"/>
      <c r="U3900"/>
    </row>
    <row r="3901" spans="6:21" x14ac:dyDescent="0.25">
      <c r="F3901"/>
      <c r="O3901"/>
      <c r="R3901"/>
      <c r="S3901"/>
      <c r="T3901"/>
      <c r="U3901"/>
    </row>
    <row r="3902" spans="6:21" x14ac:dyDescent="0.25">
      <c r="F3902"/>
      <c r="O3902"/>
      <c r="R3902"/>
      <c r="S3902"/>
      <c r="T3902"/>
      <c r="U3902"/>
    </row>
    <row r="3903" spans="6:21" x14ac:dyDescent="0.25">
      <c r="F3903"/>
      <c r="O3903"/>
      <c r="R3903"/>
      <c r="S3903"/>
      <c r="T3903"/>
      <c r="U3903"/>
    </row>
    <row r="3904" spans="6:21" x14ac:dyDescent="0.25">
      <c r="F3904"/>
      <c r="O3904"/>
      <c r="R3904"/>
      <c r="S3904"/>
      <c r="T3904"/>
      <c r="U3904"/>
    </row>
    <row r="3905" spans="6:21" x14ac:dyDescent="0.25">
      <c r="F3905"/>
      <c r="O3905"/>
      <c r="R3905"/>
      <c r="S3905"/>
      <c r="T3905"/>
      <c r="U3905"/>
    </row>
    <row r="3906" spans="6:21" x14ac:dyDescent="0.25">
      <c r="F3906"/>
      <c r="O3906"/>
      <c r="R3906"/>
      <c r="S3906"/>
      <c r="T3906"/>
      <c r="U3906"/>
    </row>
    <row r="3907" spans="6:21" x14ac:dyDescent="0.25">
      <c r="F3907"/>
      <c r="O3907"/>
      <c r="R3907"/>
      <c r="S3907"/>
      <c r="T3907"/>
      <c r="U3907"/>
    </row>
    <row r="3908" spans="6:21" x14ac:dyDescent="0.25">
      <c r="F3908"/>
      <c r="O3908"/>
      <c r="R3908"/>
      <c r="S3908"/>
      <c r="T3908"/>
      <c r="U3908"/>
    </row>
    <row r="3909" spans="6:21" x14ac:dyDescent="0.25">
      <c r="F3909"/>
      <c r="O3909"/>
      <c r="R3909"/>
      <c r="S3909"/>
      <c r="T3909"/>
      <c r="U3909"/>
    </row>
    <row r="3910" spans="6:21" x14ac:dyDescent="0.25">
      <c r="F3910"/>
      <c r="O3910"/>
      <c r="R3910"/>
      <c r="S3910"/>
      <c r="T3910"/>
      <c r="U3910"/>
    </row>
    <row r="3911" spans="6:21" x14ac:dyDescent="0.25">
      <c r="F3911"/>
      <c r="O3911"/>
      <c r="R3911"/>
      <c r="S3911"/>
      <c r="T3911"/>
      <c r="U3911"/>
    </row>
    <row r="3912" spans="6:21" x14ac:dyDescent="0.25">
      <c r="F3912"/>
      <c r="O3912"/>
      <c r="R3912"/>
      <c r="S3912"/>
      <c r="T3912"/>
      <c r="U3912"/>
    </row>
    <row r="3913" spans="6:21" x14ac:dyDescent="0.25">
      <c r="F3913"/>
      <c r="O3913"/>
      <c r="R3913"/>
      <c r="S3913"/>
      <c r="T3913"/>
      <c r="U3913"/>
    </row>
    <row r="3914" spans="6:21" x14ac:dyDescent="0.25">
      <c r="F3914"/>
      <c r="O3914"/>
      <c r="R3914"/>
      <c r="S3914"/>
      <c r="T3914"/>
      <c r="U3914"/>
    </row>
    <row r="3915" spans="6:21" x14ac:dyDescent="0.25">
      <c r="F3915"/>
      <c r="O3915"/>
      <c r="R3915"/>
      <c r="S3915"/>
      <c r="T3915"/>
      <c r="U3915"/>
    </row>
    <row r="3916" spans="6:21" x14ac:dyDescent="0.25">
      <c r="F3916"/>
      <c r="O3916"/>
      <c r="R3916"/>
      <c r="S3916"/>
      <c r="T3916"/>
      <c r="U3916"/>
    </row>
    <row r="3917" spans="6:21" x14ac:dyDescent="0.25">
      <c r="F3917"/>
      <c r="O3917"/>
      <c r="R3917"/>
      <c r="S3917"/>
      <c r="T3917"/>
      <c r="U3917"/>
    </row>
    <row r="3918" spans="6:21" x14ac:dyDescent="0.25">
      <c r="F3918"/>
      <c r="O3918"/>
      <c r="R3918"/>
      <c r="S3918"/>
      <c r="T3918"/>
      <c r="U3918"/>
    </row>
    <row r="3919" spans="6:21" x14ac:dyDescent="0.25">
      <c r="F3919"/>
      <c r="O3919"/>
      <c r="R3919"/>
      <c r="S3919"/>
      <c r="T3919"/>
      <c r="U3919"/>
    </row>
    <row r="3920" spans="6:21" x14ac:dyDescent="0.25">
      <c r="F3920"/>
      <c r="O3920"/>
      <c r="R3920"/>
      <c r="S3920"/>
      <c r="T3920"/>
      <c r="U3920"/>
    </row>
    <row r="3921" spans="6:21" x14ac:dyDescent="0.25">
      <c r="F3921"/>
      <c r="O3921"/>
      <c r="R3921"/>
      <c r="S3921"/>
      <c r="T3921"/>
      <c r="U3921"/>
    </row>
    <row r="3922" spans="6:21" x14ac:dyDescent="0.25">
      <c r="F3922"/>
      <c r="O3922"/>
      <c r="R3922"/>
      <c r="S3922"/>
      <c r="T3922"/>
      <c r="U3922"/>
    </row>
    <row r="3923" spans="6:21" x14ac:dyDescent="0.25">
      <c r="F3923"/>
      <c r="O3923"/>
      <c r="R3923"/>
      <c r="S3923"/>
      <c r="T3923"/>
      <c r="U3923"/>
    </row>
    <row r="3924" spans="6:21" x14ac:dyDescent="0.25">
      <c r="F3924"/>
      <c r="O3924"/>
      <c r="R3924"/>
      <c r="S3924"/>
      <c r="T3924"/>
      <c r="U3924"/>
    </row>
    <row r="3925" spans="6:21" x14ac:dyDescent="0.25">
      <c r="F3925"/>
      <c r="O3925"/>
      <c r="R3925"/>
      <c r="S3925"/>
      <c r="T3925"/>
      <c r="U3925"/>
    </row>
    <row r="3926" spans="6:21" x14ac:dyDescent="0.25">
      <c r="F3926"/>
      <c r="O3926"/>
      <c r="R3926"/>
      <c r="S3926"/>
      <c r="T3926"/>
      <c r="U3926"/>
    </row>
    <row r="3927" spans="6:21" x14ac:dyDescent="0.25">
      <c r="F3927"/>
      <c r="O3927"/>
      <c r="R3927"/>
      <c r="S3927"/>
      <c r="T3927"/>
      <c r="U3927"/>
    </row>
    <row r="3928" spans="6:21" x14ac:dyDescent="0.25">
      <c r="F3928"/>
      <c r="O3928"/>
      <c r="R3928"/>
      <c r="S3928"/>
      <c r="T3928"/>
      <c r="U3928"/>
    </row>
    <row r="3929" spans="6:21" x14ac:dyDescent="0.25">
      <c r="F3929"/>
      <c r="O3929"/>
      <c r="R3929"/>
      <c r="S3929"/>
      <c r="T3929"/>
      <c r="U3929"/>
    </row>
    <row r="3930" spans="6:21" x14ac:dyDescent="0.25">
      <c r="F3930"/>
      <c r="O3930"/>
      <c r="R3930"/>
      <c r="S3930"/>
      <c r="T3930"/>
      <c r="U3930"/>
    </row>
    <row r="3931" spans="6:21" x14ac:dyDescent="0.25">
      <c r="F3931"/>
      <c r="O3931"/>
      <c r="R3931"/>
      <c r="S3931"/>
      <c r="T3931"/>
      <c r="U3931"/>
    </row>
    <row r="3932" spans="6:21" x14ac:dyDescent="0.25">
      <c r="F3932"/>
      <c r="O3932"/>
      <c r="R3932"/>
      <c r="S3932"/>
      <c r="T3932"/>
      <c r="U3932"/>
    </row>
    <row r="3933" spans="6:21" x14ac:dyDescent="0.25">
      <c r="F3933"/>
      <c r="O3933"/>
      <c r="R3933"/>
      <c r="S3933"/>
      <c r="T3933"/>
      <c r="U3933"/>
    </row>
    <row r="3934" spans="6:21" x14ac:dyDescent="0.25">
      <c r="F3934"/>
      <c r="O3934"/>
      <c r="R3934"/>
      <c r="S3934"/>
      <c r="T3934"/>
      <c r="U3934"/>
    </row>
    <row r="3935" spans="6:21" x14ac:dyDescent="0.25">
      <c r="F3935"/>
      <c r="O3935"/>
      <c r="R3935"/>
      <c r="S3935"/>
      <c r="T3935"/>
      <c r="U3935"/>
    </row>
    <row r="3936" spans="6:21" x14ac:dyDescent="0.25">
      <c r="F3936"/>
      <c r="O3936"/>
      <c r="R3936"/>
      <c r="S3936"/>
      <c r="T3936"/>
      <c r="U3936"/>
    </row>
    <row r="3937" spans="6:21" x14ac:dyDescent="0.25">
      <c r="F3937"/>
      <c r="O3937"/>
      <c r="R3937"/>
      <c r="S3937"/>
      <c r="T3937"/>
      <c r="U3937"/>
    </row>
    <row r="3938" spans="6:21" x14ac:dyDescent="0.25">
      <c r="F3938"/>
      <c r="O3938"/>
      <c r="R3938"/>
      <c r="S3938"/>
      <c r="T3938"/>
      <c r="U3938"/>
    </row>
    <row r="3939" spans="6:21" x14ac:dyDescent="0.25">
      <c r="F3939"/>
      <c r="O3939"/>
      <c r="R3939"/>
      <c r="S3939"/>
      <c r="T3939"/>
      <c r="U3939"/>
    </row>
    <row r="3940" spans="6:21" x14ac:dyDescent="0.25">
      <c r="F3940"/>
      <c r="O3940"/>
      <c r="R3940"/>
      <c r="S3940"/>
      <c r="T3940"/>
      <c r="U3940"/>
    </row>
    <row r="3941" spans="6:21" x14ac:dyDescent="0.25">
      <c r="F3941"/>
      <c r="O3941"/>
      <c r="R3941"/>
      <c r="S3941"/>
      <c r="T3941"/>
      <c r="U3941"/>
    </row>
    <row r="3942" spans="6:21" x14ac:dyDescent="0.25">
      <c r="F3942"/>
      <c r="O3942"/>
      <c r="R3942"/>
      <c r="S3942"/>
      <c r="T3942"/>
      <c r="U3942"/>
    </row>
    <row r="3943" spans="6:21" x14ac:dyDescent="0.25">
      <c r="F3943"/>
      <c r="O3943"/>
      <c r="R3943"/>
      <c r="S3943"/>
      <c r="T3943"/>
      <c r="U3943"/>
    </row>
    <row r="3944" spans="6:21" x14ac:dyDescent="0.25">
      <c r="F3944"/>
      <c r="O3944"/>
      <c r="R3944"/>
      <c r="S3944"/>
      <c r="T3944"/>
      <c r="U3944"/>
    </row>
    <row r="3945" spans="6:21" x14ac:dyDescent="0.25">
      <c r="F3945"/>
      <c r="O3945"/>
      <c r="R3945"/>
      <c r="S3945"/>
      <c r="T3945"/>
      <c r="U3945"/>
    </row>
    <row r="3946" spans="6:21" x14ac:dyDescent="0.25">
      <c r="F3946"/>
      <c r="O3946"/>
      <c r="R3946"/>
      <c r="S3946"/>
      <c r="T3946"/>
      <c r="U3946"/>
    </row>
    <row r="3947" spans="6:21" x14ac:dyDescent="0.25">
      <c r="F3947"/>
      <c r="O3947"/>
      <c r="R3947"/>
      <c r="S3947"/>
      <c r="T3947"/>
      <c r="U3947"/>
    </row>
    <row r="3948" spans="6:21" x14ac:dyDescent="0.25">
      <c r="F3948"/>
      <c r="O3948"/>
      <c r="R3948"/>
      <c r="S3948"/>
      <c r="T3948"/>
      <c r="U3948"/>
    </row>
    <row r="3949" spans="6:21" x14ac:dyDescent="0.25">
      <c r="F3949"/>
      <c r="O3949"/>
      <c r="R3949"/>
      <c r="S3949"/>
      <c r="T3949"/>
      <c r="U3949"/>
    </row>
    <row r="3950" spans="6:21" x14ac:dyDescent="0.25">
      <c r="F3950"/>
      <c r="O3950"/>
      <c r="R3950"/>
      <c r="S3950"/>
      <c r="T3950"/>
      <c r="U3950"/>
    </row>
    <row r="3951" spans="6:21" x14ac:dyDescent="0.25">
      <c r="F3951"/>
      <c r="O3951"/>
      <c r="R3951"/>
      <c r="S3951"/>
      <c r="T3951"/>
      <c r="U3951"/>
    </row>
    <row r="3952" spans="6:21" x14ac:dyDescent="0.25">
      <c r="F3952"/>
      <c r="O3952"/>
      <c r="R3952"/>
      <c r="S3952"/>
      <c r="T3952"/>
      <c r="U3952"/>
    </row>
    <row r="3953" spans="6:21" x14ac:dyDescent="0.25">
      <c r="F3953"/>
      <c r="O3953"/>
      <c r="R3953"/>
      <c r="S3953"/>
      <c r="T3953"/>
      <c r="U3953"/>
    </row>
    <row r="3954" spans="6:21" x14ac:dyDescent="0.25">
      <c r="F3954"/>
      <c r="O3954"/>
      <c r="R3954"/>
      <c r="S3954"/>
      <c r="T3954"/>
      <c r="U3954"/>
    </row>
    <row r="3955" spans="6:21" x14ac:dyDescent="0.25">
      <c r="F3955"/>
      <c r="O3955"/>
      <c r="R3955"/>
      <c r="S3955"/>
      <c r="T3955"/>
      <c r="U3955"/>
    </row>
    <row r="3956" spans="6:21" x14ac:dyDescent="0.25">
      <c r="F3956"/>
      <c r="O3956"/>
      <c r="R3956"/>
      <c r="S3956"/>
      <c r="T3956"/>
      <c r="U3956"/>
    </row>
    <row r="3957" spans="6:21" x14ac:dyDescent="0.25">
      <c r="F3957"/>
      <c r="O3957"/>
      <c r="R3957"/>
      <c r="S3957"/>
      <c r="T3957"/>
      <c r="U3957"/>
    </row>
    <row r="3958" spans="6:21" x14ac:dyDescent="0.25">
      <c r="F3958"/>
      <c r="O3958"/>
      <c r="R3958"/>
      <c r="S3958"/>
      <c r="T3958"/>
      <c r="U3958"/>
    </row>
    <row r="3959" spans="6:21" x14ac:dyDescent="0.25">
      <c r="F3959"/>
      <c r="O3959"/>
      <c r="R3959"/>
      <c r="S3959"/>
      <c r="T3959"/>
      <c r="U3959"/>
    </row>
    <row r="3960" spans="6:21" x14ac:dyDescent="0.25">
      <c r="F3960"/>
      <c r="O3960"/>
      <c r="R3960"/>
      <c r="S3960"/>
      <c r="T3960"/>
      <c r="U3960"/>
    </row>
    <row r="3961" spans="6:21" x14ac:dyDescent="0.25">
      <c r="F3961"/>
      <c r="O3961"/>
      <c r="R3961"/>
      <c r="S3961"/>
      <c r="T3961"/>
      <c r="U3961"/>
    </row>
    <row r="3962" spans="6:21" x14ac:dyDescent="0.25">
      <c r="F3962"/>
      <c r="O3962"/>
      <c r="R3962"/>
      <c r="S3962"/>
      <c r="T3962"/>
      <c r="U3962"/>
    </row>
    <row r="3963" spans="6:21" x14ac:dyDescent="0.25">
      <c r="F3963"/>
      <c r="O3963"/>
      <c r="R3963"/>
      <c r="S3963"/>
      <c r="T3963"/>
      <c r="U3963"/>
    </row>
    <row r="3964" spans="6:21" x14ac:dyDescent="0.25">
      <c r="F3964"/>
      <c r="O3964"/>
      <c r="R3964"/>
      <c r="S3964"/>
      <c r="T3964"/>
      <c r="U3964"/>
    </row>
    <row r="3965" spans="6:21" x14ac:dyDescent="0.25">
      <c r="F3965"/>
      <c r="O3965"/>
      <c r="R3965"/>
      <c r="S3965"/>
      <c r="T3965"/>
      <c r="U3965"/>
    </row>
    <row r="3966" spans="6:21" x14ac:dyDescent="0.25">
      <c r="F3966"/>
      <c r="O3966"/>
      <c r="R3966"/>
      <c r="S3966"/>
      <c r="T3966"/>
      <c r="U3966"/>
    </row>
    <row r="3967" spans="6:21" x14ac:dyDescent="0.25">
      <c r="F3967"/>
      <c r="O3967"/>
      <c r="R3967"/>
      <c r="S3967"/>
      <c r="T3967"/>
      <c r="U3967"/>
    </row>
    <row r="3968" spans="6:21" x14ac:dyDescent="0.25">
      <c r="F3968"/>
      <c r="O3968"/>
      <c r="R3968"/>
      <c r="S3968"/>
      <c r="T3968"/>
      <c r="U3968"/>
    </row>
    <row r="3969" spans="6:21" x14ac:dyDescent="0.25">
      <c r="F3969"/>
      <c r="O3969"/>
      <c r="R3969"/>
      <c r="S3969"/>
      <c r="T3969"/>
      <c r="U3969"/>
    </row>
    <row r="3970" spans="6:21" x14ac:dyDescent="0.25">
      <c r="F3970"/>
      <c r="O3970"/>
      <c r="R3970"/>
      <c r="S3970"/>
      <c r="T3970"/>
      <c r="U3970"/>
    </row>
    <row r="3971" spans="6:21" x14ac:dyDescent="0.25">
      <c r="F3971"/>
      <c r="O3971"/>
      <c r="R3971"/>
      <c r="S3971"/>
      <c r="T3971"/>
      <c r="U3971"/>
    </row>
    <row r="3972" spans="6:21" x14ac:dyDescent="0.25">
      <c r="F3972"/>
      <c r="O3972"/>
      <c r="R3972"/>
      <c r="S3972"/>
      <c r="T3972"/>
      <c r="U3972"/>
    </row>
    <row r="3973" spans="6:21" x14ac:dyDescent="0.25">
      <c r="F3973"/>
      <c r="O3973"/>
      <c r="R3973"/>
      <c r="S3973"/>
      <c r="T3973"/>
      <c r="U3973"/>
    </row>
    <row r="3974" spans="6:21" x14ac:dyDescent="0.25">
      <c r="F3974"/>
      <c r="O3974"/>
      <c r="R3974"/>
      <c r="S3974"/>
      <c r="T3974"/>
      <c r="U3974"/>
    </row>
    <row r="3975" spans="6:21" x14ac:dyDescent="0.25">
      <c r="F3975"/>
      <c r="O3975"/>
      <c r="R3975"/>
      <c r="S3975"/>
      <c r="T3975"/>
      <c r="U3975"/>
    </row>
    <row r="3976" spans="6:21" x14ac:dyDescent="0.25">
      <c r="F3976"/>
      <c r="O3976"/>
      <c r="R3976"/>
      <c r="S3976"/>
      <c r="T3976"/>
      <c r="U3976"/>
    </row>
    <row r="3977" spans="6:21" x14ac:dyDescent="0.25">
      <c r="F3977"/>
      <c r="O3977"/>
      <c r="R3977"/>
      <c r="S3977"/>
      <c r="T3977"/>
      <c r="U3977"/>
    </row>
    <row r="3978" spans="6:21" x14ac:dyDescent="0.25">
      <c r="F3978"/>
      <c r="O3978"/>
      <c r="R3978"/>
      <c r="S3978"/>
      <c r="T3978"/>
      <c r="U3978"/>
    </row>
    <row r="3979" spans="6:21" x14ac:dyDescent="0.25">
      <c r="F3979"/>
      <c r="O3979"/>
      <c r="R3979"/>
      <c r="S3979"/>
      <c r="T3979"/>
      <c r="U3979"/>
    </row>
    <row r="3980" spans="6:21" x14ac:dyDescent="0.25">
      <c r="F3980"/>
      <c r="O3980"/>
      <c r="R3980"/>
      <c r="S3980"/>
      <c r="T3980"/>
      <c r="U3980"/>
    </row>
    <row r="3981" spans="6:21" x14ac:dyDescent="0.25">
      <c r="F3981"/>
      <c r="O3981"/>
      <c r="R3981"/>
      <c r="S3981"/>
      <c r="T3981"/>
      <c r="U3981"/>
    </row>
    <row r="3982" spans="6:21" x14ac:dyDescent="0.25">
      <c r="F3982"/>
      <c r="O3982"/>
      <c r="R3982"/>
      <c r="S3982"/>
      <c r="T3982"/>
      <c r="U3982"/>
    </row>
    <row r="3983" spans="6:21" x14ac:dyDescent="0.25">
      <c r="F3983"/>
      <c r="O3983"/>
      <c r="R3983"/>
      <c r="S3983"/>
      <c r="T3983"/>
      <c r="U3983"/>
    </row>
    <row r="3984" spans="6:21" x14ac:dyDescent="0.25">
      <c r="F3984"/>
      <c r="O3984"/>
      <c r="R3984"/>
      <c r="S3984"/>
      <c r="T3984"/>
      <c r="U3984"/>
    </row>
    <row r="3985" spans="6:21" x14ac:dyDescent="0.25">
      <c r="F3985"/>
      <c r="O3985"/>
      <c r="R3985"/>
      <c r="S3985"/>
      <c r="T3985"/>
      <c r="U3985"/>
    </row>
    <row r="3986" spans="6:21" x14ac:dyDescent="0.25">
      <c r="F3986"/>
      <c r="O3986"/>
      <c r="R3986"/>
      <c r="S3986"/>
      <c r="T3986"/>
      <c r="U3986"/>
    </row>
    <row r="3987" spans="6:21" x14ac:dyDescent="0.25">
      <c r="F3987"/>
      <c r="O3987"/>
      <c r="R3987"/>
      <c r="S3987"/>
      <c r="T3987"/>
      <c r="U3987"/>
    </row>
    <row r="3988" spans="6:21" x14ac:dyDescent="0.25">
      <c r="F3988"/>
      <c r="O3988"/>
      <c r="R3988"/>
      <c r="S3988"/>
      <c r="T3988"/>
      <c r="U3988"/>
    </row>
    <row r="3989" spans="6:21" x14ac:dyDescent="0.25">
      <c r="F3989"/>
      <c r="O3989"/>
      <c r="R3989"/>
      <c r="S3989"/>
      <c r="T3989"/>
      <c r="U3989"/>
    </row>
    <row r="3990" spans="6:21" x14ac:dyDescent="0.25">
      <c r="F3990"/>
      <c r="O3990"/>
      <c r="R3990"/>
      <c r="S3990"/>
      <c r="T3990"/>
      <c r="U3990"/>
    </row>
    <row r="3991" spans="6:21" x14ac:dyDescent="0.25">
      <c r="F3991"/>
      <c r="O3991"/>
      <c r="R3991"/>
      <c r="S3991"/>
      <c r="T3991"/>
      <c r="U3991"/>
    </row>
    <row r="3992" spans="6:21" x14ac:dyDescent="0.25">
      <c r="F3992"/>
      <c r="O3992"/>
      <c r="R3992"/>
      <c r="S3992"/>
      <c r="T3992"/>
      <c r="U3992"/>
    </row>
    <row r="3993" spans="6:21" x14ac:dyDescent="0.25">
      <c r="F3993"/>
      <c r="O3993"/>
      <c r="R3993"/>
      <c r="S3993"/>
      <c r="T3993"/>
      <c r="U3993"/>
    </row>
    <row r="3994" spans="6:21" x14ac:dyDescent="0.25">
      <c r="F3994"/>
      <c r="O3994"/>
      <c r="R3994"/>
      <c r="S3994"/>
      <c r="T3994"/>
      <c r="U3994"/>
    </row>
    <row r="3995" spans="6:21" x14ac:dyDescent="0.25">
      <c r="F3995"/>
      <c r="O3995"/>
      <c r="R3995"/>
      <c r="S3995"/>
      <c r="T3995"/>
      <c r="U3995"/>
    </row>
    <row r="3996" spans="6:21" x14ac:dyDescent="0.25">
      <c r="F3996"/>
      <c r="O3996"/>
      <c r="R3996"/>
      <c r="S3996"/>
      <c r="T3996"/>
      <c r="U3996"/>
    </row>
    <row r="3997" spans="6:21" x14ac:dyDescent="0.25">
      <c r="F3997"/>
      <c r="O3997"/>
      <c r="R3997"/>
      <c r="S3997"/>
      <c r="T3997"/>
      <c r="U3997"/>
    </row>
    <row r="3998" spans="6:21" x14ac:dyDescent="0.25">
      <c r="F3998"/>
      <c r="O3998"/>
      <c r="R3998"/>
      <c r="S3998"/>
      <c r="T3998"/>
      <c r="U3998"/>
    </row>
    <row r="3999" spans="6:21" x14ac:dyDescent="0.25">
      <c r="F3999"/>
      <c r="O3999"/>
      <c r="R3999"/>
      <c r="S3999"/>
      <c r="T3999"/>
      <c r="U3999"/>
    </row>
    <row r="4000" spans="6:21" x14ac:dyDescent="0.25">
      <c r="F4000"/>
      <c r="O4000"/>
      <c r="R4000"/>
      <c r="S4000"/>
      <c r="T4000"/>
      <c r="U4000"/>
    </row>
    <row r="4001" spans="6:21" x14ac:dyDescent="0.25">
      <c r="F4001"/>
      <c r="O4001"/>
      <c r="R4001"/>
      <c r="S4001"/>
      <c r="T4001"/>
      <c r="U4001"/>
    </row>
    <row r="4002" spans="6:21" x14ac:dyDescent="0.25">
      <c r="F4002"/>
      <c r="O4002"/>
      <c r="R4002"/>
      <c r="S4002"/>
      <c r="T4002"/>
      <c r="U4002"/>
    </row>
    <row r="4003" spans="6:21" x14ac:dyDescent="0.25">
      <c r="F4003"/>
      <c r="O4003"/>
      <c r="R4003"/>
      <c r="S4003"/>
      <c r="T4003"/>
      <c r="U4003"/>
    </row>
    <row r="4004" spans="6:21" x14ac:dyDescent="0.25">
      <c r="F4004"/>
      <c r="O4004"/>
      <c r="R4004"/>
      <c r="S4004"/>
      <c r="T4004"/>
      <c r="U4004"/>
    </row>
    <row r="4005" spans="6:21" x14ac:dyDescent="0.25">
      <c r="F4005"/>
      <c r="O4005"/>
      <c r="R4005"/>
      <c r="S4005"/>
      <c r="T4005"/>
      <c r="U4005"/>
    </row>
    <row r="4006" spans="6:21" x14ac:dyDescent="0.25">
      <c r="F4006"/>
      <c r="O4006"/>
      <c r="R4006"/>
      <c r="S4006"/>
      <c r="T4006"/>
      <c r="U4006"/>
    </row>
    <row r="4007" spans="6:21" x14ac:dyDescent="0.25">
      <c r="F4007"/>
      <c r="O4007"/>
      <c r="R4007"/>
      <c r="S4007"/>
      <c r="T4007"/>
      <c r="U4007"/>
    </row>
    <row r="4008" spans="6:21" x14ac:dyDescent="0.25">
      <c r="F4008"/>
      <c r="O4008"/>
      <c r="R4008"/>
      <c r="S4008"/>
      <c r="T4008"/>
      <c r="U4008"/>
    </row>
    <row r="4009" spans="6:21" x14ac:dyDescent="0.25">
      <c r="F4009"/>
      <c r="O4009"/>
      <c r="R4009"/>
      <c r="S4009"/>
      <c r="T4009"/>
      <c r="U4009"/>
    </row>
    <row r="4010" spans="6:21" x14ac:dyDescent="0.25">
      <c r="F4010"/>
      <c r="O4010"/>
      <c r="R4010"/>
      <c r="S4010"/>
      <c r="T4010"/>
      <c r="U4010"/>
    </row>
    <row r="4011" spans="6:21" x14ac:dyDescent="0.25">
      <c r="F4011"/>
      <c r="O4011"/>
      <c r="R4011"/>
      <c r="S4011"/>
      <c r="T4011"/>
      <c r="U4011"/>
    </row>
    <row r="4012" spans="6:21" x14ac:dyDescent="0.25">
      <c r="F4012"/>
      <c r="O4012"/>
      <c r="R4012"/>
      <c r="S4012"/>
      <c r="T4012"/>
      <c r="U4012"/>
    </row>
    <row r="4013" spans="6:21" x14ac:dyDescent="0.25">
      <c r="F4013"/>
      <c r="O4013"/>
      <c r="R4013"/>
      <c r="S4013"/>
      <c r="T4013"/>
      <c r="U4013"/>
    </row>
    <row r="4014" spans="6:21" x14ac:dyDescent="0.25">
      <c r="F4014"/>
      <c r="O4014"/>
      <c r="R4014"/>
      <c r="S4014"/>
      <c r="T4014"/>
      <c r="U4014"/>
    </row>
    <row r="4015" spans="6:21" x14ac:dyDescent="0.25">
      <c r="F4015"/>
      <c r="O4015"/>
      <c r="R4015"/>
      <c r="S4015"/>
      <c r="T4015"/>
      <c r="U4015"/>
    </row>
    <row r="4016" spans="6:21" x14ac:dyDescent="0.25">
      <c r="F4016"/>
      <c r="O4016"/>
      <c r="R4016"/>
      <c r="S4016"/>
      <c r="T4016"/>
      <c r="U4016"/>
    </row>
    <row r="4017" spans="6:21" x14ac:dyDescent="0.25">
      <c r="F4017"/>
      <c r="O4017"/>
      <c r="R4017"/>
      <c r="S4017"/>
      <c r="T4017"/>
      <c r="U4017"/>
    </row>
    <row r="4018" spans="6:21" x14ac:dyDescent="0.25">
      <c r="F4018"/>
      <c r="O4018"/>
      <c r="R4018"/>
      <c r="S4018"/>
      <c r="T4018"/>
      <c r="U4018"/>
    </row>
    <row r="4019" spans="6:21" x14ac:dyDescent="0.25">
      <c r="F4019"/>
      <c r="O4019"/>
      <c r="R4019"/>
      <c r="S4019"/>
      <c r="T4019"/>
      <c r="U4019"/>
    </row>
    <row r="4020" spans="6:21" x14ac:dyDescent="0.25">
      <c r="F4020"/>
      <c r="O4020"/>
      <c r="R4020"/>
      <c r="S4020"/>
      <c r="T4020"/>
      <c r="U4020"/>
    </row>
    <row r="4021" spans="6:21" x14ac:dyDescent="0.25">
      <c r="F4021"/>
      <c r="O4021"/>
      <c r="R4021"/>
      <c r="S4021"/>
      <c r="T4021"/>
      <c r="U4021"/>
    </row>
    <row r="4022" spans="6:21" x14ac:dyDescent="0.25">
      <c r="F4022"/>
      <c r="O4022"/>
      <c r="R4022"/>
      <c r="S4022"/>
      <c r="T4022"/>
      <c r="U4022"/>
    </row>
    <row r="4023" spans="6:21" x14ac:dyDescent="0.25">
      <c r="F4023"/>
      <c r="O4023"/>
      <c r="R4023"/>
      <c r="S4023"/>
      <c r="T4023"/>
      <c r="U4023"/>
    </row>
    <row r="4024" spans="6:21" x14ac:dyDescent="0.25">
      <c r="F4024"/>
      <c r="O4024"/>
      <c r="R4024"/>
      <c r="S4024"/>
      <c r="T4024"/>
      <c r="U4024"/>
    </row>
    <row r="4025" spans="6:21" x14ac:dyDescent="0.25">
      <c r="F4025"/>
      <c r="O4025"/>
      <c r="R4025"/>
      <c r="S4025"/>
      <c r="T4025"/>
      <c r="U4025"/>
    </row>
    <row r="4026" spans="6:21" x14ac:dyDescent="0.25">
      <c r="F4026"/>
      <c r="O4026"/>
      <c r="R4026"/>
      <c r="S4026"/>
      <c r="T4026"/>
      <c r="U4026"/>
    </row>
    <row r="4027" spans="6:21" x14ac:dyDescent="0.25">
      <c r="F4027"/>
      <c r="O4027"/>
      <c r="R4027"/>
      <c r="S4027"/>
      <c r="T4027"/>
      <c r="U4027"/>
    </row>
    <row r="4028" spans="6:21" x14ac:dyDescent="0.25">
      <c r="F4028"/>
      <c r="O4028"/>
      <c r="R4028"/>
      <c r="S4028"/>
      <c r="T4028"/>
      <c r="U4028"/>
    </row>
    <row r="4029" spans="6:21" x14ac:dyDescent="0.25">
      <c r="F4029"/>
      <c r="O4029"/>
      <c r="R4029"/>
      <c r="S4029"/>
      <c r="T4029"/>
      <c r="U4029"/>
    </row>
    <row r="4030" spans="6:21" x14ac:dyDescent="0.25">
      <c r="F4030"/>
      <c r="O4030"/>
      <c r="R4030"/>
      <c r="S4030"/>
      <c r="T4030"/>
      <c r="U4030"/>
    </row>
    <row r="4031" spans="6:21" x14ac:dyDescent="0.25">
      <c r="F4031"/>
      <c r="O4031"/>
      <c r="R4031"/>
      <c r="S4031"/>
      <c r="T4031"/>
      <c r="U4031"/>
    </row>
    <row r="4032" spans="6:21" x14ac:dyDescent="0.25">
      <c r="F4032"/>
      <c r="O4032"/>
      <c r="R4032"/>
      <c r="S4032"/>
      <c r="T4032"/>
      <c r="U4032"/>
    </row>
    <row r="4033" spans="6:21" x14ac:dyDescent="0.25">
      <c r="F4033"/>
      <c r="O4033"/>
      <c r="R4033"/>
      <c r="S4033"/>
      <c r="T4033"/>
      <c r="U4033"/>
    </row>
    <row r="4034" spans="6:21" x14ac:dyDescent="0.25">
      <c r="F4034"/>
      <c r="O4034"/>
      <c r="R4034"/>
      <c r="S4034"/>
      <c r="T4034"/>
      <c r="U4034"/>
    </row>
    <row r="4035" spans="6:21" x14ac:dyDescent="0.25">
      <c r="F4035"/>
      <c r="O4035"/>
      <c r="R4035"/>
      <c r="S4035"/>
      <c r="T4035"/>
      <c r="U4035"/>
    </row>
    <row r="4036" spans="6:21" x14ac:dyDescent="0.25">
      <c r="F4036"/>
      <c r="O4036"/>
      <c r="R4036"/>
      <c r="S4036"/>
      <c r="T4036"/>
      <c r="U4036"/>
    </row>
    <row r="4037" spans="6:21" x14ac:dyDescent="0.25">
      <c r="F4037"/>
      <c r="O4037"/>
      <c r="R4037"/>
      <c r="S4037"/>
      <c r="T4037"/>
      <c r="U4037"/>
    </row>
    <row r="4038" spans="6:21" x14ac:dyDescent="0.25">
      <c r="F4038"/>
      <c r="O4038"/>
      <c r="R4038"/>
      <c r="S4038"/>
      <c r="T4038"/>
      <c r="U4038"/>
    </row>
    <row r="4039" spans="6:21" x14ac:dyDescent="0.25">
      <c r="F4039"/>
      <c r="O4039"/>
      <c r="R4039"/>
      <c r="S4039"/>
      <c r="T4039"/>
      <c r="U4039"/>
    </row>
    <row r="4040" spans="6:21" x14ac:dyDescent="0.25">
      <c r="F4040"/>
      <c r="O4040"/>
      <c r="R4040"/>
      <c r="S4040"/>
      <c r="T4040"/>
      <c r="U4040"/>
    </row>
    <row r="4041" spans="6:21" x14ac:dyDescent="0.25">
      <c r="F4041"/>
      <c r="O4041"/>
      <c r="R4041"/>
      <c r="S4041"/>
      <c r="T4041"/>
      <c r="U4041"/>
    </row>
    <row r="4042" spans="6:21" x14ac:dyDescent="0.25">
      <c r="F4042"/>
      <c r="O4042"/>
      <c r="R4042"/>
      <c r="S4042"/>
      <c r="T4042"/>
      <c r="U4042"/>
    </row>
    <row r="4043" spans="6:21" x14ac:dyDescent="0.25">
      <c r="F4043"/>
      <c r="O4043"/>
      <c r="R4043"/>
      <c r="S4043"/>
      <c r="T4043"/>
      <c r="U4043"/>
    </row>
    <row r="4044" spans="6:21" x14ac:dyDescent="0.25">
      <c r="F4044"/>
      <c r="O4044"/>
      <c r="R4044"/>
      <c r="S4044"/>
      <c r="T4044"/>
      <c r="U4044"/>
    </row>
    <row r="4045" spans="6:21" x14ac:dyDescent="0.25">
      <c r="F4045"/>
      <c r="O4045"/>
      <c r="R4045"/>
      <c r="S4045"/>
      <c r="T4045"/>
      <c r="U4045"/>
    </row>
    <row r="4046" spans="6:21" x14ac:dyDescent="0.25">
      <c r="F4046"/>
      <c r="O4046"/>
      <c r="R4046"/>
      <c r="S4046"/>
      <c r="T4046"/>
      <c r="U4046"/>
    </row>
    <row r="4047" spans="6:21" x14ac:dyDescent="0.25">
      <c r="F4047"/>
      <c r="O4047"/>
      <c r="R4047"/>
      <c r="S4047"/>
      <c r="T4047"/>
      <c r="U4047"/>
    </row>
    <row r="4048" spans="6:21" x14ac:dyDescent="0.25">
      <c r="F4048"/>
      <c r="O4048"/>
      <c r="R4048"/>
      <c r="S4048"/>
      <c r="T4048"/>
      <c r="U4048"/>
    </row>
    <row r="4049" spans="6:21" x14ac:dyDescent="0.25">
      <c r="F4049"/>
      <c r="O4049"/>
      <c r="R4049"/>
      <c r="S4049"/>
      <c r="T4049"/>
      <c r="U4049"/>
    </row>
    <row r="4050" spans="6:21" x14ac:dyDescent="0.25">
      <c r="F4050"/>
      <c r="O4050"/>
      <c r="R4050"/>
      <c r="S4050"/>
      <c r="T4050"/>
      <c r="U4050"/>
    </row>
    <row r="4051" spans="6:21" x14ac:dyDescent="0.25">
      <c r="F4051"/>
      <c r="O4051"/>
      <c r="R4051"/>
      <c r="S4051"/>
      <c r="T4051"/>
      <c r="U4051"/>
    </row>
    <row r="4052" spans="6:21" x14ac:dyDescent="0.25">
      <c r="F4052"/>
      <c r="O4052"/>
      <c r="R4052"/>
      <c r="S4052"/>
      <c r="T4052"/>
      <c r="U4052"/>
    </row>
    <row r="4053" spans="6:21" x14ac:dyDescent="0.25">
      <c r="F4053"/>
      <c r="O4053"/>
      <c r="R4053"/>
      <c r="S4053"/>
      <c r="T4053"/>
      <c r="U4053"/>
    </row>
    <row r="4054" spans="6:21" x14ac:dyDescent="0.25">
      <c r="F4054"/>
      <c r="O4054"/>
      <c r="R4054"/>
      <c r="S4054"/>
      <c r="T4054"/>
      <c r="U4054"/>
    </row>
    <row r="4055" spans="6:21" x14ac:dyDescent="0.25">
      <c r="F4055"/>
      <c r="O4055"/>
      <c r="R4055"/>
      <c r="S4055"/>
      <c r="T4055"/>
      <c r="U4055"/>
    </row>
    <row r="4056" spans="6:21" x14ac:dyDescent="0.25">
      <c r="F4056"/>
      <c r="O4056"/>
      <c r="R4056"/>
      <c r="S4056"/>
      <c r="T4056"/>
      <c r="U4056"/>
    </row>
    <row r="4057" spans="6:21" x14ac:dyDescent="0.25">
      <c r="F4057"/>
      <c r="O4057"/>
      <c r="R4057"/>
      <c r="S4057"/>
      <c r="T4057"/>
      <c r="U4057"/>
    </row>
    <row r="4058" spans="6:21" x14ac:dyDescent="0.25">
      <c r="F4058"/>
      <c r="O4058"/>
      <c r="R4058"/>
      <c r="S4058"/>
      <c r="T4058"/>
      <c r="U4058"/>
    </row>
    <row r="4059" spans="6:21" x14ac:dyDescent="0.25">
      <c r="F4059"/>
      <c r="O4059"/>
      <c r="R4059"/>
      <c r="S4059"/>
      <c r="T4059"/>
      <c r="U4059"/>
    </row>
    <row r="4060" spans="6:21" x14ac:dyDescent="0.25">
      <c r="F4060"/>
      <c r="O4060"/>
      <c r="R4060"/>
      <c r="S4060"/>
      <c r="T4060"/>
      <c r="U4060"/>
    </row>
    <row r="4061" spans="6:21" x14ac:dyDescent="0.25">
      <c r="F4061"/>
      <c r="O4061"/>
      <c r="R4061"/>
      <c r="S4061"/>
      <c r="T4061"/>
      <c r="U4061"/>
    </row>
    <row r="4062" spans="6:21" x14ac:dyDescent="0.25">
      <c r="F4062"/>
      <c r="O4062"/>
      <c r="R4062"/>
      <c r="S4062"/>
      <c r="T4062"/>
      <c r="U4062"/>
    </row>
    <row r="4063" spans="6:21" x14ac:dyDescent="0.25">
      <c r="F4063"/>
      <c r="O4063"/>
      <c r="R4063"/>
      <c r="S4063"/>
      <c r="T4063"/>
      <c r="U4063"/>
    </row>
    <row r="4064" spans="6:21" x14ac:dyDescent="0.25">
      <c r="F4064"/>
      <c r="O4064"/>
      <c r="R4064"/>
      <c r="S4064"/>
      <c r="T4064"/>
      <c r="U4064"/>
    </row>
    <row r="4065" spans="6:21" x14ac:dyDescent="0.25">
      <c r="F4065"/>
      <c r="O4065"/>
      <c r="R4065"/>
      <c r="S4065"/>
      <c r="T4065"/>
      <c r="U4065"/>
    </row>
    <row r="4066" spans="6:21" x14ac:dyDescent="0.25">
      <c r="F4066"/>
      <c r="O4066"/>
      <c r="R4066"/>
      <c r="S4066"/>
      <c r="T4066"/>
      <c r="U4066"/>
    </row>
    <row r="4067" spans="6:21" x14ac:dyDescent="0.25">
      <c r="F4067"/>
      <c r="O4067"/>
      <c r="R4067"/>
      <c r="S4067"/>
      <c r="T4067"/>
      <c r="U4067"/>
    </row>
    <row r="4068" spans="6:21" x14ac:dyDescent="0.25">
      <c r="F4068"/>
      <c r="O4068"/>
      <c r="R4068"/>
      <c r="S4068"/>
      <c r="T4068"/>
      <c r="U4068"/>
    </row>
    <row r="4069" spans="6:21" x14ac:dyDescent="0.25">
      <c r="F4069"/>
      <c r="O4069"/>
      <c r="R4069"/>
      <c r="S4069"/>
      <c r="T4069"/>
      <c r="U4069"/>
    </row>
    <row r="4070" spans="6:21" x14ac:dyDescent="0.25">
      <c r="F4070"/>
      <c r="O4070"/>
      <c r="R4070"/>
      <c r="S4070"/>
      <c r="T4070"/>
      <c r="U4070"/>
    </row>
    <row r="4071" spans="6:21" x14ac:dyDescent="0.25">
      <c r="F4071"/>
      <c r="O4071"/>
      <c r="R4071"/>
      <c r="S4071"/>
      <c r="T4071"/>
      <c r="U4071"/>
    </row>
    <row r="4072" spans="6:21" x14ac:dyDescent="0.25">
      <c r="F4072"/>
      <c r="O4072"/>
      <c r="R4072"/>
      <c r="S4072"/>
      <c r="T4072"/>
      <c r="U4072"/>
    </row>
    <row r="4073" spans="6:21" x14ac:dyDescent="0.25">
      <c r="F4073"/>
      <c r="O4073"/>
      <c r="R4073"/>
      <c r="S4073"/>
      <c r="T4073"/>
      <c r="U4073"/>
    </row>
    <row r="4074" spans="6:21" x14ac:dyDescent="0.25">
      <c r="F4074"/>
      <c r="O4074"/>
      <c r="R4074"/>
      <c r="S4074"/>
      <c r="T4074"/>
      <c r="U4074"/>
    </row>
    <row r="4075" spans="6:21" x14ac:dyDescent="0.25">
      <c r="F4075"/>
      <c r="O4075"/>
      <c r="R4075"/>
      <c r="S4075"/>
      <c r="T4075"/>
      <c r="U4075"/>
    </row>
    <row r="4076" spans="6:21" x14ac:dyDescent="0.25">
      <c r="F4076"/>
      <c r="O4076"/>
      <c r="R4076"/>
      <c r="S4076"/>
      <c r="T4076"/>
      <c r="U4076"/>
    </row>
    <row r="4077" spans="6:21" x14ac:dyDescent="0.25">
      <c r="F4077"/>
      <c r="O4077"/>
      <c r="R4077"/>
      <c r="S4077"/>
      <c r="T4077"/>
      <c r="U4077"/>
    </row>
    <row r="4078" spans="6:21" x14ac:dyDescent="0.25">
      <c r="F4078"/>
      <c r="O4078"/>
      <c r="R4078"/>
      <c r="S4078"/>
      <c r="T4078"/>
      <c r="U4078"/>
    </row>
    <row r="4079" spans="6:21" x14ac:dyDescent="0.25">
      <c r="F4079"/>
      <c r="O4079"/>
      <c r="R4079"/>
      <c r="S4079"/>
      <c r="T4079"/>
      <c r="U4079"/>
    </row>
    <row r="4080" spans="6:21" x14ac:dyDescent="0.25">
      <c r="F4080"/>
      <c r="O4080"/>
      <c r="R4080"/>
      <c r="S4080"/>
      <c r="T4080"/>
      <c r="U4080"/>
    </row>
    <row r="4081" spans="6:21" x14ac:dyDescent="0.25">
      <c r="F4081"/>
      <c r="O4081"/>
      <c r="R4081"/>
      <c r="S4081"/>
      <c r="T4081"/>
      <c r="U4081"/>
    </row>
    <row r="4082" spans="6:21" x14ac:dyDescent="0.25">
      <c r="F4082"/>
      <c r="O4082"/>
      <c r="R4082"/>
      <c r="S4082"/>
      <c r="T4082"/>
      <c r="U4082"/>
    </row>
    <row r="4083" spans="6:21" x14ac:dyDescent="0.25">
      <c r="F4083"/>
      <c r="O4083"/>
      <c r="R4083"/>
      <c r="S4083"/>
      <c r="T4083"/>
      <c r="U4083"/>
    </row>
    <row r="4084" spans="6:21" x14ac:dyDescent="0.25">
      <c r="F4084"/>
      <c r="O4084"/>
      <c r="R4084"/>
      <c r="S4084"/>
      <c r="T4084"/>
      <c r="U4084"/>
    </row>
    <row r="4085" spans="6:21" x14ac:dyDescent="0.25">
      <c r="F4085"/>
      <c r="O4085"/>
      <c r="R4085"/>
      <c r="S4085"/>
      <c r="T4085"/>
      <c r="U4085"/>
    </row>
    <row r="4086" spans="6:21" x14ac:dyDescent="0.25">
      <c r="F4086"/>
      <c r="O4086"/>
      <c r="R4086"/>
      <c r="S4086"/>
      <c r="T4086"/>
      <c r="U4086"/>
    </row>
    <row r="4087" spans="6:21" x14ac:dyDescent="0.25">
      <c r="F4087"/>
      <c r="O4087"/>
      <c r="R4087"/>
      <c r="S4087"/>
      <c r="T4087"/>
      <c r="U4087"/>
    </row>
    <row r="4088" spans="6:21" x14ac:dyDescent="0.25">
      <c r="F4088"/>
      <c r="O4088"/>
      <c r="R4088"/>
      <c r="S4088"/>
      <c r="T4088"/>
      <c r="U4088"/>
    </row>
    <row r="4089" spans="6:21" x14ac:dyDescent="0.25">
      <c r="F4089"/>
      <c r="O4089"/>
      <c r="R4089"/>
      <c r="S4089"/>
      <c r="T4089"/>
      <c r="U4089"/>
    </row>
    <row r="4090" spans="6:21" x14ac:dyDescent="0.25">
      <c r="F4090"/>
      <c r="O4090"/>
      <c r="R4090"/>
      <c r="S4090"/>
      <c r="T4090"/>
      <c r="U4090"/>
    </row>
    <row r="4091" spans="6:21" x14ac:dyDescent="0.25">
      <c r="F4091"/>
      <c r="O4091"/>
      <c r="R4091"/>
      <c r="S4091"/>
      <c r="T4091"/>
      <c r="U4091"/>
    </row>
    <row r="4092" spans="6:21" x14ac:dyDescent="0.25">
      <c r="F4092"/>
      <c r="O4092"/>
      <c r="R4092"/>
      <c r="S4092"/>
      <c r="T4092"/>
      <c r="U4092"/>
    </row>
    <row r="4093" spans="6:21" x14ac:dyDescent="0.25">
      <c r="F4093"/>
      <c r="O4093"/>
      <c r="R4093"/>
      <c r="S4093"/>
      <c r="T4093"/>
      <c r="U4093"/>
    </row>
    <row r="4094" spans="6:21" x14ac:dyDescent="0.25">
      <c r="F4094"/>
      <c r="O4094"/>
      <c r="R4094"/>
      <c r="S4094"/>
      <c r="T4094"/>
      <c r="U4094"/>
    </row>
    <row r="4095" spans="6:21" x14ac:dyDescent="0.25">
      <c r="F4095"/>
      <c r="O4095"/>
      <c r="R4095"/>
      <c r="S4095"/>
      <c r="T4095"/>
      <c r="U4095"/>
    </row>
    <row r="4096" spans="6:21" x14ac:dyDescent="0.25">
      <c r="F4096"/>
      <c r="O4096"/>
      <c r="R4096"/>
      <c r="S4096"/>
      <c r="T4096"/>
      <c r="U4096"/>
    </row>
    <row r="4097" spans="6:21" x14ac:dyDescent="0.25">
      <c r="F4097"/>
      <c r="O4097"/>
      <c r="R4097"/>
      <c r="S4097"/>
      <c r="T4097"/>
      <c r="U4097"/>
    </row>
    <row r="4098" spans="6:21" x14ac:dyDescent="0.25">
      <c r="F4098"/>
      <c r="O4098"/>
      <c r="R4098"/>
      <c r="S4098"/>
      <c r="T4098"/>
      <c r="U4098"/>
    </row>
    <row r="4099" spans="6:21" x14ac:dyDescent="0.25">
      <c r="F4099"/>
      <c r="O4099"/>
      <c r="R4099"/>
      <c r="S4099"/>
      <c r="T4099"/>
      <c r="U4099"/>
    </row>
    <row r="4100" spans="6:21" x14ac:dyDescent="0.25">
      <c r="F4100"/>
      <c r="O4100"/>
      <c r="R4100"/>
      <c r="S4100"/>
      <c r="T4100"/>
      <c r="U4100"/>
    </row>
    <row r="4101" spans="6:21" x14ac:dyDescent="0.25">
      <c r="F4101"/>
      <c r="O4101"/>
      <c r="R4101"/>
      <c r="S4101"/>
      <c r="T4101"/>
      <c r="U4101"/>
    </row>
    <row r="4102" spans="6:21" x14ac:dyDescent="0.25">
      <c r="F4102"/>
      <c r="O4102"/>
      <c r="R4102"/>
      <c r="S4102"/>
      <c r="T4102"/>
      <c r="U4102"/>
    </row>
    <row r="4103" spans="6:21" x14ac:dyDescent="0.25">
      <c r="F4103"/>
      <c r="O4103"/>
      <c r="R4103"/>
      <c r="S4103"/>
      <c r="T4103"/>
      <c r="U4103"/>
    </row>
    <row r="4104" spans="6:21" x14ac:dyDescent="0.25">
      <c r="F4104"/>
      <c r="O4104"/>
      <c r="R4104"/>
      <c r="S4104"/>
      <c r="T4104"/>
      <c r="U4104"/>
    </row>
    <row r="4105" spans="6:21" x14ac:dyDescent="0.25">
      <c r="F4105"/>
      <c r="O4105"/>
      <c r="R4105"/>
      <c r="S4105"/>
      <c r="T4105"/>
      <c r="U4105"/>
    </row>
    <row r="4106" spans="6:21" x14ac:dyDescent="0.25">
      <c r="F4106"/>
      <c r="O4106"/>
      <c r="R4106"/>
      <c r="S4106"/>
      <c r="T4106"/>
      <c r="U4106"/>
    </row>
    <row r="4107" spans="6:21" x14ac:dyDescent="0.25">
      <c r="F4107"/>
      <c r="O4107"/>
      <c r="R4107"/>
      <c r="S4107"/>
      <c r="T4107"/>
      <c r="U4107"/>
    </row>
    <row r="4108" spans="6:21" x14ac:dyDescent="0.25">
      <c r="F4108"/>
      <c r="O4108"/>
      <c r="R4108"/>
      <c r="S4108"/>
      <c r="T4108"/>
      <c r="U4108"/>
    </row>
    <row r="4109" spans="6:21" x14ac:dyDescent="0.25">
      <c r="F4109"/>
      <c r="O4109"/>
      <c r="R4109"/>
      <c r="S4109"/>
      <c r="T4109"/>
      <c r="U4109"/>
    </row>
    <row r="4110" spans="6:21" x14ac:dyDescent="0.25">
      <c r="F4110"/>
      <c r="O4110"/>
      <c r="R4110"/>
      <c r="S4110"/>
      <c r="T4110"/>
      <c r="U4110"/>
    </row>
    <row r="4111" spans="6:21" x14ac:dyDescent="0.25">
      <c r="F4111"/>
      <c r="O4111"/>
      <c r="R4111"/>
      <c r="S4111"/>
      <c r="T4111"/>
      <c r="U4111"/>
    </row>
    <row r="4112" spans="6:21" x14ac:dyDescent="0.25">
      <c r="F4112"/>
      <c r="O4112"/>
      <c r="R4112"/>
      <c r="S4112"/>
      <c r="T4112"/>
      <c r="U4112"/>
    </row>
    <row r="4113" spans="6:21" x14ac:dyDescent="0.25">
      <c r="F4113"/>
      <c r="O4113"/>
      <c r="R4113"/>
      <c r="S4113"/>
      <c r="T4113"/>
      <c r="U4113"/>
    </row>
    <row r="4114" spans="6:21" x14ac:dyDescent="0.25">
      <c r="F4114"/>
      <c r="O4114"/>
      <c r="R4114"/>
      <c r="S4114"/>
      <c r="T4114"/>
      <c r="U4114"/>
    </row>
    <row r="4115" spans="6:21" x14ac:dyDescent="0.25">
      <c r="F4115"/>
      <c r="O4115"/>
      <c r="R4115"/>
      <c r="S4115"/>
      <c r="T4115"/>
      <c r="U4115"/>
    </row>
    <row r="4116" spans="6:21" x14ac:dyDescent="0.25">
      <c r="F4116"/>
      <c r="O4116"/>
      <c r="R4116"/>
      <c r="S4116"/>
      <c r="T4116"/>
      <c r="U4116"/>
    </row>
    <row r="4117" spans="6:21" x14ac:dyDescent="0.25">
      <c r="F4117"/>
      <c r="O4117"/>
      <c r="R4117"/>
      <c r="S4117"/>
      <c r="T4117"/>
      <c r="U4117"/>
    </row>
    <row r="4118" spans="6:21" x14ac:dyDescent="0.25">
      <c r="F4118"/>
      <c r="O4118"/>
      <c r="R4118"/>
      <c r="S4118"/>
      <c r="T4118"/>
      <c r="U4118"/>
    </row>
    <row r="4119" spans="6:21" x14ac:dyDescent="0.25">
      <c r="F4119"/>
      <c r="O4119"/>
      <c r="R4119"/>
      <c r="S4119"/>
      <c r="T4119"/>
      <c r="U4119"/>
    </row>
    <row r="4120" spans="6:21" x14ac:dyDescent="0.25">
      <c r="F4120"/>
      <c r="O4120"/>
      <c r="R4120"/>
      <c r="S4120"/>
      <c r="T4120"/>
      <c r="U4120"/>
    </row>
    <row r="4121" spans="6:21" x14ac:dyDescent="0.25">
      <c r="F4121"/>
      <c r="O4121"/>
      <c r="R4121"/>
      <c r="S4121"/>
      <c r="T4121"/>
      <c r="U4121"/>
    </row>
    <row r="4122" spans="6:21" x14ac:dyDescent="0.25">
      <c r="F4122"/>
      <c r="O4122"/>
      <c r="R4122"/>
      <c r="S4122"/>
      <c r="T4122"/>
      <c r="U4122"/>
    </row>
    <row r="4123" spans="6:21" x14ac:dyDescent="0.25">
      <c r="F4123"/>
      <c r="O4123"/>
      <c r="R4123"/>
      <c r="S4123"/>
      <c r="T4123"/>
      <c r="U4123"/>
    </row>
    <row r="4124" spans="6:21" x14ac:dyDescent="0.25">
      <c r="F4124"/>
      <c r="O4124"/>
      <c r="R4124"/>
      <c r="S4124"/>
      <c r="T4124"/>
      <c r="U4124"/>
    </row>
    <row r="4125" spans="6:21" x14ac:dyDescent="0.25">
      <c r="F4125"/>
      <c r="O4125"/>
      <c r="R4125"/>
      <c r="S4125"/>
      <c r="T4125"/>
      <c r="U4125"/>
    </row>
    <row r="4126" spans="6:21" x14ac:dyDescent="0.25">
      <c r="F4126"/>
      <c r="O4126"/>
      <c r="R4126"/>
      <c r="S4126"/>
      <c r="T4126"/>
      <c r="U4126"/>
    </row>
    <row r="4127" spans="6:21" x14ac:dyDescent="0.25">
      <c r="F4127"/>
      <c r="O4127"/>
      <c r="R4127"/>
      <c r="S4127"/>
      <c r="T4127"/>
      <c r="U4127"/>
    </row>
    <row r="4128" spans="6:21" x14ac:dyDescent="0.25">
      <c r="F4128"/>
      <c r="O4128"/>
      <c r="R4128"/>
      <c r="S4128"/>
      <c r="T4128"/>
      <c r="U4128"/>
    </row>
    <row r="4129" spans="6:21" x14ac:dyDescent="0.25">
      <c r="F4129"/>
      <c r="O4129"/>
      <c r="R4129"/>
      <c r="S4129"/>
      <c r="T4129"/>
      <c r="U4129"/>
    </row>
    <row r="4130" spans="6:21" x14ac:dyDescent="0.25">
      <c r="F4130"/>
      <c r="O4130"/>
      <c r="R4130"/>
      <c r="S4130"/>
      <c r="T4130"/>
      <c r="U4130"/>
    </row>
    <row r="4131" spans="6:21" x14ac:dyDescent="0.25">
      <c r="F4131"/>
      <c r="O4131"/>
      <c r="R4131"/>
      <c r="S4131"/>
      <c r="T4131"/>
      <c r="U4131"/>
    </row>
    <row r="4132" spans="6:21" x14ac:dyDescent="0.25">
      <c r="F4132"/>
      <c r="O4132"/>
      <c r="R4132"/>
      <c r="S4132"/>
      <c r="T4132"/>
      <c r="U4132"/>
    </row>
    <row r="4133" spans="6:21" x14ac:dyDescent="0.25">
      <c r="F4133"/>
      <c r="O4133"/>
      <c r="R4133"/>
      <c r="S4133"/>
      <c r="T4133"/>
      <c r="U4133"/>
    </row>
    <row r="4134" spans="6:21" x14ac:dyDescent="0.25">
      <c r="F4134"/>
      <c r="O4134"/>
      <c r="R4134"/>
      <c r="S4134"/>
      <c r="T4134"/>
      <c r="U4134"/>
    </row>
    <row r="4135" spans="6:21" x14ac:dyDescent="0.25">
      <c r="F4135"/>
      <c r="O4135"/>
      <c r="R4135"/>
      <c r="S4135"/>
      <c r="T4135"/>
      <c r="U4135"/>
    </row>
    <row r="4136" spans="6:21" x14ac:dyDescent="0.25">
      <c r="F4136"/>
      <c r="O4136"/>
      <c r="R4136"/>
      <c r="S4136"/>
      <c r="T4136"/>
      <c r="U4136"/>
    </row>
    <row r="4137" spans="6:21" x14ac:dyDescent="0.25">
      <c r="F4137"/>
      <c r="O4137"/>
      <c r="R4137"/>
      <c r="S4137"/>
      <c r="T4137"/>
      <c r="U4137"/>
    </row>
    <row r="4138" spans="6:21" x14ac:dyDescent="0.25">
      <c r="F4138"/>
      <c r="O4138"/>
      <c r="R4138"/>
      <c r="S4138"/>
      <c r="T4138"/>
      <c r="U4138"/>
    </row>
    <row r="4139" spans="6:21" x14ac:dyDescent="0.25">
      <c r="F4139"/>
      <c r="O4139"/>
      <c r="R4139"/>
      <c r="S4139"/>
      <c r="T4139"/>
      <c r="U4139"/>
    </row>
    <row r="4140" spans="6:21" x14ac:dyDescent="0.25">
      <c r="F4140"/>
      <c r="O4140"/>
      <c r="R4140"/>
      <c r="S4140"/>
      <c r="T4140"/>
      <c r="U4140"/>
    </row>
    <row r="4141" spans="6:21" x14ac:dyDescent="0.25">
      <c r="F4141"/>
      <c r="O4141"/>
      <c r="R4141"/>
      <c r="S4141"/>
      <c r="T4141"/>
      <c r="U4141"/>
    </row>
    <row r="4142" spans="6:21" x14ac:dyDescent="0.25">
      <c r="F4142"/>
      <c r="O4142"/>
      <c r="R4142"/>
      <c r="S4142"/>
      <c r="T4142"/>
      <c r="U4142"/>
    </row>
    <row r="4143" spans="6:21" x14ac:dyDescent="0.25">
      <c r="F4143"/>
      <c r="O4143"/>
      <c r="R4143"/>
      <c r="S4143"/>
      <c r="T4143"/>
      <c r="U4143"/>
    </row>
    <row r="4144" spans="6:21" x14ac:dyDescent="0.25">
      <c r="F4144"/>
      <c r="O4144"/>
      <c r="R4144"/>
      <c r="S4144"/>
      <c r="T4144"/>
      <c r="U4144"/>
    </row>
    <row r="4145" spans="6:21" x14ac:dyDescent="0.25">
      <c r="F4145"/>
      <c r="O4145"/>
      <c r="R4145"/>
      <c r="S4145"/>
      <c r="T4145"/>
      <c r="U4145"/>
    </row>
    <row r="4146" spans="6:21" x14ac:dyDescent="0.25">
      <c r="F4146"/>
      <c r="O4146"/>
      <c r="R4146"/>
      <c r="S4146"/>
      <c r="T4146"/>
      <c r="U4146"/>
    </row>
    <row r="4147" spans="6:21" x14ac:dyDescent="0.25">
      <c r="F4147"/>
      <c r="O4147"/>
      <c r="R4147"/>
      <c r="S4147"/>
      <c r="T4147"/>
      <c r="U4147"/>
    </row>
    <row r="4148" spans="6:21" x14ac:dyDescent="0.25">
      <c r="F4148"/>
      <c r="O4148"/>
      <c r="R4148"/>
      <c r="S4148"/>
      <c r="T4148"/>
      <c r="U4148"/>
    </row>
    <row r="4149" spans="6:21" x14ac:dyDescent="0.25">
      <c r="F4149"/>
      <c r="O4149"/>
      <c r="R4149"/>
      <c r="S4149"/>
      <c r="T4149"/>
      <c r="U4149"/>
    </row>
    <row r="4150" spans="6:21" x14ac:dyDescent="0.25">
      <c r="F4150"/>
      <c r="O4150"/>
      <c r="R4150"/>
      <c r="S4150"/>
      <c r="T4150"/>
      <c r="U4150"/>
    </row>
    <row r="4151" spans="6:21" x14ac:dyDescent="0.25">
      <c r="F4151"/>
      <c r="O4151"/>
      <c r="R4151"/>
      <c r="S4151"/>
      <c r="T4151"/>
      <c r="U4151"/>
    </row>
    <row r="4152" spans="6:21" x14ac:dyDescent="0.25">
      <c r="F4152"/>
      <c r="O4152"/>
      <c r="R4152"/>
      <c r="S4152"/>
      <c r="T4152"/>
      <c r="U4152"/>
    </row>
    <row r="4153" spans="6:21" x14ac:dyDescent="0.25">
      <c r="F4153"/>
      <c r="O4153"/>
      <c r="R4153"/>
      <c r="S4153"/>
      <c r="T4153"/>
      <c r="U4153"/>
    </row>
    <row r="4154" spans="6:21" x14ac:dyDescent="0.25">
      <c r="F4154"/>
      <c r="O4154"/>
      <c r="R4154"/>
      <c r="S4154"/>
      <c r="T4154"/>
      <c r="U4154"/>
    </row>
    <row r="4155" spans="6:21" x14ac:dyDescent="0.25">
      <c r="F4155"/>
      <c r="O4155"/>
      <c r="R4155"/>
      <c r="S4155"/>
      <c r="T4155"/>
      <c r="U4155"/>
    </row>
    <row r="4156" spans="6:21" x14ac:dyDescent="0.25">
      <c r="F4156"/>
      <c r="O4156"/>
      <c r="R4156"/>
      <c r="S4156"/>
      <c r="T4156"/>
      <c r="U4156"/>
    </row>
    <row r="4157" spans="6:21" x14ac:dyDescent="0.25">
      <c r="F4157"/>
      <c r="O4157"/>
      <c r="R4157"/>
      <c r="S4157"/>
      <c r="T4157"/>
      <c r="U4157"/>
    </row>
    <row r="4158" spans="6:21" x14ac:dyDescent="0.25">
      <c r="F4158"/>
      <c r="O4158"/>
      <c r="R4158"/>
      <c r="S4158"/>
      <c r="T4158"/>
      <c r="U4158"/>
    </row>
    <row r="4159" spans="6:21" x14ac:dyDescent="0.25">
      <c r="F4159"/>
      <c r="O4159"/>
      <c r="R4159"/>
      <c r="S4159"/>
      <c r="T4159"/>
      <c r="U4159"/>
    </row>
    <row r="4160" spans="6:21" x14ac:dyDescent="0.25">
      <c r="F4160"/>
      <c r="O4160"/>
      <c r="R4160"/>
      <c r="S4160"/>
      <c r="T4160"/>
      <c r="U4160"/>
    </row>
    <row r="4161" spans="6:21" x14ac:dyDescent="0.25">
      <c r="F4161"/>
      <c r="O4161"/>
      <c r="R4161"/>
      <c r="S4161"/>
      <c r="T4161"/>
      <c r="U4161"/>
    </row>
    <row r="4162" spans="6:21" x14ac:dyDescent="0.25">
      <c r="F4162"/>
      <c r="O4162"/>
      <c r="R4162"/>
      <c r="S4162"/>
      <c r="T4162"/>
      <c r="U4162"/>
    </row>
    <row r="4163" spans="6:21" x14ac:dyDescent="0.25">
      <c r="F4163"/>
      <c r="O4163"/>
      <c r="R4163"/>
      <c r="S4163"/>
      <c r="T4163"/>
      <c r="U4163"/>
    </row>
    <row r="4164" spans="6:21" x14ac:dyDescent="0.25">
      <c r="F4164"/>
      <c r="O4164"/>
      <c r="R4164"/>
      <c r="S4164"/>
      <c r="T4164"/>
      <c r="U4164"/>
    </row>
    <row r="4165" spans="6:21" x14ac:dyDescent="0.25">
      <c r="F4165"/>
      <c r="O4165"/>
      <c r="R4165"/>
      <c r="S4165"/>
      <c r="T4165"/>
      <c r="U4165"/>
    </row>
    <row r="4166" spans="6:21" x14ac:dyDescent="0.25">
      <c r="F4166"/>
      <c r="O4166"/>
      <c r="R4166"/>
      <c r="S4166"/>
      <c r="T4166"/>
      <c r="U4166"/>
    </row>
    <row r="4167" spans="6:21" x14ac:dyDescent="0.25">
      <c r="F4167"/>
      <c r="O4167"/>
      <c r="R4167"/>
      <c r="S4167"/>
      <c r="T4167"/>
      <c r="U4167"/>
    </row>
    <row r="4168" spans="6:21" x14ac:dyDescent="0.25">
      <c r="F4168"/>
      <c r="O4168"/>
      <c r="R4168"/>
      <c r="S4168"/>
      <c r="T4168"/>
      <c r="U4168"/>
    </row>
    <row r="4169" spans="6:21" x14ac:dyDescent="0.25">
      <c r="F4169"/>
      <c r="O4169"/>
      <c r="R4169"/>
      <c r="S4169"/>
      <c r="T4169"/>
      <c r="U4169"/>
    </row>
    <row r="4170" spans="6:21" x14ac:dyDescent="0.25">
      <c r="F4170"/>
      <c r="O4170"/>
      <c r="R4170"/>
      <c r="S4170"/>
      <c r="T4170"/>
      <c r="U4170"/>
    </row>
    <row r="4171" spans="6:21" x14ac:dyDescent="0.25">
      <c r="F4171"/>
      <c r="O4171"/>
      <c r="R4171"/>
      <c r="S4171"/>
      <c r="T4171"/>
      <c r="U4171"/>
    </row>
    <row r="4172" spans="6:21" x14ac:dyDescent="0.25">
      <c r="F4172"/>
      <c r="O4172"/>
      <c r="R4172"/>
      <c r="S4172"/>
      <c r="T4172"/>
      <c r="U4172"/>
    </row>
    <row r="4173" spans="6:21" x14ac:dyDescent="0.25">
      <c r="F4173"/>
      <c r="O4173"/>
      <c r="R4173"/>
      <c r="S4173"/>
      <c r="T4173"/>
      <c r="U4173"/>
    </row>
    <row r="4174" spans="6:21" x14ac:dyDescent="0.25">
      <c r="F4174"/>
      <c r="O4174"/>
      <c r="R4174"/>
      <c r="S4174"/>
      <c r="T4174"/>
      <c r="U4174"/>
    </row>
    <row r="4175" spans="6:21" x14ac:dyDescent="0.25">
      <c r="F4175"/>
      <c r="O4175"/>
      <c r="R4175"/>
      <c r="S4175"/>
      <c r="T4175"/>
      <c r="U4175"/>
    </row>
    <row r="4176" spans="6:21" x14ac:dyDescent="0.25">
      <c r="F4176"/>
      <c r="O4176"/>
      <c r="R4176"/>
      <c r="S4176"/>
      <c r="T4176"/>
      <c r="U4176"/>
    </row>
    <row r="4177" spans="6:21" x14ac:dyDescent="0.25">
      <c r="F4177"/>
      <c r="O4177"/>
      <c r="R4177"/>
      <c r="S4177"/>
      <c r="T4177"/>
      <c r="U4177"/>
    </row>
    <row r="4178" spans="6:21" x14ac:dyDescent="0.25">
      <c r="F4178"/>
      <c r="O4178"/>
      <c r="R4178"/>
      <c r="S4178"/>
      <c r="T4178"/>
      <c r="U4178"/>
    </row>
    <row r="4179" spans="6:21" x14ac:dyDescent="0.25">
      <c r="F4179"/>
      <c r="O4179"/>
      <c r="R4179"/>
      <c r="S4179"/>
      <c r="T4179"/>
      <c r="U4179"/>
    </row>
    <row r="4180" spans="6:21" x14ac:dyDescent="0.25">
      <c r="F4180"/>
      <c r="O4180"/>
      <c r="R4180"/>
      <c r="S4180"/>
      <c r="T4180"/>
      <c r="U4180"/>
    </row>
    <row r="4181" spans="6:21" x14ac:dyDescent="0.25">
      <c r="F4181"/>
      <c r="O4181"/>
      <c r="R4181"/>
      <c r="S4181"/>
      <c r="T4181"/>
      <c r="U4181"/>
    </row>
    <row r="4182" spans="6:21" x14ac:dyDescent="0.25">
      <c r="F4182"/>
      <c r="O4182"/>
      <c r="R4182"/>
      <c r="S4182"/>
      <c r="T4182"/>
      <c r="U4182"/>
    </row>
    <row r="4183" spans="6:21" x14ac:dyDescent="0.25">
      <c r="F4183"/>
      <c r="O4183"/>
      <c r="R4183"/>
      <c r="S4183"/>
      <c r="T4183"/>
      <c r="U4183"/>
    </row>
    <row r="4184" spans="6:21" x14ac:dyDescent="0.25">
      <c r="F4184"/>
      <c r="O4184"/>
      <c r="R4184"/>
      <c r="S4184"/>
      <c r="T4184"/>
      <c r="U4184"/>
    </row>
    <row r="4185" spans="6:21" x14ac:dyDescent="0.25">
      <c r="F4185"/>
      <c r="O4185"/>
      <c r="R4185"/>
      <c r="S4185"/>
      <c r="T4185"/>
      <c r="U4185"/>
    </row>
    <row r="4186" spans="6:21" x14ac:dyDescent="0.25">
      <c r="F4186"/>
      <c r="O4186"/>
      <c r="R4186"/>
      <c r="S4186"/>
      <c r="T4186"/>
      <c r="U4186"/>
    </row>
    <row r="4187" spans="6:21" x14ac:dyDescent="0.25">
      <c r="F4187"/>
      <c r="O4187"/>
      <c r="R4187"/>
      <c r="S4187"/>
      <c r="T4187"/>
      <c r="U4187"/>
    </row>
    <row r="4188" spans="6:21" x14ac:dyDescent="0.25">
      <c r="F4188"/>
      <c r="O4188"/>
      <c r="R4188"/>
      <c r="S4188"/>
      <c r="T4188"/>
      <c r="U4188"/>
    </row>
    <row r="4189" spans="6:21" x14ac:dyDescent="0.25">
      <c r="F4189"/>
      <c r="O4189"/>
      <c r="R4189"/>
      <c r="S4189"/>
      <c r="T4189"/>
      <c r="U4189"/>
    </row>
    <row r="4190" spans="6:21" x14ac:dyDescent="0.25">
      <c r="F4190"/>
      <c r="O4190"/>
      <c r="R4190"/>
      <c r="S4190"/>
      <c r="T4190"/>
      <c r="U4190"/>
    </row>
    <row r="4191" spans="6:21" x14ac:dyDescent="0.25">
      <c r="F4191"/>
      <c r="O4191"/>
      <c r="R4191"/>
      <c r="S4191"/>
      <c r="T4191"/>
      <c r="U4191"/>
    </row>
    <row r="4192" spans="6:21" x14ac:dyDescent="0.25">
      <c r="F4192"/>
      <c r="O4192"/>
      <c r="R4192"/>
      <c r="S4192"/>
      <c r="T4192"/>
      <c r="U4192"/>
    </row>
    <row r="4193" spans="6:21" x14ac:dyDescent="0.25">
      <c r="F4193"/>
      <c r="O4193"/>
      <c r="R4193"/>
      <c r="S4193"/>
      <c r="T4193"/>
      <c r="U4193"/>
    </row>
    <row r="4194" spans="6:21" x14ac:dyDescent="0.25">
      <c r="F4194"/>
      <c r="O4194"/>
      <c r="R4194"/>
      <c r="S4194"/>
      <c r="T4194"/>
      <c r="U4194"/>
    </row>
    <row r="4195" spans="6:21" x14ac:dyDescent="0.25">
      <c r="F4195"/>
      <c r="O4195"/>
      <c r="R4195"/>
      <c r="S4195"/>
      <c r="T4195"/>
      <c r="U4195"/>
    </row>
    <row r="4196" spans="6:21" x14ac:dyDescent="0.25">
      <c r="F4196"/>
      <c r="O4196"/>
      <c r="R4196"/>
      <c r="S4196"/>
      <c r="T4196"/>
      <c r="U4196"/>
    </row>
    <row r="4197" spans="6:21" x14ac:dyDescent="0.25">
      <c r="F4197"/>
      <c r="O4197"/>
      <c r="R4197"/>
      <c r="S4197"/>
      <c r="T4197"/>
      <c r="U4197"/>
    </row>
    <row r="4198" spans="6:21" x14ac:dyDescent="0.25">
      <c r="F4198"/>
      <c r="O4198"/>
      <c r="R4198"/>
      <c r="S4198"/>
      <c r="T4198"/>
      <c r="U4198"/>
    </row>
    <row r="4199" spans="6:21" x14ac:dyDescent="0.25">
      <c r="F4199"/>
      <c r="O4199"/>
      <c r="R4199"/>
      <c r="S4199"/>
      <c r="T4199"/>
      <c r="U4199"/>
    </row>
    <row r="4200" spans="6:21" x14ac:dyDescent="0.25">
      <c r="F4200"/>
      <c r="O4200"/>
      <c r="R4200"/>
      <c r="S4200"/>
      <c r="T4200"/>
      <c r="U4200"/>
    </row>
    <row r="4201" spans="6:21" x14ac:dyDescent="0.25">
      <c r="F4201"/>
      <c r="O4201"/>
      <c r="R4201"/>
      <c r="S4201"/>
      <c r="T4201"/>
      <c r="U4201"/>
    </row>
    <row r="4202" spans="6:21" x14ac:dyDescent="0.25">
      <c r="F4202"/>
      <c r="O4202"/>
      <c r="R4202"/>
      <c r="S4202"/>
      <c r="T4202"/>
      <c r="U4202"/>
    </row>
    <row r="4203" spans="6:21" x14ac:dyDescent="0.25">
      <c r="F4203"/>
      <c r="O4203"/>
      <c r="R4203"/>
      <c r="S4203"/>
      <c r="T4203"/>
      <c r="U4203"/>
    </row>
    <row r="4204" spans="6:21" x14ac:dyDescent="0.25">
      <c r="F4204"/>
      <c r="O4204"/>
      <c r="R4204"/>
      <c r="S4204"/>
      <c r="T4204"/>
      <c r="U4204"/>
    </row>
    <row r="4205" spans="6:21" x14ac:dyDescent="0.25">
      <c r="F4205"/>
      <c r="O4205"/>
      <c r="R4205"/>
      <c r="S4205"/>
      <c r="T4205"/>
      <c r="U4205"/>
    </row>
    <row r="4206" spans="6:21" x14ac:dyDescent="0.25">
      <c r="F4206"/>
      <c r="O4206"/>
      <c r="R4206"/>
      <c r="S4206"/>
      <c r="T4206"/>
      <c r="U4206"/>
    </row>
    <row r="4207" spans="6:21" x14ac:dyDescent="0.25">
      <c r="F4207"/>
      <c r="O4207"/>
      <c r="R4207"/>
      <c r="S4207"/>
      <c r="T4207"/>
      <c r="U4207"/>
    </row>
    <row r="4208" spans="6:21" x14ac:dyDescent="0.25">
      <c r="F4208"/>
      <c r="O4208"/>
      <c r="R4208"/>
      <c r="S4208"/>
      <c r="T4208"/>
      <c r="U4208"/>
    </row>
    <row r="4209" spans="6:21" x14ac:dyDescent="0.25">
      <c r="F4209"/>
      <c r="O4209"/>
      <c r="R4209"/>
      <c r="S4209"/>
      <c r="T4209"/>
      <c r="U4209"/>
    </row>
    <row r="4210" spans="6:21" x14ac:dyDescent="0.25">
      <c r="F4210"/>
      <c r="O4210"/>
      <c r="R4210"/>
      <c r="S4210"/>
      <c r="T4210"/>
      <c r="U4210"/>
    </row>
    <row r="4211" spans="6:21" x14ac:dyDescent="0.25">
      <c r="F4211"/>
      <c r="O4211"/>
      <c r="R4211"/>
      <c r="S4211"/>
      <c r="T4211"/>
      <c r="U4211"/>
    </row>
    <row r="4212" spans="6:21" x14ac:dyDescent="0.25">
      <c r="F4212"/>
      <c r="O4212"/>
      <c r="R4212"/>
      <c r="S4212"/>
      <c r="T4212"/>
      <c r="U4212"/>
    </row>
    <row r="4213" spans="6:21" x14ac:dyDescent="0.25">
      <c r="F4213"/>
      <c r="O4213"/>
      <c r="R4213"/>
      <c r="S4213"/>
      <c r="T4213"/>
      <c r="U4213"/>
    </row>
    <row r="4214" spans="6:21" x14ac:dyDescent="0.25">
      <c r="F4214"/>
      <c r="O4214"/>
      <c r="R4214"/>
      <c r="S4214"/>
      <c r="T4214"/>
      <c r="U4214"/>
    </row>
    <row r="4215" spans="6:21" x14ac:dyDescent="0.25">
      <c r="F4215"/>
      <c r="O4215"/>
      <c r="R4215"/>
      <c r="S4215"/>
      <c r="T4215"/>
      <c r="U4215"/>
    </row>
    <row r="4216" spans="6:21" x14ac:dyDescent="0.25">
      <c r="F4216"/>
      <c r="O4216"/>
      <c r="R4216"/>
      <c r="S4216"/>
      <c r="T4216"/>
      <c r="U4216"/>
    </row>
    <row r="4217" spans="6:21" x14ac:dyDescent="0.25">
      <c r="F4217"/>
      <c r="O4217"/>
      <c r="R4217"/>
      <c r="S4217"/>
      <c r="T4217"/>
      <c r="U4217"/>
    </row>
    <row r="4218" spans="6:21" x14ac:dyDescent="0.25">
      <c r="F4218"/>
      <c r="O4218"/>
      <c r="R4218"/>
      <c r="S4218"/>
      <c r="T4218"/>
      <c r="U4218"/>
    </row>
    <row r="4219" spans="6:21" x14ac:dyDescent="0.25">
      <c r="F4219"/>
      <c r="O4219"/>
      <c r="R4219"/>
      <c r="S4219"/>
      <c r="T4219"/>
      <c r="U4219"/>
    </row>
    <row r="4220" spans="6:21" x14ac:dyDescent="0.25">
      <c r="F4220"/>
      <c r="O4220"/>
      <c r="R4220"/>
      <c r="S4220"/>
      <c r="T4220"/>
      <c r="U4220"/>
    </row>
    <row r="4221" spans="6:21" x14ac:dyDescent="0.25">
      <c r="F4221"/>
      <c r="O4221"/>
      <c r="R4221"/>
      <c r="S4221"/>
      <c r="T4221"/>
      <c r="U4221"/>
    </row>
    <row r="4222" spans="6:21" x14ac:dyDescent="0.25">
      <c r="F4222"/>
      <c r="O4222"/>
      <c r="R4222"/>
      <c r="S4222"/>
      <c r="T4222"/>
      <c r="U4222"/>
    </row>
    <row r="4223" spans="6:21" x14ac:dyDescent="0.25">
      <c r="F4223"/>
      <c r="O4223"/>
      <c r="R4223"/>
      <c r="S4223"/>
      <c r="T4223"/>
      <c r="U4223"/>
    </row>
    <row r="4224" spans="6:21" x14ac:dyDescent="0.25">
      <c r="F4224"/>
      <c r="O4224"/>
      <c r="R4224"/>
      <c r="S4224"/>
      <c r="T4224"/>
      <c r="U4224"/>
    </row>
    <row r="4225" spans="6:21" x14ac:dyDescent="0.25">
      <c r="F4225"/>
      <c r="O4225"/>
      <c r="R4225"/>
      <c r="S4225"/>
      <c r="T4225"/>
      <c r="U4225"/>
    </row>
    <row r="4226" spans="6:21" x14ac:dyDescent="0.25">
      <c r="F4226"/>
      <c r="O4226"/>
      <c r="R4226"/>
      <c r="S4226"/>
      <c r="T4226"/>
      <c r="U4226"/>
    </row>
    <row r="4227" spans="6:21" x14ac:dyDescent="0.25">
      <c r="F4227"/>
      <c r="O4227"/>
      <c r="R4227"/>
      <c r="S4227"/>
      <c r="T4227"/>
      <c r="U4227"/>
    </row>
    <row r="4228" spans="6:21" x14ac:dyDescent="0.25">
      <c r="F4228"/>
      <c r="O4228"/>
      <c r="R4228"/>
      <c r="S4228"/>
      <c r="T4228"/>
      <c r="U4228"/>
    </row>
    <row r="4229" spans="6:21" x14ac:dyDescent="0.25">
      <c r="F4229"/>
      <c r="O4229"/>
      <c r="R4229"/>
      <c r="S4229"/>
      <c r="T4229"/>
      <c r="U4229"/>
    </row>
    <row r="4230" spans="6:21" x14ac:dyDescent="0.25">
      <c r="F4230"/>
      <c r="O4230"/>
      <c r="R4230"/>
      <c r="S4230"/>
      <c r="T4230"/>
      <c r="U4230"/>
    </row>
    <row r="4231" spans="6:21" x14ac:dyDescent="0.25">
      <c r="F4231"/>
      <c r="O4231"/>
      <c r="R4231"/>
      <c r="S4231"/>
      <c r="T4231"/>
      <c r="U4231"/>
    </row>
    <row r="4232" spans="6:21" x14ac:dyDescent="0.25">
      <c r="F4232"/>
      <c r="O4232"/>
      <c r="R4232"/>
      <c r="S4232"/>
      <c r="T4232"/>
      <c r="U4232"/>
    </row>
    <row r="4233" spans="6:21" x14ac:dyDescent="0.25">
      <c r="F4233"/>
      <c r="O4233"/>
      <c r="R4233"/>
      <c r="S4233"/>
      <c r="T4233"/>
      <c r="U4233"/>
    </row>
    <row r="4234" spans="6:21" x14ac:dyDescent="0.25">
      <c r="F4234"/>
      <c r="O4234"/>
      <c r="R4234"/>
      <c r="S4234"/>
      <c r="T4234"/>
      <c r="U4234"/>
    </row>
    <row r="4235" spans="6:21" x14ac:dyDescent="0.25">
      <c r="F4235"/>
      <c r="O4235"/>
      <c r="R4235"/>
      <c r="S4235"/>
      <c r="T4235"/>
      <c r="U4235"/>
    </row>
    <row r="4236" spans="6:21" x14ac:dyDescent="0.25">
      <c r="F4236"/>
      <c r="O4236"/>
      <c r="R4236"/>
      <c r="S4236"/>
      <c r="T4236"/>
      <c r="U4236"/>
    </row>
    <row r="4237" spans="6:21" x14ac:dyDescent="0.25">
      <c r="F4237"/>
      <c r="O4237"/>
      <c r="R4237"/>
      <c r="S4237"/>
      <c r="T4237"/>
      <c r="U4237"/>
    </row>
    <row r="4238" spans="6:21" x14ac:dyDescent="0.25">
      <c r="F4238"/>
      <c r="O4238"/>
      <c r="R4238"/>
      <c r="S4238"/>
      <c r="T4238"/>
      <c r="U4238"/>
    </row>
    <row r="4239" spans="6:21" x14ac:dyDescent="0.25">
      <c r="F4239"/>
      <c r="O4239"/>
      <c r="R4239"/>
      <c r="S4239"/>
      <c r="T4239"/>
      <c r="U4239"/>
    </row>
    <row r="4240" spans="6:21" x14ac:dyDescent="0.25">
      <c r="F4240"/>
      <c r="O4240"/>
      <c r="R4240"/>
      <c r="S4240"/>
      <c r="T4240"/>
      <c r="U4240"/>
    </row>
    <row r="4241" spans="6:21" x14ac:dyDescent="0.25">
      <c r="F4241"/>
      <c r="O4241"/>
      <c r="R4241"/>
      <c r="S4241"/>
      <c r="T4241"/>
      <c r="U4241"/>
    </row>
    <row r="4242" spans="6:21" x14ac:dyDescent="0.25">
      <c r="F4242"/>
      <c r="O4242"/>
      <c r="R4242"/>
      <c r="S4242"/>
      <c r="T4242"/>
      <c r="U4242"/>
    </row>
    <row r="4243" spans="6:21" x14ac:dyDescent="0.25">
      <c r="F4243"/>
      <c r="O4243"/>
      <c r="R4243"/>
      <c r="S4243"/>
      <c r="T4243"/>
      <c r="U4243"/>
    </row>
    <row r="4244" spans="6:21" x14ac:dyDescent="0.25">
      <c r="F4244"/>
      <c r="O4244"/>
      <c r="R4244"/>
      <c r="S4244"/>
      <c r="T4244"/>
      <c r="U4244"/>
    </row>
    <row r="4245" spans="6:21" x14ac:dyDescent="0.25">
      <c r="F4245"/>
      <c r="O4245"/>
      <c r="R4245"/>
      <c r="S4245"/>
      <c r="T4245"/>
      <c r="U4245"/>
    </row>
    <row r="4246" spans="6:21" x14ac:dyDescent="0.25">
      <c r="F4246"/>
      <c r="O4246"/>
      <c r="R4246"/>
      <c r="S4246"/>
      <c r="T4246"/>
      <c r="U4246"/>
    </row>
    <row r="4247" spans="6:21" x14ac:dyDescent="0.25">
      <c r="F4247"/>
      <c r="O4247"/>
      <c r="R4247"/>
      <c r="S4247"/>
      <c r="T4247"/>
      <c r="U4247"/>
    </row>
    <row r="4248" spans="6:21" x14ac:dyDescent="0.25">
      <c r="F4248"/>
      <c r="O4248"/>
      <c r="R4248"/>
      <c r="S4248"/>
      <c r="T4248"/>
      <c r="U4248"/>
    </row>
    <row r="4249" spans="6:21" x14ac:dyDescent="0.25">
      <c r="F4249"/>
      <c r="O4249"/>
      <c r="R4249"/>
      <c r="S4249"/>
      <c r="T4249"/>
      <c r="U4249"/>
    </row>
    <row r="4250" spans="6:21" x14ac:dyDescent="0.25">
      <c r="F4250"/>
      <c r="O4250"/>
      <c r="R4250"/>
      <c r="S4250"/>
      <c r="T4250"/>
      <c r="U4250"/>
    </row>
    <row r="4251" spans="6:21" x14ac:dyDescent="0.25">
      <c r="F4251"/>
      <c r="O4251"/>
      <c r="R4251"/>
      <c r="S4251"/>
      <c r="T4251"/>
      <c r="U4251"/>
    </row>
    <row r="4252" spans="6:21" x14ac:dyDescent="0.25">
      <c r="F4252"/>
      <c r="O4252"/>
      <c r="R4252"/>
      <c r="S4252"/>
      <c r="T4252"/>
      <c r="U4252"/>
    </row>
    <row r="4253" spans="6:21" x14ac:dyDescent="0.25">
      <c r="F4253"/>
      <c r="O4253"/>
      <c r="R4253"/>
      <c r="S4253"/>
      <c r="T4253"/>
      <c r="U4253"/>
    </row>
    <row r="4254" spans="6:21" x14ac:dyDescent="0.25">
      <c r="F4254"/>
      <c r="O4254"/>
      <c r="R4254"/>
      <c r="S4254"/>
      <c r="T4254"/>
      <c r="U4254"/>
    </row>
    <row r="4255" spans="6:21" x14ac:dyDescent="0.25">
      <c r="F4255"/>
      <c r="O4255"/>
      <c r="R4255"/>
      <c r="S4255"/>
      <c r="T4255"/>
      <c r="U4255"/>
    </row>
    <row r="4256" spans="6:21" x14ac:dyDescent="0.25">
      <c r="F4256"/>
      <c r="O4256"/>
      <c r="R4256"/>
      <c r="S4256"/>
      <c r="T4256"/>
      <c r="U4256"/>
    </row>
    <row r="4257" spans="6:21" x14ac:dyDescent="0.25">
      <c r="F4257"/>
      <c r="O4257"/>
      <c r="R4257"/>
      <c r="S4257"/>
      <c r="T4257"/>
      <c r="U4257"/>
    </row>
    <row r="4258" spans="6:21" x14ac:dyDescent="0.25">
      <c r="F4258"/>
      <c r="O4258"/>
      <c r="R4258"/>
      <c r="S4258"/>
      <c r="T4258"/>
      <c r="U4258"/>
    </row>
    <row r="4259" spans="6:21" x14ac:dyDescent="0.25">
      <c r="F4259"/>
      <c r="O4259"/>
      <c r="R4259"/>
      <c r="S4259"/>
      <c r="T4259"/>
      <c r="U4259"/>
    </row>
    <row r="4260" spans="6:21" x14ac:dyDescent="0.25">
      <c r="F4260"/>
      <c r="O4260"/>
      <c r="R4260"/>
      <c r="S4260"/>
      <c r="T4260"/>
      <c r="U4260"/>
    </row>
    <row r="4261" spans="6:21" x14ac:dyDescent="0.25">
      <c r="F4261"/>
      <c r="O4261"/>
      <c r="R4261"/>
      <c r="S4261"/>
      <c r="T4261"/>
      <c r="U4261"/>
    </row>
    <row r="4262" spans="6:21" x14ac:dyDescent="0.25">
      <c r="F4262"/>
      <c r="O4262"/>
      <c r="R4262"/>
      <c r="S4262"/>
      <c r="T4262"/>
      <c r="U4262"/>
    </row>
    <row r="4263" spans="6:21" x14ac:dyDescent="0.25">
      <c r="F4263"/>
      <c r="O4263"/>
      <c r="R4263"/>
      <c r="S4263"/>
      <c r="T4263"/>
      <c r="U4263"/>
    </row>
    <row r="4264" spans="6:21" x14ac:dyDescent="0.25">
      <c r="F4264"/>
      <c r="O4264"/>
      <c r="R4264"/>
      <c r="S4264"/>
      <c r="T4264"/>
      <c r="U4264"/>
    </row>
    <row r="4265" spans="6:21" x14ac:dyDescent="0.25">
      <c r="F4265"/>
      <c r="O4265"/>
      <c r="R4265"/>
      <c r="S4265"/>
      <c r="T4265"/>
      <c r="U4265"/>
    </row>
    <row r="4266" spans="6:21" x14ac:dyDescent="0.25">
      <c r="F4266"/>
      <c r="O4266"/>
      <c r="R4266"/>
      <c r="S4266"/>
      <c r="T4266"/>
      <c r="U4266"/>
    </row>
    <row r="4267" spans="6:21" x14ac:dyDescent="0.25">
      <c r="F4267"/>
      <c r="O4267"/>
      <c r="R4267"/>
      <c r="S4267"/>
      <c r="T4267"/>
      <c r="U4267"/>
    </row>
    <row r="4268" spans="6:21" x14ac:dyDescent="0.25">
      <c r="F4268"/>
      <c r="O4268"/>
      <c r="R4268"/>
      <c r="S4268"/>
      <c r="T4268"/>
      <c r="U4268"/>
    </row>
    <row r="4269" spans="6:21" x14ac:dyDescent="0.25">
      <c r="F4269"/>
      <c r="O4269"/>
      <c r="R4269"/>
      <c r="S4269"/>
      <c r="T4269"/>
      <c r="U4269"/>
    </row>
    <row r="4270" spans="6:21" x14ac:dyDescent="0.25">
      <c r="F4270"/>
      <c r="O4270"/>
      <c r="R4270"/>
      <c r="S4270"/>
      <c r="T4270"/>
      <c r="U4270"/>
    </row>
    <row r="4271" spans="6:21" x14ac:dyDescent="0.25">
      <c r="F4271"/>
      <c r="O4271"/>
      <c r="R4271"/>
      <c r="S4271"/>
      <c r="T4271"/>
      <c r="U4271"/>
    </row>
    <row r="4272" spans="6:21" x14ac:dyDescent="0.25">
      <c r="F4272"/>
      <c r="O4272"/>
      <c r="R4272"/>
      <c r="S4272"/>
      <c r="T4272"/>
      <c r="U4272"/>
    </row>
    <row r="4273" spans="6:21" x14ac:dyDescent="0.25">
      <c r="F4273"/>
      <c r="O4273"/>
      <c r="R4273"/>
      <c r="S4273"/>
      <c r="T4273"/>
      <c r="U4273"/>
    </row>
    <row r="4274" spans="6:21" x14ac:dyDescent="0.25">
      <c r="F4274"/>
      <c r="O4274"/>
      <c r="R4274"/>
      <c r="S4274"/>
      <c r="T4274"/>
      <c r="U4274"/>
    </row>
    <row r="4275" spans="6:21" x14ac:dyDescent="0.25">
      <c r="F4275"/>
      <c r="O4275"/>
      <c r="R4275"/>
      <c r="S4275"/>
      <c r="T4275"/>
      <c r="U4275"/>
    </row>
    <row r="4276" spans="6:21" x14ac:dyDescent="0.25">
      <c r="F4276"/>
      <c r="O4276"/>
      <c r="R4276"/>
      <c r="S4276"/>
      <c r="T4276"/>
      <c r="U4276"/>
    </row>
    <row r="4277" spans="6:21" x14ac:dyDescent="0.25">
      <c r="F4277"/>
      <c r="O4277"/>
      <c r="R4277"/>
      <c r="S4277"/>
      <c r="T4277"/>
      <c r="U4277"/>
    </row>
    <row r="4278" spans="6:21" x14ac:dyDescent="0.25">
      <c r="F4278"/>
      <c r="O4278"/>
      <c r="R4278"/>
      <c r="S4278"/>
      <c r="T4278"/>
      <c r="U4278"/>
    </row>
    <row r="4279" spans="6:21" x14ac:dyDescent="0.25">
      <c r="F4279"/>
      <c r="O4279"/>
      <c r="R4279"/>
      <c r="S4279"/>
      <c r="T4279"/>
      <c r="U4279"/>
    </row>
    <row r="4280" spans="6:21" x14ac:dyDescent="0.25">
      <c r="F4280"/>
      <c r="O4280"/>
      <c r="R4280"/>
      <c r="S4280"/>
      <c r="T4280"/>
      <c r="U4280"/>
    </row>
    <row r="4281" spans="6:21" x14ac:dyDescent="0.25">
      <c r="F4281"/>
      <c r="O4281"/>
      <c r="R4281"/>
      <c r="S4281"/>
      <c r="T4281"/>
      <c r="U4281"/>
    </row>
    <row r="4282" spans="6:21" x14ac:dyDescent="0.25">
      <c r="F4282"/>
      <c r="O4282"/>
      <c r="R4282"/>
      <c r="S4282"/>
      <c r="T4282"/>
      <c r="U4282"/>
    </row>
    <row r="4283" spans="6:21" x14ac:dyDescent="0.25">
      <c r="F4283"/>
      <c r="O4283"/>
      <c r="R4283"/>
      <c r="S4283"/>
      <c r="T4283"/>
      <c r="U4283"/>
    </row>
    <row r="4284" spans="6:21" x14ac:dyDescent="0.25">
      <c r="F4284"/>
      <c r="O4284"/>
      <c r="R4284"/>
      <c r="S4284"/>
      <c r="T4284"/>
      <c r="U4284"/>
    </row>
    <row r="4285" spans="6:21" x14ac:dyDescent="0.25">
      <c r="F4285"/>
      <c r="O4285"/>
      <c r="R4285"/>
      <c r="S4285"/>
      <c r="T4285"/>
      <c r="U4285"/>
    </row>
    <row r="4286" spans="6:21" x14ac:dyDescent="0.25">
      <c r="F4286"/>
      <c r="O4286"/>
      <c r="R4286"/>
      <c r="S4286"/>
      <c r="T4286"/>
      <c r="U4286"/>
    </row>
    <row r="4287" spans="6:21" x14ac:dyDescent="0.25">
      <c r="F4287"/>
      <c r="O4287"/>
      <c r="R4287"/>
      <c r="S4287"/>
      <c r="T4287"/>
      <c r="U4287"/>
    </row>
    <row r="4288" spans="6:21" x14ac:dyDescent="0.25">
      <c r="F4288"/>
      <c r="O4288"/>
      <c r="R4288"/>
      <c r="S4288"/>
      <c r="T4288"/>
      <c r="U4288"/>
    </row>
    <row r="4289" spans="6:21" x14ac:dyDescent="0.25">
      <c r="F4289"/>
      <c r="O4289"/>
      <c r="R4289"/>
      <c r="S4289"/>
      <c r="T4289"/>
      <c r="U4289"/>
    </row>
    <row r="4290" spans="6:21" x14ac:dyDescent="0.25">
      <c r="F4290"/>
      <c r="O4290"/>
      <c r="R4290"/>
      <c r="S4290"/>
      <c r="T4290"/>
      <c r="U4290"/>
    </row>
    <row r="4291" spans="6:21" x14ac:dyDescent="0.25">
      <c r="F4291"/>
      <c r="O4291"/>
      <c r="R4291"/>
      <c r="S4291"/>
      <c r="T4291"/>
      <c r="U4291"/>
    </row>
    <row r="4292" spans="6:21" x14ac:dyDescent="0.25">
      <c r="F4292"/>
      <c r="O4292"/>
      <c r="R4292"/>
      <c r="S4292"/>
      <c r="T4292"/>
      <c r="U4292"/>
    </row>
    <row r="4293" spans="6:21" x14ac:dyDescent="0.25">
      <c r="F4293"/>
      <c r="O4293"/>
      <c r="R4293"/>
      <c r="S4293"/>
      <c r="T4293"/>
      <c r="U4293"/>
    </row>
    <row r="4294" spans="6:21" x14ac:dyDescent="0.25">
      <c r="F4294"/>
      <c r="O4294"/>
      <c r="R4294"/>
      <c r="S4294"/>
      <c r="T4294"/>
      <c r="U4294"/>
    </row>
    <row r="4295" spans="6:21" x14ac:dyDescent="0.25">
      <c r="F4295"/>
      <c r="O4295"/>
      <c r="R4295"/>
      <c r="S4295"/>
      <c r="T4295"/>
      <c r="U4295"/>
    </row>
    <row r="4296" spans="6:21" x14ac:dyDescent="0.25">
      <c r="F4296"/>
      <c r="O4296"/>
      <c r="R4296"/>
      <c r="S4296"/>
      <c r="T4296"/>
      <c r="U4296"/>
    </row>
    <row r="4297" spans="6:21" x14ac:dyDescent="0.25">
      <c r="F4297"/>
      <c r="O4297"/>
      <c r="R4297"/>
      <c r="S4297"/>
      <c r="T4297"/>
      <c r="U4297"/>
    </row>
    <row r="4298" spans="6:21" x14ac:dyDescent="0.25">
      <c r="F4298"/>
      <c r="O4298"/>
      <c r="R4298"/>
      <c r="S4298"/>
      <c r="T4298"/>
      <c r="U4298"/>
    </row>
    <row r="4299" spans="6:21" x14ac:dyDescent="0.25">
      <c r="F4299"/>
      <c r="O4299"/>
      <c r="R4299"/>
      <c r="S4299"/>
      <c r="T4299"/>
      <c r="U4299"/>
    </row>
    <row r="4300" spans="6:21" x14ac:dyDescent="0.25">
      <c r="F4300"/>
      <c r="O4300"/>
      <c r="R4300"/>
      <c r="S4300"/>
      <c r="T4300"/>
      <c r="U4300"/>
    </row>
    <row r="4301" spans="6:21" x14ac:dyDescent="0.25">
      <c r="F4301"/>
      <c r="O4301"/>
      <c r="R4301"/>
      <c r="S4301"/>
      <c r="T4301"/>
      <c r="U4301"/>
    </row>
    <row r="4302" spans="6:21" x14ac:dyDescent="0.25">
      <c r="F4302"/>
      <c r="O4302"/>
      <c r="R4302"/>
      <c r="S4302"/>
      <c r="T4302"/>
      <c r="U4302"/>
    </row>
    <row r="4303" spans="6:21" x14ac:dyDescent="0.25">
      <c r="F4303"/>
      <c r="O4303"/>
      <c r="R4303"/>
      <c r="S4303"/>
      <c r="T4303"/>
      <c r="U4303"/>
    </row>
    <row r="4304" spans="6:21" x14ac:dyDescent="0.25">
      <c r="F4304"/>
      <c r="O4304"/>
      <c r="R4304"/>
      <c r="S4304"/>
      <c r="T4304"/>
      <c r="U4304"/>
    </row>
    <row r="4305" spans="6:21" x14ac:dyDescent="0.25">
      <c r="F4305"/>
      <c r="O4305"/>
      <c r="R4305"/>
      <c r="S4305"/>
      <c r="T4305"/>
      <c r="U4305"/>
    </row>
    <row r="4306" spans="6:21" x14ac:dyDescent="0.25">
      <c r="F4306"/>
      <c r="O4306"/>
      <c r="R4306"/>
      <c r="S4306"/>
      <c r="T4306"/>
      <c r="U4306"/>
    </row>
    <row r="4307" spans="6:21" x14ac:dyDescent="0.25">
      <c r="F4307"/>
      <c r="O4307"/>
      <c r="R4307"/>
      <c r="S4307"/>
      <c r="T4307"/>
      <c r="U4307"/>
    </row>
    <row r="4308" spans="6:21" x14ac:dyDescent="0.25">
      <c r="F4308"/>
      <c r="O4308"/>
      <c r="R4308"/>
      <c r="S4308"/>
      <c r="T4308"/>
      <c r="U4308"/>
    </row>
    <row r="4309" spans="6:21" x14ac:dyDescent="0.25">
      <c r="F4309"/>
      <c r="O4309"/>
      <c r="R4309"/>
      <c r="S4309"/>
      <c r="T4309"/>
      <c r="U4309"/>
    </row>
    <row r="4310" spans="6:21" x14ac:dyDescent="0.25">
      <c r="F4310"/>
      <c r="O4310"/>
      <c r="R4310"/>
      <c r="S4310"/>
      <c r="T4310"/>
      <c r="U4310"/>
    </row>
    <row r="4311" spans="6:21" x14ac:dyDescent="0.25">
      <c r="F4311"/>
      <c r="O4311"/>
      <c r="R4311"/>
      <c r="S4311"/>
      <c r="T4311"/>
      <c r="U4311"/>
    </row>
    <row r="4312" spans="6:21" x14ac:dyDescent="0.25">
      <c r="F4312"/>
      <c r="O4312"/>
      <c r="R4312"/>
      <c r="S4312"/>
      <c r="T4312"/>
      <c r="U4312"/>
    </row>
    <row r="4313" spans="6:21" x14ac:dyDescent="0.25">
      <c r="F4313"/>
      <c r="O4313"/>
      <c r="R4313"/>
      <c r="S4313"/>
      <c r="T4313"/>
      <c r="U4313"/>
    </row>
    <row r="4314" spans="6:21" x14ac:dyDescent="0.25">
      <c r="F4314"/>
      <c r="O4314"/>
      <c r="R4314"/>
      <c r="S4314"/>
      <c r="T4314"/>
      <c r="U4314"/>
    </row>
    <row r="4315" spans="6:21" x14ac:dyDescent="0.25">
      <c r="F4315"/>
      <c r="O4315"/>
      <c r="R4315"/>
      <c r="S4315"/>
      <c r="T4315"/>
      <c r="U4315"/>
    </row>
    <row r="4316" spans="6:21" x14ac:dyDescent="0.25">
      <c r="F4316"/>
      <c r="O4316"/>
      <c r="R4316"/>
      <c r="S4316"/>
      <c r="T4316"/>
      <c r="U4316"/>
    </row>
    <row r="4317" spans="6:21" x14ac:dyDescent="0.25">
      <c r="F4317"/>
      <c r="O4317"/>
      <c r="R4317"/>
      <c r="S4317"/>
      <c r="T4317"/>
      <c r="U4317"/>
    </row>
    <row r="4318" spans="6:21" x14ac:dyDescent="0.25">
      <c r="F4318"/>
      <c r="O4318"/>
      <c r="R4318"/>
      <c r="S4318"/>
      <c r="T4318"/>
      <c r="U4318"/>
    </row>
    <row r="4319" spans="6:21" x14ac:dyDescent="0.25">
      <c r="F4319"/>
      <c r="O4319"/>
      <c r="R4319"/>
      <c r="S4319"/>
      <c r="T4319"/>
      <c r="U4319"/>
    </row>
    <row r="4320" spans="6:21" x14ac:dyDescent="0.25">
      <c r="F4320"/>
      <c r="O4320"/>
      <c r="R4320"/>
      <c r="S4320"/>
      <c r="T4320"/>
      <c r="U4320"/>
    </row>
    <row r="4321" spans="6:21" x14ac:dyDescent="0.25">
      <c r="F4321"/>
      <c r="O4321"/>
      <c r="R4321"/>
      <c r="S4321"/>
      <c r="T4321"/>
      <c r="U4321"/>
    </row>
    <row r="4322" spans="6:21" x14ac:dyDescent="0.25">
      <c r="F4322"/>
      <c r="O4322"/>
      <c r="R4322"/>
      <c r="S4322"/>
      <c r="T4322"/>
      <c r="U4322"/>
    </row>
    <row r="4323" spans="6:21" x14ac:dyDescent="0.25">
      <c r="F4323"/>
      <c r="O4323"/>
      <c r="R4323"/>
      <c r="S4323"/>
      <c r="T4323"/>
      <c r="U4323"/>
    </row>
    <row r="4324" spans="6:21" x14ac:dyDescent="0.25">
      <c r="F4324"/>
      <c r="O4324"/>
      <c r="R4324"/>
      <c r="S4324"/>
      <c r="T4324"/>
      <c r="U4324"/>
    </row>
    <row r="4325" spans="6:21" x14ac:dyDescent="0.25">
      <c r="F4325"/>
      <c r="O4325"/>
      <c r="R4325"/>
      <c r="S4325"/>
      <c r="T4325"/>
      <c r="U4325"/>
    </row>
    <row r="4326" spans="6:21" x14ac:dyDescent="0.25">
      <c r="F4326"/>
      <c r="O4326"/>
      <c r="R4326"/>
      <c r="S4326"/>
      <c r="T4326"/>
      <c r="U4326"/>
    </row>
    <row r="4327" spans="6:21" x14ac:dyDescent="0.25">
      <c r="F4327"/>
      <c r="O4327"/>
      <c r="R4327"/>
      <c r="S4327"/>
      <c r="T4327"/>
      <c r="U4327"/>
    </row>
    <row r="4328" spans="6:21" x14ac:dyDescent="0.25">
      <c r="F4328"/>
      <c r="O4328"/>
      <c r="R4328"/>
      <c r="S4328"/>
      <c r="T4328"/>
      <c r="U4328"/>
    </row>
    <row r="4329" spans="6:21" x14ac:dyDescent="0.25">
      <c r="F4329"/>
      <c r="O4329"/>
      <c r="R4329"/>
      <c r="S4329"/>
      <c r="T4329"/>
      <c r="U4329"/>
    </row>
    <row r="4330" spans="6:21" x14ac:dyDescent="0.25">
      <c r="F4330"/>
      <c r="O4330"/>
      <c r="R4330"/>
      <c r="S4330"/>
      <c r="T4330"/>
      <c r="U4330"/>
    </row>
    <row r="4331" spans="6:21" x14ac:dyDescent="0.25">
      <c r="F4331"/>
      <c r="O4331"/>
      <c r="R4331"/>
      <c r="S4331"/>
      <c r="T4331"/>
      <c r="U4331"/>
    </row>
    <row r="4332" spans="6:21" x14ac:dyDescent="0.25">
      <c r="F4332"/>
      <c r="O4332"/>
      <c r="R4332"/>
      <c r="S4332"/>
      <c r="T4332"/>
      <c r="U4332"/>
    </row>
    <row r="4333" spans="6:21" x14ac:dyDescent="0.25">
      <c r="F4333"/>
      <c r="O4333"/>
      <c r="R4333"/>
      <c r="S4333"/>
      <c r="T4333"/>
      <c r="U4333"/>
    </row>
    <row r="4334" spans="6:21" x14ac:dyDescent="0.25">
      <c r="F4334"/>
      <c r="O4334"/>
      <c r="R4334"/>
      <c r="S4334"/>
      <c r="T4334"/>
      <c r="U4334"/>
    </row>
    <row r="4335" spans="6:21" x14ac:dyDescent="0.25">
      <c r="F4335"/>
      <c r="O4335"/>
      <c r="R4335"/>
      <c r="S4335"/>
      <c r="T4335"/>
      <c r="U4335"/>
    </row>
    <row r="4336" spans="6:21" x14ac:dyDescent="0.25">
      <c r="F4336"/>
      <c r="O4336"/>
      <c r="R4336"/>
      <c r="S4336"/>
      <c r="T4336"/>
      <c r="U4336"/>
    </row>
    <row r="4337" spans="6:21" x14ac:dyDescent="0.25">
      <c r="F4337"/>
      <c r="O4337"/>
      <c r="R4337"/>
      <c r="S4337"/>
      <c r="T4337"/>
      <c r="U4337"/>
    </row>
    <row r="4338" spans="6:21" x14ac:dyDescent="0.25">
      <c r="F4338"/>
      <c r="O4338"/>
      <c r="R4338"/>
      <c r="S4338"/>
      <c r="T4338"/>
      <c r="U4338"/>
    </row>
    <row r="4339" spans="6:21" x14ac:dyDescent="0.25">
      <c r="F4339"/>
      <c r="O4339"/>
      <c r="R4339"/>
      <c r="S4339"/>
      <c r="T4339"/>
      <c r="U4339"/>
    </row>
    <row r="4340" spans="6:21" x14ac:dyDescent="0.25">
      <c r="F4340"/>
      <c r="O4340"/>
      <c r="R4340"/>
      <c r="S4340"/>
      <c r="T4340"/>
      <c r="U4340"/>
    </row>
    <row r="4341" spans="6:21" x14ac:dyDescent="0.25">
      <c r="F4341"/>
      <c r="O4341"/>
      <c r="R4341"/>
      <c r="S4341"/>
      <c r="T4341"/>
      <c r="U4341"/>
    </row>
    <row r="4342" spans="6:21" x14ac:dyDescent="0.25">
      <c r="F4342"/>
      <c r="O4342"/>
      <c r="R4342"/>
      <c r="S4342"/>
      <c r="T4342"/>
      <c r="U4342"/>
    </row>
    <row r="4343" spans="6:21" x14ac:dyDescent="0.25">
      <c r="F4343"/>
      <c r="O4343"/>
      <c r="R4343"/>
      <c r="S4343"/>
      <c r="T4343"/>
      <c r="U4343"/>
    </row>
    <row r="4344" spans="6:21" x14ac:dyDescent="0.25">
      <c r="F4344"/>
      <c r="O4344"/>
      <c r="R4344"/>
      <c r="S4344"/>
      <c r="T4344"/>
      <c r="U4344"/>
    </row>
    <row r="4345" spans="6:21" x14ac:dyDescent="0.25">
      <c r="F4345"/>
      <c r="O4345"/>
      <c r="R4345"/>
      <c r="S4345"/>
      <c r="T4345"/>
      <c r="U4345"/>
    </row>
    <row r="4346" spans="6:21" x14ac:dyDescent="0.25">
      <c r="F4346"/>
      <c r="O4346"/>
      <c r="R4346"/>
      <c r="S4346"/>
      <c r="T4346"/>
      <c r="U4346"/>
    </row>
    <row r="4347" spans="6:21" x14ac:dyDescent="0.25">
      <c r="F4347"/>
      <c r="O4347"/>
      <c r="R4347"/>
      <c r="S4347"/>
      <c r="T4347"/>
      <c r="U4347"/>
    </row>
    <row r="4348" spans="6:21" x14ac:dyDescent="0.25">
      <c r="F4348"/>
      <c r="O4348"/>
      <c r="R4348"/>
      <c r="S4348"/>
      <c r="T4348"/>
      <c r="U4348"/>
    </row>
    <row r="4349" spans="6:21" x14ac:dyDescent="0.25">
      <c r="F4349"/>
      <c r="O4349"/>
      <c r="R4349"/>
      <c r="S4349"/>
      <c r="T4349"/>
      <c r="U4349"/>
    </row>
    <row r="4350" spans="6:21" x14ac:dyDescent="0.25">
      <c r="F4350"/>
      <c r="O4350"/>
      <c r="R4350"/>
      <c r="S4350"/>
      <c r="T4350"/>
      <c r="U4350"/>
    </row>
    <row r="4351" spans="6:21" x14ac:dyDescent="0.25">
      <c r="F4351"/>
      <c r="O4351"/>
      <c r="R4351"/>
      <c r="S4351"/>
      <c r="T4351"/>
      <c r="U4351"/>
    </row>
    <row r="4352" spans="6:21" x14ac:dyDescent="0.25">
      <c r="F4352"/>
      <c r="O4352"/>
      <c r="R4352"/>
      <c r="S4352"/>
      <c r="T4352"/>
      <c r="U4352"/>
    </row>
    <row r="4353" spans="6:21" x14ac:dyDescent="0.25">
      <c r="F4353"/>
      <c r="O4353"/>
      <c r="R4353"/>
      <c r="S4353"/>
      <c r="T4353"/>
      <c r="U4353"/>
    </row>
    <row r="4354" spans="6:21" x14ac:dyDescent="0.25">
      <c r="F4354"/>
      <c r="O4354"/>
      <c r="R4354"/>
      <c r="S4354"/>
      <c r="T4354"/>
      <c r="U4354"/>
    </row>
    <row r="4355" spans="6:21" x14ac:dyDescent="0.25">
      <c r="F4355"/>
      <c r="O4355"/>
      <c r="R4355"/>
      <c r="S4355"/>
      <c r="T4355"/>
      <c r="U4355"/>
    </row>
    <row r="4356" spans="6:21" x14ac:dyDescent="0.25">
      <c r="F4356"/>
      <c r="O4356"/>
      <c r="R4356"/>
      <c r="S4356"/>
      <c r="T4356"/>
      <c r="U4356"/>
    </row>
    <row r="4357" spans="6:21" x14ac:dyDescent="0.25">
      <c r="F4357"/>
      <c r="O4357"/>
      <c r="R4357"/>
      <c r="S4357"/>
      <c r="T4357"/>
      <c r="U4357"/>
    </row>
    <row r="4358" spans="6:21" x14ac:dyDescent="0.25">
      <c r="F4358"/>
      <c r="O4358"/>
      <c r="R4358"/>
      <c r="S4358"/>
      <c r="T4358"/>
      <c r="U4358"/>
    </row>
    <row r="4359" spans="6:21" x14ac:dyDescent="0.25">
      <c r="F4359"/>
      <c r="O4359"/>
      <c r="R4359"/>
      <c r="S4359"/>
      <c r="T4359"/>
      <c r="U4359"/>
    </row>
    <row r="4360" spans="6:21" x14ac:dyDescent="0.25">
      <c r="F4360"/>
      <c r="O4360"/>
      <c r="R4360"/>
      <c r="S4360"/>
      <c r="T4360"/>
      <c r="U4360"/>
    </row>
    <row r="4361" spans="6:21" x14ac:dyDescent="0.25">
      <c r="F4361"/>
      <c r="O4361"/>
      <c r="R4361"/>
      <c r="S4361"/>
      <c r="T4361"/>
      <c r="U4361"/>
    </row>
    <row r="4362" spans="6:21" x14ac:dyDescent="0.25">
      <c r="F4362"/>
      <c r="O4362"/>
      <c r="R4362"/>
      <c r="S4362"/>
      <c r="T4362"/>
      <c r="U4362"/>
    </row>
    <row r="4363" spans="6:21" x14ac:dyDescent="0.25">
      <c r="F4363"/>
      <c r="O4363"/>
      <c r="R4363"/>
      <c r="S4363"/>
      <c r="T4363"/>
      <c r="U4363"/>
    </row>
    <row r="4364" spans="6:21" x14ac:dyDescent="0.25">
      <c r="F4364"/>
      <c r="O4364"/>
      <c r="R4364"/>
      <c r="S4364"/>
      <c r="T4364"/>
      <c r="U4364"/>
    </row>
    <row r="4365" spans="6:21" x14ac:dyDescent="0.25">
      <c r="F4365"/>
      <c r="O4365"/>
      <c r="R4365"/>
      <c r="S4365"/>
      <c r="T4365"/>
      <c r="U4365"/>
    </row>
    <row r="4366" spans="6:21" x14ac:dyDescent="0.25">
      <c r="F4366"/>
      <c r="O4366"/>
      <c r="R4366"/>
      <c r="S4366"/>
      <c r="T4366"/>
      <c r="U4366"/>
    </row>
    <row r="4367" spans="6:21" x14ac:dyDescent="0.25">
      <c r="F4367"/>
      <c r="O4367"/>
      <c r="R4367"/>
      <c r="S4367"/>
      <c r="T4367"/>
      <c r="U4367"/>
    </row>
    <row r="4368" spans="6:21" x14ac:dyDescent="0.25">
      <c r="F4368"/>
      <c r="O4368"/>
      <c r="R4368"/>
      <c r="S4368"/>
      <c r="T4368"/>
      <c r="U4368"/>
    </row>
    <row r="4369" spans="6:21" x14ac:dyDescent="0.25">
      <c r="F4369"/>
      <c r="O4369"/>
      <c r="R4369"/>
      <c r="S4369"/>
      <c r="T4369"/>
      <c r="U4369"/>
    </row>
    <row r="4370" spans="6:21" x14ac:dyDescent="0.25">
      <c r="F4370"/>
      <c r="O4370"/>
      <c r="R4370"/>
      <c r="S4370"/>
      <c r="T4370"/>
      <c r="U4370"/>
    </row>
    <row r="4371" spans="6:21" x14ac:dyDescent="0.25">
      <c r="F4371"/>
      <c r="O4371"/>
      <c r="R4371"/>
      <c r="S4371"/>
      <c r="T4371"/>
      <c r="U4371"/>
    </row>
    <row r="4372" spans="6:21" x14ac:dyDescent="0.25">
      <c r="F4372"/>
      <c r="O4372"/>
      <c r="R4372"/>
      <c r="S4372"/>
      <c r="T4372"/>
      <c r="U4372"/>
    </row>
    <row r="4373" spans="6:21" x14ac:dyDescent="0.25">
      <c r="F4373"/>
      <c r="O4373"/>
      <c r="R4373"/>
      <c r="S4373"/>
      <c r="T4373"/>
      <c r="U4373"/>
    </row>
    <row r="4374" spans="6:21" x14ac:dyDescent="0.25">
      <c r="F4374"/>
      <c r="O4374"/>
      <c r="R4374"/>
      <c r="S4374"/>
      <c r="T4374"/>
      <c r="U4374"/>
    </row>
    <row r="4375" spans="6:21" x14ac:dyDescent="0.25">
      <c r="F4375"/>
      <c r="O4375"/>
      <c r="R4375"/>
      <c r="S4375"/>
      <c r="T4375"/>
      <c r="U4375"/>
    </row>
    <row r="4376" spans="6:21" x14ac:dyDescent="0.25">
      <c r="F4376"/>
      <c r="O4376"/>
      <c r="R4376"/>
      <c r="S4376"/>
      <c r="T4376"/>
      <c r="U4376"/>
    </row>
    <row r="4377" spans="6:21" x14ac:dyDescent="0.25">
      <c r="F4377"/>
      <c r="O4377"/>
      <c r="R4377"/>
      <c r="S4377"/>
      <c r="T4377"/>
      <c r="U4377"/>
    </row>
    <row r="4378" spans="6:21" x14ac:dyDescent="0.25">
      <c r="F4378"/>
      <c r="O4378"/>
      <c r="R4378"/>
      <c r="S4378"/>
      <c r="T4378"/>
      <c r="U4378"/>
    </row>
    <row r="4379" spans="6:21" x14ac:dyDescent="0.25">
      <c r="F4379"/>
      <c r="O4379"/>
      <c r="R4379"/>
      <c r="S4379"/>
      <c r="T4379"/>
      <c r="U4379"/>
    </row>
    <row r="4380" spans="6:21" x14ac:dyDescent="0.25">
      <c r="F4380"/>
      <c r="O4380"/>
      <c r="R4380"/>
      <c r="S4380"/>
      <c r="T4380"/>
      <c r="U4380"/>
    </row>
    <row r="4381" spans="6:21" x14ac:dyDescent="0.25">
      <c r="F4381"/>
      <c r="O4381"/>
      <c r="R4381"/>
      <c r="S4381"/>
      <c r="T4381"/>
      <c r="U4381"/>
    </row>
    <row r="4382" spans="6:21" x14ac:dyDescent="0.25">
      <c r="F4382"/>
      <c r="O4382"/>
      <c r="R4382"/>
      <c r="S4382"/>
      <c r="T4382"/>
      <c r="U4382"/>
    </row>
    <row r="4383" spans="6:21" x14ac:dyDescent="0.25">
      <c r="F4383"/>
      <c r="O4383"/>
      <c r="R4383"/>
      <c r="S4383"/>
      <c r="T4383"/>
      <c r="U4383"/>
    </row>
    <row r="4384" spans="6:21" x14ac:dyDescent="0.25">
      <c r="F4384"/>
      <c r="O4384"/>
      <c r="R4384"/>
      <c r="S4384"/>
      <c r="T4384"/>
      <c r="U4384"/>
    </row>
    <row r="4385" spans="6:21" x14ac:dyDescent="0.25">
      <c r="F4385"/>
      <c r="O4385"/>
      <c r="R4385"/>
      <c r="S4385"/>
      <c r="T4385"/>
      <c r="U4385"/>
    </row>
    <row r="4386" spans="6:21" x14ac:dyDescent="0.25">
      <c r="F4386"/>
      <c r="O4386"/>
      <c r="R4386"/>
      <c r="S4386"/>
      <c r="T4386"/>
      <c r="U4386"/>
    </row>
    <row r="4387" spans="6:21" x14ac:dyDescent="0.25">
      <c r="F4387"/>
      <c r="O4387"/>
      <c r="R4387"/>
      <c r="S4387"/>
      <c r="T4387"/>
      <c r="U4387"/>
    </row>
    <row r="4388" spans="6:21" x14ac:dyDescent="0.25">
      <c r="F4388"/>
      <c r="O4388"/>
      <c r="R4388"/>
      <c r="S4388"/>
      <c r="T4388"/>
      <c r="U4388"/>
    </row>
    <row r="4389" spans="6:21" x14ac:dyDescent="0.25">
      <c r="F4389"/>
      <c r="O4389"/>
      <c r="R4389"/>
      <c r="S4389"/>
      <c r="T4389"/>
      <c r="U4389"/>
    </row>
    <row r="4390" spans="6:21" x14ac:dyDescent="0.25">
      <c r="F4390"/>
      <c r="O4390"/>
      <c r="R4390"/>
      <c r="S4390"/>
      <c r="T4390"/>
      <c r="U4390"/>
    </row>
    <row r="4391" spans="6:21" x14ac:dyDescent="0.25">
      <c r="F4391"/>
      <c r="O4391"/>
      <c r="R4391"/>
      <c r="S4391"/>
      <c r="T4391"/>
      <c r="U4391"/>
    </row>
    <row r="4392" spans="6:21" x14ac:dyDescent="0.25">
      <c r="F4392"/>
      <c r="O4392"/>
      <c r="R4392"/>
      <c r="S4392"/>
      <c r="T4392"/>
      <c r="U4392"/>
    </row>
    <row r="4393" spans="6:21" x14ac:dyDescent="0.25">
      <c r="F4393"/>
      <c r="O4393"/>
      <c r="R4393"/>
      <c r="S4393"/>
      <c r="T4393"/>
      <c r="U4393"/>
    </row>
    <row r="4394" spans="6:21" x14ac:dyDescent="0.25">
      <c r="F4394"/>
      <c r="O4394"/>
      <c r="R4394"/>
      <c r="S4394"/>
      <c r="T4394"/>
      <c r="U4394"/>
    </row>
    <row r="4395" spans="6:21" x14ac:dyDescent="0.25">
      <c r="F4395"/>
      <c r="O4395"/>
      <c r="R4395"/>
      <c r="S4395"/>
      <c r="T4395"/>
      <c r="U4395"/>
    </row>
    <row r="4396" spans="6:21" x14ac:dyDescent="0.25">
      <c r="F4396"/>
      <c r="O4396"/>
      <c r="R4396"/>
      <c r="S4396"/>
      <c r="T4396"/>
      <c r="U4396"/>
    </row>
    <row r="4397" spans="6:21" x14ac:dyDescent="0.25">
      <c r="F4397"/>
      <c r="O4397"/>
      <c r="R4397"/>
      <c r="S4397"/>
      <c r="T4397"/>
      <c r="U4397"/>
    </row>
    <row r="4398" spans="6:21" x14ac:dyDescent="0.25">
      <c r="F4398"/>
      <c r="O4398"/>
      <c r="R4398"/>
      <c r="S4398"/>
      <c r="T4398"/>
      <c r="U4398"/>
    </row>
    <row r="4399" spans="6:21" x14ac:dyDescent="0.25">
      <c r="F4399"/>
      <c r="O4399"/>
      <c r="R4399"/>
      <c r="S4399"/>
      <c r="T4399"/>
      <c r="U4399"/>
    </row>
    <row r="4400" spans="6:21" x14ac:dyDescent="0.25">
      <c r="F4400"/>
      <c r="O4400"/>
      <c r="R4400"/>
      <c r="S4400"/>
      <c r="T4400"/>
      <c r="U4400"/>
    </row>
    <row r="4401" spans="6:21" x14ac:dyDescent="0.25">
      <c r="F4401"/>
      <c r="O4401"/>
      <c r="R4401"/>
      <c r="S4401"/>
      <c r="T4401"/>
      <c r="U4401"/>
    </row>
    <row r="4402" spans="6:21" x14ac:dyDescent="0.25">
      <c r="F4402"/>
      <c r="O4402"/>
      <c r="R4402"/>
      <c r="S4402"/>
      <c r="T4402"/>
      <c r="U4402"/>
    </row>
    <row r="4403" spans="6:21" x14ac:dyDescent="0.25">
      <c r="F4403"/>
      <c r="O4403"/>
      <c r="R4403"/>
      <c r="S4403"/>
      <c r="T4403"/>
      <c r="U4403"/>
    </row>
    <row r="4404" spans="6:21" x14ac:dyDescent="0.25">
      <c r="F4404"/>
      <c r="O4404"/>
      <c r="R4404"/>
      <c r="S4404"/>
      <c r="T4404"/>
      <c r="U4404"/>
    </row>
    <row r="4405" spans="6:21" x14ac:dyDescent="0.25">
      <c r="F4405"/>
      <c r="O4405"/>
      <c r="R4405"/>
      <c r="S4405"/>
      <c r="T4405"/>
      <c r="U4405"/>
    </row>
    <row r="4406" spans="6:21" x14ac:dyDescent="0.25">
      <c r="F4406"/>
      <c r="O4406"/>
      <c r="R4406"/>
      <c r="S4406"/>
      <c r="T4406"/>
      <c r="U4406"/>
    </row>
    <row r="4407" spans="6:21" x14ac:dyDescent="0.25">
      <c r="F4407"/>
      <c r="O4407"/>
      <c r="R4407"/>
      <c r="S4407"/>
      <c r="T4407"/>
      <c r="U4407"/>
    </row>
    <row r="4408" spans="6:21" x14ac:dyDescent="0.25">
      <c r="F4408"/>
      <c r="O4408"/>
      <c r="R4408"/>
      <c r="S4408"/>
      <c r="T4408"/>
      <c r="U4408"/>
    </row>
    <row r="4409" spans="6:21" x14ac:dyDescent="0.25">
      <c r="F4409"/>
      <c r="O4409"/>
      <c r="R4409"/>
      <c r="S4409"/>
      <c r="T4409"/>
      <c r="U4409"/>
    </row>
    <row r="4410" spans="6:21" x14ac:dyDescent="0.25">
      <c r="F4410"/>
      <c r="O4410"/>
      <c r="R4410"/>
      <c r="S4410"/>
      <c r="T4410"/>
      <c r="U4410"/>
    </row>
    <row r="4411" spans="6:21" x14ac:dyDescent="0.25">
      <c r="F4411"/>
      <c r="O4411"/>
      <c r="R4411"/>
      <c r="S4411"/>
      <c r="T4411"/>
      <c r="U4411"/>
    </row>
    <row r="4412" spans="6:21" x14ac:dyDescent="0.25">
      <c r="F4412"/>
      <c r="O4412"/>
      <c r="R4412"/>
      <c r="S4412"/>
      <c r="T4412"/>
      <c r="U4412"/>
    </row>
    <row r="4413" spans="6:21" x14ac:dyDescent="0.25">
      <c r="F4413"/>
      <c r="O4413"/>
      <c r="R4413"/>
      <c r="S4413"/>
      <c r="T4413"/>
      <c r="U4413"/>
    </row>
    <row r="4414" spans="6:21" x14ac:dyDescent="0.25">
      <c r="F4414"/>
      <c r="O4414"/>
      <c r="R4414"/>
      <c r="S4414"/>
      <c r="T4414"/>
      <c r="U4414"/>
    </row>
    <row r="4415" spans="6:21" x14ac:dyDescent="0.25">
      <c r="F4415"/>
      <c r="O4415"/>
      <c r="R4415"/>
      <c r="S4415"/>
      <c r="T4415"/>
      <c r="U4415"/>
    </row>
    <row r="4416" spans="6:21" x14ac:dyDescent="0.25">
      <c r="F4416"/>
      <c r="O4416"/>
      <c r="R4416"/>
      <c r="S4416"/>
      <c r="T4416"/>
      <c r="U4416"/>
    </row>
    <row r="4417" spans="6:21" x14ac:dyDescent="0.25">
      <c r="F4417"/>
      <c r="O4417"/>
      <c r="R4417"/>
      <c r="S4417"/>
      <c r="T4417"/>
      <c r="U4417"/>
    </row>
    <row r="4418" spans="6:21" x14ac:dyDescent="0.25">
      <c r="F4418"/>
      <c r="O4418"/>
      <c r="R4418"/>
      <c r="S4418"/>
      <c r="T4418"/>
      <c r="U4418"/>
    </row>
    <row r="4419" spans="6:21" x14ac:dyDescent="0.25">
      <c r="F4419"/>
      <c r="O4419"/>
      <c r="R4419"/>
      <c r="S4419"/>
      <c r="T4419"/>
      <c r="U4419"/>
    </row>
    <row r="4420" spans="6:21" x14ac:dyDescent="0.25">
      <c r="F4420"/>
      <c r="O4420"/>
      <c r="R4420"/>
      <c r="S4420"/>
      <c r="T4420"/>
      <c r="U4420"/>
    </row>
    <row r="4421" spans="6:21" x14ac:dyDescent="0.25">
      <c r="F4421"/>
      <c r="O4421"/>
      <c r="R4421"/>
      <c r="S4421"/>
      <c r="T4421"/>
      <c r="U4421"/>
    </row>
    <row r="4422" spans="6:21" x14ac:dyDescent="0.25">
      <c r="F4422"/>
      <c r="O4422"/>
      <c r="R4422"/>
      <c r="S4422"/>
      <c r="T4422"/>
      <c r="U4422"/>
    </row>
    <row r="4423" spans="6:21" x14ac:dyDescent="0.25">
      <c r="F4423"/>
      <c r="O4423"/>
      <c r="R4423"/>
      <c r="S4423"/>
      <c r="T4423"/>
      <c r="U4423"/>
    </row>
    <row r="4424" spans="6:21" x14ac:dyDescent="0.25">
      <c r="F4424"/>
      <c r="O4424"/>
      <c r="R4424"/>
      <c r="S4424"/>
      <c r="T4424"/>
      <c r="U4424"/>
    </row>
    <row r="4425" spans="6:21" x14ac:dyDescent="0.25">
      <c r="F4425"/>
      <c r="O4425"/>
      <c r="R4425"/>
      <c r="S4425"/>
      <c r="T4425"/>
      <c r="U4425"/>
    </row>
    <row r="4426" spans="6:21" x14ac:dyDescent="0.25">
      <c r="F4426"/>
      <c r="O4426"/>
      <c r="R4426"/>
      <c r="S4426"/>
      <c r="T4426"/>
      <c r="U4426"/>
    </row>
    <row r="4427" spans="6:21" x14ac:dyDescent="0.25">
      <c r="F4427"/>
      <c r="O4427"/>
      <c r="R4427"/>
      <c r="S4427"/>
      <c r="T4427"/>
      <c r="U4427"/>
    </row>
    <row r="4428" spans="6:21" x14ac:dyDescent="0.25">
      <c r="F4428"/>
      <c r="O4428"/>
      <c r="R4428"/>
      <c r="S4428"/>
      <c r="T4428"/>
      <c r="U4428"/>
    </row>
    <row r="4429" spans="6:21" x14ac:dyDescent="0.25">
      <c r="F4429"/>
      <c r="O4429"/>
      <c r="R4429"/>
      <c r="S4429"/>
      <c r="T4429"/>
      <c r="U4429"/>
    </row>
    <row r="4430" spans="6:21" x14ac:dyDescent="0.25">
      <c r="F4430"/>
      <c r="O4430"/>
      <c r="R4430"/>
      <c r="S4430"/>
      <c r="T4430"/>
      <c r="U4430"/>
    </row>
    <row r="4431" spans="6:21" x14ac:dyDescent="0.25">
      <c r="F4431"/>
      <c r="O4431"/>
      <c r="R4431"/>
      <c r="S4431"/>
      <c r="T4431"/>
      <c r="U4431"/>
    </row>
    <row r="4432" spans="6:21" x14ac:dyDescent="0.25">
      <c r="F4432"/>
      <c r="O4432"/>
      <c r="R4432"/>
      <c r="S4432"/>
      <c r="T4432"/>
      <c r="U4432"/>
    </row>
    <row r="4433" spans="6:21" x14ac:dyDescent="0.25">
      <c r="F4433"/>
      <c r="O4433"/>
      <c r="R4433"/>
      <c r="S4433"/>
      <c r="T4433"/>
      <c r="U4433"/>
    </row>
    <row r="4434" spans="6:21" x14ac:dyDescent="0.25">
      <c r="F4434"/>
      <c r="O4434"/>
      <c r="R4434"/>
      <c r="S4434"/>
      <c r="T4434"/>
      <c r="U4434"/>
    </row>
    <row r="4435" spans="6:21" x14ac:dyDescent="0.25">
      <c r="F4435"/>
      <c r="O4435"/>
      <c r="R4435"/>
      <c r="S4435"/>
      <c r="T4435"/>
      <c r="U4435"/>
    </row>
    <row r="4436" spans="6:21" x14ac:dyDescent="0.25">
      <c r="F4436"/>
      <c r="O4436"/>
      <c r="R4436"/>
      <c r="S4436"/>
      <c r="T4436"/>
      <c r="U4436"/>
    </row>
    <row r="4437" spans="6:21" x14ac:dyDescent="0.25">
      <c r="F4437"/>
      <c r="O4437"/>
      <c r="R4437"/>
      <c r="S4437"/>
      <c r="T4437"/>
      <c r="U4437"/>
    </row>
    <row r="4438" spans="6:21" x14ac:dyDescent="0.25">
      <c r="F4438"/>
      <c r="O4438"/>
      <c r="R4438"/>
      <c r="S4438"/>
      <c r="T4438"/>
      <c r="U4438"/>
    </row>
    <row r="4439" spans="6:21" x14ac:dyDescent="0.25">
      <c r="F4439"/>
      <c r="O4439"/>
      <c r="R4439"/>
      <c r="S4439"/>
      <c r="T4439"/>
      <c r="U4439"/>
    </row>
    <row r="4440" spans="6:21" x14ac:dyDescent="0.25">
      <c r="F4440"/>
      <c r="O4440"/>
      <c r="R4440"/>
      <c r="S4440"/>
      <c r="T4440"/>
      <c r="U4440"/>
    </row>
    <row r="4441" spans="6:21" x14ac:dyDescent="0.25">
      <c r="F4441"/>
      <c r="O4441"/>
      <c r="R4441"/>
      <c r="S4441"/>
      <c r="T4441"/>
      <c r="U4441"/>
    </row>
    <row r="4442" spans="6:21" x14ac:dyDescent="0.25">
      <c r="F4442"/>
      <c r="O4442"/>
      <c r="R4442"/>
      <c r="S4442"/>
      <c r="T4442"/>
      <c r="U4442"/>
    </row>
    <row r="4443" spans="6:21" x14ac:dyDescent="0.25">
      <c r="F4443"/>
      <c r="O4443"/>
      <c r="R4443"/>
      <c r="S4443"/>
      <c r="T4443"/>
      <c r="U4443"/>
    </row>
    <row r="4444" spans="6:21" x14ac:dyDescent="0.25">
      <c r="F4444"/>
      <c r="O4444"/>
      <c r="R4444"/>
      <c r="S4444"/>
      <c r="T4444"/>
      <c r="U4444"/>
    </row>
    <row r="4445" spans="6:21" x14ac:dyDescent="0.25">
      <c r="F4445"/>
      <c r="O4445"/>
      <c r="R4445"/>
      <c r="S4445"/>
      <c r="T4445"/>
      <c r="U4445"/>
    </row>
    <row r="4446" spans="6:21" x14ac:dyDescent="0.25">
      <c r="F4446"/>
      <c r="O4446"/>
      <c r="R4446"/>
      <c r="S4446"/>
      <c r="T4446"/>
      <c r="U4446"/>
    </row>
    <row r="4447" spans="6:21" x14ac:dyDescent="0.25">
      <c r="F4447"/>
      <c r="O4447"/>
      <c r="R4447"/>
      <c r="S4447"/>
      <c r="T4447"/>
      <c r="U4447"/>
    </row>
    <row r="4448" spans="6:21" x14ac:dyDescent="0.25">
      <c r="F4448"/>
      <c r="O4448"/>
      <c r="R4448"/>
      <c r="S4448"/>
      <c r="T4448"/>
      <c r="U4448"/>
    </row>
    <row r="4449" spans="6:21" x14ac:dyDescent="0.25">
      <c r="F4449"/>
      <c r="O4449"/>
      <c r="R4449"/>
      <c r="S4449"/>
      <c r="T4449"/>
      <c r="U4449"/>
    </row>
    <row r="4450" spans="6:21" x14ac:dyDescent="0.25">
      <c r="F4450"/>
      <c r="O4450"/>
      <c r="R4450"/>
      <c r="S4450"/>
      <c r="T4450"/>
      <c r="U4450"/>
    </row>
    <row r="4451" spans="6:21" x14ac:dyDescent="0.25">
      <c r="F4451"/>
      <c r="O4451"/>
      <c r="R4451"/>
      <c r="S4451"/>
      <c r="T4451"/>
      <c r="U4451"/>
    </row>
    <row r="4452" spans="6:21" x14ac:dyDescent="0.25">
      <c r="F4452"/>
      <c r="O4452"/>
      <c r="R4452"/>
      <c r="S4452"/>
      <c r="T4452"/>
      <c r="U4452"/>
    </row>
    <row r="4453" spans="6:21" x14ac:dyDescent="0.25">
      <c r="F4453"/>
      <c r="O4453"/>
      <c r="R4453"/>
      <c r="S4453"/>
      <c r="T4453"/>
      <c r="U4453"/>
    </row>
    <row r="4454" spans="6:21" x14ac:dyDescent="0.25">
      <c r="F4454"/>
      <c r="O4454"/>
      <c r="R4454"/>
      <c r="S4454"/>
      <c r="T4454"/>
      <c r="U4454"/>
    </row>
    <row r="4455" spans="6:21" x14ac:dyDescent="0.25">
      <c r="F4455"/>
      <c r="O4455"/>
      <c r="R4455"/>
      <c r="S4455"/>
      <c r="T4455"/>
      <c r="U4455"/>
    </row>
    <row r="4456" spans="6:21" x14ac:dyDescent="0.25">
      <c r="F4456"/>
      <c r="O4456"/>
      <c r="R4456"/>
      <c r="S4456"/>
      <c r="T4456"/>
      <c r="U4456"/>
    </row>
    <row r="4457" spans="6:21" x14ac:dyDescent="0.25">
      <c r="F4457"/>
      <c r="O4457"/>
      <c r="R4457"/>
      <c r="S4457"/>
      <c r="T4457"/>
      <c r="U4457"/>
    </row>
    <row r="4458" spans="6:21" x14ac:dyDescent="0.25">
      <c r="F4458"/>
      <c r="O4458"/>
      <c r="R4458"/>
      <c r="S4458"/>
      <c r="T4458"/>
      <c r="U4458"/>
    </row>
    <row r="4459" spans="6:21" x14ac:dyDescent="0.25">
      <c r="F4459"/>
      <c r="O4459"/>
      <c r="R4459"/>
      <c r="S4459"/>
      <c r="T4459"/>
      <c r="U4459"/>
    </row>
    <row r="4460" spans="6:21" x14ac:dyDescent="0.25">
      <c r="F4460"/>
      <c r="O4460"/>
      <c r="R4460"/>
      <c r="S4460"/>
      <c r="T4460"/>
      <c r="U4460"/>
    </row>
    <row r="4461" spans="6:21" x14ac:dyDescent="0.25">
      <c r="F4461"/>
      <c r="O4461"/>
      <c r="R4461"/>
      <c r="S4461"/>
      <c r="T4461"/>
      <c r="U4461"/>
    </row>
    <row r="4462" spans="6:21" x14ac:dyDescent="0.25">
      <c r="F4462"/>
      <c r="O4462"/>
      <c r="R4462"/>
      <c r="S4462"/>
      <c r="T4462"/>
      <c r="U4462"/>
    </row>
    <row r="4463" spans="6:21" x14ac:dyDescent="0.25">
      <c r="F4463"/>
      <c r="O4463"/>
      <c r="R4463"/>
      <c r="S4463"/>
      <c r="T4463"/>
      <c r="U4463"/>
    </row>
    <row r="4464" spans="6:21" x14ac:dyDescent="0.25">
      <c r="F4464"/>
      <c r="O4464"/>
      <c r="R4464"/>
      <c r="S4464"/>
      <c r="T4464"/>
      <c r="U4464"/>
    </row>
    <row r="4465" spans="6:21" x14ac:dyDescent="0.25">
      <c r="F4465"/>
      <c r="O4465"/>
      <c r="R4465"/>
      <c r="S4465"/>
      <c r="T4465"/>
      <c r="U4465"/>
    </row>
    <row r="4466" spans="6:21" x14ac:dyDescent="0.25">
      <c r="F4466"/>
      <c r="O4466"/>
      <c r="R4466"/>
      <c r="S4466"/>
      <c r="T4466"/>
      <c r="U4466"/>
    </row>
    <row r="4467" spans="6:21" x14ac:dyDescent="0.25">
      <c r="F4467"/>
      <c r="O4467"/>
      <c r="R4467"/>
      <c r="S4467"/>
      <c r="T4467"/>
      <c r="U4467"/>
    </row>
    <row r="4468" spans="6:21" x14ac:dyDescent="0.25">
      <c r="F4468"/>
      <c r="O4468"/>
      <c r="R4468"/>
      <c r="S4468"/>
      <c r="T4468"/>
      <c r="U4468"/>
    </row>
    <row r="4469" spans="6:21" x14ac:dyDescent="0.25">
      <c r="F4469"/>
      <c r="O4469"/>
      <c r="R4469"/>
      <c r="S4469"/>
      <c r="T4469"/>
      <c r="U4469"/>
    </row>
    <row r="4470" spans="6:21" x14ac:dyDescent="0.25">
      <c r="F4470"/>
      <c r="O4470"/>
      <c r="R4470"/>
      <c r="S4470"/>
      <c r="T4470"/>
      <c r="U4470"/>
    </row>
    <row r="4471" spans="6:21" x14ac:dyDescent="0.25">
      <c r="F4471"/>
      <c r="O4471"/>
      <c r="R4471"/>
      <c r="S4471"/>
      <c r="T4471"/>
      <c r="U4471"/>
    </row>
    <row r="4472" spans="6:21" x14ac:dyDescent="0.25">
      <c r="F4472"/>
      <c r="O4472"/>
      <c r="R4472"/>
      <c r="S4472"/>
      <c r="T4472"/>
      <c r="U4472"/>
    </row>
    <row r="4473" spans="6:21" x14ac:dyDescent="0.25">
      <c r="F4473"/>
      <c r="O4473"/>
      <c r="R4473"/>
      <c r="S4473"/>
      <c r="T4473"/>
      <c r="U4473"/>
    </row>
    <row r="4474" spans="6:21" x14ac:dyDescent="0.25">
      <c r="F4474"/>
      <c r="O4474"/>
      <c r="R4474"/>
      <c r="S4474"/>
      <c r="T4474"/>
      <c r="U4474"/>
    </row>
    <row r="4475" spans="6:21" x14ac:dyDescent="0.25">
      <c r="F4475"/>
      <c r="O4475"/>
      <c r="R4475"/>
      <c r="S4475"/>
      <c r="T4475"/>
      <c r="U4475"/>
    </row>
    <row r="4476" spans="6:21" x14ac:dyDescent="0.25">
      <c r="F4476"/>
      <c r="O4476"/>
      <c r="R4476"/>
      <c r="S4476"/>
      <c r="T4476"/>
      <c r="U4476"/>
    </row>
    <row r="4477" spans="6:21" x14ac:dyDescent="0.25">
      <c r="F4477"/>
      <c r="O4477"/>
      <c r="R4477"/>
      <c r="S4477"/>
      <c r="T4477"/>
      <c r="U4477"/>
    </row>
    <row r="4478" spans="6:21" x14ac:dyDescent="0.25">
      <c r="F4478"/>
      <c r="O4478"/>
      <c r="R4478"/>
      <c r="S4478"/>
      <c r="T4478"/>
      <c r="U4478"/>
    </row>
    <row r="4479" spans="6:21" x14ac:dyDescent="0.25">
      <c r="F4479"/>
      <c r="O4479"/>
      <c r="R4479"/>
      <c r="S4479"/>
      <c r="T4479"/>
      <c r="U4479"/>
    </row>
    <row r="4480" spans="6:21" x14ac:dyDescent="0.25">
      <c r="F4480"/>
      <c r="O4480"/>
      <c r="R4480"/>
      <c r="S4480"/>
      <c r="T4480"/>
      <c r="U4480"/>
    </row>
    <row r="4481" spans="6:21" x14ac:dyDescent="0.25">
      <c r="F4481"/>
      <c r="O4481"/>
      <c r="R4481"/>
      <c r="S4481"/>
      <c r="T4481"/>
      <c r="U4481"/>
    </row>
    <row r="4482" spans="6:21" x14ac:dyDescent="0.25">
      <c r="F4482"/>
      <c r="O4482"/>
      <c r="R4482"/>
      <c r="S4482"/>
      <c r="T4482"/>
      <c r="U4482"/>
    </row>
    <row r="4483" spans="6:21" x14ac:dyDescent="0.25">
      <c r="F4483"/>
      <c r="O4483"/>
      <c r="R4483"/>
      <c r="S4483"/>
      <c r="T4483"/>
      <c r="U4483"/>
    </row>
    <row r="4484" spans="6:21" x14ac:dyDescent="0.25">
      <c r="F4484"/>
      <c r="O4484"/>
      <c r="R4484"/>
      <c r="S4484"/>
      <c r="T4484"/>
      <c r="U4484"/>
    </row>
    <row r="4485" spans="6:21" x14ac:dyDescent="0.25">
      <c r="F4485"/>
      <c r="O4485"/>
      <c r="R4485"/>
      <c r="S4485"/>
      <c r="T4485"/>
      <c r="U4485"/>
    </row>
    <row r="4486" spans="6:21" x14ac:dyDescent="0.25">
      <c r="F4486"/>
      <c r="O4486"/>
      <c r="R4486"/>
      <c r="S4486"/>
      <c r="T4486"/>
      <c r="U4486"/>
    </row>
    <row r="4487" spans="6:21" x14ac:dyDescent="0.25">
      <c r="F4487"/>
      <c r="O4487"/>
      <c r="R4487"/>
      <c r="S4487"/>
      <c r="T4487"/>
      <c r="U4487"/>
    </row>
    <row r="4488" spans="6:21" x14ac:dyDescent="0.25">
      <c r="F4488"/>
      <c r="O4488"/>
      <c r="R4488"/>
      <c r="S4488"/>
      <c r="T4488"/>
      <c r="U4488"/>
    </row>
    <row r="4489" spans="6:21" x14ac:dyDescent="0.25">
      <c r="F4489"/>
      <c r="O4489"/>
      <c r="R4489"/>
      <c r="S4489"/>
      <c r="T4489"/>
      <c r="U4489"/>
    </row>
    <row r="4490" spans="6:21" x14ac:dyDescent="0.25">
      <c r="F4490"/>
      <c r="O4490"/>
      <c r="R4490"/>
      <c r="S4490"/>
      <c r="T4490"/>
      <c r="U4490"/>
    </row>
    <row r="4491" spans="6:21" x14ac:dyDescent="0.25">
      <c r="F4491"/>
      <c r="O4491"/>
      <c r="R4491"/>
      <c r="S4491"/>
      <c r="T4491"/>
      <c r="U4491"/>
    </row>
    <row r="4492" spans="6:21" x14ac:dyDescent="0.25">
      <c r="F4492"/>
      <c r="O4492"/>
      <c r="R4492"/>
      <c r="S4492"/>
      <c r="T4492"/>
      <c r="U4492"/>
    </row>
    <row r="4493" spans="6:21" x14ac:dyDescent="0.25">
      <c r="F4493"/>
      <c r="O4493"/>
      <c r="R4493"/>
      <c r="S4493"/>
      <c r="T4493"/>
      <c r="U4493"/>
    </row>
    <row r="4494" spans="6:21" x14ac:dyDescent="0.25">
      <c r="F4494"/>
      <c r="O4494"/>
      <c r="R4494"/>
      <c r="S4494"/>
      <c r="T4494"/>
      <c r="U4494"/>
    </row>
    <row r="4495" spans="6:21" x14ac:dyDescent="0.25">
      <c r="F4495"/>
      <c r="O4495"/>
      <c r="R4495"/>
      <c r="S4495"/>
      <c r="T4495"/>
      <c r="U4495"/>
    </row>
    <row r="4496" spans="6:21" x14ac:dyDescent="0.25">
      <c r="F4496"/>
      <c r="O4496"/>
      <c r="R4496"/>
      <c r="S4496"/>
      <c r="T4496"/>
      <c r="U4496"/>
    </row>
    <row r="4497" spans="6:21" x14ac:dyDescent="0.25">
      <c r="F4497"/>
      <c r="O4497"/>
      <c r="R4497"/>
      <c r="S4497"/>
      <c r="T4497"/>
      <c r="U4497"/>
    </row>
    <row r="4498" spans="6:21" x14ac:dyDescent="0.25">
      <c r="F4498"/>
      <c r="O4498"/>
      <c r="R4498"/>
      <c r="S4498"/>
      <c r="T4498"/>
      <c r="U4498"/>
    </row>
    <row r="4499" spans="6:21" x14ac:dyDescent="0.25">
      <c r="F4499"/>
      <c r="O4499"/>
      <c r="R4499"/>
      <c r="S4499"/>
      <c r="T4499"/>
      <c r="U4499"/>
    </row>
    <row r="4500" spans="6:21" x14ac:dyDescent="0.25">
      <c r="F4500"/>
      <c r="O4500"/>
      <c r="R4500"/>
      <c r="S4500"/>
      <c r="T4500"/>
      <c r="U4500"/>
    </row>
    <row r="4501" spans="6:21" x14ac:dyDescent="0.25">
      <c r="F4501"/>
      <c r="O4501"/>
      <c r="R4501"/>
      <c r="S4501"/>
      <c r="T4501"/>
      <c r="U4501"/>
    </row>
    <row r="4502" spans="6:21" x14ac:dyDescent="0.25">
      <c r="F4502"/>
      <c r="O4502"/>
      <c r="R4502"/>
      <c r="S4502"/>
      <c r="T4502"/>
      <c r="U4502"/>
    </row>
    <row r="4503" spans="6:21" x14ac:dyDescent="0.25">
      <c r="F4503"/>
      <c r="O4503"/>
      <c r="R4503"/>
      <c r="S4503"/>
      <c r="T4503"/>
      <c r="U4503"/>
    </row>
    <row r="4504" spans="6:21" x14ac:dyDescent="0.25">
      <c r="F4504"/>
      <c r="O4504"/>
      <c r="R4504"/>
      <c r="S4504"/>
      <c r="T4504"/>
      <c r="U4504"/>
    </row>
    <row r="4505" spans="6:21" x14ac:dyDescent="0.25">
      <c r="F4505"/>
      <c r="O4505"/>
      <c r="R4505"/>
      <c r="S4505"/>
      <c r="T4505"/>
      <c r="U4505"/>
    </row>
    <row r="4506" spans="6:21" x14ac:dyDescent="0.25">
      <c r="F4506"/>
      <c r="O4506"/>
      <c r="R4506"/>
      <c r="S4506"/>
      <c r="T4506"/>
      <c r="U4506"/>
    </row>
    <row r="4507" spans="6:21" x14ac:dyDescent="0.25">
      <c r="F4507"/>
      <c r="O4507"/>
      <c r="R4507"/>
      <c r="S4507"/>
      <c r="T4507"/>
      <c r="U4507"/>
    </row>
    <row r="4508" spans="6:21" x14ac:dyDescent="0.25">
      <c r="F4508"/>
      <c r="O4508"/>
      <c r="R4508"/>
      <c r="S4508"/>
      <c r="T4508"/>
      <c r="U4508"/>
    </row>
    <row r="4509" spans="6:21" x14ac:dyDescent="0.25">
      <c r="F4509"/>
      <c r="O4509"/>
      <c r="R4509"/>
      <c r="S4509"/>
      <c r="T4509"/>
      <c r="U4509"/>
    </row>
    <row r="4510" spans="6:21" x14ac:dyDescent="0.25">
      <c r="F4510"/>
      <c r="O4510"/>
      <c r="R4510"/>
      <c r="S4510"/>
      <c r="T4510"/>
      <c r="U4510"/>
    </row>
    <row r="4511" spans="6:21" x14ac:dyDescent="0.25">
      <c r="F4511"/>
      <c r="O4511"/>
      <c r="R4511"/>
      <c r="S4511"/>
      <c r="T4511"/>
      <c r="U4511"/>
    </row>
    <row r="4512" spans="6:21" x14ac:dyDescent="0.25">
      <c r="F4512"/>
      <c r="O4512"/>
      <c r="R4512"/>
      <c r="S4512"/>
      <c r="T4512"/>
      <c r="U4512"/>
    </row>
    <row r="4513" spans="6:21" x14ac:dyDescent="0.25">
      <c r="F4513"/>
      <c r="O4513"/>
      <c r="R4513"/>
      <c r="S4513"/>
      <c r="T4513"/>
      <c r="U4513"/>
    </row>
    <row r="4514" spans="6:21" x14ac:dyDescent="0.25">
      <c r="F4514"/>
      <c r="O4514"/>
      <c r="R4514"/>
      <c r="S4514"/>
      <c r="T4514"/>
      <c r="U4514"/>
    </row>
    <row r="4515" spans="6:21" x14ac:dyDescent="0.25">
      <c r="F4515"/>
      <c r="O4515"/>
      <c r="R4515"/>
      <c r="S4515"/>
      <c r="T4515"/>
      <c r="U4515"/>
    </row>
    <row r="4516" spans="6:21" x14ac:dyDescent="0.25">
      <c r="F4516"/>
      <c r="O4516"/>
      <c r="R4516"/>
      <c r="S4516"/>
      <c r="T4516"/>
      <c r="U4516"/>
    </row>
    <row r="4517" spans="6:21" x14ac:dyDescent="0.25">
      <c r="F4517"/>
      <c r="O4517"/>
      <c r="R4517"/>
      <c r="S4517"/>
      <c r="T4517"/>
      <c r="U4517"/>
    </row>
    <row r="4518" spans="6:21" x14ac:dyDescent="0.25">
      <c r="F4518"/>
      <c r="O4518"/>
      <c r="R4518"/>
      <c r="S4518"/>
      <c r="T4518"/>
      <c r="U4518"/>
    </row>
    <row r="4519" spans="6:21" x14ac:dyDescent="0.25">
      <c r="F4519"/>
      <c r="O4519"/>
      <c r="R4519"/>
      <c r="S4519"/>
      <c r="T4519"/>
      <c r="U4519"/>
    </row>
    <row r="4520" spans="6:21" x14ac:dyDescent="0.25">
      <c r="F4520"/>
      <c r="O4520"/>
      <c r="R4520"/>
      <c r="S4520"/>
      <c r="T4520"/>
      <c r="U4520"/>
    </row>
    <row r="4521" spans="6:21" x14ac:dyDescent="0.25">
      <c r="F4521"/>
      <c r="O4521"/>
      <c r="R4521"/>
      <c r="S4521"/>
      <c r="T4521"/>
      <c r="U4521"/>
    </row>
    <row r="4522" spans="6:21" x14ac:dyDescent="0.25">
      <c r="F4522"/>
      <c r="O4522"/>
      <c r="R4522"/>
      <c r="S4522"/>
      <c r="T4522"/>
      <c r="U4522"/>
    </row>
    <row r="4523" spans="6:21" x14ac:dyDescent="0.25">
      <c r="F4523"/>
      <c r="O4523"/>
      <c r="R4523"/>
      <c r="S4523"/>
      <c r="T4523"/>
      <c r="U4523"/>
    </row>
    <row r="4524" spans="6:21" x14ac:dyDescent="0.25">
      <c r="F4524"/>
      <c r="O4524"/>
      <c r="R4524"/>
      <c r="S4524"/>
      <c r="T4524"/>
      <c r="U4524"/>
    </row>
    <row r="4525" spans="6:21" x14ac:dyDescent="0.25">
      <c r="F4525"/>
      <c r="O4525"/>
      <c r="R4525"/>
      <c r="S4525"/>
      <c r="T4525"/>
      <c r="U4525"/>
    </row>
    <row r="4526" spans="6:21" x14ac:dyDescent="0.25">
      <c r="F4526"/>
      <c r="O4526"/>
      <c r="R4526"/>
      <c r="S4526"/>
      <c r="T4526"/>
      <c r="U4526"/>
    </row>
    <row r="4527" spans="6:21" x14ac:dyDescent="0.25">
      <c r="F4527"/>
      <c r="O4527"/>
      <c r="R4527"/>
      <c r="S4527"/>
      <c r="T4527"/>
      <c r="U4527"/>
    </row>
    <row r="4528" spans="6:21" x14ac:dyDescent="0.25">
      <c r="F4528"/>
      <c r="O4528"/>
      <c r="R4528"/>
      <c r="S4528"/>
      <c r="T4528"/>
      <c r="U4528"/>
    </row>
    <row r="4529" spans="6:21" x14ac:dyDescent="0.25">
      <c r="F4529"/>
      <c r="O4529"/>
      <c r="R4529"/>
      <c r="S4529"/>
      <c r="T4529"/>
      <c r="U4529"/>
    </row>
    <row r="4530" spans="6:21" x14ac:dyDescent="0.25">
      <c r="F4530"/>
      <c r="O4530"/>
      <c r="R4530"/>
      <c r="S4530"/>
      <c r="T4530"/>
      <c r="U4530"/>
    </row>
    <row r="4531" spans="6:21" x14ac:dyDescent="0.25">
      <c r="F4531"/>
      <c r="O4531"/>
      <c r="R4531"/>
      <c r="S4531"/>
      <c r="T4531"/>
      <c r="U4531"/>
    </row>
    <row r="4532" spans="6:21" x14ac:dyDescent="0.25">
      <c r="F4532"/>
      <c r="O4532"/>
      <c r="R4532"/>
      <c r="S4532"/>
      <c r="T4532"/>
      <c r="U4532"/>
    </row>
    <row r="4533" spans="6:21" x14ac:dyDescent="0.25">
      <c r="F4533"/>
      <c r="O4533"/>
      <c r="R4533"/>
      <c r="S4533"/>
      <c r="T4533"/>
      <c r="U4533"/>
    </row>
    <row r="4534" spans="6:21" x14ac:dyDescent="0.25">
      <c r="F4534"/>
      <c r="O4534"/>
      <c r="R4534"/>
      <c r="S4534"/>
      <c r="T4534"/>
      <c r="U4534"/>
    </row>
    <row r="4535" spans="6:21" x14ac:dyDescent="0.25">
      <c r="F4535"/>
      <c r="O4535"/>
      <c r="R4535"/>
      <c r="S4535"/>
      <c r="T4535"/>
      <c r="U4535"/>
    </row>
    <row r="4536" spans="6:21" x14ac:dyDescent="0.25">
      <c r="F4536"/>
      <c r="O4536"/>
      <c r="R4536"/>
      <c r="S4536"/>
      <c r="T4536"/>
      <c r="U4536"/>
    </row>
    <row r="4537" spans="6:21" x14ac:dyDescent="0.25">
      <c r="F4537"/>
      <c r="O4537"/>
      <c r="R4537"/>
      <c r="S4537"/>
      <c r="T4537"/>
      <c r="U4537"/>
    </row>
    <row r="4538" spans="6:21" x14ac:dyDescent="0.25">
      <c r="F4538"/>
      <c r="O4538"/>
      <c r="R4538"/>
      <c r="S4538"/>
      <c r="T4538"/>
      <c r="U4538"/>
    </row>
    <row r="4539" spans="6:21" x14ac:dyDescent="0.25">
      <c r="F4539"/>
      <c r="O4539"/>
      <c r="R4539"/>
      <c r="S4539"/>
      <c r="T4539"/>
      <c r="U4539"/>
    </row>
    <row r="4540" spans="6:21" x14ac:dyDescent="0.25">
      <c r="F4540"/>
      <c r="O4540"/>
      <c r="R4540"/>
      <c r="S4540"/>
      <c r="T4540"/>
      <c r="U4540"/>
    </row>
    <row r="4541" spans="6:21" x14ac:dyDescent="0.25">
      <c r="F4541"/>
      <c r="O4541"/>
      <c r="R4541"/>
      <c r="S4541"/>
      <c r="T4541"/>
      <c r="U4541"/>
    </row>
    <row r="4542" spans="6:21" x14ac:dyDescent="0.25">
      <c r="F4542"/>
      <c r="O4542"/>
      <c r="R4542"/>
      <c r="S4542"/>
      <c r="T4542"/>
      <c r="U4542"/>
    </row>
    <row r="4543" spans="6:21" x14ac:dyDescent="0.25">
      <c r="F4543"/>
      <c r="O4543"/>
      <c r="R4543"/>
      <c r="S4543"/>
      <c r="T4543"/>
      <c r="U4543"/>
    </row>
    <row r="4544" spans="6:21" x14ac:dyDescent="0.25">
      <c r="F4544"/>
      <c r="O4544"/>
      <c r="R4544"/>
      <c r="S4544"/>
      <c r="T4544"/>
      <c r="U4544"/>
    </row>
    <row r="4545" spans="6:21" x14ac:dyDescent="0.25">
      <c r="F4545"/>
      <c r="O4545"/>
      <c r="R4545"/>
      <c r="S4545"/>
      <c r="T4545"/>
      <c r="U4545"/>
    </row>
    <row r="4546" spans="6:21" x14ac:dyDescent="0.25">
      <c r="F4546"/>
      <c r="O4546"/>
      <c r="R4546"/>
      <c r="S4546"/>
      <c r="T4546"/>
      <c r="U4546"/>
    </row>
    <row r="4547" spans="6:21" x14ac:dyDescent="0.25">
      <c r="F4547"/>
      <c r="O4547"/>
      <c r="R4547"/>
      <c r="S4547"/>
      <c r="T4547"/>
      <c r="U4547"/>
    </row>
    <row r="4548" spans="6:21" x14ac:dyDescent="0.25">
      <c r="F4548"/>
      <c r="O4548"/>
      <c r="R4548"/>
      <c r="S4548"/>
      <c r="T4548"/>
      <c r="U4548"/>
    </row>
    <row r="4549" spans="6:21" x14ac:dyDescent="0.25">
      <c r="F4549"/>
      <c r="O4549"/>
      <c r="R4549"/>
      <c r="S4549"/>
      <c r="T4549"/>
      <c r="U4549"/>
    </row>
    <row r="4550" spans="6:21" x14ac:dyDescent="0.25">
      <c r="F4550"/>
      <c r="O4550"/>
      <c r="R4550"/>
      <c r="S4550"/>
      <c r="T4550"/>
      <c r="U4550"/>
    </row>
    <row r="4551" spans="6:21" x14ac:dyDescent="0.25">
      <c r="F4551"/>
      <c r="O4551"/>
      <c r="R4551"/>
      <c r="S4551"/>
      <c r="T4551"/>
      <c r="U4551"/>
    </row>
    <row r="4552" spans="6:21" x14ac:dyDescent="0.25">
      <c r="F4552"/>
      <c r="O4552"/>
      <c r="R4552"/>
      <c r="S4552"/>
      <c r="T4552"/>
      <c r="U4552"/>
    </row>
    <row r="4553" spans="6:21" x14ac:dyDescent="0.25">
      <c r="F4553"/>
      <c r="O4553"/>
      <c r="R4553"/>
      <c r="S4553"/>
      <c r="T4553"/>
      <c r="U4553"/>
    </row>
    <row r="4554" spans="6:21" x14ac:dyDescent="0.25">
      <c r="F4554"/>
      <c r="O4554"/>
      <c r="R4554"/>
      <c r="S4554"/>
      <c r="T4554"/>
      <c r="U4554"/>
    </row>
    <row r="4555" spans="6:21" x14ac:dyDescent="0.25">
      <c r="F4555"/>
      <c r="O4555"/>
      <c r="R4555"/>
      <c r="S4555"/>
      <c r="T4555"/>
      <c r="U4555"/>
    </row>
    <row r="4556" spans="6:21" x14ac:dyDescent="0.25">
      <c r="F4556"/>
      <c r="O4556"/>
      <c r="R4556"/>
      <c r="S4556"/>
      <c r="T4556"/>
      <c r="U4556"/>
    </row>
    <row r="4557" spans="6:21" x14ac:dyDescent="0.25">
      <c r="F4557"/>
      <c r="O4557"/>
      <c r="R4557"/>
      <c r="S4557"/>
      <c r="T4557"/>
      <c r="U4557"/>
    </row>
    <row r="4558" spans="6:21" x14ac:dyDescent="0.25">
      <c r="F4558"/>
      <c r="O4558"/>
      <c r="R4558"/>
      <c r="S4558"/>
      <c r="T4558"/>
      <c r="U4558"/>
    </row>
    <row r="4559" spans="6:21" x14ac:dyDescent="0.25">
      <c r="F4559"/>
      <c r="O4559"/>
      <c r="R4559"/>
      <c r="S4559"/>
      <c r="T4559"/>
      <c r="U4559"/>
    </row>
    <row r="4560" spans="6:21" x14ac:dyDescent="0.25">
      <c r="F4560"/>
      <c r="O4560"/>
      <c r="R4560"/>
      <c r="S4560"/>
      <c r="T4560"/>
      <c r="U4560"/>
    </row>
    <row r="4561" spans="6:21" x14ac:dyDescent="0.25">
      <c r="F4561"/>
      <c r="O4561"/>
      <c r="R4561"/>
      <c r="S4561"/>
      <c r="T4561"/>
      <c r="U4561"/>
    </row>
    <row r="4562" spans="6:21" x14ac:dyDescent="0.25">
      <c r="F4562"/>
      <c r="O4562"/>
      <c r="R4562"/>
      <c r="S4562"/>
      <c r="T4562"/>
      <c r="U4562"/>
    </row>
    <row r="4563" spans="6:21" x14ac:dyDescent="0.25">
      <c r="F4563"/>
      <c r="O4563"/>
      <c r="R4563"/>
      <c r="S4563"/>
      <c r="T4563"/>
      <c r="U4563"/>
    </row>
    <row r="4564" spans="6:21" x14ac:dyDescent="0.25">
      <c r="F4564"/>
      <c r="O4564"/>
      <c r="R4564"/>
      <c r="S4564"/>
      <c r="T4564"/>
      <c r="U4564"/>
    </row>
    <row r="4565" spans="6:21" x14ac:dyDescent="0.25">
      <c r="F4565"/>
      <c r="O4565"/>
      <c r="R4565"/>
      <c r="S4565"/>
      <c r="T4565"/>
      <c r="U4565"/>
    </row>
    <row r="4566" spans="6:21" x14ac:dyDescent="0.25">
      <c r="F4566"/>
      <c r="O4566"/>
      <c r="R4566"/>
      <c r="S4566"/>
      <c r="T4566"/>
      <c r="U4566"/>
    </row>
    <row r="4567" spans="6:21" x14ac:dyDescent="0.25">
      <c r="F4567"/>
      <c r="O4567"/>
      <c r="R4567"/>
      <c r="S4567"/>
      <c r="T4567"/>
      <c r="U4567"/>
    </row>
    <row r="4568" spans="6:21" x14ac:dyDescent="0.25">
      <c r="F4568"/>
      <c r="O4568"/>
      <c r="R4568"/>
      <c r="S4568"/>
      <c r="T4568"/>
      <c r="U4568"/>
    </row>
    <row r="4569" spans="6:21" x14ac:dyDescent="0.25">
      <c r="F4569"/>
      <c r="O4569"/>
      <c r="R4569"/>
      <c r="S4569"/>
      <c r="T4569"/>
      <c r="U4569"/>
    </row>
    <row r="4570" spans="6:21" x14ac:dyDescent="0.25">
      <c r="F4570"/>
      <c r="O4570"/>
      <c r="R4570"/>
      <c r="S4570"/>
      <c r="T4570"/>
      <c r="U4570"/>
    </row>
    <row r="4571" spans="6:21" x14ac:dyDescent="0.25">
      <c r="F4571"/>
      <c r="O4571"/>
      <c r="R4571"/>
      <c r="S4571"/>
      <c r="T4571"/>
      <c r="U4571"/>
    </row>
    <row r="4572" spans="6:21" x14ac:dyDescent="0.25">
      <c r="F4572"/>
      <c r="O4572"/>
      <c r="R4572"/>
      <c r="S4572"/>
      <c r="T4572"/>
      <c r="U4572"/>
    </row>
    <row r="4573" spans="6:21" x14ac:dyDescent="0.25">
      <c r="F4573"/>
      <c r="O4573"/>
      <c r="R4573"/>
      <c r="S4573"/>
      <c r="T4573"/>
      <c r="U4573"/>
    </row>
    <row r="4574" spans="6:21" x14ac:dyDescent="0.25">
      <c r="F4574"/>
      <c r="O4574"/>
      <c r="R4574"/>
      <c r="S4574"/>
      <c r="T4574"/>
      <c r="U4574"/>
    </row>
    <row r="4575" spans="6:21" x14ac:dyDescent="0.25">
      <c r="F4575"/>
      <c r="O4575"/>
      <c r="R4575"/>
      <c r="S4575"/>
      <c r="T4575"/>
      <c r="U4575"/>
    </row>
    <row r="4576" spans="6:21" x14ac:dyDescent="0.25">
      <c r="F4576"/>
      <c r="O4576"/>
      <c r="R4576"/>
      <c r="S4576"/>
      <c r="T4576"/>
      <c r="U4576"/>
    </row>
    <row r="4577" spans="6:21" x14ac:dyDescent="0.25">
      <c r="F4577"/>
      <c r="O4577"/>
      <c r="R4577"/>
      <c r="S4577"/>
      <c r="T4577"/>
      <c r="U4577"/>
    </row>
    <row r="4578" spans="6:21" x14ac:dyDescent="0.25">
      <c r="F4578"/>
      <c r="O4578"/>
      <c r="R4578"/>
      <c r="S4578"/>
      <c r="T4578"/>
      <c r="U4578"/>
    </row>
    <row r="4579" spans="6:21" x14ac:dyDescent="0.25">
      <c r="F4579"/>
      <c r="O4579"/>
      <c r="R4579"/>
      <c r="S4579"/>
      <c r="T4579"/>
      <c r="U4579"/>
    </row>
    <row r="4580" spans="6:21" x14ac:dyDescent="0.25">
      <c r="F4580"/>
      <c r="O4580"/>
      <c r="R4580"/>
      <c r="S4580"/>
      <c r="T4580"/>
      <c r="U4580"/>
    </row>
    <row r="4581" spans="6:21" x14ac:dyDescent="0.25">
      <c r="F4581"/>
      <c r="O4581"/>
      <c r="R4581"/>
      <c r="S4581"/>
      <c r="T4581"/>
      <c r="U4581"/>
    </row>
    <row r="4582" spans="6:21" x14ac:dyDescent="0.25">
      <c r="F4582"/>
      <c r="O4582"/>
      <c r="R4582"/>
      <c r="S4582"/>
      <c r="T4582"/>
      <c r="U4582"/>
    </row>
    <row r="4583" spans="6:21" x14ac:dyDescent="0.25">
      <c r="F4583"/>
      <c r="O4583"/>
      <c r="R4583"/>
      <c r="S4583"/>
      <c r="T4583"/>
      <c r="U4583"/>
    </row>
    <row r="4584" spans="6:21" x14ac:dyDescent="0.25">
      <c r="F4584"/>
      <c r="O4584"/>
      <c r="R4584"/>
      <c r="S4584"/>
      <c r="T4584"/>
      <c r="U4584"/>
    </row>
    <row r="4585" spans="6:21" x14ac:dyDescent="0.25">
      <c r="F4585"/>
      <c r="O4585"/>
      <c r="R4585"/>
      <c r="S4585"/>
      <c r="T4585"/>
      <c r="U4585"/>
    </row>
    <row r="4586" spans="6:21" x14ac:dyDescent="0.25">
      <c r="F4586"/>
      <c r="O4586"/>
      <c r="R4586"/>
      <c r="S4586"/>
      <c r="T4586"/>
      <c r="U4586"/>
    </row>
    <row r="4587" spans="6:21" x14ac:dyDescent="0.25">
      <c r="F4587"/>
      <c r="O4587"/>
      <c r="R4587"/>
      <c r="S4587"/>
      <c r="T4587"/>
      <c r="U4587"/>
    </row>
    <row r="4588" spans="6:21" x14ac:dyDescent="0.25">
      <c r="F4588"/>
      <c r="O4588"/>
      <c r="R4588"/>
      <c r="S4588"/>
      <c r="T4588"/>
      <c r="U4588"/>
    </row>
    <row r="4589" spans="6:21" x14ac:dyDescent="0.25">
      <c r="F4589"/>
      <c r="O4589"/>
      <c r="R4589"/>
      <c r="S4589"/>
      <c r="T4589"/>
      <c r="U4589"/>
    </row>
    <row r="4590" spans="6:21" x14ac:dyDescent="0.25">
      <c r="F4590"/>
      <c r="O4590"/>
      <c r="R4590"/>
      <c r="S4590"/>
      <c r="T4590"/>
      <c r="U4590"/>
    </row>
    <row r="4591" spans="6:21" x14ac:dyDescent="0.25">
      <c r="F4591"/>
      <c r="O4591"/>
      <c r="R4591"/>
      <c r="S4591"/>
      <c r="T4591"/>
      <c r="U4591"/>
    </row>
    <row r="4592" spans="6:21" x14ac:dyDescent="0.25">
      <c r="F4592"/>
      <c r="O4592"/>
      <c r="R4592"/>
      <c r="S4592"/>
      <c r="T4592"/>
      <c r="U4592"/>
    </row>
    <row r="4593" spans="6:21" x14ac:dyDescent="0.25">
      <c r="F4593"/>
      <c r="O4593"/>
      <c r="R4593"/>
      <c r="S4593"/>
      <c r="T4593"/>
      <c r="U4593"/>
    </row>
    <row r="4594" spans="6:21" x14ac:dyDescent="0.25">
      <c r="F4594"/>
      <c r="O4594"/>
      <c r="R4594"/>
      <c r="S4594"/>
      <c r="T4594"/>
      <c r="U4594"/>
    </row>
    <row r="4595" spans="6:21" x14ac:dyDescent="0.25">
      <c r="F4595"/>
      <c r="O4595"/>
      <c r="R4595"/>
      <c r="S4595"/>
      <c r="T4595"/>
      <c r="U4595"/>
    </row>
    <row r="4596" spans="6:21" x14ac:dyDescent="0.25">
      <c r="F4596"/>
      <c r="O4596"/>
      <c r="R4596"/>
      <c r="S4596"/>
      <c r="T4596"/>
      <c r="U4596"/>
    </row>
    <row r="4597" spans="6:21" x14ac:dyDescent="0.25">
      <c r="F4597"/>
      <c r="O4597"/>
      <c r="R4597"/>
      <c r="S4597"/>
      <c r="T4597"/>
      <c r="U4597"/>
    </row>
    <row r="4598" spans="6:21" x14ac:dyDescent="0.25">
      <c r="F4598"/>
      <c r="O4598"/>
      <c r="R4598"/>
      <c r="S4598"/>
      <c r="T4598"/>
      <c r="U4598"/>
    </row>
    <row r="4599" spans="6:21" x14ac:dyDescent="0.25">
      <c r="F4599"/>
      <c r="O4599"/>
      <c r="R4599"/>
      <c r="S4599"/>
      <c r="T4599"/>
      <c r="U4599"/>
    </row>
    <row r="4600" spans="6:21" x14ac:dyDescent="0.25">
      <c r="F4600"/>
      <c r="O4600"/>
      <c r="R4600"/>
      <c r="S4600"/>
      <c r="T4600"/>
      <c r="U4600"/>
    </row>
    <row r="4601" spans="6:21" x14ac:dyDescent="0.25">
      <c r="F4601"/>
      <c r="O4601"/>
      <c r="R4601"/>
      <c r="S4601"/>
      <c r="T4601"/>
      <c r="U4601"/>
    </row>
    <row r="4602" spans="6:21" x14ac:dyDescent="0.25">
      <c r="F4602"/>
      <c r="O4602"/>
      <c r="R4602"/>
      <c r="S4602"/>
      <c r="T4602"/>
      <c r="U4602"/>
    </row>
    <row r="4603" spans="6:21" x14ac:dyDescent="0.25">
      <c r="F4603"/>
      <c r="O4603"/>
      <c r="R4603"/>
      <c r="S4603"/>
      <c r="T4603"/>
      <c r="U4603"/>
    </row>
    <row r="4604" spans="6:21" x14ac:dyDescent="0.25">
      <c r="F4604"/>
      <c r="O4604"/>
      <c r="R4604"/>
      <c r="S4604"/>
      <c r="T4604"/>
      <c r="U4604"/>
    </row>
    <row r="4605" spans="6:21" x14ac:dyDescent="0.25">
      <c r="F4605"/>
      <c r="O4605"/>
      <c r="R4605"/>
      <c r="S4605"/>
      <c r="T4605"/>
      <c r="U4605"/>
    </row>
    <row r="4606" spans="6:21" x14ac:dyDescent="0.25">
      <c r="F4606"/>
      <c r="O4606"/>
      <c r="R4606"/>
      <c r="S4606"/>
      <c r="T4606"/>
      <c r="U4606"/>
    </row>
    <row r="4607" spans="6:21" x14ac:dyDescent="0.25">
      <c r="F4607"/>
      <c r="O4607"/>
      <c r="R4607"/>
      <c r="S4607"/>
      <c r="T4607"/>
      <c r="U4607"/>
    </row>
    <row r="4608" spans="6:21" x14ac:dyDescent="0.25">
      <c r="F4608"/>
      <c r="O4608"/>
      <c r="R4608"/>
      <c r="S4608"/>
      <c r="T4608"/>
      <c r="U4608"/>
    </row>
    <row r="4609" spans="6:21" x14ac:dyDescent="0.25">
      <c r="F4609"/>
      <c r="O4609"/>
      <c r="R4609"/>
      <c r="S4609"/>
      <c r="T4609"/>
      <c r="U4609"/>
    </row>
    <row r="4610" spans="6:21" x14ac:dyDescent="0.25">
      <c r="F4610"/>
      <c r="O4610"/>
      <c r="R4610"/>
      <c r="S4610"/>
      <c r="T4610"/>
      <c r="U4610"/>
    </row>
    <row r="4611" spans="6:21" x14ac:dyDescent="0.25">
      <c r="F4611"/>
      <c r="O4611"/>
      <c r="R4611"/>
      <c r="S4611"/>
      <c r="T4611"/>
      <c r="U4611"/>
    </row>
    <row r="4612" spans="6:21" x14ac:dyDescent="0.25">
      <c r="F4612"/>
      <c r="O4612"/>
      <c r="R4612"/>
      <c r="S4612"/>
      <c r="T4612"/>
      <c r="U4612"/>
    </row>
    <row r="4613" spans="6:21" x14ac:dyDescent="0.25">
      <c r="F4613"/>
      <c r="O4613"/>
      <c r="R4613"/>
      <c r="S4613"/>
      <c r="T4613"/>
      <c r="U4613"/>
    </row>
    <row r="4614" spans="6:21" x14ac:dyDescent="0.25">
      <c r="F4614"/>
      <c r="O4614"/>
      <c r="R4614"/>
      <c r="S4614"/>
      <c r="T4614"/>
      <c r="U4614"/>
    </row>
    <row r="4615" spans="6:21" x14ac:dyDescent="0.25">
      <c r="F4615"/>
      <c r="O4615"/>
      <c r="R4615"/>
      <c r="S4615"/>
      <c r="T4615"/>
      <c r="U4615"/>
    </row>
    <row r="4616" spans="6:21" x14ac:dyDescent="0.25">
      <c r="F4616"/>
      <c r="O4616"/>
      <c r="R4616"/>
      <c r="S4616"/>
      <c r="T4616"/>
      <c r="U4616"/>
    </row>
    <row r="4617" spans="6:21" x14ac:dyDescent="0.25">
      <c r="F4617"/>
      <c r="O4617"/>
      <c r="R4617"/>
      <c r="S4617"/>
      <c r="T4617"/>
      <c r="U4617"/>
    </row>
    <row r="4618" spans="6:21" x14ac:dyDescent="0.25">
      <c r="F4618"/>
      <c r="O4618"/>
      <c r="R4618"/>
      <c r="S4618"/>
      <c r="T4618"/>
      <c r="U4618"/>
    </row>
    <row r="4619" spans="6:21" x14ac:dyDescent="0.25">
      <c r="F4619"/>
      <c r="O4619"/>
      <c r="R4619"/>
      <c r="S4619"/>
      <c r="T4619"/>
      <c r="U4619"/>
    </row>
    <row r="4620" spans="6:21" x14ac:dyDescent="0.25">
      <c r="F4620"/>
      <c r="O4620"/>
      <c r="R4620"/>
      <c r="S4620"/>
      <c r="T4620"/>
      <c r="U4620"/>
    </row>
    <row r="4621" spans="6:21" x14ac:dyDescent="0.25">
      <c r="F4621"/>
      <c r="O4621"/>
      <c r="R4621"/>
      <c r="S4621"/>
      <c r="T4621"/>
      <c r="U4621"/>
    </row>
    <row r="4622" spans="6:21" x14ac:dyDescent="0.25">
      <c r="F4622"/>
      <c r="O4622"/>
      <c r="R4622"/>
      <c r="S4622"/>
      <c r="T4622"/>
      <c r="U4622"/>
    </row>
    <row r="4623" spans="6:21" x14ac:dyDescent="0.25">
      <c r="F4623"/>
      <c r="O4623"/>
      <c r="R4623"/>
      <c r="S4623"/>
      <c r="T4623"/>
      <c r="U4623"/>
    </row>
    <row r="4624" spans="6:21" x14ac:dyDescent="0.25">
      <c r="F4624"/>
      <c r="O4624"/>
      <c r="R4624"/>
      <c r="S4624"/>
      <c r="T4624"/>
      <c r="U4624"/>
    </row>
    <row r="4625" spans="6:21" x14ac:dyDescent="0.25">
      <c r="F4625"/>
      <c r="O4625"/>
      <c r="R4625"/>
      <c r="S4625"/>
      <c r="T4625"/>
      <c r="U4625"/>
    </row>
    <row r="4626" spans="6:21" x14ac:dyDescent="0.25">
      <c r="F4626"/>
      <c r="O4626"/>
      <c r="R4626"/>
      <c r="S4626"/>
      <c r="T4626"/>
      <c r="U4626"/>
    </row>
    <row r="4627" spans="6:21" x14ac:dyDescent="0.25">
      <c r="F4627"/>
      <c r="O4627"/>
      <c r="R4627"/>
      <c r="S4627"/>
      <c r="T4627"/>
      <c r="U4627"/>
    </row>
    <row r="4628" spans="6:21" x14ac:dyDescent="0.25">
      <c r="F4628"/>
      <c r="O4628"/>
      <c r="R4628"/>
      <c r="S4628"/>
      <c r="T4628"/>
      <c r="U4628"/>
    </row>
    <row r="4629" spans="6:21" x14ac:dyDescent="0.25">
      <c r="F4629"/>
      <c r="O4629"/>
      <c r="R4629"/>
      <c r="S4629"/>
      <c r="T4629"/>
      <c r="U4629"/>
    </row>
    <row r="4630" spans="6:21" x14ac:dyDescent="0.25">
      <c r="F4630"/>
      <c r="O4630"/>
      <c r="R4630"/>
      <c r="S4630"/>
      <c r="T4630"/>
      <c r="U4630"/>
    </row>
    <row r="4631" spans="6:21" x14ac:dyDescent="0.25">
      <c r="F4631"/>
      <c r="O4631"/>
      <c r="R4631"/>
      <c r="S4631"/>
      <c r="T4631"/>
      <c r="U4631"/>
    </row>
    <row r="4632" spans="6:21" x14ac:dyDescent="0.25">
      <c r="F4632"/>
      <c r="O4632"/>
      <c r="R4632"/>
      <c r="S4632"/>
      <c r="T4632"/>
      <c r="U4632"/>
    </row>
    <row r="4633" spans="6:21" x14ac:dyDescent="0.25">
      <c r="F4633"/>
      <c r="O4633"/>
      <c r="R4633"/>
      <c r="S4633"/>
      <c r="T4633"/>
      <c r="U4633"/>
    </row>
    <row r="4634" spans="6:21" x14ac:dyDescent="0.25">
      <c r="F4634"/>
      <c r="O4634"/>
      <c r="R4634"/>
      <c r="S4634"/>
      <c r="T4634"/>
      <c r="U4634"/>
    </row>
    <row r="4635" spans="6:21" x14ac:dyDescent="0.25">
      <c r="F4635"/>
      <c r="O4635"/>
      <c r="R4635"/>
      <c r="S4635"/>
      <c r="T4635"/>
      <c r="U4635"/>
    </row>
    <row r="4636" spans="6:21" x14ac:dyDescent="0.25">
      <c r="F4636"/>
      <c r="O4636"/>
      <c r="R4636"/>
      <c r="S4636"/>
      <c r="T4636"/>
      <c r="U4636"/>
    </row>
    <row r="4637" spans="6:21" x14ac:dyDescent="0.25">
      <c r="F4637"/>
      <c r="O4637"/>
      <c r="R4637"/>
      <c r="S4637"/>
      <c r="T4637"/>
      <c r="U4637"/>
    </row>
    <row r="4638" spans="6:21" x14ac:dyDescent="0.25">
      <c r="F4638"/>
      <c r="O4638"/>
      <c r="R4638"/>
      <c r="S4638"/>
      <c r="T4638"/>
      <c r="U4638"/>
    </row>
    <row r="4639" spans="6:21" x14ac:dyDescent="0.25">
      <c r="F4639"/>
      <c r="O4639"/>
      <c r="R4639"/>
      <c r="S4639"/>
      <c r="T4639"/>
      <c r="U4639"/>
    </row>
    <row r="4640" spans="6:21" x14ac:dyDescent="0.25">
      <c r="F4640"/>
      <c r="O4640"/>
      <c r="R4640"/>
      <c r="S4640"/>
      <c r="T4640"/>
      <c r="U4640"/>
    </row>
    <row r="4641" spans="6:21" x14ac:dyDescent="0.25">
      <c r="F4641"/>
      <c r="O4641"/>
      <c r="R4641"/>
      <c r="S4641"/>
      <c r="T4641"/>
      <c r="U4641"/>
    </row>
    <row r="4642" spans="6:21" x14ac:dyDescent="0.25">
      <c r="F4642"/>
      <c r="O4642"/>
      <c r="R4642"/>
      <c r="S4642"/>
      <c r="T4642"/>
      <c r="U4642"/>
    </row>
    <row r="4643" spans="6:21" x14ac:dyDescent="0.25">
      <c r="F4643"/>
      <c r="O4643"/>
      <c r="R4643"/>
      <c r="S4643"/>
      <c r="T4643"/>
      <c r="U4643"/>
    </row>
    <row r="4644" spans="6:21" x14ac:dyDescent="0.25">
      <c r="F4644"/>
      <c r="O4644"/>
      <c r="R4644"/>
      <c r="S4644"/>
      <c r="T4644"/>
      <c r="U4644"/>
    </row>
    <row r="4645" spans="6:21" x14ac:dyDescent="0.25">
      <c r="F4645"/>
      <c r="O4645"/>
      <c r="R4645"/>
      <c r="S4645"/>
      <c r="T4645"/>
      <c r="U4645"/>
    </row>
    <row r="4646" spans="6:21" x14ac:dyDescent="0.25">
      <c r="F4646"/>
      <c r="O4646"/>
      <c r="R4646"/>
      <c r="S4646"/>
      <c r="T4646"/>
      <c r="U4646"/>
    </row>
    <row r="4647" spans="6:21" x14ac:dyDescent="0.25">
      <c r="F4647"/>
      <c r="O4647"/>
      <c r="R4647"/>
      <c r="S4647"/>
      <c r="T4647"/>
      <c r="U4647"/>
    </row>
    <row r="4648" spans="6:21" x14ac:dyDescent="0.25">
      <c r="F4648"/>
      <c r="O4648"/>
      <c r="R4648"/>
      <c r="S4648"/>
      <c r="T4648"/>
      <c r="U4648"/>
    </row>
    <row r="4649" spans="6:21" x14ac:dyDescent="0.25">
      <c r="F4649"/>
      <c r="O4649"/>
      <c r="R4649"/>
      <c r="S4649"/>
      <c r="T4649"/>
      <c r="U4649"/>
    </row>
    <row r="4650" spans="6:21" x14ac:dyDescent="0.25">
      <c r="F4650"/>
      <c r="O4650"/>
      <c r="R4650"/>
      <c r="S4650"/>
      <c r="T4650"/>
      <c r="U4650"/>
    </row>
    <row r="4651" spans="6:21" x14ac:dyDescent="0.25">
      <c r="F4651"/>
      <c r="O4651"/>
      <c r="R4651"/>
      <c r="S4651"/>
      <c r="T4651"/>
      <c r="U4651"/>
    </row>
    <row r="4652" spans="6:21" x14ac:dyDescent="0.25">
      <c r="F4652"/>
      <c r="O4652"/>
      <c r="R4652"/>
      <c r="S4652"/>
      <c r="T4652"/>
      <c r="U4652"/>
    </row>
    <row r="4653" spans="6:21" x14ac:dyDescent="0.25">
      <c r="F4653"/>
      <c r="O4653"/>
      <c r="R4653"/>
      <c r="S4653"/>
      <c r="T4653"/>
      <c r="U4653"/>
    </row>
    <row r="4654" spans="6:21" x14ac:dyDescent="0.25">
      <c r="F4654"/>
      <c r="O4654"/>
      <c r="R4654"/>
      <c r="S4654"/>
      <c r="T4654"/>
      <c r="U4654"/>
    </row>
    <row r="4655" spans="6:21" x14ac:dyDescent="0.25">
      <c r="F4655"/>
      <c r="O4655"/>
      <c r="R4655"/>
      <c r="S4655"/>
      <c r="T4655"/>
      <c r="U4655"/>
    </row>
    <row r="4656" spans="6:21" x14ac:dyDescent="0.25">
      <c r="F4656"/>
      <c r="O4656"/>
      <c r="R4656"/>
      <c r="S4656"/>
      <c r="T4656"/>
      <c r="U4656"/>
    </row>
    <row r="4657" spans="6:21" x14ac:dyDescent="0.25">
      <c r="F4657"/>
      <c r="O4657"/>
      <c r="R4657"/>
      <c r="S4657"/>
      <c r="T4657"/>
      <c r="U4657"/>
    </row>
    <row r="4658" spans="6:21" x14ac:dyDescent="0.25">
      <c r="F4658"/>
      <c r="O4658"/>
      <c r="R4658"/>
      <c r="S4658"/>
      <c r="T4658"/>
      <c r="U4658"/>
    </row>
    <row r="4659" spans="6:21" x14ac:dyDescent="0.25">
      <c r="F4659"/>
      <c r="O4659"/>
      <c r="R4659"/>
      <c r="S4659"/>
      <c r="T4659"/>
      <c r="U4659"/>
    </row>
    <row r="4660" spans="6:21" x14ac:dyDescent="0.25">
      <c r="F4660"/>
      <c r="O4660"/>
      <c r="R4660"/>
      <c r="S4660"/>
      <c r="T4660"/>
      <c r="U4660"/>
    </row>
    <row r="4661" spans="6:21" x14ac:dyDescent="0.25">
      <c r="F4661"/>
      <c r="O4661"/>
      <c r="R4661"/>
      <c r="S4661"/>
      <c r="T4661"/>
      <c r="U4661"/>
    </row>
    <row r="4662" spans="6:21" x14ac:dyDescent="0.25">
      <c r="F4662"/>
      <c r="O4662"/>
      <c r="R4662"/>
      <c r="S4662"/>
      <c r="T4662"/>
      <c r="U4662"/>
    </row>
    <row r="4663" spans="6:21" x14ac:dyDescent="0.25">
      <c r="F4663"/>
      <c r="O4663"/>
      <c r="R4663"/>
      <c r="S4663"/>
      <c r="T4663"/>
      <c r="U4663"/>
    </row>
    <row r="4664" spans="6:21" x14ac:dyDescent="0.25">
      <c r="F4664"/>
      <c r="O4664"/>
      <c r="R4664"/>
      <c r="S4664"/>
      <c r="T4664"/>
      <c r="U4664"/>
    </row>
    <row r="4665" spans="6:21" x14ac:dyDescent="0.25">
      <c r="F4665"/>
      <c r="O4665"/>
      <c r="R4665"/>
      <c r="S4665"/>
      <c r="T4665"/>
      <c r="U4665"/>
    </row>
    <row r="4666" spans="6:21" x14ac:dyDescent="0.25">
      <c r="F4666"/>
      <c r="O4666"/>
      <c r="R4666"/>
      <c r="S4666"/>
      <c r="T4666"/>
      <c r="U4666"/>
    </row>
    <row r="4667" spans="6:21" x14ac:dyDescent="0.25">
      <c r="F4667"/>
      <c r="O4667"/>
      <c r="R4667"/>
      <c r="S4667"/>
      <c r="T4667"/>
      <c r="U4667"/>
    </row>
    <row r="4668" spans="6:21" x14ac:dyDescent="0.25">
      <c r="F4668"/>
      <c r="O4668"/>
      <c r="R4668"/>
      <c r="S4668"/>
      <c r="T4668"/>
      <c r="U4668"/>
    </row>
    <row r="4669" spans="6:21" x14ac:dyDescent="0.25">
      <c r="F4669"/>
      <c r="O4669"/>
      <c r="R4669"/>
      <c r="S4669"/>
      <c r="T4669"/>
      <c r="U4669"/>
    </row>
    <row r="4670" spans="6:21" x14ac:dyDescent="0.25">
      <c r="F4670"/>
      <c r="O4670"/>
      <c r="R4670"/>
      <c r="S4670"/>
      <c r="T4670"/>
      <c r="U4670"/>
    </row>
    <row r="4671" spans="6:21" x14ac:dyDescent="0.25">
      <c r="F4671"/>
      <c r="O4671"/>
      <c r="R4671"/>
      <c r="S4671"/>
      <c r="T4671"/>
      <c r="U4671"/>
    </row>
    <row r="4672" spans="6:21" x14ac:dyDescent="0.25">
      <c r="F4672"/>
      <c r="O4672"/>
      <c r="R4672"/>
      <c r="S4672"/>
      <c r="T4672"/>
      <c r="U4672"/>
    </row>
    <row r="4673" spans="6:21" x14ac:dyDescent="0.25">
      <c r="F4673"/>
      <c r="O4673"/>
      <c r="R4673"/>
      <c r="S4673"/>
      <c r="T4673"/>
      <c r="U4673"/>
    </row>
    <row r="4674" spans="6:21" x14ac:dyDescent="0.25">
      <c r="F4674"/>
      <c r="O4674"/>
      <c r="R4674"/>
      <c r="S4674"/>
      <c r="T4674"/>
      <c r="U4674"/>
    </row>
    <row r="4675" spans="6:21" x14ac:dyDescent="0.25">
      <c r="F4675"/>
      <c r="O4675"/>
      <c r="R4675"/>
      <c r="S4675"/>
      <c r="T4675"/>
      <c r="U4675"/>
    </row>
    <row r="4676" spans="6:21" x14ac:dyDescent="0.25">
      <c r="F4676"/>
      <c r="O4676"/>
      <c r="R4676"/>
      <c r="S4676"/>
      <c r="T4676"/>
      <c r="U4676"/>
    </row>
    <row r="4677" spans="6:21" x14ac:dyDescent="0.25">
      <c r="F4677"/>
      <c r="O4677"/>
      <c r="R4677"/>
      <c r="S4677"/>
      <c r="T4677"/>
      <c r="U4677"/>
    </row>
    <row r="4678" spans="6:21" x14ac:dyDescent="0.25">
      <c r="F4678"/>
      <c r="O4678"/>
      <c r="R4678"/>
      <c r="S4678"/>
      <c r="T4678"/>
      <c r="U4678"/>
    </row>
    <row r="4679" spans="6:21" x14ac:dyDescent="0.25">
      <c r="F4679"/>
      <c r="O4679"/>
      <c r="R4679"/>
      <c r="S4679"/>
      <c r="T4679"/>
      <c r="U4679"/>
    </row>
    <row r="4680" spans="6:21" x14ac:dyDescent="0.25">
      <c r="F4680"/>
      <c r="O4680"/>
      <c r="R4680"/>
      <c r="S4680"/>
      <c r="T4680"/>
      <c r="U4680"/>
    </row>
    <row r="4681" spans="6:21" x14ac:dyDescent="0.25">
      <c r="F4681"/>
      <c r="O4681"/>
      <c r="R4681"/>
      <c r="S4681"/>
      <c r="T4681"/>
      <c r="U4681"/>
    </row>
    <row r="4682" spans="6:21" x14ac:dyDescent="0.25">
      <c r="F4682"/>
      <c r="O4682"/>
      <c r="R4682"/>
      <c r="S4682"/>
      <c r="T4682"/>
      <c r="U4682"/>
    </row>
    <row r="4683" spans="6:21" x14ac:dyDescent="0.25">
      <c r="F4683"/>
      <c r="O4683"/>
      <c r="R4683"/>
      <c r="S4683"/>
      <c r="T4683"/>
      <c r="U4683"/>
    </row>
    <row r="4684" spans="6:21" x14ac:dyDescent="0.25">
      <c r="F4684"/>
      <c r="O4684"/>
      <c r="R4684"/>
      <c r="S4684"/>
      <c r="T4684"/>
      <c r="U4684"/>
    </row>
    <row r="4685" spans="6:21" x14ac:dyDescent="0.25">
      <c r="F4685"/>
      <c r="O4685"/>
      <c r="R4685"/>
      <c r="S4685"/>
      <c r="T4685"/>
      <c r="U4685"/>
    </row>
    <row r="4686" spans="6:21" x14ac:dyDescent="0.25">
      <c r="F4686"/>
      <c r="O4686"/>
      <c r="R4686"/>
      <c r="S4686"/>
      <c r="T4686"/>
      <c r="U4686"/>
    </row>
    <row r="4687" spans="6:21" x14ac:dyDescent="0.25">
      <c r="F4687"/>
      <c r="O4687"/>
      <c r="R4687"/>
      <c r="S4687"/>
      <c r="T4687"/>
      <c r="U4687"/>
    </row>
    <row r="4688" spans="6:21" x14ac:dyDescent="0.25">
      <c r="F4688"/>
      <c r="O4688"/>
      <c r="R4688"/>
      <c r="S4688"/>
      <c r="T4688"/>
      <c r="U4688"/>
    </row>
    <row r="4689" spans="6:21" x14ac:dyDescent="0.25">
      <c r="F4689"/>
      <c r="O4689"/>
      <c r="R4689"/>
      <c r="S4689"/>
      <c r="T4689"/>
      <c r="U4689"/>
    </row>
    <row r="4690" spans="6:21" x14ac:dyDescent="0.25">
      <c r="F4690"/>
      <c r="O4690"/>
      <c r="R4690"/>
      <c r="S4690"/>
      <c r="T4690"/>
      <c r="U4690"/>
    </row>
    <row r="4691" spans="6:21" x14ac:dyDescent="0.25">
      <c r="F4691"/>
      <c r="O4691"/>
      <c r="R4691"/>
      <c r="S4691"/>
      <c r="T4691"/>
      <c r="U4691"/>
    </row>
    <row r="4692" spans="6:21" x14ac:dyDescent="0.25">
      <c r="F4692"/>
      <c r="O4692"/>
      <c r="R4692"/>
      <c r="S4692"/>
      <c r="T4692"/>
      <c r="U4692"/>
    </row>
    <row r="4693" spans="6:21" x14ac:dyDescent="0.25">
      <c r="F4693"/>
      <c r="O4693"/>
      <c r="R4693"/>
      <c r="S4693"/>
      <c r="T4693"/>
      <c r="U4693"/>
    </row>
    <row r="4694" spans="6:21" x14ac:dyDescent="0.25">
      <c r="F4694"/>
      <c r="O4694"/>
      <c r="R4694"/>
      <c r="S4694"/>
      <c r="T4694"/>
      <c r="U4694"/>
    </row>
    <row r="4695" spans="6:21" x14ac:dyDescent="0.25">
      <c r="F4695"/>
      <c r="O4695"/>
      <c r="R4695"/>
      <c r="S4695"/>
      <c r="T4695"/>
      <c r="U4695"/>
    </row>
    <row r="4696" spans="6:21" x14ac:dyDescent="0.25">
      <c r="F4696"/>
      <c r="O4696"/>
      <c r="R4696"/>
      <c r="S4696"/>
      <c r="T4696"/>
      <c r="U4696"/>
    </row>
    <row r="4697" spans="6:21" x14ac:dyDescent="0.25">
      <c r="F4697"/>
      <c r="O4697"/>
      <c r="R4697"/>
      <c r="S4697"/>
      <c r="T4697"/>
      <c r="U4697"/>
    </row>
    <row r="4698" spans="6:21" x14ac:dyDescent="0.25">
      <c r="F4698"/>
      <c r="O4698"/>
      <c r="R4698"/>
      <c r="S4698"/>
      <c r="T4698"/>
      <c r="U4698"/>
    </row>
    <row r="4699" spans="6:21" x14ac:dyDescent="0.25">
      <c r="F4699"/>
      <c r="O4699"/>
      <c r="R4699"/>
      <c r="S4699"/>
      <c r="T4699"/>
      <c r="U4699"/>
    </row>
    <row r="4700" spans="6:21" x14ac:dyDescent="0.25">
      <c r="F4700"/>
      <c r="O4700"/>
      <c r="R4700"/>
      <c r="S4700"/>
      <c r="T4700"/>
      <c r="U4700"/>
    </row>
    <row r="4701" spans="6:21" x14ac:dyDescent="0.25">
      <c r="F4701"/>
      <c r="O4701"/>
      <c r="R4701"/>
      <c r="S4701"/>
      <c r="T4701"/>
      <c r="U4701"/>
    </row>
    <row r="4702" spans="6:21" x14ac:dyDescent="0.25">
      <c r="F4702"/>
      <c r="O4702"/>
      <c r="R4702"/>
      <c r="S4702"/>
      <c r="T4702"/>
      <c r="U4702"/>
    </row>
    <row r="4703" spans="6:21" x14ac:dyDescent="0.25">
      <c r="F4703"/>
      <c r="O4703"/>
      <c r="R4703"/>
      <c r="S4703"/>
      <c r="T4703"/>
      <c r="U4703"/>
    </row>
    <row r="4704" spans="6:21" x14ac:dyDescent="0.25">
      <c r="F4704"/>
      <c r="O4704"/>
      <c r="R4704"/>
      <c r="S4704"/>
      <c r="T4704"/>
      <c r="U4704"/>
    </row>
    <row r="4705" spans="6:21" x14ac:dyDescent="0.25">
      <c r="F4705"/>
      <c r="O4705"/>
      <c r="R4705"/>
      <c r="S4705"/>
      <c r="T4705"/>
      <c r="U4705"/>
    </row>
    <row r="4706" spans="6:21" x14ac:dyDescent="0.25">
      <c r="F4706"/>
      <c r="O4706"/>
      <c r="R4706"/>
      <c r="S4706"/>
      <c r="T4706"/>
      <c r="U4706"/>
    </row>
    <row r="4707" spans="6:21" x14ac:dyDescent="0.25">
      <c r="F4707"/>
      <c r="O4707"/>
      <c r="R4707"/>
      <c r="S4707"/>
      <c r="T4707"/>
      <c r="U4707"/>
    </row>
    <row r="4708" spans="6:21" x14ac:dyDescent="0.25">
      <c r="F4708"/>
      <c r="O4708"/>
      <c r="R4708"/>
      <c r="S4708"/>
      <c r="T4708"/>
      <c r="U4708"/>
    </row>
    <row r="4709" spans="6:21" x14ac:dyDescent="0.25">
      <c r="F4709"/>
      <c r="O4709"/>
      <c r="R4709"/>
      <c r="S4709"/>
      <c r="T4709"/>
      <c r="U4709"/>
    </row>
    <row r="4710" spans="6:21" x14ac:dyDescent="0.25">
      <c r="F4710"/>
      <c r="O4710"/>
      <c r="R4710"/>
      <c r="S4710"/>
      <c r="T4710"/>
      <c r="U4710"/>
    </row>
    <row r="4711" spans="6:21" x14ac:dyDescent="0.25">
      <c r="F4711"/>
      <c r="O4711"/>
      <c r="R4711"/>
      <c r="S4711"/>
      <c r="T4711"/>
      <c r="U4711"/>
    </row>
    <row r="4712" spans="6:21" x14ac:dyDescent="0.25">
      <c r="F4712"/>
      <c r="O4712"/>
      <c r="R4712"/>
      <c r="S4712"/>
      <c r="T4712"/>
      <c r="U4712"/>
    </row>
    <row r="4713" spans="6:21" x14ac:dyDescent="0.25">
      <c r="F4713"/>
      <c r="O4713"/>
      <c r="R4713"/>
      <c r="S4713"/>
      <c r="T4713"/>
      <c r="U4713"/>
    </row>
    <row r="4714" spans="6:21" x14ac:dyDescent="0.25">
      <c r="F4714"/>
      <c r="O4714"/>
      <c r="R4714"/>
      <c r="S4714"/>
      <c r="T4714"/>
      <c r="U4714"/>
    </row>
    <row r="4715" spans="6:21" x14ac:dyDescent="0.25">
      <c r="F4715"/>
      <c r="O4715"/>
      <c r="R4715"/>
      <c r="S4715"/>
      <c r="T4715"/>
      <c r="U4715"/>
    </row>
    <row r="4716" spans="6:21" x14ac:dyDescent="0.25">
      <c r="F4716"/>
      <c r="O4716"/>
      <c r="R4716"/>
      <c r="S4716"/>
      <c r="T4716"/>
      <c r="U4716"/>
    </row>
    <row r="4717" spans="6:21" x14ac:dyDescent="0.25">
      <c r="F4717"/>
      <c r="O4717"/>
      <c r="R4717"/>
      <c r="S4717"/>
      <c r="T4717"/>
      <c r="U4717"/>
    </row>
    <row r="4718" spans="6:21" x14ac:dyDescent="0.25">
      <c r="F4718"/>
      <c r="O4718"/>
      <c r="R4718"/>
      <c r="S4718"/>
      <c r="T4718"/>
      <c r="U4718"/>
    </row>
    <row r="4719" spans="6:21" x14ac:dyDescent="0.25">
      <c r="F4719"/>
      <c r="O4719"/>
      <c r="R4719"/>
      <c r="S4719"/>
      <c r="T4719"/>
      <c r="U4719"/>
    </row>
    <row r="4720" spans="6:21" x14ac:dyDescent="0.25">
      <c r="F4720"/>
      <c r="O4720"/>
      <c r="R4720"/>
      <c r="S4720"/>
      <c r="T4720"/>
      <c r="U4720"/>
    </row>
    <row r="4721" spans="6:21" x14ac:dyDescent="0.25">
      <c r="F4721"/>
      <c r="O4721"/>
      <c r="R4721"/>
      <c r="S4721"/>
      <c r="T4721"/>
      <c r="U4721"/>
    </row>
    <row r="4722" spans="6:21" x14ac:dyDescent="0.25">
      <c r="F4722"/>
      <c r="O4722"/>
      <c r="R4722"/>
      <c r="S4722"/>
      <c r="T4722"/>
      <c r="U4722"/>
    </row>
    <row r="4723" spans="6:21" x14ac:dyDescent="0.25">
      <c r="F4723"/>
      <c r="O4723"/>
      <c r="R4723"/>
      <c r="S4723"/>
      <c r="T4723"/>
      <c r="U4723"/>
    </row>
    <row r="4724" spans="6:21" x14ac:dyDescent="0.25">
      <c r="F4724"/>
      <c r="O4724"/>
      <c r="R4724"/>
      <c r="S4724"/>
      <c r="T4724"/>
      <c r="U4724"/>
    </row>
    <row r="4725" spans="6:21" x14ac:dyDescent="0.25">
      <c r="F4725"/>
      <c r="O4725"/>
      <c r="R4725"/>
      <c r="S4725"/>
      <c r="T4725"/>
      <c r="U4725"/>
    </row>
    <row r="4726" spans="6:21" x14ac:dyDescent="0.25">
      <c r="F4726"/>
      <c r="O4726"/>
      <c r="R4726"/>
      <c r="S4726"/>
      <c r="T4726"/>
      <c r="U4726"/>
    </row>
    <row r="4727" spans="6:21" x14ac:dyDescent="0.25">
      <c r="F4727"/>
      <c r="O4727"/>
      <c r="R4727"/>
      <c r="S4727"/>
      <c r="T4727"/>
      <c r="U4727"/>
    </row>
    <row r="4728" spans="6:21" x14ac:dyDescent="0.25">
      <c r="F4728"/>
      <c r="O4728"/>
      <c r="R4728"/>
      <c r="S4728"/>
      <c r="T4728"/>
      <c r="U4728"/>
    </row>
    <row r="4729" spans="6:21" x14ac:dyDescent="0.25">
      <c r="F4729"/>
      <c r="O4729"/>
      <c r="R4729"/>
      <c r="S4729"/>
      <c r="T4729"/>
      <c r="U4729"/>
    </row>
    <row r="4730" spans="6:21" x14ac:dyDescent="0.25">
      <c r="F4730"/>
      <c r="O4730"/>
      <c r="R4730"/>
      <c r="S4730"/>
      <c r="T4730"/>
      <c r="U4730"/>
    </row>
    <row r="4731" spans="6:21" x14ac:dyDescent="0.25">
      <c r="F4731"/>
      <c r="O4731"/>
      <c r="R4731"/>
      <c r="S4731"/>
      <c r="T4731"/>
      <c r="U4731"/>
    </row>
    <row r="4732" spans="6:21" x14ac:dyDescent="0.25">
      <c r="F4732"/>
      <c r="O4732"/>
      <c r="R4732"/>
      <c r="S4732"/>
      <c r="T4732"/>
      <c r="U4732"/>
    </row>
    <row r="4733" spans="6:21" x14ac:dyDescent="0.25">
      <c r="F4733"/>
      <c r="O4733"/>
      <c r="R4733"/>
      <c r="S4733"/>
      <c r="T4733"/>
      <c r="U4733"/>
    </row>
    <row r="4734" spans="6:21" x14ac:dyDescent="0.25">
      <c r="F4734"/>
      <c r="O4734"/>
      <c r="R4734"/>
      <c r="S4734"/>
      <c r="T4734"/>
      <c r="U4734"/>
    </row>
    <row r="4735" spans="6:21" x14ac:dyDescent="0.25">
      <c r="F4735"/>
      <c r="O4735"/>
      <c r="R4735"/>
      <c r="S4735"/>
      <c r="T4735"/>
      <c r="U4735"/>
    </row>
    <row r="4736" spans="6:21" x14ac:dyDescent="0.25">
      <c r="F4736"/>
      <c r="O4736"/>
      <c r="R4736"/>
      <c r="S4736"/>
      <c r="T4736"/>
      <c r="U4736"/>
    </row>
    <row r="4737" spans="6:21" x14ac:dyDescent="0.25">
      <c r="F4737"/>
      <c r="O4737"/>
      <c r="R4737"/>
      <c r="S4737"/>
      <c r="T4737"/>
      <c r="U4737"/>
    </row>
    <row r="4738" spans="6:21" x14ac:dyDescent="0.25">
      <c r="F4738"/>
      <c r="O4738"/>
      <c r="R4738"/>
      <c r="S4738"/>
      <c r="T4738"/>
      <c r="U4738"/>
    </row>
    <row r="4739" spans="6:21" x14ac:dyDescent="0.25">
      <c r="F4739"/>
      <c r="O4739"/>
      <c r="R4739"/>
      <c r="S4739"/>
      <c r="T4739"/>
      <c r="U4739"/>
    </row>
    <row r="4740" spans="6:21" x14ac:dyDescent="0.25">
      <c r="F4740"/>
      <c r="O4740"/>
      <c r="R4740"/>
      <c r="S4740"/>
      <c r="T4740"/>
      <c r="U4740"/>
    </row>
    <row r="4741" spans="6:21" x14ac:dyDescent="0.25">
      <c r="F4741"/>
      <c r="O4741"/>
      <c r="R4741"/>
      <c r="S4741"/>
      <c r="T4741"/>
      <c r="U4741"/>
    </row>
    <row r="4742" spans="6:21" x14ac:dyDescent="0.25">
      <c r="F4742"/>
      <c r="O4742"/>
      <c r="R4742"/>
      <c r="S4742"/>
      <c r="T4742"/>
      <c r="U4742"/>
    </row>
    <row r="4743" spans="6:21" x14ac:dyDescent="0.25">
      <c r="F4743"/>
      <c r="O4743"/>
      <c r="R4743"/>
      <c r="S4743"/>
      <c r="T4743"/>
      <c r="U4743"/>
    </row>
    <row r="4744" spans="6:21" x14ac:dyDescent="0.25">
      <c r="F4744"/>
      <c r="O4744"/>
      <c r="R4744"/>
      <c r="S4744"/>
      <c r="T4744"/>
      <c r="U4744"/>
    </row>
    <row r="4745" spans="6:21" x14ac:dyDescent="0.25">
      <c r="F4745"/>
      <c r="O4745"/>
      <c r="R4745"/>
      <c r="S4745"/>
      <c r="T4745"/>
      <c r="U4745"/>
    </row>
    <row r="4746" spans="6:21" x14ac:dyDescent="0.25">
      <c r="F4746"/>
      <c r="O4746"/>
      <c r="R4746"/>
      <c r="S4746"/>
      <c r="T4746"/>
      <c r="U4746"/>
    </row>
    <row r="4747" spans="6:21" x14ac:dyDescent="0.25">
      <c r="F4747"/>
      <c r="O4747"/>
      <c r="R4747"/>
      <c r="S4747"/>
      <c r="T4747"/>
      <c r="U4747"/>
    </row>
    <row r="4748" spans="6:21" x14ac:dyDescent="0.25">
      <c r="F4748"/>
      <c r="O4748"/>
      <c r="R4748"/>
      <c r="S4748"/>
      <c r="T4748"/>
      <c r="U4748"/>
    </row>
    <row r="4749" spans="6:21" x14ac:dyDescent="0.25">
      <c r="F4749"/>
      <c r="O4749"/>
      <c r="R4749"/>
      <c r="S4749"/>
      <c r="T4749"/>
      <c r="U4749"/>
    </row>
    <row r="4750" spans="6:21" x14ac:dyDescent="0.25">
      <c r="F4750"/>
      <c r="O4750"/>
      <c r="R4750"/>
      <c r="S4750"/>
      <c r="T4750"/>
      <c r="U4750"/>
    </row>
    <row r="4751" spans="6:21" x14ac:dyDescent="0.25">
      <c r="F4751"/>
      <c r="O4751"/>
      <c r="R4751"/>
      <c r="S4751"/>
      <c r="T4751"/>
      <c r="U4751"/>
    </row>
    <row r="4752" spans="6:21" x14ac:dyDescent="0.25">
      <c r="F4752"/>
      <c r="O4752"/>
      <c r="R4752"/>
      <c r="S4752"/>
      <c r="T4752"/>
      <c r="U4752"/>
    </row>
    <row r="4753" spans="6:21" x14ac:dyDescent="0.25">
      <c r="F4753"/>
      <c r="O4753"/>
      <c r="R4753"/>
      <c r="S4753"/>
      <c r="T4753"/>
      <c r="U4753"/>
    </row>
    <row r="4754" spans="6:21" x14ac:dyDescent="0.25">
      <c r="F4754"/>
      <c r="O4754"/>
      <c r="R4754"/>
      <c r="S4754"/>
      <c r="T4754"/>
      <c r="U4754"/>
    </row>
    <row r="4755" spans="6:21" x14ac:dyDescent="0.25">
      <c r="F4755"/>
      <c r="O4755"/>
      <c r="R4755"/>
      <c r="S4755"/>
      <c r="T4755"/>
      <c r="U4755"/>
    </row>
    <row r="4756" spans="6:21" x14ac:dyDescent="0.25">
      <c r="F4756"/>
      <c r="O4756"/>
      <c r="R4756"/>
      <c r="S4756"/>
      <c r="T4756"/>
      <c r="U4756"/>
    </row>
    <row r="4757" spans="6:21" x14ac:dyDescent="0.25">
      <c r="F4757"/>
      <c r="O4757"/>
      <c r="R4757"/>
      <c r="S4757"/>
      <c r="T4757"/>
      <c r="U4757"/>
    </row>
    <row r="4758" spans="6:21" x14ac:dyDescent="0.25">
      <c r="F4758"/>
      <c r="O4758"/>
      <c r="R4758"/>
      <c r="S4758"/>
      <c r="T4758"/>
      <c r="U4758"/>
    </row>
    <row r="4759" spans="6:21" x14ac:dyDescent="0.25">
      <c r="F4759"/>
      <c r="O4759"/>
      <c r="R4759"/>
      <c r="S4759"/>
      <c r="T4759"/>
      <c r="U4759"/>
    </row>
    <row r="4760" spans="6:21" x14ac:dyDescent="0.25">
      <c r="F4760"/>
      <c r="O4760"/>
      <c r="R4760"/>
      <c r="S4760"/>
      <c r="T4760"/>
      <c r="U4760"/>
    </row>
    <row r="4761" spans="6:21" x14ac:dyDescent="0.25">
      <c r="F4761"/>
      <c r="O4761"/>
      <c r="R4761"/>
      <c r="S4761"/>
      <c r="T4761"/>
      <c r="U4761"/>
    </row>
    <row r="4762" spans="6:21" x14ac:dyDescent="0.25">
      <c r="F4762"/>
      <c r="O4762"/>
      <c r="R4762"/>
      <c r="S4762"/>
      <c r="T4762"/>
      <c r="U4762"/>
    </row>
    <row r="4763" spans="6:21" x14ac:dyDescent="0.25">
      <c r="F4763"/>
      <c r="O4763"/>
      <c r="R4763"/>
      <c r="S4763"/>
      <c r="T4763"/>
      <c r="U4763"/>
    </row>
    <row r="4764" spans="6:21" x14ac:dyDescent="0.25">
      <c r="F4764"/>
      <c r="O4764"/>
      <c r="R4764"/>
      <c r="S4764"/>
      <c r="T4764"/>
      <c r="U4764"/>
    </row>
    <row r="4765" spans="6:21" x14ac:dyDescent="0.25">
      <c r="F4765"/>
      <c r="O4765"/>
      <c r="R4765"/>
      <c r="S4765"/>
      <c r="T4765"/>
      <c r="U4765"/>
    </row>
    <row r="4766" spans="6:21" x14ac:dyDescent="0.25">
      <c r="F4766"/>
      <c r="O4766"/>
      <c r="R4766"/>
      <c r="S4766"/>
      <c r="T4766"/>
      <c r="U4766"/>
    </row>
    <row r="4767" spans="6:21" x14ac:dyDescent="0.25">
      <c r="F4767"/>
      <c r="O4767"/>
      <c r="R4767"/>
      <c r="S4767"/>
      <c r="T4767"/>
      <c r="U4767"/>
    </row>
    <row r="4768" spans="6:21" x14ac:dyDescent="0.25">
      <c r="F4768"/>
      <c r="O4768"/>
      <c r="R4768"/>
      <c r="S4768"/>
      <c r="T4768"/>
      <c r="U4768"/>
    </row>
    <row r="4769" spans="6:21" x14ac:dyDescent="0.25">
      <c r="F4769"/>
      <c r="O4769"/>
      <c r="R4769"/>
      <c r="S4769"/>
      <c r="T4769"/>
      <c r="U4769"/>
    </row>
    <row r="4770" spans="6:21" x14ac:dyDescent="0.25">
      <c r="F4770"/>
      <c r="O4770"/>
      <c r="R4770"/>
      <c r="S4770"/>
      <c r="T4770"/>
      <c r="U4770"/>
    </row>
    <row r="4771" spans="6:21" x14ac:dyDescent="0.25">
      <c r="F4771"/>
      <c r="O4771"/>
      <c r="R4771"/>
      <c r="S4771"/>
      <c r="T4771"/>
      <c r="U4771"/>
    </row>
    <row r="4772" spans="6:21" x14ac:dyDescent="0.25">
      <c r="F4772"/>
      <c r="O4772"/>
      <c r="R4772"/>
      <c r="S4772"/>
      <c r="T4772"/>
      <c r="U4772"/>
    </row>
    <row r="4773" spans="6:21" x14ac:dyDescent="0.25">
      <c r="F4773"/>
      <c r="O4773"/>
      <c r="R4773"/>
      <c r="S4773"/>
      <c r="T4773"/>
      <c r="U4773"/>
    </row>
    <row r="4774" spans="6:21" x14ac:dyDescent="0.25">
      <c r="F4774"/>
      <c r="O4774"/>
      <c r="R4774"/>
      <c r="S4774"/>
      <c r="T4774"/>
      <c r="U4774"/>
    </row>
    <row r="4775" spans="6:21" x14ac:dyDescent="0.25">
      <c r="F4775"/>
      <c r="O4775"/>
      <c r="R4775"/>
      <c r="S4775"/>
      <c r="T4775"/>
      <c r="U4775"/>
    </row>
    <row r="4776" spans="6:21" x14ac:dyDescent="0.25">
      <c r="F4776"/>
      <c r="O4776"/>
      <c r="R4776"/>
      <c r="S4776"/>
      <c r="T4776"/>
      <c r="U4776"/>
    </row>
    <row r="4777" spans="6:21" x14ac:dyDescent="0.25">
      <c r="F4777"/>
      <c r="O4777"/>
      <c r="R4777"/>
      <c r="S4777"/>
      <c r="T4777"/>
      <c r="U4777"/>
    </row>
    <row r="4778" spans="6:21" x14ac:dyDescent="0.25">
      <c r="F4778"/>
      <c r="O4778"/>
      <c r="R4778"/>
      <c r="S4778"/>
      <c r="T4778"/>
      <c r="U4778"/>
    </row>
    <row r="4779" spans="6:21" x14ac:dyDescent="0.25">
      <c r="F4779"/>
      <c r="O4779"/>
      <c r="R4779"/>
      <c r="S4779"/>
      <c r="T4779"/>
      <c r="U4779"/>
    </row>
    <row r="4780" spans="6:21" x14ac:dyDescent="0.25">
      <c r="F4780"/>
      <c r="O4780"/>
      <c r="R4780"/>
      <c r="S4780"/>
      <c r="T4780"/>
      <c r="U4780"/>
    </row>
    <row r="4781" spans="6:21" x14ac:dyDescent="0.25">
      <c r="F4781"/>
      <c r="O4781"/>
      <c r="R4781"/>
      <c r="S4781"/>
      <c r="T4781"/>
      <c r="U4781"/>
    </row>
    <row r="4782" spans="6:21" x14ac:dyDescent="0.25">
      <c r="F4782"/>
      <c r="O4782"/>
      <c r="R4782"/>
      <c r="S4782"/>
      <c r="T4782"/>
      <c r="U4782"/>
    </row>
    <row r="4783" spans="6:21" x14ac:dyDescent="0.25">
      <c r="F4783"/>
      <c r="O4783"/>
      <c r="R4783"/>
      <c r="S4783"/>
      <c r="T4783"/>
      <c r="U4783"/>
    </row>
    <row r="4784" spans="6:21" x14ac:dyDescent="0.25">
      <c r="F4784"/>
      <c r="O4784"/>
      <c r="R4784"/>
      <c r="S4784"/>
      <c r="T4784"/>
      <c r="U4784"/>
    </row>
    <row r="4785" spans="6:21" x14ac:dyDescent="0.25">
      <c r="F4785"/>
      <c r="O4785"/>
      <c r="R4785"/>
      <c r="S4785"/>
      <c r="T4785"/>
      <c r="U4785"/>
    </row>
    <row r="4786" spans="6:21" x14ac:dyDescent="0.25">
      <c r="F4786"/>
      <c r="O4786"/>
      <c r="R4786"/>
      <c r="S4786"/>
      <c r="T4786"/>
      <c r="U4786"/>
    </row>
    <row r="4787" spans="6:21" x14ac:dyDescent="0.25">
      <c r="F4787"/>
      <c r="O4787"/>
      <c r="R4787"/>
      <c r="S4787"/>
      <c r="T4787"/>
      <c r="U4787"/>
    </row>
    <row r="4788" spans="6:21" x14ac:dyDescent="0.25">
      <c r="F4788"/>
      <c r="O4788"/>
      <c r="R4788"/>
      <c r="S4788"/>
      <c r="T4788"/>
      <c r="U4788"/>
    </row>
    <row r="4789" spans="6:21" x14ac:dyDescent="0.25">
      <c r="F4789"/>
      <c r="O4789"/>
      <c r="R4789"/>
      <c r="S4789"/>
      <c r="T4789"/>
      <c r="U4789"/>
    </row>
    <row r="4790" spans="6:21" x14ac:dyDescent="0.25">
      <c r="F4790"/>
      <c r="O4790"/>
      <c r="R4790"/>
      <c r="S4790"/>
      <c r="T4790"/>
      <c r="U4790"/>
    </row>
    <row r="4791" spans="6:21" x14ac:dyDescent="0.25">
      <c r="F4791"/>
      <c r="O4791"/>
      <c r="R4791"/>
      <c r="S4791"/>
      <c r="T4791"/>
      <c r="U4791"/>
    </row>
    <row r="4792" spans="6:21" x14ac:dyDescent="0.25">
      <c r="F4792"/>
      <c r="O4792"/>
      <c r="R4792"/>
      <c r="S4792"/>
      <c r="T4792"/>
      <c r="U4792"/>
    </row>
    <row r="4793" spans="6:21" x14ac:dyDescent="0.25">
      <c r="F4793"/>
      <c r="O4793"/>
      <c r="R4793"/>
      <c r="S4793"/>
      <c r="T4793"/>
      <c r="U4793"/>
    </row>
    <row r="4794" spans="6:21" x14ac:dyDescent="0.25">
      <c r="F4794"/>
      <c r="O4794"/>
      <c r="R4794"/>
      <c r="S4794"/>
      <c r="T4794"/>
      <c r="U4794"/>
    </row>
    <row r="4795" spans="6:21" x14ac:dyDescent="0.25">
      <c r="F4795"/>
      <c r="O4795"/>
      <c r="R4795"/>
      <c r="S4795"/>
      <c r="T4795"/>
      <c r="U4795"/>
    </row>
    <row r="4796" spans="6:21" x14ac:dyDescent="0.25">
      <c r="F4796"/>
      <c r="O4796"/>
      <c r="R4796"/>
      <c r="S4796"/>
      <c r="T4796"/>
      <c r="U4796"/>
    </row>
    <row r="4797" spans="6:21" x14ac:dyDescent="0.25">
      <c r="F4797"/>
      <c r="O4797"/>
      <c r="R4797"/>
      <c r="S4797"/>
      <c r="T4797"/>
      <c r="U4797"/>
    </row>
    <row r="4798" spans="6:21" x14ac:dyDescent="0.25">
      <c r="F4798"/>
      <c r="O4798"/>
      <c r="R4798"/>
      <c r="S4798"/>
      <c r="T4798"/>
      <c r="U4798"/>
    </row>
    <row r="4799" spans="6:21" x14ac:dyDescent="0.25">
      <c r="F4799"/>
      <c r="O4799"/>
      <c r="R4799"/>
      <c r="S4799"/>
      <c r="T4799"/>
      <c r="U4799"/>
    </row>
    <row r="4800" spans="6:21" x14ac:dyDescent="0.25">
      <c r="F4800"/>
      <c r="O4800"/>
      <c r="R4800"/>
      <c r="S4800"/>
      <c r="T4800"/>
      <c r="U4800"/>
    </row>
    <row r="4801" spans="6:21" x14ac:dyDescent="0.25">
      <c r="F4801"/>
      <c r="O4801"/>
      <c r="R4801"/>
      <c r="S4801"/>
      <c r="T4801"/>
      <c r="U4801"/>
    </row>
    <row r="4802" spans="6:21" x14ac:dyDescent="0.25">
      <c r="F4802"/>
      <c r="O4802"/>
      <c r="R4802"/>
      <c r="S4802"/>
      <c r="T4802"/>
      <c r="U4802"/>
    </row>
    <row r="4803" spans="6:21" x14ac:dyDescent="0.25">
      <c r="F4803"/>
      <c r="O4803"/>
      <c r="R4803"/>
      <c r="S4803"/>
      <c r="T4803"/>
      <c r="U4803"/>
    </row>
    <row r="4804" spans="6:21" x14ac:dyDescent="0.25">
      <c r="F4804"/>
      <c r="O4804"/>
      <c r="R4804"/>
      <c r="S4804"/>
      <c r="T4804"/>
      <c r="U4804"/>
    </row>
    <row r="4805" spans="6:21" x14ac:dyDescent="0.25">
      <c r="F4805"/>
      <c r="O4805"/>
      <c r="R4805"/>
      <c r="S4805"/>
      <c r="T4805"/>
      <c r="U4805"/>
    </row>
    <row r="4806" spans="6:21" x14ac:dyDescent="0.25">
      <c r="F4806"/>
      <c r="O4806"/>
      <c r="R4806"/>
      <c r="S4806"/>
      <c r="T4806"/>
      <c r="U4806"/>
    </row>
    <row r="4807" spans="6:21" x14ac:dyDescent="0.25">
      <c r="F4807"/>
      <c r="O4807"/>
      <c r="R4807"/>
      <c r="S4807"/>
      <c r="T4807"/>
      <c r="U4807"/>
    </row>
    <row r="4808" spans="6:21" x14ac:dyDescent="0.25">
      <c r="F4808"/>
      <c r="O4808"/>
      <c r="R4808"/>
      <c r="S4808"/>
      <c r="T4808"/>
      <c r="U4808"/>
    </row>
    <row r="4809" spans="6:21" x14ac:dyDescent="0.25">
      <c r="F4809"/>
      <c r="O4809"/>
      <c r="R4809"/>
      <c r="S4809"/>
      <c r="T4809"/>
      <c r="U4809"/>
    </row>
    <row r="4810" spans="6:21" x14ac:dyDescent="0.25">
      <c r="F4810"/>
      <c r="O4810"/>
      <c r="R4810"/>
      <c r="S4810"/>
      <c r="T4810"/>
      <c r="U4810"/>
    </row>
    <row r="4811" spans="6:21" x14ac:dyDescent="0.25">
      <c r="F4811"/>
      <c r="O4811"/>
      <c r="R4811"/>
      <c r="S4811"/>
      <c r="T4811"/>
      <c r="U4811"/>
    </row>
    <row r="4812" spans="6:21" x14ac:dyDescent="0.25">
      <c r="F4812"/>
      <c r="O4812"/>
      <c r="R4812"/>
      <c r="S4812"/>
      <c r="T4812"/>
      <c r="U4812"/>
    </row>
    <row r="4813" spans="6:21" x14ac:dyDescent="0.25">
      <c r="F4813"/>
      <c r="O4813"/>
      <c r="R4813"/>
      <c r="S4813"/>
      <c r="T4813"/>
      <c r="U4813"/>
    </row>
    <row r="4814" spans="6:21" x14ac:dyDescent="0.25">
      <c r="F4814"/>
      <c r="O4814"/>
      <c r="R4814"/>
      <c r="S4814"/>
      <c r="T4814"/>
      <c r="U4814"/>
    </row>
    <row r="4815" spans="6:21" x14ac:dyDescent="0.25">
      <c r="F4815"/>
      <c r="O4815"/>
      <c r="R4815"/>
      <c r="S4815"/>
      <c r="T4815"/>
      <c r="U4815"/>
    </row>
    <row r="4816" spans="6:21" x14ac:dyDescent="0.25">
      <c r="F4816"/>
      <c r="O4816"/>
      <c r="R4816"/>
      <c r="S4816"/>
      <c r="T4816"/>
      <c r="U4816"/>
    </row>
    <row r="4817" spans="6:21" x14ac:dyDescent="0.25">
      <c r="F4817"/>
      <c r="O4817"/>
      <c r="R4817"/>
      <c r="S4817"/>
      <c r="T4817"/>
      <c r="U4817"/>
    </row>
    <row r="4818" spans="6:21" x14ac:dyDescent="0.25">
      <c r="F4818"/>
      <c r="O4818"/>
      <c r="R4818"/>
      <c r="S4818"/>
      <c r="T4818"/>
      <c r="U4818"/>
    </row>
    <row r="4819" spans="6:21" x14ac:dyDescent="0.25">
      <c r="F4819"/>
      <c r="O4819"/>
      <c r="R4819"/>
      <c r="S4819"/>
      <c r="T4819"/>
      <c r="U4819"/>
    </row>
    <row r="4820" spans="6:21" x14ac:dyDescent="0.25">
      <c r="F4820"/>
      <c r="O4820"/>
      <c r="R4820"/>
      <c r="S4820"/>
      <c r="T4820"/>
      <c r="U4820"/>
    </row>
    <row r="4821" spans="6:21" x14ac:dyDescent="0.25">
      <c r="F4821"/>
      <c r="O4821"/>
      <c r="R4821"/>
      <c r="S4821"/>
      <c r="T4821"/>
      <c r="U4821"/>
    </row>
    <row r="4822" spans="6:21" x14ac:dyDescent="0.25">
      <c r="F4822"/>
      <c r="O4822"/>
      <c r="R4822"/>
      <c r="S4822"/>
      <c r="T4822"/>
      <c r="U4822"/>
    </row>
    <row r="4823" spans="6:21" x14ac:dyDescent="0.25">
      <c r="F4823"/>
      <c r="O4823"/>
      <c r="R4823"/>
      <c r="S4823"/>
      <c r="T4823"/>
      <c r="U4823"/>
    </row>
    <row r="4824" spans="6:21" x14ac:dyDescent="0.25">
      <c r="F4824"/>
      <c r="O4824"/>
      <c r="R4824"/>
      <c r="S4824"/>
      <c r="T4824"/>
      <c r="U4824"/>
    </row>
    <row r="4825" spans="6:21" x14ac:dyDescent="0.25">
      <c r="F4825"/>
      <c r="O4825"/>
      <c r="R4825"/>
      <c r="S4825"/>
      <c r="T4825"/>
      <c r="U4825"/>
    </row>
    <row r="4826" spans="6:21" x14ac:dyDescent="0.25">
      <c r="F4826"/>
      <c r="O4826"/>
      <c r="R4826"/>
      <c r="S4826"/>
      <c r="T4826"/>
      <c r="U4826"/>
    </row>
    <row r="4827" spans="6:21" x14ac:dyDescent="0.25">
      <c r="F4827"/>
      <c r="O4827"/>
      <c r="R4827"/>
      <c r="S4827"/>
      <c r="T4827"/>
      <c r="U4827"/>
    </row>
    <row r="4828" spans="6:21" x14ac:dyDescent="0.25">
      <c r="F4828"/>
      <c r="O4828"/>
      <c r="R4828"/>
      <c r="S4828"/>
      <c r="T4828"/>
      <c r="U4828"/>
    </row>
    <row r="4829" spans="6:21" x14ac:dyDescent="0.25">
      <c r="F4829"/>
      <c r="O4829"/>
      <c r="R4829"/>
      <c r="S4829"/>
      <c r="T4829"/>
      <c r="U4829"/>
    </row>
    <row r="4830" spans="6:21" x14ac:dyDescent="0.25">
      <c r="F4830"/>
      <c r="O4830"/>
      <c r="R4830"/>
      <c r="S4830"/>
      <c r="T4830"/>
      <c r="U4830"/>
    </row>
    <row r="4831" spans="6:21" x14ac:dyDescent="0.25">
      <c r="F4831"/>
      <c r="O4831"/>
      <c r="R4831"/>
      <c r="S4831"/>
      <c r="T4831"/>
      <c r="U4831"/>
    </row>
    <row r="4832" spans="6:21" x14ac:dyDescent="0.25">
      <c r="F4832"/>
      <c r="O4832"/>
      <c r="R4832"/>
      <c r="S4832"/>
      <c r="T4832"/>
      <c r="U4832"/>
    </row>
    <row r="4833" spans="6:21" x14ac:dyDescent="0.25">
      <c r="F4833"/>
      <c r="O4833"/>
      <c r="R4833"/>
      <c r="S4833"/>
      <c r="T4833"/>
      <c r="U4833"/>
    </row>
    <row r="4834" spans="6:21" x14ac:dyDescent="0.25">
      <c r="F4834"/>
      <c r="O4834"/>
      <c r="R4834"/>
      <c r="S4834"/>
      <c r="T4834"/>
      <c r="U4834"/>
    </row>
    <row r="4835" spans="6:21" x14ac:dyDescent="0.25">
      <c r="F4835"/>
      <c r="O4835"/>
      <c r="R4835"/>
      <c r="S4835"/>
      <c r="T4835"/>
      <c r="U4835"/>
    </row>
    <row r="4836" spans="6:21" x14ac:dyDescent="0.25">
      <c r="F4836"/>
      <c r="O4836"/>
      <c r="R4836"/>
      <c r="S4836"/>
      <c r="T4836"/>
      <c r="U4836"/>
    </row>
    <row r="4837" spans="6:21" x14ac:dyDescent="0.25">
      <c r="F4837"/>
      <c r="O4837"/>
      <c r="R4837"/>
      <c r="S4837"/>
      <c r="T4837"/>
      <c r="U4837"/>
    </row>
    <row r="4838" spans="6:21" x14ac:dyDescent="0.25">
      <c r="F4838"/>
      <c r="O4838"/>
      <c r="R4838"/>
      <c r="S4838"/>
      <c r="T4838"/>
      <c r="U4838"/>
    </row>
    <row r="4839" spans="6:21" x14ac:dyDescent="0.25">
      <c r="F4839"/>
      <c r="O4839"/>
      <c r="R4839"/>
      <c r="S4839"/>
      <c r="T4839"/>
      <c r="U4839"/>
    </row>
    <row r="4840" spans="6:21" x14ac:dyDescent="0.25">
      <c r="F4840"/>
      <c r="O4840"/>
      <c r="R4840"/>
      <c r="S4840"/>
      <c r="T4840"/>
      <c r="U4840"/>
    </row>
    <row r="4841" spans="6:21" x14ac:dyDescent="0.25">
      <c r="F4841"/>
      <c r="O4841"/>
      <c r="R4841"/>
      <c r="S4841"/>
      <c r="T4841"/>
      <c r="U4841"/>
    </row>
    <row r="4842" spans="6:21" x14ac:dyDescent="0.25">
      <c r="F4842"/>
      <c r="O4842"/>
      <c r="R4842"/>
      <c r="S4842"/>
      <c r="T4842"/>
      <c r="U4842"/>
    </row>
    <row r="4843" spans="6:21" x14ac:dyDescent="0.25">
      <c r="F4843"/>
      <c r="O4843"/>
      <c r="R4843"/>
      <c r="S4843"/>
      <c r="T4843"/>
      <c r="U4843"/>
    </row>
    <row r="4844" spans="6:21" x14ac:dyDescent="0.25">
      <c r="F4844"/>
      <c r="O4844"/>
      <c r="R4844"/>
      <c r="S4844"/>
      <c r="T4844"/>
      <c r="U4844"/>
    </row>
    <row r="4845" spans="6:21" x14ac:dyDescent="0.25">
      <c r="F4845"/>
      <c r="O4845"/>
      <c r="R4845"/>
      <c r="S4845"/>
      <c r="T4845"/>
      <c r="U4845"/>
    </row>
    <row r="4846" spans="6:21" x14ac:dyDescent="0.25">
      <c r="F4846"/>
      <c r="O4846"/>
      <c r="R4846"/>
      <c r="S4846"/>
      <c r="T4846"/>
      <c r="U4846"/>
    </row>
    <row r="4847" spans="6:21" x14ac:dyDescent="0.25">
      <c r="F4847"/>
      <c r="O4847"/>
      <c r="R4847"/>
      <c r="S4847"/>
      <c r="T4847"/>
      <c r="U4847"/>
    </row>
    <row r="4848" spans="6:21" x14ac:dyDescent="0.25">
      <c r="F4848"/>
      <c r="O4848"/>
      <c r="R4848"/>
      <c r="S4848"/>
      <c r="T4848"/>
      <c r="U4848"/>
    </row>
    <row r="4849" spans="6:21" x14ac:dyDescent="0.25">
      <c r="F4849"/>
      <c r="O4849"/>
      <c r="R4849"/>
      <c r="S4849"/>
      <c r="T4849"/>
      <c r="U4849"/>
    </row>
    <row r="4850" spans="6:21" x14ac:dyDescent="0.25">
      <c r="F4850"/>
      <c r="O4850"/>
      <c r="R4850"/>
      <c r="S4850"/>
      <c r="T4850"/>
      <c r="U4850"/>
    </row>
    <row r="4851" spans="6:21" x14ac:dyDescent="0.25">
      <c r="F4851"/>
      <c r="O4851"/>
      <c r="R4851"/>
      <c r="S4851"/>
      <c r="T4851"/>
      <c r="U4851"/>
    </row>
    <row r="4852" spans="6:21" x14ac:dyDescent="0.25">
      <c r="F4852"/>
      <c r="O4852"/>
      <c r="R4852"/>
      <c r="S4852"/>
      <c r="T4852"/>
      <c r="U4852"/>
    </row>
    <row r="4853" spans="6:21" x14ac:dyDescent="0.25">
      <c r="F4853"/>
      <c r="O4853"/>
      <c r="R4853"/>
      <c r="S4853"/>
      <c r="T4853"/>
      <c r="U4853"/>
    </row>
    <row r="4854" spans="6:21" x14ac:dyDescent="0.25">
      <c r="F4854"/>
      <c r="O4854"/>
      <c r="R4854"/>
      <c r="S4854"/>
      <c r="T4854"/>
      <c r="U4854"/>
    </row>
    <row r="4855" spans="6:21" x14ac:dyDescent="0.25">
      <c r="F4855"/>
      <c r="O4855"/>
      <c r="R4855"/>
      <c r="S4855"/>
      <c r="T4855"/>
      <c r="U4855"/>
    </row>
    <row r="4856" spans="6:21" x14ac:dyDescent="0.25">
      <c r="F4856"/>
      <c r="O4856"/>
      <c r="R4856"/>
      <c r="S4856"/>
      <c r="T4856"/>
      <c r="U4856"/>
    </row>
    <row r="4857" spans="6:21" x14ac:dyDescent="0.25">
      <c r="F4857"/>
      <c r="O4857"/>
      <c r="R4857"/>
      <c r="S4857"/>
      <c r="T4857"/>
      <c r="U4857"/>
    </row>
    <row r="4858" spans="6:21" x14ac:dyDescent="0.25">
      <c r="F4858"/>
      <c r="O4858"/>
      <c r="R4858"/>
      <c r="S4858"/>
      <c r="T4858"/>
      <c r="U4858"/>
    </row>
    <row r="4859" spans="6:21" x14ac:dyDescent="0.25">
      <c r="F4859"/>
      <c r="O4859"/>
      <c r="R4859"/>
      <c r="S4859"/>
      <c r="T4859"/>
      <c r="U4859"/>
    </row>
    <row r="4860" spans="6:21" x14ac:dyDescent="0.25">
      <c r="F4860"/>
      <c r="O4860"/>
      <c r="R4860"/>
      <c r="S4860"/>
      <c r="T4860"/>
      <c r="U4860"/>
    </row>
    <row r="4861" spans="6:21" x14ac:dyDescent="0.25">
      <c r="F4861"/>
      <c r="O4861"/>
      <c r="R4861"/>
      <c r="S4861"/>
      <c r="T4861"/>
      <c r="U4861"/>
    </row>
    <row r="4862" spans="6:21" x14ac:dyDescent="0.25">
      <c r="F4862"/>
      <c r="O4862"/>
      <c r="R4862"/>
      <c r="S4862"/>
      <c r="T4862"/>
      <c r="U4862"/>
    </row>
    <row r="4863" spans="6:21" x14ac:dyDescent="0.25">
      <c r="F4863"/>
      <c r="O4863"/>
      <c r="R4863"/>
      <c r="S4863"/>
      <c r="T4863"/>
      <c r="U4863"/>
    </row>
    <row r="4864" spans="6:21" x14ac:dyDescent="0.25">
      <c r="F4864"/>
      <c r="O4864"/>
      <c r="R4864"/>
      <c r="S4864"/>
      <c r="T4864"/>
      <c r="U4864"/>
    </row>
    <row r="4865" spans="6:21" x14ac:dyDescent="0.25">
      <c r="F4865"/>
      <c r="O4865"/>
      <c r="R4865"/>
      <c r="S4865"/>
      <c r="T4865"/>
      <c r="U4865"/>
    </row>
    <row r="4866" spans="6:21" x14ac:dyDescent="0.25">
      <c r="F4866"/>
      <c r="O4866"/>
      <c r="R4866"/>
      <c r="S4866"/>
      <c r="T4866"/>
      <c r="U4866"/>
    </row>
    <row r="4867" spans="6:21" x14ac:dyDescent="0.25">
      <c r="F4867"/>
      <c r="O4867"/>
      <c r="R4867"/>
      <c r="S4867"/>
      <c r="T4867"/>
      <c r="U4867"/>
    </row>
    <row r="4868" spans="6:21" x14ac:dyDescent="0.25">
      <c r="F4868"/>
      <c r="O4868"/>
      <c r="R4868"/>
      <c r="S4868"/>
      <c r="T4868"/>
      <c r="U4868"/>
    </row>
    <row r="4869" spans="6:21" x14ac:dyDescent="0.25">
      <c r="F4869"/>
      <c r="O4869"/>
      <c r="R4869"/>
      <c r="S4869"/>
      <c r="T4869"/>
      <c r="U4869"/>
    </row>
    <row r="4870" spans="6:21" x14ac:dyDescent="0.25">
      <c r="F4870"/>
      <c r="O4870"/>
      <c r="R4870"/>
      <c r="S4870"/>
      <c r="T4870"/>
      <c r="U4870"/>
    </row>
    <row r="4871" spans="6:21" x14ac:dyDescent="0.25">
      <c r="F4871"/>
      <c r="O4871"/>
      <c r="R4871"/>
      <c r="S4871"/>
      <c r="T4871"/>
      <c r="U4871"/>
    </row>
    <row r="4872" spans="6:21" x14ac:dyDescent="0.25">
      <c r="F4872"/>
      <c r="O4872"/>
      <c r="R4872"/>
      <c r="S4872"/>
      <c r="T4872"/>
      <c r="U4872"/>
    </row>
    <row r="4873" spans="6:21" x14ac:dyDescent="0.25">
      <c r="F4873"/>
      <c r="O4873"/>
      <c r="R4873"/>
      <c r="S4873"/>
      <c r="T4873"/>
      <c r="U4873"/>
    </row>
    <row r="4874" spans="6:21" x14ac:dyDescent="0.25">
      <c r="F4874"/>
      <c r="O4874"/>
      <c r="R4874"/>
      <c r="S4874"/>
      <c r="T4874"/>
      <c r="U4874"/>
    </row>
    <row r="4875" spans="6:21" x14ac:dyDescent="0.25">
      <c r="F4875"/>
      <c r="O4875"/>
      <c r="R4875"/>
      <c r="S4875"/>
      <c r="T4875"/>
      <c r="U4875"/>
    </row>
    <row r="4876" spans="6:21" x14ac:dyDescent="0.25">
      <c r="F4876"/>
      <c r="O4876"/>
      <c r="R4876"/>
      <c r="S4876"/>
      <c r="T4876"/>
      <c r="U4876"/>
    </row>
    <row r="4877" spans="6:21" x14ac:dyDescent="0.25">
      <c r="F4877"/>
      <c r="O4877"/>
      <c r="R4877"/>
      <c r="S4877"/>
      <c r="T4877"/>
      <c r="U4877"/>
    </row>
    <row r="4878" spans="6:21" x14ac:dyDescent="0.25">
      <c r="F4878"/>
      <c r="O4878"/>
      <c r="R4878"/>
      <c r="S4878"/>
      <c r="T4878"/>
      <c r="U4878"/>
    </row>
    <row r="4879" spans="6:21" x14ac:dyDescent="0.25">
      <c r="F4879"/>
      <c r="O4879"/>
      <c r="R4879"/>
      <c r="S4879"/>
      <c r="T4879"/>
      <c r="U4879"/>
    </row>
    <row r="4880" spans="6:21" x14ac:dyDescent="0.25">
      <c r="F4880"/>
      <c r="O4880"/>
      <c r="R4880"/>
      <c r="S4880"/>
      <c r="T4880"/>
      <c r="U4880"/>
    </row>
    <row r="4881" spans="6:21" x14ac:dyDescent="0.25">
      <c r="F4881"/>
      <c r="O4881"/>
      <c r="R4881"/>
      <c r="S4881"/>
      <c r="T4881"/>
      <c r="U4881"/>
    </row>
    <row r="4882" spans="6:21" x14ac:dyDescent="0.25">
      <c r="F4882"/>
      <c r="O4882"/>
      <c r="R4882"/>
      <c r="S4882"/>
      <c r="T4882"/>
      <c r="U4882"/>
    </row>
    <row r="4883" spans="6:21" x14ac:dyDescent="0.25">
      <c r="F4883"/>
      <c r="O4883"/>
      <c r="R4883"/>
      <c r="S4883"/>
      <c r="T4883"/>
      <c r="U4883"/>
    </row>
    <row r="4884" spans="6:21" x14ac:dyDescent="0.25">
      <c r="F4884"/>
      <c r="O4884"/>
      <c r="R4884"/>
      <c r="S4884"/>
      <c r="T4884"/>
      <c r="U4884"/>
    </row>
    <row r="4885" spans="6:21" x14ac:dyDescent="0.25">
      <c r="F4885"/>
      <c r="O4885"/>
      <c r="R4885"/>
      <c r="S4885"/>
      <c r="T4885"/>
      <c r="U4885"/>
    </row>
    <row r="4886" spans="6:21" x14ac:dyDescent="0.25">
      <c r="F4886"/>
      <c r="O4886"/>
      <c r="R4886"/>
      <c r="S4886"/>
      <c r="T4886"/>
      <c r="U4886"/>
    </row>
    <row r="4887" spans="6:21" x14ac:dyDescent="0.25">
      <c r="F4887"/>
      <c r="O4887"/>
      <c r="R4887"/>
      <c r="S4887"/>
      <c r="T4887"/>
      <c r="U4887"/>
    </row>
    <row r="4888" spans="6:21" x14ac:dyDescent="0.25">
      <c r="F4888"/>
      <c r="O4888"/>
      <c r="R4888"/>
      <c r="S4888"/>
      <c r="T4888"/>
      <c r="U4888"/>
    </row>
    <row r="4889" spans="6:21" x14ac:dyDescent="0.25">
      <c r="F4889"/>
      <c r="O4889"/>
      <c r="R4889"/>
      <c r="S4889"/>
      <c r="T4889"/>
      <c r="U4889"/>
    </row>
    <row r="4890" spans="6:21" x14ac:dyDescent="0.25">
      <c r="F4890"/>
      <c r="O4890"/>
      <c r="R4890"/>
      <c r="S4890"/>
      <c r="T4890"/>
      <c r="U4890"/>
    </row>
    <row r="4891" spans="6:21" x14ac:dyDescent="0.25">
      <c r="F4891"/>
      <c r="O4891"/>
      <c r="R4891"/>
      <c r="S4891"/>
      <c r="T4891"/>
      <c r="U4891"/>
    </row>
    <row r="4892" spans="6:21" x14ac:dyDescent="0.25">
      <c r="F4892"/>
      <c r="O4892"/>
      <c r="R4892"/>
      <c r="S4892"/>
      <c r="T4892"/>
      <c r="U4892"/>
    </row>
    <row r="4893" spans="6:21" x14ac:dyDescent="0.25">
      <c r="F4893"/>
      <c r="O4893"/>
      <c r="R4893"/>
      <c r="S4893"/>
      <c r="T4893"/>
      <c r="U4893"/>
    </row>
    <row r="4894" spans="6:21" x14ac:dyDescent="0.25">
      <c r="F4894"/>
      <c r="O4894"/>
      <c r="R4894"/>
      <c r="S4894"/>
      <c r="T4894"/>
      <c r="U4894"/>
    </row>
    <row r="4895" spans="6:21" x14ac:dyDescent="0.25">
      <c r="F4895"/>
      <c r="O4895"/>
      <c r="R4895"/>
      <c r="S4895"/>
      <c r="T4895"/>
      <c r="U4895"/>
    </row>
    <row r="4896" spans="6:21" x14ac:dyDescent="0.25">
      <c r="F4896"/>
      <c r="O4896"/>
      <c r="R4896"/>
      <c r="S4896"/>
      <c r="T4896"/>
      <c r="U4896"/>
    </row>
    <row r="4897" spans="6:21" x14ac:dyDescent="0.25">
      <c r="F4897"/>
      <c r="O4897"/>
      <c r="R4897"/>
      <c r="S4897"/>
      <c r="T4897"/>
      <c r="U4897"/>
    </row>
    <row r="4898" spans="6:21" x14ac:dyDescent="0.25">
      <c r="F4898"/>
      <c r="O4898"/>
      <c r="R4898"/>
      <c r="S4898"/>
      <c r="T4898"/>
      <c r="U4898"/>
    </row>
    <row r="4899" spans="6:21" x14ac:dyDescent="0.25">
      <c r="F4899"/>
      <c r="O4899"/>
      <c r="R4899"/>
      <c r="S4899"/>
      <c r="T4899"/>
      <c r="U4899"/>
    </row>
    <row r="4900" spans="6:21" x14ac:dyDescent="0.25">
      <c r="F4900"/>
      <c r="O4900"/>
      <c r="R4900"/>
      <c r="S4900"/>
      <c r="T4900"/>
      <c r="U4900"/>
    </row>
    <row r="4901" spans="6:21" x14ac:dyDescent="0.25">
      <c r="F4901"/>
      <c r="O4901"/>
      <c r="R4901"/>
      <c r="S4901"/>
      <c r="T4901"/>
      <c r="U4901"/>
    </row>
    <row r="4902" spans="6:21" x14ac:dyDescent="0.25">
      <c r="F4902"/>
      <c r="O4902"/>
      <c r="R4902"/>
      <c r="S4902"/>
      <c r="T4902"/>
      <c r="U4902"/>
    </row>
    <row r="4903" spans="6:21" x14ac:dyDescent="0.25">
      <c r="F4903"/>
      <c r="O4903"/>
      <c r="R4903"/>
      <c r="S4903"/>
      <c r="T4903"/>
      <c r="U4903"/>
    </row>
    <row r="4904" spans="6:21" x14ac:dyDescent="0.25">
      <c r="F4904"/>
      <c r="O4904"/>
      <c r="R4904"/>
      <c r="S4904"/>
      <c r="T4904"/>
      <c r="U4904"/>
    </row>
    <row r="4905" spans="6:21" x14ac:dyDescent="0.25">
      <c r="F4905"/>
      <c r="O4905"/>
      <c r="R4905"/>
      <c r="S4905"/>
      <c r="T4905"/>
      <c r="U4905"/>
    </row>
    <row r="4906" spans="6:21" x14ac:dyDescent="0.25">
      <c r="F4906"/>
      <c r="O4906"/>
      <c r="R4906"/>
      <c r="S4906"/>
      <c r="T4906"/>
      <c r="U4906"/>
    </row>
    <row r="4907" spans="6:21" x14ac:dyDescent="0.25">
      <c r="F4907"/>
      <c r="O4907"/>
      <c r="R4907"/>
      <c r="S4907"/>
      <c r="T4907"/>
      <c r="U4907"/>
    </row>
    <row r="4908" spans="6:21" x14ac:dyDescent="0.25">
      <c r="F4908"/>
      <c r="O4908"/>
      <c r="R4908"/>
      <c r="S4908"/>
      <c r="T4908"/>
      <c r="U4908"/>
    </row>
    <row r="4909" spans="6:21" x14ac:dyDescent="0.25">
      <c r="F4909"/>
      <c r="O4909"/>
      <c r="R4909"/>
      <c r="S4909"/>
      <c r="T4909"/>
      <c r="U4909"/>
    </row>
    <row r="4910" spans="6:21" x14ac:dyDescent="0.25">
      <c r="F4910"/>
      <c r="O4910"/>
      <c r="R4910"/>
      <c r="S4910"/>
      <c r="T4910"/>
      <c r="U4910"/>
    </row>
    <row r="4911" spans="6:21" x14ac:dyDescent="0.25">
      <c r="F4911"/>
      <c r="O4911"/>
      <c r="R4911"/>
      <c r="S4911"/>
      <c r="T4911"/>
      <c r="U4911"/>
    </row>
    <row r="4912" spans="6:21" x14ac:dyDescent="0.25">
      <c r="F4912"/>
      <c r="O4912"/>
      <c r="R4912"/>
      <c r="S4912"/>
      <c r="T4912"/>
      <c r="U4912"/>
    </row>
    <row r="4913" spans="6:21" x14ac:dyDescent="0.25">
      <c r="F4913"/>
      <c r="O4913"/>
      <c r="R4913"/>
      <c r="S4913"/>
      <c r="T4913"/>
      <c r="U4913"/>
    </row>
    <row r="4914" spans="6:21" x14ac:dyDescent="0.25">
      <c r="F4914"/>
      <c r="O4914"/>
      <c r="R4914"/>
      <c r="S4914"/>
      <c r="T4914"/>
      <c r="U4914"/>
    </row>
    <row r="4915" spans="6:21" x14ac:dyDescent="0.25">
      <c r="F4915"/>
      <c r="O4915"/>
      <c r="R4915"/>
      <c r="S4915"/>
      <c r="T4915"/>
      <c r="U4915"/>
    </row>
    <row r="4916" spans="6:21" x14ac:dyDescent="0.25">
      <c r="F4916"/>
      <c r="O4916"/>
      <c r="R4916"/>
      <c r="S4916"/>
      <c r="T4916"/>
      <c r="U4916"/>
    </row>
    <row r="4917" spans="6:21" x14ac:dyDescent="0.25">
      <c r="F4917"/>
      <c r="O4917"/>
      <c r="R4917"/>
      <c r="S4917"/>
      <c r="T4917"/>
      <c r="U4917"/>
    </row>
    <row r="4918" spans="6:21" x14ac:dyDescent="0.25">
      <c r="F4918"/>
      <c r="O4918"/>
      <c r="R4918"/>
      <c r="S4918"/>
      <c r="T4918"/>
      <c r="U4918"/>
    </row>
    <row r="4919" spans="6:21" x14ac:dyDescent="0.25">
      <c r="F4919"/>
      <c r="O4919"/>
      <c r="R4919"/>
      <c r="S4919"/>
      <c r="T4919"/>
      <c r="U4919"/>
    </row>
    <row r="4920" spans="6:21" x14ac:dyDescent="0.25">
      <c r="F4920"/>
      <c r="O4920"/>
      <c r="R4920"/>
      <c r="S4920"/>
      <c r="T4920"/>
      <c r="U4920"/>
    </row>
    <row r="4921" spans="6:21" x14ac:dyDescent="0.25">
      <c r="F4921"/>
      <c r="O4921"/>
      <c r="R4921"/>
      <c r="S4921"/>
      <c r="T4921"/>
      <c r="U4921"/>
    </row>
    <row r="4922" spans="6:21" x14ac:dyDescent="0.25">
      <c r="F4922"/>
      <c r="O4922"/>
      <c r="R4922"/>
      <c r="S4922"/>
      <c r="T4922"/>
      <c r="U4922"/>
    </row>
    <row r="4923" spans="6:21" x14ac:dyDescent="0.25">
      <c r="F4923"/>
      <c r="O4923"/>
      <c r="R4923"/>
      <c r="S4923"/>
      <c r="T4923"/>
      <c r="U4923"/>
    </row>
    <row r="4924" spans="6:21" x14ac:dyDescent="0.25">
      <c r="F4924"/>
      <c r="O4924"/>
      <c r="R4924"/>
      <c r="S4924"/>
      <c r="T4924"/>
      <c r="U4924"/>
    </row>
    <row r="4925" spans="6:21" x14ac:dyDescent="0.25">
      <c r="F4925"/>
      <c r="O4925"/>
      <c r="R4925"/>
      <c r="S4925"/>
      <c r="T4925"/>
      <c r="U4925"/>
    </row>
    <row r="4926" spans="6:21" x14ac:dyDescent="0.25">
      <c r="F4926"/>
      <c r="O4926"/>
      <c r="R4926"/>
      <c r="S4926"/>
      <c r="T4926"/>
      <c r="U4926"/>
    </row>
    <row r="4927" spans="6:21" x14ac:dyDescent="0.25">
      <c r="F4927"/>
      <c r="O4927"/>
      <c r="R4927"/>
      <c r="S4927"/>
      <c r="T4927"/>
      <c r="U4927"/>
    </row>
    <row r="4928" spans="6:21" x14ac:dyDescent="0.25">
      <c r="F4928"/>
      <c r="O4928"/>
      <c r="R4928"/>
      <c r="S4928"/>
      <c r="T4928"/>
      <c r="U4928"/>
    </row>
    <row r="4929" spans="6:21" x14ac:dyDescent="0.25">
      <c r="F4929"/>
      <c r="O4929"/>
      <c r="R4929"/>
      <c r="S4929"/>
      <c r="T4929"/>
      <c r="U4929"/>
    </row>
    <row r="4930" spans="6:21" x14ac:dyDescent="0.25">
      <c r="F4930"/>
      <c r="O4930"/>
      <c r="R4930"/>
      <c r="S4930"/>
      <c r="T4930"/>
      <c r="U4930"/>
    </row>
    <row r="4931" spans="6:21" x14ac:dyDescent="0.25">
      <c r="F4931"/>
      <c r="O4931"/>
      <c r="R4931"/>
      <c r="S4931"/>
      <c r="T4931"/>
      <c r="U4931"/>
    </row>
    <row r="4932" spans="6:21" x14ac:dyDescent="0.25">
      <c r="F4932"/>
      <c r="O4932"/>
      <c r="R4932"/>
      <c r="S4932"/>
      <c r="T4932"/>
      <c r="U4932"/>
    </row>
    <row r="4933" spans="6:21" x14ac:dyDescent="0.25">
      <c r="F4933"/>
      <c r="O4933"/>
      <c r="R4933"/>
      <c r="S4933"/>
      <c r="T4933"/>
      <c r="U4933"/>
    </row>
    <row r="4934" spans="6:21" x14ac:dyDescent="0.25">
      <c r="F4934"/>
      <c r="O4934"/>
      <c r="R4934"/>
      <c r="S4934"/>
      <c r="T4934"/>
      <c r="U4934"/>
    </row>
    <row r="4935" spans="6:21" x14ac:dyDescent="0.25">
      <c r="F4935"/>
      <c r="O4935"/>
      <c r="R4935"/>
      <c r="S4935"/>
      <c r="T4935"/>
      <c r="U4935"/>
    </row>
    <row r="4936" spans="6:21" x14ac:dyDescent="0.25">
      <c r="F4936"/>
      <c r="O4936"/>
      <c r="R4936"/>
      <c r="S4936"/>
      <c r="T4936"/>
      <c r="U4936"/>
    </row>
    <row r="4937" spans="6:21" x14ac:dyDescent="0.25">
      <c r="F4937"/>
      <c r="O4937"/>
      <c r="R4937"/>
      <c r="S4937"/>
      <c r="T4937"/>
      <c r="U4937"/>
    </row>
    <row r="4938" spans="6:21" x14ac:dyDescent="0.25">
      <c r="F4938"/>
      <c r="O4938"/>
      <c r="R4938"/>
      <c r="S4938"/>
      <c r="T4938"/>
      <c r="U4938"/>
    </row>
    <row r="4939" spans="6:21" x14ac:dyDescent="0.25">
      <c r="F4939"/>
      <c r="O4939"/>
      <c r="R4939"/>
      <c r="S4939"/>
      <c r="T4939"/>
      <c r="U4939"/>
    </row>
    <row r="4940" spans="6:21" x14ac:dyDescent="0.25">
      <c r="F4940"/>
      <c r="O4940"/>
      <c r="R4940"/>
      <c r="S4940"/>
      <c r="T4940"/>
      <c r="U4940"/>
    </row>
    <row r="4941" spans="6:21" x14ac:dyDescent="0.25">
      <c r="F4941"/>
      <c r="O4941"/>
      <c r="R4941"/>
      <c r="S4941"/>
      <c r="T4941"/>
      <c r="U4941"/>
    </row>
    <row r="4942" spans="6:21" x14ac:dyDescent="0.25">
      <c r="F4942"/>
      <c r="O4942"/>
      <c r="R4942"/>
      <c r="S4942"/>
      <c r="T4942"/>
      <c r="U4942"/>
    </row>
    <row r="4943" spans="6:21" x14ac:dyDescent="0.25">
      <c r="F4943"/>
      <c r="O4943"/>
      <c r="R4943"/>
      <c r="S4943"/>
      <c r="T4943"/>
      <c r="U4943"/>
    </row>
    <row r="4944" spans="6:21" x14ac:dyDescent="0.25">
      <c r="F4944"/>
      <c r="O4944"/>
      <c r="R4944"/>
      <c r="S4944"/>
      <c r="T4944"/>
      <c r="U4944"/>
    </row>
    <row r="4945" spans="6:21" x14ac:dyDescent="0.25">
      <c r="F4945"/>
      <c r="O4945"/>
      <c r="R4945"/>
      <c r="S4945"/>
      <c r="T4945"/>
      <c r="U4945"/>
    </row>
    <row r="4946" spans="6:21" x14ac:dyDescent="0.25">
      <c r="F4946"/>
      <c r="O4946"/>
      <c r="R4946"/>
      <c r="S4946"/>
      <c r="T4946"/>
      <c r="U4946"/>
    </row>
    <row r="4947" spans="6:21" x14ac:dyDescent="0.25">
      <c r="F4947"/>
      <c r="O4947"/>
      <c r="R4947"/>
      <c r="S4947"/>
      <c r="T4947"/>
      <c r="U4947"/>
    </row>
    <row r="4948" spans="6:21" x14ac:dyDescent="0.25">
      <c r="F4948"/>
      <c r="O4948"/>
      <c r="R4948"/>
      <c r="S4948"/>
      <c r="T4948"/>
      <c r="U4948"/>
    </row>
    <row r="4949" spans="6:21" x14ac:dyDescent="0.25">
      <c r="F4949"/>
      <c r="O4949"/>
      <c r="R4949"/>
      <c r="S4949"/>
      <c r="T4949"/>
      <c r="U4949"/>
    </row>
    <row r="4950" spans="6:21" x14ac:dyDescent="0.25">
      <c r="F4950"/>
      <c r="O4950"/>
      <c r="R4950"/>
      <c r="S4950"/>
      <c r="T4950"/>
      <c r="U4950"/>
    </row>
    <row r="4951" spans="6:21" x14ac:dyDescent="0.25">
      <c r="F4951"/>
      <c r="O4951"/>
      <c r="R4951"/>
      <c r="S4951"/>
      <c r="T4951"/>
      <c r="U4951"/>
    </row>
    <row r="4952" spans="6:21" x14ac:dyDescent="0.25">
      <c r="F4952"/>
      <c r="O4952"/>
      <c r="R4952"/>
      <c r="S4952"/>
      <c r="T4952"/>
      <c r="U4952"/>
    </row>
    <row r="4953" spans="6:21" x14ac:dyDescent="0.25">
      <c r="F4953"/>
      <c r="O4953"/>
      <c r="R4953"/>
      <c r="S4953"/>
      <c r="T4953"/>
      <c r="U4953"/>
    </row>
    <row r="4954" spans="6:21" x14ac:dyDescent="0.25">
      <c r="F4954"/>
      <c r="O4954"/>
      <c r="R4954"/>
      <c r="S4954"/>
      <c r="T4954"/>
      <c r="U4954"/>
    </row>
    <row r="4955" spans="6:21" x14ac:dyDescent="0.25">
      <c r="F4955"/>
      <c r="O4955"/>
      <c r="R4955"/>
      <c r="S4955"/>
      <c r="T4955"/>
      <c r="U4955"/>
    </row>
    <row r="4956" spans="6:21" x14ac:dyDescent="0.25">
      <c r="F4956"/>
      <c r="O4956"/>
      <c r="R4956"/>
      <c r="S4956"/>
      <c r="T4956"/>
      <c r="U4956"/>
    </row>
    <row r="4957" spans="6:21" x14ac:dyDescent="0.25">
      <c r="F4957"/>
      <c r="O4957"/>
      <c r="R4957"/>
      <c r="S4957"/>
      <c r="T4957"/>
      <c r="U4957"/>
    </row>
    <row r="4958" spans="6:21" x14ac:dyDescent="0.25">
      <c r="F4958"/>
      <c r="O4958"/>
      <c r="R4958"/>
      <c r="S4958"/>
      <c r="T4958"/>
      <c r="U4958"/>
    </row>
    <row r="4959" spans="6:21" x14ac:dyDescent="0.25">
      <c r="F4959"/>
      <c r="O4959"/>
      <c r="R4959"/>
      <c r="S4959"/>
      <c r="T4959"/>
      <c r="U4959"/>
    </row>
    <row r="4960" spans="6:21" x14ac:dyDescent="0.25">
      <c r="F4960"/>
      <c r="O4960"/>
      <c r="R4960"/>
      <c r="S4960"/>
      <c r="T4960"/>
      <c r="U4960"/>
    </row>
    <row r="4961" spans="6:21" x14ac:dyDescent="0.25">
      <c r="F4961"/>
      <c r="O4961"/>
      <c r="R4961"/>
      <c r="S4961"/>
      <c r="T4961"/>
      <c r="U4961"/>
    </row>
    <row r="4962" spans="6:21" x14ac:dyDescent="0.25">
      <c r="F4962"/>
      <c r="O4962"/>
      <c r="R4962"/>
      <c r="S4962"/>
      <c r="T4962"/>
      <c r="U4962"/>
    </row>
    <row r="4963" spans="6:21" x14ac:dyDescent="0.25">
      <c r="F4963"/>
      <c r="O4963"/>
      <c r="R4963"/>
      <c r="S4963"/>
      <c r="T4963"/>
      <c r="U4963"/>
    </row>
    <row r="4964" spans="6:21" x14ac:dyDescent="0.25">
      <c r="F4964"/>
      <c r="O4964"/>
      <c r="R4964"/>
      <c r="S4964"/>
      <c r="T4964"/>
      <c r="U4964"/>
    </row>
    <row r="4965" spans="6:21" x14ac:dyDescent="0.25">
      <c r="F4965"/>
      <c r="O4965"/>
      <c r="R4965"/>
      <c r="S4965"/>
      <c r="T4965"/>
      <c r="U4965"/>
    </row>
    <row r="4966" spans="6:21" x14ac:dyDescent="0.25">
      <c r="F4966"/>
      <c r="O4966"/>
      <c r="R4966"/>
      <c r="S4966"/>
      <c r="T4966"/>
      <c r="U4966"/>
    </row>
    <row r="4967" spans="6:21" x14ac:dyDescent="0.25">
      <c r="F4967"/>
      <c r="O4967"/>
      <c r="R4967"/>
      <c r="S4967"/>
      <c r="T4967"/>
      <c r="U4967"/>
    </row>
    <row r="4968" spans="6:21" x14ac:dyDescent="0.25">
      <c r="F4968"/>
      <c r="O4968"/>
      <c r="R4968"/>
      <c r="S4968"/>
      <c r="T4968"/>
      <c r="U4968"/>
    </row>
    <row r="4969" spans="6:21" x14ac:dyDescent="0.25">
      <c r="F4969"/>
      <c r="O4969"/>
      <c r="R4969"/>
      <c r="S4969"/>
      <c r="T4969"/>
      <c r="U4969"/>
    </row>
    <row r="4970" spans="6:21" x14ac:dyDescent="0.25">
      <c r="F4970"/>
      <c r="O4970"/>
      <c r="R4970"/>
      <c r="S4970"/>
      <c r="T4970"/>
      <c r="U4970"/>
    </row>
    <row r="4971" spans="6:21" x14ac:dyDescent="0.25">
      <c r="F4971"/>
      <c r="O4971"/>
      <c r="R4971"/>
      <c r="S4971"/>
      <c r="T4971"/>
      <c r="U4971"/>
    </row>
    <row r="4972" spans="6:21" x14ac:dyDescent="0.25">
      <c r="F4972"/>
      <c r="O4972"/>
      <c r="R4972"/>
      <c r="S4972"/>
      <c r="T4972"/>
      <c r="U4972"/>
    </row>
    <row r="4973" spans="6:21" x14ac:dyDescent="0.25">
      <c r="F4973"/>
      <c r="O4973"/>
      <c r="R4973"/>
      <c r="S4973"/>
      <c r="T4973"/>
      <c r="U4973"/>
    </row>
    <row r="4974" spans="6:21" x14ac:dyDescent="0.25">
      <c r="F4974"/>
      <c r="O4974"/>
      <c r="R4974"/>
      <c r="S4974"/>
      <c r="T4974"/>
      <c r="U4974"/>
    </row>
    <row r="4975" spans="6:21" x14ac:dyDescent="0.25">
      <c r="F4975"/>
      <c r="O4975"/>
      <c r="R4975"/>
      <c r="S4975"/>
      <c r="T4975"/>
      <c r="U4975"/>
    </row>
    <row r="4976" spans="6:21" x14ac:dyDescent="0.25">
      <c r="F4976"/>
      <c r="O4976"/>
      <c r="R4976"/>
      <c r="S4976"/>
      <c r="T4976"/>
      <c r="U4976"/>
    </row>
    <row r="4977" spans="6:21" x14ac:dyDescent="0.25">
      <c r="F4977"/>
      <c r="O4977"/>
      <c r="R4977"/>
      <c r="S4977"/>
      <c r="T4977"/>
      <c r="U4977"/>
    </row>
    <row r="4978" spans="6:21" x14ac:dyDescent="0.25">
      <c r="F4978"/>
      <c r="O4978"/>
      <c r="R4978"/>
      <c r="S4978"/>
      <c r="T4978"/>
      <c r="U4978"/>
    </row>
    <row r="4979" spans="6:21" x14ac:dyDescent="0.25">
      <c r="F4979"/>
      <c r="O4979"/>
      <c r="R4979"/>
      <c r="S4979"/>
      <c r="T4979"/>
      <c r="U4979"/>
    </row>
    <row r="4980" spans="6:21" x14ac:dyDescent="0.25">
      <c r="F4980"/>
      <c r="O4980"/>
      <c r="R4980"/>
      <c r="S4980"/>
      <c r="T4980"/>
      <c r="U4980"/>
    </row>
    <row r="4981" spans="6:21" x14ac:dyDescent="0.25">
      <c r="F4981"/>
      <c r="O4981"/>
      <c r="R4981"/>
      <c r="S4981"/>
      <c r="T4981"/>
      <c r="U4981"/>
    </row>
    <row r="4982" spans="6:21" x14ac:dyDescent="0.25">
      <c r="F4982"/>
      <c r="O4982"/>
      <c r="R4982"/>
      <c r="S4982"/>
      <c r="T4982"/>
      <c r="U4982"/>
    </row>
    <row r="4983" spans="6:21" x14ac:dyDescent="0.25">
      <c r="F4983"/>
      <c r="O4983"/>
      <c r="R4983"/>
      <c r="S4983"/>
      <c r="T4983"/>
      <c r="U4983"/>
    </row>
    <row r="4984" spans="6:21" x14ac:dyDescent="0.25">
      <c r="F4984"/>
      <c r="O4984"/>
      <c r="R4984"/>
      <c r="S4984"/>
      <c r="T4984"/>
      <c r="U4984"/>
    </row>
    <row r="4985" spans="6:21" x14ac:dyDescent="0.25">
      <c r="F4985"/>
      <c r="O4985"/>
      <c r="R4985"/>
      <c r="S4985"/>
      <c r="T4985"/>
      <c r="U4985"/>
    </row>
    <row r="4986" spans="6:21" x14ac:dyDescent="0.25">
      <c r="F4986"/>
      <c r="O4986"/>
      <c r="R4986"/>
      <c r="S4986"/>
      <c r="T4986"/>
      <c r="U4986"/>
    </row>
    <row r="4987" spans="6:21" x14ac:dyDescent="0.25">
      <c r="F4987"/>
      <c r="O4987"/>
      <c r="R4987"/>
      <c r="S4987"/>
      <c r="T4987"/>
      <c r="U4987"/>
    </row>
    <row r="4988" spans="6:21" x14ac:dyDescent="0.25">
      <c r="F4988"/>
      <c r="O4988"/>
      <c r="R4988"/>
      <c r="S4988"/>
      <c r="T4988"/>
      <c r="U4988"/>
    </row>
    <row r="4989" spans="6:21" x14ac:dyDescent="0.25">
      <c r="F4989"/>
      <c r="O4989"/>
      <c r="R4989"/>
      <c r="S4989"/>
      <c r="T4989"/>
      <c r="U4989"/>
    </row>
    <row r="4990" spans="6:21" x14ac:dyDescent="0.25">
      <c r="F4990"/>
      <c r="O4990"/>
      <c r="R4990"/>
      <c r="S4990"/>
      <c r="T4990"/>
      <c r="U4990"/>
    </row>
    <row r="4991" spans="6:21" x14ac:dyDescent="0.25">
      <c r="F4991"/>
      <c r="O4991"/>
      <c r="R4991"/>
      <c r="S4991"/>
      <c r="T4991"/>
      <c r="U4991"/>
    </row>
    <row r="4992" spans="6:21" x14ac:dyDescent="0.25">
      <c r="F4992"/>
      <c r="O4992"/>
      <c r="R4992"/>
      <c r="S4992"/>
      <c r="T4992"/>
      <c r="U4992"/>
    </row>
    <row r="4993" spans="6:21" x14ac:dyDescent="0.25">
      <c r="F4993"/>
      <c r="O4993"/>
      <c r="R4993"/>
      <c r="S4993"/>
      <c r="T4993"/>
      <c r="U4993"/>
    </row>
    <row r="4994" spans="6:21" x14ac:dyDescent="0.25">
      <c r="F4994"/>
      <c r="O4994"/>
      <c r="R4994"/>
      <c r="S4994"/>
      <c r="T4994"/>
      <c r="U4994"/>
    </row>
    <row r="4995" spans="6:21" x14ac:dyDescent="0.25">
      <c r="F4995"/>
      <c r="O4995"/>
      <c r="R4995"/>
      <c r="S4995"/>
      <c r="T4995"/>
      <c r="U4995"/>
    </row>
    <row r="4996" spans="6:21" x14ac:dyDescent="0.25">
      <c r="F4996"/>
      <c r="O4996"/>
      <c r="R4996"/>
      <c r="S4996"/>
      <c r="T4996"/>
      <c r="U4996"/>
    </row>
    <row r="4997" spans="6:21" x14ac:dyDescent="0.25">
      <c r="F4997"/>
      <c r="O4997"/>
      <c r="R4997"/>
      <c r="S4997"/>
      <c r="T4997"/>
      <c r="U4997"/>
    </row>
    <row r="4998" spans="6:21" x14ac:dyDescent="0.25">
      <c r="F4998"/>
      <c r="O4998"/>
      <c r="R4998"/>
      <c r="S4998"/>
      <c r="T4998"/>
      <c r="U4998"/>
    </row>
    <row r="4999" spans="6:21" x14ac:dyDescent="0.25">
      <c r="F4999"/>
      <c r="O4999"/>
      <c r="R4999"/>
      <c r="S4999"/>
      <c r="T4999"/>
      <c r="U4999"/>
    </row>
    <row r="5000" spans="6:21" x14ac:dyDescent="0.25">
      <c r="F5000"/>
      <c r="O5000"/>
      <c r="R5000"/>
      <c r="S5000"/>
      <c r="T5000"/>
      <c r="U5000"/>
    </row>
    <row r="5001" spans="6:21" x14ac:dyDescent="0.25">
      <c r="F5001"/>
      <c r="O5001"/>
      <c r="R5001"/>
      <c r="S5001"/>
      <c r="T5001"/>
      <c r="U5001"/>
    </row>
    <row r="5002" spans="6:21" x14ac:dyDescent="0.25">
      <c r="F5002"/>
      <c r="O5002"/>
      <c r="R5002"/>
      <c r="S5002"/>
      <c r="T5002"/>
      <c r="U5002"/>
    </row>
    <row r="5003" spans="6:21" x14ac:dyDescent="0.25">
      <c r="F5003"/>
      <c r="O5003"/>
      <c r="R5003"/>
      <c r="S5003"/>
      <c r="T5003"/>
      <c r="U5003"/>
    </row>
    <row r="5004" spans="6:21" x14ac:dyDescent="0.25">
      <c r="F5004"/>
      <c r="O5004"/>
      <c r="R5004"/>
      <c r="S5004"/>
      <c r="T5004"/>
      <c r="U5004"/>
    </row>
    <row r="5005" spans="6:21" x14ac:dyDescent="0.25">
      <c r="F5005"/>
      <c r="O5005"/>
      <c r="R5005"/>
      <c r="S5005"/>
      <c r="T5005"/>
      <c r="U5005"/>
    </row>
    <row r="5006" spans="6:21" x14ac:dyDescent="0.25">
      <c r="F5006"/>
      <c r="O5006"/>
      <c r="R5006"/>
      <c r="S5006"/>
      <c r="T5006"/>
      <c r="U5006"/>
    </row>
    <row r="5007" spans="6:21" x14ac:dyDescent="0.25">
      <c r="F5007"/>
      <c r="O5007"/>
      <c r="R5007"/>
      <c r="S5007"/>
      <c r="T5007"/>
      <c r="U5007"/>
    </row>
    <row r="5008" spans="6:21" x14ac:dyDescent="0.25">
      <c r="F5008"/>
      <c r="O5008"/>
      <c r="R5008"/>
      <c r="S5008"/>
      <c r="T5008"/>
      <c r="U5008"/>
    </row>
    <row r="5009" spans="6:21" x14ac:dyDescent="0.25">
      <c r="F5009"/>
      <c r="O5009"/>
      <c r="R5009"/>
      <c r="S5009"/>
      <c r="T5009"/>
      <c r="U5009"/>
    </row>
    <row r="5010" spans="6:21" x14ac:dyDescent="0.25">
      <c r="F5010"/>
      <c r="O5010"/>
      <c r="R5010"/>
      <c r="S5010"/>
      <c r="T5010"/>
      <c r="U5010"/>
    </row>
    <row r="5011" spans="6:21" x14ac:dyDescent="0.25">
      <c r="F5011"/>
      <c r="O5011"/>
      <c r="R5011"/>
      <c r="S5011"/>
      <c r="T5011"/>
      <c r="U5011"/>
    </row>
    <row r="5012" spans="6:21" x14ac:dyDescent="0.25">
      <c r="F5012"/>
      <c r="O5012"/>
      <c r="R5012"/>
      <c r="S5012"/>
      <c r="T5012"/>
      <c r="U5012"/>
    </row>
    <row r="5013" spans="6:21" x14ac:dyDescent="0.25">
      <c r="F5013"/>
      <c r="O5013"/>
      <c r="R5013"/>
      <c r="S5013"/>
      <c r="T5013"/>
      <c r="U5013"/>
    </row>
    <row r="5014" spans="6:21" x14ac:dyDescent="0.25">
      <c r="F5014"/>
      <c r="O5014"/>
      <c r="R5014"/>
      <c r="S5014"/>
      <c r="T5014"/>
      <c r="U5014"/>
    </row>
    <row r="5015" spans="6:21" x14ac:dyDescent="0.25">
      <c r="F5015"/>
      <c r="O5015"/>
      <c r="R5015"/>
      <c r="S5015"/>
      <c r="T5015"/>
      <c r="U5015"/>
    </row>
    <row r="5016" spans="6:21" x14ac:dyDescent="0.25">
      <c r="F5016"/>
      <c r="O5016"/>
      <c r="R5016"/>
      <c r="S5016"/>
      <c r="T5016"/>
      <c r="U5016"/>
    </row>
    <row r="5017" spans="6:21" x14ac:dyDescent="0.25">
      <c r="F5017"/>
      <c r="O5017"/>
      <c r="R5017"/>
      <c r="S5017"/>
      <c r="T5017"/>
      <c r="U5017"/>
    </row>
    <row r="5018" spans="6:21" x14ac:dyDescent="0.25">
      <c r="F5018"/>
      <c r="O5018"/>
      <c r="R5018"/>
      <c r="S5018"/>
      <c r="T5018"/>
      <c r="U5018"/>
    </row>
    <row r="5019" spans="6:21" x14ac:dyDescent="0.25">
      <c r="F5019"/>
      <c r="O5019"/>
      <c r="R5019"/>
      <c r="S5019"/>
      <c r="T5019"/>
      <c r="U5019"/>
    </row>
    <row r="5020" spans="6:21" x14ac:dyDescent="0.25">
      <c r="F5020"/>
      <c r="O5020"/>
      <c r="R5020"/>
      <c r="S5020"/>
      <c r="T5020"/>
      <c r="U5020"/>
    </row>
    <row r="5021" spans="6:21" x14ac:dyDescent="0.25">
      <c r="F5021"/>
      <c r="O5021"/>
      <c r="R5021"/>
      <c r="S5021"/>
      <c r="T5021"/>
      <c r="U5021"/>
    </row>
    <row r="5022" spans="6:21" x14ac:dyDescent="0.25">
      <c r="F5022"/>
      <c r="O5022"/>
      <c r="R5022"/>
      <c r="S5022"/>
      <c r="T5022"/>
      <c r="U5022"/>
    </row>
    <row r="5023" spans="6:21" x14ac:dyDescent="0.25">
      <c r="F5023"/>
      <c r="O5023"/>
      <c r="R5023"/>
      <c r="S5023"/>
      <c r="T5023"/>
      <c r="U5023"/>
    </row>
    <row r="5024" spans="6:21" x14ac:dyDescent="0.25">
      <c r="F5024"/>
      <c r="O5024"/>
      <c r="R5024"/>
      <c r="S5024"/>
      <c r="T5024"/>
      <c r="U5024"/>
    </row>
    <row r="5025" spans="6:21" x14ac:dyDescent="0.25">
      <c r="F5025"/>
      <c r="O5025"/>
      <c r="R5025"/>
      <c r="S5025"/>
      <c r="T5025"/>
      <c r="U5025"/>
    </row>
    <row r="5026" spans="6:21" x14ac:dyDescent="0.25">
      <c r="F5026"/>
      <c r="O5026"/>
      <c r="R5026"/>
      <c r="S5026"/>
      <c r="T5026"/>
      <c r="U5026"/>
    </row>
    <row r="5027" spans="6:21" x14ac:dyDescent="0.25">
      <c r="F5027"/>
      <c r="O5027"/>
      <c r="R5027"/>
      <c r="S5027"/>
      <c r="T5027"/>
      <c r="U5027"/>
    </row>
    <row r="5028" spans="6:21" x14ac:dyDescent="0.25">
      <c r="F5028"/>
      <c r="O5028"/>
      <c r="R5028"/>
      <c r="S5028"/>
      <c r="T5028"/>
      <c r="U5028"/>
    </row>
    <row r="5029" spans="6:21" x14ac:dyDescent="0.25">
      <c r="F5029"/>
      <c r="O5029"/>
      <c r="R5029"/>
      <c r="S5029"/>
      <c r="T5029"/>
      <c r="U5029"/>
    </row>
    <row r="5030" spans="6:21" x14ac:dyDescent="0.25">
      <c r="F5030"/>
      <c r="O5030"/>
      <c r="R5030"/>
      <c r="S5030"/>
      <c r="T5030"/>
      <c r="U5030"/>
    </row>
    <row r="5031" spans="6:21" x14ac:dyDescent="0.25">
      <c r="F5031"/>
      <c r="O5031"/>
      <c r="R5031"/>
      <c r="S5031"/>
      <c r="T5031"/>
      <c r="U5031"/>
    </row>
    <row r="5032" spans="6:21" x14ac:dyDescent="0.25">
      <c r="F5032"/>
      <c r="O5032"/>
      <c r="R5032"/>
      <c r="S5032"/>
      <c r="T5032"/>
      <c r="U5032"/>
    </row>
    <row r="5033" spans="6:21" x14ac:dyDescent="0.25">
      <c r="F5033"/>
      <c r="O5033"/>
      <c r="R5033"/>
      <c r="S5033"/>
      <c r="T5033"/>
      <c r="U5033"/>
    </row>
    <row r="5034" spans="6:21" x14ac:dyDescent="0.25">
      <c r="F5034"/>
      <c r="O5034"/>
      <c r="R5034"/>
      <c r="S5034"/>
      <c r="T5034"/>
      <c r="U5034"/>
    </row>
    <row r="5035" spans="6:21" x14ac:dyDescent="0.25">
      <c r="F5035"/>
      <c r="O5035"/>
      <c r="R5035"/>
      <c r="S5035"/>
      <c r="T5035"/>
      <c r="U5035"/>
    </row>
    <row r="5036" spans="6:21" x14ac:dyDescent="0.25">
      <c r="F5036"/>
      <c r="O5036"/>
      <c r="R5036"/>
      <c r="S5036"/>
      <c r="T5036"/>
      <c r="U5036"/>
    </row>
    <row r="5037" spans="6:21" x14ac:dyDescent="0.25">
      <c r="F5037"/>
      <c r="O5037"/>
      <c r="R5037"/>
      <c r="S5037"/>
      <c r="T5037"/>
      <c r="U5037"/>
    </row>
    <row r="5038" spans="6:21" x14ac:dyDescent="0.25">
      <c r="F5038"/>
      <c r="O5038"/>
      <c r="R5038"/>
      <c r="S5038"/>
      <c r="T5038"/>
      <c r="U5038"/>
    </row>
    <row r="5039" spans="6:21" x14ac:dyDescent="0.25">
      <c r="F5039"/>
      <c r="O5039"/>
      <c r="R5039"/>
      <c r="S5039"/>
      <c r="T5039"/>
      <c r="U5039"/>
    </row>
    <row r="5040" spans="6:21" x14ac:dyDescent="0.25">
      <c r="F5040"/>
      <c r="O5040"/>
      <c r="R5040"/>
      <c r="S5040"/>
      <c r="T5040"/>
      <c r="U5040"/>
    </row>
    <row r="5041" spans="6:21" x14ac:dyDescent="0.25">
      <c r="F5041"/>
      <c r="O5041"/>
      <c r="R5041"/>
      <c r="S5041"/>
      <c r="T5041"/>
      <c r="U5041"/>
    </row>
    <row r="5042" spans="6:21" x14ac:dyDescent="0.25">
      <c r="F5042"/>
      <c r="O5042"/>
      <c r="R5042"/>
      <c r="S5042"/>
      <c r="T5042"/>
      <c r="U5042"/>
    </row>
    <row r="5043" spans="6:21" x14ac:dyDescent="0.25">
      <c r="F5043"/>
      <c r="O5043"/>
      <c r="R5043"/>
      <c r="S5043"/>
      <c r="T5043"/>
      <c r="U5043"/>
    </row>
    <row r="5044" spans="6:21" x14ac:dyDescent="0.25">
      <c r="F5044"/>
      <c r="O5044"/>
      <c r="R5044"/>
      <c r="S5044"/>
      <c r="T5044"/>
      <c r="U5044"/>
    </row>
    <row r="5045" spans="6:21" x14ac:dyDescent="0.25">
      <c r="F5045"/>
      <c r="O5045"/>
      <c r="R5045"/>
      <c r="S5045"/>
      <c r="T5045"/>
      <c r="U5045"/>
    </row>
    <row r="5046" spans="6:21" x14ac:dyDescent="0.25">
      <c r="F5046"/>
      <c r="O5046"/>
      <c r="R5046"/>
      <c r="S5046"/>
      <c r="T5046"/>
      <c r="U5046"/>
    </row>
    <row r="5047" spans="6:21" x14ac:dyDescent="0.25">
      <c r="F5047"/>
      <c r="O5047"/>
      <c r="R5047"/>
      <c r="S5047"/>
      <c r="T5047"/>
      <c r="U5047"/>
    </row>
    <row r="5048" spans="6:21" x14ac:dyDescent="0.25">
      <c r="F5048"/>
      <c r="O5048"/>
      <c r="R5048"/>
      <c r="S5048"/>
      <c r="T5048"/>
      <c r="U5048"/>
    </row>
    <row r="5049" spans="6:21" x14ac:dyDescent="0.25">
      <c r="F5049"/>
      <c r="O5049"/>
      <c r="R5049"/>
      <c r="S5049"/>
      <c r="T5049"/>
      <c r="U5049"/>
    </row>
    <row r="5050" spans="6:21" x14ac:dyDescent="0.25">
      <c r="F5050"/>
      <c r="O5050"/>
      <c r="R5050"/>
      <c r="S5050"/>
      <c r="T5050"/>
      <c r="U5050"/>
    </row>
    <row r="5051" spans="6:21" x14ac:dyDescent="0.25">
      <c r="F5051"/>
      <c r="O5051"/>
      <c r="R5051"/>
      <c r="S5051"/>
      <c r="T5051"/>
      <c r="U5051"/>
    </row>
    <row r="5052" spans="6:21" x14ac:dyDescent="0.25">
      <c r="F5052"/>
      <c r="O5052"/>
      <c r="R5052"/>
      <c r="S5052"/>
      <c r="T5052"/>
      <c r="U5052"/>
    </row>
    <row r="5053" spans="6:21" x14ac:dyDescent="0.25">
      <c r="F5053"/>
      <c r="O5053"/>
      <c r="R5053"/>
      <c r="S5053"/>
      <c r="T5053"/>
      <c r="U5053"/>
    </row>
    <row r="5054" spans="6:21" x14ac:dyDescent="0.25">
      <c r="F5054"/>
      <c r="O5054"/>
      <c r="R5054"/>
      <c r="S5054"/>
      <c r="T5054"/>
      <c r="U5054"/>
    </row>
    <row r="5055" spans="6:21" x14ac:dyDescent="0.25">
      <c r="F5055"/>
      <c r="O5055"/>
      <c r="R5055"/>
      <c r="S5055"/>
      <c r="T5055"/>
      <c r="U5055"/>
    </row>
    <row r="5056" spans="6:21" x14ac:dyDescent="0.25">
      <c r="F5056"/>
      <c r="O5056"/>
      <c r="R5056"/>
      <c r="S5056"/>
      <c r="T5056"/>
      <c r="U5056"/>
    </row>
    <row r="5057" spans="6:21" x14ac:dyDescent="0.25">
      <c r="F5057"/>
      <c r="O5057"/>
      <c r="R5057"/>
      <c r="S5057"/>
      <c r="T5057"/>
      <c r="U5057"/>
    </row>
    <row r="5058" spans="6:21" x14ac:dyDescent="0.25">
      <c r="F5058"/>
      <c r="O5058"/>
      <c r="R5058"/>
      <c r="S5058"/>
      <c r="T5058"/>
      <c r="U5058"/>
    </row>
    <row r="5059" spans="6:21" x14ac:dyDescent="0.25">
      <c r="F5059"/>
      <c r="O5059"/>
      <c r="R5059"/>
      <c r="S5059"/>
      <c r="T5059"/>
      <c r="U5059"/>
    </row>
    <row r="5060" spans="6:21" x14ac:dyDescent="0.25">
      <c r="F5060"/>
      <c r="O5060"/>
      <c r="R5060"/>
      <c r="S5060"/>
      <c r="T5060"/>
      <c r="U5060"/>
    </row>
    <row r="5061" spans="6:21" x14ac:dyDescent="0.25">
      <c r="F5061"/>
      <c r="O5061"/>
      <c r="R5061"/>
      <c r="S5061"/>
      <c r="T5061"/>
      <c r="U5061"/>
    </row>
    <row r="5062" spans="6:21" x14ac:dyDescent="0.25">
      <c r="F5062"/>
      <c r="O5062"/>
      <c r="R5062"/>
      <c r="S5062"/>
      <c r="T5062"/>
      <c r="U5062"/>
    </row>
    <row r="5063" spans="6:21" x14ac:dyDescent="0.25">
      <c r="F5063"/>
      <c r="O5063"/>
      <c r="R5063"/>
      <c r="S5063"/>
      <c r="T5063"/>
      <c r="U5063"/>
    </row>
    <row r="5064" spans="6:21" x14ac:dyDescent="0.25">
      <c r="F5064"/>
      <c r="O5064"/>
      <c r="R5064"/>
      <c r="S5064"/>
      <c r="T5064"/>
      <c r="U5064"/>
    </row>
    <row r="5065" spans="6:21" x14ac:dyDescent="0.25">
      <c r="F5065"/>
      <c r="O5065"/>
      <c r="R5065"/>
      <c r="S5065"/>
      <c r="T5065"/>
      <c r="U5065"/>
    </row>
    <row r="5066" spans="6:21" x14ac:dyDescent="0.25">
      <c r="F5066"/>
      <c r="O5066"/>
      <c r="R5066"/>
      <c r="S5066"/>
      <c r="T5066"/>
      <c r="U5066"/>
    </row>
    <row r="5067" spans="6:21" x14ac:dyDescent="0.25">
      <c r="F5067"/>
      <c r="O5067"/>
      <c r="R5067"/>
      <c r="S5067"/>
      <c r="T5067"/>
      <c r="U5067"/>
    </row>
    <row r="5068" spans="6:21" x14ac:dyDescent="0.25">
      <c r="F5068"/>
      <c r="O5068"/>
      <c r="R5068"/>
      <c r="S5068"/>
      <c r="T5068"/>
      <c r="U5068"/>
    </row>
    <row r="5069" spans="6:21" x14ac:dyDescent="0.25">
      <c r="F5069"/>
      <c r="O5069"/>
      <c r="R5069"/>
      <c r="S5069"/>
      <c r="T5069"/>
      <c r="U5069"/>
    </row>
    <row r="5070" spans="6:21" x14ac:dyDescent="0.25">
      <c r="F5070"/>
      <c r="O5070"/>
      <c r="R5070"/>
      <c r="S5070"/>
      <c r="T5070"/>
      <c r="U5070"/>
    </row>
    <row r="5071" spans="6:21" x14ac:dyDescent="0.25">
      <c r="F5071"/>
      <c r="O5071"/>
      <c r="R5071"/>
      <c r="S5071"/>
      <c r="T5071"/>
      <c r="U5071"/>
    </row>
    <row r="5072" spans="6:21" x14ac:dyDescent="0.25">
      <c r="F5072"/>
      <c r="O5072"/>
      <c r="R5072"/>
      <c r="S5072"/>
      <c r="T5072"/>
      <c r="U5072"/>
    </row>
    <row r="5073" spans="6:21" x14ac:dyDescent="0.25">
      <c r="F5073"/>
      <c r="O5073"/>
      <c r="R5073"/>
      <c r="S5073"/>
      <c r="T5073"/>
      <c r="U5073"/>
    </row>
    <row r="5074" spans="6:21" x14ac:dyDescent="0.25">
      <c r="F5074"/>
      <c r="O5074"/>
      <c r="R5074"/>
      <c r="S5074"/>
      <c r="T5074"/>
      <c r="U5074"/>
    </row>
    <row r="5075" spans="6:21" x14ac:dyDescent="0.25">
      <c r="F5075"/>
      <c r="O5075"/>
      <c r="R5075"/>
      <c r="S5075"/>
      <c r="T5075"/>
      <c r="U5075"/>
    </row>
    <row r="5076" spans="6:21" x14ac:dyDescent="0.25">
      <c r="F5076"/>
      <c r="O5076"/>
      <c r="R5076"/>
      <c r="S5076"/>
      <c r="T5076"/>
      <c r="U5076"/>
    </row>
    <row r="5077" spans="6:21" x14ac:dyDescent="0.25">
      <c r="F5077"/>
      <c r="O5077"/>
      <c r="R5077"/>
      <c r="S5077"/>
      <c r="T5077"/>
      <c r="U5077"/>
    </row>
    <row r="5078" spans="6:21" x14ac:dyDescent="0.25">
      <c r="F5078"/>
      <c r="O5078"/>
      <c r="R5078"/>
      <c r="S5078"/>
      <c r="T5078"/>
      <c r="U5078"/>
    </row>
    <row r="5079" spans="6:21" x14ac:dyDescent="0.25">
      <c r="F5079"/>
      <c r="O5079"/>
      <c r="R5079"/>
      <c r="S5079"/>
      <c r="T5079"/>
      <c r="U5079"/>
    </row>
    <row r="5080" spans="6:21" x14ac:dyDescent="0.25">
      <c r="F5080"/>
      <c r="O5080"/>
      <c r="R5080"/>
      <c r="S5080"/>
      <c r="T5080"/>
      <c r="U5080"/>
    </row>
    <row r="5081" spans="6:21" x14ac:dyDescent="0.25">
      <c r="F5081"/>
      <c r="O5081"/>
      <c r="R5081"/>
      <c r="S5081"/>
      <c r="T5081"/>
      <c r="U5081"/>
    </row>
    <row r="5082" spans="6:21" x14ac:dyDescent="0.25">
      <c r="F5082"/>
      <c r="O5082"/>
      <c r="R5082"/>
      <c r="S5082"/>
      <c r="T5082"/>
      <c r="U5082"/>
    </row>
    <row r="5083" spans="6:21" x14ac:dyDescent="0.25">
      <c r="F5083"/>
      <c r="O5083"/>
      <c r="R5083"/>
      <c r="S5083"/>
      <c r="T5083"/>
      <c r="U5083"/>
    </row>
    <row r="5084" spans="6:21" x14ac:dyDescent="0.25">
      <c r="F5084"/>
      <c r="O5084"/>
      <c r="R5084"/>
      <c r="S5084"/>
      <c r="T5084"/>
      <c r="U5084"/>
    </row>
    <row r="5085" spans="6:21" x14ac:dyDescent="0.25">
      <c r="F5085"/>
      <c r="O5085"/>
      <c r="R5085"/>
      <c r="S5085"/>
      <c r="T5085"/>
      <c r="U5085"/>
    </row>
    <row r="5086" spans="6:21" x14ac:dyDescent="0.25">
      <c r="F5086"/>
      <c r="O5086"/>
      <c r="R5086"/>
      <c r="S5086"/>
      <c r="T5086"/>
      <c r="U5086"/>
    </row>
    <row r="5087" spans="6:21" x14ac:dyDescent="0.25">
      <c r="F5087"/>
      <c r="O5087"/>
      <c r="R5087"/>
      <c r="S5087"/>
      <c r="T5087"/>
      <c r="U5087"/>
    </row>
    <row r="5088" spans="6:21" x14ac:dyDescent="0.25">
      <c r="F5088"/>
      <c r="O5088"/>
      <c r="R5088"/>
      <c r="S5088"/>
      <c r="T5088"/>
      <c r="U5088"/>
    </row>
    <row r="5089" spans="6:21" x14ac:dyDescent="0.25">
      <c r="F5089"/>
      <c r="O5089"/>
      <c r="R5089"/>
      <c r="S5089"/>
      <c r="T5089"/>
      <c r="U5089"/>
    </row>
    <row r="5090" spans="6:21" x14ac:dyDescent="0.25">
      <c r="F5090"/>
      <c r="O5090"/>
      <c r="R5090"/>
      <c r="S5090"/>
      <c r="T5090"/>
      <c r="U5090"/>
    </row>
    <row r="5091" spans="6:21" x14ac:dyDescent="0.25">
      <c r="F5091"/>
      <c r="O5091"/>
      <c r="R5091"/>
      <c r="S5091"/>
      <c r="T5091"/>
      <c r="U5091"/>
    </row>
    <row r="5092" spans="6:21" x14ac:dyDescent="0.25">
      <c r="F5092"/>
      <c r="O5092"/>
      <c r="R5092"/>
      <c r="S5092"/>
      <c r="T5092"/>
      <c r="U5092"/>
    </row>
    <row r="5093" spans="6:21" x14ac:dyDescent="0.25">
      <c r="F5093"/>
      <c r="O5093"/>
      <c r="R5093"/>
      <c r="S5093"/>
      <c r="T5093"/>
      <c r="U5093"/>
    </row>
    <row r="5094" spans="6:21" x14ac:dyDescent="0.25">
      <c r="F5094"/>
      <c r="O5094"/>
      <c r="R5094"/>
      <c r="S5094"/>
      <c r="T5094"/>
      <c r="U5094"/>
    </row>
    <row r="5095" spans="6:21" x14ac:dyDescent="0.25">
      <c r="F5095"/>
      <c r="O5095"/>
      <c r="R5095"/>
      <c r="S5095"/>
      <c r="T5095"/>
      <c r="U5095"/>
    </row>
    <row r="5096" spans="6:21" x14ac:dyDescent="0.25">
      <c r="F5096"/>
      <c r="O5096"/>
      <c r="R5096"/>
      <c r="S5096"/>
      <c r="T5096"/>
      <c r="U5096"/>
    </row>
    <row r="5097" spans="6:21" x14ac:dyDescent="0.25">
      <c r="F5097"/>
      <c r="O5097"/>
      <c r="R5097"/>
      <c r="S5097"/>
      <c r="T5097"/>
      <c r="U5097"/>
    </row>
    <row r="5098" spans="6:21" x14ac:dyDescent="0.25">
      <c r="F5098"/>
      <c r="O5098"/>
      <c r="R5098"/>
      <c r="S5098"/>
      <c r="T5098"/>
      <c r="U5098"/>
    </row>
    <row r="5099" spans="6:21" x14ac:dyDescent="0.25">
      <c r="F5099"/>
      <c r="O5099"/>
      <c r="R5099"/>
      <c r="S5099"/>
      <c r="T5099"/>
      <c r="U5099"/>
    </row>
    <row r="5100" spans="6:21" x14ac:dyDescent="0.25">
      <c r="F5100"/>
      <c r="O5100"/>
      <c r="R5100"/>
      <c r="S5100"/>
      <c r="T5100"/>
      <c r="U5100"/>
    </row>
    <row r="5101" spans="6:21" x14ac:dyDescent="0.25">
      <c r="F5101"/>
      <c r="O5101"/>
      <c r="R5101"/>
      <c r="S5101"/>
      <c r="T5101"/>
      <c r="U5101"/>
    </row>
    <row r="5102" spans="6:21" x14ac:dyDescent="0.25">
      <c r="F5102"/>
      <c r="O5102"/>
      <c r="R5102"/>
      <c r="S5102"/>
      <c r="T5102"/>
      <c r="U5102"/>
    </row>
    <row r="5103" spans="6:21" x14ac:dyDescent="0.25">
      <c r="F5103"/>
      <c r="O5103"/>
      <c r="R5103"/>
      <c r="S5103"/>
      <c r="T5103"/>
      <c r="U5103"/>
    </row>
    <row r="5104" spans="6:21" x14ac:dyDescent="0.25">
      <c r="F5104"/>
      <c r="O5104"/>
      <c r="R5104"/>
      <c r="S5104"/>
      <c r="T5104"/>
      <c r="U5104"/>
    </row>
    <row r="5105" spans="6:21" x14ac:dyDescent="0.25">
      <c r="F5105"/>
      <c r="O5105"/>
      <c r="R5105"/>
      <c r="S5105"/>
      <c r="T5105"/>
      <c r="U5105"/>
    </row>
    <row r="5106" spans="6:21" x14ac:dyDescent="0.25">
      <c r="F5106"/>
      <c r="O5106"/>
      <c r="R5106"/>
      <c r="S5106"/>
      <c r="T5106"/>
      <c r="U5106"/>
    </row>
    <row r="5107" spans="6:21" x14ac:dyDescent="0.25">
      <c r="F5107"/>
      <c r="O5107"/>
      <c r="R5107"/>
      <c r="S5107"/>
      <c r="T5107"/>
      <c r="U5107"/>
    </row>
    <row r="5108" spans="6:21" x14ac:dyDescent="0.25">
      <c r="F5108"/>
      <c r="O5108"/>
      <c r="R5108"/>
      <c r="S5108"/>
      <c r="T5108"/>
      <c r="U5108"/>
    </row>
    <row r="5109" spans="6:21" x14ac:dyDescent="0.25">
      <c r="F5109"/>
      <c r="O5109"/>
      <c r="R5109"/>
      <c r="S5109"/>
      <c r="T5109"/>
      <c r="U5109"/>
    </row>
    <row r="5110" spans="6:21" x14ac:dyDescent="0.25">
      <c r="F5110"/>
      <c r="O5110"/>
      <c r="R5110"/>
      <c r="S5110"/>
      <c r="T5110"/>
      <c r="U5110"/>
    </row>
    <row r="5111" spans="6:21" x14ac:dyDescent="0.25">
      <c r="F5111"/>
      <c r="O5111"/>
      <c r="R5111"/>
      <c r="S5111"/>
      <c r="T5111"/>
      <c r="U5111"/>
    </row>
    <row r="5112" spans="6:21" x14ac:dyDescent="0.25">
      <c r="F5112"/>
      <c r="O5112"/>
      <c r="R5112"/>
      <c r="S5112"/>
      <c r="T5112"/>
      <c r="U5112"/>
    </row>
    <row r="5113" spans="6:21" x14ac:dyDescent="0.25">
      <c r="F5113"/>
      <c r="O5113"/>
      <c r="R5113"/>
      <c r="S5113"/>
      <c r="T5113"/>
      <c r="U5113"/>
    </row>
    <row r="5114" spans="6:21" x14ac:dyDescent="0.25">
      <c r="F5114"/>
      <c r="O5114"/>
      <c r="R5114"/>
      <c r="S5114"/>
      <c r="T5114"/>
      <c r="U5114"/>
    </row>
    <row r="5115" spans="6:21" x14ac:dyDescent="0.25">
      <c r="F5115"/>
      <c r="O5115"/>
      <c r="R5115"/>
      <c r="S5115"/>
      <c r="T5115"/>
      <c r="U5115"/>
    </row>
    <row r="5116" spans="6:21" x14ac:dyDescent="0.25">
      <c r="F5116"/>
      <c r="O5116"/>
      <c r="R5116"/>
      <c r="S5116"/>
      <c r="T5116"/>
      <c r="U5116"/>
    </row>
    <row r="5117" spans="6:21" x14ac:dyDescent="0.25">
      <c r="F5117"/>
      <c r="O5117"/>
      <c r="R5117"/>
      <c r="S5117"/>
      <c r="T5117"/>
      <c r="U5117"/>
    </row>
    <row r="5118" spans="6:21" x14ac:dyDescent="0.25">
      <c r="F5118"/>
      <c r="O5118"/>
      <c r="R5118"/>
      <c r="S5118"/>
      <c r="T5118"/>
      <c r="U5118"/>
    </row>
    <row r="5119" spans="6:21" x14ac:dyDescent="0.25">
      <c r="F5119"/>
      <c r="O5119"/>
      <c r="R5119"/>
      <c r="S5119"/>
      <c r="T5119"/>
      <c r="U5119"/>
    </row>
    <row r="5120" spans="6:21" x14ac:dyDescent="0.25">
      <c r="F5120"/>
      <c r="O5120"/>
      <c r="R5120"/>
      <c r="S5120"/>
      <c r="T5120"/>
      <c r="U5120"/>
    </row>
    <row r="5121" spans="6:21" x14ac:dyDescent="0.25">
      <c r="F5121"/>
      <c r="O5121"/>
      <c r="R5121"/>
      <c r="S5121"/>
      <c r="T5121"/>
      <c r="U5121"/>
    </row>
    <row r="5122" spans="6:21" x14ac:dyDescent="0.25">
      <c r="F5122"/>
      <c r="O5122"/>
      <c r="R5122"/>
      <c r="S5122"/>
      <c r="T5122"/>
      <c r="U5122"/>
    </row>
    <row r="5123" spans="6:21" x14ac:dyDescent="0.25">
      <c r="F5123"/>
      <c r="O5123"/>
      <c r="R5123"/>
      <c r="S5123"/>
      <c r="T5123"/>
      <c r="U5123"/>
    </row>
    <row r="5124" spans="6:21" x14ac:dyDescent="0.25">
      <c r="F5124"/>
      <c r="O5124"/>
      <c r="R5124"/>
      <c r="S5124"/>
      <c r="T5124"/>
      <c r="U5124"/>
    </row>
    <row r="5125" spans="6:21" x14ac:dyDescent="0.25">
      <c r="F5125"/>
      <c r="O5125"/>
      <c r="R5125"/>
      <c r="S5125"/>
      <c r="T5125"/>
      <c r="U5125"/>
    </row>
    <row r="5126" spans="6:21" x14ac:dyDescent="0.25">
      <c r="F5126"/>
      <c r="O5126"/>
      <c r="R5126"/>
      <c r="S5126"/>
      <c r="T5126"/>
      <c r="U5126"/>
    </row>
    <row r="5127" spans="6:21" x14ac:dyDescent="0.25">
      <c r="F5127"/>
      <c r="O5127"/>
      <c r="R5127"/>
      <c r="S5127"/>
      <c r="T5127"/>
      <c r="U5127"/>
    </row>
    <row r="5128" spans="6:21" x14ac:dyDescent="0.25">
      <c r="F5128"/>
      <c r="O5128"/>
      <c r="R5128"/>
      <c r="S5128"/>
      <c r="T5128"/>
      <c r="U5128"/>
    </row>
    <row r="5129" spans="6:21" x14ac:dyDescent="0.25">
      <c r="F5129"/>
      <c r="O5129"/>
      <c r="R5129"/>
      <c r="S5129"/>
      <c r="T5129"/>
      <c r="U5129"/>
    </row>
    <row r="5130" spans="6:21" x14ac:dyDescent="0.25">
      <c r="F5130"/>
      <c r="O5130"/>
      <c r="R5130"/>
      <c r="S5130"/>
      <c r="T5130"/>
      <c r="U5130"/>
    </row>
    <row r="5131" spans="6:21" x14ac:dyDescent="0.25">
      <c r="F5131"/>
      <c r="O5131"/>
      <c r="R5131"/>
      <c r="S5131"/>
      <c r="T5131"/>
      <c r="U5131"/>
    </row>
    <row r="5132" spans="6:21" x14ac:dyDescent="0.25">
      <c r="F5132"/>
      <c r="O5132"/>
      <c r="R5132"/>
      <c r="S5132"/>
      <c r="T5132"/>
      <c r="U5132"/>
    </row>
    <row r="5133" spans="6:21" x14ac:dyDescent="0.25">
      <c r="F5133"/>
      <c r="O5133"/>
      <c r="R5133"/>
      <c r="S5133"/>
      <c r="T5133"/>
      <c r="U5133"/>
    </row>
    <row r="5134" spans="6:21" x14ac:dyDescent="0.25">
      <c r="F5134"/>
      <c r="O5134"/>
      <c r="R5134"/>
      <c r="S5134"/>
      <c r="T5134"/>
      <c r="U5134"/>
    </row>
    <row r="5135" spans="6:21" x14ac:dyDescent="0.25">
      <c r="F5135"/>
      <c r="O5135"/>
      <c r="R5135"/>
      <c r="S5135"/>
      <c r="T5135"/>
      <c r="U5135"/>
    </row>
    <row r="5136" spans="6:21" x14ac:dyDescent="0.25">
      <c r="F5136"/>
      <c r="O5136"/>
      <c r="R5136"/>
      <c r="S5136"/>
      <c r="T5136"/>
      <c r="U5136"/>
    </row>
    <row r="5137" spans="6:21" x14ac:dyDescent="0.25">
      <c r="F5137"/>
      <c r="O5137"/>
      <c r="R5137"/>
      <c r="S5137"/>
      <c r="T5137"/>
      <c r="U5137"/>
    </row>
    <row r="5138" spans="6:21" x14ac:dyDescent="0.25">
      <c r="F5138"/>
      <c r="O5138"/>
      <c r="R5138"/>
      <c r="S5138"/>
      <c r="T5138"/>
      <c r="U5138"/>
    </row>
    <row r="5139" spans="6:21" x14ac:dyDescent="0.25">
      <c r="F5139"/>
      <c r="O5139"/>
      <c r="R5139"/>
      <c r="S5139"/>
      <c r="T5139"/>
      <c r="U5139"/>
    </row>
    <row r="5140" spans="6:21" x14ac:dyDescent="0.25">
      <c r="F5140"/>
      <c r="O5140"/>
      <c r="R5140"/>
      <c r="S5140"/>
      <c r="T5140"/>
      <c r="U5140"/>
    </row>
    <row r="5141" spans="6:21" x14ac:dyDescent="0.25">
      <c r="F5141"/>
      <c r="O5141"/>
      <c r="R5141"/>
      <c r="S5141"/>
      <c r="T5141"/>
      <c r="U5141"/>
    </row>
    <row r="5142" spans="6:21" x14ac:dyDescent="0.25">
      <c r="F5142"/>
      <c r="O5142"/>
      <c r="R5142"/>
      <c r="S5142"/>
      <c r="T5142"/>
      <c r="U5142"/>
    </row>
    <row r="5143" spans="6:21" x14ac:dyDescent="0.25">
      <c r="F5143"/>
      <c r="O5143"/>
      <c r="R5143"/>
      <c r="S5143"/>
      <c r="T5143"/>
      <c r="U5143"/>
    </row>
    <row r="5144" spans="6:21" x14ac:dyDescent="0.25">
      <c r="F5144"/>
      <c r="O5144"/>
      <c r="R5144"/>
      <c r="S5144"/>
      <c r="T5144"/>
      <c r="U5144"/>
    </row>
    <row r="5145" spans="6:21" x14ac:dyDescent="0.25">
      <c r="F5145"/>
      <c r="O5145"/>
      <c r="R5145"/>
      <c r="S5145"/>
      <c r="T5145"/>
      <c r="U5145"/>
    </row>
    <row r="5146" spans="6:21" x14ac:dyDescent="0.25">
      <c r="F5146"/>
      <c r="O5146"/>
      <c r="R5146"/>
      <c r="S5146"/>
      <c r="T5146"/>
      <c r="U5146"/>
    </row>
    <row r="5147" spans="6:21" x14ac:dyDescent="0.25">
      <c r="F5147"/>
      <c r="O5147"/>
      <c r="R5147"/>
      <c r="S5147"/>
      <c r="T5147"/>
      <c r="U5147"/>
    </row>
    <row r="5148" spans="6:21" x14ac:dyDescent="0.25">
      <c r="F5148"/>
      <c r="O5148"/>
      <c r="R5148"/>
      <c r="S5148"/>
      <c r="T5148"/>
      <c r="U5148"/>
    </row>
    <row r="5149" spans="6:21" x14ac:dyDescent="0.25">
      <c r="F5149"/>
      <c r="O5149"/>
      <c r="R5149"/>
      <c r="S5149"/>
      <c r="T5149"/>
      <c r="U5149"/>
    </row>
    <row r="5150" spans="6:21" x14ac:dyDescent="0.25">
      <c r="F5150"/>
      <c r="O5150"/>
      <c r="R5150"/>
      <c r="S5150"/>
      <c r="T5150"/>
      <c r="U5150"/>
    </row>
    <row r="5151" spans="6:21" x14ac:dyDescent="0.25">
      <c r="F5151"/>
      <c r="O5151"/>
      <c r="R5151"/>
      <c r="S5151"/>
      <c r="T5151"/>
      <c r="U5151"/>
    </row>
    <row r="5152" spans="6:21" x14ac:dyDescent="0.25">
      <c r="F5152"/>
      <c r="O5152"/>
      <c r="R5152"/>
      <c r="S5152"/>
      <c r="T5152"/>
      <c r="U5152"/>
    </row>
    <row r="5153" spans="6:21" x14ac:dyDescent="0.25">
      <c r="F5153"/>
      <c r="O5153"/>
      <c r="R5153"/>
      <c r="S5153"/>
      <c r="T5153"/>
      <c r="U5153"/>
    </row>
    <row r="5154" spans="6:21" x14ac:dyDescent="0.25">
      <c r="F5154"/>
      <c r="O5154"/>
      <c r="R5154"/>
      <c r="S5154"/>
      <c r="T5154"/>
      <c r="U5154"/>
    </row>
    <row r="5155" spans="6:21" x14ac:dyDescent="0.25">
      <c r="F5155"/>
      <c r="O5155"/>
      <c r="R5155"/>
      <c r="S5155"/>
      <c r="T5155"/>
      <c r="U5155"/>
    </row>
    <row r="5156" spans="6:21" x14ac:dyDescent="0.25">
      <c r="F5156"/>
      <c r="O5156"/>
      <c r="R5156"/>
      <c r="S5156"/>
      <c r="T5156"/>
      <c r="U5156"/>
    </row>
    <row r="5157" spans="6:21" x14ac:dyDescent="0.25">
      <c r="F5157"/>
      <c r="O5157"/>
      <c r="R5157"/>
      <c r="S5157"/>
      <c r="T5157"/>
      <c r="U5157"/>
    </row>
    <row r="5158" spans="6:21" x14ac:dyDescent="0.25">
      <c r="F5158"/>
      <c r="O5158"/>
      <c r="R5158"/>
      <c r="S5158"/>
      <c r="T5158"/>
      <c r="U5158"/>
    </row>
    <row r="5159" spans="6:21" x14ac:dyDescent="0.25">
      <c r="F5159"/>
      <c r="O5159"/>
      <c r="R5159"/>
      <c r="S5159"/>
      <c r="T5159"/>
      <c r="U5159"/>
    </row>
    <row r="5160" spans="6:21" x14ac:dyDescent="0.25">
      <c r="F5160"/>
      <c r="O5160"/>
      <c r="R5160"/>
      <c r="S5160"/>
      <c r="T5160"/>
      <c r="U5160"/>
    </row>
    <row r="5161" spans="6:21" x14ac:dyDescent="0.25">
      <c r="F5161"/>
      <c r="O5161"/>
      <c r="R5161"/>
      <c r="S5161"/>
      <c r="T5161"/>
      <c r="U5161"/>
    </row>
    <row r="5162" spans="6:21" x14ac:dyDescent="0.25">
      <c r="F5162"/>
      <c r="O5162"/>
      <c r="R5162"/>
      <c r="S5162"/>
      <c r="T5162"/>
      <c r="U5162"/>
    </row>
    <row r="5163" spans="6:21" x14ac:dyDescent="0.25">
      <c r="F5163"/>
      <c r="O5163"/>
      <c r="R5163"/>
      <c r="S5163"/>
      <c r="T5163"/>
      <c r="U5163"/>
    </row>
    <row r="5164" spans="6:21" x14ac:dyDescent="0.25">
      <c r="F5164"/>
      <c r="O5164"/>
      <c r="R5164"/>
      <c r="S5164"/>
      <c r="T5164"/>
      <c r="U5164"/>
    </row>
    <row r="5165" spans="6:21" x14ac:dyDescent="0.25">
      <c r="F5165"/>
      <c r="O5165"/>
      <c r="R5165"/>
      <c r="S5165"/>
      <c r="T5165"/>
      <c r="U5165"/>
    </row>
    <row r="5166" spans="6:21" x14ac:dyDescent="0.25">
      <c r="F5166"/>
      <c r="O5166"/>
      <c r="R5166"/>
      <c r="S5166"/>
      <c r="T5166"/>
      <c r="U5166"/>
    </row>
    <row r="5167" spans="6:21" x14ac:dyDescent="0.25">
      <c r="F5167"/>
      <c r="O5167"/>
      <c r="R5167"/>
      <c r="S5167"/>
      <c r="T5167"/>
      <c r="U5167"/>
    </row>
    <row r="5168" spans="6:21" x14ac:dyDescent="0.25">
      <c r="F5168"/>
      <c r="O5168"/>
      <c r="R5168"/>
      <c r="S5168"/>
      <c r="T5168"/>
      <c r="U5168"/>
    </row>
    <row r="5169" spans="6:21" x14ac:dyDescent="0.25">
      <c r="F5169"/>
      <c r="O5169"/>
      <c r="R5169"/>
      <c r="S5169"/>
      <c r="T5169"/>
      <c r="U5169"/>
    </row>
    <row r="5170" spans="6:21" x14ac:dyDescent="0.25">
      <c r="F5170"/>
      <c r="O5170"/>
      <c r="R5170"/>
      <c r="S5170"/>
      <c r="T5170"/>
      <c r="U5170"/>
    </row>
    <row r="5171" spans="6:21" x14ac:dyDescent="0.25">
      <c r="F5171"/>
      <c r="O5171"/>
      <c r="R5171"/>
      <c r="S5171"/>
      <c r="T5171"/>
      <c r="U5171"/>
    </row>
    <row r="5172" spans="6:21" x14ac:dyDescent="0.25">
      <c r="F5172"/>
      <c r="O5172"/>
      <c r="R5172"/>
      <c r="S5172"/>
      <c r="T5172"/>
      <c r="U5172"/>
    </row>
    <row r="5173" spans="6:21" x14ac:dyDescent="0.25">
      <c r="F5173"/>
      <c r="O5173"/>
      <c r="R5173"/>
      <c r="S5173"/>
      <c r="T5173"/>
      <c r="U5173"/>
    </row>
    <row r="5174" spans="6:21" x14ac:dyDescent="0.25">
      <c r="F5174"/>
      <c r="O5174"/>
      <c r="R5174"/>
      <c r="S5174"/>
      <c r="T5174"/>
      <c r="U5174"/>
    </row>
    <row r="5175" spans="6:21" x14ac:dyDescent="0.25">
      <c r="F5175"/>
      <c r="O5175"/>
      <c r="R5175"/>
      <c r="S5175"/>
      <c r="T5175"/>
      <c r="U5175"/>
    </row>
    <row r="5176" spans="6:21" x14ac:dyDescent="0.25">
      <c r="F5176"/>
      <c r="O5176"/>
      <c r="R5176"/>
      <c r="S5176"/>
      <c r="T5176"/>
      <c r="U5176"/>
    </row>
    <row r="5177" spans="6:21" x14ac:dyDescent="0.25">
      <c r="F5177"/>
      <c r="O5177"/>
      <c r="R5177"/>
      <c r="S5177"/>
      <c r="T5177"/>
      <c r="U5177"/>
    </row>
    <row r="5178" spans="6:21" x14ac:dyDescent="0.25">
      <c r="F5178"/>
      <c r="O5178"/>
      <c r="R5178"/>
      <c r="S5178"/>
      <c r="T5178"/>
      <c r="U5178"/>
    </row>
    <row r="5179" spans="6:21" x14ac:dyDescent="0.25">
      <c r="F5179"/>
      <c r="O5179"/>
      <c r="R5179"/>
      <c r="S5179"/>
      <c r="T5179"/>
      <c r="U5179"/>
    </row>
    <row r="5180" spans="6:21" x14ac:dyDescent="0.25">
      <c r="F5180"/>
      <c r="O5180"/>
      <c r="R5180"/>
      <c r="S5180"/>
      <c r="T5180"/>
      <c r="U5180"/>
    </row>
    <row r="5181" spans="6:21" x14ac:dyDescent="0.25">
      <c r="F5181"/>
      <c r="O5181"/>
      <c r="R5181"/>
      <c r="S5181"/>
      <c r="T5181"/>
      <c r="U5181"/>
    </row>
    <row r="5182" spans="6:21" x14ac:dyDescent="0.25">
      <c r="F5182"/>
      <c r="O5182"/>
      <c r="R5182"/>
      <c r="S5182"/>
      <c r="T5182"/>
      <c r="U5182"/>
    </row>
    <row r="5183" spans="6:21" x14ac:dyDescent="0.25">
      <c r="F5183"/>
      <c r="O5183"/>
      <c r="R5183"/>
      <c r="S5183"/>
      <c r="T5183"/>
      <c r="U5183"/>
    </row>
    <row r="5184" spans="6:21" x14ac:dyDescent="0.25">
      <c r="F5184"/>
      <c r="O5184"/>
      <c r="R5184"/>
      <c r="S5184"/>
      <c r="T5184"/>
      <c r="U5184"/>
    </row>
    <row r="5185" spans="6:21" x14ac:dyDescent="0.25">
      <c r="F5185"/>
      <c r="O5185"/>
      <c r="R5185"/>
      <c r="S5185"/>
      <c r="T5185"/>
      <c r="U5185"/>
    </row>
    <row r="5186" spans="6:21" x14ac:dyDescent="0.25">
      <c r="F5186"/>
      <c r="O5186"/>
      <c r="R5186"/>
      <c r="S5186"/>
      <c r="T5186"/>
      <c r="U5186"/>
    </row>
    <row r="5187" spans="6:21" x14ac:dyDescent="0.25">
      <c r="F5187"/>
      <c r="O5187"/>
      <c r="R5187"/>
      <c r="S5187"/>
      <c r="T5187"/>
      <c r="U5187"/>
    </row>
    <row r="5188" spans="6:21" x14ac:dyDescent="0.25">
      <c r="F5188"/>
      <c r="O5188"/>
      <c r="R5188"/>
      <c r="S5188"/>
      <c r="T5188"/>
      <c r="U5188"/>
    </row>
    <row r="5189" spans="6:21" x14ac:dyDescent="0.25">
      <c r="F5189"/>
      <c r="O5189"/>
      <c r="R5189"/>
      <c r="S5189"/>
      <c r="T5189"/>
      <c r="U5189"/>
    </row>
    <row r="5190" spans="6:21" x14ac:dyDescent="0.25">
      <c r="F5190"/>
      <c r="O5190"/>
      <c r="R5190"/>
      <c r="S5190"/>
      <c r="T5190"/>
      <c r="U5190"/>
    </row>
    <row r="5191" spans="6:21" x14ac:dyDescent="0.25">
      <c r="F5191"/>
      <c r="O5191"/>
      <c r="R5191"/>
      <c r="S5191"/>
      <c r="T5191"/>
      <c r="U5191"/>
    </row>
    <row r="5192" spans="6:21" x14ac:dyDescent="0.25">
      <c r="F5192"/>
      <c r="O5192"/>
      <c r="R5192"/>
      <c r="S5192"/>
      <c r="T5192"/>
      <c r="U5192"/>
    </row>
    <row r="5193" spans="6:21" x14ac:dyDescent="0.25">
      <c r="F5193"/>
      <c r="O5193"/>
      <c r="R5193"/>
      <c r="S5193"/>
      <c r="T5193"/>
      <c r="U5193"/>
    </row>
    <row r="5194" spans="6:21" x14ac:dyDescent="0.25">
      <c r="F5194"/>
      <c r="O5194"/>
      <c r="R5194"/>
      <c r="S5194"/>
      <c r="T5194"/>
      <c r="U5194"/>
    </row>
    <row r="5195" spans="6:21" x14ac:dyDescent="0.25">
      <c r="F5195"/>
      <c r="O5195"/>
      <c r="R5195"/>
      <c r="S5195"/>
      <c r="T5195"/>
      <c r="U5195"/>
    </row>
    <row r="5196" spans="6:21" x14ac:dyDescent="0.25">
      <c r="F5196"/>
      <c r="O5196"/>
      <c r="R5196"/>
      <c r="S5196"/>
      <c r="T5196"/>
      <c r="U5196"/>
    </row>
    <row r="5197" spans="6:21" x14ac:dyDescent="0.25">
      <c r="F5197"/>
      <c r="O5197"/>
      <c r="R5197"/>
      <c r="S5197"/>
      <c r="T5197"/>
      <c r="U5197"/>
    </row>
    <row r="5198" spans="6:21" x14ac:dyDescent="0.25">
      <c r="F5198"/>
      <c r="O5198"/>
      <c r="R5198"/>
      <c r="S5198"/>
      <c r="T5198"/>
      <c r="U5198"/>
    </row>
    <row r="5199" spans="6:21" x14ac:dyDescent="0.25">
      <c r="F5199"/>
      <c r="O5199"/>
      <c r="R5199"/>
      <c r="S5199"/>
      <c r="T5199"/>
      <c r="U5199"/>
    </row>
    <row r="5200" spans="6:21" x14ac:dyDescent="0.25">
      <c r="F5200"/>
      <c r="O5200"/>
      <c r="R5200"/>
      <c r="S5200"/>
      <c r="T5200"/>
      <c r="U5200"/>
    </row>
    <row r="5201" spans="6:21" x14ac:dyDescent="0.25">
      <c r="F5201"/>
      <c r="O5201"/>
      <c r="R5201"/>
      <c r="S5201"/>
      <c r="T5201"/>
      <c r="U5201"/>
    </row>
    <row r="5202" spans="6:21" x14ac:dyDescent="0.25">
      <c r="F5202"/>
      <c r="O5202"/>
      <c r="R5202"/>
      <c r="S5202"/>
      <c r="T5202"/>
      <c r="U5202"/>
    </row>
    <row r="5203" spans="6:21" x14ac:dyDescent="0.25">
      <c r="F5203"/>
      <c r="O5203"/>
      <c r="R5203"/>
      <c r="S5203"/>
      <c r="T5203"/>
      <c r="U5203"/>
    </row>
    <row r="5204" spans="6:21" x14ac:dyDescent="0.25">
      <c r="F5204"/>
      <c r="O5204"/>
      <c r="R5204"/>
      <c r="S5204"/>
      <c r="T5204"/>
      <c r="U5204"/>
    </row>
    <row r="5205" spans="6:21" x14ac:dyDescent="0.25">
      <c r="F5205"/>
      <c r="O5205"/>
      <c r="R5205"/>
      <c r="S5205"/>
      <c r="T5205"/>
      <c r="U5205"/>
    </row>
    <row r="5206" spans="6:21" x14ac:dyDescent="0.25">
      <c r="F5206"/>
      <c r="O5206"/>
      <c r="R5206"/>
      <c r="S5206"/>
      <c r="T5206"/>
      <c r="U5206"/>
    </row>
    <row r="5207" spans="6:21" x14ac:dyDescent="0.25">
      <c r="F5207"/>
      <c r="O5207"/>
      <c r="R5207"/>
      <c r="S5207"/>
      <c r="T5207"/>
      <c r="U5207"/>
    </row>
    <row r="5208" spans="6:21" x14ac:dyDescent="0.25">
      <c r="F5208"/>
      <c r="O5208"/>
      <c r="R5208"/>
      <c r="S5208"/>
      <c r="T5208"/>
      <c r="U5208"/>
    </row>
    <row r="5209" spans="6:21" x14ac:dyDescent="0.25">
      <c r="F5209"/>
      <c r="O5209"/>
      <c r="R5209"/>
      <c r="S5209"/>
      <c r="T5209"/>
      <c r="U5209"/>
    </row>
    <row r="5210" spans="6:21" x14ac:dyDescent="0.25">
      <c r="F5210"/>
      <c r="O5210"/>
      <c r="R5210"/>
      <c r="S5210"/>
      <c r="T5210"/>
      <c r="U5210"/>
    </row>
    <row r="5211" spans="6:21" x14ac:dyDescent="0.25">
      <c r="F5211"/>
      <c r="O5211"/>
      <c r="R5211"/>
      <c r="S5211"/>
      <c r="T5211"/>
      <c r="U5211"/>
    </row>
    <row r="5212" spans="6:21" x14ac:dyDescent="0.25">
      <c r="F5212"/>
      <c r="O5212"/>
      <c r="R5212"/>
      <c r="S5212"/>
      <c r="T5212"/>
      <c r="U5212"/>
    </row>
    <row r="5213" spans="6:21" x14ac:dyDescent="0.25">
      <c r="F5213"/>
      <c r="O5213"/>
      <c r="R5213"/>
      <c r="S5213"/>
      <c r="T5213"/>
      <c r="U5213"/>
    </row>
    <row r="5214" spans="6:21" x14ac:dyDescent="0.25">
      <c r="F5214"/>
      <c r="O5214"/>
      <c r="R5214"/>
      <c r="S5214"/>
      <c r="T5214"/>
      <c r="U5214"/>
    </row>
    <row r="5215" spans="6:21" x14ac:dyDescent="0.25">
      <c r="F5215"/>
      <c r="O5215"/>
      <c r="R5215"/>
      <c r="S5215"/>
      <c r="T5215"/>
      <c r="U5215"/>
    </row>
    <row r="5216" spans="6:21" x14ac:dyDescent="0.25">
      <c r="F5216"/>
      <c r="O5216"/>
      <c r="R5216"/>
      <c r="S5216"/>
      <c r="T5216"/>
      <c r="U5216"/>
    </row>
    <row r="5217" spans="6:21" x14ac:dyDescent="0.25">
      <c r="F5217"/>
      <c r="O5217"/>
      <c r="R5217"/>
      <c r="S5217"/>
      <c r="T5217"/>
      <c r="U5217"/>
    </row>
    <row r="5218" spans="6:21" x14ac:dyDescent="0.25">
      <c r="F5218"/>
      <c r="O5218"/>
      <c r="R5218"/>
      <c r="S5218"/>
      <c r="T5218"/>
      <c r="U5218"/>
    </row>
    <row r="5219" spans="6:21" x14ac:dyDescent="0.25">
      <c r="F5219"/>
      <c r="O5219"/>
      <c r="R5219"/>
      <c r="S5219"/>
      <c r="T5219"/>
      <c r="U5219"/>
    </row>
    <row r="5220" spans="6:21" x14ac:dyDescent="0.25">
      <c r="F5220"/>
      <c r="O5220"/>
      <c r="R5220"/>
      <c r="S5220"/>
      <c r="T5220"/>
      <c r="U5220"/>
    </row>
    <row r="5221" spans="6:21" x14ac:dyDescent="0.25">
      <c r="F5221"/>
      <c r="O5221"/>
      <c r="R5221"/>
      <c r="S5221"/>
      <c r="T5221"/>
      <c r="U5221"/>
    </row>
    <row r="5222" spans="6:21" x14ac:dyDescent="0.25">
      <c r="F5222"/>
      <c r="O5222"/>
      <c r="R5222"/>
      <c r="S5222"/>
      <c r="T5222"/>
      <c r="U5222"/>
    </row>
    <row r="5223" spans="6:21" x14ac:dyDescent="0.25">
      <c r="F5223"/>
      <c r="O5223"/>
      <c r="R5223"/>
      <c r="S5223"/>
      <c r="T5223"/>
      <c r="U5223"/>
    </row>
    <row r="5224" spans="6:21" x14ac:dyDescent="0.25">
      <c r="F5224"/>
      <c r="O5224"/>
      <c r="R5224"/>
      <c r="S5224"/>
      <c r="T5224"/>
      <c r="U5224"/>
    </row>
    <row r="5225" spans="6:21" x14ac:dyDescent="0.25">
      <c r="F5225"/>
      <c r="O5225"/>
      <c r="R5225"/>
      <c r="S5225"/>
      <c r="T5225"/>
      <c r="U5225"/>
    </row>
    <row r="5226" spans="6:21" x14ac:dyDescent="0.25">
      <c r="F5226"/>
      <c r="O5226"/>
      <c r="R5226"/>
      <c r="S5226"/>
      <c r="T5226"/>
      <c r="U5226"/>
    </row>
    <row r="5227" spans="6:21" x14ac:dyDescent="0.25">
      <c r="F5227"/>
      <c r="O5227"/>
      <c r="R5227"/>
      <c r="S5227"/>
      <c r="T5227"/>
      <c r="U5227"/>
    </row>
    <row r="5228" spans="6:21" x14ac:dyDescent="0.25">
      <c r="F5228"/>
      <c r="O5228"/>
      <c r="R5228"/>
      <c r="S5228"/>
      <c r="T5228"/>
      <c r="U5228"/>
    </row>
    <row r="5229" spans="6:21" x14ac:dyDescent="0.25">
      <c r="F5229"/>
      <c r="O5229"/>
      <c r="R5229"/>
      <c r="S5229"/>
      <c r="T5229"/>
      <c r="U5229"/>
    </row>
    <row r="5230" spans="6:21" x14ac:dyDescent="0.25">
      <c r="F5230"/>
      <c r="O5230"/>
      <c r="R5230"/>
      <c r="S5230"/>
      <c r="T5230"/>
      <c r="U5230"/>
    </row>
    <row r="5231" spans="6:21" x14ac:dyDescent="0.25">
      <c r="F5231"/>
      <c r="O5231"/>
      <c r="R5231"/>
      <c r="S5231"/>
      <c r="T5231"/>
      <c r="U5231"/>
    </row>
    <row r="5232" spans="6:21" x14ac:dyDescent="0.25">
      <c r="F5232"/>
      <c r="O5232"/>
      <c r="R5232"/>
      <c r="S5232"/>
      <c r="T5232"/>
      <c r="U5232"/>
    </row>
    <row r="5233" spans="6:21" x14ac:dyDescent="0.25">
      <c r="F5233"/>
      <c r="O5233"/>
      <c r="R5233"/>
      <c r="S5233"/>
      <c r="T5233"/>
      <c r="U5233"/>
    </row>
    <row r="5234" spans="6:21" x14ac:dyDescent="0.25">
      <c r="F5234"/>
      <c r="O5234"/>
      <c r="R5234"/>
      <c r="S5234"/>
      <c r="T5234"/>
      <c r="U5234"/>
    </row>
    <row r="5235" spans="6:21" x14ac:dyDescent="0.25">
      <c r="F5235"/>
      <c r="O5235"/>
      <c r="R5235"/>
      <c r="S5235"/>
      <c r="T5235"/>
      <c r="U5235"/>
    </row>
    <row r="5236" spans="6:21" x14ac:dyDescent="0.25">
      <c r="F5236"/>
      <c r="O5236"/>
      <c r="R5236"/>
      <c r="S5236"/>
      <c r="T5236"/>
      <c r="U5236"/>
    </row>
    <row r="5237" spans="6:21" x14ac:dyDescent="0.25">
      <c r="F5237"/>
      <c r="O5237"/>
      <c r="R5237"/>
      <c r="S5237"/>
      <c r="T5237"/>
      <c r="U5237"/>
    </row>
    <row r="5238" spans="6:21" x14ac:dyDescent="0.25">
      <c r="F5238"/>
      <c r="O5238"/>
      <c r="R5238"/>
      <c r="S5238"/>
      <c r="T5238"/>
      <c r="U5238"/>
    </row>
    <row r="5239" spans="6:21" x14ac:dyDescent="0.25">
      <c r="F5239"/>
      <c r="O5239"/>
      <c r="R5239"/>
      <c r="S5239"/>
      <c r="T5239"/>
      <c r="U5239"/>
    </row>
    <row r="5240" spans="6:21" x14ac:dyDescent="0.25">
      <c r="F5240"/>
      <c r="O5240"/>
      <c r="R5240"/>
      <c r="S5240"/>
      <c r="T5240"/>
      <c r="U5240"/>
    </row>
    <row r="5241" spans="6:21" x14ac:dyDescent="0.25">
      <c r="F5241"/>
      <c r="O5241"/>
      <c r="R5241"/>
      <c r="S5241"/>
      <c r="T5241"/>
      <c r="U5241"/>
    </row>
    <row r="5242" spans="6:21" x14ac:dyDescent="0.25">
      <c r="F5242"/>
      <c r="O5242"/>
      <c r="R5242"/>
      <c r="S5242"/>
      <c r="T5242"/>
      <c r="U5242"/>
    </row>
    <row r="5243" spans="6:21" x14ac:dyDescent="0.25">
      <c r="F5243"/>
      <c r="O5243"/>
      <c r="R5243"/>
      <c r="S5243"/>
      <c r="T5243"/>
      <c r="U5243"/>
    </row>
    <row r="5244" spans="6:21" x14ac:dyDescent="0.25">
      <c r="F5244"/>
      <c r="O5244"/>
      <c r="R5244"/>
      <c r="S5244"/>
      <c r="T5244"/>
      <c r="U5244"/>
    </row>
    <row r="5245" spans="6:21" x14ac:dyDescent="0.25">
      <c r="F5245"/>
      <c r="O5245"/>
      <c r="R5245"/>
      <c r="S5245"/>
      <c r="T5245"/>
      <c r="U5245"/>
    </row>
    <row r="5246" spans="6:21" x14ac:dyDescent="0.25">
      <c r="F5246"/>
      <c r="O5246"/>
      <c r="R5246"/>
      <c r="S5246"/>
      <c r="T5246"/>
      <c r="U5246"/>
    </row>
    <row r="5247" spans="6:21" x14ac:dyDescent="0.25">
      <c r="F5247"/>
      <c r="O5247"/>
      <c r="R5247"/>
      <c r="S5247"/>
      <c r="T5247"/>
      <c r="U5247"/>
    </row>
    <row r="5248" spans="6:21" x14ac:dyDescent="0.25">
      <c r="F5248"/>
      <c r="O5248"/>
      <c r="R5248"/>
      <c r="S5248"/>
      <c r="T5248"/>
      <c r="U5248"/>
    </row>
    <row r="5249" spans="6:21" x14ac:dyDescent="0.25">
      <c r="F5249"/>
      <c r="O5249"/>
      <c r="R5249"/>
      <c r="S5249"/>
      <c r="T5249"/>
      <c r="U5249"/>
    </row>
    <row r="5250" spans="6:21" x14ac:dyDescent="0.25">
      <c r="F5250"/>
      <c r="O5250"/>
      <c r="R5250"/>
      <c r="S5250"/>
      <c r="T5250"/>
      <c r="U5250"/>
    </row>
    <row r="5251" spans="6:21" x14ac:dyDescent="0.25">
      <c r="F5251"/>
      <c r="O5251"/>
      <c r="R5251"/>
      <c r="S5251"/>
      <c r="T5251"/>
      <c r="U5251"/>
    </row>
    <row r="5252" spans="6:21" x14ac:dyDescent="0.25">
      <c r="F5252"/>
      <c r="O5252"/>
      <c r="R5252"/>
      <c r="S5252"/>
      <c r="T5252"/>
      <c r="U5252"/>
    </row>
    <row r="5253" spans="6:21" x14ac:dyDescent="0.25">
      <c r="F5253"/>
      <c r="O5253"/>
      <c r="R5253"/>
      <c r="S5253"/>
      <c r="T5253"/>
      <c r="U5253"/>
    </row>
    <row r="5254" spans="6:21" x14ac:dyDescent="0.25">
      <c r="F5254"/>
      <c r="O5254"/>
      <c r="R5254"/>
      <c r="S5254"/>
      <c r="T5254"/>
      <c r="U5254"/>
    </row>
    <row r="5255" spans="6:21" x14ac:dyDescent="0.25">
      <c r="F5255"/>
      <c r="O5255"/>
      <c r="R5255"/>
      <c r="S5255"/>
      <c r="T5255"/>
      <c r="U5255"/>
    </row>
    <row r="5256" spans="6:21" x14ac:dyDescent="0.25">
      <c r="F5256"/>
      <c r="O5256"/>
      <c r="R5256"/>
      <c r="S5256"/>
      <c r="T5256"/>
      <c r="U5256"/>
    </row>
    <row r="5257" spans="6:21" x14ac:dyDescent="0.25">
      <c r="F5257"/>
      <c r="O5257"/>
      <c r="R5257"/>
      <c r="S5257"/>
      <c r="T5257"/>
      <c r="U5257"/>
    </row>
    <row r="5258" spans="6:21" x14ac:dyDescent="0.25">
      <c r="F5258"/>
      <c r="O5258"/>
      <c r="R5258"/>
      <c r="S5258"/>
      <c r="T5258"/>
      <c r="U5258"/>
    </row>
    <row r="5259" spans="6:21" x14ac:dyDescent="0.25">
      <c r="F5259"/>
      <c r="O5259"/>
      <c r="R5259"/>
      <c r="S5259"/>
      <c r="T5259"/>
      <c r="U5259"/>
    </row>
    <row r="5260" spans="6:21" x14ac:dyDescent="0.25">
      <c r="F5260"/>
      <c r="O5260"/>
      <c r="R5260"/>
      <c r="S5260"/>
      <c r="T5260"/>
      <c r="U5260"/>
    </row>
    <row r="5261" spans="6:21" x14ac:dyDescent="0.25">
      <c r="F5261"/>
      <c r="O5261"/>
      <c r="R5261"/>
      <c r="S5261"/>
      <c r="T5261"/>
      <c r="U5261"/>
    </row>
    <row r="5262" spans="6:21" x14ac:dyDescent="0.25">
      <c r="F5262"/>
      <c r="O5262"/>
      <c r="R5262"/>
      <c r="S5262"/>
      <c r="T5262"/>
      <c r="U5262"/>
    </row>
    <row r="5263" spans="6:21" x14ac:dyDescent="0.25">
      <c r="F5263"/>
      <c r="O5263"/>
      <c r="R5263"/>
      <c r="S5263"/>
      <c r="T5263"/>
      <c r="U5263"/>
    </row>
    <row r="5264" spans="6:21" x14ac:dyDescent="0.25">
      <c r="F5264"/>
      <c r="O5264"/>
      <c r="R5264"/>
      <c r="S5264"/>
      <c r="T5264"/>
      <c r="U5264"/>
    </row>
    <row r="5265" spans="6:21" x14ac:dyDescent="0.25">
      <c r="F5265"/>
      <c r="O5265"/>
      <c r="R5265"/>
      <c r="S5265"/>
      <c r="T5265"/>
      <c r="U5265"/>
    </row>
    <row r="5266" spans="6:21" x14ac:dyDescent="0.25">
      <c r="F5266"/>
      <c r="O5266"/>
      <c r="R5266"/>
      <c r="S5266"/>
      <c r="T5266"/>
      <c r="U5266"/>
    </row>
    <row r="5267" spans="6:21" x14ac:dyDescent="0.25">
      <c r="F5267"/>
      <c r="O5267"/>
      <c r="R5267"/>
      <c r="S5267"/>
      <c r="T5267"/>
      <c r="U5267"/>
    </row>
    <row r="5268" spans="6:21" x14ac:dyDescent="0.25">
      <c r="F5268"/>
      <c r="O5268"/>
      <c r="R5268"/>
      <c r="S5268"/>
      <c r="T5268"/>
      <c r="U5268"/>
    </row>
    <row r="5269" spans="6:21" x14ac:dyDescent="0.25">
      <c r="F5269"/>
      <c r="O5269"/>
      <c r="R5269"/>
      <c r="S5269"/>
      <c r="T5269"/>
      <c r="U5269"/>
    </row>
    <row r="5270" spans="6:21" x14ac:dyDescent="0.25">
      <c r="F5270"/>
      <c r="O5270"/>
      <c r="R5270"/>
      <c r="S5270"/>
      <c r="T5270"/>
      <c r="U5270"/>
    </row>
    <row r="5271" spans="6:21" x14ac:dyDescent="0.25">
      <c r="F5271"/>
      <c r="O5271"/>
      <c r="R5271"/>
      <c r="S5271"/>
      <c r="T5271"/>
      <c r="U5271"/>
    </row>
    <row r="5272" spans="6:21" x14ac:dyDescent="0.25">
      <c r="F5272"/>
      <c r="O5272"/>
      <c r="R5272"/>
      <c r="S5272"/>
      <c r="T5272"/>
      <c r="U5272"/>
    </row>
    <row r="5273" spans="6:21" x14ac:dyDescent="0.25">
      <c r="F5273"/>
      <c r="O5273"/>
      <c r="R5273"/>
      <c r="S5273"/>
      <c r="T5273"/>
      <c r="U5273"/>
    </row>
    <row r="5274" spans="6:21" x14ac:dyDescent="0.25">
      <c r="F5274"/>
      <c r="O5274"/>
      <c r="R5274"/>
      <c r="S5274"/>
      <c r="T5274"/>
      <c r="U5274"/>
    </row>
    <row r="5275" spans="6:21" x14ac:dyDescent="0.25">
      <c r="F5275"/>
      <c r="O5275"/>
      <c r="R5275"/>
      <c r="S5275"/>
      <c r="T5275"/>
      <c r="U5275"/>
    </row>
    <row r="5276" spans="6:21" x14ac:dyDescent="0.25">
      <c r="F5276"/>
      <c r="O5276"/>
      <c r="R5276"/>
      <c r="S5276"/>
      <c r="T5276"/>
      <c r="U5276"/>
    </row>
    <row r="5277" spans="6:21" x14ac:dyDescent="0.25">
      <c r="F5277"/>
      <c r="O5277"/>
      <c r="R5277"/>
      <c r="S5277"/>
      <c r="T5277"/>
      <c r="U5277"/>
    </row>
    <row r="5278" spans="6:21" x14ac:dyDescent="0.25">
      <c r="F5278"/>
      <c r="O5278"/>
      <c r="R5278"/>
      <c r="S5278"/>
      <c r="T5278"/>
      <c r="U5278"/>
    </row>
    <row r="5279" spans="6:21" x14ac:dyDescent="0.25">
      <c r="F5279"/>
      <c r="O5279"/>
      <c r="R5279"/>
      <c r="S5279"/>
      <c r="T5279"/>
      <c r="U5279"/>
    </row>
    <row r="5280" spans="6:21" x14ac:dyDescent="0.25">
      <c r="F5280"/>
      <c r="O5280"/>
      <c r="R5280"/>
      <c r="S5280"/>
      <c r="T5280"/>
      <c r="U5280"/>
    </row>
    <row r="5281" spans="6:21" x14ac:dyDescent="0.25">
      <c r="F5281"/>
      <c r="O5281"/>
      <c r="R5281"/>
      <c r="S5281"/>
      <c r="T5281"/>
      <c r="U5281"/>
    </row>
    <row r="5282" spans="6:21" x14ac:dyDescent="0.25">
      <c r="F5282"/>
      <c r="O5282"/>
      <c r="R5282"/>
      <c r="S5282"/>
      <c r="T5282"/>
      <c r="U5282"/>
    </row>
    <row r="5283" spans="6:21" x14ac:dyDescent="0.25">
      <c r="F5283"/>
      <c r="O5283"/>
      <c r="R5283"/>
      <c r="S5283"/>
      <c r="T5283"/>
      <c r="U5283"/>
    </row>
    <row r="5284" spans="6:21" x14ac:dyDescent="0.25">
      <c r="F5284"/>
      <c r="O5284"/>
      <c r="R5284"/>
      <c r="S5284"/>
      <c r="T5284"/>
      <c r="U5284"/>
    </row>
    <row r="5285" spans="6:21" x14ac:dyDescent="0.25">
      <c r="F5285"/>
      <c r="O5285"/>
      <c r="R5285"/>
      <c r="S5285"/>
      <c r="T5285"/>
      <c r="U5285"/>
    </row>
    <row r="5286" spans="6:21" x14ac:dyDescent="0.25">
      <c r="F5286"/>
      <c r="O5286"/>
      <c r="R5286"/>
      <c r="S5286"/>
      <c r="T5286"/>
      <c r="U5286"/>
    </row>
    <row r="5287" spans="6:21" x14ac:dyDescent="0.25">
      <c r="F5287"/>
      <c r="O5287"/>
      <c r="R5287"/>
      <c r="S5287"/>
      <c r="T5287"/>
      <c r="U5287"/>
    </row>
    <row r="5288" spans="6:21" x14ac:dyDescent="0.25">
      <c r="F5288"/>
      <c r="O5288"/>
      <c r="R5288"/>
      <c r="S5288"/>
      <c r="T5288"/>
      <c r="U5288"/>
    </row>
    <row r="5289" spans="6:21" x14ac:dyDescent="0.25">
      <c r="F5289"/>
      <c r="O5289"/>
      <c r="R5289"/>
      <c r="S5289"/>
      <c r="T5289"/>
      <c r="U5289"/>
    </row>
    <row r="5290" spans="6:21" x14ac:dyDescent="0.25">
      <c r="F5290"/>
      <c r="O5290"/>
      <c r="R5290"/>
      <c r="S5290"/>
      <c r="T5290"/>
      <c r="U5290"/>
    </row>
    <row r="5291" spans="6:21" x14ac:dyDescent="0.25">
      <c r="F5291"/>
      <c r="O5291"/>
      <c r="R5291"/>
      <c r="S5291"/>
      <c r="T5291"/>
      <c r="U5291"/>
    </row>
    <row r="5292" spans="6:21" x14ac:dyDescent="0.25">
      <c r="F5292"/>
      <c r="O5292"/>
      <c r="R5292"/>
      <c r="S5292"/>
      <c r="T5292"/>
      <c r="U5292"/>
    </row>
    <row r="5293" spans="6:21" x14ac:dyDescent="0.25">
      <c r="F5293"/>
      <c r="O5293"/>
      <c r="R5293"/>
      <c r="S5293"/>
      <c r="T5293"/>
      <c r="U5293"/>
    </row>
    <row r="5294" spans="6:21" x14ac:dyDescent="0.25">
      <c r="F5294"/>
      <c r="O5294"/>
      <c r="R5294"/>
      <c r="S5294"/>
      <c r="T5294"/>
      <c r="U5294"/>
    </row>
    <row r="5295" spans="6:21" x14ac:dyDescent="0.25">
      <c r="F5295"/>
      <c r="O5295"/>
      <c r="R5295"/>
      <c r="S5295"/>
      <c r="T5295"/>
      <c r="U5295"/>
    </row>
    <row r="5296" spans="6:21" x14ac:dyDescent="0.25">
      <c r="F5296"/>
      <c r="O5296"/>
      <c r="R5296"/>
      <c r="S5296"/>
      <c r="T5296"/>
      <c r="U5296"/>
    </row>
    <row r="5297" spans="6:21" x14ac:dyDescent="0.25">
      <c r="F5297"/>
      <c r="O5297"/>
      <c r="R5297"/>
      <c r="S5297"/>
      <c r="T5297"/>
      <c r="U5297"/>
    </row>
    <row r="5298" spans="6:21" x14ac:dyDescent="0.25">
      <c r="F5298"/>
      <c r="O5298"/>
      <c r="R5298"/>
      <c r="S5298"/>
      <c r="T5298"/>
      <c r="U5298"/>
    </row>
    <row r="5299" spans="6:21" x14ac:dyDescent="0.25">
      <c r="F5299"/>
      <c r="O5299"/>
      <c r="R5299"/>
      <c r="S5299"/>
      <c r="T5299"/>
      <c r="U5299"/>
    </row>
    <row r="5300" spans="6:21" x14ac:dyDescent="0.25">
      <c r="F5300"/>
      <c r="O5300"/>
      <c r="R5300"/>
      <c r="S5300"/>
      <c r="T5300"/>
      <c r="U5300"/>
    </row>
    <row r="5301" spans="6:21" x14ac:dyDescent="0.25">
      <c r="F5301"/>
      <c r="O5301"/>
      <c r="R5301"/>
      <c r="S5301"/>
      <c r="T5301"/>
      <c r="U5301"/>
    </row>
    <row r="5302" spans="6:21" x14ac:dyDescent="0.25">
      <c r="F5302"/>
      <c r="O5302"/>
      <c r="R5302"/>
      <c r="S5302"/>
      <c r="T5302"/>
      <c r="U5302"/>
    </row>
    <row r="5303" spans="6:21" x14ac:dyDescent="0.25">
      <c r="F5303"/>
      <c r="O5303"/>
      <c r="R5303"/>
      <c r="S5303"/>
      <c r="T5303"/>
      <c r="U5303"/>
    </row>
    <row r="5304" spans="6:21" x14ac:dyDescent="0.25">
      <c r="F5304"/>
      <c r="O5304"/>
      <c r="R5304"/>
      <c r="S5304"/>
      <c r="T5304"/>
      <c r="U5304"/>
    </row>
    <row r="5305" spans="6:21" x14ac:dyDescent="0.25">
      <c r="F5305"/>
      <c r="O5305"/>
      <c r="R5305"/>
      <c r="S5305"/>
      <c r="T5305"/>
      <c r="U5305"/>
    </row>
    <row r="5306" spans="6:21" x14ac:dyDescent="0.25">
      <c r="F5306"/>
      <c r="O5306"/>
      <c r="R5306"/>
      <c r="S5306"/>
      <c r="T5306"/>
      <c r="U5306"/>
    </row>
    <row r="5307" spans="6:21" x14ac:dyDescent="0.25">
      <c r="F5307"/>
      <c r="O5307"/>
      <c r="R5307"/>
      <c r="S5307"/>
      <c r="T5307"/>
      <c r="U5307"/>
    </row>
    <row r="5308" spans="6:21" x14ac:dyDescent="0.25">
      <c r="F5308"/>
      <c r="O5308"/>
      <c r="R5308"/>
      <c r="S5308"/>
      <c r="T5308"/>
      <c r="U5308"/>
    </row>
    <row r="5309" spans="6:21" x14ac:dyDescent="0.25">
      <c r="F5309"/>
      <c r="O5309"/>
      <c r="R5309"/>
      <c r="S5309"/>
      <c r="T5309"/>
      <c r="U5309"/>
    </row>
    <row r="5310" spans="6:21" x14ac:dyDescent="0.25">
      <c r="F5310"/>
      <c r="O5310"/>
      <c r="R5310"/>
      <c r="S5310"/>
      <c r="T5310"/>
      <c r="U5310"/>
    </row>
    <row r="5311" spans="6:21" x14ac:dyDescent="0.25">
      <c r="F5311"/>
      <c r="O5311"/>
      <c r="R5311"/>
      <c r="S5311"/>
      <c r="T5311"/>
      <c r="U5311"/>
    </row>
    <row r="5312" spans="6:21" x14ac:dyDescent="0.25">
      <c r="F5312"/>
      <c r="O5312"/>
      <c r="R5312"/>
      <c r="S5312"/>
      <c r="T5312"/>
      <c r="U5312"/>
    </row>
    <row r="5313" spans="6:21" x14ac:dyDescent="0.25">
      <c r="F5313"/>
      <c r="O5313"/>
      <c r="R5313"/>
      <c r="S5313"/>
      <c r="T5313"/>
      <c r="U5313"/>
    </row>
    <row r="5314" spans="6:21" x14ac:dyDescent="0.25">
      <c r="F5314"/>
      <c r="O5314"/>
      <c r="R5314"/>
      <c r="S5314"/>
      <c r="T5314"/>
      <c r="U5314"/>
    </row>
    <row r="5315" spans="6:21" x14ac:dyDescent="0.25">
      <c r="F5315"/>
      <c r="O5315"/>
      <c r="R5315"/>
      <c r="S5315"/>
      <c r="T5315"/>
      <c r="U5315"/>
    </row>
    <row r="5316" spans="6:21" x14ac:dyDescent="0.25">
      <c r="F5316"/>
      <c r="O5316"/>
      <c r="R5316"/>
      <c r="S5316"/>
      <c r="T5316"/>
      <c r="U5316"/>
    </row>
    <row r="5317" spans="6:21" x14ac:dyDescent="0.25">
      <c r="F5317"/>
      <c r="O5317"/>
      <c r="R5317"/>
      <c r="S5317"/>
      <c r="T5317"/>
      <c r="U5317"/>
    </row>
    <row r="5318" spans="6:21" x14ac:dyDescent="0.25">
      <c r="F5318"/>
      <c r="O5318"/>
      <c r="R5318"/>
      <c r="S5318"/>
      <c r="T5318"/>
      <c r="U5318"/>
    </row>
    <row r="5319" spans="6:21" x14ac:dyDescent="0.25">
      <c r="F5319"/>
      <c r="O5319"/>
      <c r="R5319"/>
      <c r="S5319"/>
      <c r="T5319"/>
      <c r="U5319"/>
    </row>
    <row r="5320" spans="6:21" x14ac:dyDescent="0.25">
      <c r="F5320"/>
      <c r="O5320"/>
      <c r="R5320"/>
      <c r="S5320"/>
      <c r="T5320"/>
      <c r="U5320"/>
    </row>
    <row r="5321" spans="6:21" x14ac:dyDescent="0.25">
      <c r="F5321"/>
      <c r="O5321"/>
      <c r="R5321"/>
      <c r="S5321"/>
      <c r="T5321"/>
      <c r="U5321"/>
    </row>
    <row r="5322" spans="6:21" x14ac:dyDescent="0.25">
      <c r="F5322"/>
      <c r="O5322"/>
      <c r="R5322"/>
      <c r="S5322"/>
      <c r="T5322"/>
      <c r="U5322"/>
    </row>
    <row r="5323" spans="6:21" x14ac:dyDescent="0.25">
      <c r="F5323"/>
      <c r="O5323"/>
      <c r="R5323"/>
      <c r="S5323"/>
      <c r="T5323"/>
      <c r="U5323"/>
    </row>
    <row r="5324" spans="6:21" x14ac:dyDescent="0.25">
      <c r="F5324"/>
      <c r="O5324"/>
      <c r="R5324"/>
      <c r="S5324"/>
      <c r="T5324"/>
      <c r="U5324"/>
    </row>
    <row r="5325" spans="6:21" x14ac:dyDescent="0.25">
      <c r="F5325"/>
      <c r="O5325"/>
      <c r="R5325"/>
      <c r="S5325"/>
      <c r="T5325"/>
      <c r="U5325"/>
    </row>
    <row r="5326" spans="6:21" x14ac:dyDescent="0.25">
      <c r="F5326"/>
      <c r="O5326"/>
      <c r="R5326"/>
      <c r="S5326"/>
      <c r="T5326"/>
      <c r="U5326"/>
    </row>
    <row r="5327" spans="6:21" x14ac:dyDescent="0.25">
      <c r="F5327"/>
      <c r="O5327"/>
      <c r="R5327"/>
      <c r="S5327"/>
      <c r="T5327"/>
      <c r="U5327"/>
    </row>
    <row r="5328" spans="6:21" x14ac:dyDescent="0.25">
      <c r="F5328"/>
      <c r="O5328"/>
      <c r="R5328"/>
      <c r="S5328"/>
      <c r="T5328"/>
      <c r="U5328"/>
    </row>
    <row r="5329" spans="6:21" x14ac:dyDescent="0.25">
      <c r="F5329"/>
      <c r="O5329"/>
      <c r="R5329"/>
      <c r="S5329"/>
      <c r="T5329"/>
      <c r="U5329"/>
    </row>
    <row r="5330" spans="6:21" x14ac:dyDescent="0.25">
      <c r="F5330"/>
      <c r="O5330"/>
      <c r="R5330"/>
      <c r="S5330"/>
      <c r="T5330"/>
      <c r="U5330"/>
    </row>
    <row r="5331" spans="6:21" x14ac:dyDescent="0.25">
      <c r="F5331"/>
      <c r="O5331"/>
      <c r="R5331"/>
      <c r="S5331"/>
      <c r="T5331"/>
      <c r="U5331"/>
    </row>
    <row r="5332" spans="6:21" x14ac:dyDescent="0.25">
      <c r="F5332"/>
      <c r="O5332"/>
      <c r="R5332"/>
      <c r="S5332"/>
      <c r="T5332"/>
      <c r="U5332"/>
    </row>
    <row r="5333" spans="6:21" x14ac:dyDescent="0.25">
      <c r="F5333"/>
      <c r="O5333"/>
      <c r="R5333"/>
      <c r="S5333"/>
      <c r="T5333"/>
      <c r="U5333"/>
    </row>
    <row r="5334" spans="6:21" x14ac:dyDescent="0.25">
      <c r="F5334"/>
      <c r="O5334"/>
      <c r="R5334"/>
      <c r="S5334"/>
      <c r="T5334"/>
      <c r="U5334"/>
    </row>
    <row r="5335" spans="6:21" x14ac:dyDescent="0.25">
      <c r="F5335"/>
      <c r="O5335"/>
      <c r="R5335"/>
      <c r="S5335"/>
      <c r="T5335"/>
      <c r="U5335"/>
    </row>
    <row r="5336" spans="6:21" x14ac:dyDescent="0.25">
      <c r="F5336"/>
      <c r="O5336"/>
      <c r="R5336"/>
      <c r="S5336"/>
      <c r="T5336"/>
      <c r="U5336"/>
    </row>
    <row r="5337" spans="6:21" x14ac:dyDescent="0.25">
      <c r="F5337"/>
      <c r="O5337"/>
      <c r="R5337"/>
      <c r="S5337"/>
      <c r="T5337"/>
      <c r="U5337"/>
    </row>
    <row r="5338" spans="6:21" x14ac:dyDescent="0.25">
      <c r="F5338"/>
      <c r="O5338"/>
      <c r="R5338"/>
      <c r="S5338"/>
      <c r="T5338"/>
      <c r="U5338"/>
    </row>
    <row r="5339" spans="6:21" x14ac:dyDescent="0.25">
      <c r="F5339"/>
      <c r="O5339"/>
      <c r="R5339"/>
      <c r="S5339"/>
      <c r="T5339"/>
      <c r="U5339"/>
    </row>
    <row r="5340" spans="6:21" x14ac:dyDescent="0.25">
      <c r="F5340"/>
      <c r="O5340"/>
      <c r="R5340"/>
      <c r="S5340"/>
      <c r="T5340"/>
      <c r="U5340"/>
    </row>
    <row r="5341" spans="6:21" x14ac:dyDescent="0.25">
      <c r="F5341"/>
      <c r="O5341"/>
      <c r="R5341"/>
      <c r="S5341"/>
      <c r="T5341"/>
      <c r="U5341"/>
    </row>
    <row r="5342" spans="6:21" x14ac:dyDescent="0.25">
      <c r="F5342"/>
      <c r="O5342"/>
      <c r="R5342"/>
      <c r="S5342"/>
      <c r="T5342"/>
      <c r="U5342"/>
    </row>
    <row r="5343" spans="6:21" x14ac:dyDescent="0.25">
      <c r="F5343"/>
      <c r="O5343"/>
      <c r="R5343"/>
      <c r="S5343"/>
      <c r="T5343"/>
      <c r="U5343"/>
    </row>
    <row r="5344" spans="6:21" x14ac:dyDescent="0.25">
      <c r="F5344"/>
      <c r="O5344"/>
      <c r="R5344"/>
      <c r="S5344"/>
      <c r="T5344"/>
      <c r="U5344"/>
    </row>
    <row r="5345" spans="6:21" x14ac:dyDescent="0.25">
      <c r="F5345"/>
      <c r="O5345"/>
      <c r="R5345"/>
      <c r="S5345"/>
      <c r="T5345"/>
      <c r="U5345"/>
    </row>
    <row r="5346" spans="6:21" x14ac:dyDescent="0.25">
      <c r="F5346"/>
      <c r="O5346"/>
      <c r="R5346"/>
      <c r="S5346"/>
      <c r="T5346"/>
      <c r="U5346"/>
    </row>
    <row r="5347" spans="6:21" x14ac:dyDescent="0.25">
      <c r="F5347"/>
      <c r="O5347"/>
      <c r="R5347"/>
      <c r="S5347"/>
      <c r="T5347"/>
      <c r="U5347"/>
    </row>
    <row r="5348" spans="6:21" x14ac:dyDescent="0.25">
      <c r="F5348"/>
      <c r="O5348"/>
      <c r="R5348"/>
      <c r="S5348"/>
      <c r="T5348"/>
      <c r="U5348"/>
    </row>
    <row r="5349" spans="6:21" x14ac:dyDescent="0.25">
      <c r="F5349"/>
      <c r="O5349"/>
      <c r="R5349"/>
      <c r="S5349"/>
      <c r="T5349"/>
      <c r="U5349"/>
    </row>
    <row r="5350" spans="6:21" x14ac:dyDescent="0.25">
      <c r="F5350"/>
      <c r="O5350"/>
      <c r="R5350"/>
      <c r="S5350"/>
      <c r="T5350"/>
      <c r="U5350"/>
    </row>
    <row r="5351" spans="6:21" x14ac:dyDescent="0.25">
      <c r="F5351"/>
      <c r="O5351"/>
      <c r="R5351"/>
      <c r="S5351"/>
      <c r="T5351"/>
      <c r="U5351"/>
    </row>
    <row r="5352" spans="6:21" x14ac:dyDescent="0.25">
      <c r="F5352"/>
      <c r="O5352"/>
      <c r="R5352"/>
      <c r="S5352"/>
      <c r="T5352"/>
      <c r="U5352"/>
    </row>
    <row r="5353" spans="6:21" x14ac:dyDescent="0.25">
      <c r="F5353"/>
      <c r="O5353"/>
      <c r="R5353"/>
      <c r="S5353"/>
      <c r="T5353"/>
      <c r="U5353"/>
    </row>
    <row r="5354" spans="6:21" x14ac:dyDescent="0.25">
      <c r="F5354"/>
      <c r="O5354"/>
      <c r="R5354"/>
      <c r="S5354"/>
      <c r="T5354"/>
      <c r="U5354"/>
    </row>
    <row r="5355" spans="6:21" x14ac:dyDescent="0.25">
      <c r="F5355"/>
      <c r="O5355"/>
      <c r="R5355"/>
      <c r="S5355"/>
      <c r="T5355"/>
      <c r="U5355"/>
    </row>
    <row r="5356" spans="6:21" x14ac:dyDescent="0.25">
      <c r="F5356"/>
      <c r="O5356"/>
      <c r="R5356"/>
      <c r="S5356"/>
      <c r="T5356"/>
      <c r="U5356"/>
    </row>
    <row r="5357" spans="6:21" x14ac:dyDescent="0.25">
      <c r="F5357"/>
      <c r="O5357"/>
      <c r="R5357"/>
      <c r="S5357"/>
      <c r="T5357"/>
      <c r="U5357"/>
    </row>
    <row r="5358" spans="6:21" x14ac:dyDescent="0.25">
      <c r="F5358"/>
      <c r="O5358"/>
      <c r="R5358"/>
      <c r="S5358"/>
      <c r="T5358"/>
      <c r="U5358"/>
    </row>
    <row r="5359" spans="6:21" x14ac:dyDescent="0.25">
      <c r="F5359"/>
      <c r="O5359"/>
      <c r="R5359"/>
      <c r="S5359"/>
      <c r="T5359"/>
      <c r="U5359"/>
    </row>
    <row r="5360" spans="6:21" x14ac:dyDescent="0.25">
      <c r="F5360"/>
      <c r="O5360"/>
      <c r="R5360"/>
      <c r="S5360"/>
      <c r="T5360"/>
      <c r="U5360"/>
    </row>
    <row r="5361" spans="6:21" x14ac:dyDescent="0.25">
      <c r="F5361"/>
      <c r="O5361"/>
      <c r="R5361"/>
      <c r="S5361"/>
      <c r="T5361"/>
      <c r="U5361"/>
    </row>
    <row r="5362" spans="6:21" x14ac:dyDescent="0.25">
      <c r="F5362"/>
      <c r="O5362"/>
      <c r="R5362"/>
      <c r="S5362"/>
      <c r="T5362"/>
      <c r="U5362"/>
    </row>
    <row r="5363" spans="6:21" x14ac:dyDescent="0.25">
      <c r="F5363"/>
      <c r="O5363"/>
      <c r="R5363"/>
      <c r="S5363"/>
      <c r="T5363"/>
      <c r="U5363"/>
    </row>
    <row r="5364" spans="6:21" x14ac:dyDescent="0.25">
      <c r="F5364"/>
      <c r="O5364"/>
      <c r="R5364"/>
      <c r="S5364"/>
      <c r="T5364"/>
      <c r="U5364"/>
    </row>
    <row r="5365" spans="6:21" x14ac:dyDescent="0.25">
      <c r="F5365"/>
      <c r="O5365"/>
      <c r="R5365"/>
      <c r="S5365"/>
      <c r="T5365"/>
      <c r="U5365"/>
    </row>
    <row r="5366" spans="6:21" x14ac:dyDescent="0.25">
      <c r="F5366"/>
      <c r="O5366"/>
      <c r="R5366"/>
      <c r="S5366"/>
      <c r="T5366"/>
      <c r="U5366"/>
    </row>
    <row r="5367" spans="6:21" x14ac:dyDescent="0.25">
      <c r="F5367"/>
      <c r="O5367"/>
      <c r="R5367"/>
      <c r="S5367"/>
      <c r="T5367"/>
      <c r="U5367"/>
    </row>
    <row r="5368" spans="6:21" x14ac:dyDescent="0.25">
      <c r="F5368"/>
      <c r="O5368"/>
      <c r="R5368"/>
      <c r="S5368"/>
      <c r="T5368"/>
      <c r="U5368"/>
    </row>
    <row r="5369" spans="6:21" x14ac:dyDescent="0.25">
      <c r="F5369"/>
      <c r="O5369"/>
      <c r="R5369"/>
      <c r="S5369"/>
      <c r="T5369"/>
      <c r="U5369"/>
    </row>
    <row r="5370" spans="6:21" x14ac:dyDescent="0.25">
      <c r="F5370"/>
      <c r="O5370"/>
      <c r="R5370"/>
      <c r="S5370"/>
      <c r="T5370"/>
      <c r="U5370"/>
    </row>
    <row r="5371" spans="6:21" x14ac:dyDescent="0.25">
      <c r="F5371"/>
      <c r="O5371"/>
      <c r="R5371"/>
      <c r="S5371"/>
      <c r="T5371"/>
      <c r="U5371"/>
    </row>
    <row r="5372" spans="6:21" x14ac:dyDescent="0.25">
      <c r="F5372"/>
      <c r="O5372"/>
      <c r="R5372"/>
      <c r="S5372"/>
      <c r="T5372"/>
      <c r="U5372"/>
    </row>
    <row r="5373" spans="6:21" x14ac:dyDescent="0.25">
      <c r="F5373"/>
      <c r="O5373"/>
      <c r="R5373"/>
      <c r="S5373"/>
      <c r="T5373"/>
      <c r="U5373"/>
    </row>
    <row r="5374" spans="6:21" x14ac:dyDescent="0.25">
      <c r="F5374"/>
      <c r="O5374"/>
      <c r="R5374"/>
      <c r="S5374"/>
      <c r="T5374"/>
      <c r="U5374"/>
    </row>
    <row r="5375" spans="6:21" x14ac:dyDescent="0.25">
      <c r="F5375"/>
      <c r="O5375"/>
      <c r="R5375"/>
      <c r="S5375"/>
      <c r="T5375"/>
      <c r="U5375"/>
    </row>
    <row r="5376" spans="6:21" x14ac:dyDescent="0.25">
      <c r="F5376"/>
      <c r="O5376"/>
      <c r="R5376"/>
      <c r="S5376"/>
      <c r="T5376"/>
      <c r="U5376"/>
    </row>
    <row r="5377" spans="6:21" x14ac:dyDescent="0.25">
      <c r="F5377"/>
      <c r="O5377"/>
      <c r="R5377"/>
      <c r="S5377"/>
      <c r="T5377"/>
      <c r="U5377"/>
    </row>
    <row r="5378" spans="6:21" x14ac:dyDescent="0.25">
      <c r="F5378"/>
      <c r="O5378"/>
      <c r="R5378"/>
      <c r="S5378"/>
      <c r="T5378"/>
      <c r="U5378"/>
    </row>
    <row r="5379" spans="6:21" x14ac:dyDescent="0.25">
      <c r="F5379"/>
      <c r="O5379"/>
      <c r="R5379"/>
      <c r="S5379"/>
      <c r="T5379"/>
      <c r="U5379"/>
    </row>
    <row r="5380" spans="6:21" x14ac:dyDescent="0.25">
      <c r="F5380"/>
      <c r="O5380"/>
      <c r="R5380"/>
      <c r="S5380"/>
      <c r="T5380"/>
      <c r="U5380"/>
    </row>
    <row r="5381" spans="6:21" x14ac:dyDescent="0.25">
      <c r="F5381"/>
      <c r="O5381"/>
      <c r="R5381"/>
      <c r="S5381"/>
      <c r="T5381"/>
      <c r="U5381"/>
    </row>
    <row r="5382" spans="6:21" x14ac:dyDescent="0.25">
      <c r="F5382"/>
      <c r="O5382"/>
      <c r="R5382"/>
      <c r="S5382"/>
      <c r="T5382"/>
      <c r="U5382"/>
    </row>
    <row r="5383" spans="6:21" x14ac:dyDescent="0.25">
      <c r="F5383"/>
      <c r="O5383"/>
      <c r="R5383"/>
      <c r="S5383"/>
      <c r="T5383"/>
      <c r="U5383"/>
    </row>
    <row r="5384" spans="6:21" x14ac:dyDescent="0.25">
      <c r="F5384"/>
      <c r="O5384"/>
      <c r="R5384"/>
      <c r="S5384"/>
      <c r="T5384"/>
      <c r="U5384"/>
    </row>
    <row r="5385" spans="6:21" x14ac:dyDescent="0.25">
      <c r="F5385"/>
      <c r="O5385"/>
      <c r="R5385"/>
      <c r="S5385"/>
      <c r="T5385"/>
      <c r="U5385"/>
    </row>
    <row r="5386" spans="6:21" x14ac:dyDescent="0.25">
      <c r="F5386"/>
      <c r="O5386"/>
      <c r="R5386"/>
      <c r="S5386"/>
      <c r="T5386"/>
      <c r="U5386"/>
    </row>
    <row r="5387" spans="6:21" x14ac:dyDescent="0.25">
      <c r="F5387"/>
      <c r="O5387"/>
      <c r="R5387"/>
      <c r="S5387"/>
      <c r="T5387"/>
      <c r="U5387"/>
    </row>
    <row r="5388" spans="6:21" x14ac:dyDescent="0.25">
      <c r="F5388"/>
      <c r="O5388"/>
      <c r="R5388"/>
      <c r="S5388"/>
      <c r="T5388"/>
      <c r="U5388"/>
    </row>
    <row r="5389" spans="6:21" x14ac:dyDescent="0.25">
      <c r="F5389"/>
      <c r="O5389"/>
      <c r="R5389"/>
      <c r="S5389"/>
      <c r="T5389"/>
      <c r="U5389"/>
    </row>
    <row r="5390" spans="6:21" x14ac:dyDescent="0.25">
      <c r="F5390"/>
      <c r="O5390"/>
      <c r="R5390"/>
      <c r="S5390"/>
      <c r="T5390"/>
      <c r="U5390"/>
    </row>
    <row r="5391" spans="6:21" x14ac:dyDescent="0.25">
      <c r="F5391"/>
      <c r="O5391"/>
      <c r="R5391"/>
      <c r="S5391"/>
      <c r="T5391"/>
      <c r="U5391"/>
    </row>
    <row r="5392" spans="6:21" x14ac:dyDescent="0.25">
      <c r="F5392"/>
      <c r="O5392"/>
      <c r="R5392"/>
      <c r="S5392"/>
      <c r="T5392"/>
      <c r="U5392"/>
    </row>
    <row r="5393" spans="6:21" x14ac:dyDescent="0.25">
      <c r="F5393"/>
      <c r="O5393"/>
      <c r="R5393"/>
      <c r="S5393"/>
      <c r="T5393"/>
      <c r="U5393"/>
    </row>
    <row r="5394" spans="6:21" x14ac:dyDescent="0.25">
      <c r="F5394"/>
      <c r="O5394"/>
      <c r="R5394"/>
      <c r="S5394"/>
      <c r="T5394"/>
      <c r="U5394"/>
    </row>
    <row r="5395" spans="6:21" x14ac:dyDescent="0.25">
      <c r="F5395"/>
      <c r="O5395"/>
      <c r="R5395"/>
      <c r="S5395"/>
      <c r="T5395"/>
      <c r="U5395"/>
    </row>
    <row r="5396" spans="6:21" x14ac:dyDescent="0.25">
      <c r="F5396"/>
      <c r="O5396"/>
      <c r="R5396"/>
      <c r="S5396"/>
      <c r="T5396"/>
      <c r="U5396"/>
    </row>
    <row r="5397" spans="6:21" x14ac:dyDescent="0.25">
      <c r="F5397"/>
      <c r="O5397"/>
      <c r="R5397"/>
      <c r="S5397"/>
      <c r="T5397"/>
      <c r="U5397"/>
    </row>
    <row r="5398" spans="6:21" x14ac:dyDescent="0.25">
      <c r="F5398"/>
      <c r="O5398"/>
      <c r="R5398"/>
      <c r="S5398"/>
      <c r="T5398"/>
      <c r="U5398"/>
    </row>
    <row r="5399" spans="6:21" x14ac:dyDescent="0.25">
      <c r="F5399"/>
      <c r="O5399"/>
      <c r="R5399"/>
      <c r="S5399"/>
      <c r="T5399"/>
      <c r="U5399"/>
    </row>
    <row r="5400" spans="6:21" x14ac:dyDescent="0.25">
      <c r="F5400"/>
      <c r="O5400"/>
      <c r="R5400"/>
      <c r="S5400"/>
      <c r="T5400"/>
      <c r="U5400"/>
    </row>
    <row r="5401" spans="6:21" x14ac:dyDescent="0.25">
      <c r="F5401"/>
      <c r="O5401"/>
      <c r="R5401"/>
      <c r="S5401"/>
      <c r="T5401"/>
      <c r="U5401"/>
    </row>
    <row r="5402" spans="6:21" x14ac:dyDescent="0.25">
      <c r="F5402"/>
      <c r="O5402"/>
      <c r="R5402"/>
      <c r="S5402"/>
      <c r="T5402"/>
      <c r="U5402"/>
    </row>
    <row r="5403" spans="6:21" x14ac:dyDescent="0.25">
      <c r="F5403"/>
      <c r="O5403"/>
      <c r="R5403"/>
      <c r="S5403"/>
      <c r="T5403"/>
      <c r="U5403"/>
    </row>
    <row r="5404" spans="6:21" x14ac:dyDescent="0.25">
      <c r="F5404"/>
      <c r="O5404"/>
      <c r="R5404"/>
      <c r="S5404"/>
      <c r="T5404"/>
      <c r="U5404"/>
    </row>
    <row r="5405" spans="6:21" x14ac:dyDescent="0.25">
      <c r="F5405"/>
      <c r="O5405"/>
      <c r="R5405"/>
      <c r="S5405"/>
      <c r="T5405"/>
      <c r="U5405"/>
    </row>
    <row r="5406" spans="6:21" x14ac:dyDescent="0.25">
      <c r="F5406"/>
      <c r="O5406"/>
      <c r="R5406"/>
      <c r="S5406"/>
      <c r="T5406"/>
      <c r="U5406"/>
    </row>
    <row r="5407" spans="6:21" x14ac:dyDescent="0.25">
      <c r="F5407"/>
      <c r="O5407"/>
      <c r="R5407"/>
      <c r="S5407"/>
      <c r="T5407"/>
      <c r="U5407"/>
    </row>
    <row r="5408" spans="6:21" x14ac:dyDescent="0.25">
      <c r="F5408"/>
      <c r="O5408"/>
      <c r="R5408"/>
      <c r="S5408"/>
      <c r="T5408"/>
      <c r="U5408"/>
    </row>
    <row r="5409" spans="6:21" x14ac:dyDescent="0.25">
      <c r="F5409"/>
      <c r="O5409"/>
      <c r="R5409"/>
      <c r="S5409"/>
      <c r="T5409"/>
      <c r="U5409"/>
    </row>
    <row r="5410" spans="6:21" x14ac:dyDescent="0.25">
      <c r="F5410"/>
      <c r="O5410"/>
      <c r="R5410"/>
      <c r="S5410"/>
      <c r="T5410"/>
      <c r="U5410"/>
    </row>
    <row r="5411" spans="6:21" x14ac:dyDescent="0.25">
      <c r="F5411"/>
      <c r="O5411"/>
      <c r="R5411"/>
      <c r="S5411"/>
      <c r="T5411"/>
      <c r="U5411"/>
    </row>
    <row r="5412" spans="6:21" x14ac:dyDescent="0.25">
      <c r="F5412"/>
      <c r="O5412"/>
      <c r="R5412"/>
      <c r="S5412"/>
      <c r="T5412"/>
      <c r="U5412"/>
    </row>
    <row r="5413" spans="6:21" x14ac:dyDescent="0.25">
      <c r="F5413"/>
      <c r="O5413"/>
      <c r="R5413"/>
      <c r="S5413"/>
      <c r="T5413"/>
      <c r="U5413"/>
    </row>
    <row r="5414" spans="6:21" x14ac:dyDescent="0.25">
      <c r="F5414"/>
      <c r="O5414"/>
      <c r="R5414"/>
      <c r="S5414"/>
      <c r="T5414"/>
      <c r="U5414"/>
    </row>
    <row r="5415" spans="6:21" x14ac:dyDescent="0.25">
      <c r="F5415"/>
      <c r="O5415"/>
      <c r="R5415"/>
      <c r="S5415"/>
      <c r="T5415"/>
      <c r="U5415"/>
    </row>
    <row r="5416" spans="6:21" x14ac:dyDescent="0.25">
      <c r="F5416"/>
      <c r="O5416"/>
      <c r="R5416"/>
      <c r="S5416"/>
      <c r="T5416"/>
      <c r="U5416"/>
    </row>
    <row r="5417" spans="6:21" x14ac:dyDescent="0.25">
      <c r="F5417"/>
      <c r="O5417"/>
      <c r="R5417"/>
      <c r="S5417"/>
      <c r="T5417"/>
      <c r="U5417"/>
    </row>
    <row r="5418" spans="6:21" x14ac:dyDescent="0.25">
      <c r="F5418"/>
      <c r="O5418"/>
      <c r="R5418"/>
      <c r="S5418"/>
      <c r="T5418"/>
      <c r="U5418"/>
    </row>
    <row r="5419" spans="6:21" x14ac:dyDescent="0.25">
      <c r="F5419"/>
      <c r="O5419"/>
      <c r="R5419"/>
      <c r="S5419"/>
      <c r="T5419"/>
      <c r="U5419"/>
    </row>
    <row r="5420" spans="6:21" x14ac:dyDescent="0.25">
      <c r="F5420"/>
      <c r="O5420"/>
      <c r="R5420"/>
      <c r="S5420"/>
      <c r="T5420"/>
      <c r="U5420"/>
    </row>
    <row r="5421" spans="6:21" x14ac:dyDescent="0.25">
      <c r="F5421"/>
      <c r="O5421"/>
      <c r="R5421"/>
      <c r="S5421"/>
      <c r="T5421"/>
      <c r="U5421"/>
    </row>
    <row r="5422" spans="6:21" x14ac:dyDescent="0.25">
      <c r="F5422"/>
      <c r="O5422"/>
      <c r="R5422"/>
      <c r="S5422"/>
      <c r="T5422"/>
      <c r="U5422"/>
    </row>
    <row r="5423" spans="6:21" x14ac:dyDescent="0.25">
      <c r="F5423"/>
      <c r="O5423"/>
      <c r="R5423"/>
      <c r="S5423"/>
      <c r="T5423"/>
      <c r="U5423"/>
    </row>
    <row r="5424" spans="6:21" x14ac:dyDescent="0.25">
      <c r="F5424"/>
      <c r="O5424"/>
      <c r="R5424"/>
      <c r="S5424"/>
      <c r="T5424"/>
      <c r="U5424"/>
    </row>
    <row r="5425" spans="6:21" x14ac:dyDescent="0.25">
      <c r="F5425"/>
      <c r="O5425"/>
      <c r="R5425"/>
      <c r="S5425"/>
      <c r="T5425"/>
      <c r="U5425"/>
    </row>
    <row r="5426" spans="6:21" x14ac:dyDescent="0.25">
      <c r="F5426"/>
      <c r="O5426"/>
      <c r="R5426"/>
      <c r="S5426"/>
      <c r="T5426"/>
      <c r="U5426"/>
    </row>
    <row r="5427" spans="6:21" x14ac:dyDescent="0.25">
      <c r="F5427"/>
      <c r="O5427"/>
      <c r="R5427"/>
      <c r="S5427"/>
      <c r="T5427"/>
      <c r="U5427"/>
    </row>
    <row r="5428" spans="6:21" x14ac:dyDescent="0.25">
      <c r="F5428"/>
      <c r="O5428"/>
      <c r="R5428"/>
      <c r="S5428"/>
      <c r="T5428"/>
      <c r="U5428"/>
    </row>
    <row r="5429" spans="6:21" x14ac:dyDescent="0.25">
      <c r="F5429"/>
      <c r="O5429"/>
      <c r="R5429"/>
      <c r="S5429"/>
      <c r="T5429"/>
      <c r="U5429"/>
    </row>
    <row r="5430" spans="6:21" x14ac:dyDescent="0.25">
      <c r="F5430"/>
      <c r="O5430"/>
      <c r="R5430"/>
      <c r="S5430"/>
      <c r="T5430"/>
      <c r="U5430"/>
    </row>
    <row r="5431" spans="6:21" x14ac:dyDescent="0.25">
      <c r="F5431"/>
      <c r="O5431"/>
      <c r="R5431"/>
      <c r="S5431"/>
      <c r="T5431"/>
      <c r="U5431"/>
    </row>
    <row r="5432" spans="6:21" x14ac:dyDescent="0.25">
      <c r="F5432"/>
      <c r="O5432"/>
      <c r="R5432"/>
      <c r="S5432"/>
      <c r="T5432"/>
      <c r="U5432"/>
    </row>
    <row r="5433" spans="6:21" x14ac:dyDescent="0.25">
      <c r="F5433"/>
      <c r="O5433"/>
      <c r="R5433"/>
      <c r="S5433"/>
      <c r="T5433"/>
      <c r="U5433"/>
    </row>
    <row r="5434" spans="6:21" x14ac:dyDescent="0.25">
      <c r="F5434"/>
      <c r="O5434"/>
      <c r="R5434"/>
      <c r="S5434"/>
      <c r="T5434"/>
      <c r="U5434"/>
    </row>
    <row r="5435" spans="6:21" x14ac:dyDescent="0.25">
      <c r="F5435"/>
      <c r="O5435"/>
      <c r="R5435"/>
      <c r="S5435"/>
      <c r="T5435"/>
      <c r="U5435"/>
    </row>
    <row r="5436" spans="6:21" x14ac:dyDescent="0.25">
      <c r="F5436"/>
      <c r="O5436"/>
      <c r="R5436"/>
      <c r="S5436"/>
      <c r="T5436"/>
      <c r="U5436"/>
    </row>
    <row r="5437" spans="6:21" x14ac:dyDescent="0.25">
      <c r="F5437"/>
      <c r="O5437"/>
      <c r="R5437"/>
      <c r="S5437"/>
      <c r="T5437"/>
      <c r="U5437"/>
    </row>
    <row r="5438" spans="6:21" x14ac:dyDescent="0.25">
      <c r="F5438"/>
      <c r="O5438"/>
      <c r="R5438"/>
      <c r="S5438"/>
      <c r="T5438"/>
      <c r="U5438"/>
    </row>
    <row r="5439" spans="6:21" x14ac:dyDescent="0.25">
      <c r="F5439"/>
      <c r="O5439"/>
      <c r="R5439"/>
      <c r="S5439"/>
      <c r="T5439"/>
      <c r="U5439"/>
    </row>
    <row r="5440" spans="6:21" x14ac:dyDescent="0.25">
      <c r="F5440"/>
      <c r="O5440"/>
      <c r="R5440"/>
      <c r="S5440"/>
      <c r="T5440"/>
      <c r="U5440"/>
    </row>
    <row r="5441" spans="6:21" x14ac:dyDescent="0.25">
      <c r="F5441"/>
      <c r="O5441"/>
      <c r="R5441"/>
      <c r="S5441"/>
      <c r="T5441"/>
      <c r="U5441"/>
    </row>
    <row r="5442" spans="6:21" x14ac:dyDescent="0.25">
      <c r="F5442"/>
      <c r="O5442"/>
      <c r="R5442"/>
      <c r="S5442"/>
      <c r="T5442"/>
      <c r="U5442"/>
    </row>
    <row r="5443" spans="6:21" x14ac:dyDescent="0.25">
      <c r="F5443"/>
      <c r="O5443"/>
      <c r="R5443"/>
      <c r="S5443"/>
      <c r="T5443"/>
      <c r="U5443"/>
    </row>
    <row r="5444" spans="6:21" x14ac:dyDescent="0.25">
      <c r="F5444"/>
      <c r="O5444"/>
      <c r="R5444"/>
      <c r="S5444"/>
      <c r="T5444"/>
      <c r="U5444"/>
    </row>
    <row r="5445" spans="6:21" x14ac:dyDescent="0.25">
      <c r="F5445"/>
      <c r="O5445"/>
      <c r="R5445"/>
      <c r="S5445"/>
      <c r="T5445"/>
      <c r="U5445"/>
    </row>
    <row r="5446" spans="6:21" x14ac:dyDescent="0.25">
      <c r="F5446"/>
      <c r="O5446"/>
      <c r="R5446"/>
      <c r="S5446"/>
      <c r="T5446"/>
      <c r="U5446"/>
    </row>
    <row r="5447" spans="6:21" x14ac:dyDescent="0.25">
      <c r="F5447"/>
      <c r="O5447"/>
      <c r="R5447"/>
      <c r="S5447"/>
      <c r="T5447"/>
      <c r="U5447"/>
    </row>
    <row r="5448" spans="6:21" x14ac:dyDescent="0.25">
      <c r="F5448"/>
      <c r="O5448"/>
      <c r="R5448"/>
      <c r="S5448"/>
      <c r="T5448"/>
      <c r="U5448"/>
    </row>
    <row r="5449" spans="6:21" x14ac:dyDescent="0.25">
      <c r="F5449"/>
      <c r="O5449"/>
      <c r="R5449"/>
      <c r="S5449"/>
      <c r="T5449"/>
      <c r="U5449"/>
    </row>
    <row r="5450" spans="6:21" x14ac:dyDescent="0.25">
      <c r="F5450"/>
      <c r="O5450"/>
      <c r="R5450"/>
      <c r="S5450"/>
      <c r="T5450"/>
      <c r="U5450"/>
    </row>
    <row r="5451" spans="6:21" x14ac:dyDescent="0.25">
      <c r="F5451"/>
      <c r="O5451"/>
      <c r="R5451"/>
      <c r="S5451"/>
      <c r="T5451"/>
      <c r="U5451"/>
    </row>
    <row r="5452" spans="6:21" x14ac:dyDescent="0.25">
      <c r="F5452"/>
      <c r="O5452"/>
      <c r="R5452"/>
      <c r="S5452"/>
      <c r="T5452"/>
      <c r="U5452"/>
    </row>
    <row r="5453" spans="6:21" x14ac:dyDescent="0.25">
      <c r="F5453"/>
      <c r="O5453"/>
      <c r="R5453"/>
      <c r="S5453"/>
      <c r="T5453"/>
      <c r="U5453"/>
    </row>
    <row r="5454" spans="6:21" x14ac:dyDescent="0.25">
      <c r="F5454"/>
      <c r="O5454"/>
      <c r="R5454"/>
      <c r="S5454"/>
      <c r="T5454"/>
      <c r="U5454"/>
    </row>
    <row r="5455" spans="6:21" x14ac:dyDescent="0.25">
      <c r="F5455"/>
      <c r="O5455"/>
      <c r="R5455"/>
      <c r="S5455"/>
      <c r="T5455"/>
      <c r="U5455"/>
    </row>
    <row r="5456" spans="6:21" x14ac:dyDescent="0.25">
      <c r="F5456"/>
      <c r="O5456"/>
      <c r="R5456"/>
      <c r="S5456"/>
      <c r="T5456"/>
      <c r="U5456"/>
    </row>
    <row r="5457" spans="6:21" x14ac:dyDescent="0.25">
      <c r="F5457"/>
      <c r="O5457"/>
      <c r="R5457"/>
      <c r="S5457"/>
      <c r="T5457"/>
      <c r="U5457"/>
    </row>
    <row r="5458" spans="6:21" x14ac:dyDescent="0.25">
      <c r="F5458"/>
      <c r="O5458"/>
      <c r="R5458"/>
      <c r="S5458"/>
      <c r="T5458"/>
      <c r="U5458"/>
    </row>
    <row r="5459" spans="6:21" x14ac:dyDescent="0.25">
      <c r="F5459"/>
      <c r="O5459"/>
      <c r="R5459"/>
      <c r="S5459"/>
      <c r="T5459"/>
      <c r="U5459"/>
    </row>
    <row r="5460" spans="6:21" x14ac:dyDescent="0.25">
      <c r="F5460"/>
      <c r="O5460"/>
      <c r="R5460"/>
      <c r="S5460"/>
      <c r="T5460"/>
      <c r="U5460"/>
    </row>
    <row r="5461" spans="6:21" x14ac:dyDescent="0.25">
      <c r="F5461"/>
      <c r="O5461"/>
      <c r="R5461"/>
      <c r="S5461"/>
      <c r="T5461"/>
      <c r="U5461"/>
    </row>
    <row r="5462" spans="6:21" x14ac:dyDescent="0.25">
      <c r="F5462"/>
      <c r="O5462"/>
      <c r="R5462"/>
      <c r="S5462"/>
      <c r="T5462"/>
      <c r="U5462"/>
    </row>
    <row r="5463" spans="6:21" x14ac:dyDescent="0.25">
      <c r="F5463"/>
      <c r="O5463"/>
      <c r="R5463"/>
      <c r="S5463"/>
      <c r="T5463"/>
      <c r="U5463"/>
    </row>
    <row r="5464" spans="6:21" x14ac:dyDescent="0.25">
      <c r="F5464"/>
      <c r="O5464"/>
      <c r="R5464"/>
      <c r="S5464"/>
      <c r="T5464"/>
      <c r="U5464"/>
    </row>
    <row r="5465" spans="6:21" x14ac:dyDescent="0.25">
      <c r="F5465"/>
      <c r="O5465"/>
      <c r="R5465"/>
      <c r="S5465"/>
      <c r="T5465"/>
      <c r="U5465"/>
    </row>
    <row r="5466" spans="6:21" x14ac:dyDescent="0.25">
      <c r="F5466"/>
      <c r="O5466"/>
      <c r="R5466"/>
      <c r="S5466"/>
      <c r="T5466"/>
      <c r="U5466"/>
    </row>
    <row r="5467" spans="6:21" x14ac:dyDescent="0.25">
      <c r="F5467"/>
      <c r="O5467"/>
      <c r="R5467"/>
      <c r="S5467"/>
      <c r="T5467"/>
      <c r="U5467"/>
    </row>
    <row r="5468" spans="6:21" x14ac:dyDescent="0.25">
      <c r="F5468"/>
      <c r="O5468"/>
      <c r="R5468"/>
      <c r="S5468"/>
      <c r="T5468"/>
      <c r="U5468"/>
    </row>
    <row r="5469" spans="6:21" x14ac:dyDescent="0.25">
      <c r="F5469"/>
      <c r="O5469"/>
      <c r="R5469"/>
      <c r="S5469"/>
      <c r="T5469"/>
      <c r="U5469"/>
    </row>
    <row r="5470" spans="6:21" x14ac:dyDescent="0.25">
      <c r="F5470"/>
      <c r="O5470"/>
      <c r="R5470"/>
      <c r="S5470"/>
      <c r="T5470"/>
      <c r="U5470"/>
    </row>
    <row r="5471" spans="6:21" x14ac:dyDescent="0.25">
      <c r="F5471"/>
      <c r="O5471"/>
      <c r="R5471"/>
      <c r="S5471"/>
      <c r="T5471"/>
      <c r="U5471"/>
    </row>
    <row r="5472" spans="6:21" x14ac:dyDescent="0.25">
      <c r="F5472"/>
      <c r="O5472"/>
      <c r="R5472"/>
      <c r="S5472"/>
      <c r="T5472"/>
      <c r="U5472"/>
    </row>
    <row r="5473" spans="6:21" x14ac:dyDescent="0.25">
      <c r="F5473"/>
      <c r="O5473"/>
      <c r="R5473"/>
      <c r="S5473"/>
      <c r="T5473"/>
      <c r="U5473"/>
    </row>
    <row r="5474" spans="6:21" x14ac:dyDescent="0.25">
      <c r="F5474"/>
      <c r="O5474"/>
      <c r="R5474"/>
      <c r="S5474"/>
      <c r="T5474"/>
      <c r="U5474"/>
    </row>
    <row r="5475" spans="6:21" x14ac:dyDescent="0.25">
      <c r="F5475"/>
      <c r="O5475"/>
      <c r="R5475"/>
      <c r="S5475"/>
      <c r="T5475"/>
      <c r="U5475"/>
    </row>
    <row r="5476" spans="6:21" x14ac:dyDescent="0.25">
      <c r="F5476"/>
      <c r="O5476"/>
      <c r="R5476"/>
      <c r="S5476"/>
      <c r="T5476"/>
      <c r="U5476"/>
    </row>
    <row r="5477" spans="6:21" x14ac:dyDescent="0.25">
      <c r="F5477"/>
      <c r="O5477"/>
      <c r="R5477"/>
      <c r="S5477"/>
      <c r="T5477"/>
      <c r="U5477"/>
    </row>
    <row r="5478" spans="6:21" x14ac:dyDescent="0.25">
      <c r="F5478"/>
      <c r="O5478"/>
      <c r="R5478"/>
      <c r="S5478"/>
      <c r="T5478"/>
      <c r="U5478"/>
    </row>
    <row r="5479" spans="6:21" x14ac:dyDescent="0.25">
      <c r="F5479"/>
      <c r="O5479"/>
      <c r="R5479"/>
      <c r="S5479"/>
      <c r="T5479"/>
      <c r="U5479"/>
    </row>
    <row r="5480" spans="6:21" x14ac:dyDescent="0.25">
      <c r="F5480"/>
      <c r="O5480"/>
      <c r="R5480"/>
      <c r="S5480"/>
      <c r="T5480"/>
      <c r="U5480"/>
    </row>
    <row r="5481" spans="6:21" x14ac:dyDescent="0.25">
      <c r="F5481"/>
      <c r="O5481"/>
      <c r="R5481"/>
      <c r="S5481"/>
      <c r="T5481"/>
      <c r="U5481"/>
    </row>
    <row r="5482" spans="6:21" x14ac:dyDescent="0.25">
      <c r="F5482"/>
      <c r="O5482"/>
      <c r="R5482"/>
      <c r="S5482"/>
      <c r="T5482"/>
      <c r="U5482"/>
    </row>
    <row r="5483" spans="6:21" x14ac:dyDescent="0.25">
      <c r="F5483"/>
      <c r="O5483"/>
      <c r="R5483"/>
      <c r="S5483"/>
      <c r="T5483"/>
      <c r="U5483"/>
    </row>
    <row r="5484" spans="6:21" x14ac:dyDescent="0.25">
      <c r="F5484"/>
      <c r="O5484"/>
      <c r="R5484"/>
      <c r="S5484"/>
      <c r="T5484"/>
      <c r="U5484"/>
    </row>
    <row r="5485" spans="6:21" x14ac:dyDescent="0.25">
      <c r="F5485"/>
      <c r="O5485"/>
      <c r="R5485"/>
      <c r="S5485"/>
      <c r="T5485"/>
      <c r="U5485"/>
    </row>
    <row r="5486" spans="6:21" x14ac:dyDescent="0.25">
      <c r="F5486"/>
      <c r="O5486"/>
      <c r="R5486"/>
      <c r="S5486"/>
      <c r="T5486"/>
      <c r="U5486"/>
    </row>
    <row r="5487" spans="6:21" x14ac:dyDescent="0.25">
      <c r="F5487"/>
      <c r="O5487"/>
      <c r="R5487"/>
      <c r="S5487"/>
      <c r="T5487"/>
      <c r="U5487"/>
    </row>
    <row r="5488" spans="6:21" x14ac:dyDescent="0.25">
      <c r="F5488"/>
      <c r="O5488"/>
      <c r="R5488"/>
      <c r="S5488"/>
      <c r="T5488"/>
      <c r="U5488"/>
    </row>
    <row r="5489" spans="6:21" x14ac:dyDescent="0.25">
      <c r="F5489"/>
      <c r="O5489"/>
      <c r="R5489"/>
      <c r="S5489"/>
      <c r="T5489"/>
      <c r="U5489"/>
    </row>
    <row r="5490" spans="6:21" x14ac:dyDescent="0.25">
      <c r="F5490"/>
      <c r="O5490"/>
      <c r="R5490"/>
      <c r="S5490"/>
      <c r="T5490"/>
      <c r="U5490"/>
    </row>
    <row r="5491" spans="6:21" x14ac:dyDescent="0.25">
      <c r="F5491"/>
      <c r="O5491"/>
      <c r="R5491"/>
      <c r="S5491"/>
      <c r="T5491"/>
      <c r="U5491"/>
    </row>
    <row r="5492" spans="6:21" x14ac:dyDescent="0.25">
      <c r="F5492"/>
      <c r="O5492"/>
      <c r="R5492"/>
      <c r="S5492"/>
      <c r="T5492"/>
      <c r="U5492"/>
    </row>
    <row r="5493" spans="6:21" x14ac:dyDescent="0.25">
      <c r="F5493"/>
      <c r="O5493"/>
      <c r="R5493"/>
      <c r="S5493"/>
      <c r="T5493"/>
      <c r="U5493"/>
    </row>
    <row r="5494" spans="6:21" x14ac:dyDescent="0.25">
      <c r="F5494"/>
      <c r="O5494"/>
      <c r="R5494"/>
      <c r="S5494"/>
      <c r="T5494"/>
      <c r="U5494"/>
    </row>
    <row r="5495" spans="6:21" x14ac:dyDescent="0.25">
      <c r="F5495"/>
      <c r="O5495"/>
      <c r="R5495"/>
      <c r="S5495"/>
      <c r="T5495"/>
      <c r="U5495"/>
    </row>
    <row r="5496" spans="6:21" x14ac:dyDescent="0.25">
      <c r="F5496"/>
      <c r="O5496"/>
      <c r="R5496"/>
      <c r="S5496"/>
      <c r="T5496"/>
      <c r="U5496"/>
    </row>
    <row r="5497" spans="6:21" x14ac:dyDescent="0.25">
      <c r="F5497"/>
      <c r="O5497"/>
      <c r="R5497"/>
      <c r="S5497"/>
      <c r="T5497"/>
      <c r="U5497"/>
    </row>
    <row r="5498" spans="6:21" x14ac:dyDescent="0.25">
      <c r="F5498"/>
      <c r="O5498"/>
      <c r="R5498"/>
      <c r="S5498"/>
      <c r="T5498"/>
      <c r="U5498"/>
    </row>
    <row r="5499" spans="6:21" x14ac:dyDescent="0.25">
      <c r="F5499"/>
      <c r="O5499"/>
      <c r="R5499"/>
      <c r="S5499"/>
      <c r="T5499"/>
      <c r="U5499"/>
    </row>
    <row r="5500" spans="6:21" x14ac:dyDescent="0.25">
      <c r="F5500"/>
      <c r="O5500"/>
      <c r="R5500"/>
      <c r="S5500"/>
      <c r="T5500"/>
      <c r="U5500"/>
    </row>
    <row r="5501" spans="6:21" x14ac:dyDescent="0.25">
      <c r="F5501"/>
      <c r="O5501"/>
      <c r="R5501"/>
      <c r="S5501"/>
      <c r="T5501"/>
      <c r="U5501"/>
    </row>
    <row r="5502" spans="6:21" x14ac:dyDescent="0.25">
      <c r="F5502"/>
      <c r="O5502"/>
      <c r="R5502"/>
      <c r="S5502"/>
      <c r="T5502"/>
      <c r="U5502"/>
    </row>
    <row r="5503" spans="6:21" x14ac:dyDescent="0.25">
      <c r="F5503"/>
      <c r="O5503"/>
      <c r="R5503"/>
      <c r="S5503"/>
      <c r="T5503"/>
      <c r="U5503"/>
    </row>
    <row r="5504" spans="6:21" x14ac:dyDescent="0.25">
      <c r="F5504"/>
      <c r="O5504"/>
      <c r="R5504"/>
      <c r="S5504"/>
      <c r="T5504"/>
      <c r="U5504"/>
    </row>
    <row r="5505" spans="6:21" x14ac:dyDescent="0.25">
      <c r="F5505"/>
      <c r="O5505"/>
      <c r="R5505"/>
      <c r="S5505"/>
      <c r="T5505"/>
      <c r="U5505"/>
    </row>
    <row r="5506" spans="6:21" x14ac:dyDescent="0.25">
      <c r="F5506"/>
      <c r="O5506"/>
      <c r="R5506"/>
      <c r="S5506"/>
      <c r="T5506"/>
      <c r="U5506"/>
    </row>
    <row r="5507" spans="6:21" x14ac:dyDescent="0.25">
      <c r="F5507"/>
      <c r="O5507"/>
      <c r="R5507"/>
      <c r="S5507"/>
      <c r="T5507"/>
      <c r="U5507"/>
    </row>
    <row r="5508" spans="6:21" x14ac:dyDescent="0.25">
      <c r="F5508"/>
      <c r="O5508"/>
      <c r="R5508"/>
      <c r="S5508"/>
      <c r="T5508"/>
      <c r="U5508"/>
    </row>
    <row r="5509" spans="6:21" x14ac:dyDescent="0.25">
      <c r="F5509"/>
      <c r="O5509"/>
      <c r="R5509"/>
      <c r="S5509"/>
      <c r="T5509"/>
      <c r="U5509"/>
    </row>
    <row r="5510" spans="6:21" x14ac:dyDescent="0.25">
      <c r="F5510"/>
      <c r="O5510"/>
      <c r="R5510"/>
      <c r="S5510"/>
      <c r="T5510"/>
      <c r="U5510"/>
    </row>
    <row r="5511" spans="6:21" x14ac:dyDescent="0.25">
      <c r="F5511"/>
      <c r="O5511"/>
      <c r="R5511"/>
      <c r="S5511"/>
      <c r="T5511"/>
      <c r="U5511"/>
    </row>
    <row r="5512" spans="6:21" x14ac:dyDescent="0.25">
      <c r="F5512"/>
      <c r="O5512"/>
      <c r="R5512"/>
      <c r="S5512"/>
      <c r="T5512"/>
      <c r="U5512"/>
    </row>
    <row r="5513" spans="6:21" x14ac:dyDescent="0.25">
      <c r="F5513"/>
      <c r="O5513"/>
      <c r="R5513"/>
      <c r="S5513"/>
      <c r="T5513"/>
      <c r="U5513"/>
    </row>
    <row r="5514" spans="6:21" x14ac:dyDescent="0.25">
      <c r="F5514"/>
      <c r="O5514"/>
      <c r="R5514"/>
      <c r="S5514"/>
      <c r="T5514"/>
      <c r="U5514"/>
    </row>
    <row r="5515" spans="6:21" x14ac:dyDescent="0.25">
      <c r="F5515"/>
      <c r="O5515"/>
      <c r="R5515"/>
      <c r="S5515"/>
      <c r="T5515"/>
      <c r="U5515"/>
    </row>
    <row r="5516" spans="6:21" x14ac:dyDescent="0.25">
      <c r="F5516"/>
      <c r="O5516"/>
      <c r="R5516"/>
      <c r="S5516"/>
      <c r="T5516"/>
      <c r="U5516"/>
    </row>
    <row r="5517" spans="6:21" x14ac:dyDescent="0.25">
      <c r="F5517"/>
      <c r="O5517"/>
      <c r="R5517"/>
      <c r="S5517"/>
      <c r="T5517"/>
      <c r="U5517"/>
    </row>
    <row r="5518" spans="6:21" x14ac:dyDescent="0.25">
      <c r="F5518"/>
      <c r="O5518"/>
      <c r="R5518"/>
      <c r="S5518"/>
      <c r="T5518"/>
      <c r="U5518"/>
    </row>
    <row r="5519" spans="6:21" x14ac:dyDescent="0.25">
      <c r="F5519"/>
      <c r="O5519"/>
      <c r="R5519"/>
      <c r="S5519"/>
      <c r="T5519"/>
      <c r="U5519"/>
    </row>
    <row r="5520" spans="6:21" x14ac:dyDescent="0.25">
      <c r="F5520"/>
      <c r="O5520"/>
      <c r="R5520"/>
      <c r="S5520"/>
      <c r="T5520"/>
      <c r="U5520"/>
    </row>
    <row r="5521" spans="6:21" x14ac:dyDescent="0.25">
      <c r="F5521"/>
      <c r="O5521"/>
      <c r="R5521"/>
      <c r="S5521"/>
      <c r="T5521"/>
      <c r="U5521"/>
    </row>
    <row r="5522" spans="6:21" x14ac:dyDescent="0.25">
      <c r="F5522"/>
      <c r="O5522"/>
      <c r="R5522"/>
      <c r="S5522"/>
      <c r="T5522"/>
      <c r="U5522"/>
    </row>
    <row r="5523" spans="6:21" x14ac:dyDescent="0.25">
      <c r="F5523"/>
      <c r="O5523"/>
      <c r="R5523"/>
      <c r="S5523"/>
      <c r="T5523"/>
      <c r="U5523"/>
    </row>
    <row r="5524" spans="6:21" x14ac:dyDescent="0.25">
      <c r="F5524"/>
      <c r="O5524"/>
      <c r="R5524"/>
      <c r="S5524"/>
      <c r="T5524"/>
      <c r="U5524"/>
    </row>
    <row r="5525" spans="6:21" x14ac:dyDescent="0.25">
      <c r="F5525"/>
      <c r="O5525"/>
      <c r="R5525"/>
      <c r="S5525"/>
      <c r="T5525"/>
      <c r="U5525"/>
    </row>
    <row r="5526" spans="6:21" x14ac:dyDescent="0.25">
      <c r="F5526"/>
      <c r="O5526"/>
      <c r="R5526"/>
      <c r="S5526"/>
      <c r="T5526"/>
      <c r="U5526"/>
    </row>
    <row r="5527" spans="6:21" x14ac:dyDescent="0.25">
      <c r="F5527"/>
      <c r="O5527"/>
      <c r="R5527"/>
      <c r="S5527"/>
      <c r="T5527"/>
      <c r="U5527"/>
    </row>
    <row r="5528" spans="6:21" x14ac:dyDescent="0.25">
      <c r="F5528"/>
      <c r="O5528"/>
      <c r="R5528"/>
      <c r="S5528"/>
      <c r="T5528"/>
      <c r="U5528"/>
    </row>
    <row r="5529" spans="6:21" x14ac:dyDescent="0.25">
      <c r="F5529"/>
      <c r="O5529"/>
      <c r="R5529"/>
      <c r="S5529"/>
      <c r="T5529"/>
      <c r="U5529"/>
    </row>
    <row r="5530" spans="6:21" x14ac:dyDescent="0.25">
      <c r="F5530"/>
      <c r="O5530"/>
      <c r="R5530"/>
      <c r="S5530"/>
      <c r="T5530"/>
      <c r="U5530"/>
    </row>
    <row r="5531" spans="6:21" x14ac:dyDescent="0.25">
      <c r="F5531"/>
      <c r="O5531"/>
      <c r="R5531"/>
      <c r="S5531"/>
      <c r="T5531"/>
      <c r="U5531"/>
    </row>
    <row r="5532" spans="6:21" x14ac:dyDescent="0.25">
      <c r="F5532"/>
      <c r="O5532"/>
      <c r="R5532"/>
      <c r="S5532"/>
      <c r="T5532"/>
      <c r="U5532"/>
    </row>
    <row r="5533" spans="6:21" x14ac:dyDescent="0.25">
      <c r="F5533"/>
      <c r="O5533"/>
      <c r="R5533"/>
      <c r="S5533"/>
      <c r="T5533"/>
      <c r="U5533"/>
    </row>
    <row r="5534" spans="6:21" x14ac:dyDescent="0.25">
      <c r="F5534"/>
      <c r="O5534"/>
      <c r="R5534"/>
      <c r="S5534"/>
      <c r="T5534"/>
      <c r="U5534"/>
    </row>
    <row r="5535" spans="6:21" x14ac:dyDescent="0.25">
      <c r="F5535"/>
      <c r="O5535"/>
      <c r="R5535"/>
      <c r="S5535"/>
      <c r="T5535"/>
      <c r="U5535"/>
    </row>
    <row r="5536" spans="6:21" x14ac:dyDescent="0.25">
      <c r="F5536"/>
      <c r="O5536"/>
      <c r="R5536"/>
      <c r="S5536"/>
      <c r="T5536"/>
      <c r="U5536"/>
    </row>
    <row r="5537" spans="6:21" x14ac:dyDescent="0.25">
      <c r="F5537"/>
      <c r="O5537"/>
      <c r="R5537"/>
      <c r="S5537"/>
      <c r="T5537"/>
      <c r="U5537"/>
    </row>
    <row r="5538" spans="6:21" x14ac:dyDescent="0.25">
      <c r="F5538"/>
      <c r="O5538"/>
      <c r="R5538"/>
      <c r="S5538"/>
      <c r="T5538"/>
      <c r="U5538"/>
    </row>
    <row r="5539" spans="6:21" x14ac:dyDescent="0.25">
      <c r="F5539"/>
      <c r="O5539"/>
      <c r="R5539"/>
      <c r="S5539"/>
      <c r="T5539"/>
      <c r="U5539"/>
    </row>
    <row r="5540" spans="6:21" x14ac:dyDescent="0.25">
      <c r="F5540"/>
      <c r="O5540"/>
      <c r="R5540"/>
      <c r="S5540"/>
      <c r="T5540"/>
      <c r="U5540"/>
    </row>
    <row r="5541" spans="6:21" x14ac:dyDescent="0.25">
      <c r="F5541"/>
      <c r="O5541"/>
      <c r="R5541"/>
      <c r="S5541"/>
      <c r="T5541"/>
      <c r="U5541"/>
    </row>
    <row r="5542" spans="6:21" x14ac:dyDescent="0.25">
      <c r="F5542"/>
      <c r="O5542"/>
      <c r="R5542"/>
      <c r="S5542"/>
      <c r="T5542"/>
      <c r="U5542"/>
    </row>
    <row r="5543" spans="6:21" x14ac:dyDescent="0.25">
      <c r="F5543"/>
      <c r="O5543"/>
      <c r="R5543"/>
      <c r="S5543"/>
      <c r="T5543"/>
      <c r="U5543"/>
    </row>
    <row r="5544" spans="6:21" x14ac:dyDescent="0.25">
      <c r="F5544"/>
      <c r="O5544"/>
      <c r="R5544"/>
      <c r="S5544"/>
      <c r="T5544"/>
      <c r="U5544"/>
    </row>
    <row r="5545" spans="6:21" x14ac:dyDescent="0.25">
      <c r="F5545"/>
      <c r="O5545"/>
      <c r="R5545"/>
      <c r="S5545"/>
      <c r="T5545"/>
      <c r="U5545"/>
    </row>
    <row r="5546" spans="6:21" x14ac:dyDescent="0.25">
      <c r="F5546"/>
      <c r="O5546"/>
      <c r="R5546"/>
      <c r="S5546"/>
      <c r="T5546"/>
      <c r="U5546"/>
    </row>
    <row r="5547" spans="6:21" x14ac:dyDescent="0.25">
      <c r="F5547"/>
      <c r="O5547"/>
      <c r="R5547"/>
      <c r="S5547"/>
      <c r="T5547"/>
      <c r="U5547"/>
    </row>
    <row r="5548" spans="6:21" x14ac:dyDescent="0.25">
      <c r="F5548"/>
      <c r="O5548"/>
      <c r="R5548"/>
      <c r="S5548"/>
      <c r="T5548"/>
      <c r="U5548"/>
    </row>
    <row r="5549" spans="6:21" x14ac:dyDescent="0.25">
      <c r="F5549"/>
      <c r="O5549"/>
      <c r="R5549"/>
      <c r="S5549"/>
      <c r="T5549"/>
      <c r="U5549"/>
    </row>
    <row r="5550" spans="6:21" x14ac:dyDescent="0.25">
      <c r="F5550"/>
      <c r="O5550"/>
      <c r="R5550"/>
      <c r="S5550"/>
      <c r="T5550"/>
      <c r="U5550"/>
    </row>
    <row r="5551" spans="6:21" x14ac:dyDescent="0.25">
      <c r="F5551"/>
      <c r="O5551"/>
      <c r="R5551"/>
      <c r="S5551"/>
      <c r="T5551"/>
      <c r="U5551"/>
    </row>
    <row r="5552" spans="6:21" x14ac:dyDescent="0.25">
      <c r="F5552"/>
      <c r="O5552"/>
      <c r="R5552"/>
      <c r="S5552"/>
      <c r="T5552"/>
      <c r="U5552"/>
    </row>
    <row r="5553" spans="6:21" x14ac:dyDescent="0.25">
      <c r="F5553"/>
      <c r="O5553"/>
      <c r="R5553"/>
      <c r="S5553"/>
      <c r="T5553"/>
      <c r="U5553"/>
    </row>
    <row r="5554" spans="6:21" x14ac:dyDescent="0.25">
      <c r="F5554"/>
      <c r="O5554"/>
      <c r="R5554"/>
      <c r="S5554"/>
      <c r="T5554"/>
      <c r="U5554"/>
    </row>
    <row r="5555" spans="6:21" x14ac:dyDescent="0.25">
      <c r="F5555"/>
      <c r="O5555"/>
      <c r="R5555"/>
      <c r="S5555"/>
      <c r="T5555"/>
      <c r="U5555"/>
    </row>
    <row r="5556" spans="6:21" x14ac:dyDescent="0.25">
      <c r="F5556"/>
      <c r="O5556"/>
      <c r="R5556"/>
      <c r="S5556"/>
      <c r="T5556"/>
      <c r="U5556"/>
    </row>
    <row r="5557" spans="6:21" x14ac:dyDescent="0.25">
      <c r="F5557"/>
      <c r="O5557"/>
      <c r="R5557"/>
      <c r="S5557"/>
      <c r="T5557"/>
      <c r="U5557"/>
    </row>
    <row r="5558" spans="6:21" x14ac:dyDescent="0.25">
      <c r="F5558"/>
      <c r="O5558"/>
      <c r="R5558"/>
      <c r="S5558"/>
      <c r="T5558"/>
      <c r="U5558"/>
    </row>
    <row r="5559" spans="6:21" x14ac:dyDescent="0.25">
      <c r="F5559"/>
      <c r="O5559"/>
      <c r="R5559"/>
      <c r="S5559"/>
      <c r="T5559"/>
      <c r="U5559"/>
    </row>
    <row r="5560" spans="6:21" x14ac:dyDescent="0.25">
      <c r="F5560"/>
      <c r="O5560"/>
      <c r="R5560"/>
      <c r="S5560"/>
      <c r="T5560"/>
      <c r="U5560"/>
    </row>
    <row r="5561" spans="6:21" x14ac:dyDescent="0.25">
      <c r="F5561"/>
      <c r="O5561"/>
      <c r="R5561"/>
      <c r="S5561"/>
      <c r="T5561"/>
      <c r="U5561"/>
    </row>
    <row r="5562" spans="6:21" x14ac:dyDescent="0.25">
      <c r="F5562"/>
      <c r="O5562"/>
      <c r="R5562"/>
      <c r="S5562"/>
      <c r="T5562"/>
      <c r="U5562"/>
    </row>
    <row r="5563" spans="6:21" x14ac:dyDescent="0.25">
      <c r="F5563"/>
      <c r="O5563"/>
      <c r="R5563"/>
      <c r="S5563"/>
      <c r="T5563"/>
      <c r="U5563"/>
    </row>
    <row r="5564" spans="6:21" x14ac:dyDescent="0.25">
      <c r="F5564"/>
      <c r="O5564"/>
      <c r="R5564"/>
      <c r="S5564"/>
      <c r="T5564"/>
      <c r="U5564"/>
    </row>
    <row r="5565" spans="6:21" x14ac:dyDescent="0.25">
      <c r="F5565"/>
      <c r="O5565"/>
      <c r="R5565"/>
      <c r="S5565"/>
      <c r="T5565"/>
      <c r="U5565"/>
    </row>
    <row r="5566" spans="6:21" x14ac:dyDescent="0.25">
      <c r="F5566"/>
      <c r="O5566"/>
      <c r="R5566"/>
      <c r="S5566"/>
      <c r="T5566"/>
      <c r="U5566"/>
    </row>
    <row r="5567" spans="6:21" x14ac:dyDescent="0.25">
      <c r="F5567"/>
      <c r="O5567"/>
      <c r="R5567"/>
      <c r="S5567"/>
      <c r="T5567"/>
      <c r="U5567"/>
    </row>
    <row r="5568" spans="6:21" x14ac:dyDescent="0.25">
      <c r="F5568"/>
      <c r="O5568"/>
      <c r="R5568"/>
      <c r="S5568"/>
      <c r="T5568"/>
      <c r="U5568"/>
    </row>
    <row r="5569" spans="6:21" x14ac:dyDescent="0.25">
      <c r="F5569"/>
      <c r="O5569"/>
      <c r="R5569"/>
      <c r="S5569"/>
      <c r="T5569"/>
      <c r="U5569"/>
    </row>
    <row r="5570" spans="6:21" x14ac:dyDescent="0.25">
      <c r="F5570"/>
      <c r="O5570"/>
      <c r="R5570"/>
      <c r="S5570"/>
      <c r="T5570"/>
      <c r="U5570"/>
    </row>
    <row r="5571" spans="6:21" x14ac:dyDescent="0.25">
      <c r="F5571"/>
      <c r="O5571"/>
      <c r="R5571"/>
      <c r="S5571"/>
      <c r="T5571"/>
      <c r="U5571"/>
    </row>
    <row r="5572" spans="6:21" x14ac:dyDescent="0.25">
      <c r="F5572"/>
      <c r="O5572"/>
      <c r="R5572"/>
      <c r="S5572"/>
      <c r="T5572"/>
      <c r="U5572"/>
    </row>
    <row r="5573" spans="6:21" x14ac:dyDescent="0.25">
      <c r="F5573"/>
      <c r="O5573"/>
      <c r="R5573"/>
      <c r="S5573"/>
      <c r="T5573"/>
      <c r="U5573"/>
    </row>
    <row r="5574" spans="6:21" x14ac:dyDescent="0.25">
      <c r="F5574"/>
      <c r="O5574"/>
      <c r="R5574"/>
      <c r="S5574"/>
      <c r="T5574"/>
      <c r="U5574"/>
    </row>
    <row r="5575" spans="6:21" x14ac:dyDescent="0.25">
      <c r="F5575"/>
      <c r="O5575"/>
      <c r="R5575"/>
      <c r="S5575"/>
      <c r="T5575"/>
      <c r="U5575"/>
    </row>
    <row r="5576" spans="6:21" x14ac:dyDescent="0.25">
      <c r="F5576"/>
      <c r="O5576"/>
      <c r="R5576"/>
      <c r="S5576"/>
      <c r="T5576"/>
      <c r="U5576"/>
    </row>
    <row r="5577" spans="6:21" x14ac:dyDescent="0.25">
      <c r="F5577"/>
      <c r="O5577"/>
      <c r="R5577"/>
      <c r="S5577"/>
      <c r="T5577"/>
      <c r="U5577"/>
    </row>
    <row r="5578" spans="6:21" x14ac:dyDescent="0.25">
      <c r="F5578"/>
      <c r="O5578"/>
      <c r="R5578"/>
      <c r="S5578"/>
      <c r="T5578"/>
      <c r="U5578"/>
    </row>
    <row r="5579" spans="6:21" x14ac:dyDescent="0.25">
      <c r="F5579"/>
      <c r="O5579"/>
      <c r="R5579"/>
      <c r="S5579"/>
      <c r="T5579"/>
      <c r="U5579"/>
    </row>
    <row r="5580" spans="6:21" x14ac:dyDescent="0.25">
      <c r="F5580"/>
      <c r="O5580"/>
      <c r="R5580"/>
      <c r="S5580"/>
      <c r="T5580"/>
      <c r="U5580"/>
    </row>
    <row r="5581" spans="6:21" x14ac:dyDescent="0.25">
      <c r="F5581"/>
      <c r="O5581"/>
      <c r="R5581"/>
      <c r="S5581"/>
      <c r="T5581"/>
      <c r="U5581"/>
    </row>
    <row r="5582" spans="6:21" x14ac:dyDescent="0.25">
      <c r="F5582"/>
      <c r="O5582"/>
      <c r="R5582"/>
      <c r="S5582"/>
      <c r="T5582"/>
      <c r="U5582"/>
    </row>
    <row r="5583" spans="6:21" x14ac:dyDescent="0.25">
      <c r="F5583"/>
      <c r="O5583"/>
      <c r="R5583"/>
      <c r="S5583"/>
      <c r="T5583"/>
      <c r="U5583"/>
    </row>
    <row r="5584" spans="6:21" x14ac:dyDescent="0.25">
      <c r="F5584"/>
      <c r="O5584"/>
      <c r="R5584"/>
      <c r="S5584"/>
      <c r="T5584"/>
      <c r="U5584"/>
    </row>
    <row r="5585" spans="6:21" x14ac:dyDescent="0.25">
      <c r="F5585"/>
      <c r="O5585"/>
      <c r="R5585"/>
      <c r="S5585"/>
      <c r="T5585"/>
      <c r="U5585"/>
    </row>
    <row r="5586" spans="6:21" x14ac:dyDescent="0.25">
      <c r="F5586"/>
      <c r="O5586"/>
      <c r="R5586"/>
      <c r="S5586"/>
      <c r="T5586"/>
      <c r="U5586"/>
    </row>
    <row r="5587" spans="6:21" x14ac:dyDescent="0.25">
      <c r="F5587"/>
      <c r="O5587"/>
      <c r="R5587"/>
      <c r="S5587"/>
      <c r="T5587"/>
      <c r="U5587"/>
    </row>
    <row r="5588" spans="6:21" x14ac:dyDescent="0.25">
      <c r="F5588"/>
      <c r="O5588"/>
      <c r="R5588"/>
      <c r="S5588"/>
      <c r="T5588"/>
      <c r="U5588"/>
    </row>
    <row r="5589" spans="6:21" x14ac:dyDescent="0.25">
      <c r="F5589"/>
      <c r="O5589"/>
      <c r="R5589"/>
      <c r="S5589"/>
      <c r="T5589"/>
      <c r="U5589"/>
    </row>
    <row r="5590" spans="6:21" x14ac:dyDescent="0.25">
      <c r="F5590"/>
      <c r="O5590"/>
      <c r="R5590"/>
      <c r="S5590"/>
      <c r="T5590"/>
      <c r="U5590"/>
    </row>
    <row r="5591" spans="6:21" x14ac:dyDescent="0.25">
      <c r="F5591"/>
      <c r="O5591"/>
      <c r="R5591"/>
      <c r="S5591"/>
      <c r="T5591"/>
      <c r="U5591"/>
    </row>
    <row r="5592" spans="6:21" x14ac:dyDescent="0.25">
      <c r="F5592"/>
      <c r="O5592"/>
      <c r="R5592"/>
      <c r="S5592"/>
      <c r="T5592"/>
      <c r="U5592"/>
    </row>
    <row r="5593" spans="6:21" x14ac:dyDescent="0.25">
      <c r="F5593"/>
      <c r="O5593"/>
      <c r="R5593"/>
      <c r="S5593"/>
      <c r="T5593"/>
      <c r="U5593"/>
    </row>
    <row r="5594" spans="6:21" x14ac:dyDescent="0.25">
      <c r="F5594"/>
      <c r="O5594"/>
      <c r="R5594"/>
      <c r="S5594"/>
      <c r="T5594"/>
      <c r="U5594"/>
    </row>
    <row r="5595" spans="6:21" x14ac:dyDescent="0.25">
      <c r="F5595"/>
      <c r="O5595"/>
      <c r="R5595"/>
      <c r="S5595"/>
      <c r="T5595"/>
      <c r="U5595"/>
    </row>
    <row r="5596" spans="6:21" x14ac:dyDescent="0.25">
      <c r="F5596"/>
      <c r="O5596"/>
      <c r="R5596"/>
      <c r="S5596"/>
      <c r="T5596"/>
      <c r="U5596"/>
    </row>
    <row r="5597" spans="6:21" x14ac:dyDescent="0.25">
      <c r="F5597"/>
      <c r="O5597"/>
      <c r="R5597"/>
      <c r="S5597"/>
      <c r="T5597"/>
      <c r="U5597"/>
    </row>
    <row r="5598" spans="6:21" x14ac:dyDescent="0.25">
      <c r="F5598"/>
      <c r="O5598"/>
      <c r="R5598"/>
      <c r="S5598"/>
      <c r="T5598"/>
      <c r="U5598"/>
    </row>
    <row r="5599" spans="6:21" x14ac:dyDescent="0.25">
      <c r="F5599"/>
      <c r="O5599"/>
      <c r="R5599"/>
      <c r="S5599"/>
      <c r="T5599"/>
      <c r="U5599"/>
    </row>
    <row r="5600" spans="6:21" x14ac:dyDescent="0.25">
      <c r="F5600"/>
      <c r="O5600"/>
      <c r="R5600"/>
      <c r="S5600"/>
      <c r="T5600"/>
      <c r="U5600"/>
    </row>
    <row r="5601" spans="6:21" x14ac:dyDescent="0.25">
      <c r="F5601"/>
      <c r="O5601"/>
      <c r="R5601"/>
      <c r="S5601"/>
      <c r="T5601"/>
      <c r="U5601"/>
    </row>
    <row r="5602" spans="6:21" x14ac:dyDescent="0.25">
      <c r="F5602"/>
      <c r="O5602"/>
      <c r="R5602"/>
      <c r="S5602"/>
      <c r="T5602"/>
      <c r="U5602"/>
    </row>
    <row r="5603" spans="6:21" x14ac:dyDescent="0.25">
      <c r="F5603"/>
      <c r="O5603"/>
      <c r="R5603"/>
      <c r="S5603"/>
      <c r="T5603"/>
      <c r="U5603"/>
    </row>
    <row r="5604" spans="6:21" x14ac:dyDescent="0.25">
      <c r="F5604"/>
      <c r="O5604"/>
      <c r="R5604"/>
      <c r="S5604"/>
      <c r="T5604"/>
      <c r="U5604"/>
    </row>
    <row r="5605" spans="6:21" x14ac:dyDescent="0.25">
      <c r="F5605"/>
      <c r="O5605"/>
      <c r="R5605"/>
      <c r="S5605"/>
      <c r="T5605"/>
      <c r="U5605"/>
    </row>
    <row r="5606" spans="6:21" x14ac:dyDescent="0.25">
      <c r="F5606"/>
      <c r="O5606"/>
      <c r="R5606"/>
      <c r="S5606"/>
      <c r="T5606"/>
      <c r="U5606"/>
    </row>
    <row r="5607" spans="6:21" x14ac:dyDescent="0.25">
      <c r="F5607"/>
      <c r="O5607"/>
      <c r="R5607"/>
      <c r="S5607"/>
      <c r="T5607"/>
      <c r="U5607"/>
    </row>
    <row r="5608" spans="6:21" x14ac:dyDescent="0.25">
      <c r="F5608"/>
      <c r="O5608"/>
      <c r="R5608"/>
      <c r="S5608"/>
      <c r="T5608"/>
      <c r="U5608"/>
    </row>
    <row r="5609" spans="6:21" x14ac:dyDescent="0.25">
      <c r="F5609"/>
      <c r="O5609"/>
      <c r="R5609"/>
      <c r="S5609"/>
      <c r="T5609"/>
      <c r="U5609"/>
    </row>
    <row r="5610" spans="6:21" x14ac:dyDescent="0.25">
      <c r="F5610"/>
      <c r="O5610"/>
      <c r="R5610"/>
      <c r="S5610"/>
      <c r="T5610"/>
      <c r="U5610"/>
    </row>
    <row r="5611" spans="6:21" x14ac:dyDescent="0.25">
      <c r="F5611"/>
      <c r="O5611"/>
      <c r="R5611"/>
      <c r="S5611"/>
      <c r="T5611"/>
      <c r="U5611"/>
    </row>
    <row r="5612" spans="6:21" x14ac:dyDescent="0.25">
      <c r="F5612"/>
      <c r="O5612"/>
      <c r="R5612"/>
      <c r="S5612"/>
      <c r="T5612"/>
      <c r="U5612"/>
    </row>
    <row r="5613" spans="6:21" x14ac:dyDescent="0.25">
      <c r="F5613"/>
      <c r="O5613"/>
      <c r="R5613"/>
      <c r="S5613"/>
      <c r="T5613"/>
      <c r="U5613"/>
    </row>
    <row r="5614" spans="6:21" x14ac:dyDescent="0.25">
      <c r="F5614"/>
      <c r="O5614"/>
      <c r="R5614"/>
      <c r="S5614"/>
      <c r="T5614"/>
      <c r="U5614"/>
    </row>
    <row r="5615" spans="6:21" x14ac:dyDescent="0.25">
      <c r="F5615"/>
      <c r="O5615"/>
      <c r="R5615"/>
      <c r="S5615"/>
      <c r="T5615"/>
      <c r="U5615"/>
    </row>
    <row r="5616" spans="6:21" x14ac:dyDescent="0.25">
      <c r="F5616"/>
      <c r="O5616"/>
      <c r="R5616"/>
      <c r="S5616"/>
      <c r="T5616"/>
      <c r="U5616"/>
    </row>
    <row r="5617" spans="6:21" x14ac:dyDescent="0.25">
      <c r="F5617"/>
      <c r="O5617"/>
      <c r="R5617"/>
      <c r="S5617"/>
      <c r="T5617"/>
      <c r="U5617"/>
    </row>
    <row r="5618" spans="6:21" x14ac:dyDescent="0.25">
      <c r="F5618"/>
      <c r="O5618"/>
      <c r="R5618"/>
      <c r="S5618"/>
      <c r="T5618"/>
      <c r="U5618"/>
    </row>
    <row r="5619" spans="6:21" x14ac:dyDescent="0.25">
      <c r="F5619"/>
      <c r="O5619"/>
      <c r="R5619"/>
      <c r="S5619"/>
      <c r="T5619"/>
      <c r="U5619"/>
    </row>
    <row r="5620" spans="6:21" x14ac:dyDescent="0.25">
      <c r="F5620"/>
      <c r="O5620"/>
      <c r="R5620"/>
      <c r="S5620"/>
      <c r="T5620"/>
      <c r="U5620"/>
    </row>
    <row r="5621" spans="6:21" x14ac:dyDescent="0.25">
      <c r="F5621"/>
      <c r="O5621"/>
      <c r="R5621"/>
      <c r="S5621"/>
      <c r="T5621"/>
      <c r="U5621"/>
    </row>
    <row r="5622" spans="6:21" x14ac:dyDescent="0.25">
      <c r="F5622"/>
      <c r="O5622"/>
      <c r="R5622"/>
      <c r="S5622"/>
      <c r="T5622"/>
      <c r="U5622"/>
    </row>
    <row r="5623" spans="6:21" x14ac:dyDescent="0.25">
      <c r="F5623"/>
      <c r="O5623"/>
      <c r="R5623"/>
      <c r="S5623"/>
      <c r="T5623"/>
      <c r="U5623"/>
    </row>
    <row r="5624" spans="6:21" x14ac:dyDescent="0.25">
      <c r="F5624"/>
      <c r="O5624"/>
      <c r="R5624"/>
      <c r="S5624"/>
      <c r="T5624"/>
      <c r="U5624"/>
    </row>
    <row r="5625" spans="6:21" x14ac:dyDescent="0.25">
      <c r="F5625"/>
      <c r="O5625"/>
      <c r="R5625"/>
      <c r="S5625"/>
      <c r="T5625"/>
      <c r="U5625"/>
    </row>
    <row r="5626" spans="6:21" x14ac:dyDescent="0.25">
      <c r="F5626"/>
      <c r="O5626"/>
      <c r="R5626"/>
      <c r="S5626"/>
      <c r="T5626"/>
      <c r="U5626"/>
    </row>
    <row r="5627" spans="6:21" x14ac:dyDescent="0.25">
      <c r="F5627"/>
      <c r="O5627"/>
      <c r="R5627"/>
      <c r="S5627"/>
      <c r="T5627"/>
      <c r="U5627"/>
    </row>
    <row r="5628" spans="6:21" x14ac:dyDescent="0.25">
      <c r="F5628"/>
      <c r="O5628"/>
      <c r="R5628"/>
      <c r="S5628"/>
      <c r="T5628"/>
      <c r="U5628"/>
    </row>
    <row r="5629" spans="6:21" x14ac:dyDescent="0.25">
      <c r="F5629"/>
      <c r="O5629"/>
      <c r="R5629"/>
      <c r="S5629"/>
      <c r="T5629"/>
      <c r="U5629"/>
    </row>
    <row r="5630" spans="6:21" x14ac:dyDescent="0.25">
      <c r="F5630"/>
      <c r="O5630"/>
      <c r="R5630"/>
      <c r="S5630"/>
      <c r="T5630"/>
      <c r="U5630"/>
    </row>
    <row r="5631" spans="6:21" x14ac:dyDescent="0.25">
      <c r="F5631"/>
      <c r="O5631"/>
      <c r="R5631"/>
      <c r="S5631"/>
      <c r="T5631"/>
      <c r="U5631"/>
    </row>
    <row r="5632" spans="6:21" x14ac:dyDescent="0.25">
      <c r="F5632"/>
      <c r="O5632"/>
      <c r="R5632"/>
      <c r="S5632"/>
      <c r="T5632"/>
      <c r="U5632"/>
    </row>
    <row r="5633" spans="6:21" x14ac:dyDescent="0.25">
      <c r="F5633"/>
      <c r="O5633"/>
      <c r="R5633"/>
      <c r="S5633"/>
      <c r="T5633"/>
      <c r="U5633"/>
    </row>
    <row r="5634" spans="6:21" x14ac:dyDescent="0.25">
      <c r="F5634"/>
      <c r="O5634"/>
      <c r="R5634"/>
      <c r="S5634"/>
      <c r="T5634"/>
      <c r="U5634"/>
    </row>
    <row r="5635" spans="6:21" x14ac:dyDescent="0.25">
      <c r="F5635"/>
      <c r="O5635"/>
      <c r="R5635"/>
      <c r="S5635"/>
      <c r="T5635"/>
      <c r="U5635"/>
    </row>
    <row r="5636" spans="6:21" x14ac:dyDescent="0.25">
      <c r="F5636"/>
      <c r="O5636"/>
      <c r="R5636"/>
      <c r="S5636"/>
      <c r="T5636"/>
      <c r="U5636"/>
    </row>
    <row r="5637" spans="6:21" x14ac:dyDescent="0.25">
      <c r="F5637"/>
      <c r="O5637"/>
      <c r="R5637"/>
      <c r="S5637"/>
      <c r="T5637"/>
      <c r="U5637"/>
    </row>
    <row r="5638" spans="6:21" x14ac:dyDescent="0.25">
      <c r="F5638"/>
      <c r="O5638"/>
      <c r="R5638"/>
      <c r="S5638"/>
      <c r="T5638"/>
      <c r="U5638"/>
    </row>
    <row r="5639" spans="6:21" x14ac:dyDescent="0.25">
      <c r="F5639"/>
      <c r="O5639"/>
      <c r="R5639"/>
      <c r="S5639"/>
      <c r="T5639"/>
      <c r="U5639"/>
    </row>
    <row r="5640" spans="6:21" x14ac:dyDescent="0.25">
      <c r="F5640"/>
      <c r="O5640"/>
      <c r="R5640"/>
      <c r="S5640"/>
      <c r="T5640"/>
      <c r="U5640"/>
    </row>
    <row r="5641" spans="6:21" x14ac:dyDescent="0.25">
      <c r="F5641"/>
      <c r="O5641"/>
      <c r="R5641"/>
      <c r="S5641"/>
      <c r="T5641"/>
      <c r="U5641"/>
    </row>
    <row r="5642" spans="6:21" x14ac:dyDescent="0.25">
      <c r="F5642"/>
      <c r="O5642"/>
      <c r="R5642"/>
      <c r="S5642"/>
      <c r="T5642"/>
      <c r="U5642"/>
    </row>
    <row r="5643" spans="6:21" x14ac:dyDescent="0.25">
      <c r="F5643"/>
      <c r="O5643"/>
      <c r="R5643"/>
      <c r="S5643"/>
      <c r="T5643"/>
      <c r="U5643"/>
    </row>
    <row r="5644" spans="6:21" x14ac:dyDescent="0.25">
      <c r="F5644"/>
      <c r="O5644"/>
      <c r="R5644"/>
      <c r="S5644"/>
      <c r="T5644"/>
      <c r="U5644"/>
    </row>
    <row r="5645" spans="6:21" x14ac:dyDescent="0.25">
      <c r="F5645"/>
      <c r="O5645"/>
      <c r="R5645"/>
      <c r="S5645"/>
      <c r="T5645"/>
      <c r="U5645"/>
    </row>
    <row r="5646" spans="6:21" x14ac:dyDescent="0.25">
      <c r="F5646"/>
      <c r="O5646"/>
      <c r="R5646"/>
      <c r="S5646"/>
      <c r="T5646"/>
      <c r="U5646"/>
    </row>
    <row r="5647" spans="6:21" x14ac:dyDescent="0.25">
      <c r="F5647"/>
      <c r="O5647"/>
      <c r="R5647"/>
      <c r="S5647"/>
      <c r="T5647"/>
      <c r="U5647"/>
    </row>
    <row r="5648" spans="6:21" x14ac:dyDescent="0.25">
      <c r="F5648"/>
      <c r="O5648"/>
      <c r="R5648"/>
      <c r="S5648"/>
      <c r="T5648"/>
      <c r="U5648"/>
    </row>
    <row r="5649" spans="6:21" x14ac:dyDescent="0.25">
      <c r="F5649"/>
      <c r="O5649"/>
      <c r="R5649"/>
      <c r="S5649"/>
      <c r="T5649"/>
      <c r="U5649"/>
    </row>
    <row r="5650" spans="6:21" x14ac:dyDescent="0.25">
      <c r="F5650"/>
      <c r="O5650"/>
      <c r="R5650"/>
      <c r="S5650"/>
      <c r="T5650"/>
      <c r="U5650"/>
    </row>
    <row r="5651" spans="6:21" x14ac:dyDescent="0.25">
      <c r="F5651"/>
      <c r="O5651"/>
      <c r="R5651"/>
      <c r="S5651"/>
      <c r="T5651"/>
      <c r="U5651"/>
    </row>
    <row r="5652" spans="6:21" x14ac:dyDescent="0.25">
      <c r="F5652"/>
      <c r="O5652"/>
      <c r="R5652"/>
      <c r="S5652"/>
      <c r="T5652"/>
      <c r="U5652"/>
    </row>
    <row r="5653" spans="6:21" x14ac:dyDescent="0.25">
      <c r="F5653"/>
      <c r="O5653"/>
      <c r="R5653"/>
      <c r="S5653"/>
      <c r="T5653"/>
      <c r="U5653"/>
    </row>
    <row r="5654" spans="6:21" x14ac:dyDescent="0.25">
      <c r="F5654"/>
      <c r="O5654"/>
      <c r="R5654"/>
      <c r="S5654"/>
      <c r="T5654"/>
      <c r="U5654"/>
    </row>
    <row r="5655" spans="6:21" x14ac:dyDescent="0.25">
      <c r="F5655"/>
      <c r="O5655"/>
      <c r="R5655"/>
      <c r="S5655"/>
      <c r="T5655"/>
      <c r="U5655"/>
    </row>
    <row r="5656" spans="6:21" x14ac:dyDescent="0.25">
      <c r="F5656"/>
      <c r="O5656"/>
      <c r="R5656"/>
      <c r="S5656"/>
      <c r="T5656"/>
      <c r="U5656"/>
    </row>
    <row r="5657" spans="6:21" x14ac:dyDescent="0.25">
      <c r="F5657"/>
      <c r="O5657"/>
      <c r="R5657"/>
      <c r="S5657"/>
      <c r="T5657"/>
      <c r="U5657"/>
    </row>
    <row r="5658" spans="6:21" x14ac:dyDescent="0.25">
      <c r="F5658"/>
      <c r="O5658"/>
      <c r="R5658"/>
      <c r="S5658"/>
      <c r="T5658"/>
      <c r="U5658"/>
    </row>
    <row r="5659" spans="6:21" x14ac:dyDescent="0.25">
      <c r="F5659"/>
      <c r="O5659"/>
      <c r="R5659"/>
      <c r="S5659"/>
      <c r="T5659"/>
      <c r="U5659"/>
    </row>
    <row r="5660" spans="6:21" x14ac:dyDescent="0.25">
      <c r="F5660"/>
      <c r="O5660"/>
      <c r="R5660"/>
      <c r="S5660"/>
      <c r="T5660"/>
      <c r="U5660"/>
    </row>
    <row r="5661" spans="6:21" x14ac:dyDescent="0.25">
      <c r="F5661"/>
      <c r="O5661"/>
      <c r="R5661"/>
      <c r="S5661"/>
      <c r="T5661"/>
      <c r="U5661"/>
    </row>
    <row r="5662" spans="6:21" x14ac:dyDescent="0.25">
      <c r="F5662"/>
      <c r="O5662"/>
      <c r="R5662"/>
      <c r="S5662"/>
      <c r="T5662"/>
      <c r="U5662"/>
    </row>
    <row r="5663" spans="6:21" x14ac:dyDescent="0.25">
      <c r="F5663"/>
      <c r="O5663"/>
      <c r="R5663"/>
      <c r="S5663"/>
      <c r="T5663"/>
      <c r="U5663"/>
    </row>
    <row r="5664" spans="6:21" x14ac:dyDescent="0.25">
      <c r="F5664"/>
      <c r="O5664"/>
      <c r="R5664"/>
      <c r="S5664"/>
      <c r="T5664"/>
      <c r="U5664"/>
    </row>
    <row r="5665" spans="6:21" x14ac:dyDescent="0.25">
      <c r="F5665"/>
      <c r="O5665"/>
      <c r="R5665"/>
      <c r="S5665"/>
      <c r="T5665"/>
      <c r="U5665"/>
    </row>
    <row r="5666" spans="6:21" x14ac:dyDescent="0.25">
      <c r="F5666"/>
      <c r="O5666"/>
      <c r="R5666"/>
      <c r="S5666"/>
      <c r="T5666"/>
      <c r="U5666"/>
    </row>
    <row r="5667" spans="6:21" x14ac:dyDescent="0.25">
      <c r="F5667"/>
      <c r="O5667"/>
      <c r="R5667"/>
      <c r="S5667"/>
      <c r="T5667"/>
      <c r="U5667"/>
    </row>
    <row r="5668" spans="6:21" x14ac:dyDescent="0.25">
      <c r="F5668"/>
      <c r="O5668"/>
      <c r="R5668"/>
      <c r="S5668"/>
      <c r="T5668"/>
      <c r="U5668"/>
    </row>
    <row r="5669" spans="6:21" x14ac:dyDescent="0.25">
      <c r="F5669"/>
      <c r="O5669"/>
      <c r="R5669"/>
      <c r="S5669"/>
      <c r="T5669"/>
      <c r="U5669"/>
    </row>
    <row r="5670" spans="6:21" x14ac:dyDescent="0.25">
      <c r="F5670"/>
      <c r="O5670"/>
      <c r="R5670"/>
      <c r="S5670"/>
      <c r="T5670"/>
      <c r="U5670"/>
    </row>
    <row r="5671" spans="6:21" x14ac:dyDescent="0.25">
      <c r="F5671"/>
      <c r="O5671"/>
      <c r="R5671"/>
      <c r="S5671"/>
      <c r="T5671"/>
      <c r="U5671"/>
    </row>
    <row r="5672" spans="6:21" x14ac:dyDescent="0.25">
      <c r="F5672"/>
      <c r="O5672"/>
      <c r="R5672"/>
      <c r="S5672"/>
      <c r="T5672"/>
      <c r="U5672"/>
    </row>
    <row r="5673" spans="6:21" x14ac:dyDescent="0.25">
      <c r="F5673"/>
      <c r="O5673"/>
      <c r="R5673"/>
      <c r="S5673"/>
      <c r="T5673"/>
      <c r="U5673"/>
    </row>
    <row r="5674" spans="6:21" x14ac:dyDescent="0.25">
      <c r="F5674"/>
      <c r="O5674"/>
      <c r="R5674"/>
      <c r="S5674"/>
      <c r="T5674"/>
      <c r="U5674"/>
    </row>
    <row r="5675" spans="6:21" x14ac:dyDescent="0.25">
      <c r="F5675"/>
      <c r="O5675"/>
      <c r="R5675"/>
      <c r="S5675"/>
      <c r="T5675"/>
      <c r="U5675"/>
    </row>
    <row r="5676" spans="6:21" x14ac:dyDescent="0.25">
      <c r="F5676"/>
      <c r="O5676"/>
      <c r="R5676"/>
      <c r="S5676"/>
      <c r="T5676"/>
      <c r="U5676"/>
    </row>
    <row r="5677" spans="6:21" x14ac:dyDescent="0.25">
      <c r="F5677"/>
      <c r="O5677"/>
      <c r="R5677"/>
      <c r="S5677"/>
      <c r="T5677"/>
      <c r="U5677"/>
    </row>
    <row r="5678" spans="6:21" x14ac:dyDescent="0.25">
      <c r="F5678"/>
      <c r="O5678"/>
      <c r="R5678"/>
      <c r="S5678"/>
      <c r="T5678"/>
      <c r="U5678"/>
    </row>
    <row r="5679" spans="6:21" x14ac:dyDescent="0.25">
      <c r="F5679"/>
      <c r="O5679"/>
      <c r="R5679"/>
      <c r="S5679"/>
      <c r="T5679"/>
      <c r="U5679"/>
    </row>
    <row r="5680" spans="6:21" x14ac:dyDescent="0.25">
      <c r="F5680"/>
      <c r="O5680"/>
      <c r="R5680"/>
      <c r="S5680"/>
      <c r="T5680"/>
      <c r="U5680"/>
    </row>
    <row r="5681" spans="6:21" x14ac:dyDescent="0.25">
      <c r="F5681"/>
      <c r="O5681"/>
      <c r="R5681"/>
      <c r="S5681"/>
      <c r="T5681"/>
      <c r="U5681"/>
    </row>
    <row r="5682" spans="6:21" x14ac:dyDescent="0.25">
      <c r="F5682"/>
      <c r="O5682"/>
      <c r="R5682"/>
      <c r="S5682"/>
      <c r="T5682"/>
      <c r="U5682"/>
    </row>
    <row r="5683" spans="6:21" x14ac:dyDescent="0.25">
      <c r="F5683"/>
      <c r="O5683"/>
      <c r="R5683"/>
      <c r="S5683"/>
      <c r="T5683"/>
      <c r="U5683"/>
    </row>
    <row r="5684" spans="6:21" x14ac:dyDescent="0.25">
      <c r="F5684"/>
      <c r="O5684"/>
      <c r="R5684"/>
      <c r="S5684"/>
      <c r="T5684"/>
      <c r="U5684"/>
    </row>
    <row r="5685" spans="6:21" x14ac:dyDescent="0.25">
      <c r="F5685"/>
      <c r="O5685"/>
      <c r="R5685"/>
      <c r="S5685"/>
      <c r="T5685"/>
      <c r="U5685"/>
    </row>
    <row r="5686" spans="6:21" x14ac:dyDescent="0.25">
      <c r="F5686"/>
      <c r="O5686"/>
      <c r="R5686"/>
      <c r="S5686"/>
      <c r="T5686"/>
      <c r="U5686"/>
    </row>
    <row r="5687" spans="6:21" x14ac:dyDescent="0.25">
      <c r="F5687"/>
      <c r="O5687"/>
      <c r="R5687"/>
      <c r="S5687"/>
      <c r="T5687"/>
      <c r="U5687"/>
    </row>
    <row r="5688" spans="6:21" x14ac:dyDescent="0.25">
      <c r="F5688"/>
      <c r="O5688"/>
      <c r="R5688"/>
      <c r="S5688"/>
      <c r="T5688"/>
      <c r="U5688"/>
    </row>
    <row r="5689" spans="6:21" x14ac:dyDescent="0.25">
      <c r="F5689"/>
      <c r="O5689"/>
      <c r="R5689"/>
      <c r="S5689"/>
      <c r="T5689"/>
      <c r="U5689"/>
    </row>
    <row r="5690" spans="6:21" x14ac:dyDescent="0.25">
      <c r="F5690"/>
      <c r="O5690"/>
      <c r="R5690"/>
      <c r="S5690"/>
      <c r="T5690"/>
      <c r="U5690"/>
    </row>
    <row r="5691" spans="6:21" x14ac:dyDescent="0.25">
      <c r="F5691"/>
      <c r="O5691"/>
      <c r="R5691"/>
      <c r="S5691"/>
      <c r="T5691"/>
      <c r="U5691"/>
    </row>
    <row r="5692" spans="6:21" x14ac:dyDescent="0.25">
      <c r="F5692"/>
      <c r="O5692"/>
      <c r="R5692"/>
      <c r="S5692"/>
      <c r="T5692"/>
      <c r="U5692"/>
    </row>
    <row r="5693" spans="6:21" x14ac:dyDescent="0.25">
      <c r="F5693"/>
      <c r="O5693"/>
      <c r="R5693"/>
      <c r="S5693"/>
      <c r="T5693"/>
      <c r="U5693"/>
    </row>
    <row r="5694" spans="6:21" x14ac:dyDescent="0.25">
      <c r="F5694"/>
      <c r="O5694"/>
      <c r="R5694"/>
      <c r="S5694"/>
      <c r="T5694"/>
      <c r="U5694"/>
    </row>
    <row r="5695" spans="6:21" x14ac:dyDescent="0.25">
      <c r="F5695"/>
      <c r="O5695"/>
      <c r="R5695"/>
      <c r="S5695"/>
      <c r="T5695"/>
      <c r="U5695"/>
    </row>
    <row r="5696" spans="6:21" x14ac:dyDescent="0.25">
      <c r="F5696"/>
      <c r="O5696"/>
      <c r="R5696"/>
      <c r="S5696"/>
      <c r="T5696"/>
      <c r="U5696"/>
    </row>
    <row r="5697" spans="6:21" x14ac:dyDescent="0.25">
      <c r="F5697"/>
      <c r="O5697"/>
      <c r="R5697"/>
      <c r="S5697"/>
      <c r="T5697"/>
      <c r="U5697"/>
    </row>
    <row r="5698" spans="6:21" x14ac:dyDescent="0.25">
      <c r="F5698"/>
      <c r="O5698"/>
      <c r="R5698"/>
      <c r="S5698"/>
      <c r="T5698"/>
      <c r="U5698"/>
    </row>
    <row r="5699" spans="6:21" x14ac:dyDescent="0.25">
      <c r="F5699"/>
      <c r="O5699"/>
      <c r="R5699"/>
      <c r="S5699"/>
      <c r="T5699"/>
      <c r="U5699"/>
    </row>
    <row r="5700" spans="6:21" x14ac:dyDescent="0.25">
      <c r="F5700"/>
      <c r="O5700"/>
      <c r="R5700"/>
      <c r="S5700"/>
      <c r="T5700"/>
      <c r="U5700"/>
    </row>
    <row r="5701" spans="6:21" x14ac:dyDescent="0.25">
      <c r="F5701"/>
      <c r="O5701"/>
      <c r="R5701"/>
      <c r="S5701"/>
      <c r="T5701"/>
      <c r="U5701"/>
    </row>
    <row r="5702" spans="6:21" x14ac:dyDescent="0.25">
      <c r="F5702"/>
      <c r="O5702"/>
      <c r="R5702"/>
      <c r="S5702"/>
      <c r="T5702"/>
      <c r="U5702"/>
    </row>
    <row r="5703" spans="6:21" x14ac:dyDescent="0.25">
      <c r="F5703"/>
      <c r="O5703"/>
      <c r="R5703"/>
      <c r="S5703"/>
      <c r="T5703"/>
      <c r="U5703"/>
    </row>
    <row r="5704" spans="6:21" x14ac:dyDescent="0.25">
      <c r="F5704"/>
      <c r="O5704"/>
      <c r="R5704"/>
      <c r="S5704"/>
      <c r="T5704"/>
      <c r="U5704"/>
    </row>
    <row r="5705" spans="6:21" x14ac:dyDescent="0.25">
      <c r="F5705"/>
      <c r="O5705"/>
      <c r="R5705"/>
      <c r="S5705"/>
      <c r="T5705"/>
      <c r="U5705"/>
    </row>
    <row r="5706" spans="6:21" x14ac:dyDescent="0.25">
      <c r="F5706"/>
      <c r="O5706"/>
      <c r="R5706"/>
      <c r="S5706"/>
      <c r="T5706"/>
      <c r="U5706"/>
    </row>
    <row r="5707" spans="6:21" x14ac:dyDescent="0.25">
      <c r="F5707"/>
      <c r="O5707"/>
      <c r="R5707"/>
      <c r="S5707"/>
      <c r="T5707"/>
      <c r="U5707"/>
    </row>
    <row r="5708" spans="6:21" x14ac:dyDescent="0.25">
      <c r="F5708"/>
      <c r="O5708"/>
      <c r="R5708"/>
      <c r="S5708"/>
      <c r="T5708"/>
      <c r="U5708"/>
    </row>
    <row r="5709" spans="6:21" x14ac:dyDescent="0.25">
      <c r="F5709"/>
      <c r="O5709"/>
      <c r="R5709"/>
      <c r="S5709"/>
      <c r="T5709"/>
      <c r="U5709"/>
    </row>
    <row r="5710" spans="6:21" x14ac:dyDescent="0.25">
      <c r="F5710"/>
      <c r="O5710"/>
      <c r="R5710"/>
      <c r="S5710"/>
      <c r="T5710"/>
      <c r="U5710"/>
    </row>
    <row r="5711" spans="6:21" x14ac:dyDescent="0.25">
      <c r="F5711"/>
      <c r="O5711"/>
      <c r="R5711"/>
      <c r="S5711"/>
      <c r="T5711"/>
      <c r="U5711"/>
    </row>
    <row r="5712" spans="6:21" x14ac:dyDescent="0.25">
      <c r="F5712"/>
      <c r="O5712"/>
      <c r="R5712"/>
      <c r="S5712"/>
      <c r="T5712"/>
      <c r="U5712"/>
    </row>
    <row r="5713" spans="6:21" x14ac:dyDescent="0.25">
      <c r="F5713"/>
      <c r="O5713"/>
      <c r="R5713"/>
      <c r="S5713"/>
      <c r="T5713"/>
      <c r="U5713"/>
    </row>
    <row r="5714" spans="6:21" x14ac:dyDescent="0.25">
      <c r="F5714"/>
      <c r="O5714"/>
      <c r="R5714"/>
      <c r="S5714"/>
      <c r="T5714"/>
      <c r="U5714"/>
    </row>
    <row r="5715" spans="6:21" x14ac:dyDescent="0.25">
      <c r="F5715"/>
      <c r="O5715"/>
      <c r="R5715"/>
      <c r="S5715"/>
      <c r="T5715"/>
      <c r="U5715"/>
    </row>
    <row r="5716" spans="6:21" x14ac:dyDescent="0.25">
      <c r="F5716"/>
      <c r="O5716"/>
      <c r="R5716"/>
      <c r="S5716"/>
      <c r="T5716"/>
      <c r="U5716"/>
    </row>
    <row r="5717" spans="6:21" x14ac:dyDescent="0.25">
      <c r="F5717"/>
      <c r="O5717"/>
      <c r="R5717"/>
      <c r="S5717"/>
      <c r="T5717"/>
      <c r="U5717"/>
    </row>
    <row r="5718" spans="6:21" x14ac:dyDescent="0.25">
      <c r="F5718"/>
      <c r="O5718"/>
      <c r="R5718"/>
      <c r="S5718"/>
      <c r="T5718"/>
      <c r="U5718"/>
    </row>
    <row r="5719" spans="6:21" x14ac:dyDescent="0.25">
      <c r="F5719"/>
      <c r="O5719"/>
      <c r="R5719"/>
      <c r="S5719"/>
      <c r="T5719"/>
      <c r="U5719"/>
    </row>
    <row r="5720" spans="6:21" x14ac:dyDescent="0.25">
      <c r="F5720"/>
      <c r="O5720"/>
      <c r="R5720"/>
      <c r="S5720"/>
      <c r="T5720"/>
      <c r="U5720"/>
    </row>
    <row r="5721" spans="6:21" x14ac:dyDescent="0.25">
      <c r="F5721"/>
      <c r="O5721"/>
      <c r="R5721"/>
      <c r="S5721"/>
      <c r="T5721"/>
      <c r="U5721"/>
    </row>
    <row r="5722" spans="6:21" x14ac:dyDescent="0.25">
      <c r="F5722"/>
      <c r="O5722"/>
      <c r="R5722"/>
      <c r="S5722"/>
      <c r="T5722"/>
      <c r="U5722"/>
    </row>
    <row r="5723" spans="6:21" x14ac:dyDescent="0.25">
      <c r="F5723"/>
      <c r="O5723"/>
      <c r="R5723"/>
      <c r="S5723"/>
      <c r="T5723"/>
      <c r="U5723"/>
    </row>
    <row r="5724" spans="6:21" x14ac:dyDescent="0.25">
      <c r="F5724"/>
      <c r="O5724"/>
      <c r="R5724"/>
      <c r="S5724"/>
      <c r="T5724"/>
      <c r="U5724"/>
    </row>
    <row r="5725" spans="6:21" x14ac:dyDescent="0.25">
      <c r="F5725"/>
      <c r="O5725"/>
      <c r="R5725"/>
      <c r="S5725"/>
      <c r="T5725"/>
      <c r="U5725"/>
    </row>
    <row r="5726" spans="6:21" x14ac:dyDescent="0.25">
      <c r="F5726"/>
      <c r="O5726"/>
      <c r="R5726"/>
      <c r="S5726"/>
      <c r="T5726"/>
      <c r="U5726"/>
    </row>
    <row r="5727" spans="6:21" x14ac:dyDescent="0.25">
      <c r="F5727"/>
      <c r="O5727"/>
      <c r="R5727"/>
      <c r="S5727"/>
      <c r="T5727"/>
      <c r="U5727"/>
    </row>
    <row r="5728" spans="6:21" x14ac:dyDescent="0.25">
      <c r="F5728"/>
      <c r="O5728"/>
      <c r="R5728"/>
      <c r="S5728"/>
      <c r="T5728"/>
      <c r="U5728"/>
    </row>
    <row r="5729" spans="6:21" x14ac:dyDescent="0.25">
      <c r="F5729"/>
      <c r="O5729"/>
      <c r="R5729"/>
      <c r="S5729"/>
      <c r="T5729"/>
      <c r="U5729"/>
    </row>
    <row r="5730" spans="6:21" x14ac:dyDescent="0.25">
      <c r="F5730"/>
      <c r="O5730"/>
      <c r="R5730"/>
      <c r="S5730"/>
      <c r="T5730"/>
      <c r="U5730"/>
    </row>
    <row r="5731" spans="6:21" x14ac:dyDescent="0.25">
      <c r="F5731"/>
      <c r="O5731"/>
      <c r="R5731"/>
      <c r="S5731"/>
      <c r="T5731"/>
      <c r="U5731"/>
    </row>
    <row r="5732" spans="6:21" x14ac:dyDescent="0.25">
      <c r="F5732"/>
      <c r="O5732"/>
      <c r="R5732"/>
      <c r="S5732"/>
      <c r="T5732"/>
      <c r="U5732"/>
    </row>
    <row r="5733" spans="6:21" x14ac:dyDescent="0.25">
      <c r="F5733"/>
      <c r="O5733"/>
      <c r="R5733"/>
      <c r="S5733"/>
      <c r="T5733"/>
      <c r="U5733"/>
    </row>
    <row r="5734" spans="6:21" x14ac:dyDescent="0.25">
      <c r="F5734"/>
      <c r="O5734"/>
      <c r="R5734"/>
      <c r="S5734"/>
      <c r="T5734"/>
      <c r="U5734"/>
    </row>
    <row r="5735" spans="6:21" x14ac:dyDescent="0.25">
      <c r="F5735"/>
      <c r="O5735"/>
      <c r="R5735"/>
      <c r="S5735"/>
      <c r="T5735"/>
      <c r="U5735"/>
    </row>
    <row r="5736" spans="6:21" x14ac:dyDescent="0.25">
      <c r="F5736"/>
      <c r="O5736"/>
      <c r="R5736"/>
      <c r="S5736"/>
      <c r="T5736"/>
      <c r="U5736"/>
    </row>
    <row r="5737" spans="6:21" x14ac:dyDescent="0.25">
      <c r="F5737"/>
      <c r="O5737"/>
      <c r="R5737"/>
      <c r="S5737"/>
      <c r="T5737"/>
      <c r="U5737"/>
    </row>
    <row r="5738" spans="6:21" x14ac:dyDescent="0.25">
      <c r="F5738"/>
      <c r="O5738"/>
      <c r="R5738"/>
      <c r="S5738"/>
      <c r="T5738"/>
      <c r="U5738"/>
    </row>
    <row r="5739" spans="6:21" x14ac:dyDescent="0.25">
      <c r="F5739"/>
      <c r="O5739"/>
      <c r="R5739"/>
      <c r="S5739"/>
      <c r="T5739"/>
      <c r="U5739"/>
    </row>
    <row r="5740" spans="6:21" x14ac:dyDescent="0.25">
      <c r="F5740"/>
      <c r="O5740"/>
      <c r="R5740"/>
      <c r="S5740"/>
      <c r="T5740"/>
      <c r="U5740"/>
    </row>
    <row r="5741" spans="6:21" x14ac:dyDescent="0.25">
      <c r="F5741"/>
      <c r="O5741"/>
      <c r="R5741"/>
      <c r="S5741"/>
      <c r="T5741"/>
      <c r="U5741"/>
    </row>
    <row r="5742" spans="6:21" x14ac:dyDescent="0.25">
      <c r="F5742"/>
      <c r="O5742"/>
      <c r="R5742"/>
      <c r="S5742"/>
      <c r="T5742"/>
      <c r="U5742"/>
    </row>
    <row r="5743" spans="6:21" x14ac:dyDescent="0.25">
      <c r="F5743"/>
      <c r="O5743"/>
      <c r="R5743"/>
      <c r="S5743"/>
      <c r="T5743"/>
      <c r="U5743"/>
    </row>
    <row r="5744" spans="6:21" x14ac:dyDescent="0.25">
      <c r="F5744"/>
      <c r="O5744"/>
      <c r="R5744"/>
      <c r="S5744"/>
      <c r="T5744"/>
      <c r="U5744"/>
    </row>
    <row r="5745" spans="6:21" x14ac:dyDescent="0.25">
      <c r="F5745"/>
      <c r="O5745"/>
      <c r="R5745"/>
      <c r="S5745"/>
      <c r="T5745"/>
      <c r="U5745"/>
    </row>
    <row r="5746" spans="6:21" x14ac:dyDescent="0.25">
      <c r="F5746"/>
      <c r="O5746"/>
      <c r="R5746"/>
      <c r="S5746"/>
      <c r="T5746"/>
      <c r="U5746"/>
    </row>
    <row r="5747" spans="6:21" x14ac:dyDescent="0.25">
      <c r="F5747"/>
      <c r="O5747"/>
      <c r="R5747"/>
      <c r="S5747"/>
      <c r="T5747"/>
      <c r="U5747"/>
    </row>
    <row r="5748" spans="6:21" x14ac:dyDescent="0.25">
      <c r="F5748"/>
      <c r="O5748"/>
      <c r="R5748"/>
      <c r="S5748"/>
      <c r="T5748"/>
      <c r="U5748"/>
    </row>
    <row r="5749" spans="6:21" x14ac:dyDescent="0.25">
      <c r="F5749"/>
      <c r="O5749"/>
      <c r="R5749"/>
      <c r="S5749"/>
      <c r="T5749"/>
      <c r="U5749"/>
    </row>
    <row r="5750" spans="6:21" x14ac:dyDescent="0.25">
      <c r="F5750"/>
      <c r="O5750"/>
      <c r="R5750"/>
      <c r="S5750"/>
      <c r="T5750"/>
      <c r="U5750"/>
    </row>
    <row r="5751" spans="6:21" x14ac:dyDescent="0.25">
      <c r="F5751"/>
      <c r="O5751"/>
      <c r="R5751"/>
      <c r="S5751"/>
      <c r="T5751"/>
      <c r="U5751"/>
    </row>
    <row r="5752" spans="6:21" x14ac:dyDescent="0.25">
      <c r="F5752"/>
      <c r="O5752"/>
      <c r="R5752"/>
      <c r="S5752"/>
      <c r="T5752"/>
      <c r="U5752"/>
    </row>
    <row r="5753" spans="6:21" x14ac:dyDescent="0.25">
      <c r="F5753"/>
      <c r="O5753"/>
      <c r="R5753"/>
      <c r="S5753"/>
      <c r="T5753"/>
      <c r="U5753"/>
    </row>
    <row r="5754" spans="6:21" x14ac:dyDescent="0.25">
      <c r="F5754"/>
      <c r="O5754"/>
      <c r="R5754"/>
      <c r="S5754"/>
      <c r="T5754"/>
      <c r="U5754"/>
    </row>
    <row r="5755" spans="6:21" x14ac:dyDescent="0.25">
      <c r="F5755"/>
      <c r="O5755"/>
      <c r="R5755"/>
      <c r="S5755"/>
      <c r="T5755"/>
      <c r="U5755"/>
    </row>
    <row r="5756" spans="6:21" x14ac:dyDescent="0.25">
      <c r="F5756"/>
      <c r="O5756"/>
      <c r="R5756"/>
      <c r="S5756"/>
      <c r="T5756"/>
      <c r="U5756"/>
    </row>
    <row r="5757" spans="6:21" x14ac:dyDescent="0.25">
      <c r="F5757"/>
      <c r="O5757"/>
      <c r="R5757"/>
      <c r="S5757"/>
      <c r="T5757"/>
      <c r="U5757"/>
    </row>
    <row r="5758" spans="6:21" x14ac:dyDescent="0.25">
      <c r="F5758"/>
      <c r="O5758"/>
      <c r="R5758"/>
      <c r="S5758"/>
      <c r="T5758"/>
      <c r="U5758"/>
    </row>
    <row r="5759" spans="6:21" x14ac:dyDescent="0.25">
      <c r="F5759"/>
      <c r="O5759"/>
      <c r="R5759"/>
      <c r="S5759"/>
      <c r="T5759"/>
      <c r="U5759"/>
    </row>
    <row r="5760" spans="6:21" x14ac:dyDescent="0.25">
      <c r="F5760"/>
      <c r="O5760"/>
      <c r="R5760"/>
      <c r="S5760"/>
      <c r="T5760"/>
      <c r="U5760"/>
    </row>
    <row r="5761" spans="6:21" x14ac:dyDescent="0.25">
      <c r="F5761"/>
      <c r="O5761"/>
      <c r="R5761"/>
      <c r="S5761"/>
      <c r="T5761"/>
      <c r="U5761"/>
    </row>
    <row r="5762" spans="6:21" x14ac:dyDescent="0.25">
      <c r="F5762"/>
      <c r="O5762"/>
      <c r="R5762"/>
      <c r="S5762"/>
      <c r="T5762"/>
      <c r="U5762"/>
    </row>
    <row r="5763" spans="6:21" x14ac:dyDescent="0.25">
      <c r="F5763"/>
      <c r="O5763"/>
      <c r="R5763"/>
      <c r="S5763"/>
      <c r="T5763"/>
      <c r="U5763"/>
    </row>
    <row r="5764" spans="6:21" x14ac:dyDescent="0.25">
      <c r="F5764"/>
      <c r="O5764"/>
      <c r="R5764"/>
      <c r="S5764"/>
      <c r="T5764"/>
      <c r="U5764"/>
    </row>
    <row r="5765" spans="6:21" x14ac:dyDescent="0.25">
      <c r="F5765"/>
      <c r="O5765"/>
      <c r="R5765"/>
      <c r="S5765"/>
      <c r="T5765"/>
      <c r="U5765"/>
    </row>
    <row r="5766" spans="6:21" x14ac:dyDescent="0.25">
      <c r="F5766"/>
      <c r="O5766"/>
      <c r="R5766"/>
      <c r="S5766"/>
      <c r="T5766"/>
      <c r="U5766"/>
    </row>
    <row r="5767" spans="6:21" x14ac:dyDescent="0.25">
      <c r="F5767"/>
      <c r="O5767"/>
      <c r="R5767"/>
      <c r="S5767"/>
      <c r="T5767"/>
      <c r="U5767"/>
    </row>
    <row r="5768" spans="6:21" x14ac:dyDescent="0.25">
      <c r="F5768"/>
      <c r="O5768"/>
      <c r="R5768"/>
      <c r="S5768"/>
      <c r="T5768"/>
      <c r="U5768"/>
    </row>
    <row r="5769" spans="6:21" x14ac:dyDescent="0.25">
      <c r="F5769"/>
      <c r="O5769"/>
      <c r="R5769"/>
      <c r="S5769"/>
      <c r="T5769"/>
      <c r="U5769"/>
    </row>
    <row r="5770" spans="6:21" x14ac:dyDescent="0.25">
      <c r="F5770"/>
      <c r="O5770"/>
      <c r="R5770"/>
      <c r="S5770"/>
      <c r="T5770"/>
      <c r="U5770"/>
    </row>
    <row r="5771" spans="6:21" x14ac:dyDescent="0.25">
      <c r="F5771"/>
      <c r="O5771"/>
      <c r="R5771"/>
      <c r="S5771"/>
      <c r="T5771"/>
      <c r="U5771"/>
    </row>
    <row r="5772" spans="6:21" x14ac:dyDescent="0.25">
      <c r="F5772"/>
      <c r="O5772"/>
      <c r="R5772"/>
      <c r="S5772"/>
      <c r="T5772"/>
      <c r="U5772"/>
    </row>
    <row r="5773" spans="6:21" x14ac:dyDescent="0.25">
      <c r="F5773"/>
      <c r="O5773"/>
      <c r="R5773"/>
      <c r="S5773"/>
      <c r="T5773"/>
      <c r="U5773"/>
    </row>
    <row r="5774" spans="6:21" x14ac:dyDescent="0.25">
      <c r="F5774"/>
      <c r="O5774"/>
      <c r="R5774"/>
      <c r="S5774"/>
      <c r="T5774"/>
      <c r="U5774"/>
    </row>
    <row r="5775" spans="6:21" x14ac:dyDescent="0.25">
      <c r="F5775"/>
      <c r="O5775"/>
      <c r="R5775"/>
      <c r="S5775"/>
      <c r="T5775"/>
      <c r="U5775"/>
    </row>
    <row r="5776" spans="6:21" x14ac:dyDescent="0.25">
      <c r="F5776"/>
      <c r="O5776"/>
      <c r="R5776"/>
      <c r="S5776"/>
      <c r="T5776"/>
      <c r="U5776"/>
    </row>
    <row r="5777" spans="6:21" x14ac:dyDescent="0.25">
      <c r="F5777"/>
      <c r="O5777"/>
      <c r="R5777"/>
      <c r="S5777"/>
      <c r="T5777"/>
      <c r="U5777"/>
    </row>
    <row r="5778" spans="6:21" x14ac:dyDescent="0.25">
      <c r="F5778"/>
      <c r="O5778"/>
      <c r="R5778"/>
      <c r="S5778"/>
      <c r="T5778"/>
      <c r="U5778"/>
    </row>
    <row r="5779" spans="6:21" x14ac:dyDescent="0.25">
      <c r="F5779"/>
      <c r="O5779"/>
      <c r="R5779"/>
      <c r="S5779"/>
      <c r="T5779"/>
      <c r="U5779"/>
    </row>
    <row r="5780" spans="6:21" x14ac:dyDescent="0.25">
      <c r="F5780"/>
      <c r="O5780"/>
      <c r="R5780"/>
      <c r="S5780"/>
      <c r="T5780"/>
      <c r="U5780"/>
    </row>
    <row r="5781" spans="6:21" x14ac:dyDescent="0.25">
      <c r="F5781"/>
      <c r="O5781"/>
      <c r="R5781"/>
      <c r="S5781"/>
      <c r="T5781"/>
      <c r="U5781"/>
    </row>
    <row r="5782" spans="6:21" x14ac:dyDescent="0.25">
      <c r="F5782"/>
      <c r="O5782"/>
      <c r="R5782"/>
      <c r="S5782"/>
      <c r="T5782"/>
      <c r="U5782"/>
    </row>
    <row r="5783" spans="6:21" x14ac:dyDescent="0.25">
      <c r="F5783"/>
      <c r="O5783"/>
      <c r="R5783"/>
      <c r="S5783"/>
      <c r="T5783"/>
      <c r="U5783"/>
    </row>
    <row r="5784" spans="6:21" x14ac:dyDescent="0.25">
      <c r="F5784"/>
      <c r="O5784"/>
      <c r="R5784"/>
      <c r="S5784"/>
      <c r="T5784"/>
      <c r="U5784"/>
    </row>
    <row r="5785" spans="6:21" x14ac:dyDescent="0.25">
      <c r="F5785"/>
      <c r="O5785"/>
      <c r="R5785"/>
      <c r="S5785"/>
      <c r="T5785"/>
      <c r="U5785"/>
    </row>
    <row r="5786" spans="6:21" x14ac:dyDescent="0.25">
      <c r="F5786"/>
      <c r="O5786"/>
      <c r="R5786"/>
      <c r="S5786"/>
      <c r="T5786"/>
      <c r="U5786"/>
    </row>
    <row r="5787" spans="6:21" x14ac:dyDescent="0.25">
      <c r="F5787"/>
      <c r="O5787"/>
      <c r="R5787"/>
      <c r="S5787"/>
      <c r="T5787"/>
      <c r="U5787"/>
    </row>
    <row r="5788" spans="6:21" x14ac:dyDescent="0.25">
      <c r="F5788"/>
      <c r="O5788"/>
      <c r="R5788"/>
      <c r="S5788"/>
      <c r="T5788"/>
      <c r="U5788"/>
    </row>
    <row r="5789" spans="6:21" x14ac:dyDescent="0.25">
      <c r="F5789"/>
      <c r="O5789"/>
      <c r="R5789"/>
      <c r="S5789"/>
      <c r="T5789"/>
      <c r="U5789"/>
    </row>
    <row r="5790" spans="6:21" x14ac:dyDescent="0.25">
      <c r="F5790"/>
      <c r="O5790"/>
      <c r="R5790"/>
      <c r="S5790"/>
      <c r="T5790"/>
      <c r="U5790"/>
    </row>
    <row r="5791" spans="6:21" x14ac:dyDescent="0.25">
      <c r="F5791"/>
      <c r="O5791"/>
      <c r="R5791"/>
      <c r="S5791"/>
      <c r="T5791"/>
      <c r="U5791"/>
    </row>
    <row r="5792" spans="6:21" x14ac:dyDescent="0.25">
      <c r="F5792"/>
      <c r="O5792"/>
      <c r="R5792"/>
      <c r="S5792"/>
      <c r="T5792"/>
      <c r="U5792"/>
    </row>
    <row r="5793" spans="6:21" x14ac:dyDescent="0.25">
      <c r="F5793"/>
      <c r="O5793"/>
      <c r="R5793"/>
      <c r="S5793"/>
      <c r="T5793"/>
      <c r="U5793"/>
    </row>
    <row r="5794" spans="6:21" x14ac:dyDescent="0.25">
      <c r="F5794"/>
      <c r="O5794"/>
      <c r="R5794"/>
      <c r="S5794"/>
      <c r="T5794"/>
      <c r="U5794"/>
    </row>
    <row r="5795" spans="6:21" x14ac:dyDescent="0.25">
      <c r="F5795"/>
      <c r="O5795"/>
      <c r="R5795"/>
      <c r="S5795"/>
      <c r="T5795"/>
      <c r="U5795"/>
    </row>
    <row r="5796" spans="6:21" x14ac:dyDescent="0.25">
      <c r="F5796"/>
      <c r="O5796"/>
      <c r="R5796"/>
      <c r="S5796"/>
      <c r="T5796"/>
      <c r="U5796"/>
    </row>
    <row r="5797" spans="6:21" x14ac:dyDescent="0.25">
      <c r="F5797"/>
      <c r="O5797"/>
      <c r="R5797"/>
      <c r="S5797"/>
      <c r="T5797"/>
      <c r="U5797"/>
    </row>
    <row r="5798" spans="6:21" x14ac:dyDescent="0.25">
      <c r="F5798"/>
      <c r="O5798"/>
      <c r="R5798"/>
      <c r="S5798"/>
      <c r="T5798"/>
      <c r="U5798"/>
    </row>
    <row r="5799" spans="6:21" x14ac:dyDescent="0.25">
      <c r="F5799"/>
      <c r="O5799"/>
      <c r="R5799"/>
      <c r="S5799"/>
      <c r="T5799"/>
      <c r="U5799"/>
    </row>
    <row r="5800" spans="6:21" x14ac:dyDescent="0.25">
      <c r="F5800"/>
      <c r="O5800"/>
      <c r="R5800"/>
      <c r="S5800"/>
      <c r="T5800"/>
      <c r="U5800"/>
    </row>
    <row r="5801" spans="6:21" x14ac:dyDescent="0.25">
      <c r="F5801"/>
      <c r="O5801"/>
      <c r="R5801"/>
      <c r="S5801"/>
      <c r="T5801"/>
      <c r="U5801"/>
    </row>
    <row r="5802" spans="6:21" x14ac:dyDescent="0.25">
      <c r="F5802"/>
      <c r="O5802"/>
      <c r="R5802"/>
      <c r="S5802"/>
      <c r="T5802"/>
      <c r="U5802"/>
    </row>
    <row r="5803" spans="6:21" x14ac:dyDescent="0.25">
      <c r="F5803"/>
      <c r="O5803"/>
      <c r="R5803"/>
      <c r="S5803"/>
      <c r="T5803"/>
      <c r="U5803"/>
    </row>
    <row r="5804" spans="6:21" x14ac:dyDescent="0.25">
      <c r="F5804"/>
      <c r="O5804"/>
      <c r="R5804"/>
      <c r="S5804"/>
      <c r="T5804"/>
      <c r="U5804"/>
    </row>
    <row r="5805" spans="6:21" x14ac:dyDescent="0.25">
      <c r="F5805"/>
      <c r="O5805"/>
      <c r="R5805"/>
      <c r="S5805"/>
      <c r="T5805"/>
      <c r="U5805"/>
    </row>
    <row r="5806" spans="6:21" x14ac:dyDescent="0.25">
      <c r="F5806"/>
      <c r="O5806"/>
      <c r="R5806"/>
      <c r="S5806"/>
      <c r="T5806"/>
      <c r="U5806"/>
    </row>
    <row r="5807" spans="6:21" x14ac:dyDescent="0.25">
      <c r="F5807"/>
      <c r="O5807"/>
      <c r="R5807"/>
      <c r="S5807"/>
      <c r="T5807"/>
      <c r="U5807"/>
    </row>
    <row r="5808" spans="6:21" x14ac:dyDescent="0.25">
      <c r="F5808"/>
      <c r="O5808"/>
      <c r="R5808"/>
      <c r="S5808"/>
      <c r="T5808"/>
      <c r="U5808"/>
    </row>
    <row r="5809" spans="6:21" x14ac:dyDescent="0.25">
      <c r="F5809"/>
      <c r="O5809"/>
      <c r="R5809"/>
      <c r="S5809"/>
      <c r="T5809"/>
      <c r="U5809"/>
    </row>
    <row r="5810" spans="6:21" x14ac:dyDescent="0.25">
      <c r="F5810"/>
      <c r="O5810"/>
      <c r="R5810"/>
      <c r="S5810"/>
      <c r="T5810"/>
      <c r="U5810"/>
    </row>
    <row r="5811" spans="6:21" x14ac:dyDescent="0.25">
      <c r="F5811"/>
      <c r="O5811"/>
      <c r="R5811"/>
      <c r="S5811"/>
      <c r="T5811"/>
      <c r="U5811"/>
    </row>
    <row r="5812" spans="6:21" x14ac:dyDescent="0.25">
      <c r="F5812"/>
      <c r="O5812"/>
      <c r="R5812"/>
      <c r="S5812"/>
      <c r="T5812"/>
      <c r="U5812"/>
    </row>
    <row r="5813" spans="6:21" x14ac:dyDescent="0.25">
      <c r="F5813"/>
      <c r="O5813"/>
      <c r="R5813"/>
      <c r="S5813"/>
      <c r="T5813"/>
      <c r="U5813"/>
    </row>
    <row r="5814" spans="6:21" x14ac:dyDescent="0.25">
      <c r="F5814"/>
      <c r="O5814"/>
      <c r="R5814"/>
      <c r="S5814"/>
      <c r="T5814"/>
      <c r="U5814"/>
    </row>
    <row r="5815" spans="6:21" x14ac:dyDescent="0.25">
      <c r="F5815"/>
      <c r="O5815"/>
      <c r="R5815"/>
      <c r="S5815"/>
      <c r="T5815"/>
      <c r="U5815"/>
    </row>
    <row r="5816" spans="6:21" x14ac:dyDescent="0.25">
      <c r="F5816"/>
      <c r="O5816"/>
      <c r="R5816"/>
      <c r="S5816"/>
      <c r="T5816"/>
      <c r="U5816"/>
    </row>
    <row r="5817" spans="6:21" x14ac:dyDescent="0.25">
      <c r="F5817"/>
      <c r="O5817"/>
      <c r="R5817"/>
      <c r="S5817"/>
      <c r="T5817"/>
      <c r="U5817"/>
    </row>
    <row r="5818" spans="6:21" x14ac:dyDescent="0.25">
      <c r="F5818"/>
      <c r="O5818"/>
      <c r="R5818"/>
      <c r="S5818"/>
      <c r="T5818"/>
      <c r="U5818"/>
    </row>
    <row r="5819" spans="6:21" x14ac:dyDescent="0.25">
      <c r="F5819"/>
      <c r="O5819"/>
      <c r="R5819"/>
      <c r="S5819"/>
      <c r="T5819"/>
      <c r="U5819"/>
    </row>
    <row r="5820" spans="6:21" x14ac:dyDescent="0.25">
      <c r="F5820"/>
      <c r="O5820"/>
      <c r="R5820"/>
      <c r="S5820"/>
      <c r="T5820"/>
      <c r="U5820"/>
    </row>
    <row r="5821" spans="6:21" x14ac:dyDescent="0.25">
      <c r="F5821"/>
      <c r="O5821"/>
      <c r="R5821"/>
      <c r="S5821"/>
      <c r="T5821"/>
      <c r="U5821"/>
    </row>
    <row r="5822" spans="6:21" x14ac:dyDescent="0.25">
      <c r="F5822"/>
      <c r="O5822"/>
      <c r="R5822"/>
      <c r="S5822"/>
      <c r="T5822"/>
      <c r="U5822"/>
    </row>
    <row r="5823" spans="6:21" x14ac:dyDescent="0.25">
      <c r="F5823"/>
      <c r="O5823"/>
      <c r="R5823"/>
      <c r="S5823"/>
      <c r="T5823"/>
      <c r="U5823"/>
    </row>
    <row r="5824" spans="6:21" x14ac:dyDescent="0.25">
      <c r="F5824"/>
      <c r="O5824"/>
      <c r="R5824"/>
      <c r="S5824"/>
      <c r="T5824"/>
      <c r="U5824"/>
    </row>
    <row r="5825" spans="6:21" x14ac:dyDescent="0.25">
      <c r="F5825"/>
      <c r="O5825"/>
      <c r="R5825"/>
      <c r="S5825"/>
      <c r="T5825"/>
      <c r="U5825"/>
    </row>
    <row r="5826" spans="6:21" x14ac:dyDescent="0.25">
      <c r="F5826"/>
      <c r="O5826"/>
      <c r="R5826"/>
      <c r="S5826"/>
      <c r="T5826"/>
      <c r="U5826"/>
    </row>
    <row r="5827" spans="6:21" x14ac:dyDescent="0.25">
      <c r="F5827"/>
      <c r="O5827"/>
      <c r="R5827"/>
      <c r="S5827"/>
      <c r="T5827"/>
      <c r="U5827"/>
    </row>
    <row r="5828" spans="6:21" x14ac:dyDescent="0.25">
      <c r="F5828"/>
      <c r="O5828"/>
      <c r="R5828"/>
      <c r="S5828"/>
      <c r="T5828"/>
      <c r="U5828"/>
    </row>
    <row r="5829" spans="6:21" x14ac:dyDescent="0.25">
      <c r="F5829"/>
      <c r="O5829"/>
      <c r="R5829"/>
      <c r="S5829"/>
      <c r="T5829"/>
      <c r="U5829"/>
    </row>
    <row r="5830" spans="6:21" x14ac:dyDescent="0.25">
      <c r="F5830"/>
      <c r="O5830"/>
      <c r="R5830"/>
      <c r="S5830"/>
      <c r="T5830"/>
      <c r="U5830"/>
    </row>
    <row r="5831" spans="6:21" x14ac:dyDescent="0.25">
      <c r="F5831"/>
      <c r="O5831"/>
      <c r="R5831"/>
      <c r="S5831"/>
      <c r="T5831"/>
      <c r="U5831"/>
    </row>
    <row r="5832" spans="6:21" x14ac:dyDescent="0.25">
      <c r="F5832"/>
      <c r="O5832"/>
      <c r="R5832"/>
      <c r="S5832"/>
      <c r="T5832"/>
      <c r="U5832"/>
    </row>
    <row r="5833" spans="6:21" x14ac:dyDescent="0.25">
      <c r="F5833"/>
      <c r="O5833"/>
      <c r="R5833"/>
      <c r="S5833"/>
      <c r="T5833"/>
      <c r="U5833"/>
    </row>
    <row r="5834" spans="6:21" x14ac:dyDescent="0.25">
      <c r="F5834"/>
      <c r="O5834"/>
      <c r="R5834"/>
      <c r="S5834"/>
      <c r="T5834"/>
      <c r="U5834"/>
    </row>
    <row r="5835" spans="6:21" x14ac:dyDescent="0.25">
      <c r="F5835"/>
      <c r="O5835"/>
      <c r="R5835"/>
      <c r="S5835"/>
      <c r="T5835"/>
      <c r="U5835"/>
    </row>
    <row r="5836" spans="6:21" x14ac:dyDescent="0.25">
      <c r="F5836"/>
      <c r="O5836"/>
      <c r="R5836"/>
      <c r="S5836"/>
      <c r="T5836"/>
      <c r="U5836"/>
    </row>
    <row r="5837" spans="6:21" x14ac:dyDescent="0.25">
      <c r="F5837"/>
      <c r="O5837"/>
      <c r="R5837"/>
      <c r="S5837"/>
      <c r="T5837"/>
      <c r="U5837"/>
    </row>
    <row r="5838" spans="6:21" x14ac:dyDescent="0.25">
      <c r="F5838"/>
      <c r="O5838"/>
      <c r="R5838"/>
      <c r="S5838"/>
      <c r="T5838"/>
      <c r="U5838"/>
    </row>
    <row r="5839" spans="6:21" x14ac:dyDescent="0.25">
      <c r="F5839"/>
      <c r="O5839"/>
      <c r="R5839"/>
      <c r="S5839"/>
      <c r="T5839"/>
      <c r="U5839"/>
    </row>
    <row r="5840" spans="6:21" x14ac:dyDescent="0.25">
      <c r="F5840"/>
      <c r="O5840"/>
      <c r="R5840"/>
      <c r="S5840"/>
      <c r="T5840"/>
      <c r="U5840"/>
    </row>
    <row r="5841" spans="6:21" x14ac:dyDescent="0.25">
      <c r="F5841"/>
      <c r="O5841"/>
      <c r="R5841"/>
      <c r="S5841"/>
      <c r="T5841"/>
      <c r="U5841"/>
    </row>
    <row r="5842" spans="6:21" x14ac:dyDescent="0.25">
      <c r="F5842"/>
      <c r="O5842"/>
      <c r="R5842"/>
      <c r="S5842"/>
      <c r="T5842"/>
      <c r="U5842"/>
    </row>
    <row r="5843" spans="6:21" x14ac:dyDescent="0.25">
      <c r="F5843"/>
      <c r="O5843"/>
      <c r="R5843"/>
      <c r="S5843"/>
      <c r="T5843"/>
      <c r="U5843"/>
    </row>
    <row r="5844" spans="6:21" x14ac:dyDescent="0.25">
      <c r="F5844"/>
      <c r="O5844"/>
      <c r="R5844"/>
      <c r="S5844"/>
      <c r="T5844"/>
      <c r="U5844"/>
    </row>
    <row r="5845" spans="6:21" x14ac:dyDescent="0.25">
      <c r="F5845"/>
      <c r="O5845"/>
      <c r="R5845"/>
      <c r="S5845"/>
      <c r="T5845"/>
      <c r="U5845"/>
    </row>
    <row r="5846" spans="6:21" x14ac:dyDescent="0.25">
      <c r="F5846"/>
      <c r="O5846"/>
      <c r="R5846"/>
      <c r="S5846"/>
      <c r="T5846"/>
      <c r="U5846"/>
    </row>
    <row r="5847" spans="6:21" x14ac:dyDescent="0.25">
      <c r="F5847"/>
      <c r="O5847"/>
      <c r="R5847"/>
      <c r="S5847"/>
      <c r="T5847"/>
      <c r="U5847"/>
    </row>
    <row r="5848" spans="6:21" x14ac:dyDescent="0.25">
      <c r="F5848"/>
      <c r="O5848"/>
      <c r="R5848"/>
      <c r="S5848"/>
      <c r="T5848"/>
      <c r="U5848"/>
    </row>
    <row r="5849" spans="6:21" x14ac:dyDescent="0.25">
      <c r="F5849"/>
      <c r="O5849"/>
      <c r="R5849"/>
      <c r="S5849"/>
      <c r="T5849"/>
      <c r="U5849"/>
    </row>
    <row r="5850" spans="6:21" x14ac:dyDescent="0.25">
      <c r="F5850"/>
      <c r="O5850"/>
      <c r="R5850"/>
      <c r="S5850"/>
      <c r="T5850"/>
      <c r="U5850"/>
    </row>
    <row r="5851" spans="6:21" x14ac:dyDescent="0.25">
      <c r="F5851"/>
      <c r="O5851"/>
      <c r="R5851"/>
      <c r="S5851"/>
      <c r="T5851"/>
      <c r="U5851"/>
    </row>
    <row r="5852" spans="6:21" x14ac:dyDescent="0.25">
      <c r="F5852"/>
      <c r="O5852"/>
      <c r="R5852"/>
      <c r="S5852"/>
      <c r="T5852"/>
      <c r="U5852"/>
    </row>
    <row r="5853" spans="6:21" x14ac:dyDescent="0.25">
      <c r="F5853"/>
      <c r="O5853"/>
      <c r="R5853"/>
      <c r="S5853"/>
      <c r="T5853"/>
      <c r="U5853"/>
    </row>
    <row r="5854" spans="6:21" x14ac:dyDescent="0.25">
      <c r="F5854"/>
      <c r="O5854"/>
      <c r="R5854"/>
      <c r="S5854"/>
      <c r="T5854"/>
      <c r="U5854"/>
    </row>
    <row r="5855" spans="6:21" x14ac:dyDescent="0.25">
      <c r="F5855"/>
      <c r="O5855"/>
      <c r="R5855"/>
      <c r="S5855"/>
      <c r="T5855"/>
      <c r="U5855"/>
    </row>
    <row r="5856" spans="6:21" x14ac:dyDescent="0.25">
      <c r="F5856"/>
      <c r="O5856"/>
      <c r="R5856"/>
      <c r="S5856"/>
      <c r="T5856"/>
      <c r="U5856"/>
    </row>
    <row r="5857" spans="6:21" x14ac:dyDescent="0.25">
      <c r="F5857"/>
      <c r="O5857"/>
      <c r="R5857"/>
      <c r="S5857"/>
      <c r="T5857"/>
      <c r="U5857"/>
    </row>
    <row r="5858" spans="6:21" x14ac:dyDescent="0.25">
      <c r="F5858"/>
      <c r="O5858"/>
      <c r="R5858"/>
      <c r="S5858"/>
      <c r="T5858"/>
      <c r="U5858"/>
    </row>
    <row r="5859" spans="6:21" x14ac:dyDescent="0.25">
      <c r="F5859"/>
      <c r="O5859"/>
      <c r="R5859"/>
      <c r="S5859"/>
      <c r="T5859"/>
      <c r="U5859"/>
    </row>
    <row r="5860" spans="6:21" x14ac:dyDescent="0.25">
      <c r="F5860"/>
      <c r="O5860"/>
      <c r="R5860"/>
      <c r="S5860"/>
      <c r="T5860"/>
      <c r="U5860"/>
    </row>
    <row r="5861" spans="6:21" x14ac:dyDescent="0.25">
      <c r="F5861"/>
      <c r="O5861"/>
      <c r="R5861"/>
      <c r="S5861"/>
      <c r="T5861"/>
      <c r="U5861"/>
    </row>
    <row r="5862" spans="6:21" x14ac:dyDescent="0.25">
      <c r="F5862"/>
      <c r="O5862"/>
      <c r="R5862"/>
      <c r="S5862"/>
      <c r="T5862"/>
      <c r="U5862"/>
    </row>
    <row r="5863" spans="6:21" x14ac:dyDescent="0.25">
      <c r="F5863"/>
      <c r="O5863"/>
      <c r="R5863"/>
      <c r="S5863"/>
      <c r="T5863"/>
      <c r="U5863"/>
    </row>
    <row r="5864" spans="6:21" x14ac:dyDescent="0.25">
      <c r="F5864"/>
      <c r="O5864"/>
      <c r="R5864"/>
      <c r="S5864"/>
      <c r="T5864"/>
      <c r="U5864"/>
    </row>
    <row r="5865" spans="6:21" x14ac:dyDescent="0.25">
      <c r="F5865"/>
      <c r="O5865"/>
      <c r="R5865"/>
      <c r="S5865"/>
      <c r="T5865"/>
      <c r="U5865"/>
    </row>
    <row r="5866" spans="6:21" x14ac:dyDescent="0.25">
      <c r="F5866"/>
      <c r="O5866"/>
      <c r="R5866"/>
      <c r="S5866"/>
      <c r="T5866"/>
      <c r="U5866"/>
    </row>
    <row r="5867" spans="6:21" x14ac:dyDescent="0.25">
      <c r="F5867"/>
      <c r="O5867"/>
      <c r="R5867"/>
      <c r="S5867"/>
      <c r="T5867"/>
      <c r="U5867"/>
    </row>
    <row r="5868" spans="6:21" x14ac:dyDescent="0.25">
      <c r="F5868"/>
      <c r="O5868"/>
      <c r="R5868"/>
      <c r="S5868"/>
      <c r="T5868"/>
      <c r="U5868"/>
    </row>
    <row r="5869" spans="6:21" x14ac:dyDescent="0.25">
      <c r="F5869"/>
      <c r="O5869"/>
      <c r="R5869"/>
      <c r="S5869"/>
      <c r="T5869"/>
      <c r="U5869"/>
    </row>
    <row r="5870" spans="6:21" x14ac:dyDescent="0.25">
      <c r="F5870"/>
      <c r="O5870"/>
      <c r="R5870"/>
      <c r="S5870"/>
      <c r="T5870"/>
      <c r="U5870"/>
    </row>
    <row r="5871" spans="6:21" x14ac:dyDescent="0.25">
      <c r="F5871"/>
      <c r="O5871"/>
      <c r="R5871"/>
      <c r="S5871"/>
      <c r="T5871"/>
      <c r="U5871"/>
    </row>
    <row r="5872" spans="6:21" x14ac:dyDescent="0.25">
      <c r="F5872"/>
      <c r="O5872"/>
      <c r="R5872"/>
      <c r="S5872"/>
      <c r="T5872"/>
      <c r="U5872"/>
    </row>
    <row r="5873" spans="6:21" x14ac:dyDescent="0.25">
      <c r="F5873"/>
      <c r="O5873"/>
      <c r="R5873"/>
      <c r="S5873"/>
      <c r="T5873"/>
      <c r="U5873"/>
    </row>
    <row r="5874" spans="6:21" x14ac:dyDescent="0.25">
      <c r="F5874"/>
      <c r="O5874"/>
      <c r="R5874"/>
      <c r="S5874"/>
      <c r="T5874"/>
      <c r="U5874"/>
    </row>
    <row r="5875" spans="6:21" x14ac:dyDescent="0.25">
      <c r="F5875"/>
      <c r="O5875"/>
      <c r="R5875"/>
      <c r="S5875"/>
      <c r="T5875"/>
      <c r="U5875"/>
    </row>
    <row r="5876" spans="6:21" x14ac:dyDescent="0.25">
      <c r="F5876"/>
      <c r="O5876"/>
      <c r="R5876"/>
      <c r="S5876"/>
      <c r="T5876"/>
      <c r="U5876"/>
    </row>
    <row r="5877" spans="6:21" x14ac:dyDescent="0.25">
      <c r="F5877"/>
      <c r="O5877"/>
      <c r="R5877"/>
      <c r="S5877"/>
      <c r="T5877"/>
      <c r="U5877"/>
    </row>
    <row r="5878" spans="6:21" x14ac:dyDescent="0.25">
      <c r="F5878"/>
      <c r="O5878"/>
      <c r="R5878"/>
      <c r="S5878"/>
      <c r="T5878"/>
      <c r="U5878"/>
    </row>
    <row r="5879" spans="6:21" x14ac:dyDescent="0.25">
      <c r="F5879"/>
      <c r="O5879"/>
      <c r="R5879"/>
      <c r="S5879"/>
      <c r="T5879"/>
      <c r="U5879"/>
    </row>
    <row r="5880" spans="6:21" x14ac:dyDescent="0.25">
      <c r="F5880"/>
      <c r="O5880"/>
      <c r="R5880"/>
      <c r="S5880"/>
      <c r="T5880"/>
      <c r="U5880"/>
    </row>
    <row r="5881" spans="6:21" x14ac:dyDescent="0.25">
      <c r="F5881"/>
      <c r="O5881"/>
      <c r="R5881"/>
      <c r="S5881"/>
      <c r="T5881"/>
      <c r="U5881"/>
    </row>
    <row r="5882" spans="6:21" x14ac:dyDescent="0.25">
      <c r="F5882"/>
      <c r="O5882"/>
      <c r="R5882"/>
      <c r="S5882"/>
      <c r="T5882"/>
      <c r="U5882"/>
    </row>
    <row r="5883" spans="6:21" x14ac:dyDescent="0.25">
      <c r="F5883"/>
      <c r="O5883"/>
      <c r="R5883"/>
      <c r="S5883"/>
      <c r="T5883"/>
      <c r="U5883"/>
    </row>
    <row r="5884" spans="6:21" x14ac:dyDescent="0.25">
      <c r="F5884"/>
      <c r="O5884"/>
      <c r="R5884"/>
      <c r="S5884"/>
      <c r="T5884"/>
      <c r="U5884"/>
    </row>
    <row r="5885" spans="6:21" x14ac:dyDescent="0.25">
      <c r="F5885"/>
      <c r="O5885"/>
      <c r="R5885"/>
      <c r="S5885"/>
      <c r="T5885"/>
      <c r="U5885"/>
    </row>
    <row r="5886" spans="6:21" x14ac:dyDescent="0.25">
      <c r="F5886"/>
      <c r="O5886"/>
      <c r="R5886"/>
      <c r="S5886"/>
      <c r="T5886"/>
      <c r="U5886"/>
    </row>
    <row r="5887" spans="6:21" x14ac:dyDescent="0.25">
      <c r="F5887"/>
      <c r="O5887"/>
      <c r="R5887"/>
      <c r="S5887"/>
      <c r="T5887"/>
      <c r="U5887"/>
    </row>
    <row r="5888" spans="6:21" x14ac:dyDescent="0.25">
      <c r="F5888"/>
      <c r="O5888"/>
      <c r="R5888"/>
      <c r="S5888"/>
      <c r="T5888"/>
      <c r="U5888"/>
    </row>
    <row r="5889" spans="6:21" x14ac:dyDescent="0.25">
      <c r="F5889"/>
      <c r="O5889"/>
      <c r="R5889"/>
      <c r="S5889"/>
      <c r="T5889"/>
      <c r="U5889"/>
    </row>
    <row r="5890" spans="6:21" x14ac:dyDescent="0.25">
      <c r="F5890"/>
      <c r="O5890"/>
      <c r="R5890"/>
      <c r="S5890"/>
      <c r="T5890"/>
      <c r="U5890"/>
    </row>
    <row r="5891" spans="6:21" x14ac:dyDescent="0.25">
      <c r="F5891"/>
      <c r="O5891"/>
      <c r="R5891"/>
      <c r="S5891"/>
      <c r="T5891"/>
      <c r="U5891"/>
    </row>
    <row r="5892" spans="6:21" x14ac:dyDescent="0.25">
      <c r="F5892"/>
      <c r="O5892"/>
      <c r="R5892"/>
      <c r="S5892"/>
      <c r="T5892"/>
      <c r="U5892"/>
    </row>
    <row r="5893" spans="6:21" x14ac:dyDescent="0.25">
      <c r="F5893"/>
      <c r="O5893"/>
      <c r="R5893"/>
      <c r="S5893"/>
      <c r="T5893"/>
      <c r="U5893"/>
    </row>
    <row r="5894" spans="6:21" x14ac:dyDescent="0.25">
      <c r="F5894"/>
      <c r="O5894"/>
      <c r="R5894"/>
      <c r="S5894"/>
      <c r="T5894"/>
      <c r="U5894"/>
    </row>
    <row r="5895" spans="6:21" x14ac:dyDescent="0.25">
      <c r="F5895"/>
      <c r="O5895"/>
      <c r="R5895"/>
      <c r="S5895"/>
      <c r="T5895"/>
      <c r="U5895"/>
    </row>
    <row r="5896" spans="6:21" x14ac:dyDescent="0.25">
      <c r="F5896"/>
      <c r="O5896"/>
      <c r="R5896"/>
      <c r="S5896"/>
      <c r="T5896"/>
      <c r="U5896"/>
    </row>
    <row r="5897" spans="6:21" x14ac:dyDescent="0.25">
      <c r="F5897"/>
      <c r="O5897"/>
      <c r="R5897"/>
      <c r="S5897"/>
      <c r="T5897"/>
      <c r="U5897"/>
    </row>
    <row r="5898" spans="6:21" x14ac:dyDescent="0.25">
      <c r="F5898"/>
      <c r="O5898"/>
      <c r="R5898"/>
      <c r="S5898"/>
      <c r="T5898"/>
      <c r="U5898"/>
    </row>
    <row r="5899" spans="6:21" x14ac:dyDescent="0.25">
      <c r="F5899"/>
      <c r="O5899"/>
      <c r="R5899"/>
      <c r="S5899"/>
      <c r="T5899"/>
      <c r="U5899"/>
    </row>
    <row r="5900" spans="6:21" x14ac:dyDescent="0.25">
      <c r="F5900"/>
      <c r="O5900"/>
      <c r="R5900"/>
      <c r="S5900"/>
      <c r="T5900"/>
      <c r="U5900"/>
    </row>
    <row r="5901" spans="6:21" x14ac:dyDescent="0.25">
      <c r="F5901"/>
      <c r="O5901"/>
      <c r="R5901"/>
      <c r="S5901"/>
      <c r="T5901"/>
      <c r="U5901"/>
    </row>
    <row r="5902" spans="6:21" x14ac:dyDescent="0.25">
      <c r="F5902"/>
      <c r="O5902"/>
      <c r="R5902"/>
      <c r="S5902"/>
      <c r="T5902"/>
      <c r="U5902"/>
    </row>
    <row r="5903" spans="6:21" x14ac:dyDescent="0.25">
      <c r="F5903"/>
      <c r="O5903"/>
      <c r="R5903"/>
      <c r="S5903"/>
      <c r="T5903"/>
      <c r="U5903"/>
    </row>
    <row r="5904" spans="6:21" x14ac:dyDescent="0.25">
      <c r="F5904"/>
      <c r="O5904"/>
      <c r="R5904"/>
      <c r="S5904"/>
      <c r="T5904"/>
      <c r="U5904"/>
    </row>
    <row r="5905" spans="6:21" x14ac:dyDescent="0.25">
      <c r="F5905"/>
      <c r="O5905"/>
      <c r="R5905"/>
      <c r="S5905"/>
      <c r="T5905"/>
      <c r="U5905"/>
    </row>
    <row r="5906" spans="6:21" x14ac:dyDescent="0.25">
      <c r="F5906"/>
      <c r="O5906"/>
      <c r="R5906"/>
      <c r="S5906"/>
      <c r="T5906"/>
      <c r="U5906"/>
    </row>
    <row r="5907" spans="6:21" x14ac:dyDescent="0.25">
      <c r="F5907"/>
      <c r="O5907"/>
      <c r="R5907"/>
      <c r="S5907"/>
      <c r="T5907"/>
      <c r="U5907"/>
    </row>
    <row r="5908" spans="6:21" x14ac:dyDescent="0.25">
      <c r="F5908"/>
      <c r="O5908"/>
      <c r="R5908"/>
      <c r="S5908"/>
      <c r="T5908"/>
      <c r="U5908"/>
    </row>
    <row r="5909" spans="6:21" x14ac:dyDescent="0.25">
      <c r="F5909"/>
      <c r="O5909"/>
      <c r="R5909"/>
      <c r="S5909"/>
      <c r="T5909"/>
      <c r="U5909"/>
    </row>
    <row r="5910" spans="6:21" x14ac:dyDescent="0.25">
      <c r="F5910"/>
      <c r="O5910"/>
      <c r="R5910"/>
      <c r="S5910"/>
      <c r="T5910"/>
      <c r="U5910"/>
    </row>
    <row r="5911" spans="6:21" x14ac:dyDescent="0.25">
      <c r="F5911"/>
      <c r="O5911"/>
      <c r="R5911"/>
      <c r="S5911"/>
      <c r="T5911"/>
      <c r="U5911"/>
    </row>
    <row r="5912" spans="6:21" x14ac:dyDescent="0.25">
      <c r="F5912"/>
      <c r="O5912"/>
      <c r="R5912"/>
      <c r="S5912"/>
      <c r="T5912"/>
      <c r="U5912"/>
    </row>
    <row r="5913" spans="6:21" x14ac:dyDescent="0.25">
      <c r="F5913"/>
      <c r="O5913"/>
      <c r="R5913"/>
      <c r="S5913"/>
      <c r="T5913"/>
      <c r="U5913"/>
    </row>
    <row r="5914" spans="6:21" x14ac:dyDescent="0.25">
      <c r="F5914"/>
      <c r="O5914"/>
      <c r="R5914"/>
      <c r="S5914"/>
      <c r="T5914"/>
      <c r="U5914"/>
    </row>
    <row r="5915" spans="6:21" x14ac:dyDescent="0.25">
      <c r="F5915"/>
      <c r="O5915"/>
      <c r="R5915"/>
      <c r="S5915"/>
      <c r="T5915"/>
      <c r="U5915"/>
    </row>
    <row r="5916" spans="6:21" x14ac:dyDescent="0.25">
      <c r="F5916"/>
      <c r="O5916"/>
      <c r="R5916"/>
      <c r="S5916"/>
      <c r="T5916"/>
      <c r="U5916"/>
    </row>
    <row r="5917" spans="6:21" x14ac:dyDescent="0.25">
      <c r="F5917"/>
      <c r="O5917"/>
      <c r="R5917"/>
      <c r="S5917"/>
      <c r="T5917"/>
      <c r="U5917"/>
    </row>
    <row r="5918" spans="6:21" x14ac:dyDescent="0.25">
      <c r="F5918"/>
      <c r="O5918"/>
      <c r="R5918"/>
      <c r="S5918"/>
      <c r="T5918"/>
      <c r="U5918"/>
    </row>
    <row r="5919" spans="6:21" x14ac:dyDescent="0.25">
      <c r="F5919"/>
      <c r="O5919"/>
      <c r="R5919"/>
      <c r="S5919"/>
      <c r="T5919"/>
      <c r="U5919"/>
    </row>
    <row r="5920" spans="6:21" x14ac:dyDescent="0.25">
      <c r="F5920"/>
      <c r="O5920"/>
      <c r="R5920"/>
      <c r="S5920"/>
      <c r="T5920"/>
      <c r="U5920"/>
    </row>
    <row r="5921" spans="6:21" x14ac:dyDescent="0.25">
      <c r="F5921"/>
      <c r="O5921"/>
      <c r="R5921"/>
      <c r="S5921"/>
      <c r="T5921"/>
      <c r="U5921"/>
    </row>
    <row r="5922" spans="6:21" x14ac:dyDescent="0.25">
      <c r="F5922"/>
      <c r="O5922"/>
      <c r="R5922"/>
      <c r="S5922"/>
      <c r="T5922"/>
      <c r="U5922"/>
    </row>
    <row r="5923" spans="6:21" x14ac:dyDescent="0.25">
      <c r="F5923"/>
      <c r="O5923"/>
      <c r="R5923"/>
      <c r="S5923"/>
      <c r="T5923"/>
      <c r="U5923"/>
    </row>
    <row r="5924" spans="6:21" x14ac:dyDescent="0.25">
      <c r="F5924"/>
      <c r="O5924"/>
      <c r="R5924"/>
      <c r="S5924"/>
      <c r="T5924"/>
      <c r="U5924"/>
    </row>
    <row r="5925" spans="6:21" x14ac:dyDescent="0.25">
      <c r="F5925"/>
      <c r="O5925"/>
      <c r="R5925"/>
      <c r="S5925"/>
      <c r="T5925"/>
      <c r="U5925"/>
    </row>
    <row r="5926" spans="6:21" x14ac:dyDescent="0.25">
      <c r="F5926"/>
      <c r="O5926"/>
      <c r="R5926"/>
      <c r="S5926"/>
      <c r="T5926"/>
      <c r="U5926"/>
    </row>
    <row r="5927" spans="6:21" x14ac:dyDescent="0.25">
      <c r="F5927"/>
      <c r="O5927"/>
      <c r="R5927"/>
      <c r="S5927"/>
      <c r="T5927"/>
      <c r="U5927"/>
    </row>
    <row r="5928" spans="6:21" x14ac:dyDescent="0.25">
      <c r="F5928"/>
      <c r="O5928"/>
      <c r="R5928"/>
      <c r="S5928"/>
      <c r="T5928"/>
      <c r="U5928"/>
    </row>
    <row r="5929" spans="6:21" x14ac:dyDescent="0.25">
      <c r="F5929"/>
      <c r="O5929"/>
      <c r="R5929"/>
      <c r="S5929"/>
      <c r="T5929"/>
      <c r="U5929"/>
    </row>
    <row r="5930" spans="6:21" x14ac:dyDescent="0.25">
      <c r="F5930"/>
      <c r="O5930"/>
      <c r="R5930"/>
      <c r="S5930"/>
      <c r="T5930"/>
      <c r="U5930"/>
    </row>
    <row r="5931" spans="6:21" x14ac:dyDescent="0.25">
      <c r="F5931"/>
      <c r="O5931"/>
      <c r="R5931"/>
      <c r="S5931"/>
      <c r="T5931"/>
      <c r="U5931"/>
    </row>
    <row r="5932" spans="6:21" x14ac:dyDescent="0.25">
      <c r="F5932"/>
      <c r="O5932"/>
      <c r="R5932"/>
      <c r="S5932"/>
      <c r="T5932"/>
      <c r="U5932"/>
    </row>
    <row r="5933" spans="6:21" x14ac:dyDescent="0.25">
      <c r="F5933"/>
      <c r="O5933"/>
      <c r="R5933"/>
      <c r="S5933"/>
      <c r="T5933"/>
      <c r="U5933"/>
    </row>
    <row r="5934" spans="6:21" x14ac:dyDescent="0.25">
      <c r="F5934"/>
      <c r="O5934"/>
      <c r="R5934"/>
      <c r="S5934"/>
      <c r="T5934"/>
      <c r="U5934"/>
    </row>
    <row r="5935" spans="6:21" x14ac:dyDescent="0.25">
      <c r="F5935"/>
      <c r="O5935"/>
      <c r="R5935"/>
      <c r="S5935"/>
      <c r="T5935"/>
      <c r="U5935"/>
    </row>
    <row r="5936" spans="6:21" x14ac:dyDescent="0.25">
      <c r="F5936"/>
      <c r="O5936"/>
      <c r="R5936"/>
      <c r="S5936"/>
      <c r="T5936"/>
      <c r="U5936"/>
    </row>
    <row r="5937" spans="6:21" x14ac:dyDescent="0.25">
      <c r="F5937"/>
      <c r="O5937"/>
      <c r="R5937"/>
      <c r="S5937"/>
      <c r="T5937"/>
      <c r="U5937"/>
    </row>
    <row r="5938" spans="6:21" x14ac:dyDescent="0.25">
      <c r="F5938"/>
      <c r="O5938"/>
      <c r="R5938"/>
      <c r="S5938"/>
      <c r="T5938"/>
      <c r="U5938"/>
    </row>
    <row r="5939" spans="6:21" x14ac:dyDescent="0.25">
      <c r="F5939"/>
      <c r="O5939"/>
      <c r="R5939"/>
      <c r="S5939"/>
      <c r="T5939"/>
      <c r="U5939"/>
    </row>
    <row r="5940" spans="6:21" x14ac:dyDescent="0.25">
      <c r="F5940"/>
      <c r="O5940"/>
      <c r="R5940"/>
      <c r="S5940"/>
      <c r="T5940"/>
      <c r="U5940"/>
    </row>
    <row r="5941" spans="6:21" x14ac:dyDescent="0.25">
      <c r="F5941"/>
      <c r="O5941"/>
      <c r="R5941"/>
      <c r="S5941"/>
      <c r="T5941"/>
      <c r="U5941"/>
    </row>
    <row r="5942" spans="6:21" x14ac:dyDescent="0.25">
      <c r="F5942"/>
      <c r="O5942"/>
      <c r="R5942"/>
      <c r="S5942"/>
      <c r="T5942"/>
      <c r="U5942"/>
    </row>
    <row r="5943" spans="6:21" x14ac:dyDescent="0.25">
      <c r="F5943"/>
      <c r="O5943"/>
      <c r="R5943"/>
      <c r="S5943"/>
      <c r="T5943"/>
      <c r="U5943"/>
    </row>
    <row r="5944" spans="6:21" x14ac:dyDescent="0.25">
      <c r="F5944"/>
      <c r="O5944"/>
      <c r="R5944"/>
      <c r="S5944"/>
      <c r="T5944"/>
      <c r="U5944"/>
    </row>
    <row r="5945" spans="6:21" x14ac:dyDescent="0.25">
      <c r="F5945"/>
      <c r="O5945"/>
      <c r="R5945"/>
      <c r="S5945"/>
      <c r="T5945"/>
      <c r="U5945"/>
    </row>
    <row r="5946" spans="6:21" x14ac:dyDescent="0.25">
      <c r="F5946"/>
      <c r="O5946"/>
      <c r="R5946"/>
      <c r="S5946"/>
      <c r="T5946"/>
      <c r="U5946"/>
    </row>
    <row r="5947" spans="6:21" x14ac:dyDescent="0.25">
      <c r="F5947"/>
      <c r="O5947"/>
      <c r="R5947"/>
      <c r="S5947"/>
      <c r="T5947"/>
      <c r="U5947"/>
    </row>
    <row r="5948" spans="6:21" x14ac:dyDescent="0.25">
      <c r="F5948"/>
      <c r="O5948"/>
      <c r="R5948"/>
      <c r="S5948"/>
      <c r="T5948"/>
      <c r="U5948"/>
    </row>
    <row r="5949" spans="6:21" x14ac:dyDescent="0.25">
      <c r="F5949"/>
      <c r="O5949"/>
      <c r="R5949"/>
      <c r="S5949"/>
      <c r="T5949"/>
      <c r="U5949"/>
    </row>
    <row r="5950" spans="6:21" x14ac:dyDescent="0.25">
      <c r="F5950"/>
      <c r="O5950"/>
      <c r="R5950"/>
      <c r="S5950"/>
      <c r="T5950"/>
      <c r="U5950"/>
    </row>
    <row r="5951" spans="6:21" x14ac:dyDescent="0.25">
      <c r="F5951"/>
      <c r="O5951"/>
      <c r="R5951"/>
      <c r="S5951"/>
      <c r="T5951"/>
      <c r="U5951"/>
    </row>
    <row r="5952" spans="6:21" x14ac:dyDescent="0.25">
      <c r="F5952"/>
      <c r="O5952"/>
      <c r="R5952"/>
      <c r="S5952"/>
      <c r="T5952"/>
      <c r="U5952"/>
    </row>
    <row r="5953" spans="6:21" x14ac:dyDescent="0.25">
      <c r="F5953"/>
      <c r="O5953"/>
      <c r="R5953"/>
      <c r="S5953"/>
      <c r="T5953"/>
      <c r="U5953"/>
    </row>
    <row r="5954" spans="6:21" x14ac:dyDescent="0.25">
      <c r="F5954"/>
      <c r="O5954"/>
      <c r="R5954"/>
      <c r="S5954"/>
      <c r="T5954"/>
      <c r="U5954"/>
    </row>
    <row r="5955" spans="6:21" x14ac:dyDescent="0.25">
      <c r="F5955"/>
      <c r="O5955"/>
      <c r="R5955"/>
      <c r="S5955"/>
      <c r="T5955"/>
      <c r="U5955"/>
    </row>
    <row r="5956" spans="6:21" x14ac:dyDescent="0.25">
      <c r="F5956"/>
      <c r="O5956"/>
      <c r="R5956"/>
      <c r="S5956"/>
      <c r="T5956"/>
      <c r="U5956"/>
    </row>
    <row r="5957" spans="6:21" x14ac:dyDescent="0.25">
      <c r="F5957"/>
      <c r="O5957"/>
      <c r="R5957"/>
      <c r="S5957"/>
      <c r="T5957"/>
      <c r="U5957"/>
    </row>
    <row r="5958" spans="6:21" x14ac:dyDescent="0.25">
      <c r="F5958"/>
      <c r="O5958"/>
      <c r="R5958"/>
      <c r="S5958"/>
      <c r="T5958"/>
      <c r="U5958"/>
    </row>
    <row r="5959" spans="6:21" x14ac:dyDescent="0.25">
      <c r="F5959"/>
      <c r="O5959"/>
      <c r="R5959"/>
      <c r="S5959"/>
      <c r="T5959"/>
      <c r="U5959"/>
    </row>
    <row r="5960" spans="6:21" x14ac:dyDescent="0.25">
      <c r="F5960"/>
      <c r="O5960"/>
      <c r="R5960"/>
      <c r="S5960"/>
      <c r="T5960"/>
      <c r="U5960"/>
    </row>
    <row r="5961" spans="6:21" x14ac:dyDescent="0.25">
      <c r="F5961"/>
      <c r="O5961"/>
      <c r="R5961"/>
      <c r="S5961"/>
      <c r="T5961"/>
      <c r="U5961"/>
    </row>
    <row r="5962" spans="6:21" x14ac:dyDescent="0.25">
      <c r="F5962"/>
      <c r="O5962"/>
      <c r="R5962"/>
      <c r="S5962"/>
      <c r="T5962"/>
      <c r="U5962"/>
    </row>
    <row r="5963" spans="6:21" x14ac:dyDescent="0.25">
      <c r="F5963"/>
      <c r="O5963"/>
      <c r="R5963"/>
      <c r="S5963"/>
      <c r="T5963"/>
      <c r="U5963"/>
    </row>
    <row r="5964" spans="6:21" x14ac:dyDescent="0.25">
      <c r="F5964"/>
      <c r="O5964"/>
      <c r="R5964"/>
      <c r="S5964"/>
      <c r="T5964"/>
      <c r="U5964"/>
    </row>
    <row r="5965" spans="6:21" x14ac:dyDescent="0.25">
      <c r="F5965"/>
      <c r="O5965"/>
      <c r="R5965"/>
      <c r="S5965"/>
      <c r="T5965"/>
      <c r="U5965"/>
    </row>
    <row r="5966" spans="6:21" x14ac:dyDescent="0.25">
      <c r="F5966"/>
      <c r="O5966"/>
      <c r="R5966"/>
      <c r="S5966"/>
      <c r="T5966"/>
      <c r="U5966"/>
    </row>
    <row r="5967" spans="6:21" x14ac:dyDescent="0.25">
      <c r="F5967"/>
      <c r="O5967"/>
      <c r="R5967"/>
      <c r="S5967"/>
      <c r="T5967"/>
      <c r="U5967"/>
    </row>
    <row r="5968" spans="6:21" x14ac:dyDescent="0.25">
      <c r="F5968"/>
      <c r="O5968"/>
      <c r="R5968"/>
      <c r="S5968"/>
      <c r="T5968"/>
      <c r="U5968"/>
    </row>
    <row r="5969" spans="6:21" x14ac:dyDescent="0.25">
      <c r="F5969"/>
      <c r="O5969"/>
      <c r="R5969"/>
      <c r="S5969"/>
      <c r="T5969"/>
      <c r="U5969"/>
    </row>
    <row r="5970" spans="6:21" x14ac:dyDescent="0.25">
      <c r="F5970"/>
      <c r="O5970"/>
      <c r="R5970"/>
      <c r="S5970"/>
      <c r="T5970"/>
      <c r="U5970"/>
    </row>
    <row r="5971" spans="6:21" x14ac:dyDescent="0.25">
      <c r="F5971"/>
      <c r="O5971"/>
      <c r="R5971"/>
      <c r="S5971"/>
      <c r="T5971"/>
      <c r="U5971"/>
    </row>
    <row r="5972" spans="6:21" x14ac:dyDescent="0.25">
      <c r="F5972"/>
      <c r="O5972"/>
      <c r="R5972"/>
      <c r="S5972"/>
      <c r="T5972"/>
      <c r="U5972"/>
    </row>
    <row r="5973" spans="6:21" x14ac:dyDescent="0.25">
      <c r="F5973"/>
      <c r="O5973"/>
      <c r="R5973"/>
      <c r="S5973"/>
      <c r="T5973"/>
      <c r="U5973"/>
    </row>
    <row r="5974" spans="6:21" x14ac:dyDescent="0.25">
      <c r="F5974"/>
      <c r="O5974"/>
      <c r="R5974"/>
      <c r="S5974"/>
      <c r="T5974"/>
      <c r="U5974"/>
    </row>
    <row r="5975" spans="6:21" x14ac:dyDescent="0.25">
      <c r="F5975"/>
      <c r="O5975"/>
      <c r="R5975"/>
      <c r="S5975"/>
      <c r="T5975"/>
      <c r="U5975"/>
    </row>
    <row r="5976" spans="6:21" x14ac:dyDescent="0.25">
      <c r="F5976"/>
      <c r="O5976"/>
      <c r="R5976"/>
      <c r="S5976"/>
      <c r="T5976"/>
      <c r="U5976"/>
    </row>
    <row r="5977" spans="6:21" x14ac:dyDescent="0.25">
      <c r="F5977"/>
      <c r="O5977"/>
      <c r="R5977"/>
      <c r="S5977"/>
      <c r="T5977"/>
      <c r="U5977"/>
    </row>
    <row r="5978" spans="6:21" x14ac:dyDescent="0.25">
      <c r="F5978"/>
      <c r="O5978"/>
      <c r="R5978"/>
      <c r="S5978"/>
      <c r="T5978"/>
      <c r="U5978"/>
    </row>
    <row r="5979" spans="6:21" x14ac:dyDescent="0.25">
      <c r="F5979"/>
      <c r="O5979"/>
      <c r="R5979"/>
      <c r="S5979"/>
      <c r="T5979"/>
      <c r="U5979"/>
    </row>
    <row r="5980" spans="6:21" x14ac:dyDescent="0.25">
      <c r="F5980"/>
      <c r="O5980"/>
      <c r="R5980"/>
      <c r="S5980"/>
      <c r="T5980"/>
      <c r="U5980"/>
    </row>
    <row r="5981" spans="6:21" x14ac:dyDescent="0.25">
      <c r="F5981"/>
      <c r="O5981"/>
      <c r="R5981"/>
      <c r="S5981"/>
      <c r="T5981"/>
      <c r="U5981"/>
    </row>
    <row r="5982" spans="6:21" x14ac:dyDescent="0.25">
      <c r="F5982"/>
      <c r="O5982"/>
      <c r="R5982"/>
      <c r="S5982"/>
      <c r="T5982"/>
      <c r="U5982"/>
    </row>
    <row r="5983" spans="6:21" x14ac:dyDescent="0.25">
      <c r="F5983"/>
      <c r="O5983"/>
      <c r="R5983"/>
      <c r="S5983"/>
      <c r="T5983"/>
      <c r="U5983"/>
    </row>
    <row r="5984" spans="6:21" x14ac:dyDescent="0.25">
      <c r="F5984"/>
      <c r="O5984"/>
      <c r="R5984"/>
      <c r="S5984"/>
      <c r="T5984"/>
      <c r="U5984"/>
    </row>
    <row r="5985" spans="6:21" x14ac:dyDescent="0.25">
      <c r="F5985"/>
      <c r="O5985"/>
      <c r="R5985"/>
      <c r="S5985"/>
      <c r="T5985"/>
      <c r="U5985"/>
    </row>
    <row r="5986" spans="6:21" x14ac:dyDescent="0.25">
      <c r="F5986"/>
      <c r="O5986"/>
      <c r="R5986"/>
      <c r="S5986"/>
      <c r="T5986"/>
      <c r="U5986"/>
    </row>
    <row r="5987" spans="6:21" x14ac:dyDescent="0.25">
      <c r="F5987"/>
      <c r="O5987"/>
      <c r="R5987"/>
      <c r="S5987"/>
      <c r="T5987"/>
      <c r="U5987"/>
    </row>
    <row r="5988" spans="6:21" x14ac:dyDescent="0.25">
      <c r="F5988"/>
      <c r="O5988"/>
      <c r="R5988"/>
      <c r="S5988"/>
      <c r="T5988"/>
      <c r="U5988"/>
    </row>
    <row r="5989" spans="6:21" x14ac:dyDescent="0.25">
      <c r="F5989"/>
      <c r="O5989"/>
      <c r="R5989"/>
      <c r="S5989"/>
      <c r="T5989"/>
      <c r="U5989"/>
    </row>
    <row r="5990" spans="6:21" x14ac:dyDescent="0.25">
      <c r="F5990"/>
      <c r="O5990"/>
      <c r="R5990"/>
      <c r="S5990"/>
      <c r="T5990"/>
      <c r="U5990"/>
    </row>
    <row r="5991" spans="6:21" x14ac:dyDescent="0.25">
      <c r="F5991"/>
      <c r="O5991"/>
      <c r="R5991"/>
      <c r="S5991"/>
      <c r="T5991"/>
      <c r="U5991"/>
    </row>
    <row r="5992" spans="6:21" x14ac:dyDescent="0.25">
      <c r="F5992"/>
      <c r="O5992"/>
      <c r="R5992"/>
      <c r="S5992"/>
      <c r="T5992"/>
      <c r="U5992"/>
    </row>
    <row r="5993" spans="6:21" x14ac:dyDescent="0.25">
      <c r="F5993"/>
      <c r="O5993"/>
      <c r="R5993"/>
      <c r="S5993"/>
      <c r="T5993"/>
      <c r="U5993"/>
    </row>
    <row r="5994" spans="6:21" x14ac:dyDescent="0.25">
      <c r="F5994"/>
      <c r="O5994"/>
      <c r="R5994"/>
      <c r="S5994"/>
      <c r="T5994"/>
      <c r="U5994"/>
    </row>
    <row r="5995" spans="6:21" x14ac:dyDescent="0.25">
      <c r="F5995"/>
      <c r="O5995"/>
      <c r="R5995"/>
      <c r="S5995"/>
      <c r="T5995"/>
      <c r="U5995"/>
    </row>
    <row r="5996" spans="6:21" x14ac:dyDescent="0.25">
      <c r="F5996"/>
      <c r="O5996"/>
      <c r="R5996"/>
      <c r="S5996"/>
      <c r="T5996"/>
      <c r="U5996"/>
    </row>
    <row r="5997" spans="6:21" x14ac:dyDescent="0.25">
      <c r="F5997"/>
      <c r="O5997"/>
      <c r="R5997"/>
      <c r="S5997"/>
      <c r="T5997"/>
      <c r="U5997"/>
    </row>
    <row r="5998" spans="6:21" x14ac:dyDescent="0.25">
      <c r="F5998"/>
      <c r="O5998"/>
      <c r="R5998"/>
      <c r="S5998"/>
      <c r="T5998"/>
      <c r="U5998"/>
    </row>
    <row r="5999" spans="6:21" x14ac:dyDescent="0.25">
      <c r="F5999"/>
      <c r="O5999"/>
      <c r="R5999"/>
      <c r="S5999"/>
      <c r="T5999"/>
      <c r="U5999"/>
    </row>
    <row r="6000" spans="6:21" x14ac:dyDescent="0.25">
      <c r="F6000"/>
      <c r="O6000"/>
      <c r="R6000"/>
      <c r="S6000"/>
      <c r="T6000"/>
      <c r="U6000"/>
    </row>
    <row r="6001" spans="6:21" x14ac:dyDescent="0.25">
      <c r="F6001"/>
      <c r="O6001"/>
      <c r="R6001"/>
      <c r="S6001"/>
      <c r="T6001"/>
      <c r="U6001"/>
    </row>
    <row r="6002" spans="6:21" x14ac:dyDescent="0.25">
      <c r="F6002"/>
      <c r="O6002"/>
      <c r="R6002"/>
      <c r="S6002"/>
      <c r="T6002"/>
      <c r="U6002"/>
    </row>
    <row r="6003" spans="6:21" x14ac:dyDescent="0.25">
      <c r="F6003"/>
      <c r="O6003"/>
      <c r="R6003"/>
      <c r="S6003"/>
      <c r="T6003"/>
      <c r="U6003"/>
    </row>
    <row r="6004" spans="6:21" x14ac:dyDescent="0.25">
      <c r="F6004"/>
      <c r="O6004"/>
      <c r="R6004"/>
      <c r="S6004"/>
      <c r="T6004"/>
      <c r="U6004"/>
    </row>
    <row r="6005" spans="6:21" x14ac:dyDescent="0.25">
      <c r="F6005"/>
      <c r="O6005"/>
      <c r="R6005"/>
      <c r="S6005"/>
      <c r="T6005"/>
      <c r="U6005"/>
    </row>
    <row r="6006" spans="6:21" x14ac:dyDescent="0.25">
      <c r="F6006"/>
      <c r="O6006"/>
      <c r="R6006"/>
      <c r="S6006"/>
      <c r="T6006"/>
      <c r="U6006"/>
    </row>
    <row r="6007" spans="6:21" x14ac:dyDescent="0.25">
      <c r="F6007"/>
      <c r="O6007"/>
      <c r="R6007"/>
      <c r="S6007"/>
      <c r="T6007"/>
      <c r="U6007"/>
    </row>
    <row r="6008" spans="6:21" x14ac:dyDescent="0.25">
      <c r="F6008"/>
      <c r="O6008"/>
      <c r="R6008"/>
      <c r="S6008"/>
      <c r="T6008"/>
      <c r="U6008"/>
    </row>
    <row r="6009" spans="6:21" x14ac:dyDescent="0.25">
      <c r="F6009"/>
      <c r="O6009"/>
      <c r="R6009"/>
      <c r="S6009"/>
      <c r="T6009"/>
      <c r="U6009"/>
    </row>
    <row r="6010" spans="6:21" x14ac:dyDescent="0.25">
      <c r="F6010"/>
      <c r="O6010"/>
      <c r="R6010"/>
      <c r="S6010"/>
      <c r="T6010"/>
      <c r="U6010"/>
    </row>
    <row r="6011" spans="6:21" x14ac:dyDescent="0.25">
      <c r="F6011"/>
      <c r="O6011"/>
      <c r="R6011"/>
      <c r="S6011"/>
      <c r="T6011"/>
      <c r="U6011"/>
    </row>
    <row r="6012" spans="6:21" x14ac:dyDescent="0.25">
      <c r="F6012"/>
      <c r="O6012"/>
      <c r="R6012"/>
      <c r="S6012"/>
      <c r="T6012"/>
      <c r="U6012"/>
    </row>
    <row r="6013" spans="6:21" x14ac:dyDescent="0.25">
      <c r="F6013"/>
      <c r="O6013"/>
      <c r="R6013"/>
      <c r="S6013"/>
      <c r="T6013"/>
      <c r="U6013"/>
    </row>
    <row r="6014" spans="6:21" x14ac:dyDescent="0.25">
      <c r="F6014"/>
      <c r="O6014"/>
      <c r="R6014"/>
      <c r="S6014"/>
      <c r="T6014"/>
      <c r="U6014"/>
    </row>
    <row r="6015" spans="6:21" x14ac:dyDescent="0.25">
      <c r="F6015"/>
      <c r="O6015"/>
      <c r="R6015"/>
      <c r="S6015"/>
      <c r="T6015"/>
      <c r="U6015"/>
    </row>
    <row r="6016" spans="6:21" x14ac:dyDescent="0.25">
      <c r="F6016"/>
      <c r="O6016"/>
      <c r="R6016"/>
      <c r="S6016"/>
      <c r="T6016"/>
      <c r="U6016"/>
    </row>
    <row r="6017" spans="6:21" x14ac:dyDescent="0.25">
      <c r="F6017"/>
      <c r="O6017"/>
      <c r="R6017"/>
      <c r="S6017"/>
      <c r="T6017"/>
      <c r="U6017"/>
    </row>
    <row r="6018" spans="6:21" x14ac:dyDescent="0.25">
      <c r="F6018"/>
      <c r="O6018"/>
      <c r="R6018"/>
      <c r="S6018"/>
      <c r="T6018"/>
      <c r="U6018"/>
    </row>
    <row r="6019" spans="6:21" x14ac:dyDescent="0.25">
      <c r="F6019"/>
      <c r="O6019"/>
      <c r="R6019"/>
      <c r="S6019"/>
      <c r="T6019"/>
      <c r="U6019"/>
    </row>
    <row r="6020" spans="6:21" x14ac:dyDescent="0.25">
      <c r="F6020"/>
      <c r="O6020"/>
      <c r="R6020"/>
      <c r="S6020"/>
      <c r="T6020"/>
      <c r="U6020"/>
    </row>
    <row r="6021" spans="6:21" x14ac:dyDescent="0.25">
      <c r="F6021"/>
      <c r="O6021"/>
      <c r="R6021"/>
      <c r="S6021"/>
      <c r="T6021"/>
      <c r="U6021"/>
    </row>
    <row r="6022" spans="6:21" x14ac:dyDescent="0.25">
      <c r="F6022"/>
      <c r="O6022"/>
      <c r="R6022"/>
      <c r="S6022"/>
      <c r="T6022"/>
      <c r="U6022"/>
    </row>
    <row r="6023" spans="6:21" x14ac:dyDescent="0.25">
      <c r="F6023"/>
      <c r="O6023"/>
      <c r="R6023"/>
      <c r="S6023"/>
      <c r="T6023"/>
      <c r="U6023"/>
    </row>
    <row r="6024" spans="6:21" x14ac:dyDescent="0.25">
      <c r="F6024"/>
      <c r="O6024"/>
      <c r="R6024"/>
      <c r="S6024"/>
      <c r="T6024"/>
      <c r="U6024"/>
    </row>
    <row r="6025" spans="6:21" x14ac:dyDescent="0.25">
      <c r="F6025"/>
      <c r="O6025"/>
      <c r="R6025"/>
      <c r="S6025"/>
      <c r="T6025"/>
      <c r="U6025"/>
    </row>
    <row r="6026" spans="6:21" x14ac:dyDescent="0.25">
      <c r="F6026"/>
      <c r="O6026"/>
      <c r="R6026"/>
      <c r="S6026"/>
      <c r="T6026"/>
      <c r="U6026"/>
    </row>
    <row r="6027" spans="6:21" x14ac:dyDescent="0.25">
      <c r="F6027"/>
      <c r="O6027"/>
      <c r="R6027"/>
      <c r="S6027"/>
      <c r="T6027"/>
      <c r="U6027"/>
    </row>
    <row r="6028" spans="6:21" x14ac:dyDescent="0.25">
      <c r="F6028"/>
      <c r="O6028"/>
      <c r="R6028"/>
      <c r="S6028"/>
      <c r="T6028"/>
      <c r="U6028"/>
    </row>
    <row r="6029" spans="6:21" x14ac:dyDescent="0.25">
      <c r="F6029"/>
      <c r="O6029"/>
      <c r="R6029"/>
      <c r="S6029"/>
      <c r="T6029"/>
      <c r="U6029"/>
    </row>
    <row r="6030" spans="6:21" x14ac:dyDescent="0.25">
      <c r="F6030"/>
      <c r="O6030"/>
      <c r="R6030"/>
      <c r="S6030"/>
      <c r="T6030"/>
      <c r="U6030"/>
    </row>
    <row r="6031" spans="6:21" x14ac:dyDescent="0.25">
      <c r="F6031"/>
      <c r="O6031"/>
      <c r="R6031"/>
      <c r="S6031"/>
      <c r="T6031"/>
      <c r="U6031"/>
    </row>
    <row r="6032" spans="6:21" x14ac:dyDescent="0.25">
      <c r="F6032"/>
      <c r="O6032"/>
      <c r="R6032"/>
      <c r="S6032"/>
      <c r="T6032"/>
      <c r="U6032"/>
    </row>
    <row r="6033" spans="6:21" x14ac:dyDescent="0.25">
      <c r="F6033"/>
      <c r="O6033"/>
      <c r="R6033"/>
      <c r="S6033"/>
      <c r="T6033"/>
      <c r="U6033"/>
    </row>
    <row r="6034" spans="6:21" x14ac:dyDescent="0.25">
      <c r="F6034"/>
      <c r="O6034"/>
      <c r="R6034"/>
      <c r="S6034"/>
      <c r="T6034"/>
      <c r="U6034"/>
    </row>
    <row r="6035" spans="6:21" x14ac:dyDescent="0.25">
      <c r="F6035"/>
      <c r="O6035"/>
      <c r="R6035"/>
      <c r="S6035"/>
      <c r="T6035"/>
      <c r="U6035"/>
    </row>
    <row r="6036" spans="6:21" x14ac:dyDescent="0.25">
      <c r="F6036"/>
      <c r="O6036"/>
      <c r="R6036"/>
      <c r="S6036"/>
      <c r="T6036"/>
      <c r="U6036"/>
    </row>
    <row r="6037" spans="6:21" x14ac:dyDescent="0.25">
      <c r="F6037"/>
      <c r="O6037"/>
      <c r="R6037"/>
      <c r="S6037"/>
      <c r="T6037"/>
      <c r="U6037"/>
    </row>
    <row r="6038" spans="6:21" x14ac:dyDescent="0.25">
      <c r="F6038"/>
      <c r="O6038"/>
      <c r="R6038"/>
      <c r="S6038"/>
      <c r="T6038"/>
      <c r="U6038"/>
    </row>
    <row r="6039" spans="6:21" x14ac:dyDescent="0.25">
      <c r="F6039"/>
      <c r="O6039"/>
      <c r="R6039"/>
      <c r="S6039"/>
      <c r="T6039"/>
      <c r="U6039"/>
    </row>
    <row r="6040" spans="6:21" x14ac:dyDescent="0.25">
      <c r="F6040"/>
      <c r="O6040"/>
      <c r="R6040"/>
      <c r="S6040"/>
      <c r="T6040"/>
      <c r="U6040"/>
    </row>
    <row r="6041" spans="6:21" x14ac:dyDescent="0.25">
      <c r="F6041"/>
      <c r="O6041"/>
      <c r="R6041"/>
      <c r="S6041"/>
      <c r="T6041"/>
      <c r="U6041"/>
    </row>
    <row r="6042" spans="6:21" x14ac:dyDescent="0.25">
      <c r="F6042"/>
      <c r="O6042"/>
      <c r="R6042"/>
      <c r="S6042"/>
      <c r="T6042"/>
      <c r="U6042"/>
    </row>
    <row r="6043" spans="6:21" x14ac:dyDescent="0.25">
      <c r="F6043"/>
      <c r="O6043"/>
      <c r="R6043"/>
      <c r="S6043"/>
      <c r="T6043"/>
      <c r="U6043"/>
    </row>
    <row r="6044" spans="6:21" x14ac:dyDescent="0.25">
      <c r="F6044"/>
      <c r="O6044"/>
      <c r="R6044"/>
      <c r="S6044"/>
      <c r="T6044"/>
      <c r="U6044"/>
    </row>
    <row r="6045" spans="6:21" x14ac:dyDescent="0.25">
      <c r="F6045"/>
      <c r="O6045"/>
      <c r="R6045"/>
      <c r="S6045"/>
      <c r="T6045"/>
      <c r="U6045"/>
    </row>
    <row r="6046" spans="6:21" x14ac:dyDescent="0.25">
      <c r="F6046"/>
      <c r="O6046"/>
      <c r="R6046"/>
      <c r="S6046"/>
      <c r="T6046"/>
      <c r="U6046"/>
    </row>
    <row r="6047" spans="6:21" x14ac:dyDescent="0.25">
      <c r="F6047"/>
      <c r="O6047"/>
      <c r="R6047"/>
      <c r="S6047"/>
      <c r="T6047"/>
      <c r="U6047"/>
    </row>
    <row r="6048" spans="6:21" x14ac:dyDescent="0.25">
      <c r="F6048"/>
      <c r="O6048"/>
      <c r="R6048"/>
      <c r="S6048"/>
      <c r="T6048"/>
      <c r="U6048"/>
    </row>
    <row r="6049" spans="6:21" x14ac:dyDescent="0.25">
      <c r="F6049"/>
      <c r="O6049"/>
      <c r="R6049"/>
      <c r="S6049"/>
      <c r="T6049"/>
      <c r="U6049"/>
    </row>
    <row r="6050" spans="6:21" x14ac:dyDescent="0.25">
      <c r="F6050"/>
      <c r="O6050"/>
      <c r="R6050"/>
      <c r="S6050"/>
      <c r="T6050"/>
      <c r="U6050"/>
    </row>
    <row r="6051" spans="6:21" x14ac:dyDescent="0.25">
      <c r="F6051"/>
      <c r="O6051"/>
      <c r="R6051"/>
      <c r="S6051"/>
      <c r="T6051"/>
      <c r="U6051"/>
    </row>
    <row r="6052" spans="6:21" x14ac:dyDescent="0.25">
      <c r="F6052"/>
      <c r="O6052"/>
      <c r="R6052"/>
      <c r="S6052"/>
      <c r="T6052"/>
      <c r="U6052"/>
    </row>
    <row r="6053" spans="6:21" x14ac:dyDescent="0.25">
      <c r="F6053"/>
      <c r="O6053"/>
      <c r="R6053"/>
      <c r="S6053"/>
      <c r="T6053"/>
      <c r="U6053"/>
    </row>
    <row r="6054" spans="6:21" x14ac:dyDescent="0.25">
      <c r="F6054"/>
      <c r="O6054"/>
      <c r="R6054"/>
      <c r="S6054"/>
      <c r="T6054"/>
      <c r="U6054"/>
    </row>
    <row r="6055" spans="6:21" x14ac:dyDescent="0.25">
      <c r="F6055"/>
      <c r="O6055"/>
      <c r="R6055"/>
      <c r="S6055"/>
      <c r="T6055"/>
      <c r="U6055"/>
    </row>
    <row r="6056" spans="6:21" x14ac:dyDescent="0.25">
      <c r="F6056"/>
      <c r="O6056"/>
      <c r="R6056"/>
      <c r="S6056"/>
      <c r="T6056"/>
      <c r="U6056"/>
    </row>
    <row r="6057" spans="6:21" x14ac:dyDescent="0.25">
      <c r="F6057"/>
      <c r="O6057"/>
      <c r="R6057"/>
      <c r="S6057"/>
      <c r="T6057"/>
      <c r="U6057"/>
    </row>
    <row r="6058" spans="6:21" x14ac:dyDescent="0.25">
      <c r="F6058"/>
      <c r="O6058"/>
      <c r="R6058"/>
      <c r="S6058"/>
      <c r="T6058"/>
      <c r="U6058"/>
    </row>
    <row r="6059" spans="6:21" x14ac:dyDescent="0.25">
      <c r="F6059"/>
      <c r="O6059"/>
      <c r="R6059"/>
      <c r="S6059"/>
      <c r="T6059"/>
      <c r="U6059"/>
    </row>
    <row r="6060" spans="6:21" x14ac:dyDescent="0.25">
      <c r="F6060"/>
      <c r="O6060"/>
      <c r="R6060"/>
      <c r="S6060"/>
      <c r="T6060"/>
      <c r="U6060"/>
    </row>
    <row r="6061" spans="6:21" x14ac:dyDescent="0.25">
      <c r="F6061"/>
      <c r="O6061"/>
      <c r="R6061"/>
      <c r="S6061"/>
      <c r="T6061"/>
      <c r="U6061"/>
    </row>
    <row r="6062" spans="6:21" x14ac:dyDescent="0.25">
      <c r="F6062"/>
      <c r="O6062"/>
      <c r="R6062"/>
      <c r="S6062"/>
      <c r="T6062"/>
      <c r="U6062"/>
    </row>
    <row r="6063" spans="6:21" x14ac:dyDescent="0.25">
      <c r="F6063"/>
      <c r="O6063"/>
      <c r="R6063"/>
      <c r="S6063"/>
      <c r="T6063"/>
      <c r="U6063"/>
    </row>
    <row r="6064" spans="6:21" x14ac:dyDescent="0.25">
      <c r="F6064"/>
      <c r="O6064"/>
      <c r="R6064"/>
      <c r="S6064"/>
      <c r="T6064"/>
      <c r="U6064"/>
    </row>
    <row r="6065" spans="6:21" x14ac:dyDescent="0.25">
      <c r="F6065"/>
      <c r="O6065"/>
      <c r="R6065"/>
      <c r="S6065"/>
      <c r="T6065"/>
      <c r="U6065"/>
    </row>
    <row r="6066" spans="6:21" x14ac:dyDescent="0.25">
      <c r="F6066"/>
      <c r="O6066"/>
      <c r="R6066"/>
      <c r="S6066"/>
      <c r="T6066"/>
      <c r="U6066"/>
    </row>
    <row r="6067" spans="6:21" x14ac:dyDescent="0.25">
      <c r="F6067"/>
      <c r="O6067"/>
      <c r="R6067"/>
      <c r="S6067"/>
      <c r="T6067"/>
      <c r="U6067"/>
    </row>
    <row r="6068" spans="6:21" x14ac:dyDescent="0.25">
      <c r="F6068"/>
      <c r="O6068"/>
      <c r="R6068"/>
      <c r="S6068"/>
      <c r="T6068"/>
      <c r="U6068"/>
    </row>
    <row r="6069" spans="6:21" x14ac:dyDescent="0.25">
      <c r="F6069"/>
      <c r="O6069"/>
      <c r="R6069"/>
      <c r="S6069"/>
      <c r="T6069"/>
      <c r="U6069"/>
    </row>
    <row r="6070" spans="6:21" x14ac:dyDescent="0.25">
      <c r="F6070"/>
      <c r="O6070"/>
      <c r="R6070"/>
      <c r="S6070"/>
      <c r="T6070"/>
      <c r="U6070"/>
    </row>
    <row r="6071" spans="6:21" x14ac:dyDescent="0.25">
      <c r="F6071"/>
      <c r="O6071"/>
      <c r="R6071"/>
      <c r="S6071"/>
      <c r="T6071"/>
      <c r="U6071"/>
    </row>
    <row r="6072" spans="6:21" x14ac:dyDescent="0.25">
      <c r="F6072"/>
      <c r="O6072"/>
      <c r="R6072"/>
      <c r="S6072"/>
      <c r="T6072"/>
      <c r="U6072"/>
    </row>
    <row r="6073" spans="6:21" x14ac:dyDescent="0.25">
      <c r="F6073"/>
      <c r="O6073"/>
      <c r="R6073"/>
      <c r="S6073"/>
      <c r="T6073"/>
      <c r="U6073"/>
    </row>
    <row r="6074" spans="6:21" x14ac:dyDescent="0.25">
      <c r="F6074"/>
      <c r="O6074"/>
      <c r="R6074"/>
      <c r="S6074"/>
      <c r="T6074"/>
      <c r="U6074"/>
    </row>
    <row r="6075" spans="6:21" x14ac:dyDescent="0.25">
      <c r="F6075"/>
      <c r="O6075"/>
      <c r="R6075"/>
      <c r="S6075"/>
      <c r="T6075"/>
      <c r="U6075"/>
    </row>
    <row r="6076" spans="6:21" x14ac:dyDescent="0.25">
      <c r="F6076"/>
      <c r="O6076"/>
      <c r="R6076"/>
      <c r="S6076"/>
      <c r="T6076"/>
      <c r="U6076"/>
    </row>
    <row r="6077" spans="6:21" x14ac:dyDescent="0.25">
      <c r="F6077"/>
      <c r="O6077"/>
      <c r="R6077"/>
      <c r="S6077"/>
      <c r="T6077"/>
      <c r="U6077"/>
    </row>
    <row r="6078" spans="6:21" x14ac:dyDescent="0.25">
      <c r="F6078"/>
      <c r="O6078"/>
      <c r="R6078"/>
      <c r="S6078"/>
      <c r="T6078"/>
      <c r="U6078"/>
    </row>
    <row r="6079" spans="6:21" x14ac:dyDescent="0.25">
      <c r="F6079"/>
      <c r="O6079"/>
      <c r="R6079"/>
      <c r="S6079"/>
      <c r="T6079"/>
      <c r="U6079"/>
    </row>
    <row r="6080" spans="6:21" x14ac:dyDescent="0.25">
      <c r="F6080"/>
      <c r="O6080"/>
      <c r="R6080"/>
      <c r="S6080"/>
      <c r="T6080"/>
      <c r="U6080"/>
    </row>
    <row r="6081" spans="6:21" x14ac:dyDescent="0.25">
      <c r="F6081"/>
      <c r="O6081"/>
      <c r="R6081"/>
      <c r="S6081"/>
      <c r="T6081"/>
      <c r="U6081"/>
    </row>
    <row r="6082" spans="6:21" x14ac:dyDescent="0.25">
      <c r="F6082"/>
      <c r="O6082"/>
      <c r="R6082"/>
      <c r="S6082"/>
      <c r="T6082"/>
      <c r="U6082"/>
    </row>
    <row r="6083" spans="6:21" x14ac:dyDescent="0.25">
      <c r="F6083"/>
      <c r="O6083"/>
      <c r="R6083"/>
      <c r="S6083"/>
      <c r="T6083"/>
      <c r="U6083"/>
    </row>
    <row r="6084" spans="6:21" x14ac:dyDescent="0.25">
      <c r="F6084"/>
      <c r="O6084"/>
      <c r="R6084"/>
      <c r="S6084"/>
      <c r="T6084"/>
      <c r="U6084"/>
    </row>
    <row r="6085" spans="6:21" x14ac:dyDescent="0.25">
      <c r="F6085"/>
      <c r="O6085"/>
      <c r="R6085"/>
      <c r="S6085"/>
      <c r="T6085"/>
      <c r="U6085"/>
    </row>
    <row r="6086" spans="6:21" x14ac:dyDescent="0.25">
      <c r="F6086"/>
      <c r="O6086"/>
      <c r="R6086"/>
      <c r="S6086"/>
      <c r="T6086"/>
      <c r="U6086"/>
    </row>
    <row r="6087" spans="6:21" x14ac:dyDescent="0.25">
      <c r="F6087"/>
      <c r="O6087"/>
      <c r="R6087"/>
      <c r="S6087"/>
      <c r="T6087"/>
      <c r="U6087"/>
    </row>
    <row r="6088" spans="6:21" x14ac:dyDescent="0.25">
      <c r="F6088"/>
      <c r="O6088"/>
      <c r="R6088"/>
      <c r="S6088"/>
      <c r="T6088"/>
      <c r="U6088"/>
    </row>
    <row r="6089" spans="6:21" x14ac:dyDescent="0.25">
      <c r="F6089"/>
      <c r="O6089"/>
      <c r="R6089"/>
      <c r="S6089"/>
      <c r="T6089"/>
      <c r="U6089"/>
    </row>
    <row r="6090" spans="6:21" x14ac:dyDescent="0.25">
      <c r="F6090"/>
      <c r="O6090"/>
      <c r="R6090"/>
      <c r="S6090"/>
      <c r="T6090"/>
      <c r="U6090"/>
    </row>
    <row r="6091" spans="6:21" x14ac:dyDescent="0.25">
      <c r="F6091"/>
      <c r="O6091"/>
      <c r="R6091"/>
      <c r="S6091"/>
      <c r="T6091"/>
      <c r="U6091"/>
    </row>
    <row r="6092" spans="6:21" x14ac:dyDescent="0.25">
      <c r="F6092"/>
      <c r="O6092"/>
      <c r="R6092"/>
      <c r="S6092"/>
      <c r="T6092"/>
      <c r="U6092"/>
    </row>
    <row r="6093" spans="6:21" x14ac:dyDescent="0.25">
      <c r="F6093"/>
      <c r="O6093"/>
      <c r="R6093"/>
      <c r="S6093"/>
      <c r="T6093"/>
      <c r="U6093"/>
    </row>
    <row r="6094" spans="6:21" x14ac:dyDescent="0.25">
      <c r="F6094"/>
      <c r="O6094"/>
      <c r="R6094"/>
      <c r="S6094"/>
      <c r="T6094"/>
      <c r="U6094"/>
    </row>
    <row r="6095" spans="6:21" x14ac:dyDescent="0.25">
      <c r="F6095"/>
      <c r="O6095"/>
      <c r="R6095"/>
      <c r="S6095"/>
      <c r="T6095"/>
      <c r="U6095"/>
    </row>
    <row r="6096" spans="6:21" x14ac:dyDescent="0.25">
      <c r="F6096"/>
      <c r="O6096"/>
      <c r="R6096"/>
      <c r="S6096"/>
      <c r="T6096"/>
      <c r="U6096"/>
    </row>
    <row r="6097" spans="6:21" x14ac:dyDescent="0.25">
      <c r="F6097"/>
      <c r="O6097"/>
      <c r="R6097"/>
      <c r="S6097"/>
      <c r="T6097"/>
      <c r="U6097"/>
    </row>
    <row r="6098" spans="6:21" x14ac:dyDescent="0.25">
      <c r="F6098"/>
      <c r="O6098"/>
      <c r="R6098"/>
      <c r="S6098"/>
      <c r="T6098"/>
      <c r="U6098"/>
    </row>
    <row r="6099" spans="6:21" x14ac:dyDescent="0.25">
      <c r="F6099"/>
      <c r="O6099"/>
      <c r="R6099"/>
      <c r="S6099"/>
      <c r="T6099"/>
      <c r="U6099"/>
    </row>
    <row r="6100" spans="6:21" x14ac:dyDescent="0.25">
      <c r="F6100"/>
      <c r="O6100"/>
      <c r="R6100"/>
      <c r="S6100"/>
      <c r="T6100"/>
      <c r="U6100"/>
    </row>
    <row r="6101" spans="6:21" x14ac:dyDescent="0.25">
      <c r="F6101"/>
      <c r="O6101"/>
      <c r="R6101"/>
      <c r="S6101"/>
      <c r="T6101"/>
      <c r="U6101"/>
    </row>
    <row r="6102" spans="6:21" x14ac:dyDescent="0.25">
      <c r="F6102"/>
      <c r="O6102"/>
      <c r="R6102"/>
      <c r="S6102"/>
      <c r="T6102"/>
      <c r="U6102"/>
    </row>
    <row r="6103" spans="6:21" x14ac:dyDescent="0.25">
      <c r="F6103"/>
      <c r="O6103"/>
      <c r="R6103"/>
      <c r="S6103"/>
      <c r="T6103"/>
      <c r="U6103"/>
    </row>
    <row r="6104" spans="6:21" x14ac:dyDescent="0.25">
      <c r="F6104"/>
      <c r="O6104"/>
      <c r="R6104"/>
      <c r="S6104"/>
      <c r="T6104"/>
      <c r="U6104"/>
    </row>
    <row r="6105" spans="6:21" x14ac:dyDescent="0.25">
      <c r="F6105"/>
      <c r="O6105"/>
      <c r="R6105"/>
      <c r="S6105"/>
      <c r="T6105"/>
      <c r="U6105"/>
    </row>
    <row r="6106" spans="6:21" x14ac:dyDescent="0.25">
      <c r="F6106"/>
      <c r="O6106"/>
      <c r="R6106"/>
      <c r="S6106"/>
      <c r="T6106"/>
      <c r="U6106"/>
    </row>
    <row r="6107" spans="6:21" x14ac:dyDescent="0.25">
      <c r="F6107"/>
      <c r="O6107"/>
      <c r="R6107"/>
      <c r="S6107"/>
      <c r="T6107"/>
      <c r="U6107"/>
    </row>
    <row r="6108" spans="6:21" x14ac:dyDescent="0.25">
      <c r="F6108"/>
      <c r="O6108"/>
      <c r="R6108"/>
      <c r="S6108"/>
      <c r="T6108"/>
      <c r="U6108"/>
    </row>
    <row r="6109" spans="6:21" x14ac:dyDescent="0.25">
      <c r="F6109"/>
      <c r="O6109"/>
      <c r="R6109"/>
      <c r="S6109"/>
      <c r="T6109"/>
      <c r="U6109"/>
    </row>
    <row r="6110" spans="6:21" x14ac:dyDescent="0.25">
      <c r="F6110"/>
      <c r="O6110"/>
      <c r="R6110"/>
      <c r="S6110"/>
      <c r="T6110"/>
      <c r="U6110"/>
    </row>
    <row r="6111" spans="6:21" x14ac:dyDescent="0.25">
      <c r="F6111"/>
      <c r="O6111"/>
      <c r="R6111"/>
      <c r="S6111"/>
      <c r="T6111"/>
      <c r="U6111"/>
    </row>
    <row r="6112" spans="6:21" x14ac:dyDescent="0.25">
      <c r="F6112"/>
      <c r="O6112"/>
      <c r="R6112"/>
      <c r="S6112"/>
      <c r="T6112"/>
      <c r="U6112"/>
    </row>
    <row r="6113" spans="6:21" x14ac:dyDescent="0.25">
      <c r="F6113"/>
      <c r="O6113"/>
      <c r="R6113"/>
      <c r="S6113"/>
      <c r="T6113"/>
      <c r="U6113"/>
    </row>
    <row r="6114" spans="6:21" x14ac:dyDescent="0.25">
      <c r="F6114"/>
      <c r="O6114"/>
      <c r="R6114"/>
      <c r="S6114"/>
      <c r="T6114"/>
      <c r="U6114"/>
    </row>
    <row r="6115" spans="6:21" x14ac:dyDescent="0.25">
      <c r="F6115"/>
      <c r="O6115"/>
      <c r="R6115"/>
      <c r="S6115"/>
      <c r="T6115"/>
      <c r="U6115"/>
    </row>
    <row r="6116" spans="6:21" x14ac:dyDescent="0.25">
      <c r="F6116"/>
      <c r="O6116"/>
      <c r="R6116"/>
      <c r="S6116"/>
      <c r="T6116"/>
      <c r="U6116"/>
    </row>
    <row r="6117" spans="6:21" x14ac:dyDescent="0.25">
      <c r="F6117"/>
      <c r="O6117"/>
      <c r="R6117"/>
      <c r="S6117"/>
      <c r="T6117"/>
      <c r="U6117"/>
    </row>
    <row r="6118" spans="6:21" x14ac:dyDescent="0.25">
      <c r="F6118"/>
      <c r="O6118"/>
      <c r="R6118"/>
      <c r="S6118"/>
      <c r="T6118"/>
      <c r="U6118"/>
    </row>
    <row r="6119" spans="6:21" x14ac:dyDescent="0.25">
      <c r="F6119"/>
      <c r="O6119"/>
      <c r="R6119"/>
      <c r="S6119"/>
      <c r="T6119"/>
      <c r="U6119"/>
    </row>
    <row r="6120" spans="6:21" x14ac:dyDescent="0.25">
      <c r="F6120"/>
      <c r="O6120"/>
      <c r="R6120"/>
      <c r="S6120"/>
      <c r="T6120"/>
      <c r="U6120"/>
    </row>
    <row r="6121" spans="6:21" x14ac:dyDescent="0.25">
      <c r="F6121"/>
      <c r="O6121"/>
      <c r="R6121"/>
      <c r="S6121"/>
      <c r="T6121"/>
      <c r="U6121"/>
    </row>
    <row r="6122" spans="6:21" x14ac:dyDescent="0.25">
      <c r="F6122"/>
      <c r="O6122"/>
      <c r="R6122"/>
      <c r="S6122"/>
      <c r="T6122"/>
      <c r="U6122"/>
    </row>
    <row r="6123" spans="6:21" x14ac:dyDescent="0.25">
      <c r="F6123"/>
      <c r="O6123"/>
      <c r="R6123"/>
      <c r="S6123"/>
      <c r="T6123"/>
      <c r="U6123"/>
    </row>
    <row r="6124" spans="6:21" x14ac:dyDescent="0.25">
      <c r="F6124"/>
      <c r="O6124"/>
      <c r="R6124"/>
      <c r="S6124"/>
      <c r="T6124"/>
      <c r="U6124"/>
    </row>
    <row r="6125" spans="6:21" x14ac:dyDescent="0.25">
      <c r="F6125"/>
      <c r="O6125"/>
      <c r="R6125"/>
      <c r="S6125"/>
      <c r="T6125"/>
      <c r="U6125"/>
    </row>
    <row r="6126" spans="6:21" x14ac:dyDescent="0.25">
      <c r="F6126"/>
      <c r="O6126"/>
      <c r="R6126"/>
      <c r="S6126"/>
      <c r="T6126"/>
      <c r="U6126"/>
    </row>
    <row r="6127" spans="6:21" x14ac:dyDescent="0.25">
      <c r="F6127"/>
      <c r="O6127"/>
      <c r="R6127"/>
      <c r="S6127"/>
      <c r="T6127"/>
      <c r="U6127"/>
    </row>
    <row r="6128" spans="6:21" x14ac:dyDescent="0.25">
      <c r="F6128"/>
      <c r="O6128"/>
      <c r="R6128"/>
      <c r="S6128"/>
      <c r="T6128"/>
      <c r="U6128"/>
    </row>
    <row r="6129" spans="6:21" x14ac:dyDescent="0.25">
      <c r="F6129"/>
      <c r="O6129"/>
      <c r="R6129"/>
      <c r="S6129"/>
      <c r="T6129"/>
      <c r="U6129"/>
    </row>
    <row r="6130" spans="6:21" x14ac:dyDescent="0.25">
      <c r="F6130"/>
      <c r="O6130"/>
      <c r="R6130"/>
      <c r="S6130"/>
      <c r="T6130"/>
      <c r="U6130"/>
    </row>
    <row r="6131" spans="6:21" x14ac:dyDescent="0.25">
      <c r="F6131"/>
      <c r="O6131"/>
      <c r="R6131"/>
      <c r="S6131"/>
      <c r="T6131"/>
      <c r="U6131"/>
    </row>
    <row r="6132" spans="6:21" x14ac:dyDescent="0.25">
      <c r="F6132"/>
      <c r="O6132"/>
      <c r="R6132"/>
      <c r="S6132"/>
      <c r="T6132"/>
      <c r="U6132"/>
    </row>
    <row r="6133" spans="6:21" x14ac:dyDescent="0.25">
      <c r="F6133"/>
      <c r="O6133"/>
      <c r="R6133"/>
      <c r="S6133"/>
      <c r="T6133"/>
      <c r="U6133"/>
    </row>
    <row r="6134" spans="6:21" x14ac:dyDescent="0.25">
      <c r="F6134"/>
      <c r="O6134"/>
      <c r="R6134"/>
      <c r="S6134"/>
      <c r="T6134"/>
      <c r="U6134"/>
    </row>
    <row r="6135" spans="6:21" x14ac:dyDescent="0.25">
      <c r="F6135"/>
      <c r="O6135"/>
      <c r="R6135"/>
      <c r="S6135"/>
      <c r="T6135"/>
      <c r="U6135"/>
    </row>
    <row r="6136" spans="6:21" x14ac:dyDescent="0.25">
      <c r="F6136"/>
      <c r="O6136"/>
      <c r="R6136"/>
      <c r="S6136"/>
      <c r="T6136"/>
      <c r="U6136"/>
    </row>
    <row r="6137" spans="6:21" x14ac:dyDescent="0.25">
      <c r="F6137"/>
      <c r="O6137"/>
      <c r="R6137"/>
      <c r="S6137"/>
      <c r="T6137"/>
      <c r="U6137"/>
    </row>
    <row r="6138" spans="6:21" x14ac:dyDescent="0.25">
      <c r="F6138"/>
      <c r="O6138"/>
      <c r="R6138"/>
      <c r="S6138"/>
      <c r="T6138"/>
      <c r="U6138"/>
    </row>
    <row r="6139" spans="6:21" x14ac:dyDescent="0.25">
      <c r="F6139"/>
      <c r="O6139"/>
      <c r="R6139"/>
      <c r="S6139"/>
      <c r="T6139"/>
      <c r="U6139"/>
    </row>
    <row r="6140" spans="6:21" x14ac:dyDescent="0.25">
      <c r="F6140"/>
      <c r="O6140"/>
      <c r="R6140"/>
      <c r="S6140"/>
      <c r="T6140"/>
      <c r="U6140"/>
    </row>
    <row r="6141" spans="6:21" x14ac:dyDescent="0.25">
      <c r="F6141"/>
      <c r="O6141"/>
      <c r="R6141"/>
      <c r="S6141"/>
      <c r="T6141"/>
      <c r="U6141"/>
    </row>
    <row r="6142" spans="6:21" x14ac:dyDescent="0.25">
      <c r="F6142"/>
      <c r="O6142"/>
      <c r="R6142"/>
      <c r="S6142"/>
      <c r="T6142"/>
      <c r="U6142"/>
    </row>
    <row r="6143" spans="6:21" x14ac:dyDescent="0.25">
      <c r="F6143"/>
      <c r="O6143"/>
      <c r="R6143"/>
      <c r="S6143"/>
      <c r="T6143"/>
      <c r="U6143"/>
    </row>
    <row r="6144" spans="6:21" x14ac:dyDescent="0.25">
      <c r="F6144"/>
      <c r="O6144"/>
      <c r="R6144"/>
      <c r="S6144"/>
      <c r="T6144"/>
      <c r="U6144"/>
    </row>
    <row r="6145" spans="6:21" x14ac:dyDescent="0.25">
      <c r="F6145"/>
      <c r="O6145"/>
      <c r="R6145"/>
      <c r="S6145"/>
      <c r="T6145"/>
      <c r="U6145"/>
    </row>
    <row r="6146" spans="6:21" x14ac:dyDescent="0.25">
      <c r="F6146"/>
      <c r="O6146"/>
      <c r="R6146"/>
      <c r="S6146"/>
      <c r="T6146"/>
      <c r="U6146"/>
    </row>
    <row r="6147" spans="6:21" x14ac:dyDescent="0.25">
      <c r="F6147"/>
      <c r="O6147"/>
      <c r="R6147"/>
      <c r="S6147"/>
      <c r="T6147"/>
      <c r="U6147"/>
    </row>
    <row r="6148" spans="6:21" x14ac:dyDescent="0.25">
      <c r="F6148"/>
      <c r="O6148"/>
      <c r="R6148"/>
      <c r="S6148"/>
      <c r="T6148"/>
      <c r="U6148"/>
    </row>
    <row r="6149" spans="6:21" x14ac:dyDescent="0.25">
      <c r="F6149"/>
      <c r="O6149"/>
      <c r="R6149"/>
      <c r="S6149"/>
      <c r="T6149"/>
      <c r="U6149"/>
    </row>
    <row r="6150" spans="6:21" x14ac:dyDescent="0.25">
      <c r="F6150"/>
      <c r="O6150"/>
      <c r="R6150"/>
      <c r="S6150"/>
      <c r="T6150"/>
      <c r="U6150"/>
    </row>
    <row r="6151" spans="6:21" x14ac:dyDescent="0.25">
      <c r="F6151"/>
      <c r="O6151"/>
      <c r="R6151"/>
      <c r="S6151"/>
      <c r="T6151"/>
      <c r="U6151"/>
    </row>
    <row r="6152" spans="6:21" x14ac:dyDescent="0.25">
      <c r="F6152"/>
      <c r="O6152"/>
      <c r="R6152"/>
      <c r="S6152"/>
      <c r="T6152"/>
      <c r="U6152"/>
    </row>
    <row r="6153" spans="6:21" x14ac:dyDescent="0.25">
      <c r="F6153"/>
      <c r="O6153"/>
      <c r="R6153"/>
      <c r="S6153"/>
      <c r="T6153"/>
      <c r="U6153"/>
    </row>
    <row r="6154" spans="6:21" x14ac:dyDescent="0.25">
      <c r="F6154"/>
      <c r="O6154"/>
      <c r="R6154"/>
      <c r="S6154"/>
      <c r="T6154"/>
      <c r="U6154"/>
    </row>
    <row r="6155" spans="6:21" x14ac:dyDescent="0.25">
      <c r="F6155"/>
      <c r="O6155"/>
      <c r="R6155"/>
      <c r="S6155"/>
      <c r="T6155"/>
      <c r="U6155"/>
    </row>
    <row r="6156" spans="6:21" x14ac:dyDescent="0.25">
      <c r="F6156"/>
      <c r="O6156"/>
      <c r="R6156"/>
      <c r="S6156"/>
      <c r="T6156"/>
      <c r="U6156"/>
    </row>
    <row r="6157" spans="6:21" x14ac:dyDescent="0.25">
      <c r="F6157"/>
      <c r="O6157"/>
      <c r="R6157"/>
      <c r="S6157"/>
      <c r="T6157"/>
      <c r="U6157"/>
    </row>
    <row r="6158" spans="6:21" x14ac:dyDescent="0.25">
      <c r="F6158"/>
      <c r="O6158"/>
      <c r="R6158"/>
      <c r="S6158"/>
      <c r="T6158"/>
      <c r="U6158"/>
    </row>
    <row r="6159" spans="6:21" x14ac:dyDescent="0.25">
      <c r="F6159"/>
      <c r="O6159"/>
      <c r="R6159"/>
      <c r="S6159"/>
      <c r="T6159"/>
      <c r="U6159"/>
    </row>
    <row r="6160" spans="6:21" x14ac:dyDescent="0.25">
      <c r="F6160"/>
      <c r="O6160"/>
      <c r="R6160"/>
      <c r="S6160"/>
      <c r="T6160"/>
      <c r="U6160"/>
    </row>
    <row r="6161" spans="6:21" x14ac:dyDescent="0.25">
      <c r="F6161"/>
      <c r="O6161"/>
      <c r="R6161"/>
      <c r="S6161"/>
      <c r="T6161"/>
      <c r="U6161"/>
    </row>
    <row r="6162" spans="6:21" x14ac:dyDescent="0.25">
      <c r="F6162"/>
      <c r="O6162"/>
      <c r="R6162"/>
      <c r="S6162"/>
      <c r="T6162"/>
      <c r="U6162"/>
    </row>
    <row r="6163" spans="6:21" x14ac:dyDescent="0.25">
      <c r="F6163"/>
      <c r="O6163"/>
      <c r="R6163"/>
      <c r="S6163"/>
      <c r="T6163"/>
      <c r="U6163"/>
    </row>
    <row r="6164" spans="6:21" x14ac:dyDescent="0.25">
      <c r="F6164"/>
      <c r="O6164"/>
      <c r="R6164"/>
      <c r="S6164"/>
      <c r="T6164"/>
      <c r="U6164"/>
    </row>
    <row r="6165" spans="6:21" x14ac:dyDescent="0.25">
      <c r="F6165"/>
      <c r="O6165"/>
      <c r="R6165"/>
      <c r="S6165"/>
      <c r="T6165"/>
      <c r="U6165"/>
    </row>
    <row r="6166" spans="6:21" x14ac:dyDescent="0.25">
      <c r="F6166"/>
      <c r="O6166"/>
      <c r="R6166"/>
      <c r="S6166"/>
      <c r="T6166"/>
      <c r="U6166"/>
    </row>
    <row r="6167" spans="6:21" x14ac:dyDescent="0.25">
      <c r="F6167"/>
      <c r="O6167"/>
      <c r="R6167"/>
      <c r="S6167"/>
      <c r="T6167"/>
      <c r="U6167"/>
    </row>
    <row r="6168" spans="6:21" x14ac:dyDescent="0.25">
      <c r="F6168"/>
      <c r="O6168"/>
      <c r="R6168"/>
      <c r="S6168"/>
      <c r="T6168"/>
      <c r="U6168"/>
    </row>
    <row r="6169" spans="6:21" x14ac:dyDescent="0.25">
      <c r="F6169"/>
      <c r="O6169"/>
      <c r="R6169"/>
      <c r="S6169"/>
      <c r="T6169"/>
      <c r="U6169"/>
    </row>
    <row r="6170" spans="6:21" x14ac:dyDescent="0.25">
      <c r="F6170"/>
      <c r="O6170"/>
      <c r="R6170"/>
      <c r="S6170"/>
      <c r="T6170"/>
      <c r="U6170"/>
    </row>
    <row r="6171" spans="6:21" x14ac:dyDescent="0.25">
      <c r="F6171"/>
      <c r="O6171"/>
      <c r="R6171"/>
      <c r="S6171"/>
      <c r="T6171"/>
      <c r="U6171"/>
    </row>
    <row r="6172" spans="6:21" x14ac:dyDescent="0.25">
      <c r="F6172"/>
      <c r="O6172"/>
      <c r="R6172"/>
      <c r="S6172"/>
      <c r="T6172"/>
      <c r="U6172"/>
    </row>
    <row r="6173" spans="6:21" x14ac:dyDescent="0.25">
      <c r="F6173"/>
      <c r="O6173"/>
      <c r="R6173"/>
      <c r="S6173"/>
      <c r="T6173"/>
      <c r="U6173"/>
    </row>
    <row r="6174" spans="6:21" x14ac:dyDescent="0.25">
      <c r="F6174"/>
      <c r="O6174"/>
      <c r="R6174"/>
      <c r="S6174"/>
      <c r="T6174"/>
      <c r="U6174"/>
    </row>
    <row r="6175" spans="6:21" x14ac:dyDescent="0.25">
      <c r="F6175"/>
      <c r="O6175"/>
      <c r="R6175"/>
      <c r="S6175"/>
      <c r="T6175"/>
      <c r="U6175"/>
    </row>
    <row r="6176" spans="6:21" x14ac:dyDescent="0.25">
      <c r="F6176"/>
      <c r="O6176"/>
      <c r="R6176"/>
      <c r="S6176"/>
      <c r="T6176"/>
      <c r="U6176"/>
    </row>
    <row r="6177" spans="6:21" x14ac:dyDescent="0.25">
      <c r="F6177"/>
      <c r="O6177"/>
      <c r="R6177"/>
      <c r="S6177"/>
      <c r="T6177"/>
      <c r="U6177"/>
    </row>
    <row r="6178" spans="6:21" x14ac:dyDescent="0.25">
      <c r="F6178"/>
      <c r="O6178"/>
      <c r="R6178"/>
      <c r="S6178"/>
      <c r="T6178"/>
      <c r="U6178"/>
    </row>
    <row r="6179" spans="6:21" x14ac:dyDescent="0.25">
      <c r="F6179"/>
      <c r="O6179"/>
      <c r="R6179"/>
      <c r="S6179"/>
      <c r="T6179"/>
      <c r="U6179"/>
    </row>
    <row r="6180" spans="6:21" x14ac:dyDescent="0.25">
      <c r="F6180"/>
      <c r="O6180"/>
      <c r="R6180"/>
      <c r="S6180"/>
      <c r="T6180"/>
      <c r="U6180"/>
    </row>
    <row r="6181" spans="6:21" x14ac:dyDescent="0.25">
      <c r="F6181"/>
      <c r="O6181"/>
      <c r="R6181"/>
      <c r="S6181"/>
      <c r="T6181"/>
      <c r="U6181"/>
    </row>
    <row r="6182" spans="6:21" x14ac:dyDescent="0.25">
      <c r="F6182"/>
      <c r="O6182"/>
      <c r="R6182"/>
      <c r="S6182"/>
      <c r="T6182"/>
      <c r="U6182"/>
    </row>
    <row r="6183" spans="6:21" x14ac:dyDescent="0.25">
      <c r="F6183"/>
      <c r="O6183"/>
      <c r="R6183"/>
      <c r="S6183"/>
      <c r="T6183"/>
      <c r="U6183"/>
    </row>
    <row r="6184" spans="6:21" x14ac:dyDescent="0.25">
      <c r="F6184"/>
      <c r="O6184"/>
      <c r="R6184"/>
      <c r="S6184"/>
      <c r="T6184"/>
      <c r="U6184"/>
    </row>
    <row r="6185" spans="6:21" x14ac:dyDescent="0.25">
      <c r="F6185"/>
      <c r="O6185"/>
      <c r="R6185"/>
      <c r="S6185"/>
      <c r="T6185"/>
      <c r="U6185"/>
    </row>
    <row r="6186" spans="6:21" x14ac:dyDescent="0.25">
      <c r="F6186"/>
      <c r="O6186"/>
      <c r="R6186"/>
      <c r="S6186"/>
      <c r="T6186"/>
      <c r="U6186"/>
    </row>
    <row r="6187" spans="6:21" x14ac:dyDescent="0.25">
      <c r="F6187"/>
      <c r="O6187"/>
      <c r="R6187"/>
      <c r="S6187"/>
      <c r="T6187"/>
      <c r="U6187"/>
    </row>
    <row r="6188" spans="6:21" x14ac:dyDescent="0.25">
      <c r="F6188"/>
      <c r="O6188"/>
      <c r="R6188"/>
      <c r="S6188"/>
      <c r="T6188"/>
      <c r="U6188"/>
    </row>
    <row r="6189" spans="6:21" x14ac:dyDescent="0.25">
      <c r="F6189"/>
      <c r="O6189"/>
      <c r="R6189"/>
      <c r="S6189"/>
      <c r="T6189"/>
      <c r="U6189"/>
    </row>
    <row r="6190" spans="6:21" x14ac:dyDescent="0.25">
      <c r="F6190"/>
      <c r="O6190"/>
      <c r="R6190"/>
      <c r="S6190"/>
      <c r="T6190"/>
      <c r="U6190"/>
    </row>
    <row r="6191" spans="6:21" x14ac:dyDescent="0.25">
      <c r="F6191"/>
      <c r="O6191"/>
      <c r="R6191"/>
      <c r="S6191"/>
      <c r="T6191"/>
      <c r="U6191"/>
    </row>
    <row r="6192" spans="6:21" x14ac:dyDescent="0.25">
      <c r="F6192"/>
      <c r="O6192"/>
      <c r="R6192"/>
      <c r="S6192"/>
      <c r="T6192"/>
      <c r="U6192"/>
    </row>
    <row r="6193" spans="6:21" x14ac:dyDescent="0.25">
      <c r="F6193"/>
      <c r="O6193"/>
      <c r="R6193"/>
      <c r="S6193"/>
      <c r="T6193"/>
      <c r="U6193"/>
    </row>
    <row r="6194" spans="6:21" x14ac:dyDescent="0.25">
      <c r="F6194"/>
      <c r="O6194"/>
      <c r="R6194"/>
      <c r="S6194"/>
      <c r="T6194"/>
      <c r="U6194"/>
    </row>
    <row r="6195" spans="6:21" x14ac:dyDescent="0.25">
      <c r="F6195"/>
      <c r="O6195"/>
      <c r="R6195"/>
      <c r="S6195"/>
      <c r="T6195"/>
      <c r="U6195"/>
    </row>
    <row r="6196" spans="6:21" x14ac:dyDescent="0.25">
      <c r="F6196"/>
      <c r="O6196"/>
      <c r="R6196"/>
      <c r="S6196"/>
      <c r="T6196"/>
      <c r="U6196"/>
    </row>
    <row r="6197" spans="6:21" x14ac:dyDescent="0.25">
      <c r="F6197"/>
      <c r="O6197"/>
      <c r="R6197"/>
      <c r="S6197"/>
      <c r="T6197"/>
      <c r="U6197"/>
    </row>
    <row r="6198" spans="6:21" x14ac:dyDescent="0.25">
      <c r="F6198"/>
      <c r="O6198"/>
      <c r="R6198"/>
      <c r="S6198"/>
      <c r="T6198"/>
      <c r="U6198"/>
    </row>
    <row r="6199" spans="6:21" x14ac:dyDescent="0.25">
      <c r="F6199"/>
      <c r="O6199"/>
      <c r="R6199"/>
      <c r="S6199"/>
      <c r="T6199"/>
      <c r="U6199"/>
    </row>
    <row r="6200" spans="6:21" x14ac:dyDescent="0.25">
      <c r="F6200"/>
      <c r="O6200"/>
      <c r="R6200"/>
      <c r="S6200"/>
      <c r="T6200"/>
      <c r="U6200"/>
    </row>
    <row r="6201" spans="6:21" x14ac:dyDescent="0.25">
      <c r="F6201"/>
      <c r="O6201"/>
      <c r="R6201"/>
      <c r="S6201"/>
      <c r="T6201"/>
      <c r="U6201"/>
    </row>
    <row r="6202" spans="6:21" x14ac:dyDescent="0.25">
      <c r="F6202"/>
      <c r="O6202"/>
      <c r="R6202"/>
      <c r="S6202"/>
      <c r="T6202"/>
      <c r="U6202"/>
    </row>
    <row r="6203" spans="6:21" x14ac:dyDescent="0.25">
      <c r="F6203"/>
      <c r="O6203"/>
      <c r="R6203"/>
      <c r="S6203"/>
      <c r="T6203"/>
      <c r="U6203"/>
    </row>
    <row r="6204" spans="6:21" x14ac:dyDescent="0.25">
      <c r="F6204"/>
      <c r="O6204"/>
      <c r="R6204"/>
      <c r="S6204"/>
      <c r="T6204"/>
      <c r="U6204"/>
    </row>
    <row r="6205" spans="6:21" x14ac:dyDescent="0.25">
      <c r="F6205"/>
      <c r="O6205"/>
      <c r="R6205"/>
      <c r="S6205"/>
      <c r="T6205"/>
      <c r="U6205"/>
    </row>
    <row r="6206" spans="6:21" x14ac:dyDescent="0.25">
      <c r="F6206"/>
      <c r="O6206"/>
      <c r="R6206"/>
      <c r="S6206"/>
      <c r="T6206"/>
      <c r="U6206"/>
    </row>
    <row r="6207" spans="6:21" x14ac:dyDescent="0.25">
      <c r="F6207"/>
      <c r="O6207"/>
      <c r="R6207"/>
      <c r="S6207"/>
      <c r="T6207"/>
      <c r="U6207"/>
    </row>
    <row r="6208" spans="6:21" x14ac:dyDescent="0.25">
      <c r="F6208"/>
      <c r="O6208"/>
      <c r="R6208"/>
      <c r="S6208"/>
      <c r="T6208"/>
      <c r="U6208"/>
    </row>
    <row r="6209" spans="6:21" x14ac:dyDescent="0.25">
      <c r="F6209"/>
      <c r="O6209"/>
      <c r="R6209"/>
      <c r="S6209"/>
      <c r="T6209"/>
      <c r="U6209"/>
    </row>
    <row r="6210" spans="6:21" x14ac:dyDescent="0.25">
      <c r="F6210"/>
      <c r="O6210"/>
      <c r="R6210"/>
      <c r="S6210"/>
      <c r="T6210"/>
      <c r="U6210"/>
    </row>
    <row r="6211" spans="6:21" x14ac:dyDescent="0.25">
      <c r="F6211"/>
      <c r="O6211"/>
      <c r="R6211"/>
      <c r="S6211"/>
      <c r="T6211"/>
      <c r="U6211"/>
    </row>
    <row r="6212" spans="6:21" x14ac:dyDescent="0.25">
      <c r="F6212"/>
      <c r="O6212"/>
      <c r="R6212"/>
      <c r="S6212"/>
      <c r="T6212"/>
      <c r="U6212"/>
    </row>
    <row r="6213" spans="6:21" x14ac:dyDescent="0.25">
      <c r="F6213"/>
      <c r="O6213"/>
      <c r="R6213"/>
      <c r="S6213"/>
      <c r="T6213"/>
      <c r="U6213"/>
    </row>
    <row r="6214" spans="6:21" x14ac:dyDescent="0.25">
      <c r="F6214"/>
      <c r="O6214"/>
      <c r="R6214"/>
      <c r="S6214"/>
      <c r="T6214"/>
      <c r="U6214"/>
    </row>
    <row r="6215" spans="6:21" x14ac:dyDescent="0.25">
      <c r="F6215"/>
      <c r="O6215"/>
      <c r="R6215"/>
      <c r="S6215"/>
      <c r="T6215"/>
      <c r="U6215"/>
    </row>
    <row r="6216" spans="6:21" x14ac:dyDescent="0.25">
      <c r="F6216"/>
      <c r="O6216"/>
      <c r="R6216"/>
      <c r="S6216"/>
      <c r="T6216"/>
      <c r="U6216"/>
    </row>
    <row r="6217" spans="6:21" x14ac:dyDescent="0.25">
      <c r="F6217"/>
      <c r="O6217"/>
      <c r="R6217"/>
      <c r="S6217"/>
      <c r="T6217"/>
      <c r="U6217"/>
    </row>
    <row r="6218" spans="6:21" x14ac:dyDescent="0.25">
      <c r="F6218"/>
      <c r="O6218"/>
      <c r="R6218"/>
      <c r="S6218"/>
      <c r="T6218"/>
      <c r="U6218"/>
    </row>
    <row r="6219" spans="6:21" x14ac:dyDescent="0.25">
      <c r="F6219"/>
      <c r="O6219"/>
      <c r="R6219"/>
      <c r="S6219"/>
      <c r="T6219"/>
      <c r="U6219"/>
    </row>
    <row r="6220" spans="6:21" x14ac:dyDescent="0.25">
      <c r="F6220"/>
      <c r="O6220"/>
      <c r="R6220"/>
      <c r="S6220"/>
      <c r="T6220"/>
      <c r="U6220"/>
    </row>
    <row r="6221" spans="6:21" x14ac:dyDescent="0.25">
      <c r="F6221"/>
      <c r="O6221"/>
      <c r="R6221"/>
      <c r="S6221"/>
      <c r="T6221"/>
      <c r="U6221"/>
    </row>
    <row r="6222" spans="6:21" x14ac:dyDescent="0.25">
      <c r="F6222"/>
      <c r="O6222"/>
      <c r="R6222"/>
      <c r="S6222"/>
      <c r="T6222"/>
      <c r="U6222"/>
    </row>
    <row r="6223" spans="6:21" x14ac:dyDescent="0.25">
      <c r="F6223"/>
      <c r="O6223"/>
      <c r="R6223"/>
      <c r="S6223"/>
      <c r="T6223"/>
      <c r="U6223"/>
    </row>
    <row r="6224" spans="6:21" x14ac:dyDescent="0.25">
      <c r="F6224"/>
      <c r="O6224"/>
      <c r="R6224"/>
      <c r="S6224"/>
      <c r="T6224"/>
      <c r="U6224"/>
    </row>
    <row r="6225" spans="6:21" x14ac:dyDescent="0.25">
      <c r="F6225"/>
      <c r="O6225"/>
      <c r="R6225"/>
      <c r="S6225"/>
      <c r="T6225"/>
      <c r="U6225"/>
    </row>
    <row r="6226" spans="6:21" x14ac:dyDescent="0.25">
      <c r="F6226"/>
      <c r="O6226"/>
      <c r="R6226"/>
      <c r="S6226"/>
      <c r="T6226"/>
      <c r="U6226"/>
    </row>
    <row r="6227" spans="6:21" x14ac:dyDescent="0.25">
      <c r="F6227"/>
      <c r="O6227"/>
      <c r="R6227"/>
      <c r="S6227"/>
      <c r="T6227"/>
      <c r="U6227"/>
    </row>
    <row r="6228" spans="6:21" x14ac:dyDescent="0.25">
      <c r="F6228"/>
      <c r="O6228"/>
      <c r="R6228"/>
      <c r="S6228"/>
      <c r="T6228"/>
      <c r="U6228"/>
    </row>
    <row r="6229" spans="6:21" x14ac:dyDescent="0.25">
      <c r="F6229"/>
      <c r="O6229"/>
      <c r="R6229"/>
      <c r="S6229"/>
      <c r="T6229"/>
      <c r="U6229"/>
    </row>
    <row r="6230" spans="6:21" x14ac:dyDescent="0.25">
      <c r="F6230"/>
      <c r="O6230"/>
      <c r="R6230"/>
      <c r="S6230"/>
      <c r="T6230"/>
      <c r="U6230"/>
    </row>
    <row r="6231" spans="6:21" x14ac:dyDescent="0.25">
      <c r="F6231"/>
      <c r="O6231"/>
      <c r="R6231"/>
      <c r="S6231"/>
      <c r="T6231"/>
      <c r="U6231"/>
    </row>
    <row r="6232" spans="6:21" x14ac:dyDescent="0.25">
      <c r="F6232"/>
      <c r="O6232"/>
      <c r="R6232"/>
      <c r="S6232"/>
      <c r="T6232"/>
      <c r="U6232"/>
    </row>
    <row r="6233" spans="6:21" x14ac:dyDescent="0.25">
      <c r="F6233"/>
      <c r="O6233"/>
      <c r="R6233"/>
      <c r="S6233"/>
      <c r="T6233"/>
      <c r="U6233"/>
    </row>
    <row r="6234" spans="6:21" x14ac:dyDescent="0.25">
      <c r="F6234"/>
      <c r="O6234"/>
      <c r="R6234"/>
      <c r="S6234"/>
      <c r="T6234"/>
      <c r="U6234"/>
    </row>
    <row r="6235" spans="6:21" x14ac:dyDescent="0.25">
      <c r="F6235"/>
      <c r="O6235"/>
      <c r="R6235"/>
      <c r="S6235"/>
      <c r="T6235"/>
      <c r="U6235"/>
    </row>
    <row r="6236" spans="6:21" x14ac:dyDescent="0.25">
      <c r="F6236"/>
      <c r="O6236"/>
      <c r="R6236"/>
      <c r="S6236"/>
      <c r="T6236"/>
      <c r="U6236"/>
    </row>
    <row r="6237" spans="6:21" x14ac:dyDescent="0.25">
      <c r="F6237"/>
      <c r="O6237"/>
      <c r="R6237"/>
      <c r="S6237"/>
      <c r="T6237"/>
      <c r="U6237"/>
    </row>
    <row r="6238" spans="6:21" x14ac:dyDescent="0.25">
      <c r="F6238"/>
      <c r="O6238"/>
      <c r="R6238"/>
      <c r="S6238"/>
      <c r="T6238"/>
      <c r="U6238"/>
    </row>
    <row r="6239" spans="6:21" x14ac:dyDescent="0.25">
      <c r="F6239"/>
      <c r="O6239"/>
      <c r="R6239"/>
      <c r="S6239"/>
      <c r="T6239"/>
      <c r="U6239"/>
    </row>
    <row r="6240" spans="6:21" x14ac:dyDescent="0.25">
      <c r="F6240"/>
      <c r="O6240"/>
      <c r="R6240"/>
      <c r="S6240"/>
      <c r="T6240"/>
      <c r="U6240"/>
    </row>
    <row r="6241" spans="6:21" x14ac:dyDescent="0.25">
      <c r="F6241"/>
      <c r="O6241"/>
      <c r="R6241"/>
      <c r="S6241"/>
      <c r="T6241"/>
      <c r="U6241"/>
    </row>
    <row r="6242" spans="6:21" x14ac:dyDescent="0.25">
      <c r="F6242"/>
      <c r="O6242"/>
      <c r="R6242"/>
      <c r="S6242"/>
      <c r="T6242"/>
      <c r="U6242"/>
    </row>
    <row r="6243" spans="6:21" x14ac:dyDescent="0.25">
      <c r="F6243"/>
      <c r="O6243"/>
      <c r="R6243"/>
      <c r="S6243"/>
      <c r="T6243"/>
      <c r="U6243"/>
    </row>
    <row r="6244" spans="6:21" x14ac:dyDescent="0.25">
      <c r="F6244"/>
      <c r="O6244"/>
      <c r="R6244"/>
      <c r="S6244"/>
      <c r="T6244"/>
      <c r="U6244"/>
    </row>
    <row r="6245" spans="6:21" x14ac:dyDescent="0.25">
      <c r="F6245"/>
      <c r="O6245"/>
      <c r="R6245"/>
      <c r="S6245"/>
      <c r="T6245"/>
      <c r="U6245"/>
    </row>
    <row r="6246" spans="6:21" x14ac:dyDescent="0.25">
      <c r="F6246"/>
      <c r="O6246"/>
      <c r="R6246"/>
      <c r="S6246"/>
      <c r="T6246"/>
      <c r="U6246"/>
    </row>
    <row r="6247" spans="6:21" x14ac:dyDescent="0.25">
      <c r="F6247"/>
      <c r="O6247"/>
      <c r="R6247"/>
      <c r="S6247"/>
      <c r="T6247"/>
      <c r="U6247"/>
    </row>
    <row r="6248" spans="6:21" x14ac:dyDescent="0.25">
      <c r="F6248"/>
      <c r="O6248"/>
      <c r="R6248"/>
      <c r="S6248"/>
      <c r="T6248"/>
      <c r="U6248"/>
    </row>
    <row r="6249" spans="6:21" x14ac:dyDescent="0.25">
      <c r="F6249"/>
      <c r="O6249"/>
      <c r="R6249"/>
      <c r="S6249"/>
      <c r="T6249"/>
      <c r="U6249"/>
    </row>
    <row r="6250" spans="6:21" x14ac:dyDescent="0.25">
      <c r="F6250"/>
      <c r="O6250"/>
      <c r="R6250"/>
      <c r="S6250"/>
      <c r="T6250"/>
      <c r="U6250"/>
    </row>
    <row r="6251" spans="6:21" x14ac:dyDescent="0.25">
      <c r="F6251"/>
      <c r="O6251"/>
      <c r="R6251"/>
      <c r="S6251"/>
      <c r="T6251"/>
      <c r="U6251"/>
    </row>
    <row r="6252" spans="6:21" x14ac:dyDescent="0.25">
      <c r="F6252"/>
      <c r="O6252"/>
      <c r="R6252"/>
      <c r="S6252"/>
      <c r="T6252"/>
      <c r="U6252"/>
    </row>
    <row r="6253" spans="6:21" x14ac:dyDescent="0.25">
      <c r="F6253"/>
      <c r="O6253"/>
      <c r="R6253"/>
      <c r="S6253"/>
      <c r="T6253"/>
      <c r="U6253"/>
    </row>
    <row r="6254" spans="6:21" x14ac:dyDescent="0.25">
      <c r="F6254"/>
      <c r="O6254"/>
      <c r="R6254"/>
      <c r="S6254"/>
      <c r="T6254"/>
      <c r="U6254"/>
    </row>
    <row r="6255" spans="6:21" x14ac:dyDescent="0.25">
      <c r="F6255"/>
      <c r="O6255"/>
      <c r="R6255"/>
      <c r="S6255"/>
      <c r="T6255"/>
      <c r="U6255"/>
    </row>
    <row r="6256" spans="6:21" x14ac:dyDescent="0.25">
      <c r="F6256"/>
      <c r="O6256"/>
      <c r="R6256"/>
      <c r="S6256"/>
      <c r="T6256"/>
      <c r="U6256"/>
    </row>
    <row r="6257" spans="6:21" x14ac:dyDescent="0.25">
      <c r="F6257"/>
      <c r="O6257"/>
      <c r="R6257"/>
      <c r="S6257"/>
      <c r="T6257"/>
      <c r="U6257"/>
    </row>
    <row r="6258" spans="6:21" x14ac:dyDescent="0.25">
      <c r="F6258"/>
      <c r="O6258"/>
      <c r="R6258"/>
      <c r="S6258"/>
      <c r="T6258"/>
      <c r="U6258"/>
    </row>
    <row r="6259" spans="6:21" x14ac:dyDescent="0.25">
      <c r="F6259"/>
      <c r="O6259"/>
      <c r="R6259"/>
      <c r="S6259"/>
      <c r="T6259"/>
      <c r="U6259"/>
    </row>
    <row r="6260" spans="6:21" x14ac:dyDescent="0.25">
      <c r="F6260"/>
      <c r="O6260"/>
      <c r="R6260"/>
      <c r="S6260"/>
      <c r="T6260"/>
      <c r="U6260"/>
    </row>
    <row r="6261" spans="6:21" x14ac:dyDescent="0.25">
      <c r="F6261"/>
      <c r="O6261"/>
      <c r="R6261"/>
      <c r="S6261"/>
      <c r="T6261"/>
      <c r="U6261"/>
    </row>
    <row r="6262" spans="6:21" x14ac:dyDescent="0.25">
      <c r="F6262"/>
      <c r="O6262"/>
      <c r="R6262"/>
      <c r="S6262"/>
      <c r="T6262"/>
      <c r="U6262"/>
    </row>
    <row r="6263" spans="6:21" x14ac:dyDescent="0.25">
      <c r="F6263"/>
      <c r="O6263"/>
      <c r="R6263"/>
      <c r="S6263"/>
      <c r="T6263"/>
      <c r="U6263"/>
    </row>
  </sheetData>
  <autoFilter ref="A4:CRL2849" xr:uid="{E069D700-E2EB-4D0D-9932-EF732965620E}"/>
  <sortState ref="A5:AV6263">
    <sortCondition ref="AV5"/>
    <sortCondition ref="R5"/>
  </sortState>
  <dataConsolidate/>
  <dataValidations count="1">
    <dataValidation type="list" showInputMessage="1" error="Please select a valid value" promptTitle="select a value" sqref="P3:P4" xr:uid="{00000000-0002-0000-00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39383-5858-4B78-BC07-BEADF1A7B0C4}">
  <sheetPr codeName="Sheet4"/>
  <dimension ref="C1:C133"/>
  <sheetViews>
    <sheetView workbookViewId="0">
      <selection activeCell="C134" sqref="C134"/>
    </sheetView>
  </sheetViews>
  <sheetFormatPr defaultRowHeight="15" x14ac:dyDescent="0.25"/>
  <cols>
    <col min="3" max="3" width="56" bestFit="1" customWidth="1"/>
  </cols>
  <sheetData>
    <row r="1" spans="3:3" x14ac:dyDescent="0.25">
      <c r="C1" t="s">
        <v>3324</v>
      </c>
    </row>
    <row r="2" spans="3:3" x14ac:dyDescent="0.25">
      <c r="C2" t="s">
        <v>1443</v>
      </c>
    </row>
    <row r="3" spans="3:3" x14ac:dyDescent="0.25">
      <c r="C3" t="s">
        <v>1591</v>
      </c>
    </row>
    <row r="4" spans="3:3" x14ac:dyDescent="0.25">
      <c r="C4" t="s">
        <v>1450</v>
      </c>
    </row>
    <row r="5" spans="3:3" x14ac:dyDescent="0.25">
      <c r="C5" t="s">
        <v>1598</v>
      </c>
    </row>
    <row r="6" spans="3:3" x14ac:dyDescent="0.25">
      <c r="C6" t="s">
        <v>2811</v>
      </c>
    </row>
    <row r="7" spans="3:3" x14ac:dyDescent="0.25">
      <c r="C7" t="s">
        <v>2952</v>
      </c>
    </row>
    <row r="8" spans="3:3" x14ac:dyDescent="0.25">
      <c r="C8" t="s">
        <v>3026</v>
      </c>
    </row>
    <row r="9" spans="3:3" x14ac:dyDescent="0.25">
      <c r="C9" t="s">
        <v>1446</v>
      </c>
    </row>
    <row r="10" spans="3:3" x14ac:dyDescent="0.25">
      <c r="C10" t="s">
        <v>1594</v>
      </c>
    </row>
    <row r="11" spans="3:3" x14ac:dyDescent="0.25">
      <c r="C11" t="s">
        <v>1453</v>
      </c>
    </row>
    <row r="12" spans="3:3" x14ac:dyDescent="0.25">
      <c r="C12" t="s">
        <v>1601</v>
      </c>
    </row>
    <row r="13" spans="3:3" x14ac:dyDescent="0.25">
      <c r="C13" t="s">
        <v>2814</v>
      </c>
    </row>
    <row r="14" spans="3:3" x14ac:dyDescent="0.25">
      <c r="C14" t="s">
        <v>2955</v>
      </c>
    </row>
    <row r="15" spans="3:3" x14ac:dyDescent="0.25">
      <c r="C15" t="s">
        <v>3029</v>
      </c>
    </row>
    <row r="16" spans="3:3" x14ac:dyDescent="0.25">
      <c r="C16" t="s">
        <v>1174</v>
      </c>
    </row>
    <row r="17" spans="3:3" x14ac:dyDescent="0.25">
      <c r="C17" t="s">
        <v>1309</v>
      </c>
    </row>
    <row r="18" spans="3:3" x14ac:dyDescent="0.25">
      <c r="C18" t="s">
        <v>1457</v>
      </c>
    </row>
    <row r="19" spans="3:3" x14ac:dyDescent="0.25">
      <c r="C19" t="s">
        <v>1242</v>
      </c>
    </row>
    <row r="20" spans="3:3" x14ac:dyDescent="0.25">
      <c r="C20" t="s">
        <v>1376</v>
      </c>
    </row>
    <row r="21" spans="3:3" x14ac:dyDescent="0.25">
      <c r="C21" t="s">
        <v>1524</v>
      </c>
    </row>
    <row r="22" spans="3:3" x14ac:dyDescent="0.25">
      <c r="C22" t="s">
        <v>2744</v>
      </c>
    </row>
    <row r="23" spans="3:3" x14ac:dyDescent="0.25">
      <c r="C23" t="s">
        <v>2818</v>
      </c>
    </row>
    <row r="24" spans="3:3" x14ac:dyDescent="0.25">
      <c r="C24" t="s">
        <v>2885</v>
      </c>
    </row>
    <row r="25" spans="3:3" x14ac:dyDescent="0.25">
      <c r="C25" t="s">
        <v>2959</v>
      </c>
    </row>
    <row r="26" spans="3:3" x14ac:dyDescent="0.25">
      <c r="C26" t="s">
        <v>1202</v>
      </c>
    </row>
    <row r="27" spans="3:3" x14ac:dyDescent="0.25">
      <c r="C27" t="s">
        <v>1336</v>
      </c>
    </row>
    <row r="28" spans="3:3" x14ac:dyDescent="0.25">
      <c r="C28" t="s">
        <v>1484</v>
      </c>
    </row>
    <row r="29" spans="3:3" x14ac:dyDescent="0.25">
      <c r="C29" t="s">
        <v>1269</v>
      </c>
    </row>
    <row r="30" spans="3:3" x14ac:dyDescent="0.25">
      <c r="C30" t="s">
        <v>1403</v>
      </c>
    </row>
    <row r="31" spans="3:3" x14ac:dyDescent="0.25">
      <c r="C31" t="s">
        <v>1551</v>
      </c>
    </row>
    <row r="32" spans="3:3" x14ac:dyDescent="0.25">
      <c r="C32" t="s">
        <v>2771</v>
      </c>
    </row>
    <row r="33" spans="3:3" x14ac:dyDescent="0.25">
      <c r="C33" t="s">
        <v>2845</v>
      </c>
    </row>
    <row r="34" spans="3:3" x14ac:dyDescent="0.25">
      <c r="C34" t="s">
        <v>2912</v>
      </c>
    </row>
    <row r="35" spans="3:3" x14ac:dyDescent="0.25">
      <c r="C35" t="s">
        <v>2986</v>
      </c>
    </row>
    <row r="36" spans="3:3" x14ac:dyDescent="0.25">
      <c r="C36" t="s">
        <v>1740</v>
      </c>
    </row>
    <row r="37" spans="3:3" x14ac:dyDescent="0.25">
      <c r="C37" t="s">
        <v>1888</v>
      </c>
    </row>
    <row r="38" spans="3:3" x14ac:dyDescent="0.25">
      <c r="C38" t="s">
        <v>1747</v>
      </c>
    </row>
    <row r="39" spans="3:3" x14ac:dyDescent="0.25">
      <c r="C39" t="s">
        <v>1895</v>
      </c>
    </row>
    <row r="40" spans="3:3" x14ac:dyDescent="0.25">
      <c r="C40" t="s">
        <v>3100</v>
      </c>
    </row>
    <row r="41" spans="3:3" x14ac:dyDescent="0.25">
      <c r="C41" t="s">
        <v>3174</v>
      </c>
    </row>
    <row r="42" spans="3:3" x14ac:dyDescent="0.25">
      <c r="C42" t="s">
        <v>1743</v>
      </c>
    </row>
    <row r="43" spans="3:3" x14ac:dyDescent="0.25">
      <c r="C43" t="s">
        <v>1891</v>
      </c>
    </row>
    <row r="44" spans="3:3" x14ac:dyDescent="0.25">
      <c r="C44" t="s">
        <v>1750</v>
      </c>
    </row>
    <row r="45" spans="3:3" x14ac:dyDescent="0.25">
      <c r="C45" t="s">
        <v>1898</v>
      </c>
    </row>
    <row r="46" spans="3:3" x14ac:dyDescent="0.25">
      <c r="C46" t="s">
        <v>3103</v>
      </c>
    </row>
    <row r="47" spans="3:3" x14ac:dyDescent="0.25">
      <c r="C47" t="s">
        <v>3177</v>
      </c>
    </row>
    <row r="48" spans="3:3" x14ac:dyDescent="0.25">
      <c r="C48" t="s">
        <v>1605</v>
      </c>
    </row>
    <row r="49" spans="3:3" x14ac:dyDescent="0.25">
      <c r="C49" t="s">
        <v>1754</v>
      </c>
    </row>
    <row r="50" spans="3:3" x14ac:dyDescent="0.25">
      <c r="C50" t="s">
        <v>1673</v>
      </c>
    </row>
    <row r="51" spans="3:3" x14ac:dyDescent="0.25">
      <c r="C51" t="s">
        <v>1821</v>
      </c>
    </row>
    <row r="52" spans="3:3" x14ac:dyDescent="0.25">
      <c r="C52" t="s">
        <v>3033</v>
      </c>
    </row>
    <row r="53" spans="3:3" x14ac:dyDescent="0.25">
      <c r="C53" t="s">
        <v>3107</v>
      </c>
    </row>
    <row r="54" spans="3:3" x14ac:dyDescent="0.25">
      <c r="C54" t="s">
        <v>1633</v>
      </c>
    </row>
    <row r="55" spans="3:3" x14ac:dyDescent="0.25">
      <c r="C55" t="s">
        <v>1781</v>
      </c>
    </row>
    <row r="56" spans="3:3" x14ac:dyDescent="0.25">
      <c r="C56" t="s">
        <v>1700</v>
      </c>
    </row>
    <row r="57" spans="3:3" x14ac:dyDescent="0.25">
      <c r="C57" t="s">
        <v>1848</v>
      </c>
    </row>
    <row r="58" spans="3:3" x14ac:dyDescent="0.25">
      <c r="C58" t="s">
        <v>3060</v>
      </c>
    </row>
    <row r="59" spans="3:3" x14ac:dyDescent="0.25">
      <c r="C59" t="s">
        <v>3134</v>
      </c>
    </row>
    <row r="60" spans="3:3" x14ac:dyDescent="0.25">
      <c r="C60" t="s">
        <v>2037</v>
      </c>
    </row>
    <row r="61" spans="3:3" x14ac:dyDescent="0.25">
      <c r="C61" t="s">
        <v>2044</v>
      </c>
    </row>
    <row r="62" spans="3:3" x14ac:dyDescent="0.25">
      <c r="C62" t="s">
        <v>3248</v>
      </c>
    </row>
    <row r="63" spans="3:3" x14ac:dyDescent="0.25">
      <c r="C63" t="s">
        <v>2040</v>
      </c>
    </row>
    <row r="64" spans="3:3" x14ac:dyDescent="0.25">
      <c r="C64" t="s">
        <v>2047</v>
      </c>
    </row>
    <row r="65" spans="3:3" x14ac:dyDescent="0.25">
      <c r="C65" t="s">
        <v>3251</v>
      </c>
    </row>
    <row r="66" spans="3:3" x14ac:dyDescent="0.25">
      <c r="C66" t="s">
        <v>1902</v>
      </c>
    </row>
    <row r="67" spans="3:3" x14ac:dyDescent="0.25">
      <c r="C67" t="s">
        <v>2051</v>
      </c>
    </row>
    <row r="68" spans="3:3" x14ac:dyDescent="0.25">
      <c r="C68" t="s">
        <v>1970</v>
      </c>
    </row>
    <row r="69" spans="3:3" x14ac:dyDescent="0.25">
      <c r="C69" t="s">
        <v>2118</v>
      </c>
    </row>
    <row r="70" spans="3:3" x14ac:dyDescent="0.25">
      <c r="C70" t="s">
        <v>3181</v>
      </c>
    </row>
    <row r="71" spans="3:3" x14ac:dyDescent="0.25">
      <c r="C71" t="s">
        <v>3255</v>
      </c>
    </row>
    <row r="72" spans="3:3" x14ac:dyDescent="0.25">
      <c r="C72" t="s">
        <v>1930</v>
      </c>
    </row>
    <row r="73" spans="3:3" x14ac:dyDescent="0.25">
      <c r="C73" t="s">
        <v>2078</v>
      </c>
    </row>
    <row r="74" spans="3:3" x14ac:dyDescent="0.25">
      <c r="C74" t="s">
        <v>1997</v>
      </c>
    </row>
    <row r="75" spans="3:3" x14ac:dyDescent="0.25">
      <c r="C75" t="s">
        <v>2145</v>
      </c>
    </row>
    <row r="76" spans="3:3" x14ac:dyDescent="0.25">
      <c r="C76" t="s">
        <v>3208</v>
      </c>
    </row>
    <row r="77" spans="3:3" x14ac:dyDescent="0.25">
      <c r="C77" t="s">
        <v>3282</v>
      </c>
    </row>
    <row r="78" spans="3:3" x14ac:dyDescent="0.25">
      <c r="C78" t="s">
        <v>743</v>
      </c>
    </row>
    <row r="79" spans="3:3" x14ac:dyDescent="0.25">
      <c r="C79" t="s">
        <v>750</v>
      </c>
    </row>
    <row r="80" spans="3:3" x14ac:dyDescent="0.25">
      <c r="C80" t="s">
        <v>2252</v>
      </c>
    </row>
    <row r="81" spans="3:3" x14ac:dyDescent="0.25">
      <c r="C81" t="s">
        <v>2460</v>
      </c>
    </row>
    <row r="82" spans="3:3" x14ac:dyDescent="0.25">
      <c r="C82" t="s">
        <v>746</v>
      </c>
    </row>
    <row r="83" spans="3:3" x14ac:dyDescent="0.25">
      <c r="C83" t="s">
        <v>753</v>
      </c>
    </row>
    <row r="84" spans="3:3" x14ac:dyDescent="0.25">
      <c r="C84" t="s">
        <v>2255</v>
      </c>
    </row>
    <row r="85" spans="3:3" x14ac:dyDescent="0.25">
      <c r="C85" t="s">
        <v>2463</v>
      </c>
    </row>
    <row r="86" spans="3:3" x14ac:dyDescent="0.25">
      <c r="C86" t="s">
        <v>326</v>
      </c>
    </row>
    <row r="87" spans="3:3" x14ac:dyDescent="0.25">
      <c r="C87" t="s">
        <v>474</v>
      </c>
    </row>
    <row r="88" spans="3:3" x14ac:dyDescent="0.25">
      <c r="C88" t="s">
        <v>608</v>
      </c>
    </row>
    <row r="89" spans="3:3" x14ac:dyDescent="0.25">
      <c r="C89" t="s">
        <v>407</v>
      </c>
    </row>
    <row r="90" spans="3:3" x14ac:dyDescent="0.25">
      <c r="C90" t="s">
        <v>541</v>
      </c>
    </row>
    <row r="91" spans="3:3" x14ac:dyDescent="0.25">
      <c r="C91" t="s">
        <v>675</v>
      </c>
    </row>
    <row r="92" spans="3:3" x14ac:dyDescent="0.25">
      <c r="C92" t="s">
        <v>2185</v>
      </c>
    </row>
    <row r="93" spans="3:3" x14ac:dyDescent="0.25">
      <c r="C93" t="s">
        <v>2259</v>
      </c>
    </row>
    <row r="94" spans="3:3" x14ac:dyDescent="0.25">
      <c r="C94" t="s">
        <v>2326</v>
      </c>
    </row>
    <row r="95" spans="3:3" x14ac:dyDescent="0.25">
      <c r="C95" t="s">
        <v>2393</v>
      </c>
    </row>
    <row r="96" spans="3:3" x14ac:dyDescent="0.25">
      <c r="C96" t="s">
        <v>365</v>
      </c>
    </row>
    <row r="97" spans="3:3" x14ac:dyDescent="0.25">
      <c r="C97" t="s">
        <v>501</v>
      </c>
    </row>
    <row r="98" spans="3:3" x14ac:dyDescent="0.25">
      <c r="C98" t="s">
        <v>635</v>
      </c>
    </row>
    <row r="99" spans="3:3" x14ac:dyDescent="0.25">
      <c r="C99" t="s">
        <v>434</v>
      </c>
    </row>
    <row r="100" spans="3:3" x14ac:dyDescent="0.25">
      <c r="C100" t="s">
        <v>568</v>
      </c>
    </row>
    <row r="101" spans="3:3" x14ac:dyDescent="0.25">
      <c r="C101" t="s">
        <v>702</v>
      </c>
    </row>
    <row r="102" spans="3:3" x14ac:dyDescent="0.25">
      <c r="C102" t="s">
        <v>2212</v>
      </c>
    </row>
    <row r="103" spans="3:3" x14ac:dyDescent="0.25">
      <c r="C103" t="s">
        <v>2286</v>
      </c>
    </row>
    <row r="104" spans="3:3" x14ac:dyDescent="0.25">
      <c r="C104" t="s">
        <v>2353</v>
      </c>
    </row>
    <row r="105" spans="3:3" x14ac:dyDescent="0.25">
      <c r="C105" t="s">
        <v>2420</v>
      </c>
    </row>
    <row r="106" spans="3:3" x14ac:dyDescent="0.25">
      <c r="C106" t="s">
        <v>1026</v>
      </c>
    </row>
    <row r="107" spans="3:3" x14ac:dyDescent="0.25">
      <c r="C107" t="s">
        <v>1033</v>
      </c>
    </row>
    <row r="108" spans="3:3" x14ac:dyDescent="0.25">
      <c r="C108" t="s">
        <v>2534</v>
      </c>
    </row>
    <row r="109" spans="3:3" x14ac:dyDescent="0.25">
      <c r="C109" t="s">
        <v>2670</v>
      </c>
    </row>
    <row r="110" spans="3:3" x14ac:dyDescent="0.25">
      <c r="C110" t="s">
        <v>1029</v>
      </c>
    </row>
    <row r="111" spans="3:3" x14ac:dyDescent="0.25">
      <c r="C111" t="s">
        <v>1036</v>
      </c>
    </row>
    <row r="112" spans="3:3" x14ac:dyDescent="0.25">
      <c r="C112" t="s">
        <v>2537</v>
      </c>
    </row>
    <row r="113" spans="3:3" x14ac:dyDescent="0.25">
      <c r="C113" t="s">
        <v>2673</v>
      </c>
    </row>
    <row r="114" spans="3:3" x14ac:dyDescent="0.25">
      <c r="C114" t="s">
        <v>757</v>
      </c>
    </row>
    <row r="115" spans="3:3" x14ac:dyDescent="0.25">
      <c r="C115" t="s">
        <v>892</v>
      </c>
    </row>
    <row r="116" spans="3:3" x14ac:dyDescent="0.25">
      <c r="C116" t="s">
        <v>1040</v>
      </c>
    </row>
    <row r="117" spans="3:3" x14ac:dyDescent="0.25">
      <c r="C117" t="s">
        <v>825</v>
      </c>
    </row>
    <row r="118" spans="3:3" x14ac:dyDescent="0.25">
      <c r="C118" t="s">
        <v>959</v>
      </c>
    </row>
    <row r="119" spans="3:3" x14ac:dyDescent="0.25">
      <c r="C119" t="s">
        <v>1107</v>
      </c>
    </row>
    <row r="120" spans="3:3" x14ac:dyDescent="0.25">
      <c r="C120" t="s">
        <v>2467</v>
      </c>
    </row>
    <row r="121" spans="3:3" x14ac:dyDescent="0.25">
      <c r="C121" t="s">
        <v>2541</v>
      </c>
    </row>
    <row r="122" spans="3:3" x14ac:dyDescent="0.25">
      <c r="C122" t="s">
        <v>2608</v>
      </c>
    </row>
    <row r="123" spans="3:3" x14ac:dyDescent="0.25">
      <c r="C123" t="s">
        <v>2677</v>
      </c>
    </row>
    <row r="124" spans="3:3" x14ac:dyDescent="0.25">
      <c r="C124" t="s">
        <v>785</v>
      </c>
    </row>
    <row r="125" spans="3:3" x14ac:dyDescent="0.25">
      <c r="C125" t="s">
        <v>919</v>
      </c>
    </row>
    <row r="126" spans="3:3" x14ac:dyDescent="0.25">
      <c r="C126" t="s">
        <v>1067</v>
      </c>
    </row>
    <row r="127" spans="3:3" x14ac:dyDescent="0.25">
      <c r="C127" t="s">
        <v>852</v>
      </c>
    </row>
    <row r="128" spans="3:3" x14ac:dyDescent="0.25">
      <c r="C128" t="s">
        <v>986</v>
      </c>
    </row>
    <row r="129" spans="3:3" x14ac:dyDescent="0.25">
      <c r="C129" t="s">
        <v>1134</v>
      </c>
    </row>
    <row r="130" spans="3:3" x14ac:dyDescent="0.25">
      <c r="C130" t="s">
        <v>2494</v>
      </c>
    </row>
    <row r="131" spans="3:3" x14ac:dyDescent="0.25">
      <c r="C131" t="s">
        <v>2568</v>
      </c>
    </row>
    <row r="132" spans="3:3" x14ac:dyDescent="0.25">
      <c r="C132" t="s">
        <v>2633</v>
      </c>
    </row>
    <row r="133" spans="3:3" x14ac:dyDescent="0.25">
      <c r="C133" t="s">
        <v>2704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5" x14ac:dyDescent="0.25"/>
  <sheetData>
    <row r="1" spans="1:206" ht="30.75" customHeight="1" thickBot="1" x14ac:dyDescent="0.3">
      <c r="A1" s="11" t="s">
        <v>65</v>
      </c>
      <c r="B1" s="107" t="s">
        <v>66</v>
      </c>
      <c r="C1" s="107" t="s">
        <v>67</v>
      </c>
      <c r="D1" s="107" t="s">
        <v>68</v>
      </c>
      <c r="E1" s="107" t="s">
        <v>69</v>
      </c>
      <c r="F1" s="116" t="s">
        <v>70</v>
      </c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 t="s">
        <v>71</v>
      </c>
      <c r="AS1" s="116"/>
      <c r="AT1" s="116"/>
      <c r="AU1" s="117" t="s">
        <v>72</v>
      </c>
      <c r="AV1" s="117"/>
      <c r="AW1" s="117" t="s">
        <v>73</v>
      </c>
      <c r="AX1" s="117"/>
      <c r="AY1" s="117"/>
      <c r="AZ1" s="117"/>
      <c r="BA1" s="117"/>
      <c r="BB1" s="117"/>
      <c r="BC1" s="117"/>
      <c r="BD1" s="117" t="s">
        <v>74</v>
      </c>
      <c r="BE1" s="117"/>
      <c r="BF1" s="117"/>
      <c r="BG1" s="118" t="s">
        <v>75</v>
      </c>
      <c r="BH1" s="119"/>
      <c r="BI1" s="120"/>
      <c r="BJ1" s="113" t="str">
        <f>"Preço Fixo
"&amp;DOLLAR([5]ARBOR!C2,2)</f>
        <v>Preço Fixo
$75.84</v>
      </c>
      <c r="BK1" s="114"/>
      <c r="BL1" s="114"/>
      <c r="BM1" s="114"/>
      <c r="BN1" s="115"/>
      <c r="BO1" s="113" t="s">
        <v>76</v>
      </c>
      <c r="BP1" s="114"/>
      <c r="BQ1" s="114"/>
      <c r="BR1" s="115"/>
      <c r="BS1" s="113" t="s">
        <v>77</v>
      </c>
      <c r="BT1" s="114"/>
      <c r="BU1" s="114"/>
      <c r="BV1" s="115"/>
      <c r="BW1" s="113" t="s">
        <v>78</v>
      </c>
      <c r="BX1" s="114"/>
      <c r="BY1" s="114"/>
      <c r="BZ1" s="115"/>
      <c r="CA1" s="113" t="s">
        <v>79</v>
      </c>
      <c r="CB1" s="114"/>
      <c r="CC1" s="114"/>
      <c r="CD1" s="115"/>
      <c r="CE1" s="113" t="s">
        <v>80</v>
      </c>
      <c r="CF1" s="114"/>
      <c r="CG1" s="114"/>
      <c r="CH1" s="115"/>
      <c r="CI1" s="113" t="s">
        <v>81</v>
      </c>
      <c r="CJ1" s="114"/>
      <c r="CK1" s="114"/>
      <c r="CL1" s="115"/>
      <c r="CM1" s="113" t="s">
        <v>82</v>
      </c>
      <c r="CN1" s="114"/>
      <c r="CO1" s="114"/>
      <c r="CP1" s="115"/>
      <c r="CQ1" s="113" t="s">
        <v>83</v>
      </c>
      <c r="CR1" s="114"/>
      <c r="CS1" s="114"/>
      <c r="CT1" s="114"/>
      <c r="CU1" s="114"/>
      <c r="CV1" s="114"/>
      <c r="CW1" s="114"/>
      <c r="CX1" s="115"/>
      <c r="CY1" s="113" t="s">
        <v>84</v>
      </c>
      <c r="CZ1" s="114"/>
      <c r="DA1" s="114"/>
      <c r="DB1" s="114"/>
      <c r="DC1" s="114"/>
      <c r="DD1" s="114"/>
      <c r="DE1" s="114"/>
      <c r="DF1" s="115"/>
      <c r="DG1" s="113" t="s">
        <v>85</v>
      </c>
      <c r="DH1" s="114"/>
      <c r="DI1" s="114"/>
      <c r="DJ1" s="114"/>
      <c r="DK1" s="114"/>
      <c r="DL1" s="114"/>
      <c r="DM1" s="114"/>
      <c r="DN1" s="115"/>
      <c r="DO1" s="124" t="s">
        <v>86</v>
      </c>
      <c r="DP1" s="125"/>
      <c r="DQ1" s="125"/>
      <c r="DR1" s="125"/>
      <c r="DS1" s="125"/>
      <c r="DT1" s="125"/>
      <c r="DU1" s="125"/>
      <c r="DV1" s="126"/>
      <c r="DW1" s="127" t="s">
        <v>87</v>
      </c>
      <c r="DX1" s="128"/>
      <c r="DY1" s="129"/>
      <c r="DZ1" s="130" t="s">
        <v>88</v>
      </c>
      <c r="EA1" s="131"/>
      <c r="EB1" s="131"/>
      <c r="EC1" s="131"/>
      <c r="ED1" s="131"/>
      <c r="EE1" s="131"/>
      <c r="EF1" s="132"/>
      <c r="EG1" s="133" t="s">
        <v>89</v>
      </c>
      <c r="EH1" s="134"/>
      <c r="EI1" s="134"/>
      <c r="EJ1" s="134"/>
      <c r="EK1" s="134"/>
      <c r="EL1" s="134"/>
      <c r="EM1" s="134"/>
      <c r="EN1" s="134"/>
      <c r="EO1" s="135" t="s">
        <v>90</v>
      </c>
      <c r="EP1" s="136"/>
      <c r="EQ1" s="136"/>
      <c r="ER1" s="136"/>
      <c r="ES1" s="136"/>
      <c r="ET1" s="137"/>
      <c r="EU1" s="138" t="s">
        <v>91</v>
      </c>
      <c r="EV1" s="139"/>
      <c r="EW1" s="121" t="str">
        <f>"Oi Internet pra Celular 300MB (PCS-813566)
"&amp;DOLLAR(VLOOKUP("PCS-813566",[5]ARBOR!$A:$C,3,0),2)</f>
        <v>Oi Internet pra Celular 300MB (PCS-813566)
$18.92</v>
      </c>
      <c r="EX1" s="122"/>
      <c r="EY1" s="123"/>
      <c r="EZ1" s="121" t="str">
        <f>"Oi Internet pra Celular 500MB (PCS-813564)
"&amp;DOLLAR(VLOOKUP("PCS-813564",[5]ARBOR!$A:$C,3,0),2)</f>
        <v>Oi Internet pra Celular 500MB (PCS-813564)
$28.44</v>
      </c>
      <c r="FA1" s="122"/>
      <c r="FB1" s="123"/>
      <c r="FC1" s="121" t="s">
        <v>92</v>
      </c>
      <c r="FD1" s="122"/>
      <c r="FE1" s="123"/>
      <c r="FF1" s="121" t="s">
        <v>93</v>
      </c>
      <c r="FG1" s="122"/>
      <c r="FH1" s="123"/>
      <c r="FI1" s="121" t="s">
        <v>94</v>
      </c>
      <c r="FJ1" s="122"/>
      <c r="FK1" s="123"/>
      <c r="FL1" s="121" t="s">
        <v>95</v>
      </c>
      <c r="FM1" s="122"/>
      <c r="FN1" s="123"/>
      <c r="FO1" s="121" t="s">
        <v>96</v>
      </c>
      <c r="FP1" s="122"/>
      <c r="FQ1" s="123"/>
      <c r="FR1" s="143" t="s">
        <v>97</v>
      </c>
      <c r="FS1" s="144"/>
      <c r="FT1" s="145" t="s">
        <v>98</v>
      </c>
      <c r="FU1" s="146"/>
      <c r="FV1" s="147" t="s">
        <v>99</v>
      </c>
      <c r="FW1" s="148"/>
      <c r="FX1" s="148"/>
      <c r="FY1" s="148"/>
      <c r="FZ1" s="148"/>
      <c r="GA1" s="148"/>
      <c r="GB1" s="120"/>
      <c r="GC1" s="147" t="s">
        <v>100</v>
      </c>
      <c r="GD1" s="148"/>
      <c r="GE1" s="120"/>
      <c r="GF1" s="147" t="s">
        <v>100</v>
      </c>
      <c r="GG1" s="148"/>
      <c r="GH1" s="120"/>
      <c r="GI1" s="106" t="s">
        <v>101</v>
      </c>
      <c r="GJ1" s="12" t="s">
        <v>102</v>
      </c>
      <c r="GK1" s="140" t="s">
        <v>103</v>
      </c>
      <c r="GL1" s="141"/>
      <c r="GM1" s="141"/>
      <c r="GN1" s="141"/>
      <c r="GO1" s="141"/>
      <c r="GP1" s="141"/>
      <c r="GQ1" s="141"/>
      <c r="GR1" s="141"/>
      <c r="GS1" s="141"/>
      <c r="GT1" s="141"/>
      <c r="GU1" s="142"/>
    </row>
    <row r="2" spans="1:206" ht="164.25" customHeight="1" thickBot="1" x14ac:dyDescent="0.3">
      <c r="A2" t="s">
        <v>104</v>
      </c>
      <c r="B2" s="13" t="s">
        <v>105</v>
      </c>
      <c r="C2" s="13" t="s">
        <v>106</v>
      </c>
      <c r="D2" s="13" t="s">
        <v>107</v>
      </c>
      <c r="E2" s="13" t="s">
        <v>108</v>
      </c>
      <c r="F2" s="14" t="s">
        <v>109</v>
      </c>
      <c r="G2" s="14" t="s">
        <v>110</v>
      </c>
      <c r="H2" s="14" t="s">
        <v>111</v>
      </c>
      <c r="I2" s="14" t="s">
        <v>112</v>
      </c>
      <c r="J2" s="14" t="s">
        <v>113</v>
      </c>
      <c r="K2" s="14" t="s">
        <v>114</v>
      </c>
      <c r="L2" s="14" t="s">
        <v>115</v>
      </c>
      <c r="M2" s="14" t="s">
        <v>116</v>
      </c>
      <c r="N2" s="14" t="s">
        <v>117</v>
      </c>
      <c r="O2" s="14" t="s">
        <v>118</v>
      </c>
      <c r="P2" s="14" t="s">
        <v>119</v>
      </c>
      <c r="Q2" s="14" t="s">
        <v>120</v>
      </c>
      <c r="R2" s="14" t="s">
        <v>121</v>
      </c>
      <c r="S2" s="14" t="s">
        <v>122</v>
      </c>
      <c r="T2" s="14" t="s">
        <v>123</v>
      </c>
      <c r="U2" s="14" t="s">
        <v>124</v>
      </c>
      <c r="V2" s="14" t="s">
        <v>125</v>
      </c>
      <c r="W2" s="14" t="s">
        <v>126</v>
      </c>
      <c r="X2" s="15" t="s">
        <v>127</v>
      </c>
      <c r="Y2" s="14" t="s">
        <v>128</v>
      </c>
      <c r="Z2" s="14" t="s">
        <v>129</v>
      </c>
      <c r="AA2" s="14" t="s">
        <v>130</v>
      </c>
      <c r="AB2" s="14" t="s">
        <v>131</v>
      </c>
      <c r="AC2" s="14" t="s">
        <v>132</v>
      </c>
      <c r="AD2" s="16" t="s">
        <v>133</v>
      </c>
      <c r="AE2" s="16" t="s">
        <v>134</v>
      </c>
      <c r="AF2" s="16" t="s">
        <v>135</v>
      </c>
      <c r="AG2" s="16" t="s">
        <v>136</v>
      </c>
      <c r="AH2" s="14" t="s">
        <v>137</v>
      </c>
      <c r="AI2" s="14" t="s">
        <v>138</v>
      </c>
      <c r="AJ2" s="14" t="s">
        <v>139</v>
      </c>
      <c r="AK2" s="14" t="s">
        <v>140</v>
      </c>
      <c r="AL2" s="14" t="s">
        <v>141</v>
      </c>
      <c r="AM2" s="14" t="s">
        <v>142</v>
      </c>
      <c r="AN2" s="14" t="s">
        <v>143</v>
      </c>
      <c r="AO2" s="15" t="s">
        <v>144</v>
      </c>
      <c r="AP2" s="15" t="s">
        <v>145</v>
      </c>
      <c r="AQ2" s="14" t="s">
        <v>146</v>
      </c>
      <c r="AR2" s="17" t="s">
        <v>147</v>
      </c>
      <c r="AS2" s="13" t="s">
        <v>148</v>
      </c>
      <c r="AT2" s="13" t="s">
        <v>149</v>
      </c>
      <c r="AU2" s="13" t="s">
        <v>150</v>
      </c>
      <c r="AV2" s="13" t="s">
        <v>151</v>
      </c>
      <c r="AW2" s="17" t="s">
        <v>152</v>
      </c>
      <c r="AX2" s="17" t="s">
        <v>153</v>
      </c>
      <c r="AY2" s="17" t="s">
        <v>154</v>
      </c>
      <c r="AZ2" s="17" t="s">
        <v>155</v>
      </c>
      <c r="BA2" s="17" t="s">
        <v>156</v>
      </c>
      <c r="BB2" s="17" t="s">
        <v>157</v>
      </c>
      <c r="BC2" s="17" t="s">
        <v>158</v>
      </c>
      <c r="BD2" s="18" t="s">
        <v>159</v>
      </c>
      <c r="BE2" s="19" t="s">
        <v>160</v>
      </c>
      <c r="BF2" s="19" t="s">
        <v>161</v>
      </c>
      <c r="BG2" s="17" t="s">
        <v>162</v>
      </c>
      <c r="BH2" s="20" t="s">
        <v>163</v>
      </c>
      <c r="BI2" s="17" t="s">
        <v>164</v>
      </c>
      <c r="BJ2" s="21" t="s">
        <v>165</v>
      </c>
      <c r="BK2" s="22" t="s">
        <v>166</v>
      </c>
      <c r="BL2" s="17" t="s">
        <v>167</v>
      </c>
      <c r="BM2" s="23" t="s">
        <v>168</v>
      </c>
      <c r="BN2" s="24" t="s">
        <v>169</v>
      </c>
      <c r="BO2" s="17" t="s">
        <v>170</v>
      </c>
      <c r="BP2" s="13" t="s">
        <v>165</v>
      </c>
      <c r="BQ2" s="13" t="s">
        <v>171</v>
      </c>
      <c r="BR2" s="17" t="s">
        <v>167</v>
      </c>
      <c r="BS2" s="17" t="s">
        <v>170</v>
      </c>
      <c r="BT2" s="13" t="s">
        <v>165</v>
      </c>
      <c r="BU2" s="13" t="s">
        <v>171</v>
      </c>
      <c r="BV2" s="17" t="s">
        <v>167</v>
      </c>
      <c r="BW2" s="17" t="s">
        <v>170</v>
      </c>
      <c r="BX2" s="13" t="s">
        <v>165</v>
      </c>
      <c r="BY2" s="13" t="s">
        <v>171</v>
      </c>
      <c r="BZ2" s="17" t="s">
        <v>167</v>
      </c>
      <c r="CA2" s="17" t="s">
        <v>170</v>
      </c>
      <c r="CB2" s="13" t="s">
        <v>165</v>
      </c>
      <c r="CC2" s="13" t="s">
        <v>171</v>
      </c>
      <c r="CD2" s="17" t="s">
        <v>167</v>
      </c>
      <c r="CE2" s="17" t="s">
        <v>170</v>
      </c>
      <c r="CF2" s="13" t="s">
        <v>165</v>
      </c>
      <c r="CG2" s="13" t="s">
        <v>171</v>
      </c>
      <c r="CH2" s="17" t="s">
        <v>167</v>
      </c>
      <c r="CI2" s="17" t="s">
        <v>170</v>
      </c>
      <c r="CJ2" s="13" t="s">
        <v>165</v>
      </c>
      <c r="CK2" s="13" t="s">
        <v>171</v>
      </c>
      <c r="CL2" s="17" t="s">
        <v>167</v>
      </c>
      <c r="CM2" s="17" t="s">
        <v>170</v>
      </c>
      <c r="CN2" s="13" t="s">
        <v>165</v>
      </c>
      <c r="CO2" s="13" t="s">
        <v>171</v>
      </c>
      <c r="CP2" s="17" t="s">
        <v>167</v>
      </c>
      <c r="CQ2" s="17" t="s">
        <v>170</v>
      </c>
      <c r="CR2" s="13" t="s">
        <v>165</v>
      </c>
      <c r="CS2" s="13" t="s">
        <v>171</v>
      </c>
      <c r="CT2" s="17" t="s">
        <v>167</v>
      </c>
      <c r="CU2" s="25" t="s">
        <v>165</v>
      </c>
      <c r="CV2" s="25" t="s">
        <v>172</v>
      </c>
      <c r="CW2" s="25" t="s">
        <v>171</v>
      </c>
      <c r="CX2" s="26" t="s">
        <v>167</v>
      </c>
      <c r="CY2" s="17" t="s">
        <v>170</v>
      </c>
      <c r="CZ2" s="13" t="s">
        <v>165</v>
      </c>
      <c r="DA2" s="13" t="s">
        <v>171</v>
      </c>
      <c r="DB2" s="17" t="s">
        <v>167</v>
      </c>
      <c r="DC2" s="25" t="s">
        <v>165</v>
      </c>
      <c r="DD2" s="25" t="s">
        <v>172</v>
      </c>
      <c r="DE2" s="25" t="s">
        <v>171</v>
      </c>
      <c r="DF2" s="26" t="s">
        <v>167</v>
      </c>
      <c r="DG2" s="17" t="s">
        <v>170</v>
      </c>
      <c r="DH2" s="13" t="s">
        <v>165</v>
      </c>
      <c r="DI2" s="13" t="s">
        <v>171</v>
      </c>
      <c r="DJ2" s="17" t="s">
        <v>167</v>
      </c>
      <c r="DK2" s="25" t="s">
        <v>165</v>
      </c>
      <c r="DL2" s="25" t="s">
        <v>172</v>
      </c>
      <c r="DM2" s="25" t="s">
        <v>171</v>
      </c>
      <c r="DN2" s="26" t="s">
        <v>167</v>
      </c>
      <c r="DO2" s="17" t="s">
        <v>170</v>
      </c>
      <c r="DP2" s="13" t="s">
        <v>165</v>
      </c>
      <c r="DQ2" s="13" t="s">
        <v>171</v>
      </c>
      <c r="DR2" s="17" t="s">
        <v>167</v>
      </c>
      <c r="DS2" s="25" t="s">
        <v>165</v>
      </c>
      <c r="DT2" s="25" t="s">
        <v>172</v>
      </c>
      <c r="DU2" s="25" t="s">
        <v>171</v>
      </c>
      <c r="DV2" s="26" t="s">
        <v>167</v>
      </c>
      <c r="DW2" s="27" t="s">
        <v>165</v>
      </c>
      <c r="DX2" s="27" t="s">
        <v>173</v>
      </c>
      <c r="DY2" s="17" t="s">
        <v>167</v>
      </c>
      <c r="DZ2" s="28" t="s">
        <v>174</v>
      </c>
      <c r="EA2" s="29" t="s">
        <v>171</v>
      </c>
      <c r="EB2" s="29" t="s">
        <v>167</v>
      </c>
      <c r="EC2" s="28" t="s">
        <v>175</v>
      </c>
      <c r="ED2" s="28" t="s">
        <v>176</v>
      </c>
      <c r="EE2" s="29" t="s">
        <v>171</v>
      </c>
      <c r="EF2" s="29" t="s">
        <v>167</v>
      </c>
      <c r="EG2" s="30" t="s">
        <v>177</v>
      </c>
      <c r="EH2" s="13" t="s">
        <v>178</v>
      </c>
      <c r="EI2" s="13" t="s">
        <v>179</v>
      </c>
      <c r="EJ2" s="17" t="s">
        <v>180</v>
      </c>
      <c r="EK2" s="17" t="s">
        <v>167</v>
      </c>
      <c r="EL2" s="13" t="s">
        <v>181</v>
      </c>
      <c r="EM2" s="13" t="s">
        <v>171</v>
      </c>
      <c r="EN2" s="17" t="s">
        <v>167</v>
      </c>
      <c r="EO2" s="13" t="s">
        <v>182</v>
      </c>
      <c r="EP2" s="31" t="s">
        <v>183</v>
      </c>
      <c r="EQ2" s="13" t="s">
        <v>184</v>
      </c>
      <c r="ER2" s="13" t="s">
        <v>185</v>
      </c>
      <c r="ES2" s="17" t="s">
        <v>180</v>
      </c>
      <c r="ET2" s="17" t="s">
        <v>167</v>
      </c>
      <c r="EU2" s="32" t="s">
        <v>186</v>
      </c>
      <c r="EV2" s="33" t="s">
        <v>187</v>
      </c>
      <c r="EW2" s="13" t="s">
        <v>165</v>
      </c>
      <c r="EX2" s="13" t="s">
        <v>188</v>
      </c>
      <c r="EY2" s="17" t="s">
        <v>167</v>
      </c>
      <c r="EZ2" s="13" t="s">
        <v>165</v>
      </c>
      <c r="FA2" s="13" t="s">
        <v>188</v>
      </c>
      <c r="FB2" s="17" t="s">
        <v>167</v>
      </c>
      <c r="FC2" s="13" t="s">
        <v>165</v>
      </c>
      <c r="FD2" s="13" t="s">
        <v>188</v>
      </c>
      <c r="FE2" s="17" t="s">
        <v>167</v>
      </c>
      <c r="FF2" s="13" t="s">
        <v>165</v>
      </c>
      <c r="FG2" s="13" t="s">
        <v>188</v>
      </c>
      <c r="FH2" s="17" t="s">
        <v>167</v>
      </c>
      <c r="FI2" s="13" t="s">
        <v>165</v>
      </c>
      <c r="FJ2" s="13" t="s">
        <v>188</v>
      </c>
      <c r="FK2" s="17" t="s">
        <v>167</v>
      </c>
      <c r="FL2" s="13" t="s">
        <v>165</v>
      </c>
      <c r="FM2" s="13" t="s">
        <v>188</v>
      </c>
      <c r="FN2" s="17" t="s">
        <v>167</v>
      </c>
      <c r="FO2" s="13" t="s">
        <v>165</v>
      </c>
      <c r="FP2" s="13" t="s">
        <v>188</v>
      </c>
      <c r="FQ2" s="17" t="s">
        <v>167</v>
      </c>
      <c r="FR2" s="13" t="s">
        <v>171</v>
      </c>
      <c r="FS2" s="17" t="s">
        <v>167</v>
      </c>
      <c r="FT2" s="34" t="s">
        <v>189</v>
      </c>
      <c r="FU2" s="17" t="s">
        <v>190</v>
      </c>
      <c r="FV2" s="13" t="s">
        <v>191</v>
      </c>
      <c r="FW2" s="34" t="s">
        <v>192</v>
      </c>
      <c r="FX2" s="13" t="s">
        <v>193</v>
      </c>
      <c r="FY2" s="35" t="s">
        <v>194</v>
      </c>
      <c r="FZ2" s="17" t="s">
        <v>195</v>
      </c>
      <c r="GA2" s="36" t="s">
        <v>196</v>
      </c>
      <c r="GB2" s="17" t="s">
        <v>197</v>
      </c>
      <c r="GC2" s="35" t="s">
        <v>198</v>
      </c>
      <c r="GD2" s="36" t="s">
        <v>199</v>
      </c>
      <c r="GE2" s="36" t="s">
        <v>167</v>
      </c>
      <c r="GF2" s="35" t="s">
        <v>198</v>
      </c>
      <c r="GG2" s="36" t="s">
        <v>199</v>
      </c>
      <c r="GH2" s="36" t="s">
        <v>167</v>
      </c>
      <c r="GI2" s="37" t="s">
        <v>200</v>
      </c>
      <c r="GJ2" s="38" t="s">
        <v>201</v>
      </c>
      <c r="GK2" s="39" t="s">
        <v>202</v>
      </c>
      <c r="GL2" s="40" t="s">
        <v>203</v>
      </c>
      <c r="GM2" s="40" t="s">
        <v>204</v>
      </c>
      <c r="GN2" s="41" t="s">
        <v>205</v>
      </c>
      <c r="GO2" s="41" t="s">
        <v>206</v>
      </c>
      <c r="GP2" s="41" t="s">
        <v>207</v>
      </c>
      <c r="GQ2" s="40" t="s">
        <v>208</v>
      </c>
      <c r="GR2" s="40" t="s">
        <v>209</v>
      </c>
      <c r="GS2" s="40"/>
      <c r="GT2" s="40" t="s">
        <v>210</v>
      </c>
      <c r="GU2" s="42" t="s">
        <v>211</v>
      </c>
      <c r="GV2" s="43" t="s">
        <v>212</v>
      </c>
      <c r="GW2" s="43" t="s">
        <v>213</v>
      </c>
      <c r="GX2" s="43" t="s">
        <v>214</v>
      </c>
    </row>
    <row r="3" spans="1:206" s="44" customFormat="1" x14ac:dyDescent="0.25">
      <c r="A3" s="44" t="str">
        <f t="shared" ref="A3:A26" si="0">CONCATENATE(BH3,GM3,EV3,GL3)</f>
        <v>Oi Total Fixo + Pós 800 + Banda LargaN1MG</v>
      </c>
      <c r="B3" s="45" t="s">
        <v>215</v>
      </c>
      <c r="C3" s="46" t="s">
        <v>131</v>
      </c>
      <c r="D3" s="46" t="s">
        <v>216</v>
      </c>
      <c r="E3" s="47" t="s">
        <v>217</v>
      </c>
      <c r="F3" s="48" t="s">
        <v>218</v>
      </c>
      <c r="G3" s="49"/>
      <c r="H3" s="49"/>
      <c r="I3" s="49"/>
      <c r="J3" s="49" t="s">
        <v>218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218</v>
      </c>
      <c r="AC3" s="49" t="s">
        <v>218</v>
      </c>
      <c r="AD3" s="49" t="s">
        <v>218</v>
      </c>
      <c r="AE3" s="49" t="s">
        <v>218</v>
      </c>
      <c r="AF3" s="49" t="s">
        <v>218</v>
      </c>
      <c r="AG3" s="49" t="s">
        <v>218</v>
      </c>
      <c r="AH3" s="50"/>
      <c r="AI3" s="49" t="s">
        <v>218</v>
      </c>
      <c r="AJ3" s="49" t="s">
        <v>218</v>
      </c>
      <c r="AK3" s="49" t="s">
        <v>218</v>
      </c>
      <c r="AL3" s="49" t="s">
        <v>218</v>
      </c>
      <c r="AM3" s="49" t="s">
        <v>218</v>
      </c>
      <c r="AN3" s="49" t="s">
        <v>218</v>
      </c>
      <c r="AO3" s="49" t="s">
        <v>218</v>
      </c>
      <c r="AP3" s="49"/>
      <c r="AQ3" s="51"/>
      <c r="AR3" s="52" t="s">
        <v>219</v>
      </c>
      <c r="AS3" s="46" t="s">
        <v>220</v>
      </c>
      <c r="AT3" s="53" t="s">
        <v>221</v>
      </c>
      <c r="AU3" s="54">
        <v>42972</v>
      </c>
      <c r="AV3" s="55">
        <v>43038</v>
      </c>
      <c r="AW3" s="56" t="s">
        <v>222</v>
      </c>
      <c r="AX3" s="57" t="s">
        <v>222</v>
      </c>
      <c r="AY3" s="58"/>
      <c r="AZ3" s="58" t="s">
        <v>223</v>
      </c>
      <c r="BA3" s="58">
        <v>20</v>
      </c>
      <c r="BB3" s="58">
        <v>10000</v>
      </c>
      <c r="BC3" s="59" t="s">
        <v>224</v>
      </c>
      <c r="BD3" s="60" t="s">
        <v>225</v>
      </c>
      <c r="BE3" s="58" t="s">
        <v>217</v>
      </c>
      <c r="BF3" s="51" t="s">
        <v>217</v>
      </c>
      <c r="BG3" s="45" t="s">
        <v>219</v>
      </c>
      <c r="BH3" s="61" t="s">
        <v>226</v>
      </c>
      <c r="BI3" s="62" t="str">
        <f>IF(ISERROR(VLOOKUP(BH3,[6]PLANOS!B:C,2,0)),"",VLOOKUP(BH3,[6]PLANOS!B:C,2,0))</f>
        <v>PCS-4P6pi</v>
      </c>
      <c r="BJ3" s="63">
        <v>50.1</v>
      </c>
      <c r="BK3" s="64">
        <f>IF(BJ3=0,"",IF(BJ3=VLOOKUP("FIXO",[6]ARBOR!$A:$C,3,0),0.0001,IF(BJ3&gt;VLOOKUP("FIXO",[6]ARBOR!$A:$C,3,0),"Maior que CAP!",IF((DOLLAR(BJ3+(VLOOKUP("FIXO",[6]ARBOR!$A:$C,3,0)*-TRUNC(BJ3/VLOOKUP("FIXO",[6]ARBOR!$A:$C,3,0)-1,4)),6))&lt;&gt;(DOLLAR(VLOOKUP("FIXO",[6]ARBOR!$A:$C,3,0),6)),-TRUNC(BJ3/VLOOKUP("FIXO",[6]ARBOR!$A:$C,3,0)-1,4)+0.0001,-TRUNC(BJ3/VLOOKUP("FIXO",[6]ARBOR!$A:$C,3,0)-1,4)))))</f>
        <v>0.33939999999999998</v>
      </c>
      <c r="BL3" s="65" t="str">
        <f>IF(ISERROR(IF(BK3="","",VLOOKUP(($BH3&amp;BK3&amp;"Template de desconto FLAT bundle - Fixo - Varejo - Ganho Tributário Cross"),[6]BENEFICIOS!$A:$E,5,0))),"Criar",IF(BK3="","",VLOOKUP(($BH3&amp;BK3&amp;"Template de desconto FLAT bundle - Fixo - Varejo - Ganho Tributário Cross"),[6]BENEFICIOS!$A:$E,5,0)))</f>
        <v>MKT-1-9856472058</v>
      </c>
      <c r="BM3" s="66"/>
      <c r="BN3" s="67"/>
      <c r="BO3" s="68" t="s">
        <v>165</v>
      </c>
      <c r="BP3" s="69">
        <v>44.9</v>
      </c>
      <c r="BQ3" s="64">
        <f>IF(BP3=0,"",IF(BP3=VLOOKUP("PCS-30874g",[6]ARBOR!$A:$C,3,0),0.0001,IF(BP3&gt;VLOOKUP("PCS-30874g",[6]ARBOR!$A:$C,3,0),"Maior que CAP!",IF((DOLLAR(BP3+(VLOOKUP("PCS-30874g",[6]ARBOR!$A:$C,3,0)*-TRUNC(BP3/VLOOKUP("PCS-30874g",[6]ARBOR!$A:$C,3,0)-1,4)),6))&lt;&gt;(DOLLAR(VLOOKUP("PCS-30874g",[6]ARBOR!$A:$C,3,0),6)),-TRUNC(BP3/VLOOKUP("PCS-30874g",[6]ARBOR!$A:$C,3,0)-1,4)+0.0001,-TRUNC(BP3/VLOOKUP("PCS-30874g",[6]ARBOR!$A:$C,3,0)-1,4)))))</f>
        <v>0.53679999999999994</v>
      </c>
      <c r="BR3" s="65" t="str">
        <f>IF(ISERROR(IF(BQ3="","",VLOOKUP(($BH3&amp;BQ3&amp;"Template de desconto FLAT bundle - Velox XDSL - Varejo"),[6]BENEFICIOS!$A:$E,5,0))),"Criar",IF(BQ3="","",VLOOKUP(($BH3&amp;BQ3&amp;"Template de desconto FLAT bundle - Velox XDSL - Varejo"),[6]BENEFICIOS!$A:$E,5,0)))</f>
        <v>MKT-1-9865126733</v>
      </c>
      <c r="BS3" s="68" t="s">
        <v>165</v>
      </c>
      <c r="BT3" s="69">
        <v>44.9</v>
      </c>
      <c r="BU3" s="64">
        <f>IF(BT3=0,"",IF(BT3=VLOOKUP("PCS-30577g",[6]ARBOR!$A:$C,3,0),0.0001,IF(BT3&gt;VLOOKUP("PCS-30577g",[6]ARBOR!$A:$C,3,0),"Maior que CAP!",IF((DOLLAR(BT3+(VLOOKUP("PCS-30577g",[6]ARBOR!$A:$C,3,0)*-TRUNC(BT3/VLOOKUP("PCS-30577g",[6]ARBOR!$A:$C,3,0)-1,4)),6))&lt;&gt;(DOLLAR(VLOOKUP("PCS-30577g",[6]ARBOR!$A:$C,3,0),6)),-TRUNC(BT3/VLOOKUP("PCS-30577g",[6]ARBOR!$A:$C,3,0)-1,4)+0.0001,-TRUNC(BT3/VLOOKUP("PCS-30577g",[6]ARBOR!$A:$C,3,0)-1,4)))))</f>
        <v>0.53679999999999994</v>
      </c>
      <c r="BV3" s="65" t="str">
        <f>IF(ISERROR(IF(BU3="","",VLOOKUP(($BH3&amp;BU3&amp;"Template de desconto FLAT bundle - Velox XDSL - Varejo"),[6]BENEFICIOS!$A:$E,5,0))),"Criar",IF(BU3="","",VLOOKUP(($BH3&amp;BU3&amp;"Template de desconto FLAT bundle - Velox XDSL - Varejo"),[6]BENEFICIOS!$A:$E,5,0)))</f>
        <v>MKT-1-9865126733</v>
      </c>
      <c r="BW3" s="68" t="s">
        <v>165</v>
      </c>
      <c r="BX3" s="69">
        <v>44.9</v>
      </c>
      <c r="BY3" s="64">
        <f>IF(BX3=0,"",IF(BX3=VLOOKUP("PCS-30604g",[6]ARBOR!$A:$C,3,0),0.0001,IF(BX3&gt;VLOOKUP("PCS-30604g",[6]ARBOR!$A:$C,3,0),"Maior que CAP!",IF((DOLLAR(BX3+(VLOOKUP("PCS-30604g",[6]ARBOR!$A:$C,3,0)*-TRUNC(BX3/VLOOKUP("PCS-30604g",[6]ARBOR!$A:$C,3,0)-1,4)),6))&lt;&gt;(DOLLAR(VLOOKUP("PCS-30604g",[6]ARBOR!$A:$C,3,0),6)),-TRUNC(BX3/VLOOKUP("PCS-30604g",[6]ARBOR!$A:$C,3,0)-1,4)+0.0001,-TRUNC(BX3/VLOOKUP("PCS-30604g",[6]ARBOR!$A:$C,3,0)-1,4)))))</f>
        <v>0.53679999999999994</v>
      </c>
      <c r="BZ3" s="65" t="str">
        <f>IF(ISERROR(IF(BY3="","",VLOOKUP(($BH3&amp;BY3&amp;"Template de desconto FLAT bundle - Velox XDSL - Varejo"),[6]BENEFICIOS!$A:$E,5,0))),"Criar",IF(BY3="","",VLOOKUP(($BH3&amp;BY3&amp;"Template de desconto FLAT bundle - Velox XDSL - Varejo"),[6]BENEFICIOS!$A:$E,5,0)))</f>
        <v>MKT-1-9865126733</v>
      </c>
      <c r="CA3" s="68" t="s">
        <v>165</v>
      </c>
      <c r="CB3" s="69">
        <v>44.9</v>
      </c>
      <c r="CC3" s="64">
        <f>IF(CB3=0,"",IF(CB3=VLOOKUP("PCS-30631g",[6]ARBOR!$A:$C,3,0),0.0001,IF(CB3&gt;VLOOKUP("PCS-30631g",[6]ARBOR!$A:$C,3,0),"Maior que CAP!",IF((DOLLAR(CB3+(VLOOKUP("PCS-30631g",[6]ARBOR!$A:$C,3,0)*-TRUNC(CB3/VLOOKUP("PCS-30631g",[6]ARBOR!$A:$C,3,0)-1,4)),6))&lt;&gt;(DOLLAR(VLOOKUP("PCS-30631g",[6]ARBOR!$A:$C,3,0),6)),-TRUNC(CB3/VLOOKUP("PCS-30631g",[6]ARBOR!$A:$C,3,0)-1,4)+0.0001,-TRUNC(CB3/VLOOKUP("PCS-30631g",[6]ARBOR!$A:$C,3,0)-1,4)))))</f>
        <v>0.54310000000000003</v>
      </c>
      <c r="CD3" s="65" t="str">
        <f>IF(ISERROR(IF(CC3="","",VLOOKUP(($BH3&amp;CC3&amp;"Template de desconto FLAT bundle - Velox XDSL - Varejo"),[6]BENEFICIOS!$A:$E,5,0))),"Criar",IF(CC3="","",VLOOKUP(($BH3&amp;CC3&amp;"Template de desconto FLAT bundle - Velox XDSL - Varejo"),[6]BENEFICIOS!$A:$E,5,0)))</f>
        <v>MKT-1-9865126826</v>
      </c>
      <c r="CE3" s="68"/>
      <c r="CF3" s="69"/>
      <c r="CG3" s="64" t="str">
        <f>IF(CF3=0,"",IF(CF3=VLOOKUP("PCS-30658g",[6]ARBOR!$A:$C,3,0),0.0001,IF(CF3&gt;VLOOKUP("PCS-30658g",[6]ARBOR!$A:$C,3,0),"Maior que CAP!",IF((DOLLAR(CF3+(VLOOKUP("PCS-30658g",[6]ARBOR!$A:$C,3,0)*-TRUNC(CF3/VLOOKUP("PCS-30658g",[6]ARBOR!$A:$C,3,0)-1,4)),6))&lt;&gt;(DOLLAR(VLOOKUP("PCS-30658g",[6]ARBOR!$A:$C,3,0),6)),-TRUNC(CF3/VLOOKUP("PCS-30658g",[6]ARBOR!$A:$C,3,0)-1,4)+0.0001,-TRUNC(CF3/VLOOKUP("PCS-30658g",[6]ARBOR!$A:$C,3,0)-1,4)))))</f>
        <v/>
      </c>
      <c r="CH3" s="65" t="str">
        <f>IF(ISERROR(IF(CG3="","",VLOOKUP(($BH3&amp;CG3&amp;"Template de desconto FLAT bundle - Velox XDSL - Varejo"),[6]BENEFICIOS!$A:$E,5,0))),"Criar",IF(CG3="","",VLOOKUP(($BH3&amp;CG3&amp;"Template de desconto FLAT bundle - Velox XDSL - Varejo"),[6]BENEFICIOS!$A:$E,5,0)))</f>
        <v/>
      </c>
      <c r="CI3" s="68"/>
      <c r="CJ3" s="69"/>
      <c r="CK3" s="64" t="str">
        <f>IF(CJ3=0,"",IF(CJ3=VLOOKUP("PCS-30685g",[6]ARBOR!$A:$C,3,0),0.0001,IF(CJ3&gt;VLOOKUP("PCS-30685g",[6]ARBOR!$A:$C,3,0),"Maior que CAP!",IF((DOLLAR(CJ3+(VLOOKUP("PCS-30685g",[6]ARBOR!$A:$C,3,0)*-TRUNC(CJ3/VLOOKUP("PCS-30685g",[6]ARBOR!$A:$C,3,0)-1,4)),6))&lt;&gt;(DOLLAR(VLOOKUP("PCS-30685g",[6]ARBOR!$A:$C,3,0),6)),-TRUNC(CJ3/VLOOKUP("PCS-30685g",[6]ARBOR!$A:$C,3,0)-1,4)+0.0001,-TRUNC(CJ3/VLOOKUP("PCS-30685g",[6]ARBOR!$A:$C,3,0)-1,4)))))</f>
        <v/>
      </c>
      <c r="CL3" s="65" t="str">
        <f>IF(ISERROR(IF(CK3="","",VLOOKUP(($BH3&amp;CK3&amp;"Template de desconto FLAT bundle - Velox XDSL - Varejo"),[6]BENEFICIOS!$A:$E,5,0))),"Criar",IF(CK3="","",VLOOKUP(($BH3&amp;CK3&amp;"Template de desconto FLAT bundle - Velox XDSL - Varejo"),[6]BENEFICIOS!$A:$E,5,0)))</f>
        <v/>
      </c>
      <c r="CM3" s="68"/>
      <c r="CN3" s="69"/>
      <c r="CO3" s="64" t="str">
        <f>IF(CN3=0,"",IF(CN3=VLOOKUP("PCS-30712g",[6]ARBOR!$A:$C,3,0),0.0001,IF(CN3&gt;VLOOKUP("PCS-30712g",[6]ARBOR!$A:$C,3,0),"Maior que CAP!",IF((DOLLAR(CN3+(VLOOKUP("PCS-30712g",[6]ARBOR!$A:$C,3,0)*-TRUNC(CN3/VLOOKUP("PCS-30712g",[6]ARBOR!$A:$C,3,0)-1,4)),6))&lt;&gt;(DOLLAR(VLOOKUP("PCS-30712g",[6]ARBOR!$A:$C,3,0),6)),-TRUNC(CN3/VLOOKUP("PCS-30712g",[6]ARBOR!$A:$C,3,0)-1,4)+0.0001,-TRUNC(CN3/VLOOKUP("PCS-30712g",[6]ARBOR!$A:$C,3,0)-1,4)))))</f>
        <v/>
      </c>
      <c r="CP3" s="65" t="str">
        <f>IF(ISERROR(IF(CO3="","",VLOOKUP(($BH3&amp;CO3&amp;"Template de desconto FLAT bundle - Velox XDSL - Varejo"),[6]BENEFICIOS!$A:$E,5,0))),"Criar",IF(CO3="","",VLOOKUP(($BH3&amp;CO3&amp;"Template de desconto FLAT bundle - Velox XDSL - Varejo"),[6]BENEFICIOS!$A:$E,5,0)))</f>
        <v/>
      </c>
      <c r="CQ3" s="68"/>
      <c r="CR3" s="69"/>
      <c r="CS3" s="64" t="str">
        <f>IF(CR3=0,"",IF(CR3=VLOOKUP("PCS-30739g",[6]ARBOR!$A:$C,3,0),0.0001,IF(CR3&gt;VLOOKUP("PCS-30739g",[6]ARBOR!$A:$C,3,0),"Maior que CAP!",IF((DOLLAR(CR3+(VLOOKUP("PCS-30739g",[6]ARBOR!$A:$C,3,0)*-TRUNC(CR3/VLOOKUP("PCS-30739g",[6]ARBOR!$A:$C,3,0)-1,4)),6))&lt;&gt;(DOLLAR(VLOOKUP("PCS-30739g",[6]ARBOR!$A:$C,3,0),6)),-TRUNC(CR3/VLOOKUP("PCS-30739g",[6]ARBOR!$A:$C,3,0)-1,4)+0.0001,-TRUNC(CR3/VLOOKUP("PCS-30739g",[6]ARBOR!$A:$C,3,0)-1,4)))))</f>
        <v/>
      </c>
      <c r="CT3" s="65" t="str">
        <f>IF(ISERROR(IF(CS3="","",VLOOKUP(($BH3&amp;CS3&amp;"Template de desconto FLAT bundle - Velox XDSL - Varejo"),[6]BENEFICIOS!$A:$E,5,0))),"Criar",IF(CS3="","",VLOOKUP(($BH3&amp;CS3&amp;"Template de desconto FLAT bundle - Velox XDSL - Varejo"),[6]BENEFICIOS!$A:$E,5,0)))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IF(CZ3=0,"",IF(CZ3=VLOOKUP("PCS-30766g",[6]ARBOR!$A:$C,3,0),0.0001,IF(CZ3&gt;VLOOKUP("PCS-30766g",[6]ARBOR!$A:$C,3,0),"Maior que CAP!",IF((DOLLAR(CZ3+(VLOOKUP("PCS-30766g",[6]ARBOR!$A:$C,3,0)*-TRUNC(CZ3/VLOOKUP("PCS-30766g",[6]ARBOR!$A:$C,3,0)-1,4)),6))&lt;&gt;(DOLLAR(VLOOKUP("PCS-30766g",[6]ARBOR!$A:$C,3,0),6)),-TRUNC(CZ3/VLOOKUP("PCS-30766g",[6]ARBOR!$A:$C,3,0)-1,4)+0.0001,-TRUNC(CZ3/VLOOKUP("PCS-30766g",[6]ARBOR!$A:$C,3,0)-1,4)))))</f>
        <v/>
      </c>
      <c r="DB3" s="65" t="str">
        <f>IF(ISERROR(IF(DA3="","",VLOOKUP(($BH3&amp;DA3&amp;"Template de desconto FLAT bundle - Velox XDSL - Varejo"),[6]BENEFICIOS!$A:$E,5,0))),"Criar",IF(DA3="","",VLOOKUP(($BH3&amp;DA3&amp;"Template de desconto FLAT bundle - Velox XDSL - Varejo"),[6]BENEFICIOS!$A:$E,5,0)))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IF(DH3=0,"",IF(DH3=VLOOKUP("PCS-30793g",[6]ARBOR!$A:$C,3,0),0.0001,IF(DH3&gt;VLOOKUP("PCS-30793g",[6]ARBOR!$A:$C,3,0),"Maior que CAP!",IF((DOLLAR(DH3+(VLOOKUP("PCS-30793g",[6]ARBOR!$A:$C,3,0)*-TRUNC(DH3/VLOOKUP("PCS-30793g",[6]ARBOR!$A:$C,3,0)-1,4)),6))&lt;&gt;(DOLLAR(VLOOKUP("PCS-30793g",[6]ARBOR!$A:$C,3,0),6)),-TRUNC(DH3/VLOOKUP("PCS-30793g",[6]ARBOR!$A:$C,3,0)-1,4)+0.0001,-TRUNC(DH3/VLOOKUP("PCS-30793g",[6]ARBOR!$A:$C,3,0)-1,4)))))</f>
        <v/>
      </c>
      <c r="DJ3" s="65" t="str">
        <f>IF(ISERROR(IF(DI3="","",VLOOKUP(($BH3&amp;DI3&amp;"Template de desconto FLAT bundle - Velox XDSL - Varejo"),[6]BENEFICIOS!$A:$E,5,0))),"Criar",IF(DI3="","",VLOOKUP(($BH3&amp;DI3&amp;"Template de desconto FLAT bundle - Velox XDSL - Varejo"),[6]BENEFICIOS!$A:$E,5,0)))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IF(DP3=0,"",IF(DP3=VLOOKUP("PCS-30820g",[6]ARBOR!$A:$C,3,0),0.0001,IF(DP3&gt;VLOOKUP("PCS-30820g",[6]ARBOR!$A:$C,3,0),"Maior que CAP!",IF((DOLLAR(DP3+(VLOOKUP("PCS-30820g",[6]ARBOR!$A:$C,3,0)*-TRUNC(DP3/VLOOKUP("PCS-30820g",[6]ARBOR!$A:$C,3,0)-1,4)),6))&lt;&gt;(DOLLAR(VLOOKUP("PCS-30820g",[6]ARBOR!$A:$C,3,0),6)),-TRUNC(DP3/VLOOKUP("PCS-30820g",[6]ARBOR!$A:$C,3,0)-1,4)+0.0001,-TRUNC(DP3/VLOOKUP("PCS-30820g",[6]ARBOR!$A:$C,3,0)-1,4)))))</f>
        <v/>
      </c>
      <c r="DR3" s="65" t="str">
        <f>IF(ISERROR(IF(DQ3="","",VLOOKUP(($BH3&amp;DQ3&amp;"Template de desconto FLAT bundle - Velox XDSL - Varejo"),[6]BENEFICIOS!$A:$E,5,0))),"Criar",IF(DQ3="","",VLOOKUP(($BH3&amp;DQ3&amp;"Template de desconto FLAT bundle - Velox XDSL - Varejo"),[6]BENEFICIOS!$A:$E,5,0)))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IF(DW3=0,"",IF(DW3=VLOOKUP("PCS-21448p2",[6]ARBOR!$A:$C,3,0),0.0001,IF(DW3&gt;VLOOKUP("PCS-21448p2",[6]ARBOR!$A:$C,3,0),"Maior que CAP!",IF((DOLLAR(DW3+(VLOOKUP("PCS-21448p2",[6]ARBOR!$A:$C,3,0)*-TRUNC(DW3/VLOOKUP("PCS-21448p2",[6]ARBOR!$A:$C,3,0)-1,4)),6))&lt;&gt;(DOLLAR(VLOOKUP("PCS-21448p2",[6]ARBOR!$A:$C,3,0),6)),-TRUNC(DW3/VLOOKUP("PCS-21448p2",[6]ARBOR!$A:$C,3,0)-1,4)+0.0001,-TRUNC(DW3/VLOOKUP("PCS-21448p2",[6]ARBOR!$A:$C,3,0)-1,4)))))</f>
        <v>0.64900000000000002</v>
      </c>
      <c r="DY3" s="65" t="str">
        <f>IF(ISERROR(IF(DX3="","",VLOOKUP(("Oi Conta Total Plug 10GB Downgrade"&amp;DX3&amp;"Template de desconto percentual BL Móvel - Internet Total - Varejo"),[6]BENEFICIOS!$A:$E,5,0))),"Criar",IF(DX3="","",VLOOKUP(("Oi Conta Total Plug 10GB Downgrade"&amp;DX3&amp;"Template de desconto percentual BL Móvel - Internet Total - Varejo"),[6]BENEFICIOS!$A:$E,5,0)))</f>
        <v>MKT-1-9825544790</v>
      </c>
      <c r="DZ3" s="71">
        <v>16.5</v>
      </c>
      <c r="EA3" s="72">
        <f>IF(DZ3=0,"",IF(DZ3=VLOOKUP("SVA",[6]ARBOR!$A:$C,3,0),0.0001,IF(DZ3&gt;VLOOKUP("SVA",[6]ARBOR!$A:$C,3,0),"Maior que CAP!",IF((DOLLAR(DZ3+(VLOOKUP("SVA",[6]ARBOR!$A:$C,3,0)*-TRUNC(DZ3/VLOOKUP("SVA",[6]ARBOR!$A:$C,3,0)-1,4)),6))&lt;&gt;(DOLLAR(VLOOKUP("SVA",[6]ARBOR!$A:$C,3,0),6)),-TRUNC(DZ3/VLOOKUP("SVA",[6]ARBOR!$A:$C,3,0)-1,4)+0.0001,-TRUNC(DZ3/VLOOKUP("SVA",[6]ARBOR!$A:$C,3,0)-1,4)))))</f>
        <v>0.2301</v>
      </c>
      <c r="EB3" s="65" t="s">
        <v>227</v>
      </c>
      <c r="EC3" s="69"/>
      <c r="ED3" s="73"/>
      <c r="EE3" s="74"/>
      <c r="EF3" s="65"/>
      <c r="EG3" s="75">
        <f>IF(BI3="","",VLOOKUP(BI3,[6]ARBOR!A:C,3,0))</f>
        <v>479.46</v>
      </c>
      <c r="EH3" s="69">
        <v>15</v>
      </c>
      <c r="EI3" s="76">
        <f>IF(EH3="","",1-(EH3/VLOOKUP(BI3&amp;"ASS",[6]ARBOR!A:C,3,0)))</f>
        <v>0.34725848563968664</v>
      </c>
      <c r="EJ3" s="77" t="s">
        <v>228</v>
      </c>
      <c r="EK3" s="78" t="s">
        <v>229</v>
      </c>
      <c r="EL3" s="69">
        <v>145.9</v>
      </c>
      <c r="EM3" s="64">
        <f>ROUND(IF(EL3=0,"",IF(EL3=EG3,0.0001,1-((EL3+(VLOOKUP(BI3&amp;"ASS",[6]ARBOR!A:C,3,0)-EH3))/EG3))),4)</f>
        <v>0.67910000000000004</v>
      </c>
      <c r="EN3" s="65" t="str">
        <f>IF(ISERROR(IF(EM3="","",VLOOKUP(($BH3&amp;EM3&amp;"Template de desconto percentual FLAT Móvel - Conta Total - Varejo - Ganho Tributário Cross"),[6]BENEFICIOS!$A:$E,5,0))),"Criar",IF(EM3="","",VLOOKUP(($BH3&amp;EM3&amp;"Template de desconto percentual FLAT Móvel - Conta Total - Varejo - Ganho Tributário Cross"),[6]BENEFICIOS!$A:$E,5,0)))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IF(FC3=0,"",IF(FC3=VLOOKUP("PCS-10357",[6]ARBOR!$A:$C,3,0),0.0001,IF(FC3&gt;VLOOKUP("PCS-10357",[6]ARBOR!$A:$C,3,0),"Maior que CAP!",ROUND(-1*(FC3/VLOOKUP("PCS-10357",[6]ARBOR!$A:$C,3,0)-1),4))))</f>
        <v/>
      </c>
      <c r="FE3" s="84" t="str">
        <f>IF(ISERROR(IF(FD3="","",VLOOKUP(("Oi Internet Pra Celular 1GB"&amp;FD3&amp;"Template Flat Instância Dados"),[6]BENEFICIOS!$A:$E,5,0))),"Criar",IF(FD3="","",VLOOKUP(("Oi Internet Pra Celular 1GB"&amp;FD3&amp;"Template Flat Instância Dados"),[6]BENEFICIOS!$A:$E,5,0)))</f>
        <v/>
      </c>
      <c r="FF3" s="82"/>
      <c r="FG3" s="83" t="str">
        <f>IF(FF3=0,"",IF(FF3=VLOOKUP("PCS-813565",[6]ARBOR!$A:$C,3,0),0.0001,IF(FF3&gt;VLOOKUP("PCS-813565",[6]ARBOR!$A:$C,3,0),"Maior que CAP!",ROUND(-1*(FF3/VLOOKUP("PCS-813565",[6]ARBOR!$A:$C,3,0)-1),4))))</f>
        <v/>
      </c>
      <c r="FH3" s="84" t="str">
        <f>IF(ISERROR(IF(FG3="","",VLOOKUP(("Oi Internet Pra Celular 2GB"&amp;FG3&amp;"Template Flat Instância Dados"),[6]BENEFICIOS!$A:$E,5,0))),"Criar",IF(FG3="","",VLOOKUP(("Oi Internet Pra Celular 2GB"&amp;FG3&amp;"Template Flat Instância Dados"),[6]BENEFICIOS!$A:$E,5,0)))</f>
        <v/>
      </c>
      <c r="FI3" s="82"/>
      <c r="FJ3" s="83" t="str">
        <f>IF(FI3=0,"",IF(FI3=VLOOKUP("PCS-7171B",[6]ARBOR!$A:$C,3,0),0.0001,IF(FI3&gt;VLOOKUP("PCS-7171B",[6]ARBOR!$A:$C,3,0),"Maior que CAP!",ROUND(-1*(FI3/VLOOKUP("PCS-7171B",[6]ARBOR!$A:$C,3,0)-1),4))))</f>
        <v/>
      </c>
      <c r="FK3" s="84" t="str">
        <f>IF(ISERROR(IF(FJ3="","",VLOOKUP(("Oi Internet Pra Celular 3GB"&amp;FJ3&amp;"Template Flat Instância Dados"),[6]BENEFICIOS!$A:$E,5,0))),"Criar",IF(FJ3="","",VLOOKUP(("Oi Internet Pra Celular 3GB"&amp;FJ3&amp;"Template Flat Instância Dados"),[6]BENEFICIOS!$A:$E,5,0)))</f>
        <v/>
      </c>
      <c r="FL3" s="82"/>
      <c r="FM3" s="83" t="str">
        <f>IF(FL3=0,"",IF(FL3=VLOOKUP("PCS-51793o08",[6]ARBOR!$A:$C,3,0),0.0001,IF(FL3&gt;VLOOKUP("PCS-51793o08",[6]ARBOR!$A:$C,3,0),"Maior que CAP!",ROUND(-1*(FL3/VLOOKUP("PCS-51793o08",[6]ARBOR!$A:$C,3,0)-1),4))))</f>
        <v/>
      </c>
      <c r="FN3" s="84" t="str">
        <f>IF(ISERROR(IF(FM3="","",VLOOKUP(("Oi Internet Pra Celular 5GB"&amp;FM3&amp;"Template Flat Instância Dados"),[6]BENEFICIOS!$A:$E,5,0))),"Criar",IF(FM3="","",VLOOKUP(("Oi Internet Pra Celular 5GB"&amp;FM3&amp;"Template Flat Instância Dados"),[6]BENEFICIOS!$A:$E,5,0)))</f>
        <v/>
      </c>
      <c r="FO3" s="82"/>
      <c r="FP3" s="83" t="str">
        <f>IF(FO3=0,"",IF(FO3=VLOOKUP("PCS-7171A",[6]ARBOR!$A:$C,3,0),0.0001,IF(FO3&gt;VLOOKUP("PCS-7171A",[6]ARBOR!$A:$C,3,0),"Maior que CAP!",ROUND(-1*(FO3/VLOOKUP("PCS-7171A",[6]ARBOR!$A:$C,3,0)-1),4))))</f>
        <v/>
      </c>
      <c r="FQ3" s="84" t="str">
        <f>IF(ISERROR(IF(FP3="","",VLOOKUP(("Oi Internet Pra Celular 10GB"&amp;FP3&amp;"Template Flat Instância Dados"),[6]BENEFICIOS!$A:$E,5,0))),"Criar",IF(FP3="","",VLOOKUP(("Oi Internet Pra Celular 10GB"&amp;FP3&amp;"Template Flat Instância Dados"),[6]BENEFICIOS!$A:$E,5,0)))</f>
        <v/>
      </c>
      <c r="FR3" s="85"/>
      <c r="FS3" s="86"/>
      <c r="FT3" s="48"/>
      <c r="FU3" s="87"/>
      <c r="FV3" s="88" t="s">
        <v>225</v>
      </c>
      <c r="FW3" s="49" t="s">
        <v>230</v>
      </c>
      <c r="FX3" s="89">
        <v>999</v>
      </c>
      <c r="FY3" s="49">
        <v>12</v>
      </c>
      <c r="FZ3" s="90" t="s">
        <v>231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232</v>
      </c>
      <c r="GD3" s="90" t="s">
        <v>233</v>
      </c>
      <c r="GE3" s="92" t="s">
        <v>234</v>
      </c>
      <c r="GF3" s="93" t="s">
        <v>235</v>
      </c>
      <c r="GG3" s="90" t="s">
        <v>236</v>
      </c>
      <c r="GH3" s="92" t="s">
        <v>237</v>
      </c>
      <c r="GI3" s="94" t="s">
        <v>238</v>
      </c>
      <c r="GJ3" s="95">
        <f>FC3+EL3+DW3+BJ3</f>
        <v>240.9</v>
      </c>
      <c r="GK3" s="96"/>
      <c r="GL3" s="97" t="s">
        <v>239</v>
      </c>
      <c r="GM3" s="98" t="s">
        <v>240</v>
      </c>
      <c r="GN3" s="97">
        <f>VLOOKUP($A3,'[6]TABELA COM TUDO'!$A:$AB,25,0)</f>
        <v>0</v>
      </c>
      <c r="GO3" s="99">
        <f>VLOOKUP($A3,'[6]TABELA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241</v>
      </c>
      <c r="GX3" s="44" t="s">
        <v>242</v>
      </c>
    </row>
    <row r="4" spans="1:206" s="44" customFormat="1" x14ac:dyDescent="0.25">
      <c r="A4" s="44" t="str">
        <f t="shared" si="0"/>
        <v>Oi Total Fixo + Pós 800 + Banda LargaN1MG</v>
      </c>
      <c r="B4" s="45" t="s">
        <v>215</v>
      </c>
      <c r="C4" s="46" t="s">
        <v>131</v>
      </c>
      <c r="D4" s="46" t="s">
        <v>216</v>
      </c>
      <c r="E4" s="47" t="s">
        <v>217</v>
      </c>
      <c r="F4" s="48" t="s">
        <v>218</v>
      </c>
      <c r="G4" s="49"/>
      <c r="H4" s="49"/>
      <c r="I4" s="49"/>
      <c r="J4" s="49" t="s">
        <v>218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218</v>
      </c>
      <c r="AC4" s="49" t="s">
        <v>218</v>
      </c>
      <c r="AD4" s="49" t="s">
        <v>218</v>
      </c>
      <c r="AE4" s="49" t="s">
        <v>218</v>
      </c>
      <c r="AF4" s="49" t="s">
        <v>218</v>
      </c>
      <c r="AG4" s="49" t="s">
        <v>218</v>
      </c>
      <c r="AH4" s="50"/>
      <c r="AI4" s="49" t="s">
        <v>218</v>
      </c>
      <c r="AJ4" s="49" t="s">
        <v>218</v>
      </c>
      <c r="AK4" s="49" t="s">
        <v>218</v>
      </c>
      <c r="AL4" s="49" t="s">
        <v>218</v>
      </c>
      <c r="AM4" s="49" t="s">
        <v>218</v>
      </c>
      <c r="AN4" s="49" t="s">
        <v>218</v>
      </c>
      <c r="AO4" s="49" t="s">
        <v>218</v>
      </c>
      <c r="AP4" s="49"/>
      <c r="AQ4" s="51"/>
      <c r="AR4" s="52" t="s">
        <v>243</v>
      </c>
      <c r="AS4" s="46" t="s">
        <v>220</v>
      </c>
      <c r="AT4" s="53" t="s">
        <v>221</v>
      </c>
      <c r="AU4" s="54">
        <v>42972</v>
      </c>
      <c r="AV4" s="55">
        <v>43038</v>
      </c>
      <c r="AW4" s="56" t="s">
        <v>222</v>
      </c>
      <c r="AX4" s="57" t="s">
        <v>222</v>
      </c>
      <c r="AY4" s="58"/>
      <c r="AZ4" s="58" t="s">
        <v>223</v>
      </c>
      <c r="BA4" s="58">
        <v>20</v>
      </c>
      <c r="BB4" s="58">
        <v>10000</v>
      </c>
      <c r="BC4" s="59" t="s">
        <v>224</v>
      </c>
      <c r="BD4" s="60" t="s">
        <v>225</v>
      </c>
      <c r="BE4" s="58" t="s">
        <v>217</v>
      </c>
      <c r="BF4" s="51" t="s">
        <v>217</v>
      </c>
      <c r="BG4" s="45" t="s">
        <v>243</v>
      </c>
      <c r="BH4" s="61" t="s">
        <v>226</v>
      </c>
      <c r="BI4" s="62" t="str">
        <f>IF(ISERROR(VLOOKUP(BH4,[6]PLANOS!B:C,2,0)),"",VLOOKUP(BH4,[6]PLANOS!B:C,2,0))</f>
        <v>PCS-4P6pi</v>
      </c>
      <c r="BJ4" s="63">
        <v>50.1</v>
      </c>
      <c r="BK4" s="64">
        <f>IF(BJ4=0,"",IF(BJ4=VLOOKUP("FIXO",[6]ARBOR!$A:$C,3,0),0.0001,IF(BJ4&gt;VLOOKUP("FIXO",[6]ARBOR!$A:$C,3,0),"Maior que CAP!",IF((DOLLAR(BJ4+(VLOOKUP("FIXO",[6]ARBOR!$A:$C,3,0)*-TRUNC(BJ4/VLOOKUP("FIXO",[6]ARBOR!$A:$C,3,0)-1,4)),6))&lt;&gt;(DOLLAR(VLOOKUP("FIXO",[6]ARBOR!$A:$C,3,0),6)),-TRUNC(BJ4/VLOOKUP("FIXO",[6]ARBOR!$A:$C,3,0)-1,4)+0.0001,-TRUNC(BJ4/VLOOKUP("FIXO",[6]ARBOR!$A:$C,3,0)-1,4)))))</f>
        <v>0.33939999999999998</v>
      </c>
      <c r="BL4" s="65" t="str">
        <f>IF(ISERROR(IF(BK4="","",VLOOKUP(($BH4&amp;BK4&amp;"Template de desconto FLAT bundle - Fixo - Varejo - Ganho Tributário Cross"),[6]BENEFICIOS!$A:$E,5,0))),"Criar",IF(BK4="","",VLOOKUP(($BH4&amp;BK4&amp;"Template de desconto FLAT bundle - Fixo - Varejo - Ganho Tributário Cross"),[6]BENEFICIOS!$A:$E,5,0)))</f>
        <v>MKT-1-9856472058</v>
      </c>
      <c r="BM4" s="66"/>
      <c r="BN4" s="67"/>
      <c r="BO4" s="104" t="s">
        <v>244</v>
      </c>
      <c r="BP4" s="69">
        <v>44.9</v>
      </c>
      <c r="BQ4" s="64">
        <f>IF(BP4=0,"",IF(BP4=VLOOKUP("PCS-30874g",[6]ARBOR!$A:$C,3,0),0.0001,IF(BP4&gt;VLOOKUP("PCS-30874g",[6]ARBOR!$A:$C,3,0),"Maior que CAP!",IF((DOLLAR(BP4+(VLOOKUP("PCS-30874g",[6]ARBOR!$A:$C,3,0)*-TRUNC(BP4/VLOOKUP("PCS-30874g",[6]ARBOR!$A:$C,3,0)-1,4)),6))&lt;&gt;(DOLLAR(VLOOKUP("PCS-30874g",[6]ARBOR!$A:$C,3,0),6)),-TRUNC(BP4/VLOOKUP("PCS-30874g",[6]ARBOR!$A:$C,3,0)-1,4)+0.0001,-TRUNC(BP4/VLOOKUP("PCS-30874g",[6]ARBOR!$A:$C,3,0)-1,4)))))</f>
        <v>0.53679999999999994</v>
      </c>
      <c r="BR4" s="65" t="str">
        <f>IF(ISERROR(IF(BQ4="","",VLOOKUP(($BH4&amp;BQ4&amp;"Template de desconto FLAT bundle - Velox XDSL - Varejo"),[6]BENEFICIOS!$A:$E,5,0))),"Criar",IF(BQ4="","",VLOOKUP(($BH4&amp;BQ4&amp;"Template de desconto FLAT bundle - Velox XDSL - Varejo"),[6]BENEFICIOS!$A:$E,5,0)))</f>
        <v>MKT-1-9865126733</v>
      </c>
      <c r="BS4" s="104" t="s">
        <v>244</v>
      </c>
      <c r="BT4" s="69">
        <v>44.9</v>
      </c>
      <c r="BU4" s="64">
        <f>IF(BT4=0,"",IF(BT4=VLOOKUP("PCS-30577g",[6]ARBOR!$A:$C,3,0),0.0001,IF(BT4&gt;VLOOKUP("PCS-30577g",[6]ARBOR!$A:$C,3,0),"Maior que CAP!",IF((DOLLAR(BT4+(VLOOKUP("PCS-30577g",[6]ARBOR!$A:$C,3,0)*-TRUNC(BT4/VLOOKUP("PCS-30577g",[6]ARBOR!$A:$C,3,0)-1,4)),6))&lt;&gt;(DOLLAR(VLOOKUP("PCS-30577g",[6]ARBOR!$A:$C,3,0),6)),-TRUNC(BT4/VLOOKUP("PCS-30577g",[6]ARBOR!$A:$C,3,0)-1,4)+0.0001,-TRUNC(BT4/VLOOKUP("PCS-30577g",[6]ARBOR!$A:$C,3,0)-1,4)))))</f>
        <v>0.53679999999999994</v>
      </c>
      <c r="BV4" s="65" t="str">
        <f>IF(ISERROR(IF(BU4="","",VLOOKUP(($BH4&amp;BU4&amp;"Template de desconto FLAT bundle - Velox XDSL - Varejo"),[6]BENEFICIOS!$A:$E,5,0))),"Criar",IF(BU4="","",VLOOKUP(($BH4&amp;BU4&amp;"Template de desconto FLAT bundle - Velox XDSL - Varejo"),[6]BENEFICIOS!$A:$E,5,0)))</f>
        <v>MKT-1-9865126733</v>
      </c>
      <c r="BW4" s="104" t="s">
        <v>244</v>
      </c>
      <c r="BX4" s="69">
        <v>44.9</v>
      </c>
      <c r="BY4" s="64">
        <f>IF(BX4=0,"",IF(BX4=VLOOKUP("PCS-30604g",[6]ARBOR!$A:$C,3,0),0.0001,IF(BX4&gt;VLOOKUP("PCS-30604g",[6]ARBOR!$A:$C,3,0),"Maior que CAP!",IF((DOLLAR(BX4+(VLOOKUP("PCS-30604g",[6]ARBOR!$A:$C,3,0)*-TRUNC(BX4/VLOOKUP("PCS-30604g",[6]ARBOR!$A:$C,3,0)-1,4)),6))&lt;&gt;(DOLLAR(VLOOKUP("PCS-30604g",[6]ARBOR!$A:$C,3,0),6)),-TRUNC(BX4/VLOOKUP("PCS-30604g",[6]ARBOR!$A:$C,3,0)-1,4)+0.0001,-TRUNC(BX4/VLOOKUP("PCS-30604g",[6]ARBOR!$A:$C,3,0)-1,4)))))</f>
        <v>0.53679999999999994</v>
      </c>
      <c r="BZ4" s="65" t="str">
        <f>IF(ISERROR(IF(BY4="","",VLOOKUP(($BH4&amp;BY4&amp;"Template de desconto FLAT bundle - Velox XDSL - Varejo"),[6]BENEFICIOS!$A:$E,5,0))),"Criar",IF(BY4="","",VLOOKUP(($BH4&amp;BY4&amp;"Template de desconto FLAT bundle - Velox XDSL - Varejo"),[6]BENEFICIOS!$A:$E,5,0)))</f>
        <v>MKT-1-9865126733</v>
      </c>
      <c r="CA4" s="104" t="s">
        <v>244</v>
      </c>
      <c r="CB4" s="69">
        <v>44.9</v>
      </c>
      <c r="CC4" s="64">
        <f>IF(CB4=0,"",IF(CB4=VLOOKUP("PCS-30631g",[6]ARBOR!$A:$C,3,0),0.0001,IF(CB4&gt;VLOOKUP("PCS-30631g",[6]ARBOR!$A:$C,3,0),"Maior que CAP!",IF((DOLLAR(CB4+(VLOOKUP("PCS-30631g",[6]ARBOR!$A:$C,3,0)*-TRUNC(CB4/VLOOKUP("PCS-30631g",[6]ARBOR!$A:$C,3,0)-1,4)),6))&lt;&gt;(DOLLAR(VLOOKUP("PCS-30631g",[6]ARBOR!$A:$C,3,0),6)),-TRUNC(CB4/VLOOKUP("PCS-30631g",[6]ARBOR!$A:$C,3,0)-1,4)+0.0001,-TRUNC(CB4/VLOOKUP("PCS-30631g",[6]ARBOR!$A:$C,3,0)-1,4)))))</f>
        <v>0.54310000000000003</v>
      </c>
      <c r="CD4" s="65" t="str">
        <f>IF(ISERROR(IF(CC4="","",VLOOKUP(($BH4&amp;CC4&amp;"Template de desconto FLAT bundle - Velox XDSL - Varejo"),[6]BENEFICIOS!$A:$E,5,0))),"Criar",IF(CC4="","",VLOOKUP(($BH4&amp;CC4&amp;"Template de desconto FLAT bundle - Velox XDSL - Varejo"),[6]BENEFICIOS!$A:$E,5,0)))</f>
        <v>MKT-1-9865126826</v>
      </c>
      <c r="CE4" s="68" t="s">
        <v>165</v>
      </c>
      <c r="CF4" s="69">
        <v>49.9</v>
      </c>
      <c r="CG4" s="64">
        <f>IF(CF4=0,"",IF(CF4=VLOOKUP("PCS-30658g",[6]ARBOR!$A:$C,3,0),0.0001,IF(CF4&gt;VLOOKUP("PCS-30658g",[6]ARBOR!$A:$C,3,0),"Maior que CAP!",IF((DOLLAR(CF4+(VLOOKUP("PCS-30658g",[6]ARBOR!$A:$C,3,0)*-TRUNC(CF4/VLOOKUP("PCS-30658g",[6]ARBOR!$A:$C,3,0)-1,4)),6))&lt;&gt;(DOLLAR(VLOOKUP("PCS-30658g",[6]ARBOR!$A:$C,3,0),6)),-TRUNC(CF4/VLOOKUP("PCS-30658g",[6]ARBOR!$A:$C,3,0)-1,4)+0.0001,-TRUNC(CF4/VLOOKUP("PCS-30658g",[6]ARBOR!$A:$C,3,0)-1,4)))))</f>
        <v>0.55569999999999997</v>
      </c>
      <c r="CH4" s="65" t="str">
        <f>IF(ISERROR(IF(CG4="","",VLOOKUP(($BH4&amp;CG4&amp;"Template de desconto FLAT bundle - Velox XDSL - Varejo"),[6]BENEFICIOS!$A:$E,5,0))),"Criar",IF(CG4="","",VLOOKUP(($BH4&amp;CG4&amp;"Template de desconto FLAT bundle - Velox XDSL - Varejo"),[6]BENEFICIOS!$A:$E,5,0)))</f>
        <v>MKT-1-9865126919</v>
      </c>
      <c r="CI4" s="68" t="s">
        <v>165</v>
      </c>
      <c r="CJ4" s="69">
        <v>49.9</v>
      </c>
      <c r="CK4" s="64">
        <f>IF(CJ4=0,"",IF(CJ4=VLOOKUP("PCS-30685g",[6]ARBOR!$A:$C,3,0),0.0001,IF(CJ4&gt;VLOOKUP("PCS-30685g",[6]ARBOR!$A:$C,3,0),"Maior que CAP!",IF((DOLLAR(CJ4+(VLOOKUP("PCS-30685g",[6]ARBOR!$A:$C,3,0)*-TRUNC(CJ4/VLOOKUP("PCS-30685g",[6]ARBOR!$A:$C,3,0)-1,4)),6))&lt;&gt;(DOLLAR(VLOOKUP("PCS-30685g",[6]ARBOR!$A:$C,3,0),6)),-TRUNC(CJ4/VLOOKUP("PCS-30685g",[6]ARBOR!$A:$C,3,0)-1,4)+0.0001,-TRUNC(CJ4/VLOOKUP("PCS-30685g",[6]ARBOR!$A:$C,3,0)-1,4)))))</f>
        <v>0.60509999999999997</v>
      </c>
      <c r="CL4" s="65" t="str">
        <f>IF(ISERROR(IF(CK4="","",VLOOKUP(($BH4&amp;CK4&amp;"Template de desconto FLAT bundle - Velox XDSL - Varejo"),[6]BENEFICIOS!$A:$E,5,0))),"Criar",IF(CK4="","",VLOOKUP(($BH4&amp;CK4&amp;"Template de desconto FLAT bundle - Velox XDSL - Varejo"),[6]BENEFICIOS!$A:$E,5,0)))</f>
        <v>MKT-1-9865694381</v>
      </c>
      <c r="CM4" s="68" t="s">
        <v>165</v>
      </c>
      <c r="CN4" s="69">
        <v>49.9</v>
      </c>
      <c r="CO4" s="64">
        <f>IF(CN4=0,"",IF(CN4=VLOOKUP("PCS-30712g",[6]ARBOR!$A:$C,3,0),0.0001,IF(CN4&gt;VLOOKUP("PCS-30712g",[6]ARBOR!$A:$C,3,0),"Maior que CAP!",IF((DOLLAR(CN4+(VLOOKUP("PCS-30712g",[6]ARBOR!$A:$C,3,0)*-TRUNC(CN4/VLOOKUP("PCS-30712g",[6]ARBOR!$A:$C,3,0)-1,4)),6))&lt;&gt;(DOLLAR(VLOOKUP("PCS-30712g",[6]ARBOR!$A:$C,3,0),6)),-TRUNC(CN4/VLOOKUP("PCS-30712g",[6]ARBOR!$A:$C,3,0)-1,4)+0.0001,-TRUNC(CN4/VLOOKUP("PCS-30712g",[6]ARBOR!$A:$C,3,0)-1,4)))))</f>
        <v>0.64459999999999995</v>
      </c>
      <c r="CP4" s="65" t="str">
        <f>IF(ISERROR(IF(CO4="","",VLOOKUP(($BH4&amp;CO4&amp;"Template de desconto FLAT bundle - Velox XDSL - Varejo"),[6]BENEFICIOS!$A:$E,5,0))),"Criar",IF(CO4="","",VLOOKUP(($BH4&amp;CO4&amp;"Template de desconto FLAT bundle - Velox XDSL - Varejo"),[6]BENEFICIOS!$A:$E,5,0)))</f>
        <v>MKT-1-9865191105</v>
      </c>
      <c r="CQ4" s="68" t="s">
        <v>165</v>
      </c>
      <c r="CR4" s="69">
        <v>59.9</v>
      </c>
      <c r="CS4" s="64">
        <f>IF(CR4=0,"",IF(CR4=VLOOKUP("PCS-30739g",[6]ARBOR!$A:$C,3,0),0.0001,IF(CR4&gt;VLOOKUP("PCS-30739g",[6]ARBOR!$A:$C,3,0),"Maior que CAP!",IF((DOLLAR(CR4+(VLOOKUP("PCS-30739g",[6]ARBOR!$A:$C,3,0)*-TRUNC(CR4/VLOOKUP("PCS-30739g",[6]ARBOR!$A:$C,3,0)-1,4)),6))&lt;&gt;(DOLLAR(VLOOKUP("PCS-30739g",[6]ARBOR!$A:$C,3,0),6)),-TRUNC(CR4/VLOOKUP("PCS-30739g",[6]ARBOR!$A:$C,3,0)-1,4)+0.0001,-TRUNC(CR4/VLOOKUP("PCS-30739g",[6]ARBOR!$A:$C,3,0)-1,4)))))</f>
        <v>0.71560000000000001</v>
      </c>
      <c r="CT4" s="65" t="str">
        <f>IF(ISERROR(IF(CS4="","",VLOOKUP(($BH4&amp;CS4&amp;"Template de desconto FLAT bundle - Velox XDSL - Varejo"),[6]BENEFICIOS!$A:$E,5,0))),"Criar",IF(CS4="","",VLOOKUP(($BH4&amp;CS4&amp;"Template de desconto FLAT bundle - Velox XDSL - Varejo"),[6]BENEFICIOS!$A:$E,5,0)))</f>
        <v>MKT-1-9865191198</v>
      </c>
      <c r="CU4" s="69"/>
      <c r="CV4" s="70"/>
      <c r="CW4" s="64"/>
      <c r="CX4" s="65"/>
      <c r="CY4" s="68" t="s">
        <v>165</v>
      </c>
      <c r="CZ4" s="69">
        <v>59.9</v>
      </c>
      <c r="DA4" s="64">
        <f>IF(CZ4=0,"",IF(CZ4=VLOOKUP("PCS-30766g",[6]ARBOR!$A:$C,3,0),0.0001,IF(CZ4&gt;VLOOKUP("PCS-30766g",[6]ARBOR!$A:$C,3,0),"Maior que CAP!",IF((DOLLAR(CZ4+(VLOOKUP("PCS-30766g",[6]ARBOR!$A:$C,3,0)*-TRUNC(CZ4/VLOOKUP("PCS-30766g",[6]ARBOR!$A:$C,3,0)-1,4)),6))&lt;&gt;(DOLLAR(VLOOKUP("PCS-30766g",[6]ARBOR!$A:$C,3,0),6)),-TRUNC(CZ4/VLOOKUP("PCS-30766g",[6]ARBOR!$A:$C,3,0)-1,4)+0.0001,-TRUNC(CZ4/VLOOKUP("PCS-30766g",[6]ARBOR!$A:$C,3,0)-1,4)))))</f>
        <v>0.78669999999999995</v>
      </c>
      <c r="DB4" s="65" t="str">
        <f>IF(ISERROR(IF(DA4="","",VLOOKUP(($BH4&amp;DA4&amp;"Template de desconto FLAT bundle - Velox XDSL - Varejo"),[6]BENEFICIOS!$A:$E,5,0))),"Criar",IF(DA4="","",VLOOKUP(($BH4&amp;DA4&amp;"Template de desconto FLAT bundle - Velox XDSL - Varejo"),[6]BENEFICIOS!$A:$E,5,0)))</f>
        <v>MKT-1-9865191291</v>
      </c>
      <c r="DC4" s="69"/>
      <c r="DD4" s="70"/>
      <c r="DE4" s="64"/>
      <c r="DF4" s="65"/>
      <c r="DG4" s="68" t="s">
        <v>244</v>
      </c>
      <c r="DH4" s="69">
        <v>69.900000000000006</v>
      </c>
      <c r="DI4" s="64">
        <f>IF(DH4=0,"",IF(DH4=VLOOKUP("PCS-30793g",[6]ARBOR!$A:$C,3,0),0.0001,IF(DH4&gt;VLOOKUP("PCS-30793g",[6]ARBOR!$A:$C,3,0),"Maior que CAP!",IF((DOLLAR(DH4+(VLOOKUP("PCS-30793g",[6]ARBOR!$A:$C,3,0)*-TRUNC(DH4/VLOOKUP("PCS-30793g",[6]ARBOR!$A:$C,3,0)-1,4)),6))&lt;&gt;(DOLLAR(VLOOKUP("PCS-30793g",[6]ARBOR!$A:$C,3,0),6)),-TRUNC(DH4/VLOOKUP("PCS-30793g",[6]ARBOR!$A:$C,3,0)-1,4)+0.0001,-TRUNC(DH4/VLOOKUP("PCS-30793g",[6]ARBOR!$A:$C,3,0)-1,4)))))</f>
        <v>0.75109999999999999</v>
      </c>
      <c r="DJ4" s="65" t="str">
        <f>IF(ISERROR(IF(DI4="","",VLOOKUP(($BH4&amp;DI4&amp;"Template de desconto FLAT bundle - Velox XDSL - Varejo"),[6]BENEFICIOS!$A:$E,5,0))),"Criar",IF(DI4="","",VLOOKUP(($BH4&amp;DI4&amp;"Template de desconto FLAT bundle - Velox XDSL - Varejo"),[6]BENEFICIOS!$A:$E,5,0)))</f>
        <v>MKT-1-9865191384</v>
      </c>
      <c r="DK4" s="69"/>
      <c r="DL4" s="70"/>
      <c r="DM4" s="64"/>
      <c r="DN4" s="65"/>
      <c r="DO4" s="68" t="s">
        <v>165</v>
      </c>
      <c r="DP4" s="69">
        <v>69.900000000000006</v>
      </c>
      <c r="DQ4" s="64">
        <f>IF(DP4=0,"",IF(DP4=VLOOKUP("PCS-30820g",[6]ARBOR!$A:$C,3,0),0.0001,IF(DP4&gt;VLOOKUP("PCS-30820g",[6]ARBOR!$A:$C,3,0),"Maior que CAP!",IF((DOLLAR(DP4+(VLOOKUP("PCS-30820g",[6]ARBOR!$A:$C,3,0)*-TRUNC(DP4/VLOOKUP("PCS-30820g",[6]ARBOR!$A:$C,3,0)-1,4)),6))&lt;&gt;(DOLLAR(VLOOKUP("PCS-30820g",[6]ARBOR!$A:$C,3,0),6)),-TRUNC(DP4/VLOOKUP("PCS-30820g",[6]ARBOR!$A:$C,3,0)-1,4)+0.0001,-TRUNC(DP4/VLOOKUP("PCS-30820g",[6]ARBOR!$A:$C,3,0)-1,4)))))</f>
        <v>0.75109999999999999</v>
      </c>
      <c r="DR4" s="65" t="str">
        <f>IF(ISERROR(IF(DQ4="","",VLOOKUP(($BH4&amp;DQ4&amp;"Template de desconto FLAT bundle - Velox XDSL - Varejo"),[6]BENEFICIOS!$A:$E,5,0))),"Criar",IF(DQ4="","",VLOOKUP(($BH4&amp;DQ4&amp;"Template de desconto FLAT bundle - Velox XDSL - Varejo"),[6]BENEFICIOS!$A:$E,5,0)))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IF(DW4=0,"",IF(DW4=VLOOKUP("PCS-21448p2",[6]ARBOR!$A:$C,3,0),0.0001,IF(DW4&gt;VLOOKUP("PCS-21448p2",[6]ARBOR!$A:$C,3,0),"Maior que CAP!",IF((DOLLAR(DW4+(VLOOKUP("PCS-21448p2",[6]ARBOR!$A:$C,3,0)*-TRUNC(DW4/VLOOKUP("PCS-21448p2",[6]ARBOR!$A:$C,3,0)-1,4)),6))&lt;&gt;(DOLLAR(VLOOKUP("PCS-21448p2",[6]ARBOR!$A:$C,3,0),6)),-TRUNC(DW4/VLOOKUP("PCS-21448p2",[6]ARBOR!$A:$C,3,0)-1,4)+0.0001,-TRUNC(DW4/VLOOKUP("PCS-21448p2",[6]ARBOR!$A:$C,3,0)-1,4)))))</f>
        <v/>
      </c>
      <c r="DY4" s="65" t="str">
        <f>IF(ISERROR(IF(DX4="","",VLOOKUP(("Oi Conta Total Plug 10GB Downgrade"&amp;DX4&amp;"Template de desconto percentual BL Móvel - Internet Total - Varejo"),[6]BENEFICIOS!$A:$E,5,0))),"Criar",IF(DX4="","",VLOOKUP(("Oi Conta Total Plug 10GB Downgrade"&amp;DX4&amp;"Template de desconto percentual BL Móvel - Internet Total - Varejo"),[6]BENEFICIOS!$A:$E,5,0)))</f>
        <v/>
      </c>
      <c r="DZ4" s="71">
        <v>19.899999999999999</v>
      </c>
      <c r="EA4" s="72">
        <f>IF(DZ4=0,"",IF(DZ4=VLOOKUP("SVA",[6]ARBOR!$A:$C,3,0),0.0001,IF(DZ4&gt;VLOOKUP("SVA",[6]ARBOR!$A:$C,3,0),"Maior que CAP!",IF((DOLLAR(DZ4+(VLOOKUP("SVA",[6]ARBOR!$A:$C,3,0)*-TRUNC(DZ4/VLOOKUP("SVA",[6]ARBOR!$A:$C,3,0)-1,4)),6))&lt;&gt;(DOLLAR(VLOOKUP("SVA",[6]ARBOR!$A:$C,3,0),6)),-TRUNC(DZ4/VLOOKUP("SVA",[6]ARBOR!$A:$C,3,0)-1,4)+0.0001,-TRUNC(DZ4/VLOOKUP("SVA",[6]ARBOR!$A:$C,3,0)-1,4)))))</f>
        <v>7.1400000000000005E-2</v>
      </c>
      <c r="EB4" s="65" t="s">
        <v>245</v>
      </c>
      <c r="EC4" s="69"/>
      <c r="ED4" s="73"/>
      <c r="EE4" s="74"/>
      <c r="EF4" s="65"/>
      <c r="EG4" s="75">
        <f>IF(BI4="","",VLOOKUP(BI4,[6]ARBOR!A:C,3,0))</f>
        <v>479.46</v>
      </c>
      <c r="EH4" s="69">
        <v>15</v>
      </c>
      <c r="EI4" s="76">
        <f>IF(EH4="","",1-(EH4/VLOOKUP(BI4&amp;"ASS",[6]ARBOR!A:C,3,0)))</f>
        <v>0.34725848563968664</v>
      </c>
      <c r="EJ4" s="77" t="s">
        <v>228</v>
      </c>
      <c r="EK4" s="78" t="s">
        <v>229</v>
      </c>
      <c r="EL4" s="69">
        <v>145.9</v>
      </c>
      <c r="EM4" s="64">
        <f>ROUND(IF(EL4=0,"",IF(EL4=EG4,0.0001,1-((EL4+(VLOOKUP(BI4&amp;"ASS",[6]ARBOR!A:C,3,0)-EH4))/EG4))),4)</f>
        <v>0.67910000000000004</v>
      </c>
      <c r="EN4" s="65" t="str">
        <f>IF(ISERROR(IF(EM4="","",VLOOKUP(($BH4&amp;EM4&amp;"Template de desconto percentual FLAT Móvel - Conta Total - Varejo - Ganho Tributário Cross"),[6]BENEFICIOS!$A:$E,5,0))),"Criar",IF(EM4="","",VLOOKUP(($BH4&amp;EM4&amp;"Template de desconto percentual FLAT Móvel - Conta Total - Varejo - Ganho Tributário Cross"),[6]BENEFICIOS!$A:$E,5,0)))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IF(FC4=0,"",IF(FC4=VLOOKUP("PCS-10357",[6]ARBOR!$A:$C,3,0),0.0001,IF(FC4&gt;VLOOKUP("PCS-10357",[6]ARBOR!$A:$C,3,0),"Maior que CAP!",ROUND(-1*(FC4/VLOOKUP("PCS-10357",[6]ARBOR!$A:$C,3,0)-1),4))))</f>
        <v/>
      </c>
      <c r="FE4" s="84" t="str">
        <f>IF(ISERROR(IF(FD4="","",VLOOKUP(("Oi Internet Pra Celular 1GB"&amp;FD4&amp;"Template Flat Instância Dados"),[6]BENEFICIOS!$A:$E,5,0))),"Criar",IF(FD4="","",VLOOKUP(("Oi Internet Pra Celular 1GB"&amp;FD4&amp;"Template Flat Instância Dados"),[6]BENEFICIOS!$A:$E,5,0)))</f>
        <v/>
      </c>
      <c r="FF4" s="82"/>
      <c r="FG4" s="83" t="str">
        <f>IF(FF4=0,"",IF(FF4=VLOOKUP("PCS-813565",[6]ARBOR!$A:$C,3,0),0.0001,IF(FF4&gt;VLOOKUP("PCS-813565",[6]ARBOR!$A:$C,3,0),"Maior que CAP!",ROUND(-1*(FF4/VLOOKUP("PCS-813565",[6]ARBOR!$A:$C,3,0)-1),4))))</f>
        <v/>
      </c>
      <c r="FH4" s="84" t="str">
        <f>IF(ISERROR(IF(FG4="","",VLOOKUP(("Oi Internet Pra Celular 2GB"&amp;FG4&amp;"Template Flat Instância Dados"),[6]BENEFICIOS!$A:$E,5,0))),"Criar",IF(FG4="","",VLOOKUP(("Oi Internet Pra Celular 2GB"&amp;FG4&amp;"Template Flat Instância Dados"),[6]BENEFICIOS!$A:$E,5,0)))</f>
        <v/>
      </c>
      <c r="FI4" s="82"/>
      <c r="FJ4" s="83" t="str">
        <f>IF(FI4=0,"",IF(FI4=VLOOKUP("PCS-7171B",[6]ARBOR!$A:$C,3,0),0.0001,IF(FI4&gt;VLOOKUP("PCS-7171B",[6]ARBOR!$A:$C,3,0),"Maior que CAP!",ROUND(-1*(FI4/VLOOKUP("PCS-7171B",[6]ARBOR!$A:$C,3,0)-1),4))))</f>
        <v/>
      </c>
      <c r="FK4" s="84" t="str">
        <f>IF(ISERROR(IF(FJ4="","",VLOOKUP(("Oi Internet Pra Celular 3GB"&amp;FJ4&amp;"Template Flat Instância Dados"),[6]BENEFICIOS!$A:$E,5,0))),"Criar",IF(FJ4="","",VLOOKUP(("Oi Internet Pra Celular 3GB"&amp;FJ4&amp;"Template Flat Instância Dados"),[6]BENEFICIOS!$A:$E,5,0)))</f>
        <v/>
      </c>
      <c r="FL4" s="82"/>
      <c r="FM4" s="83" t="str">
        <f>IF(FL4=0,"",IF(FL4=VLOOKUP("PCS-51793o08",[6]ARBOR!$A:$C,3,0),0.0001,IF(FL4&gt;VLOOKUP("PCS-51793o08",[6]ARBOR!$A:$C,3,0),"Maior que CAP!",ROUND(-1*(FL4/VLOOKUP("PCS-51793o08",[6]ARBOR!$A:$C,3,0)-1),4))))</f>
        <v/>
      </c>
      <c r="FN4" s="84" t="str">
        <f>IF(ISERROR(IF(FM4="","",VLOOKUP(("Oi Internet Pra Celular 5GB"&amp;FM4&amp;"Template Flat Instância Dados"),[6]BENEFICIOS!$A:$E,5,0))),"Criar",IF(FM4="","",VLOOKUP(("Oi Internet Pra Celular 5GB"&amp;FM4&amp;"Template Flat Instância Dados"),[6]BENEFICIOS!$A:$E,5,0)))</f>
        <v/>
      </c>
      <c r="FO4" s="82"/>
      <c r="FP4" s="83" t="str">
        <f>IF(FO4=0,"",IF(FO4=VLOOKUP("PCS-7171A",[6]ARBOR!$A:$C,3,0),0.0001,IF(FO4&gt;VLOOKUP("PCS-7171A",[6]ARBOR!$A:$C,3,0),"Maior que CAP!",ROUND(-1*(FO4/VLOOKUP("PCS-7171A",[6]ARBOR!$A:$C,3,0)-1),4))))</f>
        <v/>
      </c>
      <c r="FQ4" s="84" t="str">
        <f>IF(ISERROR(IF(FP4="","",VLOOKUP(("Oi Internet Pra Celular 10GB"&amp;FP4&amp;"Template Flat Instância Dados"),[6]BENEFICIOS!$A:$E,5,0))),"Criar",IF(FP4="","",VLOOKUP(("Oi Internet Pra Celular 10GB"&amp;FP4&amp;"Template Flat Instância Dados"),[6]BENEFICIOS!$A:$E,5,0)))</f>
        <v/>
      </c>
      <c r="FR4" s="85"/>
      <c r="FS4" s="86"/>
      <c r="FT4" s="48"/>
      <c r="FU4" s="87"/>
      <c r="FV4" s="88" t="s">
        <v>225</v>
      </c>
      <c r="FW4" s="49" t="s">
        <v>230</v>
      </c>
      <c r="FX4" s="89">
        <v>999</v>
      </c>
      <c r="FY4" s="49">
        <v>12</v>
      </c>
      <c r="FZ4" s="90" t="s">
        <v>231</v>
      </c>
      <c r="GA4" s="91" t="str">
        <f t="shared" si="1"/>
        <v>PCS-Fk83324</v>
      </c>
      <c r="GB4" s="92" t="str">
        <f t="shared" si="2"/>
        <v>PCS-SBL553142</v>
      </c>
      <c r="GC4" s="93" t="s">
        <v>232</v>
      </c>
      <c r="GD4" s="90" t="s">
        <v>233</v>
      </c>
      <c r="GE4" s="92" t="s">
        <v>234</v>
      </c>
      <c r="GF4" s="93" t="s">
        <v>235</v>
      </c>
      <c r="GG4" s="90" t="s">
        <v>236</v>
      </c>
      <c r="GH4" s="92" t="s">
        <v>237</v>
      </c>
      <c r="GI4" s="94" t="s">
        <v>238</v>
      </c>
      <c r="GJ4" s="95">
        <f>FC4+EL4+CN4+BJ4</f>
        <v>245.9</v>
      </c>
      <c r="GK4" s="96"/>
      <c r="GL4" s="97" t="s">
        <v>239</v>
      </c>
      <c r="GM4" s="98" t="s">
        <v>240</v>
      </c>
      <c r="GN4" s="97">
        <f>VLOOKUP($A4,'[6]TABELA COM TUDO'!$A:$AB,25,0)</f>
        <v>0</v>
      </c>
      <c r="GO4" s="99">
        <f>VLOOKUP($A4,'[6]TABELA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246</v>
      </c>
      <c r="GX4" s="44" t="s">
        <v>242</v>
      </c>
    </row>
    <row r="5" spans="1:206" s="44" customFormat="1" x14ac:dyDescent="0.25">
      <c r="A5" s="44" t="str">
        <f t="shared" si="0"/>
        <v>Oi Total Fixo + Pós 800 + Banda LargaN11GBMG</v>
      </c>
      <c r="B5" s="45" t="s">
        <v>215</v>
      </c>
      <c r="C5" s="46" t="s">
        <v>131</v>
      </c>
      <c r="D5" s="46" t="s">
        <v>216</v>
      </c>
      <c r="E5" s="47" t="s">
        <v>217</v>
      </c>
      <c r="F5" s="48" t="s">
        <v>218</v>
      </c>
      <c r="G5" s="49"/>
      <c r="H5" s="49"/>
      <c r="I5" s="49"/>
      <c r="J5" s="49" t="s">
        <v>218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218</v>
      </c>
      <c r="AC5" s="49" t="s">
        <v>218</v>
      </c>
      <c r="AD5" s="49" t="s">
        <v>218</v>
      </c>
      <c r="AE5" s="49" t="s">
        <v>218</v>
      </c>
      <c r="AF5" s="49" t="s">
        <v>218</v>
      </c>
      <c r="AG5" s="49" t="s">
        <v>218</v>
      </c>
      <c r="AH5" s="50"/>
      <c r="AI5" s="49" t="s">
        <v>218</v>
      </c>
      <c r="AJ5" s="49" t="s">
        <v>218</v>
      </c>
      <c r="AK5" s="49" t="s">
        <v>218</v>
      </c>
      <c r="AL5" s="49" t="s">
        <v>218</v>
      </c>
      <c r="AM5" s="49" t="s">
        <v>218</v>
      </c>
      <c r="AN5" s="49" t="s">
        <v>218</v>
      </c>
      <c r="AO5" s="49" t="s">
        <v>218</v>
      </c>
      <c r="AP5" s="49"/>
      <c r="AQ5" s="51"/>
      <c r="AR5" s="52" t="s">
        <v>247</v>
      </c>
      <c r="AS5" s="46" t="s">
        <v>220</v>
      </c>
      <c r="AT5" s="53" t="s">
        <v>221</v>
      </c>
      <c r="AU5" s="54">
        <v>42972</v>
      </c>
      <c r="AV5" s="55">
        <v>43038</v>
      </c>
      <c r="AW5" s="56" t="s">
        <v>222</v>
      </c>
      <c r="AX5" s="57" t="s">
        <v>222</v>
      </c>
      <c r="AY5" s="58"/>
      <c r="AZ5" s="58" t="s">
        <v>223</v>
      </c>
      <c r="BA5" s="58">
        <v>20</v>
      </c>
      <c r="BB5" s="58">
        <v>10000</v>
      </c>
      <c r="BC5" s="59" t="s">
        <v>224</v>
      </c>
      <c r="BD5" s="60" t="s">
        <v>225</v>
      </c>
      <c r="BE5" s="58" t="s">
        <v>217</v>
      </c>
      <c r="BF5" s="51" t="s">
        <v>217</v>
      </c>
      <c r="BG5" s="45" t="s">
        <v>247</v>
      </c>
      <c r="BH5" s="61" t="s">
        <v>226</v>
      </c>
      <c r="BI5" s="62" t="str">
        <f>IF(ISERROR(VLOOKUP(BH5,[6]PLANOS!B:C,2,0)),"",VLOOKUP(BH5,[6]PLANOS!B:C,2,0))</f>
        <v>PCS-4P6pi</v>
      </c>
      <c r="BJ5" s="63">
        <v>50.1</v>
      </c>
      <c r="BK5" s="64">
        <f>IF(BJ5=0,"",IF(BJ5=VLOOKUP("FIXO",[6]ARBOR!$A:$C,3,0),0.0001,IF(BJ5&gt;VLOOKUP("FIXO",[6]ARBOR!$A:$C,3,0),"Maior que CAP!",IF((DOLLAR(BJ5+(VLOOKUP("FIXO",[6]ARBOR!$A:$C,3,0)*-TRUNC(BJ5/VLOOKUP("FIXO",[6]ARBOR!$A:$C,3,0)-1,4)),6))&lt;&gt;(DOLLAR(VLOOKUP("FIXO",[6]ARBOR!$A:$C,3,0),6)),-TRUNC(BJ5/VLOOKUP("FIXO",[6]ARBOR!$A:$C,3,0)-1,4)+0.0001,-TRUNC(BJ5/VLOOKUP("FIXO",[6]ARBOR!$A:$C,3,0)-1,4)))))</f>
        <v>0.33939999999999998</v>
      </c>
      <c r="BL5" s="65" t="str">
        <f>IF(ISERROR(IF(BK5="","",VLOOKUP(($BH5&amp;BK5&amp;"Template de desconto FLAT bundle - Fixo - Varejo - Ganho Tributário Cross"),[6]BENEFICIOS!$A:$E,5,0))),"Criar",IF(BK5="","",VLOOKUP(($BH5&amp;BK5&amp;"Template de desconto FLAT bundle - Fixo - Varejo - Ganho Tributário Cross"),[6]BENEFICIOS!$A:$E,5,0)))</f>
        <v>MKT-1-9856472058</v>
      </c>
      <c r="BM5" s="66"/>
      <c r="BN5" s="67"/>
      <c r="BO5" s="68" t="s">
        <v>165</v>
      </c>
      <c r="BP5" s="69">
        <v>44.9</v>
      </c>
      <c r="BQ5" s="64">
        <f>IF(BP5=0,"",IF(BP5=VLOOKUP("PCS-30874g",[6]ARBOR!$A:$C,3,0),0.0001,IF(BP5&gt;VLOOKUP("PCS-30874g",[6]ARBOR!$A:$C,3,0),"Maior que CAP!",IF((DOLLAR(BP5+(VLOOKUP("PCS-30874g",[6]ARBOR!$A:$C,3,0)*-TRUNC(BP5/VLOOKUP("PCS-30874g",[6]ARBOR!$A:$C,3,0)-1,4)),6))&lt;&gt;(DOLLAR(VLOOKUP("PCS-30874g",[6]ARBOR!$A:$C,3,0),6)),-TRUNC(BP5/VLOOKUP("PCS-30874g",[6]ARBOR!$A:$C,3,0)-1,4)+0.0001,-TRUNC(BP5/VLOOKUP("PCS-30874g",[6]ARBOR!$A:$C,3,0)-1,4)))))</f>
        <v>0.53679999999999994</v>
      </c>
      <c r="BR5" s="65" t="str">
        <f>IF(ISERROR(IF(BQ5="","",VLOOKUP(($BH5&amp;BQ5&amp;"Template de desconto FLAT bundle - Velox XDSL - Varejo"),[6]BENEFICIOS!$A:$E,5,0))),"Criar",IF(BQ5="","",VLOOKUP(($BH5&amp;BQ5&amp;"Template de desconto FLAT bundle - Velox XDSL - Varejo"),[6]BENEFICIOS!$A:$E,5,0)))</f>
        <v>MKT-1-9865126733</v>
      </c>
      <c r="BS5" s="68" t="s">
        <v>165</v>
      </c>
      <c r="BT5" s="69">
        <v>44.9</v>
      </c>
      <c r="BU5" s="64">
        <f>IF(BT5=0,"",IF(BT5=VLOOKUP("PCS-30577g",[6]ARBOR!$A:$C,3,0),0.0001,IF(BT5&gt;VLOOKUP("PCS-30577g",[6]ARBOR!$A:$C,3,0),"Maior que CAP!",IF((DOLLAR(BT5+(VLOOKUP("PCS-30577g",[6]ARBOR!$A:$C,3,0)*-TRUNC(BT5/VLOOKUP("PCS-30577g",[6]ARBOR!$A:$C,3,0)-1,4)),6))&lt;&gt;(DOLLAR(VLOOKUP("PCS-30577g",[6]ARBOR!$A:$C,3,0),6)),-TRUNC(BT5/VLOOKUP("PCS-30577g",[6]ARBOR!$A:$C,3,0)-1,4)+0.0001,-TRUNC(BT5/VLOOKUP("PCS-30577g",[6]ARBOR!$A:$C,3,0)-1,4)))))</f>
        <v>0.53679999999999994</v>
      </c>
      <c r="BV5" s="65" t="str">
        <f>IF(ISERROR(IF(BU5="","",VLOOKUP(($BH5&amp;BU5&amp;"Template de desconto FLAT bundle - Velox XDSL - Varejo"),[6]BENEFICIOS!$A:$E,5,0))),"Criar",IF(BU5="","",VLOOKUP(($BH5&amp;BU5&amp;"Template de desconto FLAT bundle - Velox XDSL - Varejo"),[6]BENEFICIOS!$A:$E,5,0)))</f>
        <v>MKT-1-9865126733</v>
      </c>
      <c r="BW5" s="68" t="s">
        <v>165</v>
      </c>
      <c r="BX5" s="69">
        <v>44.9</v>
      </c>
      <c r="BY5" s="64">
        <f>IF(BX5=0,"",IF(BX5=VLOOKUP("PCS-30604g",[6]ARBOR!$A:$C,3,0),0.0001,IF(BX5&gt;VLOOKUP("PCS-30604g",[6]ARBOR!$A:$C,3,0),"Maior que CAP!",IF((DOLLAR(BX5+(VLOOKUP("PCS-30604g",[6]ARBOR!$A:$C,3,0)*-TRUNC(BX5/VLOOKUP("PCS-30604g",[6]ARBOR!$A:$C,3,0)-1,4)),6))&lt;&gt;(DOLLAR(VLOOKUP("PCS-30604g",[6]ARBOR!$A:$C,3,0),6)),-TRUNC(BX5/VLOOKUP("PCS-30604g",[6]ARBOR!$A:$C,3,0)-1,4)+0.0001,-TRUNC(BX5/VLOOKUP("PCS-30604g",[6]ARBOR!$A:$C,3,0)-1,4)))))</f>
        <v>0.53679999999999994</v>
      </c>
      <c r="BZ5" s="65" t="str">
        <f>IF(ISERROR(IF(BY5="","",VLOOKUP(($BH5&amp;BY5&amp;"Template de desconto FLAT bundle - Velox XDSL - Varejo"),[6]BENEFICIOS!$A:$E,5,0))),"Criar",IF(BY5="","",VLOOKUP(($BH5&amp;BY5&amp;"Template de desconto FLAT bundle - Velox XDSL - Varejo"),[6]BENEFICIOS!$A:$E,5,0)))</f>
        <v>MKT-1-9865126733</v>
      </c>
      <c r="CA5" s="68" t="s">
        <v>165</v>
      </c>
      <c r="CB5" s="69">
        <v>44.9</v>
      </c>
      <c r="CC5" s="64">
        <f>IF(CB5=0,"",IF(CB5=VLOOKUP("PCS-30631g",[6]ARBOR!$A:$C,3,0),0.0001,IF(CB5&gt;VLOOKUP("PCS-30631g",[6]ARBOR!$A:$C,3,0),"Maior que CAP!",IF((DOLLAR(CB5+(VLOOKUP("PCS-30631g",[6]ARBOR!$A:$C,3,0)*-TRUNC(CB5/VLOOKUP("PCS-30631g",[6]ARBOR!$A:$C,3,0)-1,4)),6))&lt;&gt;(DOLLAR(VLOOKUP("PCS-30631g",[6]ARBOR!$A:$C,3,0),6)),-TRUNC(CB5/VLOOKUP("PCS-30631g",[6]ARBOR!$A:$C,3,0)-1,4)+0.0001,-TRUNC(CB5/VLOOKUP("PCS-30631g",[6]ARBOR!$A:$C,3,0)-1,4)))))</f>
        <v>0.54310000000000003</v>
      </c>
      <c r="CD5" s="65" t="str">
        <f>IF(ISERROR(IF(CC5="","",VLOOKUP(($BH5&amp;CC5&amp;"Template de desconto FLAT bundle - Velox XDSL - Varejo"),[6]BENEFICIOS!$A:$E,5,0))),"Criar",IF(CC5="","",VLOOKUP(($BH5&amp;CC5&amp;"Template de desconto FLAT bundle - Velox XDSL - Varejo"),[6]BENEFICIOS!$A:$E,5,0)))</f>
        <v>MKT-1-9865126826</v>
      </c>
      <c r="CE5" s="68"/>
      <c r="CF5" s="69"/>
      <c r="CG5" s="64" t="str">
        <f>IF(CF5=0,"",IF(CF5=VLOOKUP("PCS-30658g",[6]ARBOR!$A:$C,3,0),0.0001,IF(CF5&gt;VLOOKUP("PCS-30658g",[6]ARBOR!$A:$C,3,0),"Maior que CAP!",IF((DOLLAR(CF5+(VLOOKUP("PCS-30658g",[6]ARBOR!$A:$C,3,0)*-TRUNC(CF5/VLOOKUP("PCS-30658g",[6]ARBOR!$A:$C,3,0)-1,4)),6))&lt;&gt;(DOLLAR(VLOOKUP("PCS-30658g",[6]ARBOR!$A:$C,3,0),6)),-TRUNC(CF5/VLOOKUP("PCS-30658g",[6]ARBOR!$A:$C,3,0)-1,4)+0.0001,-TRUNC(CF5/VLOOKUP("PCS-30658g",[6]ARBOR!$A:$C,3,0)-1,4)))))</f>
        <v/>
      </c>
      <c r="CH5" s="65" t="str">
        <f>IF(ISERROR(IF(CG5="","",VLOOKUP(($BH5&amp;CG5&amp;"Template de desconto FLAT bundle - Velox XDSL - Varejo"),[6]BENEFICIOS!$A:$E,5,0))),"Criar",IF(CG5="","",VLOOKUP(($BH5&amp;CG5&amp;"Template de desconto FLAT bundle - Velox XDSL - Varejo"),[6]BENEFICIOS!$A:$E,5,0)))</f>
        <v/>
      </c>
      <c r="CI5" s="68"/>
      <c r="CJ5" s="69"/>
      <c r="CK5" s="64" t="str">
        <f>IF(CJ5=0,"",IF(CJ5=VLOOKUP("PCS-30685g",[6]ARBOR!$A:$C,3,0),0.0001,IF(CJ5&gt;VLOOKUP("PCS-30685g",[6]ARBOR!$A:$C,3,0),"Maior que CAP!",IF((DOLLAR(CJ5+(VLOOKUP("PCS-30685g",[6]ARBOR!$A:$C,3,0)*-TRUNC(CJ5/VLOOKUP("PCS-30685g",[6]ARBOR!$A:$C,3,0)-1,4)),6))&lt;&gt;(DOLLAR(VLOOKUP("PCS-30685g",[6]ARBOR!$A:$C,3,0),6)),-TRUNC(CJ5/VLOOKUP("PCS-30685g",[6]ARBOR!$A:$C,3,0)-1,4)+0.0001,-TRUNC(CJ5/VLOOKUP("PCS-30685g",[6]ARBOR!$A:$C,3,0)-1,4)))))</f>
        <v/>
      </c>
      <c r="CL5" s="65" t="str">
        <f>IF(ISERROR(IF(CK5="","",VLOOKUP(($BH5&amp;CK5&amp;"Template de desconto FLAT bundle - Velox XDSL - Varejo"),[6]BENEFICIOS!$A:$E,5,0))),"Criar",IF(CK5="","",VLOOKUP(($BH5&amp;CK5&amp;"Template de desconto FLAT bundle - Velox XDSL - Varejo"),[6]BENEFICIOS!$A:$E,5,0)))</f>
        <v/>
      </c>
      <c r="CM5" s="68"/>
      <c r="CN5" s="69"/>
      <c r="CO5" s="64" t="str">
        <f>IF(CN5=0,"",IF(CN5=VLOOKUP("PCS-30712g",[6]ARBOR!$A:$C,3,0),0.0001,IF(CN5&gt;VLOOKUP("PCS-30712g",[6]ARBOR!$A:$C,3,0),"Maior que CAP!",IF((DOLLAR(CN5+(VLOOKUP("PCS-30712g",[6]ARBOR!$A:$C,3,0)*-TRUNC(CN5/VLOOKUP("PCS-30712g",[6]ARBOR!$A:$C,3,0)-1,4)),6))&lt;&gt;(DOLLAR(VLOOKUP("PCS-30712g",[6]ARBOR!$A:$C,3,0),6)),-TRUNC(CN5/VLOOKUP("PCS-30712g",[6]ARBOR!$A:$C,3,0)-1,4)+0.0001,-TRUNC(CN5/VLOOKUP("PCS-30712g",[6]ARBOR!$A:$C,3,0)-1,4)))))</f>
        <v/>
      </c>
      <c r="CP5" s="65" t="str">
        <f>IF(ISERROR(IF(CO5="","",VLOOKUP(($BH5&amp;CO5&amp;"Template de desconto FLAT bundle - Velox XDSL - Varejo"),[6]BENEFICIOS!$A:$E,5,0))),"Criar",IF(CO5="","",VLOOKUP(($BH5&amp;CO5&amp;"Template de desconto FLAT bundle - Velox XDSL - Varejo"),[6]BENEFICIOS!$A:$E,5,0)))</f>
        <v/>
      </c>
      <c r="CQ5" s="68"/>
      <c r="CR5" s="69"/>
      <c r="CS5" s="64" t="str">
        <f>IF(CR5=0,"",IF(CR5=VLOOKUP("PCS-30739g",[6]ARBOR!$A:$C,3,0),0.0001,IF(CR5&gt;VLOOKUP("PCS-30739g",[6]ARBOR!$A:$C,3,0),"Maior que CAP!",IF((DOLLAR(CR5+(VLOOKUP("PCS-30739g",[6]ARBOR!$A:$C,3,0)*-TRUNC(CR5/VLOOKUP("PCS-30739g",[6]ARBOR!$A:$C,3,0)-1,4)),6))&lt;&gt;(DOLLAR(VLOOKUP("PCS-30739g",[6]ARBOR!$A:$C,3,0),6)),-TRUNC(CR5/VLOOKUP("PCS-30739g",[6]ARBOR!$A:$C,3,0)-1,4)+0.0001,-TRUNC(CR5/VLOOKUP("PCS-30739g",[6]ARBOR!$A:$C,3,0)-1,4)))))</f>
        <v/>
      </c>
      <c r="CT5" s="65" t="str">
        <f>IF(ISERROR(IF(CS5="","",VLOOKUP(($BH5&amp;CS5&amp;"Template de desconto FLAT bundle - Velox XDSL - Varejo"),[6]BENEFICIOS!$A:$E,5,0))),"Criar",IF(CS5="","",VLOOKUP(($BH5&amp;CS5&amp;"Template de desconto FLAT bundle - Velox XDSL - Varejo"),[6]BENEFICIOS!$A:$E,5,0)))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IF(CZ5=0,"",IF(CZ5=VLOOKUP("PCS-30766g",[6]ARBOR!$A:$C,3,0),0.0001,IF(CZ5&gt;VLOOKUP("PCS-30766g",[6]ARBOR!$A:$C,3,0),"Maior que CAP!",IF((DOLLAR(CZ5+(VLOOKUP("PCS-30766g",[6]ARBOR!$A:$C,3,0)*-TRUNC(CZ5/VLOOKUP("PCS-30766g",[6]ARBOR!$A:$C,3,0)-1,4)),6))&lt;&gt;(DOLLAR(VLOOKUP("PCS-30766g",[6]ARBOR!$A:$C,3,0),6)),-TRUNC(CZ5/VLOOKUP("PCS-30766g",[6]ARBOR!$A:$C,3,0)-1,4)+0.0001,-TRUNC(CZ5/VLOOKUP("PCS-30766g",[6]ARBOR!$A:$C,3,0)-1,4)))))</f>
        <v/>
      </c>
      <c r="DB5" s="65" t="str">
        <f>IF(ISERROR(IF(DA5="","",VLOOKUP(($BH5&amp;DA5&amp;"Template de desconto FLAT bundle - Velox XDSL - Varejo"),[6]BENEFICIOS!$A:$E,5,0))),"Criar",IF(DA5="","",VLOOKUP(($BH5&amp;DA5&amp;"Template de desconto FLAT bundle - Velox XDSL - Varejo"),[6]BENEFICIOS!$A:$E,5,0)))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IF(DH5=0,"",IF(DH5=VLOOKUP("PCS-30793g",[6]ARBOR!$A:$C,3,0),0.0001,IF(DH5&gt;VLOOKUP("PCS-30793g",[6]ARBOR!$A:$C,3,0),"Maior que CAP!",IF((DOLLAR(DH5+(VLOOKUP("PCS-30793g",[6]ARBOR!$A:$C,3,0)*-TRUNC(DH5/VLOOKUP("PCS-30793g",[6]ARBOR!$A:$C,3,0)-1,4)),6))&lt;&gt;(DOLLAR(VLOOKUP("PCS-30793g",[6]ARBOR!$A:$C,3,0),6)),-TRUNC(DH5/VLOOKUP("PCS-30793g",[6]ARBOR!$A:$C,3,0)-1,4)+0.0001,-TRUNC(DH5/VLOOKUP("PCS-30793g",[6]ARBOR!$A:$C,3,0)-1,4)))))</f>
        <v/>
      </c>
      <c r="DJ5" s="65" t="str">
        <f>IF(ISERROR(IF(DI5="","",VLOOKUP(($BH5&amp;DI5&amp;"Template de desconto FLAT bundle - Velox XDSL - Varejo"),[6]BENEFICIOS!$A:$E,5,0))),"Criar",IF(DI5="","",VLOOKUP(($BH5&amp;DI5&amp;"Template de desconto FLAT bundle - Velox XDSL - Varejo"),[6]BENEFICIOS!$A:$E,5,0)))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IF(DP5=0,"",IF(DP5=VLOOKUP("PCS-30820g",[6]ARBOR!$A:$C,3,0),0.0001,IF(DP5&gt;VLOOKUP("PCS-30820g",[6]ARBOR!$A:$C,3,0),"Maior que CAP!",IF((DOLLAR(DP5+(VLOOKUP("PCS-30820g",[6]ARBOR!$A:$C,3,0)*-TRUNC(DP5/VLOOKUP("PCS-30820g",[6]ARBOR!$A:$C,3,0)-1,4)),6))&lt;&gt;(DOLLAR(VLOOKUP("PCS-30820g",[6]ARBOR!$A:$C,3,0),6)),-TRUNC(DP5/VLOOKUP("PCS-30820g",[6]ARBOR!$A:$C,3,0)-1,4)+0.0001,-TRUNC(DP5/VLOOKUP("PCS-30820g",[6]ARBOR!$A:$C,3,0)-1,4)))))</f>
        <v/>
      </c>
      <c r="DR5" s="65" t="str">
        <f>IF(ISERROR(IF(DQ5="","",VLOOKUP(($BH5&amp;DQ5&amp;"Template de desconto FLAT bundle - Velox XDSL - Varejo"),[6]BENEFICIOS!$A:$E,5,0))),"Criar",IF(DQ5="","",VLOOKUP(($BH5&amp;DQ5&amp;"Template de desconto FLAT bundle - Velox XDSL - Varejo"),[6]BENEFICIOS!$A:$E,5,0)))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IF(DW5=0,"",IF(DW5=VLOOKUP("PCS-21448p2",[6]ARBOR!$A:$C,3,0),0.0001,IF(DW5&gt;VLOOKUP("PCS-21448p2",[6]ARBOR!$A:$C,3,0),"Maior que CAP!",IF((DOLLAR(DW5+(VLOOKUP("PCS-21448p2",[6]ARBOR!$A:$C,3,0)*-TRUNC(DW5/VLOOKUP("PCS-21448p2",[6]ARBOR!$A:$C,3,0)-1,4)),6))&lt;&gt;(DOLLAR(VLOOKUP("PCS-21448p2",[6]ARBOR!$A:$C,3,0),6)),-TRUNC(DW5/VLOOKUP("PCS-21448p2",[6]ARBOR!$A:$C,3,0)-1,4)+0.0001,-TRUNC(DW5/VLOOKUP("PCS-21448p2",[6]ARBOR!$A:$C,3,0)-1,4)))))</f>
        <v>0.64900000000000002</v>
      </c>
      <c r="DY5" s="65" t="str">
        <f>IF(ISERROR(IF(DX5="","",VLOOKUP(("Oi Conta Total Plug 10GB Downgrade"&amp;DX5&amp;"Template de desconto percentual BL Móvel - Internet Total - Varejo"),[6]BENEFICIOS!$A:$E,5,0))),"Criar",IF(DX5="","",VLOOKUP(("Oi Conta Total Plug 10GB Downgrade"&amp;DX5&amp;"Template de desconto percentual BL Móvel - Internet Total - Varejo"),[6]BENEFICIOS!$A:$E,5,0)))</f>
        <v>MKT-1-9825544790</v>
      </c>
      <c r="DZ5" s="71">
        <v>16.5</v>
      </c>
      <c r="EA5" s="72">
        <f>IF(DZ5=0,"",IF(DZ5=VLOOKUP("SVA",[6]ARBOR!$A:$C,3,0),0.0001,IF(DZ5&gt;VLOOKUP("SVA",[6]ARBOR!$A:$C,3,0),"Maior que CAP!",IF((DOLLAR(DZ5+(VLOOKUP("SVA",[6]ARBOR!$A:$C,3,0)*-TRUNC(DZ5/VLOOKUP("SVA",[6]ARBOR!$A:$C,3,0)-1,4)),6))&lt;&gt;(DOLLAR(VLOOKUP("SVA",[6]ARBOR!$A:$C,3,0),6)),-TRUNC(DZ5/VLOOKUP("SVA",[6]ARBOR!$A:$C,3,0)-1,4)+0.0001,-TRUNC(DZ5/VLOOKUP("SVA",[6]ARBOR!$A:$C,3,0)-1,4)))))</f>
        <v>0.2301</v>
      </c>
      <c r="EB5" s="65" t="s">
        <v>227</v>
      </c>
      <c r="EC5" s="69"/>
      <c r="ED5" s="73"/>
      <c r="EE5" s="74"/>
      <c r="EF5" s="65"/>
      <c r="EG5" s="75">
        <f>IF(BI5="","",VLOOKUP(BI5,[6]ARBOR!A:C,3,0))</f>
        <v>479.46</v>
      </c>
      <c r="EH5" s="69">
        <v>15</v>
      </c>
      <c r="EI5" s="76">
        <f>IF(EH5="","",1-(EH5/VLOOKUP(BI5&amp;"ASS",[6]ARBOR!A:C,3,0)))</f>
        <v>0.34725848563968664</v>
      </c>
      <c r="EJ5" s="77" t="s">
        <v>228</v>
      </c>
      <c r="EK5" s="78" t="s">
        <v>229</v>
      </c>
      <c r="EL5" s="69">
        <v>137.16</v>
      </c>
      <c r="EM5" s="64">
        <f>ROUND(IF(EL5=0,"",IF(EL5=EG5,0.0001,1-((EL5+(VLOOKUP(BI5&amp;"ASS",[6]ARBOR!A:C,3,0)-EH5))/EG5))),4)</f>
        <v>0.69730000000000003</v>
      </c>
      <c r="EN5" s="65" t="str">
        <f>IF(ISERROR(IF(EM5="","",VLOOKUP(($BH5&amp;EM5&amp;"Template de desconto percentual FLAT Móvel - Conta Total - Varejo - Ganho Tributário Cross"),[6]BENEFICIOS!$A:$E,5,0))),"Criar",IF(EM5="","",VLOOKUP(($BH5&amp;EM5&amp;"Template de desconto percentual FLAT Móvel - Conta Total - Varejo - Ganho Tributário Cross"),[6]BENEFICIOS!$A:$E,5,0)))</f>
        <v>Criar</v>
      </c>
      <c r="EO5" s="79"/>
      <c r="EP5" s="64"/>
      <c r="EQ5" s="72"/>
      <c r="ER5" s="72"/>
      <c r="ES5" s="64"/>
      <c r="ET5" s="80"/>
      <c r="EU5" s="81" t="s">
        <v>248</v>
      </c>
      <c r="EV5" s="81" t="s">
        <v>249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IF(FC5=0,"",IF(FC5=VLOOKUP("PCS-10357",[6]ARBOR!$A:$C,3,0),0.0001,IF(FC5&gt;VLOOKUP("PCS-10357",[6]ARBOR!$A:$C,3,0),"Maior que CAP!",ROUND(-1*(FC5/VLOOKUP("PCS-10357",[6]ARBOR!$A:$C,3,0)-1),4))))</f>
        <v>0.8669</v>
      </c>
      <c r="FE5" s="84" t="str">
        <f>IF(ISERROR(IF(FD5="","",VLOOKUP(("Oi Internet Pra Celular 1GB"&amp;FD5&amp;"Template Flat Instância Dados"),[6]BENEFICIOS!$A:$E,5,0))),"Criar",IF(FD5="","",VLOOKUP(("Oi Internet Pra Celular 1GB"&amp;FD5&amp;"Template Flat Instância Dados"),[6]BENEFICIOS!$A:$E,5,0)))</f>
        <v>MKT-1-9869952543</v>
      </c>
      <c r="FF5" s="82"/>
      <c r="FG5" s="83" t="str">
        <f>IF(FF5=0,"",IF(FF5=VLOOKUP("PCS-813565",[6]ARBOR!$A:$C,3,0),0.0001,IF(FF5&gt;VLOOKUP("PCS-813565",[6]ARBOR!$A:$C,3,0),"Maior que CAP!",ROUND(-1*(FF5/VLOOKUP("PCS-813565",[6]ARBOR!$A:$C,3,0)-1),4))))</f>
        <v/>
      </c>
      <c r="FH5" s="84" t="str">
        <f>IF(ISERROR(IF(FG5="","",VLOOKUP(("Oi Internet Pra Celular 2GB"&amp;FG5&amp;"Template Flat Instância Dados"),[6]BENEFICIOS!$A:$E,5,0))),"Criar",IF(FG5="","",VLOOKUP(("Oi Internet Pra Celular 2GB"&amp;FG5&amp;"Template Flat Instância Dados"),[6]BENEFICIOS!$A:$E,5,0)))</f>
        <v/>
      </c>
      <c r="FI5" s="82"/>
      <c r="FJ5" s="83" t="str">
        <f>IF(FI5=0,"",IF(FI5=VLOOKUP("PCS-7171B",[6]ARBOR!$A:$C,3,0),0.0001,IF(FI5&gt;VLOOKUP("PCS-7171B",[6]ARBOR!$A:$C,3,0),"Maior que CAP!",ROUND(-1*(FI5/VLOOKUP("PCS-7171B",[6]ARBOR!$A:$C,3,0)-1),4))))</f>
        <v/>
      </c>
      <c r="FK5" s="84" t="str">
        <f>IF(ISERROR(IF(FJ5="","",VLOOKUP(("Oi Internet Pra Celular 3GB"&amp;FJ5&amp;"Template Flat Instância Dados"),[6]BENEFICIOS!$A:$E,5,0))),"Criar",IF(FJ5="","",VLOOKUP(("Oi Internet Pra Celular 3GB"&amp;FJ5&amp;"Template Flat Instância Dados"),[6]BENEFICIOS!$A:$E,5,0)))</f>
        <v/>
      </c>
      <c r="FL5" s="82"/>
      <c r="FM5" s="83" t="str">
        <f>IF(FL5=0,"",IF(FL5=VLOOKUP("PCS-51793o08",[6]ARBOR!$A:$C,3,0),0.0001,IF(FL5&gt;VLOOKUP("PCS-51793o08",[6]ARBOR!$A:$C,3,0),"Maior que CAP!",ROUND(-1*(FL5/VLOOKUP("PCS-51793o08",[6]ARBOR!$A:$C,3,0)-1),4))))</f>
        <v/>
      </c>
      <c r="FN5" s="84" t="str">
        <f>IF(ISERROR(IF(FM5="","",VLOOKUP(("Oi Internet Pra Celular 5GB"&amp;FM5&amp;"Template Flat Instância Dados"),[6]BENEFICIOS!$A:$E,5,0))),"Criar",IF(FM5="","",VLOOKUP(("Oi Internet Pra Celular 5GB"&amp;FM5&amp;"Template Flat Instância Dados"),[6]BENEFICIOS!$A:$E,5,0)))</f>
        <v/>
      </c>
      <c r="FO5" s="82"/>
      <c r="FP5" s="83" t="str">
        <f>IF(FO5=0,"",IF(FO5=VLOOKUP("PCS-7171A",[6]ARBOR!$A:$C,3,0),0.0001,IF(FO5&gt;VLOOKUP("PCS-7171A",[6]ARBOR!$A:$C,3,0),"Maior que CAP!",ROUND(-1*(FO5/VLOOKUP("PCS-7171A",[6]ARBOR!$A:$C,3,0)-1),4))))</f>
        <v/>
      </c>
      <c r="FQ5" s="84" t="str">
        <f>IF(ISERROR(IF(FP5="","",VLOOKUP(("Oi Internet Pra Celular 10GB"&amp;FP5&amp;"Template Flat Instância Dados"),[6]BENEFICIOS!$A:$E,5,0))),"Criar",IF(FP5="","",VLOOKUP(("Oi Internet Pra Celular 10GB"&amp;FP5&amp;"Template Flat Instância Dados"),[6]BENEFICIOS!$A:$E,5,0)))</f>
        <v/>
      </c>
      <c r="FR5" s="85">
        <v>0.74219999999999997</v>
      </c>
      <c r="FS5" s="86" t="s">
        <v>250</v>
      </c>
      <c r="FT5" s="48"/>
      <c r="FU5" s="87"/>
      <c r="FV5" s="88" t="s">
        <v>225</v>
      </c>
      <c r="FW5" s="49" t="s">
        <v>230</v>
      </c>
      <c r="FX5" s="89">
        <v>999</v>
      </c>
      <c r="FY5" s="49">
        <v>12</v>
      </c>
      <c r="FZ5" s="90" t="s">
        <v>231</v>
      </c>
      <c r="GA5" s="91" t="str">
        <f t="shared" si="1"/>
        <v>PCS-Fk83324</v>
      </c>
      <c r="GB5" s="92" t="str">
        <f t="shared" si="2"/>
        <v>PCS-SBL553142</v>
      </c>
      <c r="GC5" s="93" t="s">
        <v>232</v>
      </c>
      <c r="GD5" s="90" t="s">
        <v>233</v>
      </c>
      <c r="GE5" s="92" t="s">
        <v>234</v>
      </c>
      <c r="GF5" s="93" t="s">
        <v>235</v>
      </c>
      <c r="GG5" s="90" t="s">
        <v>236</v>
      </c>
      <c r="GH5" s="92" t="s">
        <v>237</v>
      </c>
      <c r="GI5" s="94" t="s">
        <v>238</v>
      </c>
      <c r="GJ5" s="95">
        <f>FC5+EL5+DW5+BJ5</f>
        <v>240.9</v>
      </c>
      <c r="GK5" s="96"/>
      <c r="GL5" s="97" t="s">
        <v>239</v>
      </c>
      <c r="GM5" s="98" t="s">
        <v>240</v>
      </c>
      <c r="GN5" s="97">
        <f>VLOOKUP($A5,'[6]TABELA COM TUDO'!$A:$AB,25,0)</f>
        <v>14</v>
      </c>
      <c r="GO5" s="99">
        <f>VLOOKUP($A5,'[6]TABELA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251</v>
      </c>
      <c r="GX5" s="44" t="s">
        <v>242</v>
      </c>
    </row>
    <row r="6" spans="1:206" s="44" customFormat="1" x14ac:dyDescent="0.25">
      <c r="A6" s="44" t="str">
        <f t="shared" si="0"/>
        <v>Oi Total Fixo + Pós 800 + Banda LargaN11GBMG</v>
      </c>
      <c r="B6" s="45" t="s">
        <v>215</v>
      </c>
      <c r="C6" s="46" t="s">
        <v>131</v>
      </c>
      <c r="D6" s="46" t="s">
        <v>216</v>
      </c>
      <c r="E6" s="47" t="s">
        <v>217</v>
      </c>
      <c r="F6" s="48" t="s">
        <v>218</v>
      </c>
      <c r="G6" s="49"/>
      <c r="H6" s="49"/>
      <c r="I6" s="49"/>
      <c r="J6" s="49" t="s">
        <v>218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218</v>
      </c>
      <c r="AC6" s="49" t="s">
        <v>218</v>
      </c>
      <c r="AD6" s="49" t="s">
        <v>218</v>
      </c>
      <c r="AE6" s="49" t="s">
        <v>218</v>
      </c>
      <c r="AF6" s="49" t="s">
        <v>218</v>
      </c>
      <c r="AG6" s="49" t="s">
        <v>218</v>
      </c>
      <c r="AH6" s="50"/>
      <c r="AI6" s="49" t="s">
        <v>218</v>
      </c>
      <c r="AJ6" s="49" t="s">
        <v>218</v>
      </c>
      <c r="AK6" s="49" t="s">
        <v>218</v>
      </c>
      <c r="AL6" s="49" t="s">
        <v>218</v>
      </c>
      <c r="AM6" s="49" t="s">
        <v>218</v>
      </c>
      <c r="AN6" s="49" t="s">
        <v>218</v>
      </c>
      <c r="AO6" s="49" t="s">
        <v>218</v>
      </c>
      <c r="AP6" s="49"/>
      <c r="AQ6" s="51"/>
      <c r="AR6" s="52" t="s">
        <v>252</v>
      </c>
      <c r="AS6" s="46" t="s">
        <v>220</v>
      </c>
      <c r="AT6" s="53" t="s">
        <v>221</v>
      </c>
      <c r="AU6" s="54">
        <v>42972</v>
      </c>
      <c r="AV6" s="55">
        <v>43038</v>
      </c>
      <c r="AW6" s="56" t="s">
        <v>222</v>
      </c>
      <c r="AX6" s="57" t="s">
        <v>222</v>
      </c>
      <c r="AY6" s="58"/>
      <c r="AZ6" s="58" t="s">
        <v>223</v>
      </c>
      <c r="BA6" s="58">
        <v>20</v>
      </c>
      <c r="BB6" s="58">
        <v>10000</v>
      </c>
      <c r="BC6" s="59" t="s">
        <v>224</v>
      </c>
      <c r="BD6" s="60" t="s">
        <v>225</v>
      </c>
      <c r="BE6" s="58" t="s">
        <v>217</v>
      </c>
      <c r="BF6" s="51" t="s">
        <v>217</v>
      </c>
      <c r="BG6" s="45" t="s">
        <v>252</v>
      </c>
      <c r="BH6" s="61" t="s">
        <v>226</v>
      </c>
      <c r="BI6" s="62" t="str">
        <f>IF(ISERROR(VLOOKUP(BH6,[6]PLANOS!B:C,2,0)),"",VLOOKUP(BH6,[6]PLANOS!B:C,2,0))</f>
        <v>PCS-4P6pi</v>
      </c>
      <c r="BJ6" s="63">
        <v>50.1</v>
      </c>
      <c r="BK6" s="64">
        <f>IF(BJ6=0,"",IF(BJ6=VLOOKUP("FIXO",[6]ARBOR!$A:$C,3,0),0.0001,IF(BJ6&gt;VLOOKUP("FIXO",[6]ARBOR!$A:$C,3,0),"Maior que CAP!",IF((DOLLAR(BJ6+(VLOOKUP("FIXO",[6]ARBOR!$A:$C,3,0)*-TRUNC(BJ6/VLOOKUP("FIXO",[6]ARBOR!$A:$C,3,0)-1,4)),6))&lt;&gt;(DOLLAR(VLOOKUP("FIXO",[6]ARBOR!$A:$C,3,0),6)),-TRUNC(BJ6/VLOOKUP("FIXO",[6]ARBOR!$A:$C,3,0)-1,4)+0.0001,-TRUNC(BJ6/VLOOKUP("FIXO",[6]ARBOR!$A:$C,3,0)-1,4)))))</f>
        <v>0.33939999999999998</v>
      </c>
      <c r="BL6" s="65" t="str">
        <f>IF(ISERROR(IF(BK6="","",VLOOKUP(($BH6&amp;BK6&amp;"Template de desconto FLAT bundle - Fixo - Varejo - Ganho Tributário Cross"),[6]BENEFICIOS!$A:$E,5,0))),"Criar",IF(BK6="","",VLOOKUP(($BH6&amp;BK6&amp;"Template de desconto FLAT bundle - Fixo - Varejo - Ganho Tributário Cross"),[6]BENEFICIOS!$A:$E,5,0)))</f>
        <v>MKT-1-9856472058</v>
      </c>
      <c r="BM6" s="66"/>
      <c r="BN6" s="67"/>
      <c r="BO6" s="104" t="s">
        <v>244</v>
      </c>
      <c r="BP6" s="69">
        <v>44.9</v>
      </c>
      <c r="BQ6" s="64">
        <f>IF(BP6=0,"",IF(BP6=VLOOKUP("PCS-30874g",[6]ARBOR!$A:$C,3,0),0.0001,IF(BP6&gt;VLOOKUP("PCS-30874g",[6]ARBOR!$A:$C,3,0),"Maior que CAP!",IF((DOLLAR(BP6+(VLOOKUP("PCS-30874g",[6]ARBOR!$A:$C,3,0)*-TRUNC(BP6/VLOOKUP("PCS-30874g",[6]ARBOR!$A:$C,3,0)-1,4)),6))&lt;&gt;(DOLLAR(VLOOKUP("PCS-30874g",[6]ARBOR!$A:$C,3,0),6)),-TRUNC(BP6/VLOOKUP("PCS-30874g",[6]ARBOR!$A:$C,3,0)-1,4)+0.0001,-TRUNC(BP6/VLOOKUP("PCS-30874g",[6]ARBOR!$A:$C,3,0)-1,4)))))</f>
        <v>0.53679999999999994</v>
      </c>
      <c r="BR6" s="65" t="str">
        <f>IF(ISERROR(IF(BQ6="","",VLOOKUP(($BH6&amp;BQ6&amp;"Template de desconto FLAT bundle - Velox XDSL - Varejo"),[6]BENEFICIOS!$A:$E,5,0))),"Criar",IF(BQ6="","",VLOOKUP(($BH6&amp;BQ6&amp;"Template de desconto FLAT bundle - Velox XDSL - Varejo"),[6]BENEFICIOS!$A:$E,5,0)))</f>
        <v>MKT-1-9865126733</v>
      </c>
      <c r="BS6" s="104" t="s">
        <v>244</v>
      </c>
      <c r="BT6" s="69">
        <v>44.9</v>
      </c>
      <c r="BU6" s="64">
        <f>IF(BT6=0,"",IF(BT6=VLOOKUP("PCS-30577g",[6]ARBOR!$A:$C,3,0),0.0001,IF(BT6&gt;VLOOKUP("PCS-30577g",[6]ARBOR!$A:$C,3,0),"Maior que CAP!",IF((DOLLAR(BT6+(VLOOKUP("PCS-30577g",[6]ARBOR!$A:$C,3,0)*-TRUNC(BT6/VLOOKUP("PCS-30577g",[6]ARBOR!$A:$C,3,0)-1,4)),6))&lt;&gt;(DOLLAR(VLOOKUP("PCS-30577g",[6]ARBOR!$A:$C,3,0),6)),-TRUNC(BT6/VLOOKUP("PCS-30577g",[6]ARBOR!$A:$C,3,0)-1,4)+0.0001,-TRUNC(BT6/VLOOKUP("PCS-30577g",[6]ARBOR!$A:$C,3,0)-1,4)))))</f>
        <v>0.53679999999999994</v>
      </c>
      <c r="BV6" s="65" t="str">
        <f>IF(ISERROR(IF(BU6="","",VLOOKUP(($BH6&amp;BU6&amp;"Template de desconto FLAT bundle - Velox XDSL - Varejo"),[6]BENEFICIOS!$A:$E,5,0))),"Criar",IF(BU6="","",VLOOKUP(($BH6&amp;BU6&amp;"Template de desconto FLAT bundle - Velox XDSL - Varejo"),[6]BENEFICIOS!$A:$E,5,0)))</f>
        <v>MKT-1-9865126733</v>
      </c>
      <c r="BW6" s="104" t="s">
        <v>244</v>
      </c>
      <c r="BX6" s="69">
        <v>44.9</v>
      </c>
      <c r="BY6" s="64">
        <f>IF(BX6=0,"",IF(BX6=VLOOKUP("PCS-30604g",[6]ARBOR!$A:$C,3,0),0.0001,IF(BX6&gt;VLOOKUP("PCS-30604g",[6]ARBOR!$A:$C,3,0),"Maior que CAP!",IF((DOLLAR(BX6+(VLOOKUP("PCS-30604g",[6]ARBOR!$A:$C,3,0)*-TRUNC(BX6/VLOOKUP("PCS-30604g",[6]ARBOR!$A:$C,3,0)-1,4)),6))&lt;&gt;(DOLLAR(VLOOKUP("PCS-30604g",[6]ARBOR!$A:$C,3,0),6)),-TRUNC(BX6/VLOOKUP("PCS-30604g",[6]ARBOR!$A:$C,3,0)-1,4)+0.0001,-TRUNC(BX6/VLOOKUP("PCS-30604g",[6]ARBOR!$A:$C,3,0)-1,4)))))</f>
        <v>0.53679999999999994</v>
      </c>
      <c r="BZ6" s="65" t="str">
        <f>IF(ISERROR(IF(BY6="","",VLOOKUP(($BH6&amp;BY6&amp;"Template de desconto FLAT bundle - Velox XDSL - Varejo"),[6]BENEFICIOS!$A:$E,5,0))),"Criar",IF(BY6="","",VLOOKUP(($BH6&amp;BY6&amp;"Template de desconto FLAT bundle - Velox XDSL - Varejo"),[6]BENEFICIOS!$A:$E,5,0)))</f>
        <v>MKT-1-9865126733</v>
      </c>
      <c r="CA6" s="104" t="s">
        <v>244</v>
      </c>
      <c r="CB6" s="69">
        <v>44.9</v>
      </c>
      <c r="CC6" s="64">
        <f>IF(CB6=0,"",IF(CB6=VLOOKUP("PCS-30631g",[6]ARBOR!$A:$C,3,0),0.0001,IF(CB6&gt;VLOOKUP("PCS-30631g",[6]ARBOR!$A:$C,3,0),"Maior que CAP!",IF((DOLLAR(CB6+(VLOOKUP("PCS-30631g",[6]ARBOR!$A:$C,3,0)*-TRUNC(CB6/VLOOKUP("PCS-30631g",[6]ARBOR!$A:$C,3,0)-1,4)),6))&lt;&gt;(DOLLAR(VLOOKUP("PCS-30631g",[6]ARBOR!$A:$C,3,0),6)),-TRUNC(CB6/VLOOKUP("PCS-30631g",[6]ARBOR!$A:$C,3,0)-1,4)+0.0001,-TRUNC(CB6/VLOOKUP("PCS-30631g",[6]ARBOR!$A:$C,3,0)-1,4)))))</f>
        <v>0.54310000000000003</v>
      </c>
      <c r="CD6" s="65" t="str">
        <f>IF(ISERROR(IF(CC6="","",VLOOKUP(($BH6&amp;CC6&amp;"Template de desconto FLAT bundle - Velox XDSL - Varejo"),[6]BENEFICIOS!$A:$E,5,0))),"Criar",IF(CC6="","",VLOOKUP(($BH6&amp;CC6&amp;"Template de desconto FLAT bundle - Velox XDSL - Varejo"),[6]BENEFICIOS!$A:$E,5,0)))</f>
        <v>MKT-1-9865126826</v>
      </c>
      <c r="CE6" s="68" t="s">
        <v>165</v>
      </c>
      <c r="CF6" s="69">
        <v>49.9</v>
      </c>
      <c r="CG6" s="64">
        <f>IF(CF6=0,"",IF(CF6=VLOOKUP("PCS-30658g",[6]ARBOR!$A:$C,3,0),0.0001,IF(CF6&gt;VLOOKUP("PCS-30658g",[6]ARBOR!$A:$C,3,0),"Maior que CAP!",IF((DOLLAR(CF6+(VLOOKUP("PCS-30658g",[6]ARBOR!$A:$C,3,0)*-TRUNC(CF6/VLOOKUP("PCS-30658g",[6]ARBOR!$A:$C,3,0)-1,4)),6))&lt;&gt;(DOLLAR(VLOOKUP("PCS-30658g",[6]ARBOR!$A:$C,3,0),6)),-TRUNC(CF6/VLOOKUP("PCS-30658g",[6]ARBOR!$A:$C,3,0)-1,4)+0.0001,-TRUNC(CF6/VLOOKUP("PCS-30658g",[6]ARBOR!$A:$C,3,0)-1,4)))))</f>
        <v>0.55569999999999997</v>
      </c>
      <c r="CH6" s="65" t="str">
        <f>IF(ISERROR(IF(CG6="","",VLOOKUP(($BH6&amp;CG6&amp;"Template de desconto FLAT bundle - Velox XDSL - Varejo"),[6]BENEFICIOS!$A:$E,5,0))),"Criar",IF(CG6="","",VLOOKUP(($BH6&amp;CG6&amp;"Template de desconto FLAT bundle - Velox XDSL - Varejo"),[6]BENEFICIOS!$A:$E,5,0)))</f>
        <v>MKT-1-9865126919</v>
      </c>
      <c r="CI6" s="68" t="s">
        <v>165</v>
      </c>
      <c r="CJ6" s="69">
        <v>49.9</v>
      </c>
      <c r="CK6" s="64">
        <f>IF(CJ6=0,"",IF(CJ6=VLOOKUP("PCS-30685g",[6]ARBOR!$A:$C,3,0),0.0001,IF(CJ6&gt;VLOOKUP("PCS-30685g",[6]ARBOR!$A:$C,3,0),"Maior que CAP!",IF((DOLLAR(CJ6+(VLOOKUP("PCS-30685g",[6]ARBOR!$A:$C,3,0)*-TRUNC(CJ6/VLOOKUP("PCS-30685g",[6]ARBOR!$A:$C,3,0)-1,4)),6))&lt;&gt;(DOLLAR(VLOOKUP("PCS-30685g",[6]ARBOR!$A:$C,3,0),6)),-TRUNC(CJ6/VLOOKUP("PCS-30685g",[6]ARBOR!$A:$C,3,0)-1,4)+0.0001,-TRUNC(CJ6/VLOOKUP("PCS-30685g",[6]ARBOR!$A:$C,3,0)-1,4)))))</f>
        <v>0.60509999999999997</v>
      </c>
      <c r="CL6" s="65" t="str">
        <f>IF(ISERROR(IF(CK6="","",VLOOKUP(($BH6&amp;CK6&amp;"Template de desconto FLAT bundle - Velox XDSL - Varejo"),[6]BENEFICIOS!$A:$E,5,0))),"Criar",IF(CK6="","",VLOOKUP(($BH6&amp;CK6&amp;"Template de desconto FLAT bundle - Velox XDSL - Varejo"),[6]BENEFICIOS!$A:$E,5,0)))</f>
        <v>MKT-1-9865694381</v>
      </c>
      <c r="CM6" s="68" t="s">
        <v>165</v>
      </c>
      <c r="CN6" s="69">
        <v>49.9</v>
      </c>
      <c r="CO6" s="64">
        <f>IF(CN6=0,"",IF(CN6=VLOOKUP("PCS-30712g",[6]ARBOR!$A:$C,3,0),0.0001,IF(CN6&gt;VLOOKUP("PCS-30712g",[6]ARBOR!$A:$C,3,0),"Maior que CAP!",IF((DOLLAR(CN6+(VLOOKUP("PCS-30712g",[6]ARBOR!$A:$C,3,0)*-TRUNC(CN6/VLOOKUP("PCS-30712g",[6]ARBOR!$A:$C,3,0)-1,4)),6))&lt;&gt;(DOLLAR(VLOOKUP("PCS-30712g",[6]ARBOR!$A:$C,3,0),6)),-TRUNC(CN6/VLOOKUP("PCS-30712g",[6]ARBOR!$A:$C,3,0)-1,4)+0.0001,-TRUNC(CN6/VLOOKUP("PCS-30712g",[6]ARBOR!$A:$C,3,0)-1,4)))))</f>
        <v>0.64459999999999995</v>
      </c>
      <c r="CP6" s="65" t="str">
        <f>IF(ISERROR(IF(CO6="","",VLOOKUP(($BH6&amp;CO6&amp;"Template de desconto FLAT bundle - Velox XDSL - Varejo"),[6]BENEFICIOS!$A:$E,5,0))),"Criar",IF(CO6="","",VLOOKUP(($BH6&amp;CO6&amp;"Template de desconto FLAT bundle - Velox XDSL - Varejo"),[6]BENEFICIOS!$A:$E,5,0)))</f>
        <v>MKT-1-9865191105</v>
      </c>
      <c r="CQ6" s="68" t="s">
        <v>165</v>
      </c>
      <c r="CR6" s="69">
        <v>59.9</v>
      </c>
      <c r="CS6" s="64">
        <f>IF(CR6=0,"",IF(CR6=VLOOKUP("PCS-30739g",[6]ARBOR!$A:$C,3,0),0.0001,IF(CR6&gt;VLOOKUP("PCS-30739g",[6]ARBOR!$A:$C,3,0),"Maior que CAP!",IF((DOLLAR(CR6+(VLOOKUP("PCS-30739g",[6]ARBOR!$A:$C,3,0)*-TRUNC(CR6/VLOOKUP("PCS-30739g",[6]ARBOR!$A:$C,3,0)-1,4)),6))&lt;&gt;(DOLLAR(VLOOKUP("PCS-30739g",[6]ARBOR!$A:$C,3,0),6)),-TRUNC(CR6/VLOOKUP("PCS-30739g",[6]ARBOR!$A:$C,3,0)-1,4)+0.0001,-TRUNC(CR6/VLOOKUP("PCS-30739g",[6]ARBOR!$A:$C,3,0)-1,4)))))</f>
        <v>0.71560000000000001</v>
      </c>
      <c r="CT6" s="65" t="str">
        <f>IF(ISERROR(IF(CS6="","",VLOOKUP(($BH6&amp;CS6&amp;"Template de desconto FLAT bundle - Velox XDSL - Varejo"),[6]BENEFICIOS!$A:$E,5,0))),"Criar",IF(CS6="","",VLOOKUP(($BH6&amp;CS6&amp;"Template de desconto FLAT bundle - Velox XDSL - Varejo"),[6]BENEFICIOS!$A:$E,5,0)))</f>
        <v>MKT-1-9865191198</v>
      </c>
      <c r="CU6" s="69"/>
      <c r="CV6" s="70"/>
      <c r="CW6" s="64"/>
      <c r="CX6" s="65"/>
      <c r="CY6" s="68" t="s">
        <v>165</v>
      </c>
      <c r="CZ6" s="69">
        <v>59.9</v>
      </c>
      <c r="DA6" s="64">
        <f>IF(CZ6=0,"",IF(CZ6=VLOOKUP("PCS-30766g",[6]ARBOR!$A:$C,3,0),0.0001,IF(CZ6&gt;VLOOKUP("PCS-30766g",[6]ARBOR!$A:$C,3,0),"Maior que CAP!",IF((DOLLAR(CZ6+(VLOOKUP("PCS-30766g",[6]ARBOR!$A:$C,3,0)*-TRUNC(CZ6/VLOOKUP("PCS-30766g",[6]ARBOR!$A:$C,3,0)-1,4)),6))&lt;&gt;(DOLLAR(VLOOKUP("PCS-30766g",[6]ARBOR!$A:$C,3,0),6)),-TRUNC(CZ6/VLOOKUP("PCS-30766g",[6]ARBOR!$A:$C,3,0)-1,4)+0.0001,-TRUNC(CZ6/VLOOKUP("PCS-30766g",[6]ARBOR!$A:$C,3,0)-1,4)))))</f>
        <v>0.78669999999999995</v>
      </c>
      <c r="DB6" s="65" t="str">
        <f>IF(ISERROR(IF(DA6="","",VLOOKUP(($BH6&amp;DA6&amp;"Template de desconto FLAT bundle - Velox XDSL - Varejo"),[6]BENEFICIOS!$A:$E,5,0))),"Criar",IF(DA6="","",VLOOKUP(($BH6&amp;DA6&amp;"Template de desconto FLAT bundle - Velox XDSL - Varejo"),[6]BENEFICIOS!$A:$E,5,0)))</f>
        <v>MKT-1-9865191291</v>
      </c>
      <c r="DC6" s="69"/>
      <c r="DD6" s="70"/>
      <c r="DE6" s="64"/>
      <c r="DF6" s="65"/>
      <c r="DG6" s="68" t="s">
        <v>244</v>
      </c>
      <c r="DH6" s="69">
        <v>69.900000000000006</v>
      </c>
      <c r="DI6" s="64">
        <f>IF(DH6=0,"",IF(DH6=VLOOKUP("PCS-30793g",[6]ARBOR!$A:$C,3,0),0.0001,IF(DH6&gt;VLOOKUP("PCS-30793g",[6]ARBOR!$A:$C,3,0),"Maior que CAP!",IF((DOLLAR(DH6+(VLOOKUP("PCS-30793g",[6]ARBOR!$A:$C,3,0)*-TRUNC(DH6/VLOOKUP("PCS-30793g",[6]ARBOR!$A:$C,3,0)-1,4)),6))&lt;&gt;(DOLLAR(VLOOKUP("PCS-30793g",[6]ARBOR!$A:$C,3,0),6)),-TRUNC(DH6/VLOOKUP("PCS-30793g",[6]ARBOR!$A:$C,3,0)-1,4)+0.0001,-TRUNC(DH6/VLOOKUP("PCS-30793g",[6]ARBOR!$A:$C,3,0)-1,4)))))</f>
        <v>0.75109999999999999</v>
      </c>
      <c r="DJ6" s="65" t="str">
        <f>IF(ISERROR(IF(DI6="","",VLOOKUP(($BH6&amp;DI6&amp;"Template de desconto FLAT bundle - Velox XDSL - Varejo"),[6]BENEFICIOS!$A:$E,5,0))),"Criar",IF(DI6="","",VLOOKUP(($BH6&amp;DI6&amp;"Template de desconto FLAT bundle - Velox XDSL - Varejo"),[6]BENEFICIOS!$A:$E,5,0)))</f>
        <v>MKT-1-9865191384</v>
      </c>
      <c r="DK6" s="69"/>
      <c r="DL6" s="70"/>
      <c r="DM6" s="64"/>
      <c r="DN6" s="65"/>
      <c r="DO6" s="68" t="s">
        <v>165</v>
      </c>
      <c r="DP6" s="69">
        <v>69.900000000000006</v>
      </c>
      <c r="DQ6" s="64">
        <f>IF(DP6=0,"",IF(DP6=VLOOKUP("PCS-30820g",[6]ARBOR!$A:$C,3,0),0.0001,IF(DP6&gt;VLOOKUP("PCS-30820g",[6]ARBOR!$A:$C,3,0),"Maior que CAP!",IF((DOLLAR(DP6+(VLOOKUP("PCS-30820g",[6]ARBOR!$A:$C,3,0)*-TRUNC(DP6/VLOOKUP("PCS-30820g",[6]ARBOR!$A:$C,3,0)-1,4)),6))&lt;&gt;(DOLLAR(VLOOKUP("PCS-30820g",[6]ARBOR!$A:$C,3,0),6)),-TRUNC(DP6/VLOOKUP("PCS-30820g",[6]ARBOR!$A:$C,3,0)-1,4)+0.0001,-TRUNC(DP6/VLOOKUP("PCS-30820g",[6]ARBOR!$A:$C,3,0)-1,4)))))</f>
        <v>0.75109999999999999</v>
      </c>
      <c r="DR6" s="65" t="str">
        <f>IF(ISERROR(IF(DQ6="","",VLOOKUP(($BH6&amp;DQ6&amp;"Template de desconto FLAT bundle - Velox XDSL - Varejo"),[6]BENEFICIOS!$A:$E,5,0))),"Criar",IF(DQ6="","",VLOOKUP(($BH6&amp;DQ6&amp;"Template de desconto FLAT bundle - Velox XDSL - Varejo"),[6]BENEFICIOS!$A:$E,5,0)))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IF(DW6=0,"",IF(DW6=VLOOKUP("PCS-21448p2",[6]ARBOR!$A:$C,3,0),0.0001,IF(DW6&gt;VLOOKUP("PCS-21448p2",[6]ARBOR!$A:$C,3,0),"Maior que CAP!",IF((DOLLAR(DW6+(VLOOKUP("PCS-21448p2",[6]ARBOR!$A:$C,3,0)*-TRUNC(DW6/VLOOKUP("PCS-21448p2",[6]ARBOR!$A:$C,3,0)-1,4)),6))&lt;&gt;(DOLLAR(VLOOKUP("PCS-21448p2",[6]ARBOR!$A:$C,3,0),6)),-TRUNC(DW6/VLOOKUP("PCS-21448p2",[6]ARBOR!$A:$C,3,0)-1,4)+0.0001,-TRUNC(DW6/VLOOKUP("PCS-21448p2",[6]ARBOR!$A:$C,3,0)-1,4)))))</f>
        <v/>
      </c>
      <c r="DY6" s="65" t="str">
        <f>IF(ISERROR(IF(DX6="","",VLOOKUP(("Oi Conta Total Plug 10GB Downgrade"&amp;DX6&amp;"Template de desconto percentual BL Móvel - Internet Total - Varejo"),[6]BENEFICIOS!$A:$E,5,0))),"Criar",IF(DX6="","",VLOOKUP(("Oi Conta Total Plug 10GB Downgrade"&amp;DX6&amp;"Template de desconto percentual BL Móvel - Internet Total - Varejo"),[6]BENEFICIOS!$A:$E,5,0)))</f>
        <v/>
      </c>
      <c r="DZ6" s="71">
        <v>19.899999999999999</v>
      </c>
      <c r="EA6" s="72">
        <f>IF(DZ6=0,"",IF(DZ6=VLOOKUP("SVA",[6]ARBOR!$A:$C,3,0),0.0001,IF(DZ6&gt;VLOOKUP("SVA",[6]ARBOR!$A:$C,3,0),"Maior que CAP!",IF((DOLLAR(DZ6+(VLOOKUP("SVA",[6]ARBOR!$A:$C,3,0)*-TRUNC(DZ6/VLOOKUP("SVA",[6]ARBOR!$A:$C,3,0)-1,4)),6))&lt;&gt;(DOLLAR(VLOOKUP("SVA",[6]ARBOR!$A:$C,3,0),6)),-TRUNC(DZ6/VLOOKUP("SVA",[6]ARBOR!$A:$C,3,0)-1,4)+0.0001,-TRUNC(DZ6/VLOOKUP("SVA",[6]ARBOR!$A:$C,3,0)-1,4)))))</f>
        <v>7.1400000000000005E-2</v>
      </c>
      <c r="EB6" s="65" t="s">
        <v>245</v>
      </c>
      <c r="EC6" s="69"/>
      <c r="ED6" s="73"/>
      <c r="EE6" s="74"/>
      <c r="EF6" s="65"/>
      <c r="EG6" s="75">
        <f>IF(BI6="","",VLOOKUP(BI6,[6]ARBOR!A:C,3,0))</f>
        <v>479.46</v>
      </c>
      <c r="EH6" s="69">
        <v>15</v>
      </c>
      <c r="EI6" s="76">
        <f>IF(EH6="","",1-(EH6/VLOOKUP(BI6&amp;"ASS",[6]ARBOR!A:C,3,0)))</f>
        <v>0.34725848563968664</v>
      </c>
      <c r="EJ6" s="77" t="s">
        <v>228</v>
      </c>
      <c r="EK6" s="78" t="s">
        <v>229</v>
      </c>
      <c r="EL6" s="69">
        <v>137.16</v>
      </c>
      <c r="EM6" s="64">
        <f>ROUND(IF(EL6=0,"",IF(EL6=EG6,0.0001,1-((EL6+(VLOOKUP(BI6&amp;"ASS",[6]ARBOR!A:C,3,0)-EH6))/EG6))),4)</f>
        <v>0.69730000000000003</v>
      </c>
      <c r="EN6" s="65" t="str">
        <f>IF(ISERROR(IF(EM6="","",VLOOKUP(($BH6&amp;EM6&amp;"Template de desconto percentual FLAT Móvel - Conta Total - Varejo - Ganho Tributário Cross"),[6]BENEFICIOS!$A:$E,5,0))),"Criar",IF(EM6="","",VLOOKUP(($BH6&amp;EM6&amp;"Template de desconto percentual FLAT Móvel - Conta Total - Varejo - Ganho Tributário Cross"),[6]BENEFICIOS!$A:$E,5,0)))</f>
        <v>Criar</v>
      </c>
      <c r="EO6" s="79"/>
      <c r="EP6" s="64"/>
      <c r="EQ6" s="72"/>
      <c r="ER6" s="72"/>
      <c r="ES6" s="64"/>
      <c r="ET6" s="80"/>
      <c r="EU6" s="81" t="s">
        <v>248</v>
      </c>
      <c r="EV6" s="81" t="s">
        <v>249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IF(FC6=0,"",IF(FC6=VLOOKUP("PCS-10357",[6]ARBOR!$A:$C,3,0),0.0001,IF(FC6&gt;VLOOKUP("PCS-10357",[6]ARBOR!$A:$C,3,0),"Maior que CAP!",ROUND(-1*(FC6/VLOOKUP("PCS-10357",[6]ARBOR!$A:$C,3,0)-1),4))))</f>
        <v>0.8669</v>
      </c>
      <c r="FE6" s="84" t="str">
        <f>IF(ISERROR(IF(FD6="","",VLOOKUP(("Oi Internet Pra Celular 1GB"&amp;FD6&amp;"Template Flat Instância Dados"),[6]BENEFICIOS!$A:$E,5,0))),"Criar",IF(FD6="","",VLOOKUP(("Oi Internet Pra Celular 1GB"&amp;FD6&amp;"Template Flat Instância Dados"),[6]BENEFICIOS!$A:$E,5,0)))</f>
        <v>MKT-1-9869952543</v>
      </c>
      <c r="FF6" s="82"/>
      <c r="FG6" s="83" t="str">
        <f>IF(FF6=0,"",IF(FF6=VLOOKUP("PCS-813565",[6]ARBOR!$A:$C,3,0),0.0001,IF(FF6&gt;VLOOKUP("PCS-813565",[6]ARBOR!$A:$C,3,0),"Maior que CAP!",ROUND(-1*(FF6/VLOOKUP("PCS-813565",[6]ARBOR!$A:$C,3,0)-1),4))))</f>
        <v/>
      </c>
      <c r="FH6" s="84" t="str">
        <f>IF(ISERROR(IF(FG6="","",VLOOKUP(("Oi Internet Pra Celular 2GB"&amp;FG6&amp;"Template Flat Instância Dados"),[6]BENEFICIOS!$A:$E,5,0))),"Criar",IF(FG6="","",VLOOKUP(("Oi Internet Pra Celular 2GB"&amp;FG6&amp;"Template Flat Instância Dados"),[6]BENEFICIOS!$A:$E,5,0)))</f>
        <v/>
      </c>
      <c r="FI6" s="82"/>
      <c r="FJ6" s="83" t="str">
        <f>IF(FI6=0,"",IF(FI6=VLOOKUP("PCS-7171B",[6]ARBOR!$A:$C,3,0),0.0001,IF(FI6&gt;VLOOKUP("PCS-7171B",[6]ARBOR!$A:$C,3,0),"Maior que CAP!",ROUND(-1*(FI6/VLOOKUP("PCS-7171B",[6]ARBOR!$A:$C,3,0)-1),4))))</f>
        <v/>
      </c>
      <c r="FK6" s="84" t="str">
        <f>IF(ISERROR(IF(FJ6="","",VLOOKUP(("Oi Internet Pra Celular 3GB"&amp;FJ6&amp;"Template Flat Instância Dados"),[6]BENEFICIOS!$A:$E,5,0))),"Criar",IF(FJ6="","",VLOOKUP(("Oi Internet Pra Celular 3GB"&amp;FJ6&amp;"Template Flat Instância Dados"),[6]BENEFICIOS!$A:$E,5,0)))</f>
        <v/>
      </c>
      <c r="FL6" s="82"/>
      <c r="FM6" s="83" t="str">
        <f>IF(FL6=0,"",IF(FL6=VLOOKUP("PCS-51793o08",[6]ARBOR!$A:$C,3,0),0.0001,IF(FL6&gt;VLOOKUP("PCS-51793o08",[6]ARBOR!$A:$C,3,0),"Maior que CAP!",ROUND(-1*(FL6/VLOOKUP("PCS-51793o08",[6]ARBOR!$A:$C,3,0)-1),4))))</f>
        <v/>
      </c>
      <c r="FN6" s="84" t="str">
        <f>IF(ISERROR(IF(FM6="","",VLOOKUP(("Oi Internet Pra Celular 5GB"&amp;FM6&amp;"Template Flat Instância Dados"),[6]BENEFICIOS!$A:$E,5,0))),"Criar",IF(FM6="","",VLOOKUP(("Oi Internet Pra Celular 5GB"&amp;FM6&amp;"Template Flat Instância Dados"),[6]BENEFICIOS!$A:$E,5,0)))</f>
        <v/>
      </c>
      <c r="FO6" s="82"/>
      <c r="FP6" s="83" t="str">
        <f>IF(FO6=0,"",IF(FO6=VLOOKUP("PCS-7171A",[6]ARBOR!$A:$C,3,0),0.0001,IF(FO6&gt;VLOOKUP("PCS-7171A",[6]ARBOR!$A:$C,3,0),"Maior que CAP!",ROUND(-1*(FO6/VLOOKUP("PCS-7171A",[6]ARBOR!$A:$C,3,0)-1),4))))</f>
        <v/>
      </c>
      <c r="FQ6" s="84" t="str">
        <f>IF(ISERROR(IF(FP6="","",VLOOKUP(("Oi Internet Pra Celular 10GB"&amp;FP6&amp;"Template Flat Instância Dados"),[6]BENEFICIOS!$A:$E,5,0))),"Criar",IF(FP6="","",VLOOKUP(("Oi Internet Pra Celular 10GB"&amp;FP6&amp;"Template Flat Instância Dados"),[6]BENEFICIOS!$A:$E,5,0)))</f>
        <v/>
      </c>
      <c r="FR6" s="85">
        <v>0.74219999999999997</v>
      </c>
      <c r="FS6" s="86" t="s">
        <v>250</v>
      </c>
      <c r="FT6" s="48"/>
      <c r="FU6" s="87"/>
      <c r="FV6" s="88" t="s">
        <v>225</v>
      </c>
      <c r="FW6" s="49" t="s">
        <v>230</v>
      </c>
      <c r="FX6" s="89">
        <v>999</v>
      </c>
      <c r="FY6" s="49">
        <v>12</v>
      </c>
      <c r="FZ6" s="90" t="s">
        <v>231</v>
      </c>
      <c r="GA6" s="91" t="str">
        <f t="shared" si="1"/>
        <v>PCS-Fk83324</v>
      </c>
      <c r="GB6" s="92" t="str">
        <f t="shared" si="2"/>
        <v>PCS-SBL553142</v>
      </c>
      <c r="GC6" s="93" t="s">
        <v>232</v>
      </c>
      <c r="GD6" s="90" t="s">
        <v>233</v>
      </c>
      <c r="GE6" s="92" t="s">
        <v>234</v>
      </c>
      <c r="GF6" s="93" t="s">
        <v>235</v>
      </c>
      <c r="GG6" s="90" t="s">
        <v>236</v>
      </c>
      <c r="GH6" s="92" t="s">
        <v>237</v>
      </c>
      <c r="GI6" s="94" t="s">
        <v>238</v>
      </c>
      <c r="GJ6" s="95">
        <f>FC6+EL6+CN6+BJ6</f>
        <v>245.9</v>
      </c>
      <c r="GK6" s="96"/>
      <c r="GL6" s="97" t="s">
        <v>239</v>
      </c>
      <c r="GM6" s="98" t="s">
        <v>240</v>
      </c>
      <c r="GN6" s="97">
        <f>VLOOKUP($A6,'[6]TABELA COM TUDO'!$A:$AB,25,0)</f>
        <v>14</v>
      </c>
      <c r="GO6" s="99">
        <f>VLOOKUP($A6,'[6]TABELA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253</v>
      </c>
      <c r="GX6" s="44" t="s">
        <v>242</v>
      </c>
    </row>
    <row r="7" spans="1:206" s="44" customFormat="1" x14ac:dyDescent="0.25">
      <c r="A7" s="44" t="str">
        <f t="shared" si="0"/>
        <v>Oi Total Fixo + Pós 800 + Banda LargaN12GBMG</v>
      </c>
      <c r="B7" s="45" t="s">
        <v>215</v>
      </c>
      <c r="C7" s="46" t="s">
        <v>131</v>
      </c>
      <c r="D7" s="46" t="s">
        <v>216</v>
      </c>
      <c r="E7" s="47" t="s">
        <v>217</v>
      </c>
      <c r="F7" s="48" t="s">
        <v>218</v>
      </c>
      <c r="G7" s="49"/>
      <c r="H7" s="49"/>
      <c r="I7" s="49"/>
      <c r="J7" s="49" t="s">
        <v>218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218</v>
      </c>
      <c r="AC7" s="49" t="s">
        <v>218</v>
      </c>
      <c r="AD7" s="49" t="s">
        <v>218</v>
      </c>
      <c r="AE7" s="49" t="s">
        <v>218</v>
      </c>
      <c r="AF7" s="49" t="s">
        <v>218</v>
      </c>
      <c r="AG7" s="49" t="s">
        <v>218</v>
      </c>
      <c r="AH7" s="50"/>
      <c r="AI7" s="49" t="s">
        <v>218</v>
      </c>
      <c r="AJ7" s="49" t="s">
        <v>218</v>
      </c>
      <c r="AK7" s="49" t="s">
        <v>218</v>
      </c>
      <c r="AL7" s="49" t="s">
        <v>218</v>
      </c>
      <c r="AM7" s="49" t="s">
        <v>218</v>
      </c>
      <c r="AN7" s="49" t="s">
        <v>218</v>
      </c>
      <c r="AO7" s="49" t="s">
        <v>218</v>
      </c>
      <c r="AP7" s="49"/>
      <c r="AQ7" s="51"/>
      <c r="AR7" s="52" t="s">
        <v>254</v>
      </c>
      <c r="AS7" s="46" t="s">
        <v>220</v>
      </c>
      <c r="AT7" s="53" t="s">
        <v>221</v>
      </c>
      <c r="AU7" s="54">
        <v>42972</v>
      </c>
      <c r="AV7" s="55">
        <v>43038</v>
      </c>
      <c r="AW7" s="56" t="s">
        <v>222</v>
      </c>
      <c r="AX7" s="57" t="s">
        <v>222</v>
      </c>
      <c r="AY7" s="58"/>
      <c r="AZ7" s="58" t="s">
        <v>223</v>
      </c>
      <c r="BA7" s="58">
        <v>20</v>
      </c>
      <c r="BB7" s="58">
        <v>10000</v>
      </c>
      <c r="BC7" s="59" t="s">
        <v>224</v>
      </c>
      <c r="BD7" s="60" t="s">
        <v>225</v>
      </c>
      <c r="BE7" s="58" t="s">
        <v>217</v>
      </c>
      <c r="BF7" s="51" t="s">
        <v>217</v>
      </c>
      <c r="BG7" s="45" t="s">
        <v>254</v>
      </c>
      <c r="BH7" s="61" t="s">
        <v>226</v>
      </c>
      <c r="BI7" s="62" t="str">
        <f>IF(ISERROR(VLOOKUP(BH7,[6]PLANOS!B:C,2,0)),"",VLOOKUP(BH7,[6]PLANOS!B:C,2,0))</f>
        <v>PCS-4P6pi</v>
      </c>
      <c r="BJ7" s="63">
        <v>50.1</v>
      </c>
      <c r="BK7" s="64">
        <f>IF(BJ7=0,"",IF(BJ7=VLOOKUP("FIXO",[6]ARBOR!$A:$C,3,0),0.0001,IF(BJ7&gt;VLOOKUP("FIXO",[6]ARBOR!$A:$C,3,0),"Maior que CAP!",IF((DOLLAR(BJ7+(VLOOKUP("FIXO",[6]ARBOR!$A:$C,3,0)*-TRUNC(BJ7/VLOOKUP("FIXO",[6]ARBOR!$A:$C,3,0)-1,4)),6))&lt;&gt;(DOLLAR(VLOOKUP("FIXO",[6]ARBOR!$A:$C,3,0),6)),-TRUNC(BJ7/VLOOKUP("FIXO",[6]ARBOR!$A:$C,3,0)-1,4)+0.0001,-TRUNC(BJ7/VLOOKUP("FIXO",[6]ARBOR!$A:$C,3,0)-1,4)))))</f>
        <v>0.33939999999999998</v>
      </c>
      <c r="BL7" s="65" t="str">
        <f>IF(ISERROR(IF(BK7="","",VLOOKUP(($BH7&amp;BK7&amp;"Template de desconto FLAT bundle - Fixo - Varejo - Ganho Tributário Cross"),[6]BENEFICIOS!$A:$E,5,0))),"Criar",IF(BK7="","",VLOOKUP(($BH7&amp;BK7&amp;"Template de desconto FLAT bundle - Fixo - Varejo - Ganho Tributário Cross"),[6]BENEFICIOS!$A:$E,5,0)))</f>
        <v>MKT-1-9856472058</v>
      </c>
      <c r="BM7" s="66"/>
      <c r="BN7" s="67"/>
      <c r="BO7" s="68" t="s">
        <v>165</v>
      </c>
      <c r="BP7" s="69">
        <v>44.9</v>
      </c>
      <c r="BQ7" s="64">
        <f>IF(BP7=0,"",IF(BP7=VLOOKUP("PCS-30874g",[6]ARBOR!$A:$C,3,0),0.0001,IF(BP7&gt;VLOOKUP("PCS-30874g",[6]ARBOR!$A:$C,3,0),"Maior que CAP!",IF((DOLLAR(BP7+(VLOOKUP("PCS-30874g",[6]ARBOR!$A:$C,3,0)*-TRUNC(BP7/VLOOKUP("PCS-30874g",[6]ARBOR!$A:$C,3,0)-1,4)),6))&lt;&gt;(DOLLAR(VLOOKUP("PCS-30874g",[6]ARBOR!$A:$C,3,0),6)),-TRUNC(BP7/VLOOKUP("PCS-30874g",[6]ARBOR!$A:$C,3,0)-1,4)+0.0001,-TRUNC(BP7/VLOOKUP("PCS-30874g",[6]ARBOR!$A:$C,3,0)-1,4)))))</f>
        <v>0.53679999999999994</v>
      </c>
      <c r="BR7" s="65" t="str">
        <f>IF(ISERROR(IF(BQ7="","",VLOOKUP(($BH7&amp;BQ7&amp;"Template de desconto FLAT bundle - Velox XDSL - Varejo"),[6]BENEFICIOS!$A:$E,5,0))),"Criar",IF(BQ7="","",VLOOKUP(($BH7&amp;BQ7&amp;"Template de desconto FLAT bundle - Velox XDSL - Varejo"),[6]BENEFICIOS!$A:$E,5,0)))</f>
        <v>MKT-1-9865126733</v>
      </c>
      <c r="BS7" s="68" t="s">
        <v>165</v>
      </c>
      <c r="BT7" s="69">
        <v>44.9</v>
      </c>
      <c r="BU7" s="64">
        <f>IF(BT7=0,"",IF(BT7=VLOOKUP("PCS-30577g",[6]ARBOR!$A:$C,3,0),0.0001,IF(BT7&gt;VLOOKUP("PCS-30577g",[6]ARBOR!$A:$C,3,0),"Maior que CAP!",IF((DOLLAR(BT7+(VLOOKUP("PCS-30577g",[6]ARBOR!$A:$C,3,0)*-TRUNC(BT7/VLOOKUP("PCS-30577g",[6]ARBOR!$A:$C,3,0)-1,4)),6))&lt;&gt;(DOLLAR(VLOOKUP("PCS-30577g",[6]ARBOR!$A:$C,3,0),6)),-TRUNC(BT7/VLOOKUP("PCS-30577g",[6]ARBOR!$A:$C,3,0)-1,4)+0.0001,-TRUNC(BT7/VLOOKUP("PCS-30577g",[6]ARBOR!$A:$C,3,0)-1,4)))))</f>
        <v>0.53679999999999994</v>
      </c>
      <c r="BV7" s="65" t="str">
        <f>IF(ISERROR(IF(BU7="","",VLOOKUP(($BH7&amp;BU7&amp;"Template de desconto FLAT bundle - Velox XDSL - Varejo"),[6]BENEFICIOS!$A:$E,5,0))),"Criar",IF(BU7="","",VLOOKUP(($BH7&amp;BU7&amp;"Template de desconto FLAT bundle - Velox XDSL - Varejo"),[6]BENEFICIOS!$A:$E,5,0)))</f>
        <v>MKT-1-9865126733</v>
      </c>
      <c r="BW7" s="68" t="s">
        <v>165</v>
      </c>
      <c r="BX7" s="69">
        <v>44.9</v>
      </c>
      <c r="BY7" s="64">
        <f>IF(BX7=0,"",IF(BX7=VLOOKUP("PCS-30604g",[6]ARBOR!$A:$C,3,0),0.0001,IF(BX7&gt;VLOOKUP("PCS-30604g",[6]ARBOR!$A:$C,3,0),"Maior que CAP!",IF((DOLLAR(BX7+(VLOOKUP("PCS-30604g",[6]ARBOR!$A:$C,3,0)*-TRUNC(BX7/VLOOKUP("PCS-30604g",[6]ARBOR!$A:$C,3,0)-1,4)),6))&lt;&gt;(DOLLAR(VLOOKUP("PCS-30604g",[6]ARBOR!$A:$C,3,0),6)),-TRUNC(BX7/VLOOKUP("PCS-30604g",[6]ARBOR!$A:$C,3,0)-1,4)+0.0001,-TRUNC(BX7/VLOOKUP("PCS-30604g",[6]ARBOR!$A:$C,3,0)-1,4)))))</f>
        <v>0.53679999999999994</v>
      </c>
      <c r="BZ7" s="65" t="str">
        <f>IF(ISERROR(IF(BY7="","",VLOOKUP(($BH7&amp;BY7&amp;"Template de desconto FLAT bundle - Velox XDSL - Varejo"),[6]BENEFICIOS!$A:$E,5,0))),"Criar",IF(BY7="","",VLOOKUP(($BH7&amp;BY7&amp;"Template de desconto FLAT bundle - Velox XDSL - Varejo"),[6]BENEFICIOS!$A:$E,5,0)))</f>
        <v>MKT-1-9865126733</v>
      </c>
      <c r="CA7" s="68" t="s">
        <v>165</v>
      </c>
      <c r="CB7" s="69">
        <v>44.9</v>
      </c>
      <c r="CC7" s="64">
        <f>IF(CB7=0,"",IF(CB7=VLOOKUP("PCS-30631g",[6]ARBOR!$A:$C,3,0),0.0001,IF(CB7&gt;VLOOKUP("PCS-30631g",[6]ARBOR!$A:$C,3,0),"Maior que CAP!",IF((DOLLAR(CB7+(VLOOKUP("PCS-30631g",[6]ARBOR!$A:$C,3,0)*-TRUNC(CB7/VLOOKUP("PCS-30631g",[6]ARBOR!$A:$C,3,0)-1,4)),6))&lt;&gt;(DOLLAR(VLOOKUP("PCS-30631g",[6]ARBOR!$A:$C,3,0),6)),-TRUNC(CB7/VLOOKUP("PCS-30631g",[6]ARBOR!$A:$C,3,0)-1,4)+0.0001,-TRUNC(CB7/VLOOKUP("PCS-30631g",[6]ARBOR!$A:$C,3,0)-1,4)))))</f>
        <v>0.54310000000000003</v>
      </c>
      <c r="CD7" s="65" t="str">
        <f>IF(ISERROR(IF(CC7="","",VLOOKUP(($BH7&amp;CC7&amp;"Template de desconto FLAT bundle - Velox XDSL - Varejo"),[6]BENEFICIOS!$A:$E,5,0))),"Criar",IF(CC7="","",VLOOKUP(($BH7&amp;CC7&amp;"Template de desconto FLAT bundle - Velox XDSL - Varejo"),[6]BENEFICIOS!$A:$E,5,0)))</f>
        <v>MKT-1-9865126826</v>
      </c>
      <c r="CE7" s="68"/>
      <c r="CF7" s="69"/>
      <c r="CG7" s="64" t="str">
        <f>IF(CF7=0,"",IF(CF7=VLOOKUP("PCS-30658g",[6]ARBOR!$A:$C,3,0),0.0001,IF(CF7&gt;VLOOKUP("PCS-30658g",[6]ARBOR!$A:$C,3,0),"Maior que CAP!",IF((DOLLAR(CF7+(VLOOKUP("PCS-30658g",[6]ARBOR!$A:$C,3,0)*-TRUNC(CF7/VLOOKUP("PCS-30658g",[6]ARBOR!$A:$C,3,0)-1,4)),6))&lt;&gt;(DOLLAR(VLOOKUP("PCS-30658g",[6]ARBOR!$A:$C,3,0),6)),-TRUNC(CF7/VLOOKUP("PCS-30658g",[6]ARBOR!$A:$C,3,0)-1,4)+0.0001,-TRUNC(CF7/VLOOKUP("PCS-30658g",[6]ARBOR!$A:$C,3,0)-1,4)))))</f>
        <v/>
      </c>
      <c r="CH7" s="65" t="str">
        <f>IF(ISERROR(IF(CG7="","",VLOOKUP(($BH7&amp;CG7&amp;"Template de desconto FLAT bundle - Velox XDSL - Varejo"),[6]BENEFICIOS!$A:$E,5,0))),"Criar",IF(CG7="","",VLOOKUP(($BH7&amp;CG7&amp;"Template de desconto FLAT bundle - Velox XDSL - Varejo"),[6]BENEFICIOS!$A:$E,5,0)))</f>
        <v/>
      </c>
      <c r="CI7" s="68"/>
      <c r="CJ7" s="69"/>
      <c r="CK7" s="64" t="str">
        <f>IF(CJ7=0,"",IF(CJ7=VLOOKUP("PCS-30685g",[6]ARBOR!$A:$C,3,0),0.0001,IF(CJ7&gt;VLOOKUP("PCS-30685g",[6]ARBOR!$A:$C,3,0),"Maior que CAP!",IF((DOLLAR(CJ7+(VLOOKUP("PCS-30685g",[6]ARBOR!$A:$C,3,0)*-TRUNC(CJ7/VLOOKUP("PCS-30685g",[6]ARBOR!$A:$C,3,0)-1,4)),6))&lt;&gt;(DOLLAR(VLOOKUP("PCS-30685g",[6]ARBOR!$A:$C,3,0),6)),-TRUNC(CJ7/VLOOKUP("PCS-30685g",[6]ARBOR!$A:$C,3,0)-1,4)+0.0001,-TRUNC(CJ7/VLOOKUP("PCS-30685g",[6]ARBOR!$A:$C,3,0)-1,4)))))</f>
        <v/>
      </c>
      <c r="CL7" s="65" t="str">
        <f>IF(ISERROR(IF(CK7="","",VLOOKUP(($BH7&amp;CK7&amp;"Template de desconto FLAT bundle - Velox XDSL - Varejo"),[6]BENEFICIOS!$A:$E,5,0))),"Criar",IF(CK7="","",VLOOKUP(($BH7&amp;CK7&amp;"Template de desconto FLAT bundle - Velox XDSL - Varejo"),[6]BENEFICIOS!$A:$E,5,0)))</f>
        <v/>
      </c>
      <c r="CM7" s="68"/>
      <c r="CN7" s="69"/>
      <c r="CO7" s="64" t="str">
        <f>IF(CN7=0,"",IF(CN7=VLOOKUP("PCS-30712g",[6]ARBOR!$A:$C,3,0),0.0001,IF(CN7&gt;VLOOKUP("PCS-30712g",[6]ARBOR!$A:$C,3,0),"Maior que CAP!",IF((DOLLAR(CN7+(VLOOKUP("PCS-30712g",[6]ARBOR!$A:$C,3,0)*-TRUNC(CN7/VLOOKUP("PCS-30712g",[6]ARBOR!$A:$C,3,0)-1,4)),6))&lt;&gt;(DOLLAR(VLOOKUP("PCS-30712g",[6]ARBOR!$A:$C,3,0),6)),-TRUNC(CN7/VLOOKUP("PCS-30712g",[6]ARBOR!$A:$C,3,0)-1,4)+0.0001,-TRUNC(CN7/VLOOKUP("PCS-30712g",[6]ARBOR!$A:$C,3,0)-1,4)))))</f>
        <v/>
      </c>
      <c r="CP7" s="65" t="str">
        <f>IF(ISERROR(IF(CO7="","",VLOOKUP(($BH7&amp;CO7&amp;"Template de desconto FLAT bundle - Velox XDSL - Varejo"),[6]BENEFICIOS!$A:$E,5,0))),"Criar",IF(CO7="","",VLOOKUP(($BH7&amp;CO7&amp;"Template de desconto FLAT bundle - Velox XDSL - Varejo"),[6]BENEFICIOS!$A:$E,5,0)))</f>
        <v/>
      </c>
      <c r="CQ7" s="68"/>
      <c r="CR7" s="69"/>
      <c r="CS7" s="64" t="str">
        <f>IF(CR7=0,"",IF(CR7=VLOOKUP("PCS-30739g",[6]ARBOR!$A:$C,3,0),0.0001,IF(CR7&gt;VLOOKUP("PCS-30739g",[6]ARBOR!$A:$C,3,0),"Maior que CAP!",IF((DOLLAR(CR7+(VLOOKUP("PCS-30739g",[6]ARBOR!$A:$C,3,0)*-TRUNC(CR7/VLOOKUP("PCS-30739g",[6]ARBOR!$A:$C,3,0)-1,4)),6))&lt;&gt;(DOLLAR(VLOOKUP("PCS-30739g",[6]ARBOR!$A:$C,3,0),6)),-TRUNC(CR7/VLOOKUP("PCS-30739g",[6]ARBOR!$A:$C,3,0)-1,4)+0.0001,-TRUNC(CR7/VLOOKUP("PCS-30739g",[6]ARBOR!$A:$C,3,0)-1,4)))))</f>
        <v/>
      </c>
      <c r="CT7" s="65" t="str">
        <f>IF(ISERROR(IF(CS7="","",VLOOKUP(($BH7&amp;CS7&amp;"Template de desconto FLAT bundle - Velox XDSL - Varejo"),[6]BENEFICIOS!$A:$E,5,0))),"Criar",IF(CS7="","",VLOOKUP(($BH7&amp;CS7&amp;"Template de desconto FLAT bundle - Velox XDSL - Varejo"),[6]BENEFICIOS!$A:$E,5,0)))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IF(CZ7=0,"",IF(CZ7=VLOOKUP("PCS-30766g",[6]ARBOR!$A:$C,3,0),0.0001,IF(CZ7&gt;VLOOKUP("PCS-30766g",[6]ARBOR!$A:$C,3,0),"Maior que CAP!",IF((DOLLAR(CZ7+(VLOOKUP("PCS-30766g",[6]ARBOR!$A:$C,3,0)*-TRUNC(CZ7/VLOOKUP("PCS-30766g",[6]ARBOR!$A:$C,3,0)-1,4)),6))&lt;&gt;(DOLLAR(VLOOKUP("PCS-30766g",[6]ARBOR!$A:$C,3,0),6)),-TRUNC(CZ7/VLOOKUP("PCS-30766g",[6]ARBOR!$A:$C,3,0)-1,4)+0.0001,-TRUNC(CZ7/VLOOKUP("PCS-30766g",[6]ARBOR!$A:$C,3,0)-1,4)))))</f>
        <v/>
      </c>
      <c r="DB7" s="65" t="str">
        <f>IF(ISERROR(IF(DA7="","",VLOOKUP(($BH7&amp;DA7&amp;"Template de desconto FLAT bundle - Velox XDSL - Varejo"),[6]BENEFICIOS!$A:$E,5,0))),"Criar",IF(DA7="","",VLOOKUP(($BH7&amp;DA7&amp;"Template de desconto FLAT bundle - Velox XDSL - Varejo"),[6]BENEFICIOS!$A:$E,5,0)))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IF(DH7=0,"",IF(DH7=VLOOKUP("PCS-30793g",[6]ARBOR!$A:$C,3,0),0.0001,IF(DH7&gt;VLOOKUP("PCS-30793g",[6]ARBOR!$A:$C,3,0),"Maior que CAP!",IF((DOLLAR(DH7+(VLOOKUP("PCS-30793g",[6]ARBOR!$A:$C,3,0)*-TRUNC(DH7/VLOOKUP("PCS-30793g",[6]ARBOR!$A:$C,3,0)-1,4)),6))&lt;&gt;(DOLLAR(VLOOKUP("PCS-30793g",[6]ARBOR!$A:$C,3,0),6)),-TRUNC(DH7/VLOOKUP("PCS-30793g",[6]ARBOR!$A:$C,3,0)-1,4)+0.0001,-TRUNC(DH7/VLOOKUP("PCS-30793g",[6]ARBOR!$A:$C,3,0)-1,4)))))</f>
        <v/>
      </c>
      <c r="DJ7" s="65" t="str">
        <f>IF(ISERROR(IF(DI7="","",VLOOKUP(($BH7&amp;DI7&amp;"Template de desconto FLAT bundle - Velox XDSL - Varejo"),[6]BENEFICIOS!$A:$E,5,0))),"Criar",IF(DI7="","",VLOOKUP(($BH7&amp;DI7&amp;"Template de desconto FLAT bundle - Velox XDSL - Varejo"),[6]BENEFICIOS!$A:$E,5,0)))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IF(DP7=0,"",IF(DP7=VLOOKUP("PCS-30820g",[6]ARBOR!$A:$C,3,0),0.0001,IF(DP7&gt;VLOOKUP("PCS-30820g",[6]ARBOR!$A:$C,3,0),"Maior que CAP!",IF((DOLLAR(DP7+(VLOOKUP("PCS-30820g",[6]ARBOR!$A:$C,3,0)*-TRUNC(DP7/VLOOKUP("PCS-30820g",[6]ARBOR!$A:$C,3,0)-1,4)),6))&lt;&gt;(DOLLAR(VLOOKUP("PCS-30820g",[6]ARBOR!$A:$C,3,0),6)),-TRUNC(DP7/VLOOKUP("PCS-30820g",[6]ARBOR!$A:$C,3,0)-1,4)+0.0001,-TRUNC(DP7/VLOOKUP("PCS-30820g",[6]ARBOR!$A:$C,3,0)-1,4)))))</f>
        <v/>
      </c>
      <c r="DR7" s="65" t="str">
        <f>IF(ISERROR(IF(DQ7="","",VLOOKUP(($BH7&amp;DQ7&amp;"Template de desconto FLAT bundle - Velox XDSL - Varejo"),[6]BENEFICIOS!$A:$E,5,0))),"Criar",IF(DQ7="","",VLOOKUP(($BH7&amp;DQ7&amp;"Template de desconto FLAT bundle - Velox XDSL - Varejo"),[6]BENEFICIOS!$A:$E,5,0)))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IF(DW7=0,"",IF(DW7=VLOOKUP("PCS-21448p2",[6]ARBOR!$A:$C,3,0),0.0001,IF(DW7&gt;VLOOKUP("PCS-21448p2",[6]ARBOR!$A:$C,3,0),"Maior que CAP!",IF((DOLLAR(DW7+(VLOOKUP("PCS-21448p2",[6]ARBOR!$A:$C,3,0)*-TRUNC(DW7/VLOOKUP("PCS-21448p2",[6]ARBOR!$A:$C,3,0)-1,4)),6))&lt;&gt;(DOLLAR(VLOOKUP("PCS-21448p2",[6]ARBOR!$A:$C,3,0),6)),-TRUNC(DW7/VLOOKUP("PCS-21448p2",[6]ARBOR!$A:$C,3,0)-1,4)+0.0001,-TRUNC(DW7/VLOOKUP("PCS-21448p2",[6]ARBOR!$A:$C,3,0)-1,4)))))</f>
        <v>0.64900000000000002</v>
      </c>
      <c r="DY7" s="65" t="str">
        <f>IF(ISERROR(IF(DX7="","",VLOOKUP(("Oi Conta Total Plug 10GB Downgrade"&amp;DX7&amp;"Template de desconto percentual BL Móvel - Internet Total - Varejo"),[6]BENEFICIOS!$A:$E,5,0))),"Criar",IF(DX7="","",VLOOKUP(("Oi Conta Total Plug 10GB Downgrade"&amp;DX7&amp;"Template de desconto percentual BL Móvel - Internet Total - Varejo"),[6]BENEFICIOS!$A:$E,5,0)))</f>
        <v>MKT-1-9825544790</v>
      </c>
      <c r="DZ7" s="71">
        <v>16.5</v>
      </c>
      <c r="EA7" s="72">
        <f>IF(DZ7=0,"",IF(DZ7=VLOOKUP("SVA",[6]ARBOR!$A:$C,3,0),0.0001,IF(DZ7&gt;VLOOKUP("SVA",[6]ARBOR!$A:$C,3,0),"Maior que CAP!",IF((DOLLAR(DZ7+(VLOOKUP("SVA",[6]ARBOR!$A:$C,3,0)*-TRUNC(DZ7/VLOOKUP("SVA",[6]ARBOR!$A:$C,3,0)-1,4)),6))&lt;&gt;(DOLLAR(VLOOKUP("SVA",[6]ARBOR!$A:$C,3,0),6)),-TRUNC(DZ7/VLOOKUP("SVA",[6]ARBOR!$A:$C,3,0)-1,4)+0.0001,-TRUNC(DZ7/VLOOKUP("SVA",[6]ARBOR!$A:$C,3,0)-1,4)))))</f>
        <v>0.2301</v>
      </c>
      <c r="EB7" s="65" t="s">
        <v>227</v>
      </c>
      <c r="EC7" s="69"/>
      <c r="ED7" s="73"/>
      <c r="EE7" s="74"/>
      <c r="EF7" s="65"/>
      <c r="EG7" s="75">
        <f>IF(BI7="","",VLOOKUP(BI7,[6]ARBOR!A:C,3,0))</f>
        <v>479.46</v>
      </c>
      <c r="EH7" s="69">
        <v>15</v>
      </c>
      <c r="EI7" s="76">
        <f>IF(EH7="","",1-(EH7/VLOOKUP(BI7&amp;"ASS",[6]ARBOR!A:C,3,0)))</f>
        <v>0.34725848563968664</v>
      </c>
      <c r="EJ7" s="77" t="s">
        <v>228</v>
      </c>
      <c r="EK7" s="78" t="s">
        <v>229</v>
      </c>
      <c r="EL7" s="69">
        <v>147.12999999999997</v>
      </c>
      <c r="EM7" s="64">
        <f>ROUND(IF(EL7=0,"",IF(EL7=EG7,0.0001,1-((EL7+(VLOOKUP(BI7&amp;"ASS",[6]ARBOR!A:C,3,0)-EH7))/EG7))),4)</f>
        <v>0.67649999999999999</v>
      </c>
      <c r="EN7" s="65" t="str">
        <f>IF(ISERROR(IF(EM7="","",VLOOKUP(($BH7&amp;EM7&amp;"Template de desconto percentual FLAT Móvel - Conta Total - Varejo - Ganho Tributário Cross"),[6]BENEFICIOS!$A:$E,5,0))),"Criar",IF(EM7="","",VLOOKUP(($BH7&amp;EM7&amp;"Template de desconto percentual FLAT Móvel - Conta Total - Varejo - Ganho Tributário Cross"),[6]BENEFICIOS!$A:$E,5,0)))</f>
        <v>Criar</v>
      </c>
      <c r="EO7" s="79"/>
      <c r="EP7" s="64"/>
      <c r="EQ7" s="72"/>
      <c r="ER7" s="72"/>
      <c r="ES7" s="64"/>
      <c r="ET7" s="80"/>
      <c r="EU7" s="81" t="s">
        <v>248</v>
      </c>
      <c r="EV7" s="81" t="s">
        <v>255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IF(FC7=0,"",IF(FC7=VLOOKUP("PCS-10357",[6]ARBOR!$A:$C,3,0),0.0001,IF(FC7&gt;VLOOKUP("PCS-10357",[6]ARBOR!$A:$C,3,0),"Maior que CAP!",ROUND(-1*(FC7/VLOOKUP("PCS-10357",[6]ARBOR!$A:$C,3,0)-1),4))))</f>
        <v/>
      </c>
      <c r="FE7" s="84" t="str">
        <f>IF(ISERROR(IF(FD7="","",VLOOKUP(("Oi Internet Pra Celular 1GB"&amp;FD7&amp;"Template Flat Instância Dados"),[6]BENEFICIOS!$A:$E,5,0))),"Criar",IF(FD7="","",VLOOKUP(("Oi Internet Pra Celular 1GB"&amp;FD7&amp;"Template Flat Instância Dados"),[6]BENEFICIOS!$A:$E,5,0)))</f>
        <v/>
      </c>
      <c r="FF7" s="82">
        <v>9.77</v>
      </c>
      <c r="FG7" s="83">
        <f>IF(FF7=0,"",IF(FF7=VLOOKUP("PCS-813565",[6]ARBOR!$A:$C,3,0),0.0001,IF(FF7&gt;VLOOKUP("PCS-813565",[6]ARBOR!$A:$C,3,0),"Maior que CAP!",ROUND(-1*(FF7/VLOOKUP("PCS-813565",[6]ARBOR!$A:$C,3,0)-1),4))))</f>
        <v>0.74260000000000004</v>
      </c>
      <c r="FH7" s="84" t="str">
        <f>IF(ISERROR(IF(FG7="","",VLOOKUP(("Oi Internet Pra Celular 2GB"&amp;FG7&amp;"Template Flat Instância Dados"),[6]BENEFICIOS!$A:$E,5,0))),"Criar",IF(FG7="","",VLOOKUP(("Oi Internet Pra Celular 2GB"&amp;FG7&amp;"Template Flat Instância Dados"),[6]BENEFICIOS!$A:$E,5,0)))</f>
        <v>MKT-1-9870023571</v>
      </c>
      <c r="FI7" s="82"/>
      <c r="FJ7" s="83" t="str">
        <f>IF(FI7=0,"",IF(FI7=VLOOKUP("PCS-7171B",[6]ARBOR!$A:$C,3,0),0.0001,IF(FI7&gt;VLOOKUP("PCS-7171B",[6]ARBOR!$A:$C,3,0),"Maior que CAP!",ROUND(-1*(FI7/VLOOKUP("PCS-7171B",[6]ARBOR!$A:$C,3,0)-1),4))))</f>
        <v/>
      </c>
      <c r="FK7" s="84" t="str">
        <f>IF(ISERROR(IF(FJ7="","",VLOOKUP(("Oi Internet Pra Celular 3GB"&amp;FJ7&amp;"Template Flat Instância Dados"),[6]BENEFICIOS!$A:$E,5,0))),"Criar",IF(FJ7="","",VLOOKUP(("Oi Internet Pra Celular 3GB"&amp;FJ7&amp;"Template Flat Instância Dados"),[6]BENEFICIOS!$A:$E,5,0)))</f>
        <v/>
      </c>
      <c r="FL7" s="82"/>
      <c r="FM7" s="83" t="str">
        <f>IF(FL7=0,"",IF(FL7=VLOOKUP("PCS-51793o08",[6]ARBOR!$A:$C,3,0),0.0001,IF(FL7&gt;VLOOKUP("PCS-51793o08",[6]ARBOR!$A:$C,3,0),"Maior que CAP!",ROUND(-1*(FL7/VLOOKUP("PCS-51793o08",[6]ARBOR!$A:$C,3,0)-1),4))))</f>
        <v/>
      </c>
      <c r="FN7" s="84" t="str">
        <f>IF(ISERROR(IF(FM7="","",VLOOKUP(("Oi Internet Pra Celular 5GB"&amp;FM7&amp;"Template Flat Instância Dados"),[6]BENEFICIOS!$A:$E,5,0))),"Criar",IF(FM7="","",VLOOKUP(("Oi Internet Pra Celular 5GB"&amp;FM7&amp;"Template Flat Instância Dados"),[6]BENEFICIOS!$A:$E,5,0)))</f>
        <v/>
      </c>
      <c r="FO7" s="82"/>
      <c r="FP7" s="83" t="str">
        <f>IF(FO7=0,"",IF(FO7=VLOOKUP("PCS-7171A",[6]ARBOR!$A:$C,3,0),0.0001,IF(FO7&gt;VLOOKUP("PCS-7171A",[6]ARBOR!$A:$C,3,0),"Maior que CAP!",ROUND(-1*(FO7/VLOOKUP("PCS-7171A",[6]ARBOR!$A:$C,3,0)-1),4))))</f>
        <v/>
      </c>
      <c r="FQ7" s="84" t="str">
        <f>IF(ISERROR(IF(FP7="","",VLOOKUP(("Oi Internet Pra Celular 10GB"&amp;FP7&amp;"Template Flat Instância Dados"),[6]BENEFICIOS!$A:$E,5,0))),"Criar",IF(FP7="","",VLOOKUP(("Oi Internet Pra Celular 10GB"&amp;FP7&amp;"Template Flat Instância Dados"),[6]BENEFICIOS!$A:$E,5,0)))</f>
        <v/>
      </c>
      <c r="FR7" s="85">
        <v>0.74219999999999997</v>
      </c>
      <c r="FS7" s="86" t="s">
        <v>250</v>
      </c>
      <c r="FT7" s="48"/>
      <c r="FU7" s="87"/>
      <c r="FV7" s="88" t="s">
        <v>225</v>
      </c>
      <c r="FW7" s="49" t="s">
        <v>230</v>
      </c>
      <c r="FX7" s="89">
        <v>999</v>
      </c>
      <c r="FY7" s="49">
        <v>12</v>
      </c>
      <c r="FZ7" s="90" t="s">
        <v>231</v>
      </c>
      <c r="GA7" s="91" t="str">
        <f t="shared" si="1"/>
        <v>PCS-Fk83324</v>
      </c>
      <c r="GB7" s="92" t="str">
        <f t="shared" si="2"/>
        <v>PCS-SBL553142</v>
      </c>
      <c r="GC7" s="93" t="s">
        <v>232</v>
      </c>
      <c r="GD7" s="90" t="s">
        <v>233</v>
      </c>
      <c r="GE7" s="92" t="s">
        <v>234</v>
      </c>
      <c r="GF7" s="93" t="s">
        <v>235</v>
      </c>
      <c r="GG7" s="90" t="s">
        <v>236</v>
      </c>
      <c r="GH7" s="92" t="s">
        <v>237</v>
      </c>
      <c r="GI7" s="94" t="s">
        <v>238</v>
      </c>
      <c r="GJ7" s="95">
        <f>FF7+EL7+CB7+BJ7</f>
        <v>251.89999999999998</v>
      </c>
      <c r="GK7" s="96"/>
      <c r="GL7" s="97" t="s">
        <v>239</v>
      </c>
      <c r="GM7" s="98" t="s">
        <v>240</v>
      </c>
      <c r="GN7" s="97">
        <f>VLOOKUP($A7,'[6]TABELA COM TUDO'!$A:$AB,25,0)</f>
        <v>14</v>
      </c>
      <c r="GO7" s="99">
        <f>VLOOKUP($A7,'[6]TABELA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256</v>
      </c>
      <c r="GX7" s="44" t="s">
        <v>242</v>
      </c>
    </row>
    <row r="8" spans="1:206" s="44" customFormat="1" x14ac:dyDescent="0.25">
      <c r="A8" s="44" t="str">
        <f t="shared" si="0"/>
        <v>Oi Total Fixo + Pós 800 + Banda LargaN12GBMG</v>
      </c>
      <c r="B8" s="45" t="s">
        <v>215</v>
      </c>
      <c r="C8" s="46" t="s">
        <v>131</v>
      </c>
      <c r="D8" s="46" t="s">
        <v>216</v>
      </c>
      <c r="E8" s="47" t="s">
        <v>217</v>
      </c>
      <c r="F8" s="48" t="s">
        <v>218</v>
      </c>
      <c r="G8" s="49"/>
      <c r="H8" s="49"/>
      <c r="I8" s="49"/>
      <c r="J8" s="49" t="s">
        <v>218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218</v>
      </c>
      <c r="AC8" s="49" t="s">
        <v>218</v>
      </c>
      <c r="AD8" s="49" t="s">
        <v>218</v>
      </c>
      <c r="AE8" s="49" t="s">
        <v>218</v>
      </c>
      <c r="AF8" s="49" t="s">
        <v>218</v>
      </c>
      <c r="AG8" s="49" t="s">
        <v>218</v>
      </c>
      <c r="AH8" s="50"/>
      <c r="AI8" s="49" t="s">
        <v>218</v>
      </c>
      <c r="AJ8" s="49" t="s">
        <v>218</v>
      </c>
      <c r="AK8" s="49" t="s">
        <v>218</v>
      </c>
      <c r="AL8" s="49" t="s">
        <v>218</v>
      </c>
      <c r="AM8" s="49" t="s">
        <v>218</v>
      </c>
      <c r="AN8" s="49" t="s">
        <v>218</v>
      </c>
      <c r="AO8" s="49" t="s">
        <v>218</v>
      </c>
      <c r="AP8" s="49"/>
      <c r="AQ8" s="51"/>
      <c r="AR8" s="52" t="s">
        <v>257</v>
      </c>
      <c r="AS8" s="46" t="s">
        <v>220</v>
      </c>
      <c r="AT8" s="53" t="s">
        <v>221</v>
      </c>
      <c r="AU8" s="54">
        <v>42972</v>
      </c>
      <c r="AV8" s="55">
        <v>43038</v>
      </c>
      <c r="AW8" s="56" t="s">
        <v>222</v>
      </c>
      <c r="AX8" s="57" t="s">
        <v>222</v>
      </c>
      <c r="AY8" s="58"/>
      <c r="AZ8" s="58" t="s">
        <v>223</v>
      </c>
      <c r="BA8" s="58">
        <v>20</v>
      </c>
      <c r="BB8" s="58">
        <v>10000</v>
      </c>
      <c r="BC8" s="59" t="s">
        <v>224</v>
      </c>
      <c r="BD8" s="60" t="s">
        <v>225</v>
      </c>
      <c r="BE8" s="58" t="s">
        <v>217</v>
      </c>
      <c r="BF8" s="51" t="s">
        <v>217</v>
      </c>
      <c r="BG8" s="45" t="s">
        <v>257</v>
      </c>
      <c r="BH8" s="61" t="s">
        <v>226</v>
      </c>
      <c r="BI8" s="62" t="str">
        <f>IF(ISERROR(VLOOKUP(BH8,[6]PLANOS!B:C,2,0)),"",VLOOKUP(BH8,[6]PLANOS!B:C,2,0))</f>
        <v>PCS-4P6pi</v>
      </c>
      <c r="BJ8" s="63">
        <v>50.1</v>
      </c>
      <c r="BK8" s="64">
        <f>IF(BJ8=0,"",IF(BJ8=VLOOKUP("FIXO",[6]ARBOR!$A:$C,3,0),0.0001,IF(BJ8&gt;VLOOKUP("FIXO",[6]ARBOR!$A:$C,3,0),"Maior que CAP!",IF((DOLLAR(BJ8+(VLOOKUP("FIXO",[6]ARBOR!$A:$C,3,0)*-TRUNC(BJ8/VLOOKUP("FIXO",[6]ARBOR!$A:$C,3,0)-1,4)),6))&lt;&gt;(DOLLAR(VLOOKUP("FIXO",[6]ARBOR!$A:$C,3,0),6)),-TRUNC(BJ8/VLOOKUP("FIXO",[6]ARBOR!$A:$C,3,0)-1,4)+0.0001,-TRUNC(BJ8/VLOOKUP("FIXO",[6]ARBOR!$A:$C,3,0)-1,4)))))</f>
        <v>0.33939999999999998</v>
      </c>
      <c r="BL8" s="65" t="str">
        <f>IF(ISERROR(IF(BK8="","",VLOOKUP(($BH8&amp;BK8&amp;"Template de desconto FLAT bundle - Fixo - Varejo - Ganho Tributário Cross"),[6]BENEFICIOS!$A:$E,5,0))),"Criar",IF(BK8="","",VLOOKUP(($BH8&amp;BK8&amp;"Template de desconto FLAT bundle - Fixo - Varejo - Ganho Tributário Cross"),[6]BENEFICIOS!$A:$E,5,0)))</f>
        <v>MKT-1-9856472058</v>
      </c>
      <c r="BM8" s="66"/>
      <c r="BN8" s="67"/>
      <c r="BO8" s="104" t="s">
        <v>244</v>
      </c>
      <c r="BP8" s="69">
        <v>44.9</v>
      </c>
      <c r="BQ8" s="64">
        <f>IF(BP8=0,"",IF(BP8=VLOOKUP("PCS-30874g",[6]ARBOR!$A:$C,3,0),0.0001,IF(BP8&gt;VLOOKUP("PCS-30874g",[6]ARBOR!$A:$C,3,0),"Maior que CAP!",IF((DOLLAR(BP8+(VLOOKUP("PCS-30874g",[6]ARBOR!$A:$C,3,0)*-TRUNC(BP8/VLOOKUP("PCS-30874g",[6]ARBOR!$A:$C,3,0)-1,4)),6))&lt;&gt;(DOLLAR(VLOOKUP("PCS-30874g",[6]ARBOR!$A:$C,3,0),6)),-TRUNC(BP8/VLOOKUP("PCS-30874g",[6]ARBOR!$A:$C,3,0)-1,4)+0.0001,-TRUNC(BP8/VLOOKUP("PCS-30874g",[6]ARBOR!$A:$C,3,0)-1,4)))))</f>
        <v>0.53679999999999994</v>
      </c>
      <c r="BR8" s="65" t="str">
        <f>IF(ISERROR(IF(BQ8="","",VLOOKUP(($BH8&amp;BQ8&amp;"Template de desconto FLAT bundle - Velox XDSL - Varejo"),[6]BENEFICIOS!$A:$E,5,0))),"Criar",IF(BQ8="","",VLOOKUP(($BH8&amp;BQ8&amp;"Template de desconto FLAT bundle - Velox XDSL - Varejo"),[6]BENEFICIOS!$A:$E,5,0)))</f>
        <v>MKT-1-9865126733</v>
      </c>
      <c r="BS8" s="104" t="s">
        <v>244</v>
      </c>
      <c r="BT8" s="69">
        <v>44.9</v>
      </c>
      <c r="BU8" s="64">
        <f>IF(BT8=0,"",IF(BT8=VLOOKUP("PCS-30577g",[6]ARBOR!$A:$C,3,0),0.0001,IF(BT8&gt;VLOOKUP("PCS-30577g",[6]ARBOR!$A:$C,3,0),"Maior que CAP!",IF((DOLLAR(BT8+(VLOOKUP("PCS-30577g",[6]ARBOR!$A:$C,3,0)*-TRUNC(BT8/VLOOKUP("PCS-30577g",[6]ARBOR!$A:$C,3,0)-1,4)),6))&lt;&gt;(DOLLAR(VLOOKUP("PCS-30577g",[6]ARBOR!$A:$C,3,0),6)),-TRUNC(BT8/VLOOKUP("PCS-30577g",[6]ARBOR!$A:$C,3,0)-1,4)+0.0001,-TRUNC(BT8/VLOOKUP("PCS-30577g",[6]ARBOR!$A:$C,3,0)-1,4)))))</f>
        <v>0.53679999999999994</v>
      </c>
      <c r="BV8" s="65" t="str">
        <f>IF(ISERROR(IF(BU8="","",VLOOKUP(($BH8&amp;BU8&amp;"Template de desconto FLAT bundle - Velox XDSL - Varejo"),[6]BENEFICIOS!$A:$E,5,0))),"Criar",IF(BU8="","",VLOOKUP(($BH8&amp;BU8&amp;"Template de desconto FLAT bundle - Velox XDSL - Varejo"),[6]BENEFICIOS!$A:$E,5,0)))</f>
        <v>MKT-1-9865126733</v>
      </c>
      <c r="BW8" s="104" t="s">
        <v>244</v>
      </c>
      <c r="BX8" s="69">
        <v>44.9</v>
      </c>
      <c r="BY8" s="64">
        <f>IF(BX8=0,"",IF(BX8=VLOOKUP("PCS-30604g",[6]ARBOR!$A:$C,3,0),0.0001,IF(BX8&gt;VLOOKUP("PCS-30604g",[6]ARBOR!$A:$C,3,0),"Maior que CAP!",IF((DOLLAR(BX8+(VLOOKUP("PCS-30604g",[6]ARBOR!$A:$C,3,0)*-TRUNC(BX8/VLOOKUP("PCS-30604g",[6]ARBOR!$A:$C,3,0)-1,4)),6))&lt;&gt;(DOLLAR(VLOOKUP("PCS-30604g",[6]ARBOR!$A:$C,3,0),6)),-TRUNC(BX8/VLOOKUP("PCS-30604g",[6]ARBOR!$A:$C,3,0)-1,4)+0.0001,-TRUNC(BX8/VLOOKUP("PCS-30604g",[6]ARBOR!$A:$C,3,0)-1,4)))))</f>
        <v>0.53679999999999994</v>
      </c>
      <c r="BZ8" s="65" t="str">
        <f>IF(ISERROR(IF(BY8="","",VLOOKUP(($BH8&amp;BY8&amp;"Template de desconto FLAT bundle - Velox XDSL - Varejo"),[6]BENEFICIOS!$A:$E,5,0))),"Criar",IF(BY8="","",VLOOKUP(($BH8&amp;BY8&amp;"Template de desconto FLAT bundle - Velox XDSL - Varejo"),[6]BENEFICIOS!$A:$E,5,0)))</f>
        <v>MKT-1-9865126733</v>
      </c>
      <c r="CA8" s="104" t="s">
        <v>244</v>
      </c>
      <c r="CB8" s="69">
        <v>44.9</v>
      </c>
      <c r="CC8" s="64">
        <f>IF(CB8=0,"",IF(CB8=VLOOKUP("PCS-30631g",[6]ARBOR!$A:$C,3,0),0.0001,IF(CB8&gt;VLOOKUP("PCS-30631g",[6]ARBOR!$A:$C,3,0),"Maior que CAP!",IF((DOLLAR(CB8+(VLOOKUP("PCS-30631g",[6]ARBOR!$A:$C,3,0)*-TRUNC(CB8/VLOOKUP("PCS-30631g",[6]ARBOR!$A:$C,3,0)-1,4)),6))&lt;&gt;(DOLLAR(VLOOKUP("PCS-30631g",[6]ARBOR!$A:$C,3,0),6)),-TRUNC(CB8/VLOOKUP("PCS-30631g",[6]ARBOR!$A:$C,3,0)-1,4)+0.0001,-TRUNC(CB8/VLOOKUP("PCS-30631g",[6]ARBOR!$A:$C,3,0)-1,4)))))</f>
        <v>0.54310000000000003</v>
      </c>
      <c r="CD8" s="65" t="str">
        <f>IF(ISERROR(IF(CC8="","",VLOOKUP(($BH8&amp;CC8&amp;"Template de desconto FLAT bundle - Velox XDSL - Varejo"),[6]BENEFICIOS!$A:$E,5,0))),"Criar",IF(CC8="","",VLOOKUP(($BH8&amp;CC8&amp;"Template de desconto FLAT bundle - Velox XDSL - Varejo"),[6]BENEFICIOS!$A:$E,5,0)))</f>
        <v>MKT-1-9865126826</v>
      </c>
      <c r="CE8" s="68" t="s">
        <v>165</v>
      </c>
      <c r="CF8" s="69">
        <v>49.9</v>
      </c>
      <c r="CG8" s="64">
        <f>IF(CF8=0,"",IF(CF8=VLOOKUP("PCS-30658g",[6]ARBOR!$A:$C,3,0),0.0001,IF(CF8&gt;VLOOKUP("PCS-30658g",[6]ARBOR!$A:$C,3,0),"Maior que CAP!",IF((DOLLAR(CF8+(VLOOKUP("PCS-30658g",[6]ARBOR!$A:$C,3,0)*-TRUNC(CF8/VLOOKUP("PCS-30658g",[6]ARBOR!$A:$C,3,0)-1,4)),6))&lt;&gt;(DOLLAR(VLOOKUP("PCS-30658g",[6]ARBOR!$A:$C,3,0),6)),-TRUNC(CF8/VLOOKUP("PCS-30658g",[6]ARBOR!$A:$C,3,0)-1,4)+0.0001,-TRUNC(CF8/VLOOKUP("PCS-30658g",[6]ARBOR!$A:$C,3,0)-1,4)))))</f>
        <v>0.55569999999999997</v>
      </c>
      <c r="CH8" s="65" t="str">
        <f>IF(ISERROR(IF(CG8="","",VLOOKUP(($BH8&amp;CG8&amp;"Template de desconto FLAT bundle - Velox XDSL - Varejo"),[6]BENEFICIOS!$A:$E,5,0))),"Criar",IF(CG8="","",VLOOKUP(($BH8&amp;CG8&amp;"Template de desconto FLAT bundle - Velox XDSL - Varejo"),[6]BENEFICIOS!$A:$E,5,0)))</f>
        <v>MKT-1-9865126919</v>
      </c>
      <c r="CI8" s="68" t="s">
        <v>165</v>
      </c>
      <c r="CJ8" s="69">
        <v>49.9</v>
      </c>
      <c r="CK8" s="64">
        <f>IF(CJ8=0,"",IF(CJ8=VLOOKUP("PCS-30685g",[6]ARBOR!$A:$C,3,0),0.0001,IF(CJ8&gt;VLOOKUP("PCS-30685g",[6]ARBOR!$A:$C,3,0),"Maior que CAP!",IF((DOLLAR(CJ8+(VLOOKUP("PCS-30685g",[6]ARBOR!$A:$C,3,0)*-TRUNC(CJ8/VLOOKUP("PCS-30685g",[6]ARBOR!$A:$C,3,0)-1,4)),6))&lt;&gt;(DOLLAR(VLOOKUP("PCS-30685g",[6]ARBOR!$A:$C,3,0),6)),-TRUNC(CJ8/VLOOKUP("PCS-30685g",[6]ARBOR!$A:$C,3,0)-1,4)+0.0001,-TRUNC(CJ8/VLOOKUP("PCS-30685g",[6]ARBOR!$A:$C,3,0)-1,4)))))</f>
        <v>0.60509999999999997</v>
      </c>
      <c r="CL8" s="65" t="str">
        <f>IF(ISERROR(IF(CK8="","",VLOOKUP(($BH8&amp;CK8&amp;"Template de desconto FLAT bundle - Velox XDSL - Varejo"),[6]BENEFICIOS!$A:$E,5,0))),"Criar",IF(CK8="","",VLOOKUP(($BH8&amp;CK8&amp;"Template de desconto FLAT bundle - Velox XDSL - Varejo"),[6]BENEFICIOS!$A:$E,5,0)))</f>
        <v>MKT-1-9865694381</v>
      </c>
      <c r="CM8" s="68" t="s">
        <v>165</v>
      </c>
      <c r="CN8" s="69">
        <v>49.9</v>
      </c>
      <c r="CO8" s="64">
        <f>IF(CN8=0,"",IF(CN8=VLOOKUP("PCS-30712g",[6]ARBOR!$A:$C,3,0),0.0001,IF(CN8&gt;VLOOKUP("PCS-30712g",[6]ARBOR!$A:$C,3,0),"Maior que CAP!",IF((DOLLAR(CN8+(VLOOKUP("PCS-30712g",[6]ARBOR!$A:$C,3,0)*-TRUNC(CN8/VLOOKUP("PCS-30712g",[6]ARBOR!$A:$C,3,0)-1,4)),6))&lt;&gt;(DOLLAR(VLOOKUP("PCS-30712g",[6]ARBOR!$A:$C,3,0),6)),-TRUNC(CN8/VLOOKUP("PCS-30712g",[6]ARBOR!$A:$C,3,0)-1,4)+0.0001,-TRUNC(CN8/VLOOKUP("PCS-30712g",[6]ARBOR!$A:$C,3,0)-1,4)))))</f>
        <v>0.64459999999999995</v>
      </c>
      <c r="CP8" s="65" t="str">
        <f>IF(ISERROR(IF(CO8="","",VLOOKUP(($BH8&amp;CO8&amp;"Template de desconto FLAT bundle - Velox XDSL - Varejo"),[6]BENEFICIOS!$A:$E,5,0))),"Criar",IF(CO8="","",VLOOKUP(($BH8&amp;CO8&amp;"Template de desconto FLAT bundle - Velox XDSL - Varejo"),[6]BENEFICIOS!$A:$E,5,0)))</f>
        <v>MKT-1-9865191105</v>
      </c>
      <c r="CQ8" s="68" t="s">
        <v>165</v>
      </c>
      <c r="CR8" s="69">
        <v>59.9</v>
      </c>
      <c r="CS8" s="64">
        <f>IF(CR8=0,"",IF(CR8=VLOOKUP("PCS-30739g",[6]ARBOR!$A:$C,3,0),0.0001,IF(CR8&gt;VLOOKUP("PCS-30739g",[6]ARBOR!$A:$C,3,0),"Maior que CAP!",IF((DOLLAR(CR8+(VLOOKUP("PCS-30739g",[6]ARBOR!$A:$C,3,0)*-TRUNC(CR8/VLOOKUP("PCS-30739g",[6]ARBOR!$A:$C,3,0)-1,4)),6))&lt;&gt;(DOLLAR(VLOOKUP("PCS-30739g",[6]ARBOR!$A:$C,3,0),6)),-TRUNC(CR8/VLOOKUP("PCS-30739g",[6]ARBOR!$A:$C,3,0)-1,4)+0.0001,-TRUNC(CR8/VLOOKUP("PCS-30739g",[6]ARBOR!$A:$C,3,0)-1,4)))))</f>
        <v>0.71560000000000001</v>
      </c>
      <c r="CT8" s="65" t="str">
        <f>IF(ISERROR(IF(CS8="","",VLOOKUP(($BH8&amp;CS8&amp;"Template de desconto FLAT bundle - Velox XDSL - Varejo"),[6]BENEFICIOS!$A:$E,5,0))),"Criar",IF(CS8="","",VLOOKUP(($BH8&amp;CS8&amp;"Template de desconto FLAT bundle - Velox XDSL - Varejo"),[6]BENEFICIOS!$A:$E,5,0)))</f>
        <v>MKT-1-9865191198</v>
      </c>
      <c r="CU8" s="69"/>
      <c r="CV8" s="70"/>
      <c r="CW8" s="64"/>
      <c r="CX8" s="65"/>
      <c r="CY8" s="68" t="s">
        <v>165</v>
      </c>
      <c r="CZ8" s="69">
        <v>59.9</v>
      </c>
      <c r="DA8" s="64">
        <f>IF(CZ8=0,"",IF(CZ8=VLOOKUP("PCS-30766g",[6]ARBOR!$A:$C,3,0),0.0001,IF(CZ8&gt;VLOOKUP("PCS-30766g",[6]ARBOR!$A:$C,3,0),"Maior que CAP!",IF((DOLLAR(CZ8+(VLOOKUP("PCS-30766g",[6]ARBOR!$A:$C,3,0)*-TRUNC(CZ8/VLOOKUP("PCS-30766g",[6]ARBOR!$A:$C,3,0)-1,4)),6))&lt;&gt;(DOLLAR(VLOOKUP("PCS-30766g",[6]ARBOR!$A:$C,3,0),6)),-TRUNC(CZ8/VLOOKUP("PCS-30766g",[6]ARBOR!$A:$C,3,0)-1,4)+0.0001,-TRUNC(CZ8/VLOOKUP("PCS-30766g",[6]ARBOR!$A:$C,3,0)-1,4)))))</f>
        <v>0.78669999999999995</v>
      </c>
      <c r="DB8" s="65" t="str">
        <f>IF(ISERROR(IF(DA8="","",VLOOKUP(($BH8&amp;DA8&amp;"Template de desconto FLAT bundle - Velox XDSL - Varejo"),[6]BENEFICIOS!$A:$E,5,0))),"Criar",IF(DA8="","",VLOOKUP(($BH8&amp;DA8&amp;"Template de desconto FLAT bundle - Velox XDSL - Varejo"),[6]BENEFICIOS!$A:$E,5,0)))</f>
        <v>MKT-1-9865191291</v>
      </c>
      <c r="DC8" s="69"/>
      <c r="DD8" s="70"/>
      <c r="DE8" s="64"/>
      <c r="DF8" s="65"/>
      <c r="DG8" s="68" t="s">
        <v>244</v>
      </c>
      <c r="DH8" s="69">
        <v>69.900000000000006</v>
      </c>
      <c r="DI8" s="64">
        <f>IF(DH8=0,"",IF(DH8=VLOOKUP("PCS-30793g",[6]ARBOR!$A:$C,3,0),0.0001,IF(DH8&gt;VLOOKUP("PCS-30793g",[6]ARBOR!$A:$C,3,0),"Maior que CAP!",IF((DOLLAR(DH8+(VLOOKUP("PCS-30793g",[6]ARBOR!$A:$C,3,0)*-TRUNC(DH8/VLOOKUP("PCS-30793g",[6]ARBOR!$A:$C,3,0)-1,4)),6))&lt;&gt;(DOLLAR(VLOOKUP("PCS-30793g",[6]ARBOR!$A:$C,3,0),6)),-TRUNC(DH8/VLOOKUP("PCS-30793g",[6]ARBOR!$A:$C,3,0)-1,4)+0.0001,-TRUNC(DH8/VLOOKUP("PCS-30793g",[6]ARBOR!$A:$C,3,0)-1,4)))))</f>
        <v>0.75109999999999999</v>
      </c>
      <c r="DJ8" s="65" t="str">
        <f>IF(ISERROR(IF(DI8="","",VLOOKUP(($BH8&amp;DI8&amp;"Template de desconto FLAT bundle - Velox XDSL - Varejo"),[6]BENEFICIOS!$A:$E,5,0))),"Criar",IF(DI8="","",VLOOKUP(($BH8&amp;DI8&amp;"Template de desconto FLAT bundle - Velox XDSL - Varejo"),[6]BENEFICIOS!$A:$E,5,0)))</f>
        <v>MKT-1-9865191384</v>
      </c>
      <c r="DK8" s="69"/>
      <c r="DL8" s="70"/>
      <c r="DM8" s="64"/>
      <c r="DN8" s="65"/>
      <c r="DO8" s="68" t="s">
        <v>165</v>
      </c>
      <c r="DP8" s="69">
        <v>69.900000000000006</v>
      </c>
      <c r="DQ8" s="64">
        <f>IF(DP8=0,"",IF(DP8=VLOOKUP("PCS-30820g",[6]ARBOR!$A:$C,3,0),0.0001,IF(DP8&gt;VLOOKUP("PCS-30820g",[6]ARBOR!$A:$C,3,0),"Maior que CAP!",IF((DOLLAR(DP8+(VLOOKUP("PCS-30820g",[6]ARBOR!$A:$C,3,0)*-TRUNC(DP8/VLOOKUP("PCS-30820g",[6]ARBOR!$A:$C,3,0)-1,4)),6))&lt;&gt;(DOLLAR(VLOOKUP("PCS-30820g",[6]ARBOR!$A:$C,3,0),6)),-TRUNC(DP8/VLOOKUP("PCS-30820g",[6]ARBOR!$A:$C,3,0)-1,4)+0.0001,-TRUNC(DP8/VLOOKUP("PCS-30820g",[6]ARBOR!$A:$C,3,0)-1,4)))))</f>
        <v>0.75109999999999999</v>
      </c>
      <c r="DR8" s="65" t="str">
        <f>IF(ISERROR(IF(DQ8="","",VLOOKUP(($BH8&amp;DQ8&amp;"Template de desconto FLAT bundle - Velox XDSL - Varejo"),[6]BENEFICIOS!$A:$E,5,0))),"Criar",IF(DQ8="","",VLOOKUP(($BH8&amp;DQ8&amp;"Template de desconto FLAT bundle - Velox XDSL - Varejo"),[6]BENEFICIOS!$A:$E,5,0)))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IF(DW8=0,"",IF(DW8=VLOOKUP("PCS-21448p2",[6]ARBOR!$A:$C,3,0),0.0001,IF(DW8&gt;VLOOKUP("PCS-21448p2",[6]ARBOR!$A:$C,3,0),"Maior que CAP!",IF((DOLLAR(DW8+(VLOOKUP("PCS-21448p2",[6]ARBOR!$A:$C,3,0)*-TRUNC(DW8/VLOOKUP("PCS-21448p2",[6]ARBOR!$A:$C,3,0)-1,4)),6))&lt;&gt;(DOLLAR(VLOOKUP("PCS-21448p2",[6]ARBOR!$A:$C,3,0),6)),-TRUNC(DW8/VLOOKUP("PCS-21448p2",[6]ARBOR!$A:$C,3,0)-1,4)+0.0001,-TRUNC(DW8/VLOOKUP("PCS-21448p2",[6]ARBOR!$A:$C,3,0)-1,4)))))</f>
        <v/>
      </c>
      <c r="DY8" s="65" t="str">
        <f>IF(ISERROR(IF(DX8="","",VLOOKUP(("Oi Conta Total Plug 10GB Downgrade"&amp;DX8&amp;"Template de desconto percentual BL Móvel - Internet Total - Varejo"),[6]BENEFICIOS!$A:$E,5,0))),"Criar",IF(DX8="","",VLOOKUP(("Oi Conta Total Plug 10GB Downgrade"&amp;DX8&amp;"Template de desconto percentual BL Móvel - Internet Total - Varejo"),[6]BENEFICIOS!$A:$E,5,0)))</f>
        <v/>
      </c>
      <c r="DZ8" s="71">
        <v>19.899999999999999</v>
      </c>
      <c r="EA8" s="72">
        <f>IF(DZ8=0,"",IF(DZ8=VLOOKUP("SVA",[6]ARBOR!$A:$C,3,0),0.0001,IF(DZ8&gt;VLOOKUP("SVA",[6]ARBOR!$A:$C,3,0),"Maior que CAP!",IF((DOLLAR(DZ8+(VLOOKUP("SVA",[6]ARBOR!$A:$C,3,0)*-TRUNC(DZ8/VLOOKUP("SVA",[6]ARBOR!$A:$C,3,0)-1,4)),6))&lt;&gt;(DOLLAR(VLOOKUP("SVA",[6]ARBOR!$A:$C,3,0),6)),-TRUNC(DZ8/VLOOKUP("SVA",[6]ARBOR!$A:$C,3,0)-1,4)+0.0001,-TRUNC(DZ8/VLOOKUP("SVA",[6]ARBOR!$A:$C,3,0)-1,4)))))</f>
        <v>7.1400000000000005E-2</v>
      </c>
      <c r="EB8" s="65" t="s">
        <v>245</v>
      </c>
      <c r="EC8" s="69"/>
      <c r="ED8" s="73"/>
      <c r="EE8" s="74"/>
      <c r="EF8" s="65"/>
      <c r="EG8" s="75">
        <f>IF(BI8="","",VLOOKUP(BI8,[6]ARBOR!A:C,3,0))</f>
        <v>479.46</v>
      </c>
      <c r="EH8" s="69">
        <v>15</v>
      </c>
      <c r="EI8" s="76">
        <f>IF(EH8="","",1-(EH8/VLOOKUP(BI8&amp;"ASS",[6]ARBOR!A:C,3,0)))</f>
        <v>0.34725848563968664</v>
      </c>
      <c r="EJ8" s="77" t="s">
        <v>228</v>
      </c>
      <c r="EK8" s="78" t="s">
        <v>229</v>
      </c>
      <c r="EL8" s="69">
        <v>147.12999999999997</v>
      </c>
      <c r="EM8" s="64">
        <f>ROUND(IF(EL8=0,"",IF(EL8=EG8,0.0001,1-((EL8+(VLOOKUP(BI8&amp;"ASS",[6]ARBOR!A:C,3,0)-EH8))/EG8))),4)</f>
        <v>0.67649999999999999</v>
      </c>
      <c r="EN8" s="65" t="str">
        <f>IF(ISERROR(IF(EM8="","",VLOOKUP(($BH8&amp;EM8&amp;"Template de desconto percentual FLAT Móvel - Conta Total - Varejo - Ganho Tributário Cross"),[6]BENEFICIOS!$A:$E,5,0))),"Criar",IF(EM8="","",VLOOKUP(($BH8&amp;EM8&amp;"Template de desconto percentual FLAT Móvel - Conta Total - Varejo - Ganho Tributário Cross"),[6]BENEFICIOS!$A:$E,5,0)))</f>
        <v>Criar</v>
      </c>
      <c r="EO8" s="79"/>
      <c r="EP8" s="64"/>
      <c r="EQ8" s="72"/>
      <c r="ER8" s="72"/>
      <c r="ES8" s="64"/>
      <c r="ET8" s="80"/>
      <c r="EU8" s="81" t="s">
        <v>248</v>
      </c>
      <c r="EV8" s="81" t="s">
        <v>255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IF(FC8=0,"",IF(FC8=VLOOKUP("PCS-10357",[6]ARBOR!$A:$C,3,0),0.0001,IF(FC8&gt;VLOOKUP("PCS-10357",[6]ARBOR!$A:$C,3,0),"Maior que CAP!",ROUND(-1*(FC8/VLOOKUP("PCS-10357",[6]ARBOR!$A:$C,3,0)-1),4))))</f>
        <v/>
      </c>
      <c r="FE8" s="84" t="str">
        <f>IF(ISERROR(IF(FD8="","",VLOOKUP(("Oi Internet Pra Celular 1GB"&amp;FD8&amp;"Template Flat Instância Dados"),[6]BENEFICIOS!$A:$E,5,0))),"Criar",IF(FD8="","",VLOOKUP(("Oi Internet Pra Celular 1GB"&amp;FD8&amp;"Template Flat Instância Dados"),[6]BENEFICIOS!$A:$E,5,0)))</f>
        <v/>
      </c>
      <c r="FF8" s="82">
        <v>9.77</v>
      </c>
      <c r="FG8" s="83">
        <f>IF(FF8=0,"",IF(FF8=VLOOKUP("PCS-813565",[6]ARBOR!$A:$C,3,0),0.0001,IF(FF8&gt;VLOOKUP("PCS-813565",[6]ARBOR!$A:$C,3,0),"Maior que CAP!",ROUND(-1*(FF8/VLOOKUP("PCS-813565",[6]ARBOR!$A:$C,3,0)-1),4))))</f>
        <v>0.74260000000000004</v>
      </c>
      <c r="FH8" s="84" t="str">
        <f>IF(ISERROR(IF(FG8="","",VLOOKUP(("Oi Internet Pra Celular 2GB"&amp;FG8&amp;"Template Flat Instância Dados"),[6]BENEFICIOS!$A:$E,5,0))),"Criar",IF(FG8="","",VLOOKUP(("Oi Internet Pra Celular 2GB"&amp;FG8&amp;"Template Flat Instância Dados"),[6]BENEFICIOS!$A:$E,5,0)))</f>
        <v>MKT-1-9870023571</v>
      </c>
      <c r="FI8" s="82"/>
      <c r="FJ8" s="83" t="str">
        <f>IF(FI8=0,"",IF(FI8=VLOOKUP("PCS-7171B",[6]ARBOR!$A:$C,3,0),0.0001,IF(FI8&gt;VLOOKUP("PCS-7171B",[6]ARBOR!$A:$C,3,0),"Maior que CAP!",ROUND(-1*(FI8/VLOOKUP("PCS-7171B",[6]ARBOR!$A:$C,3,0)-1),4))))</f>
        <v/>
      </c>
      <c r="FK8" s="84" t="str">
        <f>IF(ISERROR(IF(FJ8="","",VLOOKUP(("Oi Internet Pra Celular 3GB"&amp;FJ8&amp;"Template Flat Instância Dados"),[6]BENEFICIOS!$A:$E,5,0))),"Criar",IF(FJ8="","",VLOOKUP(("Oi Internet Pra Celular 3GB"&amp;FJ8&amp;"Template Flat Instância Dados"),[6]BENEFICIOS!$A:$E,5,0)))</f>
        <v/>
      </c>
      <c r="FL8" s="82"/>
      <c r="FM8" s="83" t="str">
        <f>IF(FL8=0,"",IF(FL8=VLOOKUP("PCS-51793o08",[6]ARBOR!$A:$C,3,0),0.0001,IF(FL8&gt;VLOOKUP("PCS-51793o08",[6]ARBOR!$A:$C,3,0),"Maior que CAP!",ROUND(-1*(FL8/VLOOKUP("PCS-51793o08",[6]ARBOR!$A:$C,3,0)-1),4))))</f>
        <v/>
      </c>
      <c r="FN8" s="84" t="str">
        <f>IF(ISERROR(IF(FM8="","",VLOOKUP(("Oi Internet Pra Celular 5GB"&amp;FM8&amp;"Template Flat Instância Dados"),[6]BENEFICIOS!$A:$E,5,0))),"Criar",IF(FM8="","",VLOOKUP(("Oi Internet Pra Celular 5GB"&amp;FM8&amp;"Template Flat Instância Dados"),[6]BENEFICIOS!$A:$E,5,0)))</f>
        <v/>
      </c>
      <c r="FO8" s="82"/>
      <c r="FP8" s="83" t="str">
        <f>IF(FO8=0,"",IF(FO8=VLOOKUP("PCS-7171A",[6]ARBOR!$A:$C,3,0),0.0001,IF(FO8&gt;VLOOKUP("PCS-7171A",[6]ARBOR!$A:$C,3,0),"Maior que CAP!",ROUND(-1*(FO8/VLOOKUP("PCS-7171A",[6]ARBOR!$A:$C,3,0)-1),4))))</f>
        <v/>
      </c>
      <c r="FQ8" s="84" t="str">
        <f>IF(ISERROR(IF(FP8="","",VLOOKUP(("Oi Internet Pra Celular 10GB"&amp;FP8&amp;"Template Flat Instância Dados"),[6]BENEFICIOS!$A:$E,5,0))),"Criar",IF(FP8="","",VLOOKUP(("Oi Internet Pra Celular 10GB"&amp;FP8&amp;"Template Flat Instância Dados"),[6]BENEFICIOS!$A:$E,5,0)))</f>
        <v/>
      </c>
      <c r="FR8" s="85">
        <v>0.74219999999999997</v>
      </c>
      <c r="FS8" s="86" t="s">
        <v>250</v>
      </c>
      <c r="FT8" s="48"/>
      <c r="FU8" s="87"/>
      <c r="FV8" s="88" t="s">
        <v>225</v>
      </c>
      <c r="FW8" s="49" t="s">
        <v>230</v>
      </c>
      <c r="FX8" s="89">
        <v>999</v>
      </c>
      <c r="FY8" s="49">
        <v>12</v>
      </c>
      <c r="FZ8" s="90" t="s">
        <v>231</v>
      </c>
      <c r="GA8" s="91" t="str">
        <f t="shared" si="1"/>
        <v>PCS-Fk83324</v>
      </c>
      <c r="GB8" s="92" t="str">
        <f t="shared" si="2"/>
        <v>PCS-SBL553142</v>
      </c>
      <c r="GC8" s="93" t="s">
        <v>232</v>
      </c>
      <c r="GD8" s="90" t="s">
        <v>233</v>
      </c>
      <c r="GE8" s="92" t="s">
        <v>234</v>
      </c>
      <c r="GF8" s="93" t="s">
        <v>235</v>
      </c>
      <c r="GG8" s="90" t="s">
        <v>236</v>
      </c>
      <c r="GH8" s="92" t="s">
        <v>237</v>
      </c>
      <c r="GI8" s="94" t="s">
        <v>238</v>
      </c>
      <c r="GJ8" s="95">
        <f>FF8+EL8+CN8+BJ8</f>
        <v>256.89999999999998</v>
      </c>
      <c r="GK8" s="96"/>
      <c r="GL8" s="97" t="s">
        <v>239</v>
      </c>
      <c r="GM8" s="98" t="s">
        <v>240</v>
      </c>
      <c r="GN8" s="97">
        <f>VLOOKUP($A8,'[6]TABELA COM TUDO'!$A:$AB,25,0)</f>
        <v>14</v>
      </c>
      <c r="GO8" s="99">
        <f>VLOOKUP($A8,'[6]TABELA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258</v>
      </c>
      <c r="GX8" s="44" t="s">
        <v>242</v>
      </c>
    </row>
    <row r="9" spans="1:206" s="44" customFormat="1" x14ac:dyDescent="0.25">
      <c r="A9" s="44" t="str">
        <f t="shared" si="0"/>
        <v>Oi Total Fixo + Pós 800 + Banda LargaN13GBMG</v>
      </c>
      <c r="B9" s="45" t="s">
        <v>215</v>
      </c>
      <c r="C9" s="46" t="s">
        <v>131</v>
      </c>
      <c r="D9" s="46" t="s">
        <v>216</v>
      </c>
      <c r="E9" s="47" t="s">
        <v>217</v>
      </c>
      <c r="F9" s="48" t="s">
        <v>218</v>
      </c>
      <c r="G9" s="49"/>
      <c r="H9" s="49"/>
      <c r="I9" s="49"/>
      <c r="J9" s="49" t="s">
        <v>218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218</v>
      </c>
      <c r="AC9" s="49" t="s">
        <v>218</v>
      </c>
      <c r="AD9" s="49" t="s">
        <v>218</v>
      </c>
      <c r="AE9" s="49" t="s">
        <v>218</v>
      </c>
      <c r="AF9" s="49" t="s">
        <v>218</v>
      </c>
      <c r="AG9" s="49" t="s">
        <v>218</v>
      </c>
      <c r="AH9" s="50"/>
      <c r="AI9" s="49" t="s">
        <v>218</v>
      </c>
      <c r="AJ9" s="49" t="s">
        <v>218</v>
      </c>
      <c r="AK9" s="49" t="s">
        <v>218</v>
      </c>
      <c r="AL9" s="49" t="s">
        <v>218</v>
      </c>
      <c r="AM9" s="49" t="s">
        <v>218</v>
      </c>
      <c r="AN9" s="49" t="s">
        <v>218</v>
      </c>
      <c r="AO9" s="49" t="s">
        <v>218</v>
      </c>
      <c r="AP9" s="49"/>
      <c r="AQ9" s="51"/>
      <c r="AR9" s="52" t="s">
        <v>259</v>
      </c>
      <c r="AS9" s="46" t="s">
        <v>220</v>
      </c>
      <c r="AT9" s="53" t="s">
        <v>221</v>
      </c>
      <c r="AU9" s="54">
        <v>42972</v>
      </c>
      <c r="AV9" s="55">
        <v>43038</v>
      </c>
      <c r="AW9" s="56" t="s">
        <v>222</v>
      </c>
      <c r="AX9" s="57" t="s">
        <v>222</v>
      </c>
      <c r="AY9" s="58"/>
      <c r="AZ9" s="58" t="s">
        <v>223</v>
      </c>
      <c r="BA9" s="58">
        <v>20</v>
      </c>
      <c r="BB9" s="58">
        <v>10000</v>
      </c>
      <c r="BC9" s="59" t="s">
        <v>224</v>
      </c>
      <c r="BD9" s="60" t="s">
        <v>225</v>
      </c>
      <c r="BE9" s="58" t="s">
        <v>217</v>
      </c>
      <c r="BF9" s="51" t="s">
        <v>217</v>
      </c>
      <c r="BG9" s="45" t="s">
        <v>259</v>
      </c>
      <c r="BH9" s="61" t="s">
        <v>226</v>
      </c>
      <c r="BI9" s="62" t="str">
        <f>IF(ISERROR(VLOOKUP(BH9,[6]PLANOS!B:C,2,0)),"",VLOOKUP(BH9,[6]PLANOS!B:C,2,0))</f>
        <v>PCS-4P6pi</v>
      </c>
      <c r="BJ9" s="63">
        <v>50.1</v>
      </c>
      <c r="BK9" s="64">
        <f>IF(BJ9=0,"",IF(BJ9=VLOOKUP("FIXO",[6]ARBOR!$A:$C,3,0),0.0001,IF(BJ9&gt;VLOOKUP("FIXO",[6]ARBOR!$A:$C,3,0),"Maior que CAP!",IF((DOLLAR(BJ9+(VLOOKUP("FIXO",[6]ARBOR!$A:$C,3,0)*-TRUNC(BJ9/VLOOKUP("FIXO",[6]ARBOR!$A:$C,3,0)-1,4)),6))&lt;&gt;(DOLLAR(VLOOKUP("FIXO",[6]ARBOR!$A:$C,3,0),6)),-TRUNC(BJ9/VLOOKUP("FIXO",[6]ARBOR!$A:$C,3,0)-1,4)+0.0001,-TRUNC(BJ9/VLOOKUP("FIXO",[6]ARBOR!$A:$C,3,0)-1,4)))))</f>
        <v>0.33939999999999998</v>
      </c>
      <c r="BL9" s="65" t="str">
        <f>IF(ISERROR(IF(BK9="","",VLOOKUP(($BH9&amp;BK9&amp;"Template de desconto FLAT bundle - Fixo - Varejo - Ganho Tributário Cross"),[6]BENEFICIOS!$A:$E,5,0))),"Criar",IF(BK9="","",VLOOKUP(($BH9&amp;BK9&amp;"Template de desconto FLAT bundle - Fixo - Varejo - Ganho Tributário Cross"),[6]BENEFICIOS!$A:$E,5,0)))</f>
        <v>MKT-1-9856472058</v>
      </c>
      <c r="BM9" s="66"/>
      <c r="BN9" s="67"/>
      <c r="BO9" s="68" t="s">
        <v>165</v>
      </c>
      <c r="BP9" s="69">
        <v>44.9</v>
      </c>
      <c r="BQ9" s="64">
        <f>IF(BP9=0,"",IF(BP9=VLOOKUP("PCS-30874g",[6]ARBOR!$A:$C,3,0),0.0001,IF(BP9&gt;VLOOKUP("PCS-30874g",[6]ARBOR!$A:$C,3,0),"Maior que CAP!",IF((DOLLAR(BP9+(VLOOKUP("PCS-30874g",[6]ARBOR!$A:$C,3,0)*-TRUNC(BP9/VLOOKUP("PCS-30874g",[6]ARBOR!$A:$C,3,0)-1,4)),6))&lt;&gt;(DOLLAR(VLOOKUP("PCS-30874g",[6]ARBOR!$A:$C,3,0),6)),-TRUNC(BP9/VLOOKUP("PCS-30874g",[6]ARBOR!$A:$C,3,0)-1,4)+0.0001,-TRUNC(BP9/VLOOKUP("PCS-30874g",[6]ARBOR!$A:$C,3,0)-1,4)))))</f>
        <v>0.53679999999999994</v>
      </c>
      <c r="BR9" s="65" t="str">
        <f>IF(ISERROR(IF(BQ9="","",VLOOKUP(($BH9&amp;BQ9&amp;"Template de desconto FLAT bundle - Velox XDSL - Varejo"),[6]BENEFICIOS!$A:$E,5,0))),"Criar",IF(BQ9="","",VLOOKUP(($BH9&amp;BQ9&amp;"Template de desconto FLAT bundle - Velox XDSL - Varejo"),[6]BENEFICIOS!$A:$E,5,0)))</f>
        <v>MKT-1-9865126733</v>
      </c>
      <c r="BS9" s="68" t="s">
        <v>165</v>
      </c>
      <c r="BT9" s="69">
        <v>44.9</v>
      </c>
      <c r="BU9" s="64">
        <f>IF(BT9=0,"",IF(BT9=VLOOKUP("PCS-30577g",[6]ARBOR!$A:$C,3,0),0.0001,IF(BT9&gt;VLOOKUP("PCS-30577g",[6]ARBOR!$A:$C,3,0),"Maior que CAP!",IF((DOLLAR(BT9+(VLOOKUP("PCS-30577g",[6]ARBOR!$A:$C,3,0)*-TRUNC(BT9/VLOOKUP("PCS-30577g",[6]ARBOR!$A:$C,3,0)-1,4)),6))&lt;&gt;(DOLLAR(VLOOKUP("PCS-30577g",[6]ARBOR!$A:$C,3,0),6)),-TRUNC(BT9/VLOOKUP("PCS-30577g",[6]ARBOR!$A:$C,3,0)-1,4)+0.0001,-TRUNC(BT9/VLOOKUP("PCS-30577g",[6]ARBOR!$A:$C,3,0)-1,4)))))</f>
        <v>0.53679999999999994</v>
      </c>
      <c r="BV9" s="65" t="str">
        <f>IF(ISERROR(IF(BU9="","",VLOOKUP(($BH9&amp;BU9&amp;"Template de desconto FLAT bundle - Velox XDSL - Varejo"),[6]BENEFICIOS!$A:$E,5,0))),"Criar",IF(BU9="","",VLOOKUP(($BH9&amp;BU9&amp;"Template de desconto FLAT bundle - Velox XDSL - Varejo"),[6]BENEFICIOS!$A:$E,5,0)))</f>
        <v>MKT-1-9865126733</v>
      </c>
      <c r="BW9" s="68" t="s">
        <v>165</v>
      </c>
      <c r="BX9" s="69">
        <v>44.9</v>
      </c>
      <c r="BY9" s="64">
        <f>IF(BX9=0,"",IF(BX9=VLOOKUP("PCS-30604g",[6]ARBOR!$A:$C,3,0),0.0001,IF(BX9&gt;VLOOKUP("PCS-30604g",[6]ARBOR!$A:$C,3,0),"Maior que CAP!",IF((DOLLAR(BX9+(VLOOKUP("PCS-30604g",[6]ARBOR!$A:$C,3,0)*-TRUNC(BX9/VLOOKUP("PCS-30604g",[6]ARBOR!$A:$C,3,0)-1,4)),6))&lt;&gt;(DOLLAR(VLOOKUP("PCS-30604g",[6]ARBOR!$A:$C,3,0),6)),-TRUNC(BX9/VLOOKUP("PCS-30604g",[6]ARBOR!$A:$C,3,0)-1,4)+0.0001,-TRUNC(BX9/VLOOKUP("PCS-30604g",[6]ARBOR!$A:$C,3,0)-1,4)))))</f>
        <v>0.53679999999999994</v>
      </c>
      <c r="BZ9" s="65" t="str">
        <f>IF(ISERROR(IF(BY9="","",VLOOKUP(($BH9&amp;BY9&amp;"Template de desconto FLAT bundle - Velox XDSL - Varejo"),[6]BENEFICIOS!$A:$E,5,0))),"Criar",IF(BY9="","",VLOOKUP(($BH9&amp;BY9&amp;"Template de desconto FLAT bundle - Velox XDSL - Varejo"),[6]BENEFICIOS!$A:$E,5,0)))</f>
        <v>MKT-1-9865126733</v>
      </c>
      <c r="CA9" s="68" t="s">
        <v>165</v>
      </c>
      <c r="CB9" s="69">
        <v>44.9</v>
      </c>
      <c r="CC9" s="64">
        <f>IF(CB9=0,"",IF(CB9=VLOOKUP("PCS-30631g",[6]ARBOR!$A:$C,3,0),0.0001,IF(CB9&gt;VLOOKUP("PCS-30631g",[6]ARBOR!$A:$C,3,0),"Maior que CAP!",IF((DOLLAR(CB9+(VLOOKUP("PCS-30631g",[6]ARBOR!$A:$C,3,0)*-TRUNC(CB9/VLOOKUP("PCS-30631g",[6]ARBOR!$A:$C,3,0)-1,4)),6))&lt;&gt;(DOLLAR(VLOOKUP("PCS-30631g",[6]ARBOR!$A:$C,3,0),6)),-TRUNC(CB9/VLOOKUP("PCS-30631g",[6]ARBOR!$A:$C,3,0)-1,4)+0.0001,-TRUNC(CB9/VLOOKUP("PCS-30631g",[6]ARBOR!$A:$C,3,0)-1,4)))))</f>
        <v>0.54310000000000003</v>
      </c>
      <c r="CD9" s="65" t="str">
        <f>IF(ISERROR(IF(CC9="","",VLOOKUP(($BH9&amp;CC9&amp;"Template de desconto FLAT bundle - Velox XDSL - Varejo"),[6]BENEFICIOS!$A:$E,5,0))),"Criar",IF(CC9="","",VLOOKUP(($BH9&amp;CC9&amp;"Template de desconto FLAT bundle - Velox XDSL - Varejo"),[6]BENEFICIOS!$A:$E,5,0)))</f>
        <v>MKT-1-9865126826</v>
      </c>
      <c r="CE9" s="68"/>
      <c r="CF9" s="69"/>
      <c r="CG9" s="64" t="str">
        <f>IF(CF9=0,"",IF(CF9=VLOOKUP("PCS-30658g",[6]ARBOR!$A:$C,3,0),0.0001,IF(CF9&gt;VLOOKUP("PCS-30658g",[6]ARBOR!$A:$C,3,0),"Maior que CAP!",IF((DOLLAR(CF9+(VLOOKUP("PCS-30658g",[6]ARBOR!$A:$C,3,0)*-TRUNC(CF9/VLOOKUP("PCS-30658g",[6]ARBOR!$A:$C,3,0)-1,4)),6))&lt;&gt;(DOLLAR(VLOOKUP("PCS-30658g",[6]ARBOR!$A:$C,3,0),6)),-TRUNC(CF9/VLOOKUP("PCS-30658g",[6]ARBOR!$A:$C,3,0)-1,4)+0.0001,-TRUNC(CF9/VLOOKUP("PCS-30658g",[6]ARBOR!$A:$C,3,0)-1,4)))))</f>
        <v/>
      </c>
      <c r="CH9" s="65" t="str">
        <f>IF(ISERROR(IF(CG9="","",VLOOKUP(($BH9&amp;CG9&amp;"Template de desconto FLAT bundle - Velox XDSL - Varejo"),[6]BENEFICIOS!$A:$E,5,0))),"Criar",IF(CG9="","",VLOOKUP(($BH9&amp;CG9&amp;"Template de desconto FLAT bundle - Velox XDSL - Varejo"),[6]BENEFICIOS!$A:$E,5,0)))</f>
        <v/>
      </c>
      <c r="CI9" s="68"/>
      <c r="CJ9" s="69"/>
      <c r="CK9" s="64" t="str">
        <f>IF(CJ9=0,"",IF(CJ9=VLOOKUP("PCS-30685g",[6]ARBOR!$A:$C,3,0),0.0001,IF(CJ9&gt;VLOOKUP("PCS-30685g",[6]ARBOR!$A:$C,3,0),"Maior que CAP!",IF((DOLLAR(CJ9+(VLOOKUP("PCS-30685g",[6]ARBOR!$A:$C,3,0)*-TRUNC(CJ9/VLOOKUP("PCS-30685g",[6]ARBOR!$A:$C,3,0)-1,4)),6))&lt;&gt;(DOLLAR(VLOOKUP("PCS-30685g",[6]ARBOR!$A:$C,3,0),6)),-TRUNC(CJ9/VLOOKUP("PCS-30685g",[6]ARBOR!$A:$C,3,0)-1,4)+0.0001,-TRUNC(CJ9/VLOOKUP("PCS-30685g",[6]ARBOR!$A:$C,3,0)-1,4)))))</f>
        <v/>
      </c>
      <c r="CL9" s="65" t="str">
        <f>IF(ISERROR(IF(CK9="","",VLOOKUP(($BH9&amp;CK9&amp;"Template de desconto FLAT bundle - Velox XDSL - Varejo"),[6]BENEFICIOS!$A:$E,5,0))),"Criar",IF(CK9="","",VLOOKUP(($BH9&amp;CK9&amp;"Template de desconto FLAT bundle - Velox XDSL - Varejo"),[6]BENEFICIOS!$A:$E,5,0)))</f>
        <v/>
      </c>
      <c r="CM9" s="68"/>
      <c r="CN9" s="69"/>
      <c r="CO9" s="64" t="str">
        <f>IF(CN9=0,"",IF(CN9=VLOOKUP("PCS-30712g",[6]ARBOR!$A:$C,3,0),0.0001,IF(CN9&gt;VLOOKUP("PCS-30712g",[6]ARBOR!$A:$C,3,0),"Maior que CAP!",IF((DOLLAR(CN9+(VLOOKUP("PCS-30712g",[6]ARBOR!$A:$C,3,0)*-TRUNC(CN9/VLOOKUP("PCS-30712g",[6]ARBOR!$A:$C,3,0)-1,4)),6))&lt;&gt;(DOLLAR(VLOOKUP("PCS-30712g",[6]ARBOR!$A:$C,3,0),6)),-TRUNC(CN9/VLOOKUP("PCS-30712g",[6]ARBOR!$A:$C,3,0)-1,4)+0.0001,-TRUNC(CN9/VLOOKUP("PCS-30712g",[6]ARBOR!$A:$C,3,0)-1,4)))))</f>
        <v/>
      </c>
      <c r="CP9" s="65" t="str">
        <f>IF(ISERROR(IF(CO9="","",VLOOKUP(($BH9&amp;CO9&amp;"Template de desconto FLAT bundle - Velox XDSL - Varejo"),[6]BENEFICIOS!$A:$E,5,0))),"Criar",IF(CO9="","",VLOOKUP(($BH9&amp;CO9&amp;"Template de desconto FLAT bundle - Velox XDSL - Varejo"),[6]BENEFICIOS!$A:$E,5,0)))</f>
        <v/>
      </c>
      <c r="CQ9" s="68"/>
      <c r="CR9" s="69"/>
      <c r="CS9" s="64" t="str">
        <f>IF(CR9=0,"",IF(CR9=VLOOKUP("PCS-30739g",[6]ARBOR!$A:$C,3,0),0.0001,IF(CR9&gt;VLOOKUP("PCS-30739g",[6]ARBOR!$A:$C,3,0),"Maior que CAP!",IF((DOLLAR(CR9+(VLOOKUP("PCS-30739g",[6]ARBOR!$A:$C,3,0)*-TRUNC(CR9/VLOOKUP("PCS-30739g",[6]ARBOR!$A:$C,3,0)-1,4)),6))&lt;&gt;(DOLLAR(VLOOKUP("PCS-30739g",[6]ARBOR!$A:$C,3,0),6)),-TRUNC(CR9/VLOOKUP("PCS-30739g",[6]ARBOR!$A:$C,3,0)-1,4)+0.0001,-TRUNC(CR9/VLOOKUP("PCS-30739g",[6]ARBOR!$A:$C,3,0)-1,4)))))</f>
        <v/>
      </c>
      <c r="CT9" s="65" t="str">
        <f>IF(ISERROR(IF(CS9="","",VLOOKUP(($BH9&amp;CS9&amp;"Template de desconto FLAT bundle - Velox XDSL - Varejo"),[6]BENEFICIOS!$A:$E,5,0))),"Criar",IF(CS9="","",VLOOKUP(($BH9&amp;CS9&amp;"Template de desconto FLAT bundle - Velox XDSL - Varejo"),[6]BENEFICIOS!$A:$E,5,0)))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IF(CZ9=0,"",IF(CZ9=VLOOKUP("PCS-30766g",[6]ARBOR!$A:$C,3,0),0.0001,IF(CZ9&gt;VLOOKUP("PCS-30766g",[6]ARBOR!$A:$C,3,0),"Maior que CAP!",IF((DOLLAR(CZ9+(VLOOKUP("PCS-30766g",[6]ARBOR!$A:$C,3,0)*-TRUNC(CZ9/VLOOKUP("PCS-30766g",[6]ARBOR!$A:$C,3,0)-1,4)),6))&lt;&gt;(DOLLAR(VLOOKUP("PCS-30766g",[6]ARBOR!$A:$C,3,0),6)),-TRUNC(CZ9/VLOOKUP("PCS-30766g",[6]ARBOR!$A:$C,3,0)-1,4)+0.0001,-TRUNC(CZ9/VLOOKUP("PCS-30766g",[6]ARBOR!$A:$C,3,0)-1,4)))))</f>
        <v/>
      </c>
      <c r="DB9" s="65" t="str">
        <f>IF(ISERROR(IF(DA9="","",VLOOKUP(($BH9&amp;DA9&amp;"Template de desconto FLAT bundle - Velox XDSL - Varejo"),[6]BENEFICIOS!$A:$E,5,0))),"Criar",IF(DA9="","",VLOOKUP(($BH9&amp;DA9&amp;"Template de desconto FLAT bundle - Velox XDSL - Varejo"),[6]BENEFICIOS!$A:$E,5,0)))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IF(DH9=0,"",IF(DH9=VLOOKUP("PCS-30793g",[6]ARBOR!$A:$C,3,0),0.0001,IF(DH9&gt;VLOOKUP("PCS-30793g",[6]ARBOR!$A:$C,3,0),"Maior que CAP!",IF((DOLLAR(DH9+(VLOOKUP("PCS-30793g",[6]ARBOR!$A:$C,3,0)*-TRUNC(DH9/VLOOKUP("PCS-30793g",[6]ARBOR!$A:$C,3,0)-1,4)),6))&lt;&gt;(DOLLAR(VLOOKUP("PCS-30793g",[6]ARBOR!$A:$C,3,0),6)),-TRUNC(DH9/VLOOKUP("PCS-30793g",[6]ARBOR!$A:$C,3,0)-1,4)+0.0001,-TRUNC(DH9/VLOOKUP("PCS-30793g",[6]ARBOR!$A:$C,3,0)-1,4)))))</f>
        <v/>
      </c>
      <c r="DJ9" s="65" t="str">
        <f>IF(ISERROR(IF(DI9="","",VLOOKUP(($BH9&amp;DI9&amp;"Template de desconto FLAT bundle - Velox XDSL - Varejo"),[6]BENEFICIOS!$A:$E,5,0))),"Criar",IF(DI9="","",VLOOKUP(($BH9&amp;DI9&amp;"Template de desconto FLAT bundle - Velox XDSL - Varejo"),[6]BENEFICIOS!$A:$E,5,0)))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IF(DP9=0,"",IF(DP9=VLOOKUP("PCS-30820g",[6]ARBOR!$A:$C,3,0),0.0001,IF(DP9&gt;VLOOKUP("PCS-30820g",[6]ARBOR!$A:$C,3,0),"Maior que CAP!",IF((DOLLAR(DP9+(VLOOKUP("PCS-30820g",[6]ARBOR!$A:$C,3,0)*-TRUNC(DP9/VLOOKUP("PCS-30820g",[6]ARBOR!$A:$C,3,0)-1,4)),6))&lt;&gt;(DOLLAR(VLOOKUP("PCS-30820g",[6]ARBOR!$A:$C,3,0),6)),-TRUNC(DP9/VLOOKUP("PCS-30820g",[6]ARBOR!$A:$C,3,0)-1,4)+0.0001,-TRUNC(DP9/VLOOKUP("PCS-30820g",[6]ARBOR!$A:$C,3,0)-1,4)))))</f>
        <v/>
      </c>
      <c r="DR9" s="65" t="str">
        <f>IF(ISERROR(IF(DQ9="","",VLOOKUP(($BH9&amp;DQ9&amp;"Template de desconto FLAT bundle - Velox XDSL - Varejo"),[6]BENEFICIOS!$A:$E,5,0))),"Criar",IF(DQ9="","",VLOOKUP(($BH9&amp;DQ9&amp;"Template de desconto FLAT bundle - Velox XDSL - Varejo"),[6]BENEFICIOS!$A:$E,5,0)))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IF(DW9=0,"",IF(DW9=VLOOKUP("PCS-21448p2",[6]ARBOR!$A:$C,3,0),0.0001,IF(DW9&gt;VLOOKUP("PCS-21448p2",[6]ARBOR!$A:$C,3,0),"Maior que CAP!",IF((DOLLAR(DW9+(VLOOKUP("PCS-21448p2",[6]ARBOR!$A:$C,3,0)*-TRUNC(DW9/VLOOKUP("PCS-21448p2",[6]ARBOR!$A:$C,3,0)-1,4)),6))&lt;&gt;(DOLLAR(VLOOKUP("PCS-21448p2",[6]ARBOR!$A:$C,3,0),6)),-TRUNC(DW9/VLOOKUP("PCS-21448p2",[6]ARBOR!$A:$C,3,0)-1,4)+0.0001,-TRUNC(DW9/VLOOKUP("PCS-21448p2",[6]ARBOR!$A:$C,3,0)-1,4)))))</f>
        <v>0.64900000000000002</v>
      </c>
      <c r="DY9" s="65" t="str">
        <f>IF(ISERROR(IF(DX9="","",VLOOKUP(("Oi Conta Total Plug 10GB Downgrade"&amp;DX9&amp;"Template de desconto percentual BL Móvel - Internet Total - Varejo"),[6]BENEFICIOS!$A:$E,5,0))),"Criar",IF(DX9="","",VLOOKUP(("Oi Conta Total Plug 10GB Downgrade"&amp;DX9&amp;"Template de desconto percentual BL Móvel - Internet Total - Varejo"),[6]BENEFICIOS!$A:$E,5,0)))</f>
        <v>MKT-1-9825544790</v>
      </c>
      <c r="DZ9" s="71">
        <v>16.5</v>
      </c>
      <c r="EA9" s="72">
        <f>IF(DZ9=0,"",IF(DZ9=VLOOKUP("SVA",[6]ARBOR!$A:$C,3,0),0.0001,IF(DZ9&gt;VLOOKUP("SVA",[6]ARBOR!$A:$C,3,0),"Maior que CAP!",IF((DOLLAR(DZ9+(VLOOKUP("SVA",[6]ARBOR!$A:$C,3,0)*-TRUNC(DZ9/VLOOKUP("SVA",[6]ARBOR!$A:$C,3,0)-1,4)),6))&lt;&gt;(DOLLAR(VLOOKUP("SVA",[6]ARBOR!$A:$C,3,0),6)),-TRUNC(DZ9/VLOOKUP("SVA",[6]ARBOR!$A:$C,3,0)-1,4)+0.0001,-TRUNC(DZ9/VLOOKUP("SVA",[6]ARBOR!$A:$C,3,0)-1,4)))))</f>
        <v>0.2301</v>
      </c>
      <c r="EB9" s="65" t="s">
        <v>227</v>
      </c>
      <c r="EC9" s="69"/>
      <c r="ED9" s="73"/>
      <c r="EE9" s="74"/>
      <c r="EF9" s="65"/>
      <c r="EG9" s="75">
        <f>IF(BI9="","",VLOOKUP(BI9,[6]ARBOR!A:C,3,0))</f>
        <v>479.46</v>
      </c>
      <c r="EH9" s="69">
        <v>15</v>
      </c>
      <c r="EI9" s="76">
        <f>IF(EH9="","",1-(EH9/VLOOKUP(BI9&amp;"ASS",[6]ARBOR!A:C,3,0)))</f>
        <v>0.34725848563968664</v>
      </c>
      <c r="EJ9" s="77" t="s">
        <v>228</v>
      </c>
      <c r="EK9" s="78" t="s">
        <v>229</v>
      </c>
      <c r="EL9" s="69">
        <v>154.54999999999998</v>
      </c>
      <c r="EM9" s="64">
        <f>ROUND(IF(EL9=0,"",IF(EL9=EG9,0.0001,1-((EL9+(VLOOKUP(BI9&amp;"ASS",[6]ARBOR!A:C,3,0)-EH9))/EG9))),4)</f>
        <v>0.66100000000000003</v>
      </c>
      <c r="EN9" s="65" t="str">
        <f>IF(ISERROR(IF(EM9="","",VLOOKUP(($BH9&amp;EM9&amp;"Template de desconto percentual FLAT Móvel - Conta Total - Varejo - Ganho Tributário Cross"),[6]BENEFICIOS!$A:$E,5,0))),"Criar",IF(EM9="","",VLOOKUP(($BH9&amp;EM9&amp;"Template de desconto percentual FLAT Móvel - Conta Total - Varejo - Ganho Tributário Cross"),[6]BENEFICIOS!$A:$E,5,0)))</f>
        <v>Criar</v>
      </c>
      <c r="EO9" s="79"/>
      <c r="EP9" s="64"/>
      <c r="EQ9" s="72"/>
      <c r="ER9" s="72"/>
      <c r="ES9" s="64"/>
      <c r="ET9" s="80"/>
      <c r="EU9" s="81" t="s">
        <v>248</v>
      </c>
      <c r="EV9" s="81" t="s">
        <v>260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IF(FC9=0,"",IF(FC9=VLOOKUP("PCS-10357",[6]ARBOR!$A:$C,3,0),0.0001,IF(FC9&gt;VLOOKUP("PCS-10357",[6]ARBOR!$A:$C,3,0),"Maior que CAP!",ROUND(-1*(FC9/VLOOKUP("PCS-10357",[6]ARBOR!$A:$C,3,0)-1),4))))</f>
        <v/>
      </c>
      <c r="FE9" s="84" t="str">
        <f>IF(ISERROR(IF(FD9="","",VLOOKUP(("Oi Internet Pra Celular 1GB"&amp;FD9&amp;"Template Flat Instância Dados"),[6]BENEFICIOS!$A:$E,5,0))),"Criar",IF(FD9="","",VLOOKUP(("Oi Internet Pra Celular 1GB"&amp;FD9&amp;"Template Flat Instância Dados"),[6]BENEFICIOS!$A:$E,5,0)))</f>
        <v/>
      </c>
      <c r="FF9" s="82"/>
      <c r="FG9" s="83" t="str">
        <f>IF(FF9=0,"",IF(FF9=VLOOKUP("PCS-813565",[6]ARBOR!$A:$C,3,0),0.0001,IF(FF9&gt;VLOOKUP("PCS-813565",[6]ARBOR!$A:$C,3,0),"Maior que CAP!",ROUND(-1*(FF9/VLOOKUP("PCS-813565",[6]ARBOR!$A:$C,3,0)-1),4))))</f>
        <v/>
      </c>
      <c r="FH9" s="84" t="str">
        <f>IF(ISERROR(IF(FG9="","",VLOOKUP(("Oi Internet Pra Celular 2GB"&amp;FG9&amp;"Template Flat Instância Dados"),[6]BENEFICIOS!$A:$E,5,0))),"Criar",IF(FG9="","",VLOOKUP(("Oi Internet Pra Celular 2GB"&amp;FG9&amp;"Template Flat Instância Dados"),[6]BENEFICIOS!$A:$E,5,0)))</f>
        <v/>
      </c>
      <c r="FI9" s="82">
        <v>12.35</v>
      </c>
      <c r="FJ9" s="83">
        <f>IF(FI9=0,"",IF(FI9=VLOOKUP("PCS-7171B",[6]ARBOR!$A:$C,3,0),0.0001,IF(FI9&gt;VLOOKUP("PCS-7171B",[6]ARBOR!$A:$C,3,0),"Maior que CAP!",ROUND(-1*(FI9/VLOOKUP("PCS-7171B",[6]ARBOR!$A:$C,3,0)-1),4))))</f>
        <v>0.87419999999999998</v>
      </c>
      <c r="FK9" s="84" t="str">
        <f>IF(ISERROR(IF(FJ9="","",VLOOKUP(("Oi Internet Pra Celular 3GB"&amp;FJ9&amp;"Template Flat Instância Dados"),[6]BENEFICIOS!$A:$E,5,0))),"Criar",IF(FJ9="","",VLOOKUP(("Oi Internet Pra Celular 3GB"&amp;FJ9&amp;"Template Flat Instância Dados"),[6]BENEFICIOS!$A:$E,5,0)))</f>
        <v>MKT-1-9870092975</v>
      </c>
      <c r="FL9" s="82"/>
      <c r="FM9" s="83" t="str">
        <f>IF(FL9=0,"",IF(FL9=VLOOKUP("PCS-51793o08",[6]ARBOR!$A:$C,3,0),0.0001,IF(FL9&gt;VLOOKUP("PCS-51793o08",[6]ARBOR!$A:$C,3,0),"Maior que CAP!",ROUND(-1*(FL9/VLOOKUP("PCS-51793o08",[6]ARBOR!$A:$C,3,0)-1),4))))</f>
        <v/>
      </c>
      <c r="FN9" s="84" t="str">
        <f>IF(ISERROR(IF(FM9="","",VLOOKUP(("Oi Internet Pra Celular 5GB"&amp;FM9&amp;"Template Flat Instância Dados"),[6]BENEFICIOS!$A:$E,5,0))),"Criar",IF(FM9="","",VLOOKUP(("Oi Internet Pra Celular 5GB"&amp;FM9&amp;"Template Flat Instância Dados"),[6]BENEFICIOS!$A:$E,5,0)))</f>
        <v/>
      </c>
      <c r="FO9" s="82"/>
      <c r="FP9" s="83" t="str">
        <f>IF(FO9=0,"",IF(FO9=VLOOKUP("PCS-7171A",[6]ARBOR!$A:$C,3,0),0.0001,IF(FO9&gt;VLOOKUP("PCS-7171A",[6]ARBOR!$A:$C,3,0),"Maior que CAP!",ROUND(-1*(FO9/VLOOKUP("PCS-7171A",[6]ARBOR!$A:$C,3,0)-1),4))))</f>
        <v/>
      </c>
      <c r="FQ9" s="84" t="str">
        <f>IF(ISERROR(IF(FP9="","",VLOOKUP(("Oi Internet Pra Celular 10GB"&amp;FP9&amp;"Template Flat Instância Dados"),[6]BENEFICIOS!$A:$E,5,0))),"Criar",IF(FP9="","",VLOOKUP(("Oi Internet Pra Celular 10GB"&amp;FP9&amp;"Template Flat Instância Dados"),[6]BENEFICIOS!$A:$E,5,0)))</f>
        <v/>
      </c>
      <c r="FR9" s="85">
        <v>0.74219999999999997</v>
      </c>
      <c r="FS9" s="86" t="s">
        <v>250</v>
      </c>
      <c r="FT9" s="48"/>
      <c r="FU9" s="87"/>
      <c r="FV9" s="88" t="s">
        <v>225</v>
      </c>
      <c r="FW9" s="49" t="s">
        <v>230</v>
      </c>
      <c r="FX9" s="89">
        <v>999</v>
      </c>
      <c r="FY9" s="49">
        <v>12</v>
      </c>
      <c r="FZ9" s="90" t="s">
        <v>231</v>
      </c>
      <c r="GA9" s="91" t="str">
        <f t="shared" si="1"/>
        <v>PCS-Fk83324</v>
      </c>
      <c r="GB9" s="92" t="str">
        <f t="shared" si="2"/>
        <v>PCS-SBL553142</v>
      </c>
      <c r="GC9" s="93" t="s">
        <v>232</v>
      </c>
      <c r="GD9" s="90" t="s">
        <v>233</v>
      </c>
      <c r="GE9" s="92" t="s">
        <v>234</v>
      </c>
      <c r="GF9" s="93" t="s">
        <v>235</v>
      </c>
      <c r="GG9" s="90" t="s">
        <v>236</v>
      </c>
      <c r="GH9" s="92" t="s">
        <v>237</v>
      </c>
      <c r="GI9" s="94" t="s">
        <v>238</v>
      </c>
      <c r="GJ9" s="95">
        <f>FI9+EL9+DW9+BJ9</f>
        <v>261.89999999999998</v>
      </c>
      <c r="GK9" s="96"/>
      <c r="GL9" s="97" t="s">
        <v>239</v>
      </c>
      <c r="GM9" s="98" t="s">
        <v>240</v>
      </c>
      <c r="GN9" s="97">
        <f>VLOOKUP($A9,'[6]TABELA COM TUDO'!$A:$AB,25,0)</f>
        <v>14</v>
      </c>
      <c r="GO9" s="99">
        <f>VLOOKUP($A9,'[6]TABELA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261</v>
      </c>
      <c r="GX9" s="44" t="s">
        <v>242</v>
      </c>
    </row>
    <row r="10" spans="1:206" s="44" customFormat="1" x14ac:dyDescent="0.25">
      <c r="A10" s="44" t="str">
        <f t="shared" si="0"/>
        <v>Oi Total Fixo + Pós 800 + Banda LargaN13GBMG</v>
      </c>
      <c r="B10" s="45" t="s">
        <v>215</v>
      </c>
      <c r="C10" s="46" t="s">
        <v>131</v>
      </c>
      <c r="D10" s="46" t="s">
        <v>216</v>
      </c>
      <c r="E10" s="47" t="s">
        <v>217</v>
      </c>
      <c r="F10" s="48" t="s">
        <v>218</v>
      </c>
      <c r="G10" s="49"/>
      <c r="H10" s="49"/>
      <c r="I10" s="49"/>
      <c r="J10" s="49" t="s">
        <v>218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218</v>
      </c>
      <c r="AC10" s="49" t="s">
        <v>218</v>
      </c>
      <c r="AD10" s="49" t="s">
        <v>218</v>
      </c>
      <c r="AE10" s="49" t="s">
        <v>218</v>
      </c>
      <c r="AF10" s="49" t="s">
        <v>218</v>
      </c>
      <c r="AG10" s="49" t="s">
        <v>218</v>
      </c>
      <c r="AH10" s="50"/>
      <c r="AI10" s="49" t="s">
        <v>218</v>
      </c>
      <c r="AJ10" s="49" t="s">
        <v>218</v>
      </c>
      <c r="AK10" s="49" t="s">
        <v>218</v>
      </c>
      <c r="AL10" s="49" t="s">
        <v>218</v>
      </c>
      <c r="AM10" s="49" t="s">
        <v>218</v>
      </c>
      <c r="AN10" s="49" t="s">
        <v>218</v>
      </c>
      <c r="AO10" s="49" t="s">
        <v>218</v>
      </c>
      <c r="AP10" s="49"/>
      <c r="AQ10" s="51"/>
      <c r="AR10" s="52" t="s">
        <v>262</v>
      </c>
      <c r="AS10" s="46" t="s">
        <v>220</v>
      </c>
      <c r="AT10" s="53" t="s">
        <v>221</v>
      </c>
      <c r="AU10" s="54">
        <v>42972</v>
      </c>
      <c r="AV10" s="55">
        <v>43038</v>
      </c>
      <c r="AW10" s="56" t="s">
        <v>222</v>
      </c>
      <c r="AX10" s="57" t="s">
        <v>222</v>
      </c>
      <c r="AY10" s="58"/>
      <c r="AZ10" s="58" t="s">
        <v>223</v>
      </c>
      <c r="BA10" s="58">
        <v>20</v>
      </c>
      <c r="BB10" s="58">
        <v>10000</v>
      </c>
      <c r="BC10" s="59" t="s">
        <v>224</v>
      </c>
      <c r="BD10" s="60" t="s">
        <v>225</v>
      </c>
      <c r="BE10" s="58" t="s">
        <v>217</v>
      </c>
      <c r="BF10" s="51" t="s">
        <v>217</v>
      </c>
      <c r="BG10" s="45" t="s">
        <v>262</v>
      </c>
      <c r="BH10" s="61" t="s">
        <v>226</v>
      </c>
      <c r="BI10" s="62" t="str">
        <f>IF(ISERROR(VLOOKUP(BH10,[6]PLANOS!B:C,2,0)),"",VLOOKUP(BH10,[6]PLANOS!B:C,2,0))</f>
        <v>PCS-4P6pi</v>
      </c>
      <c r="BJ10" s="63">
        <v>50.1</v>
      </c>
      <c r="BK10" s="64">
        <f>IF(BJ10=0,"",IF(BJ10=VLOOKUP("FIXO",[6]ARBOR!$A:$C,3,0),0.0001,IF(BJ10&gt;VLOOKUP("FIXO",[6]ARBOR!$A:$C,3,0),"Maior que CAP!",IF((DOLLAR(BJ10+(VLOOKUP("FIXO",[6]ARBOR!$A:$C,3,0)*-TRUNC(BJ10/VLOOKUP("FIXO",[6]ARBOR!$A:$C,3,0)-1,4)),6))&lt;&gt;(DOLLAR(VLOOKUP("FIXO",[6]ARBOR!$A:$C,3,0),6)),-TRUNC(BJ10/VLOOKUP("FIXO",[6]ARBOR!$A:$C,3,0)-1,4)+0.0001,-TRUNC(BJ10/VLOOKUP("FIXO",[6]ARBOR!$A:$C,3,0)-1,4)))))</f>
        <v>0.33939999999999998</v>
      </c>
      <c r="BL10" s="65" t="str">
        <f>IF(ISERROR(IF(BK10="","",VLOOKUP(($BH10&amp;BK10&amp;"Template de desconto FLAT bundle - Fixo - Varejo - Ganho Tributário Cross"),[6]BENEFICIOS!$A:$E,5,0))),"Criar",IF(BK10="","",VLOOKUP(($BH10&amp;BK10&amp;"Template de desconto FLAT bundle - Fixo - Varejo - Ganho Tributário Cross"),[6]BENEFICIOS!$A:$E,5,0)))</f>
        <v>MKT-1-9856472058</v>
      </c>
      <c r="BM10" s="66"/>
      <c r="BN10" s="67"/>
      <c r="BO10" s="104" t="s">
        <v>244</v>
      </c>
      <c r="BP10" s="69">
        <v>44.9</v>
      </c>
      <c r="BQ10" s="64">
        <f>IF(BP10=0,"",IF(BP10=VLOOKUP("PCS-30874g",[6]ARBOR!$A:$C,3,0),0.0001,IF(BP10&gt;VLOOKUP("PCS-30874g",[6]ARBOR!$A:$C,3,0),"Maior que CAP!",IF((DOLLAR(BP10+(VLOOKUP("PCS-30874g",[6]ARBOR!$A:$C,3,0)*-TRUNC(BP10/VLOOKUP("PCS-30874g",[6]ARBOR!$A:$C,3,0)-1,4)),6))&lt;&gt;(DOLLAR(VLOOKUP("PCS-30874g",[6]ARBOR!$A:$C,3,0),6)),-TRUNC(BP10/VLOOKUP("PCS-30874g",[6]ARBOR!$A:$C,3,0)-1,4)+0.0001,-TRUNC(BP10/VLOOKUP("PCS-30874g",[6]ARBOR!$A:$C,3,0)-1,4)))))</f>
        <v>0.53679999999999994</v>
      </c>
      <c r="BR10" s="65" t="str">
        <f>IF(ISERROR(IF(BQ10="","",VLOOKUP(($BH10&amp;BQ10&amp;"Template de desconto FLAT bundle - Velox XDSL - Varejo"),[6]BENEFICIOS!$A:$E,5,0))),"Criar",IF(BQ10="","",VLOOKUP(($BH10&amp;BQ10&amp;"Template de desconto FLAT bundle - Velox XDSL - Varejo"),[6]BENEFICIOS!$A:$E,5,0)))</f>
        <v>MKT-1-9865126733</v>
      </c>
      <c r="BS10" s="104" t="s">
        <v>244</v>
      </c>
      <c r="BT10" s="69">
        <v>44.9</v>
      </c>
      <c r="BU10" s="64">
        <f>IF(BT10=0,"",IF(BT10=VLOOKUP("PCS-30577g",[6]ARBOR!$A:$C,3,0),0.0001,IF(BT10&gt;VLOOKUP("PCS-30577g",[6]ARBOR!$A:$C,3,0),"Maior que CAP!",IF((DOLLAR(BT10+(VLOOKUP("PCS-30577g",[6]ARBOR!$A:$C,3,0)*-TRUNC(BT10/VLOOKUP("PCS-30577g",[6]ARBOR!$A:$C,3,0)-1,4)),6))&lt;&gt;(DOLLAR(VLOOKUP("PCS-30577g",[6]ARBOR!$A:$C,3,0),6)),-TRUNC(BT10/VLOOKUP("PCS-30577g",[6]ARBOR!$A:$C,3,0)-1,4)+0.0001,-TRUNC(BT10/VLOOKUP("PCS-30577g",[6]ARBOR!$A:$C,3,0)-1,4)))))</f>
        <v>0.53679999999999994</v>
      </c>
      <c r="BV10" s="65" t="str">
        <f>IF(ISERROR(IF(BU10="","",VLOOKUP(($BH10&amp;BU10&amp;"Template de desconto FLAT bundle - Velox XDSL - Varejo"),[6]BENEFICIOS!$A:$E,5,0))),"Criar",IF(BU10="","",VLOOKUP(($BH10&amp;BU10&amp;"Template de desconto FLAT bundle - Velox XDSL - Varejo"),[6]BENEFICIOS!$A:$E,5,0)))</f>
        <v>MKT-1-9865126733</v>
      </c>
      <c r="BW10" s="104" t="s">
        <v>244</v>
      </c>
      <c r="BX10" s="69">
        <v>44.9</v>
      </c>
      <c r="BY10" s="64">
        <f>IF(BX10=0,"",IF(BX10=VLOOKUP("PCS-30604g",[6]ARBOR!$A:$C,3,0),0.0001,IF(BX10&gt;VLOOKUP("PCS-30604g",[6]ARBOR!$A:$C,3,0),"Maior que CAP!",IF((DOLLAR(BX10+(VLOOKUP("PCS-30604g",[6]ARBOR!$A:$C,3,0)*-TRUNC(BX10/VLOOKUP("PCS-30604g",[6]ARBOR!$A:$C,3,0)-1,4)),6))&lt;&gt;(DOLLAR(VLOOKUP("PCS-30604g",[6]ARBOR!$A:$C,3,0),6)),-TRUNC(BX10/VLOOKUP("PCS-30604g",[6]ARBOR!$A:$C,3,0)-1,4)+0.0001,-TRUNC(BX10/VLOOKUP("PCS-30604g",[6]ARBOR!$A:$C,3,0)-1,4)))))</f>
        <v>0.53679999999999994</v>
      </c>
      <c r="BZ10" s="65" t="str">
        <f>IF(ISERROR(IF(BY10="","",VLOOKUP(($BH10&amp;BY10&amp;"Template de desconto FLAT bundle - Velox XDSL - Varejo"),[6]BENEFICIOS!$A:$E,5,0))),"Criar",IF(BY10="","",VLOOKUP(($BH10&amp;BY10&amp;"Template de desconto FLAT bundle - Velox XDSL - Varejo"),[6]BENEFICIOS!$A:$E,5,0)))</f>
        <v>MKT-1-9865126733</v>
      </c>
      <c r="CA10" s="104" t="s">
        <v>244</v>
      </c>
      <c r="CB10" s="69">
        <v>44.9</v>
      </c>
      <c r="CC10" s="64">
        <f>IF(CB10=0,"",IF(CB10=VLOOKUP("PCS-30631g",[6]ARBOR!$A:$C,3,0),0.0001,IF(CB10&gt;VLOOKUP("PCS-30631g",[6]ARBOR!$A:$C,3,0),"Maior que CAP!",IF((DOLLAR(CB10+(VLOOKUP("PCS-30631g",[6]ARBOR!$A:$C,3,0)*-TRUNC(CB10/VLOOKUP("PCS-30631g",[6]ARBOR!$A:$C,3,0)-1,4)),6))&lt;&gt;(DOLLAR(VLOOKUP("PCS-30631g",[6]ARBOR!$A:$C,3,0),6)),-TRUNC(CB10/VLOOKUP("PCS-30631g",[6]ARBOR!$A:$C,3,0)-1,4)+0.0001,-TRUNC(CB10/VLOOKUP("PCS-30631g",[6]ARBOR!$A:$C,3,0)-1,4)))))</f>
        <v>0.54310000000000003</v>
      </c>
      <c r="CD10" s="65" t="str">
        <f>IF(ISERROR(IF(CC10="","",VLOOKUP(($BH10&amp;CC10&amp;"Template de desconto FLAT bundle - Velox XDSL - Varejo"),[6]BENEFICIOS!$A:$E,5,0))),"Criar",IF(CC10="","",VLOOKUP(($BH10&amp;CC10&amp;"Template de desconto FLAT bundle - Velox XDSL - Varejo"),[6]BENEFICIOS!$A:$E,5,0)))</f>
        <v>MKT-1-9865126826</v>
      </c>
      <c r="CE10" s="68" t="s">
        <v>165</v>
      </c>
      <c r="CF10" s="69">
        <v>49.9</v>
      </c>
      <c r="CG10" s="64">
        <f>IF(CF10=0,"",IF(CF10=VLOOKUP("PCS-30658g",[6]ARBOR!$A:$C,3,0),0.0001,IF(CF10&gt;VLOOKUP("PCS-30658g",[6]ARBOR!$A:$C,3,0),"Maior que CAP!",IF((DOLLAR(CF10+(VLOOKUP("PCS-30658g",[6]ARBOR!$A:$C,3,0)*-TRUNC(CF10/VLOOKUP("PCS-30658g",[6]ARBOR!$A:$C,3,0)-1,4)),6))&lt;&gt;(DOLLAR(VLOOKUP("PCS-30658g",[6]ARBOR!$A:$C,3,0),6)),-TRUNC(CF10/VLOOKUP("PCS-30658g",[6]ARBOR!$A:$C,3,0)-1,4)+0.0001,-TRUNC(CF10/VLOOKUP("PCS-30658g",[6]ARBOR!$A:$C,3,0)-1,4)))))</f>
        <v>0.55569999999999997</v>
      </c>
      <c r="CH10" s="65" t="str">
        <f>IF(ISERROR(IF(CG10="","",VLOOKUP(($BH10&amp;CG10&amp;"Template de desconto FLAT bundle - Velox XDSL - Varejo"),[6]BENEFICIOS!$A:$E,5,0))),"Criar",IF(CG10="","",VLOOKUP(($BH10&amp;CG10&amp;"Template de desconto FLAT bundle - Velox XDSL - Varejo"),[6]BENEFICIOS!$A:$E,5,0)))</f>
        <v>MKT-1-9865126919</v>
      </c>
      <c r="CI10" s="68" t="s">
        <v>165</v>
      </c>
      <c r="CJ10" s="69">
        <v>49.9</v>
      </c>
      <c r="CK10" s="64">
        <f>IF(CJ10=0,"",IF(CJ10=VLOOKUP("PCS-30685g",[6]ARBOR!$A:$C,3,0),0.0001,IF(CJ10&gt;VLOOKUP("PCS-30685g",[6]ARBOR!$A:$C,3,0),"Maior que CAP!",IF((DOLLAR(CJ10+(VLOOKUP("PCS-30685g",[6]ARBOR!$A:$C,3,0)*-TRUNC(CJ10/VLOOKUP("PCS-30685g",[6]ARBOR!$A:$C,3,0)-1,4)),6))&lt;&gt;(DOLLAR(VLOOKUP("PCS-30685g",[6]ARBOR!$A:$C,3,0),6)),-TRUNC(CJ10/VLOOKUP("PCS-30685g",[6]ARBOR!$A:$C,3,0)-1,4)+0.0001,-TRUNC(CJ10/VLOOKUP("PCS-30685g",[6]ARBOR!$A:$C,3,0)-1,4)))))</f>
        <v>0.60509999999999997</v>
      </c>
      <c r="CL10" s="65" t="str">
        <f>IF(ISERROR(IF(CK10="","",VLOOKUP(($BH10&amp;CK10&amp;"Template de desconto FLAT bundle - Velox XDSL - Varejo"),[6]BENEFICIOS!$A:$E,5,0))),"Criar",IF(CK10="","",VLOOKUP(($BH10&amp;CK10&amp;"Template de desconto FLAT bundle - Velox XDSL - Varejo"),[6]BENEFICIOS!$A:$E,5,0)))</f>
        <v>MKT-1-9865694381</v>
      </c>
      <c r="CM10" s="68" t="s">
        <v>165</v>
      </c>
      <c r="CN10" s="69">
        <v>49.9</v>
      </c>
      <c r="CO10" s="64">
        <f>IF(CN10=0,"",IF(CN10=VLOOKUP("PCS-30712g",[6]ARBOR!$A:$C,3,0),0.0001,IF(CN10&gt;VLOOKUP("PCS-30712g",[6]ARBOR!$A:$C,3,0),"Maior que CAP!",IF((DOLLAR(CN10+(VLOOKUP("PCS-30712g",[6]ARBOR!$A:$C,3,0)*-TRUNC(CN10/VLOOKUP("PCS-30712g",[6]ARBOR!$A:$C,3,0)-1,4)),6))&lt;&gt;(DOLLAR(VLOOKUP("PCS-30712g",[6]ARBOR!$A:$C,3,0),6)),-TRUNC(CN10/VLOOKUP("PCS-30712g",[6]ARBOR!$A:$C,3,0)-1,4)+0.0001,-TRUNC(CN10/VLOOKUP("PCS-30712g",[6]ARBOR!$A:$C,3,0)-1,4)))))</f>
        <v>0.64459999999999995</v>
      </c>
      <c r="CP10" s="65" t="str">
        <f>IF(ISERROR(IF(CO10="","",VLOOKUP(($BH10&amp;CO10&amp;"Template de desconto FLAT bundle - Velox XDSL - Varejo"),[6]BENEFICIOS!$A:$E,5,0))),"Criar",IF(CO10="","",VLOOKUP(($BH10&amp;CO10&amp;"Template de desconto FLAT bundle - Velox XDSL - Varejo"),[6]BENEFICIOS!$A:$E,5,0)))</f>
        <v>MKT-1-9865191105</v>
      </c>
      <c r="CQ10" s="68" t="s">
        <v>165</v>
      </c>
      <c r="CR10" s="69">
        <v>59.9</v>
      </c>
      <c r="CS10" s="64">
        <f>IF(CR10=0,"",IF(CR10=VLOOKUP("PCS-30739g",[6]ARBOR!$A:$C,3,0),0.0001,IF(CR10&gt;VLOOKUP("PCS-30739g",[6]ARBOR!$A:$C,3,0),"Maior que CAP!",IF((DOLLAR(CR10+(VLOOKUP("PCS-30739g",[6]ARBOR!$A:$C,3,0)*-TRUNC(CR10/VLOOKUP("PCS-30739g",[6]ARBOR!$A:$C,3,0)-1,4)),6))&lt;&gt;(DOLLAR(VLOOKUP("PCS-30739g",[6]ARBOR!$A:$C,3,0),6)),-TRUNC(CR10/VLOOKUP("PCS-30739g",[6]ARBOR!$A:$C,3,0)-1,4)+0.0001,-TRUNC(CR10/VLOOKUP("PCS-30739g",[6]ARBOR!$A:$C,3,0)-1,4)))))</f>
        <v>0.71560000000000001</v>
      </c>
      <c r="CT10" s="65" t="str">
        <f>IF(ISERROR(IF(CS10="","",VLOOKUP(($BH10&amp;CS10&amp;"Template de desconto FLAT bundle - Velox XDSL - Varejo"),[6]BENEFICIOS!$A:$E,5,0))),"Criar",IF(CS10="","",VLOOKUP(($BH10&amp;CS10&amp;"Template de desconto FLAT bundle - Velox XDSL - Varejo"),[6]BENEFICIOS!$A:$E,5,0)))</f>
        <v>MKT-1-9865191198</v>
      </c>
      <c r="CU10" s="69"/>
      <c r="CV10" s="70"/>
      <c r="CW10" s="64"/>
      <c r="CX10" s="65"/>
      <c r="CY10" s="68" t="s">
        <v>165</v>
      </c>
      <c r="CZ10" s="69">
        <v>59.9</v>
      </c>
      <c r="DA10" s="64">
        <f>IF(CZ10=0,"",IF(CZ10=VLOOKUP("PCS-30766g",[6]ARBOR!$A:$C,3,0),0.0001,IF(CZ10&gt;VLOOKUP("PCS-30766g",[6]ARBOR!$A:$C,3,0),"Maior que CAP!",IF((DOLLAR(CZ10+(VLOOKUP("PCS-30766g",[6]ARBOR!$A:$C,3,0)*-TRUNC(CZ10/VLOOKUP("PCS-30766g",[6]ARBOR!$A:$C,3,0)-1,4)),6))&lt;&gt;(DOLLAR(VLOOKUP("PCS-30766g",[6]ARBOR!$A:$C,3,0),6)),-TRUNC(CZ10/VLOOKUP("PCS-30766g",[6]ARBOR!$A:$C,3,0)-1,4)+0.0001,-TRUNC(CZ10/VLOOKUP("PCS-30766g",[6]ARBOR!$A:$C,3,0)-1,4)))))</f>
        <v>0.78669999999999995</v>
      </c>
      <c r="DB10" s="65" t="str">
        <f>IF(ISERROR(IF(DA10="","",VLOOKUP(($BH10&amp;DA10&amp;"Template de desconto FLAT bundle - Velox XDSL - Varejo"),[6]BENEFICIOS!$A:$E,5,0))),"Criar",IF(DA10="","",VLOOKUP(($BH10&amp;DA10&amp;"Template de desconto FLAT bundle - Velox XDSL - Varejo"),[6]BENEFICIOS!$A:$E,5,0)))</f>
        <v>MKT-1-9865191291</v>
      </c>
      <c r="DC10" s="69"/>
      <c r="DD10" s="70"/>
      <c r="DE10" s="64"/>
      <c r="DF10" s="65"/>
      <c r="DG10" s="68" t="s">
        <v>244</v>
      </c>
      <c r="DH10" s="69">
        <v>69.900000000000006</v>
      </c>
      <c r="DI10" s="64">
        <f>IF(DH10=0,"",IF(DH10=VLOOKUP("PCS-30793g",[6]ARBOR!$A:$C,3,0),0.0001,IF(DH10&gt;VLOOKUP("PCS-30793g",[6]ARBOR!$A:$C,3,0),"Maior que CAP!",IF((DOLLAR(DH10+(VLOOKUP("PCS-30793g",[6]ARBOR!$A:$C,3,0)*-TRUNC(DH10/VLOOKUP("PCS-30793g",[6]ARBOR!$A:$C,3,0)-1,4)),6))&lt;&gt;(DOLLAR(VLOOKUP("PCS-30793g",[6]ARBOR!$A:$C,3,0),6)),-TRUNC(DH10/VLOOKUP("PCS-30793g",[6]ARBOR!$A:$C,3,0)-1,4)+0.0001,-TRUNC(DH10/VLOOKUP("PCS-30793g",[6]ARBOR!$A:$C,3,0)-1,4)))))</f>
        <v>0.75109999999999999</v>
      </c>
      <c r="DJ10" s="65" t="str">
        <f>IF(ISERROR(IF(DI10="","",VLOOKUP(($BH10&amp;DI10&amp;"Template de desconto FLAT bundle - Velox XDSL - Varejo"),[6]BENEFICIOS!$A:$E,5,0))),"Criar",IF(DI10="","",VLOOKUP(($BH10&amp;DI10&amp;"Template de desconto FLAT bundle - Velox XDSL - Varejo"),[6]BENEFICIOS!$A:$E,5,0)))</f>
        <v>MKT-1-9865191384</v>
      </c>
      <c r="DK10" s="69"/>
      <c r="DL10" s="70"/>
      <c r="DM10" s="64"/>
      <c r="DN10" s="65"/>
      <c r="DO10" s="68" t="s">
        <v>165</v>
      </c>
      <c r="DP10" s="69">
        <v>69.900000000000006</v>
      </c>
      <c r="DQ10" s="64">
        <f>IF(DP10=0,"",IF(DP10=VLOOKUP("PCS-30820g",[6]ARBOR!$A:$C,3,0),0.0001,IF(DP10&gt;VLOOKUP("PCS-30820g",[6]ARBOR!$A:$C,3,0),"Maior que CAP!",IF((DOLLAR(DP10+(VLOOKUP("PCS-30820g",[6]ARBOR!$A:$C,3,0)*-TRUNC(DP10/VLOOKUP("PCS-30820g",[6]ARBOR!$A:$C,3,0)-1,4)),6))&lt;&gt;(DOLLAR(VLOOKUP("PCS-30820g",[6]ARBOR!$A:$C,3,0),6)),-TRUNC(DP10/VLOOKUP("PCS-30820g",[6]ARBOR!$A:$C,3,0)-1,4)+0.0001,-TRUNC(DP10/VLOOKUP("PCS-30820g",[6]ARBOR!$A:$C,3,0)-1,4)))))</f>
        <v>0.75109999999999999</v>
      </c>
      <c r="DR10" s="65" t="str">
        <f>IF(ISERROR(IF(DQ10="","",VLOOKUP(($BH10&amp;DQ10&amp;"Template de desconto FLAT bundle - Velox XDSL - Varejo"),[6]BENEFICIOS!$A:$E,5,0))),"Criar",IF(DQ10="","",VLOOKUP(($BH10&amp;DQ10&amp;"Template de desconto FLAT bundle - Velox XDSL - Varejo"),[6]BENEFICIOS!$A:$E,5,0)))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IF(DW10=0,"",IF(DW10=VLOOKUP("PCS-21448p2",[6]ARBOR!$A:$C,3,0),0.0001,IF(DW10&gt;VLOOKUP("PCS-21448p2",[6]ARBOR!$A:$C,3,0),"Maior que CAP!",IF((DOLLAR(DW10+(VLOOKUP("PCS-21448p2",[6]ARBOR!$A:$C,3,0)*-TRUNC(DW10/VLOOKUP("PCS-21448p2",[6]ARBOR!$A:$C,3,0)-1,4)),6))&lt;&gt;(DOLLAR(VLOOKUP("PCS-21448p2",[6]ARBOR!$A:$C,3,0),6)),-TRUNC(DW10/VLOOKUP("PCS-21448p2",[6]ARBOR!$A:$C,3,0)-1,4)+0.0001,-TRUNC(DW10/VLOOKUP("PCS-21448p2",[6]ARBOR!$A:$C,3,0)-1,4)))))</f>
        <v/>
      </c>
      <c r="DY10" s="65" t="str">
        <f>IF(ISERROR(IF(DX10="","",VLOOKUP(("Oi Conta Total Plug 10GB Downgrade"&amp;DX10&amp;"Template de desconto percentual BL Móvel - Internet Total - Varejo"),[6]BENEFICIOS!$A:$E,5,0))),"Criar",IF(DX10="","",VLOOKUP(("Oi Conta Total Plug 10GB Downgrade"&amp;DX10&amp;"Template de desconto percentual BL Móvel - Internet Total - Varejo"),[6]BENEFICIOS!$A:$E,5,0)))</f>
        <v/>
      </c>
      <c r="DZ10" s="71">
        <v>19.899999999999999</v>
      </c>
      <c r="EA10" s="72">
        <f>IF(DZ10=0,"",IF(DZ10=VLOOKUP("SVA",[6]ARBOR!$A:$C,3,0),0.0001,IF(DZ10&gt;VLOOKUP("SVA",[6]ARBOR!$A:$C,3,0),"Maior que CAP!",IF((DOLLAR(DZ10+(VLOOKUP("SVA",[6]ARBOR!$A:$C,3,0)*-TRUNC(DZ10/VLOOKUP("SVA",[6]ARBOR!$A:$C,3,0)-1,4)),6))&lt;&gt;(DOLLAR(VLOOKUP("SVA",[6]ARBOR!$A:$C,3,0),6)),-TRUNC(DZ10/VLOOKUP("SVA",[6]ARBOR!$A:$C,3,0)-1,4)+0.0001,-TRUNC(DZ10/VLOOKUP("SVA",[6]ARBOR!$A:$C,3,0)-1,4)))))</f>
        <v>7.1400000000000005E-2</v>
      </c>
      <c r="EB10" s="65" t="s">
        <v>245</v>
      </c>
      <c r="EC10" s="69"/>
      <c r="ED10" s="73"/>
      <c r="EE10" s="74"/>
      <c r="EF10" s="65"/>
      <c r="EG10" s="75">
        <f>IF(BI10="","",VLOOKUP(BI10,[6]ARBOR!A:C,3,0))</f>
        <v>479.46</v>
      </c>
      <c r="EH10" s="69">
        <v>15</v>
      </c>
      <c r="EI10" s="76">
        <f>IF(EH10="","",1-(EH10/VLOOKUP(BI10&amp;"ASS",[6]ARBOR!A:C,3,0)))</f>
        <v>0.34725848563968664</v>
      </c>
      <c r="EJ10" s="77" t="s">
        <v>228</v>
      </c>
      <c r="EK10" s="78" t="s">
        <v>229</v>
      </c>
      <c r="EL10" s="69">
        <v>154.54999999999998</v>
      </c>
      <c r="EM10" s="64">
        <f>ROUND(IF(EL10=0,"",IF(EL10=EG10,0.0001,1-((EL10+(VLOOKUP(BI10&amp;"ASS",[6]ARBOR!A:C,3,0)-EH10))/EG10))),4)</f>
        <v>0.66100000000000003</v>
      </c>
      <c r="EN10" s="65" t="str">
        <f>IF(ISERROR(IF(EM10="","",VLOOKUP(($BH10&amp;EM10&amp;"Template de desconto percentual FLAT Móvel - Conta Total - Varejo - Ganho Tributário Cross"),[6]BENEFICIOS!$A:$E,5,0))),"Criar",IF(EM10="","",VLOOKUP(($BH10&amp;EM10&amp;"Template de desconto percentual FLAT Móvel - Conta Total - Varejo - Ganho Tributário Cross"),[6]BENEFICIOS!$A:$E,5,0)))</f>
        <v>Criar</v>
      </c>
      <c r="EO10" s="79"/>
      <c r="EP10" s="64"/>
      <c r="EQ10" s="72"/>
      <c r="ER10" s="72"/>
      <c r="ES10" s="64"/>
      <c r="ET10" s="80"/>
      <c r="EU10" s="81" t="s">
        <v>248</v>
      </c>
      <c r="EV10" s="81" t="s">
        <v>260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IF(FC10=0,"",IF(FC10=VLOOKUP("PCS-10357",[6]ARBOR!$A:$C,3,0),0.0001,IF(FC10&gt;VLOOKUP("PCS-10357",[6]ARBOR!$A:$C,3,0),"Maior que CAP!",ROUND(-1*(FC10/VLOOKUP("PCS-10357",[6]ARBOR!$A:$C,3,0)-1),4))))</f>
        <v/>
      </c>
      <c r="FE10" s="84" t="str">
        <f>IF(ISERROR(IF(FD10="","",VLOOKUP(("Oi Internet Pra Celular 1GB"&amp;FD10&amp;"Template Flat Instância Dados"),[6]BENEFICIOS!$A:$E,5,0))),"Criar",IF(FD10="","",VLOOKUP(("Oi Internet Pra Celular 1GB"&amp;FD10&amp;"Template Flat Instância Dados"),[6]BENEFICIOS!$A:$E,5,0)))</f>
        <v/>
      </c>
      <c r="FF10" s="82"/>
      <c r="FG10" s="83" t="str">
        <f>IF(FF10=0,"",IF(FF10=VLOOKUP("PCS-813565",[6]ARBOR!$A:$C,3,0),0.0001,IF(FF10&gt;VLOOKUP("PCS-813565",[6]ARBOR!$A:$C,3,0),"Maior que CAP!",ROUND(-1*(FF10/VLOOKUP("PCS-813565",[6]ARBOR!$A:$C,3,0)-1),4))))</f>
        <v/>
      </c>
      <c r="FH10" s="84" t="str">
        <f>IF(ISERROR(IF(FG10="","",VLOOKUP(("Oi Internet Pra Celular 2GB"&amp;FG10&amp;"Template Flat Instância Dados"),[6]BENEFICIOS!$A:$E,5,0))),"Criar",IF(FG10="","",VLOOKUP(("Oi Internet Pra Celular 2GB"&amp;FG10&amp;"Template Flat Instância Dados"),[6]BENEFICIOS!$A:$E,5,0)))</f>
        <v/>
      </c>
      <c r="FI10" s="82">
        <v>12.35</v>
      </c>
      <c r="FJ10" s="83">
        <f>IF(FI10=0,"",IF(FI10=VLOOKUP("PCS-7171B",[6]ARBOR!$A:$C,3,0),0.0001,IF(FI10&gt;VLOOKUP("PCS-7171B",[6]ARBOR!$A:$C,3,0),"Maior que CAP!",ROUND(-1*(FI10/VLOOKUP("PCS-7171B",[6]ARBOR!$A:$C,3,0)-1),4))))</f>
        <v>0.87419999999999998</v>
      </c>
      <c r="FK10" s="84" t="str">
        <f>IF(ISERROR(IF(FJ10="","",VLOOKUP(("Oi Internet Pra Celular 3GB"&amp;FJ10&amp;"Template Flat Instância Dados"),[6]BENEFICIOS!$A:$E,5,0))),"Criar",IF(FJ10="","",VLOOKUP(("Oi Internet Pra Celular 3GB"&amp;FJ10&amp;"Template Flat Instância Dados"),[6]BENEFICIOS!$A:$E,5,0)))</f>
        <v>MKT-1-9870092975</v>
      </c>
      <c r="FL10" s="82"/>
      <c r="FM10" s="83" t="str">
        <f>IF(FL10=0,"",IF(FL10=VLOOKUP("PCS-51793o08",[6]ARBOR!$A:$C,3,0),0.0001,IF(FL10&gt;VLOOKUP("PCS-51793o08",[6]ARBOR!$A:$C,3,0),"Maior que CAP!",ROUND(-1*(FL10/VLOOKUP("PCS-51793o08",[6]ARBOR!$A:$C,3,0)-1),4))))</f>
        <v/>
      </c>
      <c r="FN10" s="84" t="str">
        <f>IF(ISERROR(IF(FM10="","",VLOOKUP(("Oi Internet Pra Celular 5GB"&amp;FM10&amp;"Template Flat Instância Dados"),[6]BENEFICIOS!$A:$E,5,0))),"Criar",IF(FM10="","",VLOOKUP(("Oi Internet Pra Celular 5GB"&amp;FM10&amp;"Template Flat Instância Dados"),[6]BENEFICIOS!$A:$E,5,0)))</f>
        <v/>
      </c>
      <c r="FO10" s="82"/>
      <c r="FP10" s="83" t="str">
        <f>IF(FO10=0,"",IF(FO10=VLOOKUP("PCS-7171A",[6]ARBOR!$A:$C,3,0),0.0001,IF(FO10&gt;VLOOKUP("PCS-7171A",[6]ARBOR!$A:$C,3,0),"Maior que CAP!",ROUND(-1*(FO10/VLOOKUP("PCS-7171A",[6]ARBOR!$A:$C,3,0)-1),4))))</f>
        <v/>
      </c>
      <c r="FQ10" s="84" t="str">
        <f>IF(ISERROR(IF(FP10="","",VLOOKUP(("Oi Internet Pra Celular 10GB"&amp;FP10&amp;"Template Flat Instância Dados"),[6]BENEFICIOS!$A:$E,5,0))),"Criar",IF(FP10="","",VLOOKUP(("Oi Internet Pra Celular 10GB"&amp;FP10&amp;"Template Flat Instância Dados"),[6]BENEFICIOS!$A:$E,5,0)))</f>
        <v/>
      </c>
      <c r="FR10" s="85">
        <v>0.74219999999999997</v>
      </c>
      <c r="FS10" s="86" t="s">
        <v>250</v>
      </c>
      <c r="FT10" s="48"/>
      <c r="FU10" s="87"/>
      <c r="FV10" s="88" t="s">
        <v>225</v>
      </c>
      <c r="FW10" s="49" t="s">
        <v>230</v>
      </c>
      <c r="FX10" s="89">
        <v>999</v>
      </c>
      <c r="FY10" s="49">
        <v>12</v>
      </c>
      <c r="FZ10" s="90" t="s">
        <v>231</v>
      </c>
      <c r="GA10" s="91" t="str">
        <f t="shared" si="1"/>
        <v>PCS-Fk83324</v>
      </c>
      <c r="GB10" s="92" t="str">
        <f t="shared" si="2"/>
        <v>PCS-SBL553142</v>
      </c>
      <c r="GC10" s="93" t="s">
        <v>232</v>
      </c>
      <c r="GD10" s="90" t="s">
        <v>233</v>
      </c>
      <c r="GE10" s="92" t="s">
        <v>234</v>
      </c>
      <c r="GF10" s="93" t="s">
        <v>235</v>
      </c>
      <c r="GG10" s="90" t="s">
        <v>236</v>
      </c>
      <c r="GH10" s="92" t="s">
        <v>237</v>
      </c>
      <c r="GI10" s="94" t="s">
        <v>238</v>
      </c>
      <c r="GJ10" s="95">
        <f>FI10+EL10+CN10+BJ10</f>
        <v>266.89999999999998</v>
      </c>
      <c r="GK10" s="96"/>
      <c r="GL10" s="97" t="s">
        <v>239</v>
      </c>
      <c r="GM10" s="98" t="s">
        <v>240</v>
      </c>
      <c r="GN10" s="97">
        <f>VLOOKUP($A10,'[6]TABELA COM TUDO'!$A:$AB,25,0)</f>
        <v>14</v>
      </c>
      <c r="GO10" s="99">
        <f>VLOOKUP($A10,'[6]TABELA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263</v>
      </c>
      <c r="GX10" s="44" t="s">
        <v>242</v>
      </c>
    </row>
    <row r="11" spans="1:206" s="44" customFormat="1" x14ac:dyDescent="0.25">
      <c r="A11" s="44" t="str">
        <f t="shared" si="0"/>
        <v>Oi Total Fixo + Pós 800 + Banda LargaN15GBMG</v>
      </c>
      <c r="B11" s="45" t="s">
        <v>215</v>
      </c>
      <c r="C11" s="46" t="s">
        <v>131</v>
      </c>
      <c r="D11" s="46" t="s">
        <v>216</v>
      </c>
      <c r="E11" s="47" t="s">
        <v>217</v>
      </c>
      <c r="F11" s="48" t="s">
        <v>218</v>
      </c>
      <c r="G11" s="49"/>
      <c r="H11" s="49"/>
      <c r="I11" s="49"/>
      <c r="J11" s="49" t="s">
        <v>218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218</v>
      </c>
      <c r="AC11" s="49" t="s">
        <v>218</v>
      </c>
      <c r="AD11" s="49" t="s">
        <v>218</v>
      </c>
      <c r="AE11" s="49" t="s">
        <v>218</v>
      </c>
      <c r="AF11" s="49" t="s">
        <v>218</v>
      </c>
      <c r="AG11" s="49" t="s">
        <v>218</v>
      </c>
      <c r="AH11" s="50"/>
      <c r="AI11" s="49" t="s">
        <v>218</v>
      </c>
      <c r="AJ11" s="49" t="s">
        <v>218</v>
      </c>
      <c r="AK11" s="49" t="s">
        <v>218</v>
      </c>
      <c r="AL11" s="49" t="s">
        <v>218</v>
      </c>
      <c r="AM11" s="49" t="s">
        <v>218</v>
      </c>
      <c r="AN11" s="49" t="s">
        <v>218</v>
      </c>
      <c r="AO11" s="49" t="s">
        <v>218</v>
      </c>
      <c r="AP11" s="49"/>
      <c r="AQ11" s="51"/>
      <c r="AR11" s="52" t="s">
        <v>264</v>
      </c>
      <c r="AS11" s="46" t="s">
        <v>220</v>
      </c>
      <c r="AT11" s="53" t="s">
        <v>221</v>
      </c>
      <c r="AU11" s="54">
        <v>42972</v>
      </c>
      <c r="AV11" s="55">
        <v>43038</v>
      </c>
      <c r="AW11" s="56" t="s">
        <v>222</v>
      </c>
      <c r="AX11" s="57" t="s">
        <v>222</v>
      </c>
      <c r="AY11" s="58"/>
      <c r="AZ11" s="58" t="s">
        <v>223</v>
      </c>
      <c r="BA11" s="58">
        <v>20</v>
      </c>
      <c r="BB11" s="58">
        <v>10000</v>
      </c>
      <c r="BC11" s="59" t="s">
        <v>224</v>
      </c>
      <c r="BD11" s="60" t="s">
        <v>225</v>
      </c>
      <c r="BE11" s="58" t="s">
        <v>217</v>
      </c>
      <c r="BF11" s="51" t="s">
        <v>217</v>
      </c>
      <c r="BG11" s="45" t="s">
        <v>264</v>
      </c>
      <c r="BH11" s="61" t="s">
        <v>226</v>
      </c>
      <c r="BI11" s="62" t="str">
        <f>IF(ISERROR(VLOOKUP(BH11,[6]PLANOS!B:C,2,0)),"",VLOOKUP(BH11,[6]PLANOS!B:C,2,0))</f>
        <v>PCS-4P6pi</v>
      </c>
      <c r="BJ11" s="63">
        <v>50.1</v>
      </c>
      <c r="BK11" s="64">
        <f>IF(BJ11=0,"",IF(BJ11=VLOOKUP("FIXO",[6]ARBOR!$A:$C,3,0),0.0001,IF(BJ11&gt;VLOOKUP("FIXO",[6]ARBOR!$A:$C,3,0),"Maior que CAP!",IF((DOLLAR(BJ11+(VLOOKUP("FIXO",[6]ARBOR!$A:$C,3,0)*-TRUNC(BJ11/VLOOKUP("FIXO",[6]ARBOR!$A:$C,3,0)-1,4)),6))&lt;&gt;(DOLLAR(VLOOKUP("FIXO",[6]ARBOR!$A:$C,3,0),6)),-TRUNC(BJ11/VLOOKUP("FIXO",[6]ARBOR!$A:$C,3,0)-1,4)+0.0001,-TRUNC(BJ11/VLOOKUP("FIXO",[6]ARBOR!$A:$C,3,0)-1,4)))))</f>
        <v>0.33939999999999998</v>
      </c>
      <c r="BL11" s="65" t="str">
        <f>IF(ISERROR(IF(BK11="","",VLOOKUP(($BH11&amp;BK11&amp;"Template de desconto FLAT bundle - Fixo - Varejo - Ganho Tributário Cross"),[6]BENEFICIOS!$A:$E,5,0))),"Criar",IF(BK11="","",VLOOKUP(($BH11&amp;BK11&amp;"Template de desconto FLAT bundle - Fixo - Varejo - Ganho Tributário Cross"),[6]BENEFICIOS!$A:$E,5,0)))</f>
        <v>MKT-1-9856472058</v>
      </c>
      <c r="BM11" s="66"/>
      <c r="BN11" s="67"/>
      <c r="BO11" s="68" t="s">
        <v>165</v>
      </c>
      <c r="BP11" s="69">
        <v>44.9</v>
      </c>
      <c r="BQ11" s="64">
        <f>IF(BP11=0,"",IF(BP11=VLOOKUP("PCS-30874g",[6]ARBOR!$A:$C,3,0),0.0001,IF(BP11&gt;VLOOKUP("PCS-30874g",[6]ARBOR!$A:$C,3,0),"Maior que CAP!",IF((DOLLAR(BP11+(VLOOKUP("PCS-30874g",[6]ARBOR!$A:$C,3,0)*-TRUNC(BP11/VLOOKUP("PCS-30874g",[6]ARBOR!$A:$C,3,0)-1,4)),6))&lt;&gt;(DOLLAR(VLOOKUP("PCS-30874g",[6]ARBOR!$A:$C,3,0),6)),-TRUNC(BP11/VLOOKUP("PCS-30874g",[6]ARBOR!$A:$C,3,0)-1,4)+0.0001,-TRUNC(BP11/VLOOKUP("PCS-30874g",[6]ARBOR!$A:$C,3,0)-1,4)))))</f>
        <v>0.53679999999999994</v>
      </c>
      <c r="BR11" s="65" t="str">
        <f>IF(ISERROR(IF(BQ11="","",VLOOKUP(($BH11&amp;BQ11&amp;"Template de desconto FLAT bundle - Velox XDSL - Varejo"),[6]BENEFICIOS!$A:$E,5,0))),"Criar",IF(BQ11="","",VLOOKUP(($BH11&amp;BQ11&amp;"Template de desconto FLAT bundle - Velox XDSL - Varejo"),[6]BENEFICIOS!$A:$E,5,0)))</f>
        <v>MKT-1-9865126733</v>
      </c>
      <c r="BS11" s="68" t="s">
        <v>165</v>
      </c>
      <c r="BT11" s="69">
        <v>44.9</v>
      </c>
      <c r="BU11" s="64">
        <f>IF(BT11=0,"",IF(BT11=VLOOKUP("PCS-30577g",[6]ARBOR!$A:$C,3,0),0.0001,IF(BT11&gt;VLOOKUP("PCS-30577g",[6]ARBOR!$A:$C,3,0),"Maior que CAP!",IF((DOLLAR(BT11+(VLOOKUP("PCS-30577g",[6]ARBOR!$A:$C,3,0)*-TRUNC(BT11/VLOOKUP("PCS-30577g",[6]ARBOR!$A:$C,3,0)-1,4)),6))&lt;&gt;(DOLLAR(VLOOKUP("PCS-30577g",[6]ARBOR!$A:$C,3,0),6)),-TRUNC(BT11/VLOOKUP("PCS-30577g",[6]ARBOR!$A:$C,3,0)-1,4)+0.0001,-TRUNC(BT11/VLOOKUP("PCS-30577g",[6]ARBOR!$A:$C,3,0)-1,4)))))</f>
        <v>0.53679999999999994</v>
      </c>
      <c r="BV11" s="65" t="str">
        <f>IF(ISERROR(IF(BU11="","",VLOOKUP(($BH11&amp;BU11&amp;"Template de desconto FLAT bundle - Velox XDSL - Varejo"),[6]BENEFICIOS!$A:$E,5,0))),"Criar",IF(BU11="","",VLOOKUP(($BH11&amp;BU11&amp;"Template de desconto FLAT bundle - Velox XDSL - Varejo"),[6]BENEFICIOS!$A:$E,5,0)))</f>
        <v>MKT-1-9865126733</v>
      </c>
      <c r="BW11" s="68" t="s">
        <v>165</v>
      </c>
      <c r="BX11" s="69">
        <v>44.9</v>
      </c>
      <c r="BY11" s="64">
        <f>IF(BX11=0,"",IF(BX11=VLOOKUP("PCS-30604g",[6]ARBOR!$A:$C,3,0),0.0001,IF(BX11&gt;VLOOKUP("PCS-30604g",[6]ARBOR!$A:$C,3,0),"Maior que CAP!",IF((DOLLAR(BX11+(VLOOKUP("PCS-30604g",[6]ARBOR!$A:$C,3,0)*-TRUNC(BX11/VLOOKUP("PCS-30604g",[6]ARBOR!$A:$C,3,0)-1,4)),6))&lt;&gt;(DOLLAR(VLOOKUP("PCS-30604g",[6]ARBOR!$A:$C,3,0),6)),-TRUNC(BX11/VLOOKUP("PCS-30604g",[6]ARBOR!$A:$C,3,0)-1,4)+0.0001,-TRUNC(BX11/VLOOKUP("PCS-30604g",[6]ARBOR!$A:$C,3,0)-1,4)))))</f>
        <v>0.53679999999999994</v>
      </c>
      <c r="BZ11" s="65" t="str">
        <f>IF(ISERROR(IF(BY11="","",VLOOKUP(($BH11&amp;BY11&amp;"Template de desconto FLAT bundle - Velox XDSL - Varejo"),[6]BENEFICIOS!$A:$E,5,0))),"Criar",IF(BY11="","",VLOOKUP(($BH11&amp;BY11&amp;"Template de desconto FLAT bundle - Velox XDSL - Varejo"),[6]BENEFICIOS!$A:$E,5,0)))</f>
        <v>MKT-1-9865126733</v>
      </c>
      <c r="CA11" s="68" t="s">
        <v>165</v>
      </c>
      <c r="CB11" s="69">
        <v>44.9</v>
      </c>
      <c r="CC11" s="64">
        <f>IF(CB11=0,"",IF(CB11=VLOOKUP("PCS-30631g",[6]ARBOR!$A:$C,3,0),0.0001,IF(CB11&gt;VLOOKUP("PCS-30631g",[6]ARBOR!$A:$C,3,0),"Maior que CAP!",IF((DOLLAR(CB11+(VLOOKUP("PCS-30631g",[6]ARBOR!$A:$C,3,0)*-TRUNC(CB11/VLOOKUP("PCS-30631g",[6]ARBOR!$A:$C,3,0)-1,4)),6))&lt;&gt;(DOLLAR(VLOOKUP("PCS-30631g",[6]ARBOR!$A:$C,3,0),6)),-TRUNC(CB11/VLOOKUP("PCS-30631g",[6]ARBOR!$A:$C,3,0)-1,4)+0.0001,-TRUNC(CB11/VLOOKUP("PCS-30631g",[6]ARBOR!$A:$C,3,0)-1,4)))))</f>
        <v>0.54310000000000003</v>
      </c>
      <c r="CD11" s="65" t="str">
        <f>IF(ISERROR(IF(CC11="","",VLOOKUP(($BH11&amp;CC11&amp;"Template de desconto FLAT bundle - Velox XDSL - Varejo"),[6]BENEFICIOS!$A:$E,5,0))),"Criar",IF(CC11="","",VLOOKUP(($BH11&amp;CC11&amp;"Template de desconto FLAT bundle - Velox XDSL - Varejo"),[6]BENEFICIOS!$A:$E,5,0)))</f>
        <v>MKT-1-9865126826</v>
      </c>
      <c r="CE11" s="68"/>
      <c r="CF11" s="69"/>
      <c r="CG11" s="64" t="str">
        <f>IF(CF11=0,"",IF(CF11=VLOOKUP("PCS-30658g",[6]ARBOR!$A:$C,3,0),0.0001,IF(CF11&gt;VLOOKUP("PCS-30658g",[6]ARBOR!$A:$C,3,0),"Maior que CAP!",IF((DOLLAR(CF11+(VLOOKUP("PCS-30658g",[6]ARBOR!$A:$C,3,0)*-TRUNC(CF11/VLOOKUP("PCS-30658g",[6]ARBOR!$A:$C,3,0)-1,4)),6))&lt;&gt;(DOLLAR(VLOOKUP("PCS-30658g",[6]ARBOR!$A:$C,3,0),6)),-TRUNC(CF11/VLOOKUP("PCS-30658g",[6]ARBOR!$A:$C,3,0)-1,4)+0.0001,-TRUNC(CF11/VLOOKUP("PCS-30658g",[6]ARBOR!$A:$C,3,0)-1,4)))))</f>
        <v/>
      </c>
      <c r="CH11" s="65" t="str">
        <f>IF(ISERROR(IF(CG11="","",VLOOKUP(($BH11&amp;CG11&amp;"Template de desconto FLAT bundle - Velox XDSL - Varejo"),[6]BENEFICIOS!$A:$E,5,0))),"Criar",IF(CG11="","",VLOOKUP(($BH11&amp;CG11&amp;"Template de desconto FLAT bundle - Velox XDSL - Varejo"),[6]BENEFICIOS!$A:$E,5,0)))</f>
        <v/>
      </c>
      <c r="CI11" s="68"/>
      <c r="CJ11" s="69"/>
      <c r="CK11" s="64" t="str">
        <f>IF(CJ11=0,"",IF(CJ11=VLOOKUP("PCS-30685g",[6]ARBOR!$A:$C,3,0),0.0001,IF(CJ11&gt;VLOOKUP("PCS-30685g",[6]ARBOR!$A:$C,3,0),"Maior que CAP!",IF((DOLLAR(CJ11+(VLOOKUP("PCS-30685g",[6]ARBOR!$A:$C,3,0)*-TRUNC(CJ11/VLOOKUP("PCS-30685g",[6]ARBOR!$A:$C,3,0)-1,4)),6))&lt;&gt;(DOLLAR(VLOOKUP("PCS-30685g",[6]ARBOR!$A:$C,3,0),6)),-TRUNC(CJ11/VLOOKUP("PCS-30685g",[6]ARBOR!$A:$C,3,0)-1,4)+0.0001,-TRUNC(CJ11/VLOOKUP("PCS-30685g",[6]ARBOR!$A:$C,3,0)-1,4)))))</f>
        <v/>
      </c>
      <c r="CL11" s="65" t="str">
        <f>IF(ISERROR(IF(CK11="","",VLOOKUP(($BH11&amp;CK11&amp;"Template de desconto FLAT bundle - Velox XDSL - Varejo"),[6]BENEFICIOS!$A:$E,5,0))),"Criar",IF(CK11="","",VLOOKUP(($BH11&amp;CK11&amp;"Template de desconto FLAT bundle - Velox XDSL - Varejo"),[6]BENEFICIOS!$A:$E,5,0)))</f>
        <v/>
      </c>
      <c r="CM11" s="68"/>
      <c r="CN11" s="69"/>
      <c r="CO11" s="64" t="str">
        <f>IF(CN11=0,"",IF(CN11=VLOOKUP("PCS-30712g",[6]ARBOR!$A:$C,3,0),0.0001,IF(CN11&gt;VLOOKUP("PCS-30712g",[6]ARBOR!$A:$C,3,0),"Maior que CAP!",IF((DOLLAR(CN11+(VLOOKUP("PCS-30712g",[6]ARBOR!$A:$C,3,0)*-TRUNC(CN11/VLOOKUP("PCS-30712g",[6]ARBOR!$A:$C,3,0)-1,4)),6))&lt;&gt;(DOLLAR(VLOOKUP("PCS-30712g",[6]ARBOR!$A:$C,3,0),6)),-TRUNC(CN11/VLOOKUP("PCS-30712g",[6]ARBOR!$A:$C,3,0)-1,4)+0.0001,-TRUNC(CN11/VLOOKUP("PCS-30712g",[6]ARBOR!$A:$C,3,0)-1,4)))))</f>
        <v/>
      </c>
      <c r="CP11" s="65" t="str">
        <f>IF(ISERROR(IF(CO11="","",VLOOKUP(($BH11&amp;CO11&amp;"Template de desconto FLAT bundle - Velox XDSL - Varejo"),[6]BENEFICIOS!$A:$E,5,0))),"Criar",IF(CO11="","",VLOOKUP(($BH11&amp;CO11&amp;"Template de desconto FLAT bundle - Velox XDSL - Varejo"),[6]BENEFICIOS!$A:$E,5,0)))</f>
        <v/>
      </c>
      <c r="CQ11" s="68"/>
      <c r="CR11" s="69"/>
      <c r="CS11" s="64" t="str">
        <f>IF(CR11=0,"",IF(CR11=VLOOKUP("PCS-30739g",[6]ARBOR!$A:$C,3,0),0.0001,IF(CR11&gt;VLOOKUP("PCS-30739g",[6]ARBOR!$A:$C,3,0),"Maior que CAP!",IF((DOLLAR(CR11+(VLOOKUP("PCS-30739g",[6]ARBOR!$A:$C,3,0)*-TRUNC(CR11/VLOOKUP("PCS-30739g",[6]ARBOR!$A:$C,3,0)-1,4)),6))&lt;&gt;(DOLLAR(VLOOKUP("PCS-30739g",[6]ARBOR!$A:$C,3,0),6)),-TRUNC(CR11/VLOOKUP("PCS-30739g",[6]ARBOR!$A:$C,3,0)-1,4)+0.0001,-TRUNC(CR11/VLOOKUP("PCS-30739g",[6]ARBOR!$A:$C,3,0)-1,4)))))</f>
        <v/>
      </c>
      <c r="CT11" s="65" t="str">
        <f>IF(ISERROR(IF(CS11="","",VLOOKUP(($BH11&amp;CS11&amp;"Template de desconto FLAT bundle - Velox XDSL - Varejo"),[6]BENEFICIOS!$A:$E,5,0))),"Criar",IF(CS11="","",VLOOKUP(($BH11&amp;CS11&amp;"Template de desconto FLAT bundle - Velox XDSL - Varejo"),[6]BENEFICIOS!$A:$E,5,0)))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IF(CZ11=0,"",IF(CZ11=VLOOKUP("PCS-30766g",[6]ARBOR!$A:$C,3,0),0.0001,IF(CZ11&gt;VLOOKUP("PCS-30766g",[6]ARBOR!$A:$C,3,0),"Maior que CAP!",IF((DOLLAR(CZ11+(VLOOKUP("PCS-30766g",[6]ARBOR!$A:$C,3,0)*-TRUNC(CZ11/VLOOKUP("PCS-30766g",[6]ARBOR!$A:$C,3,0)-1,4)),6))&lt;&gt;(DOLLAR(VLOOKUP("PCS-30766g",[6]ARBOR!$A:$C,3,0),6)),-TRUNC(CZ11/VLOOKUP("PCS-30766g",[6]ARBOR!$A:$C,3,0)-1,4)+0.0001,-TRUNC(CZ11/VLOOKUP("PCS-30766g",[6]ARBOR!$A:$C,3,0)-1,4)))))</f>
        <v/>
      </c>
      <c r="DB11" s="65" t="str">
        <f>IF(ISERROR(IF(DA11="","",VLOOKUP(($BH11&amp;DA11&amp;"Template de desconto FLAT bundle - Velox XDSL - Varejo"),[6]BENEFICIOS!$A:$E,5,0))),"Criar",IF(DA11="","",VLOOKUP(($BH11&amp;DA11&amp;"Template de desconto FLAT bundle - Velox XDSL - Varejo"),[6]BENEFICIOS!$A:$E,5,0)))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IF(DH11=0,"",IF(DH11=VLOOKUP("PCS-30793g",[6]ARBOR!$A:$C,3,0),0.0001,IF(DH11&gt;VLOOKUP("PCS-30793g",[6]ARBOR!$A:$C,3,0),"Maior que CAP!",IF((DOLLAR(DH11+(VLOOKUP("PCS-30793g",[6]ARBOR!$A:$C,3,0)*-TRUNC(DH11/VLOOKUP("PCS-30793g",[6]ARBOR!$A:$C,3,0)-1,4)),6))&lt;&gt;(DOLLAR(VLOOKUP("PCS-30793g",[6]ARBOR!$A:$C,3,0),6)),-TRUNC(DH11/VLOOKUP("PCS-30793g",[6]ARBOR!$A:$C,3,0)-1,4)+0.0001,-TRUNC(DH11/VLOOKUP("PCS-30793g",[6]ARBOR!$A:$C,3,0)-1,4)))))</f>
        <v/>
      </c>
      <c r="DJ11" s="65" t="str">
        <f>IF(ISERROR(IF(DI11="","",VLOOKUP(($BH11&amp;DI11&amp;"Template de desconto FLAT bundle - Velox XDSL - Varejo"),[6]BENEFICIOS!$A:$E,5,0))),"Criar",IF(DI11="","",VLOOKUP(($BH11&amp;DI11&amp;"Template de desconto FLAT bundle - Velox XDSL - Varejo"),[6]BENEFICIOS!$A:$E,5,0)))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IF(DP11=0,"",IF(DP11=VLOOKUP("PCS-30820g",[6]ARBOR!$A:$C,3,0),0.0001,IF(DP11&gt;VLOOKUP("PCS-30820g",[6]ARBOR!$A:$C,3,0),"Maior que CAP!",IF((DOLLAR(DP11+(VLOOKUP("PCS-30820g",[6]ARBOR!$A:$C,3,0)*-TRUNC(DP11/VLOOKUP("PCS-30820g",[6]ARBOR!$A:$C,3,0)-1,4)),6))&lt;&gt;(DOLLAR(VLOOKUP("PCS-30820g",[6]ARBOR!$A:$C,3,0),6)),-TRUNC(DP11/VLOOKUP("PCS-30820g",[6]ARBOR!$A:$C,3,0)-1,4)+0.0001,-TRUNC(DP11/VLOOKUP("PCS-30820g",[6]ARBOR!$A:$C,3,0)-1,4)))))</f>
        <v/>
      </c>
      <c r="DR11" s="65" t="str">
        <f>IF(ISERROR(IF(DQ11="","",VLOOKUP(($BH11&amp;DQ11&amp;"Template de desconto FLAT bundle - Velox XDSL - Varejo"),[6]BENEFICIOS!$A:$E,5,0))),"Criar",IF(DQ11="","",VLOOKUP(($BH11&amp;DQ11&amp;"Template de desconto FLAT bundle - Velox XDSL - Varejo"),[6]BENEFICIOS!$A:$E,5,0)))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IF(DW11=0,"",IF(DW11=VLOOKUP("PCS-21448p2",[6]ARBOR!$A:$C,3,0),0.0001,IF(DW11&gt;VLOOKUP("PCS-21448p2",[6]ARBOR!$A:$C,3,0),"Maior que CAP!",IF((DOLLAR(DW11+(VLOOKUP("PCS-21448p2",[6]ARBOR!$A:$C,3,0)*-TRUNC(DW11/VLOOKUP("PCS-21448p2",[6]ARBOR!$A:$C,3,0)-1,4)),6))&lt;&gt;(DOLLAR(VLOOKUP("PCS-21448p2",[6]ARBOR!$A:$C,3,0),6)),-TRUNC(DW11/VLOOKUP("PCS-21448p2",[6]ARBOR!$A:$C,3,0)-1,4)+0.0001,-TRUNC(DW11/VLOOKUP("PCS-21448p2",[6]ARBOR!$A:$C,3,0)-1,4)))))</f>
        <v>0.64900000000000002</v>
      </c>
      <c r="DY11" s="65" t="str">
        <f>IF(ISERROR(IF(DX11="","",VLOOKUP(("Oi Conta Total Plug 10GB Downgrade"&amp;DX11&amp;"Template de desconto percentual BL Móvel - Internet Total - Varejo"),[6]BENEFICIOS!$A:$E,5,0))),"Criar",IF(DX11="","",VLOOKUP(("Oi Conta Total Plug 10GB Downgrade"&amp;DX11&amp;"Template de desconto percentual BL Móvel - Internet Total - Varejo"),[6]BENEFICIOS!$A:$E,5,0)))</f>
        <v>MKT-1-9825544790</v>
      </c>
      <c r="DZ11" s="71">
        <v>16.5</v>
      </c>
      <c r="EA11" s="72">
        <f>IF(DZ11=0,"",IF(DZ11=VLOOKUP("SVA",[6]ARBOR!$A:$C,3,0),0.0001,IF(DZ11&gt;VLOOKUP("SVA",[6]ARBOR!$A:$C,3,0),"Maior que CAP!",IF((DOLLAR(DZ11+(VLOOKUP("SVA",[6]ARBOR!$A:$C,3,0)*-TRUNC(DZ11/VLOOKUP("SVA",[6]ARBOR!$A:$C,3,0)-1,4)),6))&lt;&gt;(DOLLAR(VLOOKUP("SVA",[6]ARBOR!$A:$C,3,0),6)),-TRUNC(DZ11/VLOOKUP("SVA",[6]ARBOR!$A:$C,3,0)-1,4)+0.0001,-TRUNC(DZ11/VLOOKUP("SVA",[6]ARBOR!$A:$C,3,0)-1,4)))))</f>
        <v>0.2301</v>
      </c>
      <c r="EB11" s="65" t="s">
        <v>227</v>
      </c>
      <c r="EC11" s="69"/>
      <c r="ED11" s="73"/>
      <c r="EE11" s="74"/>
      <c r="EF11" s="65"/>
      <c r="EG11" s="75">
        <f>IF(BI11="","",VLOOKUP(BI11,[6]ARBOR!A:C,3,0))</f>
        <v>479.46</v>
      </c>
      <c r="EH11" s="69">
        <v>15</v>
      </c>
      <c r="EI11" s="76">
        <f>IF(EH11="","",1-(EH11/VLOOKUP(BI11&amp;"ASS",[6]ARBOR!A:C,3,0)))</f>
        <v>0.34725848563968664</v>
      </c>
      <c r="EJ11" s="77" t="s">
        <v>228</v>
      </c>
      <c r="EK11" s="78" t="s">
        <v>229</v>
      </c>
      <c r="EL11" s="69">
        <v>168.98</v>
      </c>
      <c r="EM11" s="64">
        <f>ROUND(IF(EL11=0,"",IF(EL11=EG11,0.0001,1-((EL11+(VLOOKUP(BI11&amp;"ASS",[6]ARBOR!A:C,3,0)-EH11))/EG11))),4)</f>
        <v>0.63090000000000002</v>
      </c>
      <c r="EN11" s="65" t="str">
        <f>IF(ISERROR(IF(EM11="","",VLOOKUP(($BH11&amp;EM11&amp;"Template de desconto percentual FLAT Móvel - Conta Total - Varejo - Ganho Tributário Cross"),[6]BENEFICIOS!$A:$E,5,0))),"Criar",IF(EM11="","",VLOOKUP(($BH11&amp;EM11&amp;"Template de desconto percentual FLAT Móvel - Conta Total - Varejo - Ganho Tributário Cross"),[6]BENEFICIOS!$A:$E,5,0)))</f>
        <v>Criar</v>
      </c>
      <c r="EO11" s="79"/>
      <c r="EP11" s="64"/>
      <c r="EQ11" s="72"/>
      <c r="ER11" s="72"/>
      <c r="ES11" s="64"/>
      <c r="ET11" s="80"/>
      <c r="EU11" s="81" t="s">
        <v>248</v>
      </c>
      <c r="EV11" s="81" t="s">
        <v>265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IF(FC11=0,"",IF(FC11=VLOOKUP("PCS-10357",[6]ARBOR!$A:$C,3,0),0.0001,IF(FC11&gt;VLOOKUP("PCS-10357",[6]ARBOR!$A:$C,3,0),"Maior que CAP!",ROUND(-1*(FC11/VLOOKUP("PCS-10357",[6]ARBOR!$A:$C,3,0)-1),4))))</f>
        <v/>
      </c>
      <c r="FE11" s="84" t="str">
        <f>IF(ISERROR(IF(FD11="","",VLOOKUP(("Oi Internet Pra Celular 1GB"&amp;FD11&amp;"Template Flat Instância Dados"),[6]BENEFICIOS!$A:$E,5,0))),"Criar",IF(FD11="","",VLOOKUP(("Oi Internet Pra Celular 1GB"&amp;FD11&amp;"Template Flat Instância Dados"),[6]BENEFICIOS!$A:$E,5,0)))</f>
        <v/>
      </c>
      <c r="FF11" s="82"/>
      <c r="FG11" s="83" t="str">
        <f>IF(FF11=0,"",IF(FF11=VLOOKUP("PCS-813565",[6]ARBOR!$A:$C,3,0),0.0001,IF(FF11&gt;VLOOKUP("PCS-813565",[6]ARBOR!$A:$C,3,0),"Maior que CAP!",ROUND(-1*(FF11/VLOOKUP("PCS-813565",[6]ARBOR!$A:$C,3,0)-1),4))))</f>
        <v/>
      </c>
      <c r="FH11" s="84" t="str">
        <f>IF(ISERROR(IF(FG11="","",VLOOKUP(("Oi Internet Pra Celular 2GB"&amp;FG11&amp;"Template Flat Instância Dados"),[6]BENEFICIOS!$A:$E,5,0))),"Criar",IF(FG11="","",VLOOKUP(("Oi Internet Pra Celular 2GB"&amp;FG11&amp;"Template Flat Instância Dados"),[6]BENEFICIOS!$A:$E,5,0)))</f>
        <v/>
      </c>
      <c r="FI11" s="82"/>
      <c r="FJ11" s="83" t="str">
        <f>IF(FI11=0,"",IF(FI11=VLOOKUP("PCS-7171B",[6]ARBOR!$A:$C,3,0),0.0001,IF(FI11&gt;VLOOKUP("PCS-7171B",[6]ARBOR!$A:$C,3,0),"Maior que CAP!",ROUND(-1*(FI11/VLOOKUP("PCS-7171B",[6]ARBOR!$A:$C,3,0)-1),4))))</f>
        <v/>
      </c>
      <c r="FK11" s="84" t="str">
        <f>IF(ISERROR(IF(FJ11="","",VLOOKUP(("Oi Internet Pra Celular 3GB"&amp;FJ11&amp;"Template Flat Instância Dados"),[6]BENEFICIOS!$A:$E,5,0))),"Criar",IF(FJ11="","",VLOOKUP(("Oi Internet Pra Celular 3GB"&amp;FJ11&amp;"Template Flat Instância Dados"),[6]BENEFICIOS!$A:$E,5,0)))</f>
        <v/>
      </c>
      <c r="FL11" s="82">
        <v>14.92</v>
      </c>
      <c r="FM11" s="83">
        <f>IF(FL11=0,"",IF(FL11=VLOOKUP("PCS-51793o08",[6]ARBOR!$A:$C,3,0),0.0001,IF(FL11&gt;VLOOKUP("PCS-51793o08",[6]ARBOR!$A:$C,3,0),"Maior que CAP!",ROUND(-1*(FL11/VLOOKUP("PCS-51793o08",[6]ARBOR!$A:$C,3,0)-1),4))))</f>
        <v>0.89500000000000002</v>
      </c>
      <c r="FN11" s="84" t="str">
        <f>IF(ISERROR(IF(FM11="","",VLOOKUP(("Oi Internet Pra Celular 5GB"&amp;FM11&amp;"Template Flat Instância Dados"),[6]BENEFICIOS!$A:$E,5,0))),"Criar",IF(FM11="","",VLOOKUP(("Oi Internet Pra Celular 5GB"&amp;FM11&amp;"Template Flat Instância Dados"),[6]BENEFICIOS!$A:$E,5,0)))</f>
        <v>MKT-1-9870312709</v>
      </c>
      <c r="FO11" s="82"/>
      <c r="FP11" s="83" t="str">
        <f>IF(FO11=0,"",IF(FO11=VLOOKUP("PCS-7171A",[6]ARBOR!$A:$C,3,0),0.0001,IF(FO11&gt;VLOOKUP("PCS-7171A",[6]ARBOR!$A:$C,3,0),"Maior que CAP!",ROUND(-1*(FO11/VLOOKUP("PCS-7171A",[6]ARBOR!$A:$C,3,0)-1),4))))</f>
        <v/>
      </c>
      <c r="FQ11" s="84" t="str">
        <f>IF(ISERROR(IF(FP11="","",VLOOKUP(("Oi Internet Pra Celular 10GB"&amp;FP11&amp;"Template Flat Instância Dados"),[6]BENEFICIOS!$A:$E,5,0))),"Criar",IF(FP11="","",VLOOKUP(("Oi Internet Pra Celular 10GB"&amp;FP11&amp;"Template Flat Instância Dados"),[6]BENEFICIOS!$A:$E,5,0)))</f>
        <v/>
      </c>
      <c r="FR11" s="85">
        <v>0.74260000000000004</v>
      </c>
      <c r="FS11" s="86" t="s">
        <v>266</v>
      </c>
      <c r="FT11" s="48"/>
      <c r="FU11" s="87"/>
      <c r="FV11" s="88" t="s">
        <v>225</v>
      </c>
      <c r="FW11" s="49" t="s">
        <v>230</v>
      </c>
      <c r="FX11" s="89">
        <v>999</v>
      </c>
      <c r="FY11" s="49">
        <v>12</v>
      </c>
      <c r="FZ11" s="90" t="s">
        <v>231</v>
      </c>
      <c r="GA11" s="91" t="str">
        <f t="shared" si="1"/>
        <v>PCS-Fk83324</v>
      </c>
      <c r="GB11" s="92" t="str">
        <f t="shared" si="2"/>
        <v>PCS-SBL553142</v>
      </c>
      <c r="GC11" s="93" t="s">
        <v>232</v>
      </c>
      <c r="GD11" s="90" t="s">
        <v>233</v>
      </c>
      <c r="GE11" s="92" t="s">
        <v>234</v>
      </c>
      <c r="GF11" s="93" t="s">
        <v>235</v>
      </c>
      <c r="GG11" s="90" t="s">
        <v>236</v>
      </c>
      <c r="GH11" s="92" t="s">
        <v>237</v>
      </c>
      <c r="GI11" s="94" t="s">
        <v>238</v>
      </c>
      <c r="GJ11" s="95">
        <f>FL11+EL11+DW11+BJ11</f>
        <v>278.89999999999998</v>
      </c>
      <c r="GK11" s="96"/>
      <c r="GL11" s="97" t="s">
        <v>239</v>
      </c>
      <c r="GM11" s="98" t="s">
        <v>240</v>
      </c>
      <c r="GN11" s="97">
        <f>VLOOKUP($A11,'[6]TABELA COM TUDO'!$A:$AB,25,0)</f>
        <v>20.350000000000001</v>
      </c>
      <c r="GO11" s="99">
        <f>VLOOKUP($A11,'[6]TABELA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267</v>
      </c>
      <c r="GX11" s="44" t="s">
        <v>242</v>
      </c>
    </row>
    <row r="12" spans="1:206" s="44" customFormat="1" x14ac:dyDescent="0.25">
      <c r="A12" s="44" t="str">
        <f t="shared" si="0"/>
        <v>Oi Total Fixo + Pós 800 + Banda LargaN15GBMG</v>
      </c>
      <c r="B12" s="45" t="s">
        <v>215</v>
      </c>
      <c r="C12" s="46" t="s">
        <v>131</v>
      </c>
      <c r="D12" s="46" t="s">
        <v>216</v>
      </c>
      <c r="E12" s="47" t="s">
        <v>217</v>
      </c>
      <c r="F12" s="48" t="s">
        <v>218</v>
      </c>
      <c r="G12" s="49"/>
      <c r="H12" s="49"/>
      <c r="I12" s="49"/>
      <c r="J12" s="49" t="s">
        <v>218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218</v>
      </c>
      <c r="AC12" s="49" t="s">
        <v>218</v>
      </c>
      <c r="AD12" s="49" t="s">
        <v>218</v>
      </c>
      <c r="AE12" s="49" t="s">
        <v>218</v>
      </c>
      <c r="AF12" s="49" t="s">
        <v>218</v>
      </c>
      <c r="AG12" s="49" t="s">
        <v>218</v>
      </c>
      <c r="AH12" s="50"/>
      <c r="AI12" s="49" t="s">
        <v>218</v>
      </c>
      <c r="AJ12" s="49" t="s">
        <v>218</v>
      </c>
      <c r="AK12" s="49" t="s">
        <v>218</v>
      </c>
      <c r="AL12" s="49" t="s">
        <v>218</v>
      </c>
      <c r="AM12" s="49" t="s">
        <v>218</v>
      </c>
      <c r="AN12" s="49" t="s">
        <v>218</v>
      </c>
      <c r="AO12" s="49" t="s">
        <v>218</v>
      </c>
      <c r="AP12" s="49"/>
      <c r="AQ12" s="51"/>
      <c r="AR12" s="52" t="s">
        <v>268</v>
      </c>
      <c r="AS12" s="46" t="s">
        <v>220</v>
      </c>
      <c r="AT12" s="53" t="s">
        <v>221</v>
      </c>
      <c r="AU12" s="54">
        <v>42972</v>
      </c>
      <c r="AV12" s="55">
        <v>43038</v>
      </c>
      <c r="AW12" s="56" t="s">
        <v>222</v>
      </c>
      <c r="AX12" s="57" t="s">
        <v>222</v>
      </c>
      <c r="AY12" s="58"/>
      <c r="AZ12" s="58" t="s">
        <v>223</v>
      </c>
      <c r="BA12" s="58">
        <v>20</v>
      </c>
      <c r="BB12" s="58">
        <v>10000</v>
      </c>
      <c r="BC12" s="59" t="s">
        <v>224</v>
      </c>
      <c r="BD12" s="60" t="s">
        <v>225</v>
      </c>
      <c r="BE12" s="58" t="s">
        <v>217</v>
      </c>
      <c r="BF12" s="51" t="s">
        <v>217</v>
      </c>
      <c r="BG12" s="45" t="s">
        <v>268</v>
      </c>
      <c r="BH12" s="61" t="s">
        <v>226</v>
      </c>
      <c r="BI12" s="62" t="str">
        <f>IF(ISERROR(VLOOKUP(BH12,[6]PLANOS!B:C,2,0)),"",VLOOKUP(BH12,[6]PLANOS!B:C,2,0))</f>
        <v>PCS-4P6pi</v>
      </c>
      <c r="BJ12" s="63">
        <v>50.1</v>
      </c>
      <c r="BK12" s="64">
        <f>IF(BJ12=0,"",IF(BJ12=VLOOKUP("FIXO",[6]ARBOR!$A:$C,3,0),0.0001,IF(BJ12&gt;VLOOKUP("FIXO",[6]ARBOR!$A:$C,3,0),"Maior que CAP!",IF((DOLLAR(BJ12+(VLOOKUP("FIXO",[6]ARBOR!$A:$C,3,0)*-TRUNC(BJ12/VLOOKUP("FIXO",[6]ARBOR!$A:$C,3,0)-1,4)),6))&lt;&gt;(DOLLAR(VLOOKUP("FIXO",[6]ARBOR!$A:$C,3,0),6)),-TRUNC(BJ12/VLOOKUP("FIXO",[6]ARBOR!$A:$C,3,0)-1,4)+0.0001,-TRUNC(BJ12/VLOOKUP("FIXO",[6]ARBOR!$A:$C,3,0)-1,4)))))</f>
        <v>0.33939999999999998</v>
      </c>
      <c r="BL12" s="65" t="str">
        <f>IF(ISERROR(IF(BK12="","",VLOOKUP(($BH12&amp;BK12&amp;"Template de desconto FLAT bundle - Fixo - Varejo - Ganho Tributário Cross"),[6]BENEFICIOS!$A:$E,5,0))),"Criar",IF(BK12="","",VLOOKUP(($BH12&amp;BK12&amp;"Template de desconto FLAT bundle - Fixo - Varejo - Ganho Tributário Cross"),[6]BENEFICIOS!$A:$E,5,0)))</f>
        <v>MKT-1-9856472058</v>
      </c>
      <c r="BM12" s="66"/>
      <c r="BN12" s="67"/>
      <c r="BO12" s="104" t="s">
        <v>244</v>
      </c>
      <c r="BP12" s="69">
        <v>44.9</v>
      </c>
      <c r="BQ12" s="64">
        <f>IF(BP12=0,"",IF(BP12=VLOOKUP("PCS-30874g",[6]ARBOR!$A:$C,3,0),0.0001,IF(BP12&gt;VLOOKUP("PCS-30874g",[6]ARBOR!$A:$C,3,0),"Maior que CAP!",IF((DOLLAR(BP12+(VLOOKUP("PCS-30874g",[6]ARBOR!$A:$C,3,0)*-TRUNC(BP12/VLOOKUP("PCS-30874g",[6]ARBOR!$A:$C,3,0)-1,4)),6))&lt;&gt;(DOLLAR(VLOOKUP("PCS-30874g",[6]ARBOR!$A:$C,3,0),6)),-TRUNC(BP12/VLOOKUP("PCS-30874g",[6]ARBOR!$A:$C,3,0)-1,4)+0.0001,-TRUNC(BP12/VLOOKUP("PCS-30874g",[6]ARBOR!$A:$C,3,0)-1,4)))))</f>
        <v>0.53679999999999994</v>
      </c>
      <c r="BR12" s="65" t="str">
        <f>IF(ISERROR(IF(BQ12="","",VLOOKUP(($BH12&amp;BQ12&amp;"Template de desconto FLAT bundle - Velox XDSL - Varejo"),[6]BENEFICIOS!$A:$E,5,0))),"Criar",IF(BQ12="","",VLOOKUP(($BH12&amp;BQ12&amp;"Template de desconto FLAT bundle - Velox XDSL - Varejo"),[6]BENEFICIOS!$A:$E,5,0)))</f>
        <v>MKT-1-9865126733</v>
      </c>
      <c r="BS12" s="104" t="s">
        <v>244</v>
      </c>
      <c r="BT12" s="69">
        <v>44.9</v>
      </c>
      <c r="BU12" s="64">
        <f>IF(BT12=0,"",IF(BT12=VLOOKUP("PCS-30577g",[6]ARBOR!$A:$C,3,0),0.0001,IF(BT12&gt;VLOOKUP("PCS-30577g",[6]ARBOR!$A:$C,3,0),"Maior que CAP!",IF((DOLLAR(BT12+(VLOOKUP("PCS-30577g",[6]ARBOR!$A:$C,3,0)*-TRUNC(BT12/VLOOKUP("PCS-30577g",[6]ARBOR!$A:$C,3,0)-1,4)),6))&lt;&gt;(DOLLAR(VLOOKUP("PCS-30577g",[6]ARBOR!$A:$C,3,0),6)),-TRUNC(BT12/VLOOKUP("PCS-30577g",[6]ARBOR!$A:$C,3,0)-1,4)+0.0001,-TRUNC(BT12/VLOOKUP("PCS-30577g",[6]ARBOR!$A:$C,3,0)-1,4)))))</f>
        <v>0.53679999999999994</v>
      </c>
      <c r="BV12" s="65" t="str">
        <f>IF(ISERROR(IF(BU12="","",VLOOKUP(($BH12&amp;BU12&amp;"Template de desconto FLAT bundle - Velox XDSL - Varejo"),[6]BENEFICIOS!$A:$E,5,0))),"Criar",IF(BU12="","",VLOOKUP(($BH12&amp;BU12&amp;"Template de desconto FLAT bundle - Velox XDSL - Varejo"),[6]BENEFICIOS!$A:$E,5,0)))</f>
        <v>MKT-1-9865126733</v>
      </c>
      <c r="BW12" s="104" t="s">
        <v>244</v>
      </c>
      <c r="BX12" s="69">
        <v>44.9</v>
      </c>
      <c r="BY12" s="64">
        <f>IF(BX12=0,"",IF(BX12=VLOOKUP("PCS-30604g",[6]ARBOR!$A:$C,3,0),0.0001,IF(BX12&gt;VLOOKUP("PCS-30604g",[6]ARBOR!$A:$C,3,0),"Maior que CAP!",IF((DOLLAR(BX12+(VLOOKUP("PCS-30604g",[6]ARBOR!$A:$C,3,0)*-TRUNC(BX12/VLOOKUP("PCS-30604g",[6]ARBOR!$A:$C,3,0)-1,4)),6))&lt;&gt;(DOLLAR(VLOOKUP("PCS-30604g",[6]ARBOR!$A:$C,3,0),6)),-TRUNC(BX12/VLOOKUP("PCS-30604g",[6]ARBOR!$A:$C,3,0)-1,4)+0.0001,-TRUNC(BX12/VLOOKUP("PCS-30604g",[6]ARBOR!$A:$C,3,0)-1,4)))))</f>
        <v>0.53679999999999994</v>
      </c>
      <c r="BZ12" s="65" t="str">
        <f>IF(ISERROR(IF(BY12="","",VLOOKUP(($BH12&amp;BY12&amp;"Template de desconto FLAT bundle - Velox XDSL - Varejo"),[6]BENEFICIOS!$A:$E,5,0))),"Criar",IF(BY12="","",VLOOKUP(($BH12&amp;BY12&amp;"Template de desconto FLAT bundle - Velox XDSL - Varejo"),[6]BENEFICIOS!$A:$E,5,0)))</f>
        <v>MKT-1-9865126733</v>
      </c>
      <c r="CA12" s="104" t="s">
        <v>244</v>
      </c>
      <c r="CB12" s="69">
        <v>44.9</v>
      </c>
      <c r="CC12" s="64">
        <f>IF(CB12=0,"",IF(CB12=VLOOKUP("PCS-30631g",[6]ARBOR!$A:$C,3,0),0.0001,IF(CB12&gt;VLOOKUP("PCS-30631g",[6]ARBOR!$A:$C,3,0),"Maior que CAP!",IF((DOLLAR(CB12+(VLOOKUP("PCS-30631g",[6]ARBOR!$A:$C,3,0)*-TRUNC(CB12/VLOOKUP("PCS-30631g",[6]ARBOR!$A:$C,3,0)-1,4)),6))&lt;&gt;(DOLLAR(VLOOKUP("PCS-30631g",[6]ARBOR!$A:$C,3,0),6)),-TRUNC(CB12/VLOOKUP("PCS-30631g",[6]ARBOR!$A:$C,3,0)-1,4)+0.0001,-TRUNC(CB12/VLOOKUP("PCS-30631g",[6]ARBOR!$A:$C,3,0)-1,4)))))</f>
        <v>0.54310000000000003</v>
      </c>
      <c r="CD12" s="65" t="str">
        <f>IF(ISERROR(IF(CC12="","",VLOOKUP(($BH12&amp;CC12&amp;"Template de desconto FLAT bundle - Velox XDSL - Varejo"),[6]BENEFICIOS!$A:$E,5,0))),"Criar",IF(CC12="","",VLOOKUP(($BH12&amp;CC12&amp;"Template de desconto FLAT bundle - Velox XDSL - Varejo"),[6]BENEFICIOS!$A:$E,5,0)))</f>
        <v>MKT-1-9865126826</v>
      </c>
      <c r="CE12" s="68" t="s">
        <v>165</v>
      </c>
      <c r="CF12" s="69">
        <v>49.9</v>
      </c>
      <c r="CG12" s="64">
        <f>IF(CF12=0,"",IF(CF12=VLOOKUP("PCS-30658g",[6]ARBOR!$A:$C,3,0),0.0001,IF(CF12&gt;VLOOKUP("PCS-30658g",[6]ARBOR!$A:$C,3,0),"Maior que CAP!",IF((DOLLAR(CF12+(VLOOKUP("PCS-30658g",[6]ARBOR!$A:$C,3,0)*-TRUNC(CF12/VLOOKUP("PCS-30658g",[6]ARBOR!$A:$C,3,0)-1,4)),6))&lt;&gt;(DOLLAR(VLOOKUP("PCS-30658g",[6]ARBOR!$A:$C,3,0),6)),-TRUNC(CF12/VLOOKUP("PCS-30658g",[6]ARBOR!$A:$C,3,0)-1,4)+0.0001,-TRUNC(CF12/VLOOKUP("PCS-30658g",[6]ARBOR!$A:$C,3,0)-1,4)))))</f>
        <v>0.55569999999999997</v>
      </c>
      <c r="CH12" s="65" t="str">
        <f>IF(ISERROR(IF(CG12="","",VLOOKUP(($BH12&amp;CG12&amp;"Template de desconto FLAT bundle - Velox XDSL - Varejo"),[6]BENEFICIOS!$A:$E,5,0))),"Criar",IF(CG12="","",VLOOKUP(($BH12&amp;CG12&amp;"Template de desconto FLAT bundle - Velox XDSL - Varejo"),[6]BENEFICIOS!$A:$E,5,0)))</f>
        <v>MKT-1-9865126919</v>
      </c>
      <c r="CI12" s="68" t="s">
        <v>165</v>
      </c>
      <c r="CJ12" s="69">
        <v>49.9</v>
      </c>
      <c r="CK12" s="64">
        <f>IF(CJ12=0,"",IF(CJ12=VLOOKUP("PCS-30685g",[6]ARBOR!$A:$C,3,0),0.0001,IF(CJ12&gt;VLOOKUP("PCS-30685g",[6]ARBOR!$A:$C,3,0),"Maior que CAP!",IF((DOLLAR(CJ12+(VLOOKUP("PCS-30685g",[6]ARBOR!$A:$C,3,0)*-TRUNC(CJ12/VLOOKUP("PCS-30685g",[6]ARBOR!$A:$C,3,0)-1,4)),6))&lt;&gt;(DOLLAR(VLOOKUP("PCS-30685g",[6]ARBOR!$A:$C,3,0),6)),-TRUNC(CJ12/VLOOKUP("PCS-30685g",[6]ARBOR!$A:$C,3,0)-1,4)+0.0001,-TRUNC(CJ12/VLOOKUP("PCS-30685g",[6]ARBOR!$A:$C,3,0)-1,4)))))</f>
        <v>0.60509999999999997</v>
      </c>
      <c r="CL12" s="65" t="str">
        <f>IF(ISERROR(IF(CK12="","",VLOOKUP(($BH12&amp;CK12&amp;"Template de desconto FLAT bundle - Velox XDSL - Varejo"),[6]BENEFICIOS!$A:$E,5,0))),"Criar",IF(CK12="","",VLOOKUP(($BH12&amp;CK12&amp;"Template de desconto FLAT bundle - Velox XDSL - Varejo"),[6]BENEFICIOS!$A:$E,5,0)))</f>
        <v>MKT-1-9865694381</v>
      </c>
      <c r="CM12" s="68" t="s">
        <v>165</v>
      </c>
      <c r="CN12" s="69">
        <v>49.9</v>
      </c>
      <c r="CO12" s="64">
        <f>IF(CN12=0,"",IF(CN12=VLOOKUP("PCS-30712g",[6]ARBOR!$A:$C,3,0),0.0001,IF(CN12&gt;VLOOKUP("PCS-30712g",[6]ARBOR!$A:$C,3,0),"Maior que CAP!",IF((DOLLAR(CN12+(VLOOKUP("PCS-30712g",[6]ARBOR!$A:$C,3,0)*-TRUNC(CN12/VLOOKUP("PCS-30712g",[6]ARBOR!$A:$C,3,0)-1,4)),6))&lt;&gt;(DOLLAR(VLOOKUP("PCS-30712g",[6]ARBOR!$A:$C,3,0),6)),-TRUNC(CN12/VLOOKUP("PCS-30712g",[6]ARBOR!$A:$C,3,0)-1,4)+0.0001,-TRUNC(CN12/VLOOKUP("PCS-30712g",[6]ARBOR!$A:$C,3,0)-1,4)))))</f>
        <v>0.64459999999999995</v>
      </c>
      <c r="CP12" s="65" t="str">
        <f>IF(ISERROR(IF(CO12="","",VLOOKUP(($BH12&amp;CO12&amp;"Template de desconto FLAT bundle - Velox XDSL - Varejo"),[6]BENEFICIOS!$A:$E,5,0))),"Criar",IF(CO12="","",VLOOKUP(($BH12&amp;CO12&amp;"Template de desconto FLAT bundle - Velox XDSL - Varejo"),[6]BENEFICIOS!$A:$E,5,0)))</f>
        <v>MKT-1-9865191105</v>
      </c>
      <c r="CQ12" s="68" t="s">
        <v>165</v>
      </c>
      <c r="CR12" s="69">
        <v>59.9</v>
      </c>
      <c r="CS12" s="64">
        <f>IF(CR12=0,"",IF(CR12=VLOOKUP("PCS-30739g",[6]ARBOR!$A:$C,3,0),0.0001,IF(CR12&gt;VLOOKUP("PCS-30739g",[6]ARBOR!$A:$C,3,0),"Maior que CAP!",IF((DOLLAR(CR12+(VLOOKUP("PCS-30739g",[6]ARBOR!$A:$C,3,0)*-TRUNC(CR12/VLOOKUP("PCS-30739g",[6]ARBOR!$A:$C,3,0)-1,4)),6))&lt;&gt;(DOLLAR(VLOOKUP("PCS-30739g",[6]ARBOR!$A:$C,3,0),6)),-TRUNC(CR12/VLOOKUP("PCS-30739g",[6]ARBOR!$A:$C,3,0)-1,4)+0.0001,-TRUNC(CR12/VLOOKUP("PCS-30739g",[6]ARBOR!$A:$C,3,0)-1,4)))))</f>
        <v>0.71560000000000001</v>
      </c>
      <c r="CT12" s="65" t="str">
        <f>IF(ISERROR(IF(CS12="","",VLOOKUP(($BH12&amp;CS12&amp;"Template de desconto FLAT bundle - Velox XDSL - Varejo"),[6]BENEFICIOS!$A:$E,5,0))),"Criar",IF(CS12="","",VLOOKUP(($BH12&amp;CS12&amp;"Template de desconto FLAT bundle - Velox XDSL - Varejo"),[6]BENEFICIOS!$A:$E,5,0)))</f>
        <v>MKT-1-9865191198</v>
      </c>
      <c r="CU12" s="69"/>
      <c r="CV12" s="70"/>
      <c r="CW12" s="64"/>
      <c r="CX12" s="65"/>
      <c r="CY12" s="68" t="s">
        <v>165</v>
      </c>
      <c r="CZ12" s="69">
        <v>59.9</v>
      </c>
      <c r="DA12" s="64">
        <f>IF(CZ12=0,"",IF(CZ12=VLOOKUP("PCS-30766g",[6]ARBOR!$A:$C,3,0),0.0001,IF(CZ12&gt;VLOOKUP("PCS-30766g",[6]ARBOR!$A:$C,3,0),"Maior que CAP!",IF((DOLLAR(CZ12+(VLOOKUP("PCS-30766g",[6]ARBOR!$A:$C,3,0)*-TRUNC(CZ12/VLOOKUP("PCS-30766g",[6]ARBOR!$A:$C,3,0)-1,4)),6))&lt;&gt;(DOLLAR(VLOOKUP("PCS-30766g",[6]ARBOR!$A:$C,3,0),6)),-TRUNC(CZ12/VLOOKUP("PCS-30766g",[6]ARBOR!$A:$C,3,0)-1,4)+0.0001,-TRUNC(CZ12/VLOOKUP("PCS-30766g",[6]ARBOR!$A:$C,3,0)-1,4)))))</f>
        <v>0.78669999999999995</v>
      </c>
      <c r="DB12" s="65" t="str">
        <f>IF(ISERROR(IF(DA12="","",VLOOKUP(($BH12&amp;DA12&amp;"Template de desconto FLAT bundle - Velox XDSL - Varejo"),[6]BENEFICIOS!$A:$E,5,0))),"Criar",IF(DA12="","",VLOOKUP(($BH12&amp;DA12&amp;"Template de desconto FLAT bundle - Velox XDSL - Varejo"),[6]BENEFICIOS!$A:$E,5,0)))</f>
        <v>MKT-1-9865191291</v>
      </c>
      <c r="DC12" s="69"/>
      <c r="DD12" s="70"/>
      <c r="DE12" s="64"/>
      <c r="DF12" s="65"/>
      <c r="DG12" s="68" t="s">
        <v>244</v>
      </c>
      <c r="DH12" s="69">
        <v>69.900000000000006</v>
      </c>
      <c r="DI12" s="64">
        <f>IF(DH12=0,"",IF(DH12=VLOOKUP("PCS-30793g",[6]ARBOR!$A:$C,3,0),0.0001,IF(DH12&gt;VLOOKUP("PCS-30793g",[6]ARBOR!$A:$C,3,0),"Maior que CAP!",IF((DOLLAR(DH12+(VLOOKUP("PCS-30793g",[6]ARBOR!$A:$C,3,0)*-TRUNC(DH12/VLOOKUP("PCS-30793g",[6]ARBOR!$A:$C,3,0)-1,4)),6))&lt;&gt;(DOLLAR(VLOOKUP("PCS-30793g",[6]ARBOR!$A:$C,3,0),6)),-TRUNC(DH12/VLOOKUP("PCS-30793g",[6]ARBOR!$A:$C,3,0)-1,4)+0.0001,-TRUNC(DH12/VLOOKUP("PCS-30793g",[6]ARBOR!$A:$C,3,0)-1,4)))))</f>
        <v>0.75109999999999999</v>
      </c>
      <c r="DJ12" s="65" t="str">
        <f>IF(ISERROR(IF(DI12="","",VLOOKUP(($BH12&amp;DI12&amp;"Template de desconto FLAT bundle - Velox XDSL - Varejo"),[6]BENEFICIOS!$A:$E,5,0))),"Criar",IF(DI12="","",VLOOKUP(($BH12&amp;DI12&amp;"Template de desconto FLAT bundle - Velox XDSL - Varejo"),[6]BENEFICIOS!$A:$E,5,0)))</f>
        <v>MKT-1-9865191384</v>
      </c>
      <c r="DK12" s="69"/>
      <c r="DL12" s="70"/>
      <c r="DM12" s="64"/>
      <c r="DN12" s="65"/>
      <c r="DO12" s="68" t="s">
        <v>165</v>
      </c>
      <c r="DP12" s="69">
        <v>69.900000000000006</v>
      </c>
      <c r="DQ12" s="64">
        <f>IF(DP12=0,"",IF(DP12=VLOOKUP("PCS-30820g",[6]ARBOR!$A:$C,3,0),0.0001,IF(DP12&gt;VLOOKUP("PCS-30820g",[6]ARBOR!$A:$C,3,0),"Maior que CAP!",IF((DOLLAR(DP12+(VLOOKUP("PCS-30820g",[6]ARBOR!$A:$C,3,0)*-TRUNC(DP12/VLOOKUP("PCS-30820g",[6]ARBOR!$A:$C,3,0)-1,4)),6))&lt;&gt;(DOLLAR(VLOOKUP("PCS-30820g",[6]ARBOR!$A:$C,3,0),6)),-TRUNC(DP12/VLOOKUP("PCS-30820g",[6]ARBOR!$A:$C,3,0)-1,4)+0.0001,-TRUNC(DP12/VLOOKUP("PCS-30820g",[6]ARBOR!$A:$C,3,0)-1,4)))))</f>
        <v>0.75109999999999999</v>
      </c>
      <c r="DR12" s="65" t="str">
        <f>IF(ISERROR(IF(DQ12="","",VLOOKUP(($BH12&amp;DQ12&amp;"Template de desconto FLAT bundle - Velox XDSL - Varejo"),[6]BENEFICIOS!$A:$E,5,0))),"Criar",IF(DQ12="","",VLOOKUP(($BH12&amp;DQ12&amp;"Template de desconto FLAT bundle - Velox XDSL - Varejo"),[6]BENEFICIOS!$A:$E,5,0)))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IF(DW12=0,"",IF(DW12=VLOOKUP("PCS-21448p2",[6]ARBOR!$A:$C,3,0),0.0001,IF(DW12&gt;VLOOKUP("PCS-21448p2",[6]ARBOR!$A:$C,3,0),"Maior que CAP!",IF((DOLLAR(DW12+(VLOOKUP("PCS-21448p2",[6]ARBOR!$A:$C,3,0)*-TRUNC(DW12/VLOOKUP("PCS-21448p2",[6]ARBOR!$A:$C,3,0)-1,4)),6))&lt;&gt;(DOLLAR(VLOOKUP("PCS-21448p2",[6]ARBOR!$A:$C,3,0),6)),-TRUNC(DW12/VLOOKUP("PCS-21448p2",[6]ARBOR!$A:$C,3,0)-1,4)+0.0001,-TRUNC(DW12/VLOOKUP("PCS-21448p2",[6]ARBOR!$A:$C,3,0)-1,4)))))</f>
        <v/>
      </c>
      <c r="DY12" s="65" t="str">
        <f>IF(ISERROR(IF(DX12="","",VLOOKUP(("Oi Conta Total Plug 10GB Downgrade"&amp;DX12&amp;"Template de desconto percentual BL Móvel - Internet Total - Varejo"),[6]BENEFICIOS!$A:$E,5,0))),"Criar",IF(DX12="","",VLOOKUP(("Oi Conta Total Plug 10GB Downgrade"&amp;DX12&amp;"Template de desconto percentual BL Móvel - Internet Total - Varejo"),[6]BENEFICIOS!$A:$E,5,0)))</f>
        <v/>
      </c>
      <c r="DZ12" s="71">
        <v>19.899999999999999</v>
      </c>
      <c r="EA12" s="72">
        <f>IF(DZ12=0,"",IF(DZ12=VLOOKUP("SVA",[6]ARBOR!$A:$C,3,0),0.0001,IF(DZ12&gt;VLOOKUP("SVA",[6]ARBOR!$A:$C,3,0),"Maior que CAP!",IF((DOLLAR(DZ12+(VLOOKUP("SVA",[6]ARBOR!$A:$C,3,0)*-TRUNC(DZ12/VLOOKUP("SVA",[6]ARBOR!$A:$C,3,0)-1,4)),6))&lt;&gt;(DOLLAR(VLOOKUP("SVA",[6]ARBOR!$A:$C,3,0),6)),-TRUNC(DZ12/VLOOKUP("SVA",[6]ARBOR!$A:$C,3,0)-1,4)+0.0001,-TRUNC(DZ12/VLOOKUP("SVA",[6]ARBOR!$A:$C,3,0)-1,4)))))</f>
        <v>7.1400000000000005E-2</v>
      </c>
      <c r="EB12" s="65" t="s">
        <v>245</v>
      </c>
      <c r="EC12" s="69"/>
      <c r="ED12" s="73"/>
      <c r="EE12" s="74"/>
      <c r="EF12" s="65"/>
      <c r="EG12" s="75">
        <f>IF(BI12="","",VLOOKUP(BI12,[6]ARBOR!A:C,3,0))</f>
        <v>479.46</v>
      </c>
      <c r="EH12" s="69">
        <v>15</v>
      </c>
      <c r="EI12" s="76">
        <f>IF(EH12="","",1-(EH12/VLOOKUP(BI12&amp;"ASS",[6]ARBOR!A:C,3,0)))</f>
        <v>0.34725848563968664</v>
      </c>
      <c r="EJ12" s="77" t="s">
        <v>228</v>
      </c>
      <c r="EK12" s="78" t="s">
        <v>229</v>
      </c>
      <c r="EL12" s="69">
        <v>168.98</v>
      </c>
      <c r="EM12" s="64">
        <f>ROUND(IF(EL12=0,"",IF(EL12=EG12,0.0001,1-((EL12+(VLOOKUP(BI12&amp;"ASS",[6]ARBOR!A:C,3,0)-EH12))/EG12))),4)</f>
        <v>0.63090000000000002</v>
      </c>
      <c r="EN12" s="65" t="str">
        <f>IF(ISERROR(IF(EM12="","",VLOOKUP(($BH12&amp;EM12&amp;"Template de desconto percentual FLAT Móvel - Conta Total - Varejo - Ganho Tributário Cross"),[6]BENEFICIOS!$A:$E,5,0))),"Criar",IF(EM12="","",VLOOKUP(($BH12&amp;EM12&amp;"Template de desconto percentual FLAT Móvel - Conta Total - Varejo - Ganho Tributário Cross"),[6]BENEFICIOS!$A:$E,5,0)))</f>
        <v>Criar</v>
      </c>
      <c r="EO12" s="79"/>
      <c r="EP12" s="64"/>
      <c r="EQ12" s="72"/>
      <c r="ER12" s="72"/>
      <c r="ES12" s="64"/>
      <c r="ET12" s="80"/>
      <c r="EU12" s="81" t="s">
        <v>248</v>
      </c>
      <c r="EV12" s="81" t="s">
        <v>265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IF(FC12=0,"",IF(FC12=VLOOKUP("PCS-10357",[6]ARBOR!$A:$C,3,0),0.0001,IF(FC12&gt;VLOOKUP("PCS-10357",[6]ARBOR!$A:$C,3,0),"Maior que CAP!",ROUND(-1*(FC12/VLOOKUP("PCS-10357",[6]ARBOR!$A:$C,3,0)-1),4))))</f>
        <v/>
      </c>
      <c r="FE12" s="84" t="str">
        <f>IF(ISERROR(IF(FD12="","",VLOOKUP(("Oi Internet Pra Celular 1GB"&amp;FD12&amp;"Template Flat Instância Dados"),[6]BENEFICIOS!$A:$E,5,0))),"Criar",IF(FD12="","",VLOOKUP(("Oi Internet Pra Celular 1GB"&amp;FD12&amp;"Template Flat Instância Dados"),[6]BENEFICIOS!$A:$E,5,0)))</f>
        <v/>
      </c>
      <c r="FF12" s="82"/>
      <c r="FG12" s="83" t="str">
        <f>IF(FF12=0,"",IF(FF12=VLOOKUP("PCS-813565",[6]ARBOR!$A:$C,3,0),0.0001,IF(FF12&gt;VLOOKUP("PCS-813565",[6]ARBOR!$A:$C,3,0),"Maior que CAP!",ROUND(-1*(FF12/VLOOKUP("PCS-813565",[6]ARBOR!$A:$C,3,0)-1),4))))</f>
        <v/>
      </c>
      <c r="FH12" s="84" t="str">
        <f>IF(ISERROR(IF(FG12="","",VLOOKUP(("Oi Internet Pra Celular 2GB"&amp;FG12&amp;"Template Flat Instância Dados"),[6]BENEFICIOS!$A:$E,5,0))),"Criar",IF(FG12="","",VLOOKUP(("Oi Internet Pra Celular 2GB"&amp;FG12&amp;"Template Flat Instância Dados"),[6]BENEFICIOS!$A:$E,5,0)))</f>
        <v/>
      </c>
      <c r="FI12" s="82"/>
      <c r="FJ12" s="83" t="str">
        <f>IF(FI12=0,"",IF(FI12=VLOOKUP("PCS-7171B",[6]ARBOR!$A:$C,3,0),0.0001,IF(FI12&gt;VLOOKUP("PCS-7171B",[6]ARBOR!$A:$C,3,0),"Maior que CAP!",ROUND(-1*(FI12/VLOOKUP("PCS-7171B",[6]ARBOR!$A:$C,3,0)-1),4))))</f>
        <v/>
      </c>
      <c r="FK12" s="84" t="str">
        <f>IF(ISERROR(IF(FJ12="","",VLOOKUP(("Oi Internet Pra Celular 3GB"&amp;FJ12&amp;"Template Flat Instância Dados"),[6]BENEFICIOS!$A:$E,5,0))),"Criar",IF(FJ12="","",VLOOKUP(("Oi Internet Pra Celular 3GB"&amp;FJ12&amp;"Template Flat Instância Dados"),[6]BENEFICIOS!$A:$E,5,0)))</f>
        <v/>
      </c>
      <c r="FL12" s="82">
        <v>14.92</v>
      </c>
      <c r="FM12" s="83">
        <f>IF(FL12=0,"",IF(FL12=VLOOKUP("PCS-51793o08",[6]ARBOR!$A:$C,3,0),0.0001,IF(FL12&gt;VLOOKUP("PCS-51793o08",[6]ARBOR!$A:$C,3,0),"Maior que CAP!",ROUND(-1*(FL12/VLOOKUP("PCS-51793o08",[6]ARBOR!$A:$C,3,0)-1),4))))</f>
        <v>0.89500000000000002</v>
      </c>
      <c r="FN12" s="84" t="str">
        <f>IF(ISERROR(IF(FM12="","",VLOOKUP(("Oi Internet Pra Celular 5GB"&amp;FM12&amp;"Template Flat Instância Dados"),[6]BENEFICIOS!$A:$E,5,0))),"Criar",IF(FM12="","",VLOOKUP(("Oi Internet Pra Celular 5GB"&amp;FM12&amp;"Template Flat Instância Dados"),[6]BENEFICIOS!$A:$E,5,0)))</f>
        <v>MKT-1-9870312709</v>
      </c>
      <c r="FO12" s="82"/>
      <c r="FP12" s="83" t="str">
        <f>IF(FO12=0,"",IF(FO12=VLOOKUP("PCS-7171A",[6]ARBOR!$A:$C,3,0),0.0001,IF(FO12&gt;VLOOKUP("PCS-7171A",[6]ARBOR!$A:$C,3,0),"Maior que CAP!",ROUND(-1*(FO12/VLOOKUP("PCS-7171A",[6]ARBOR!$A:$C,3,0)-1),4))))</f>
        <v/>
      </c>
      <c r="FQ12" s="84" t="str">
        <f>IF(ISERROR(IF(FP12="","",VLOOKUP(("Oi Internet Pra Celular 10GB"&amp;FP12&amp;"Template Flat Instância Dados"),[6]BENEFICIOS!$A:$E,5,0))),"Criar",IF(FP12="","",VLOOKUP(("Oi Internet Pra Celular 10GB"&amp;FP12&amp;"Template Flat Instância Dados"),[6]BENEFICIOS!$A:$E,5,0)))</f>
        <v/>
      </c>
      <c r="FR12" s="85">
        <v>0.74260000000000004</v>
      </c>
      <c r="FS12" s="86" t="s">
        <v>266</v>
      </c>
      <c r="FT12" s="48"/>
      <c r="FU12" s="87"/>
      <c r="FV12" s="88" t="s">
        <v>225</v>
      </c>
      <c r="FW12" s="49" t="s">
        <v>230</v>
      </c>
      <c r="FX12" s="89">
        <v>999</v>
      </c>
      <c r="FY12" s="49">
        <v>12</v>
      </c>
      <c r="FZ12" s="90" t="s">
        <v>231</v>
      </c>
      <c r="GA12" s="91" t="str">
        <f t="shared" si="1"/>
        <v>PCS-Fk83324</v>
      </c>
      <c r="GB12" s="92" t="str">
        <f t="shared" si="2"/>
        <v>PCS-SBL553142</v>
      </c>
      <c r="GC12" s="93" t="s">
        <v>232</v>
      </c>
      <c r="GD12" s="90" t="s">
        <v>233</v>
      </c>
      <c r="GE12" s="92" t="s">
        <v>234</v>
      </c>
      <c r="GF12" s="93" t="s">
        <v>235</v>
      </c>
      <c r="GG12" s="90" t="s">
        <v>236</v>
      </c>
      <c r="GH12" s="92" t="s">
        <v>237</v>
      </c>
      <c r="GI12" s="94" t="s">
        <v>238</v>
      </c>
      <c r="GJ12" s="95">
        <f>FL12+EL12+CN12+BJ12</f>
        <v>283.89999999999998</v>
      </c>
      <c r="GK12" s="96"/>
      <c r="GL12" s="97" t="s">
        <v>239</v>
      </c>
      <c r="GM12" s="98" t="s">
        <v>240</v>
      </c>
      <c r="GN12" s="97">
        <f>VLOOKUP($A12,'[6]TABELA COM TUDO'!$A:$AB,25,0)</f>
        <v>20.350000000000001</v>
      </c>
      <c r="GO12" s="99">
        <f>VLOOKUP($A12,'[6]TABELA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269</v>
      </c>
      <c r="GX12" s="44" t="s">
        <v>242</v>
      </c>
    </row>
    <row r="13" spans="1:206" s="44" customFormat="1" x14ac:dyDescent="0.25">
      <c r="A13" s="44" t="str">
        <f t="shared" si="0"/>
        <v>Oi Total Fixo + Pós 800 + Banda LargaN110GBMG</v>
      </c>
      <c r="B13" s="45" t="s">
        <v>215</v>
      </c>
      <c r="C13" s="46" t="s">
        <v>131</v>
      </c>
      <c r="D13" s="46" t="s">
        <v>216</v>
      </c>
      <c r="E13" s="47" t="s">
        <v>217</v>
      </c>
      <c r="F13" s="48" t="s">
        <v>218</v>
      </c>
      <c r="G13" s="49"/>
      <c r="H13" s="49"/>
      <c r="I13" s="49"/>
      <c r="J13" s="49" t="s">
        <v>218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218</v>
      </c>
      <c r="AC13" s="49" t="s">
        <v>218</v>
      </c>
      <c r="AD13" s="49" t="s">
        <v>218</v>
      </c>
      <c r="AE13" s="49" t="s">
        <v>218</v>
      </c>
      <c r="AF13" s="49" t="s">
        <v>218</v>
      </c>
      <c r="AG13" s="49" t="s">
        <v>218</v>
      </c>
      <c r="AH13" s="50"/>
      <c r="AI13" s="49" t="s">
        <v>218</v>
      </c>
      <c r="AJ13" s="49" t="s">
        <v>218</v>
      </c>
      <c r="AK13" s="49" t="s">
        <v>218</v>
      </c>
      <c r="AL13" s="49" t="s">
        <v>218</v>
      </c>
      <c r="AM13" s="49" t="s">
        <v>218</v>
      </c>
      <c r="AN13" s="49" t="s">
        <v>218</v>
      </c>
      <c r="AO13" s="49" t="s">
        <v>218</v>
      </c>
      <c r="AP13" s="49"/>
      <c r="AQ13" s="51"/>
      <c r="AR13" s="52" t="s">
        <v>270</v>
      </c>
      <c r="AS13" s="46" t="s">
        <v>220</v>
      </c>
      <c r="AT13" s="53" t="s">
        <v>221</v>
      </c>
      <c r="AU13" s="54">
        <v>42972</v>
      </c>
      <c r="AV13" s="55">
        <v>43038</v>
      </c>
      <c r="AW13" s="56" t="s">
        <v>222</v>
      </c>
      <c r="AX13" s="57" t="s">
        <v>222</v>
      </c>
      <c r="AY13" s="58"/>
      <c r="AZ13" s="58" t="s">
        <v>223</v>
      </c>
      <c r="BA13" s="58">
        <v>20</v>
      </c>
      <c r="BB13" s="58">
        <v>10000</v>
      </c>
      <c r="BC13" s="59" t="s">
        <v>224</v>
      </c>
      <c r="BD13" s="60" t="s">
        <v>225</v>
      </c>
      <c r="BE13" s="58" t="s">
        <v>217</v>
      </c>
      <c r="BF13" s="51" t="s">
        <v>217</v>
      </c>
      <c r="BG13" s="45" t="s">
        <v>270</v>
      </c>
      <c r="BH13" s="61" t="s">
        <v>226</v>
      </c>
      <c r="BI13" s="62" t="str">
        <f>IF(ISERROR(VLOOKUP(BH13,[6]PLANOS!B:C,2,0)),"",VLOOKUP(BH13,[6]PLANOS!B:C,2,0))</f>
        <v>PCS-4P6pi</v>
      </c>
      <c r="BJ13" s="63">
        <v>50.1</v>
      </c>
      <c r="BK13" s="64">
        <f>IF(BJ13=0,"",IF(BJ13=VLOOKUP("FIXO",[6]ARBOR!$A:$C,3,0),0.0001,IF(BJ13&gt;VLOOKUP("FIXO",[6]ARBOR!$A:$C,3,0),"Maior que CAP!",IF((DOLLAR(BJ13+(VLOOKUP("FIXO",[6]ARBOR!$A:$C,3,0)*-TRUNC(BJ13/VLOOKUP("FIXO",[6]ARBOR!$A:$C,3,0)-1,4)),6))&lt;&gt;(DOLLAR(VLOOKUP("FIXO",[6]ARBOR!$A:$C,3,0),6)),-TRUNC(BJ13/VLOOKUP("FIXO",[6]ARBOR!$A:$C,3,0)-1,4)+0.0001,-TRUNC(BJ13/VLOOKUP("FIXO",[6]ARBOR!$A:$C,3,0)-1,4)))))</f>
        <v>0.33939999999999998</v>
      </c>
      <c r="BL13" s="65" t="str">
        <f>IF(ISERROR(IF(BK13="","",VLOOKUP(($BH13&amp;BK13&amp;"Template de desconto FLAT bundle - Fixo - Varejo - Ganho Tributário Cross"),[6]BENEFICIOS!$A:$E,5,0))),"Criar",IF(BK13="","",VLOOKUP(($BH13&amp;BK13&amp;"Template de desconto FLAT bundle - Fixo - Varejo - Ganho Tributário Cross"),[6]BENEFICIOS!$A:$E,5,0)))</f>
        <v>MKT-1-9856472058</v>
      </c>
      <c r="BM13" s="66"/>
      <c r="BN13" s="67"/>
      <c r="BO13" s="68" t="s">
        <v>165</v>
      </c>
      <c r="BP13" s="69">
        <v>44.9</v>
      </c>
      <c r="BQ13" s="64">
        <f>IF(BP13=0,"",IF(BP13=VLOOKUP("PCS-30874g",[6]ARBOR!$A:$C,3,0),0.0001,IF(BP13&gt;VLOOKUP("PCS-30874g",[6]ARBOR!$A:$C,3,0),"Maior que CAP!",IF((DOLLAR(BP13+(VLOOKUP("PCS-30874g",[6]ARBOR!$A:$C,3,0)*-TRUNC(BP13/VLOOKUP("PCS-30874g",[6]ARBOR!$A:$C,3,0)-1,4)),6))&lt;&gt;(DOLLAR(VLOOKUP("PCS-30874g",[6]ARBOR!$A:$C,3,0),6)),-TRUNC(BP13/VLOOKUP("PCS-30874g",[6]ARBOR!$A:$C,3,0)-1,4)+0.0001,-TRUNC(BP13/VLOOKUP("PCS-30874g",[6]ARBOR!$A:$C,3,0)-1,4)))))</f>
        <v>0.53679999999999994</v>
      </c>
      <c r="BR13" s="65" t="str">
        <f>IF(ISERROR(IF(BQ13="","",VLOOKUP(($BH13&amp;BQ13&amp;"Template de desconto FLAT bundle - Velox XDSL - Varejo"),[6]BENEFICIOS!$A:$E,5,0))),"Criar",IF(BQ13="","",VLOOKUP(($BH13&amp;BQ13&amp;"Template de desconto FLAT bundle - Velox XDSL - Varejo"),[6]BENEFICIOS!$A:$E,5,0)))</f>
        <v>MKT-1-9865126733</v>
      </c>
      <c r="BS13" s="68" t="s">
        <v>165</v>
      </c>
      <c r="BT13" s="69">
        <v>44.9</v>
      </c>
      <c r="BU13" s="64">
        <f>IF(BT13=0,"",IF(BT13=VLOOKUP("PCS-30577g",[6]ARBOR!$A:$C,3,0),0.0001,IF(BT13&gt;VLOOKUP("PCS-30577g",[6]ARBOR!$A:$C,3,0),"Maior que CAP!",IF((DOLLAR(BT13+(VLOOKUP("PCS-30577g",[6]ARBOR!$A:$C,3,0)*-TRUNC(BT13/VLOOKUP("PCS-30577g",[6]ARBOR!$A:$C,3,0)-1,4)),6))&lt;&gt;(DOLLAR(VLOOKUP("PCS-30577g",[6]ARBOR!$A:$C,3,0),6)),-TRUNC(BT13/VLOOKUP("PCS-30577g",[6]ARBOR!$A:$C,3,0)-1,4)+0.0001,-TRUNC(BT13/VLOOKUP("PCS-30577g",[6]ARBOR!$A:$C,3,0)-1,4)))))</f>
        <v>0.53679999999999994</v>
      </c>
      <c r="BV13" s="65" t="str">
        <f>IF(ISERROR(IF(BU13="","",VLOOKUP(($BH13&amp;BU13&amp;"Template de desconto FLAT bundle - Velox XDSL - Varejo"),[6]BENEFICIOS!$A:$E,5,0))),"Criar",IF(BU13="","",VLOOKUP(($BH13&amp;BU13&amp;"Template de desconto FLAT bundle - Velox XDSL - Varejo"),[6]BENEFICIOS!$A:$E,5,0)))</f>
        <v>MKT-1-9865126733</v>
      </c>
      <c r="BW13" s="68" t="s">
        <v>165</v>
      </c>
      <c r="BX13" s="69">
        <v>44.9</v>
      </c>
      <c r="BY13" s="64">
        <f>IF(BX13=0,"",IF(BX13=VLOOKUP("PCS-30604g",[6]ARBOR!$A:$C,3,0),0.0001,IF(BX13&gt;VLOOKUP("PCS-30604g",[6]ARBOR!$A:$C,3,0),"Maior que CAP!",IF((DOLLAR(BX13+(VLOOKUP("PCS-30604g",[6]ARBOR!$A:$C,3,0)*-TRUNC(BX13/VLOOKUP("PCS-30604g",[6]ARBOR!$A:$C,3,0)-1,4)),6))&lt;&gt;(DOLLAR(VLOOKUP("PCS-30604g",[6]ARBOR!$A:$C,3,0),6)),-TRUNC(BX13/VLOOKUP("PCS-30604g",[6]ARBOR!$A:$C,3,0)-1,4)+0.0001,-TRUNC(BX13/VLOOKUP("PCS-30604g",[6]ARBOR!$A:$C,3,0)-1,4)))))</f>
        <v>0.53679999999999994</v>
      </c>
      <c r="BZ13" s="65" t="str">
        <f>IF(ISERROR(IF(BY13="","",VLOOKUP(($BH13&amp;BY13&amp;"Template de desconto FLAT bundle - Velox XDSL - Varejo"),[6]BENEFICIOS!$A:$E,5,0))),"Criar",IF(BY13="","",VLOOKUP(($BH13&amp;BY13&amp;"Template de desconto FLAT bundle - Velox XDSL - Varejo"),[6]BENEFICIOS!$A:$E,5,0)))</f>
        <v>MKT-1-9865126733</v>
      </c>
      <c r="CA13" s="68" t="s">
        <v>165</v>
      </c>
      <c r="CB13" s="69">
        <v>44.9</v>
      </c>
      <c r="CC13" s="64">
        <f>IF(CB13=0,"",IF(CB13=VLOOKUP("PCS-30631g",[6]ARBOR!$A:$C,3,0),0.0001,IF(CB13&gt;VLOOKUP("PCS-30631g",[6]ARBOR!$A:$C,3,0),"Maior que CAP!",IF((DOLLAR(CB13+(VLOOKUP("PCS-30631g",[6]ARBOR!$A:$C,3,0)*-TRUNC(CB13/VLOOKUP("PCS-30631g",[6]ARBOR!$A:$C,3,0)-1,4)),6))&lt;&gt;(DOLLAR(VLOOKUP("PCS-30631g",[6]ARBOR!$A:$C,3,0),6)),-TRUNC(CB13/VLOOKUP("PCS-30631g",[6]ARBOR!$A:$C,3,0)-1,4)+0.0001,-TRUNC(CB13/VLOOKUP("PCS-30631g",[6]ARBOR!$A:$C,3,0)-1,4)))))</f>
        <v>0.54310000000000003</v>
      </c>
      <c r="CD13" s="65" t="str">
        <f>IF(ISERROR(IF(CC13="","",VLOOKUP(($BH13&amp;CC13&amp;"Template de desconto FLAT bundle - Velox XDSL - Varejo"),[6]BENEFICIOS!$A:$E,5,0))),"Criar",IF(CC13="","",VLOOKUP(($BH13&amp;CC13&amp;"Template de desconto FLAT bundle - Velox XDSL - Varejo"),[6]BENEFICIOS!$A:$E,5,0)))</f>
        <v>MKT-1-9865126826</v>
      </c>
      <c r="CE13" s="68"/>
      <c r="CF13" s="69"/>
      <c r="CG13" s="64" t="str">
        <f>IF(CF13=0,"",IF(CF13=VLOOKUP("PCS-30658g",[6]ARBOR!$A:$C,3,0),0.0001,IF(CF13&gt;VLOOKUP("PCS-30658g",[6]ARBOR!$A:$C,3,0),"Maior que CAP!",IF((DOLLAR(CF13+(VLOOKUP("PCS-30658g",[6]ARBOR!$A:$C,3,0)*-TRUNC(CF13/VLOOKUP("PCS-30658g",[6]ARBOR!$A:$C,3,0)-1,4)),6))&lt;&gt;(DOLLAR(VLOOKUP("PCS-30658g",[6]ARBOR!$A:$C,3,0),6)),-TRUNC(CF13/VLOOKUP("PCS-30658g",[6]ARBOR!$A:$C,3,0)-1,4)+0.0001,-TRUNC(CF13/VLOOKUP("PCS-30658g",[6]ARBOR!$A:$C,3,0)-1,4)))))</f>
        <v/>
      </c>
      <c r="CH13" s="65" t="str">
        <f>IF(ISERROR(IF(CG13="","",VLOOKUP(($BH13&amp;CG13&amp;"Template de desconto FLAT bundle - Velox XDSL - Varejo"),[6]BENEFICIOS!$A:$E,5,0))),"Criar",IF(CG13="","",VLOOKUP(($BH13&amp;CG13&amp;"Template de desconto FLAT bundle - Velox XDSL - Varejo"),[6]BENEFICIOS!$A:$E,5,0)))</f>
        <v/>
      </c>
      <c r="CI13" s="68"/>
      <c r="CJ13" s="69"/>
      <c r="CK13" s="64" t="str">
        <f>IF(CJ13=0,"",IF(CJ13=VLOOKUP("PCS-30685g",[6]ARBOR!$A:$C,3,0),0.0001,IF(CJ13&gt;VLOOKUP("PCS-30685g",[6]ARBOR!$A:$C,3,0),"Maior que CAP!",IF((DOLLAR(CJ13+(VLOOKUP("PCS-30685g",[6]ARBOR!$A:$C,3,0)*-TRUNC(CJ13/VLOOKUP("PCS-30685g",[6]ARBOR!$A:$C,3,0)-1,4)),6))&lt;&gt;(DOLLAR(VLOOKUP("PCS-30685g",[6]ARBOR!$A:$C,3,0),6)),-TRUNC(CJ13/VLOOKUP("PCS-30685g",[6]ARBOR!$A:$C,3,0)-1,4)+0.0001,-TRUNC(CJ13/VLOOKUP("PCS-30685g",[6]ARBOR!$A:$C,3,0)-1,4)))))</f>
        <v/>
      </c>
      <c r="CL13" s="65" t="str">
        <f>IF(ISERROR(IF(CK13="","",VLOOKUP(($BH13&amp;CK13&amp;"Template de desconto FLAT bundle - Velox XDSL - Varejo"),[6]BENEFICIOS!$A:$E,5,0))),"Criar",IF(CK13="","",VLOOKUP(($BH13&amp;CK13&amp;"Template de desconto FLAT bundle - Velox XDSL - Varejo"),[6]BENEFICIOS!$A:$E,5,0)))</f>
        <v/>
      </c>
      <c r="CM13" s="68"/>
      <c r="CN13" s="69"/>
      <c r="CO13" s="64" t="str">
        <f>IF(CN13=0,"",IF(CN13=VLOOKUP("PCS-30712g",[6]ARBOR!$A:$C,3,0),0.0001,IF(CN13&gt;VLOOKUP("PCS-30712g",[6]ARBOR!$A:$C,3,0),"Maior que CAP!",IF((DOLLAR(CN13+(VLOOKUP("PCS-30712g",[6]ARBOR!$A:$C,3,0)*-TRUNC(CN13/VLOOKUP("PCS-30712g",[6]ARBOR!$A:$C,3,0)-1,4)),6))&lt;&gt;(DOLLAR(VLOOKUP("PCS-30712g",[6]ARBOR!$A:$C,3,0),6)),-TRUNC(CN13/VLOOKUP("PCS-30712g",[6]ARBOR!$A:$C,3,0)-1,4)+0.0001,-TRUNC(CN13/VLOOKUP("PCS-30712g",[6]ARBOR!$A:$C,3,0)-1,4)))))</f>
        <v/>
      </c>
      <c r="CP13" s="65" t="str">
        <f>IF(ISERROR(IF(CO13="","",VLOOKUP(($BH13&amp;CO13&amp;"Template de desconto FLAT bundle - Velox XDSL - Varejo"),[6]BENEFICIOS!$A:$E,5,0))),"Criar",IF(CO13="","",VLOOKUP(($BH13&amp;CO13&amp;"Template de desconto FLAT bundle - Velox XDSL - Varejo"),[6]BENEFICIOS!$A:$E,5,0)))</f>
        <v/>
      </c>
      <c r="CQ13" s="68"/>
      <c r="CR13" s="69"/>
      <c r="CS13" s="64" t="str">
        <f>IF(CR13=0,"",IF(CR13=VLOOKUP("PCS-30739g",[6]ARBOR!$A:$C,3,0),0.0001,IF(CR13&gt;VLOOKUP("PCS-30739g",[6]ARBOR!$A:$C,3,0),"Maior que CAP!",IF((DOLLAR(CR13+(VLOOKUP("PCS-30739g",[6]ARBOR!$A:$C,3,0)*-TRUNC(CR13/VLOOKUP("PCS-30739g",[6]ARBOR!$A:$C,3,0)-1,4)),6))&lt;&gt;(DOLLAR(VLOOKUP("PCS-30739g",[6]ARBOR!$A:$C,3,0),6)),-TRUNC(CR13/VLOOKUP("PCS-30739g",[6]ARBOR!$A:$C,3,0)-1,4)+0.0001,-TRUNC(CR13/VLOOKUP("PCS-30739g",[6]ARBOR!$A:$C,3,0)-1,4)))))</f>
        <v/>
      </c>
      <c r="CT13" s="65" t="str">
        <f>IF(ISERROR(IF(CS13="","",VLOOKUP(($BH13&amp;CS13&amp;"Template de desconto FLAT bundle - Velox XDSL - Varejo"),[6]BENEFICIOS!$A:$E,5,0))),"Criar",IF(CS13="","",VLOOKUP(($BH13&amp;CS13&amp;"Template de desconto FLAT bundle - Velox XDSL - Varejo"),[6]BENEFICIOS!$A:$E,5,0)))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IF(CZ13=0,"",IF(CZ13=VLOOKUP("PCS-30766g",[6]ARBOR!$A:$C,3,0),0.0001,IF(CZ13&gt;VLOOKUP("PCS-30766g",[6]ARBOR!$A:$C,3,0),"Maior que CAP!",IF((DOLLAR(CZ13+(VLOOKUP("PCS-30766g",[6]ARBOR!$A:$C,3,0)*-TRUNC(CZ13/VLOOKUP("PCS-30766g",[6]ARBOR!$A:$C,3,0)-1,4)),6))&lt;&gt;(DOLLAR(VLOOKUP("PCS-30766g",[6]ARBOR!$A:$C,3,0),6)),-TRUNC(CZ13/VLOOKUP("PCS-30766g",[6]ARBOR!$A:$C,3,0)-1,4)+0.0001,-TRUNC(CZ13/VLOOKUP("PCS-30766g",[6]ARBOR!$A:$C,3,0)-1,4)))))</f>
        <v/>
      </c>
      <c r="DB13" s="65" t="str">
        <f>IF(ISERROR(IF(DA13="","",VLOOKUP(($BH13&amp;DA13&amp;"Template de desconto FLAT bundle - Velox XDSL - Varejo"),[6]BENEFICIOS!$A:$E,5,0))),"Criar",IF(DA13="","",VLOOKUP(($BH13&amp;DA13&amp;"Template de desconto FLAT bundle - Velox XDSL - Varejo"),[6]BENEFICIOS!$A:$E,5,0)))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IF(DH13=0,"",IF(DH13=VLOOKUP("PCS-30793g",[6]ARBOR!$A:$C,3,0),0.0001,IF(DH13&gt;VLOOKUP("PCS-30793g",[6]ARBOR!$A:$C,3,0),"Maior que CAP!",IF((DOLLAR(DH13+(VLOOKUP("PCS-30793g",[6]ARBOR!$A:$C,3,0)*-TRUNC(DH13/VLOOKUP("PCS-30793g",[6]ARBOR!$A:$C,3,0)-1,4)),6))&lt;&gt;(DOLLAR(VLOOKUP("PCS-30793g",[6]ARBOR!$A:$C,3,0),6)),-TRUNC(DH13/VLOOKUP("PCS-30793g",[6]ARBOR!$A:$C,3,0)-1,4)+0.0001,-TRUNC(DH13/VLOOKUP("PCS-30793g",[6]ARBOR!$A:$C,3,0)-1,4)))))</f>
        <v/>
      </c>
      <c r="DJ13" s="65" t="str">
        <f>IF(ISERROR(IF(DI13="","",VLOOKUP(($BH13&amp;DI13&amp;"Template de desconto FLAT bundle - Velox XDSL - Varejo"),[6]BENEFICIOS!$A:$E,5,0))),"Criar",IF(DI13="","",VLOOKUP(($BH13&amp;DI13&amp;"Template de desconto FLAT bundle - Velox XDSL - Varejo"),[6]BENEFICIOS!$A:$E,5,0)))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IF(DP13=0,"",IF(DP13=VLOOKUP("PCS-30820g",[6]ARBOR!$A:$C,3,0),0.0001,IF(DP13&gt;VLOOKUP("PCS-30820g",[6]ARBOR!$A:$C,3,0),"Maior que CAP!",IF((DOLLAR(DP13+(VLOOKUP("PCS-30820g",[6]ARBOR!$A:$C,3,0)*-TRUNC(DP13/VLOOKUP("PCS-30820g",[6]ARBOR!$A:$C,3,0)-1,4)),6))&lt;&gt;(DOLLAR(VLOOKUP("PCS-30820g",[6]ARBOR!$A:$C,3,0),6)),-TRUNC(DP13/VLOOKUP("PCS-30820g",[6]ARBOR!$A:$C,3,0)-1,4)+0.0001,-TRUNC(DP13/VLOOKUP("PCS-30820g",[6]ARBOR!$A:$C,3,0)-1,4)))))</f>
        <v/>
      </c>
      <c r="DR13" s="65" t="str">
        <f>IF(ISERROR(IF(DQ13="","",VLOOKUP(($BH13&amp;DQ13&amp;"Template de desconto FLAT bundle - Velox XDSL - Varejo"),[6]BENEFICIOS!$A:$E,5,0))),"Criar",IF(DQ13="","",VLOOKUP(($BH13&amp;DQ13&amp;"Template de desconto FLAT bundle - Velox XDSL - Varejo"),[6]BENEFICIOS!$A:$E,5,0)))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IF(DW13=0,"",IF(DW13=VLOOKUP("PCS-21448p2",[6]ARBOR!$A:$C,3,0),0.0001,IF(DW13&gt;VLOOKUP("PCS-21448p2",[6]ARBOR!$A:$C,3,0),"Maior que CAP!",IF((DOLLAR(DW13+(VLOOKUP("PCS-21448p2",[6]ARBOR!$A:$C,3,0)*-TRUNC(DW13/VLOOKUP("PCS-21448p2",[6]ARBOR!$A:$C,3,0)-1,4)),6))&lt;&gt;(DOLLAR(VLOOKUP("PCS-21448p2",[6]ARBOR!$A:$C,3,0),6)),-TRUNC(DW13/VLOOKUP("PCS-21448p2",[6]ARBOR!$A:$C,3,0)-1,4)+0.0001,-TRUNC(DW13/VLOOKUP("PCS-21448p2",[6]ARBOR!$A:$C,3,0)-1,4)))))</f>
        <v>0.64900000000000002</v>
      </c>
      <c r="DY13" s="65" t="str">
        <f>IF(ISERROR(IF(DX13="","",VLOOKUP(("Oi Conta Total Plug 10GB Downgrade"&amp;DX13&amp;"Template de desconto percentual BL Móvel - Internet Total - Varejo"),[6]BENEFICIOS!$A:$E,5,0))),"Criar",IF(DX13="","",VLOOKUP(("Oi Conta Total Plug 10GB Downgrade"&amp;DX13&amp;"Template de desconto percentual BL Móvel - Internet Total - Varejo"),[6]BENEFICIOS!$A:$E,5,0)))</f>
        <v>MKT-1-9825544790</v>
      </c>
      <c r="DZ13" s="71">
        <v>16.5</v>
      </c>
      <c r="EA13" s="72">
        <f>IF(DZ13=0,"",IF(DZ13=VLOOKUP("SVA",[6]ARBOR!$A:$C,3,0),0.0001,IF(DZ13&gt;VLOOKUP("SVA",[6]ARBOR!$A:$C,3,0),"Maior que CAP!",IF((DOLLAR(DZ13+(VLOOKUP("SVA",[6]ARBOR!$A:$C,3,0)*-TRUNC(DZ13/VLOOKUP("SVA",[6]ARBOR!$A:$C,3,0)-1,4)),6))&lt;&gt;(DOLLAR(VLOOKUP("SVA",[6]ARBOR!$A:$C,3,0),6)),-TRUNC(DZ13/VLOOKUP("SVA",[6]ARBOR!$A:$C,3,0)-1,4)+0.0001,-TRUNC(DZ13/VLOOKUP("SVA",[6]ARBOR!$A:$C,3,0)-1,4)))))</f>
        <v>0.2301</v>
      </c>
      <c r="EB13" s="65" t="s">
        <v>227</v>
      </c>
      <c r="EC13" s="69"/>
      <c r="ED13" s="73"/>
      <c r="EE13" s="74"/>
      <c r="EF13" s="65"/>
      <c r="EG13" s="75">
        <f>IF(BI13="","",VLOOKUP(BI13,[6]ARBOR!A:C,3,0))</f>
        <v>479.46</v>
      </c>
      <c r="EH13" s="69">
        <v>15</v>
      </c>
      <c r="EI13" s="76">
        <f>IF(EH13="","",1-(EH13/VLOOKUP(BI13&amp;"ASS",[6]ARBOR!A:C,3,0)))</f>
        <v>0.34725848563968664</v>
      </c>
      <c r="EJ13" s="77" t="s">
        <v>228</v>
      </c>
      <c r="EK13" s="78" t="s">
        <v>229</v>
      </c>
      <c r="EL13" s="69">
        <v>180.36999999999998</v>
      </c>
      <c r="EM13" s="64">
        <f>ROUND(IF(EL13=0,"",IF(EL13=EG13,0.0001,1-((EL13+(VLOOKUP(BI13&amp;"ASS",[6]ARBOR!A:C,3,0)-EH13))/EG13))),4)</f>
        <v>0.60719999999999996</v>
      </c>
      <c r="EN13" s="65" t="str">
        <f>IF(ISERROR(IF(EM13="","",VLOOKUP(($BH13&amp;EM13&amp;"Template de desconto percentual FLAT Móvel - Conta Total - Varejo - Ganho Tributário Cross"),[6]BENEFICIOS!$A:$E,5,0))),"Criar",IF(EM13="","",VLOOKUP(($BH13&amp;EM13&amp;"Template de desconto percentual FLAT Móvel - Conta Total - Varejo - Ganho Tributário Cross"),[6]BENEFICIOS!$A:$E,5,0)))</f>
        <v>Criar</v>
      </c>
      <c r="EO13" s="79"/>
      <c r="EP13" s="64"/>
      <c r="EQ13" s="72"/>
      <c r="ER13" s="72"/>
      <c r="ES13" s="64"/>
      <c r="ET13" s="80"/>
      <c r="EU13" s="81" t="s">
        <v>248</v>
      </c>
      <c r="EV13" s="81" t="s">
        <v>271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IF(FC13=0,"",IF(FC13=VLOOKUP("PCS-10357",[6]ARBOR!$A:$C,3,0),0.0001,IF(FC13&gt;VLOOKUP("PCS-10357",[6]ARBOR!$A:$C,3,0),"Maior que CAP!",ROUND(-1*(FC13/VLOOKUP("PCS-10357",[6]ARBOR!$A:$C,3,0)-1),4))))</f>
        <v/>
      </c>
      <c r="FE13" s="84" t="str">
        <f>IF(ISERROR(IF(FD13="","",VLOOKUP(("Oi Internet Pra Celular 1GB"&amp;FD13&amp;"Template Flat Instância Dados"),[6]BENEFICIOS!$A:$E,5,0))),"Criar",IF(FD13="","",VLOOKUP(("Oi Internet Pra Celular 1GB"&amp;FD13&amp;"Template Flat Instância Dados"),[6]BENEFICIOS!$A:$E,5,0)))</f>
        <v/>
      </c>
      <c r="FF13" s="82"/>
      <c r="FG13" s="83" t="str">
        <f>IF(FF13=0,"",IF(FF13=VLOOKUP("PCS-813565",[6]ARBOR!$A:$C,3,0),0.0001,IF(FF13&gt;VLOOKUP("PCS-813565",[6]ARBOR!$A:$C,3,0),"Maior que CAP!",ROUND(-1*(FF13/VLOOKUP("PCS-813565",[6]ARBOR!$A:$C,3,0)-1),4))))</f>
        <v/>
      </c>
      <c r="FH13" s="84" t="str">
        <f>IF(ISERROR(IF(FG13="","",VLOOKUP(("Oi Internet Pra Celular 2GB"&amp;FG13&amp;"Template Flat Instância Dados"),[6]BENEFICIOS!$A:$E,5,0))),"Criar",IF(FG13="","",VLOOKUP(("Oi Internet Pra Celular 2GB"&amp;FG13&amp;"Template Flat Instância Dados"),[6]BENEFICIOS!$A:$E,5,0)))</f>
        <v/>
      </c>
      <c r="FI13" s="82"/>
      <c r="FJ13" s="83" t="str">
        <f>IF(FI13=0,"",IF(FI13=VLOOKUP("PCS-7171B",[6]ARBOR!$A:$C,3,0),0.0001,IF(FI13&gt;VLOOKUP("PCS-7171B",[6]ARBOR!$A:$C,3,0),"Maior que CAP!",ROUND(-1*(FI13/VLOOKUP("PCS-7171B",[6]ARBOR!$A:$C,3,0)-1),4))))</f>
        <v/>
      </c>
      <c r="FK13" s="84" t="str">
        <f>IF(ISERROR(IF(FJ13="","",VLOOKUP(("Oi Internet Pra Celular 3GB"&amp;FJ13&amp;"Template Flat Instância Dados"),[6]BENEFICIOS!$A:$E,5,0))),"Criar",IF(FJ13="","",VLOOKUP(("Oi Internet Pra Celular 3GB"&amp;FJ13&amp;"Template Flat Instância Dados"),[6]BENEFICIOS!$A:$E,5,0)))</f>
        <v/>
      </c>
      <c r="FL13" s="82"/>
      <c r="FM13" s="83"/>
      <c r="FN13" s="84"/>
      <c r="FO13" s="82">
        <v>35.53</v>
      </c>
      <c r="FP13" s="83">
        <f>IF(FO13=0,"",IF(FO13=VLOOKUP("PCS-7171A",[6]ARBOR!$A:$C,3,0),0.0001,IF(FO13&gt;VLOOKUP("PCS-7171A",[6]ARBOR!$A:$C,3,0),"Maior que CAP!",ROUND(-1*(FO13/VLOOKUP("PCS-7171A",[6]ARBOR!$A:$C,3,0)-1),4))))</f>
        <v>0.81899999999999995</v>
      </c>
      <c r="FQ13" s="84" t="str">
        <f>IF(ISERROR(IF(FP13="","",VLOOKUP(("Oi Internet Pra Celular 10GB"&amp;FP13&amp;"Template Flat Instância Dados"),[6]BENEFICIOS!$A:$E,5,0))),"Criar",IF(FP13="","",VLOOKUP(("Oi Internet Pra Celular 10GB"&amp;FP13&amp;"Template Flat Instância Dados"),[6]BENEFICIOS!$A:$E,5,0)))</f>
        <v>MKT-1-9869971287</v>
      </c>
      <c r="FR13" s="85">
        <v>0.74260000000000004</v>
      </c>
      <c r="FS13" s="86" t="s">
        <v>266</v>
      </c>
      <c r="FT13" s="48"/>
      <c r="FU13" s="87"/>
      <c r="FV13" s="88" t="s">
        <v>225</v>
      </c>
      <c r="FW13" s="49" t="s">
        <v>230</v>
      </c>
      <c r="FX13" s="89">
        <v>999</v>
      </c>
      <c r="FY13" s="49">
        <v>12</v>
      </c>
      <c r="FZ13" s="90" t="s">
        <v>231</v>
      </c>
      <c r="GA13" s="91" t="str">
        <f t="shared" si="1"/>
        <v>PCS-Fk83324</v>
      </c>
      <c r="GB13" s="92" t="str">
        <f t="shared" si="2"/>
        <v>PCS-SBL553142</v>
      </c>
      <c r="GC13" s="93" t="s">
        <v>232</v>
      </c>
      <c r="GD13" s="90" t="s">
        <v>233</v>
      </c>
      <c r="GE13" s="92" t="s">
        <v>234</v>
      </c>
      <c r="GF13" s="93" t="s">
        <v>235</v>
      </c>
      <c r="GG13" s="90" t="s">
        <v>236</v>
      </c>
      <c r="GH13" s="92" t="s">
        <v>237</v>
      </c>
      <c r="GI13" s="94" t="s">
        <v>238</v>
      </c>
      <c r="GJ13" s="95">
        <f>FO13+EL13+DW13+BJ13</f>
        <v>310.89999999999998</v>
      </c>
      <c r="GK13" s="96"/>
      <c r="GL13" s="97" t="s">
        <v>239</v>
      </c>
      <c r="GM13" s="98" t="s">
        <v>240</v>
      </c>
      <c r="GN13" s="97">
        <f>VLOOKUP($A13,'[6]TABELA COM TUDO'!$A:$AB,25,0)</f>
        <v>20.350000000000001</v>
      </c>
      <c r="GO13" s="99">
        <f>VLOOKUP($A13,'[6]TABELA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272</v>
      </c>
      <c r="GX13" s="44" t="s">
        <v>242</v>
      </c>
    </row>
    <row r="14" spans="1:206" s="44" customFormat="1" x14ac:dyDescent="0.25">
      <c r="A14" s="44" t="str">
        <f t="shared" si="0"/>
        <v>Oi Total Fixo + Pós 800 + Banda LargaN110GBMG</v>
      </c>
      <c r="B14" s="45" t="s">
        <v>215</v>
      </c>
      <c r="C14" s="46" t="s">
        <v>131</v>
      </c>
      <c r="D14" s="46" t="s">
        <v>216</v>
      </c>
      <c r="E14" s="47" t="s">
        <v>217</v>
      </c>
      <c r="F14" s="48" t="s">
        <v>218</v>
      </c>
      <c r="G14" s="49"/>
      <c r="H14" s="49"/>
      <c r="I14" s="49"/>
      <c r="J14" s="49" t="s">
        <v>218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218</v>
      </c>
      <c r="AC14" s="49" t="s">
        <v>218</v>
      </c>
      <c r="AD14" s="49" t="s">
        <v>218</v>
      </c>
      <c r="AE14" s="49" t="s">
        <v>218</v>
      </c>
      <c r="AF14" s="49" t="s">
        <v>218</v>
      </c>
      <c r="AG14" s="49" t="s">
        <v>218</v>
      </c>
      <c r="AH14" s="50"/>
      <c r="AI14" s="49" t="s">
        <v>218</v>
      </c>
      <c r="AJ14" s="49" t="s">
        <v>218</v>
      </c>
      <c r="AK14" s="49" t="s">
        <v>218</v>
      </c>
      <c r="AL14" s="49" t="s">
        <v>218</v>
      </c>
      <c r="AM14" s="49" t="s">
        <v>218</v>
      </c>
      <c r="AN14" s="49" t="s">
        <v>218</v>
      </c>
      <c r="AO14" s="49" t="s">
        <v>218</v>
      </c>
      <c r="AP14" s="49"/>
      <c r="AQ14" s="51"/>
      <c r="AR14" s="52" t="s">
        <v>273</v>
      </c>
      <c r="AS14" s="46" t="s">
        <v>220</v>
      </c>
      <c r="AT14" s="53" t="s">
        <v>221</v>
      </c>
      <c r="AU14" s="54">
        <v>42972</v>
      </c>
      <c r="AV14" s="55">
        <v>43038</v>
      </c>
      <c r="AW14" s="56" t="s">
        <v>222</v>
      </c>
      <c r="AX14" s="57" t="s">
        <v>222</v>
      </c>
      <c r="AY14" s="58"/>
      <c r="AZ14" s="58" t="s">
        <v>223</v>
      </c>
      <c r="BA14" s="58">
        <v>20</v>
      </c>
      <c r="BB14" s="58">
        <v>10000</v>
      </c>
      <c r="BC14" s="59" t="s">
        <v>224</v>
      </c>
      <c r="BD14" s="60" t="s">
        <v>225</v>
      </c>
      <c r="BE14" s="58" t="s">
        <v>217</v>
      </c>
      <c r="BF14" s="51" t="s">
        <v>217</v>
      </c>
      <c r="BG14" s="45" t="s">
        <v>273</v>
      </c>
      <c r="BH14" s="61" t="s">
        <v>226</v>
      </c>
      <c r="BI14" s="62" t="str">
        <f>IF(ISERROR(VLOOKUP(BH14,[6]PLANOS!B:C,2,0)),"",VLOOKUP(BH14,[6]PLANOS!B:C,2,0))</f>
        <v>PCS-4P6pi</v>
      </c>
      <c r="BJ14" s="63">
        <v>50.1</v>
      </c>
      <c r="BK14" s="64">
        <f>IF(BJ14=0,"",IF(BJ14=VLOOKUP("FIXO",[6]ARBOR!$A:$C,3,0),0.0001,IF(BJ14&gt;VLOOKUP("FIXO",[6]ARBOR!$A:$C,3,0),"Maior que CAP!",IF((DOLLAR(BJ14+(VLOOKUP("FIXO",[6]ARBOR!$A:$C,3,0)*-TRUNC(BJ14/VLOOKUP("FIXO",[6]ARBOR!$A:$C,3,0)-1,4)),6))&lt;&gt;(DOLLAR(VLOOKUP("FIXO",[6]ARBOR!$A:$C,3,0),6)),-TRUNC(BJ14/VLOOKUP("FIXO",[6]ARBOR!$A:$C,3,0)-1,4)+0.0001,-TRUNC(BJ14/VLOOKUP("FIXO",[6]ARBOR!$A:$C,3,0)-1,4)))))</f>
        <v>0.33939999999999998</v>
      </c>
      <c r="BL14" s="65" t="str">
        <f>IF(ISERROR(IF(BK14="","",VLOOKUP(($BH14&amp;BK14&amp;"Template de desconto FLAT bundle - Fixo - Varejo - Ganho Tributário Cross"),[6]BENEFICIOS!$A:$E,5,0))),"Criar",IF(BK14="","",VLOOKUP(($BH14&amp;BK14&amp;"Template de desconto FLAT bundle - Fixo - Varejo - Ganho Tributário Cross"),[6]BENEFICIOS!$A:$E,5,0)))</f>
        <v>MKT-1-9856472058</v>
      </c>
      <c r="BM14" s="66"/>
      <c r="BN14" s="67"/>
      <c r="BO14" s="104" t="s">
        <v>244</v>
      </c>
      <c r="BP14" s="69">
        <v>44.9</v>
      </c>
      <c r="BQ14" s="64">
        <f>IF(BP14=0,"",IF(BP14=VLOOKUP("PCS-30874g",[6]ARBOR!$A:$C,3,0),0.0001,IF(BP14&gt;VLOOKUP("PCS-30874g",[6]ARBOR!$A:$C,3,0),"Maior que CAP!",IF((DOLLAR(BP14+(VLOOKUP("PCS-30874g",[6]ARBOR!$A:$C,3,0)*-TRUNC(BP14/VLOOKUP("PCS-30874g",[6]ARBOR!$A:$C,3,0)-1,4)),6))&lt;&gt;(DOLLAR(VLOOKUP("PCS-30874g",[6]ARBOR!$A:$C,3,0),6)),-TRUNC(BP14/VLOOKUP("PCS-30874g",[6]ARBOR!$A:$C,3,0)-1,4)+0.0001,-TRUNC(BP14/VLOOKUP("PCS-30874g",[6]ARBOR!$A:$C,3,0)-1,4)))))</f>
        <v>0.53679999999999994</v>
      </c>
      <c r="BR14" s="65" t="str">
        <f>IF(ISERROR(IF(BQ14="","",VLOOKUP(($BH14&amp;BQ14&amp;"Template de desconto FLAT bundle - Velox XDSL - Varejo"),[6]BENEFICIOS!$A:$E,5,0))),"Criar",IF(BQ14="","",VLOOKUP(($BH14&amp;BQ14&amp;"Template de desconto FLAT bundle - Velox XDSL - Varejo"),[6]BENEFICIOS!$A:$E,5,0)))</f>
        <v>MKT-1-9865126733</v>
      </c>
      <c r="BS14" s="104" t="s">
        <v>244</v>
      </c>
      <c r="BT14" s="69">
        <v>44.9</v>
      </c>
      <c r="BU14" s="64">
        <f>IF(BT14=0,"",IF(BT14=VLOOKUP("PCS-30577g",[6]ARBOR!$A:$C,3,0),0.0001,IF(BT14&gt;VLOOKUP("PCS-30577g",[6]ARBOR!$A:$C,3,0),"Maior que CAP!",IF((DOLLAR(BT14+(VLOOKUP("PCS-30577g",[6]ARBOR!$A:$C,3,0)*-TRUNC(BT14/VLOOKUP("PCS-30577g",[6]ARBOR!$A:$C,3,0)-1,4)),6))&lt;&gt;(DOLLAR(VLOOKUP("PCS-30577g",[6]ARBOR!$A:$C,3,0),6)),-TRUNC(BT14/VLOOKUP("PCS-30577g",[6]ARBOR!$A:$C,3,0)-1,4)+0.0001,-TRUNC(BT14/VLOOKUP("PCS-30577g",[6]ARBOR!$A:$C,3,0)-1,4)))))</f>
        <v>0.53679999999999994</v>
      </c>
      <c r="BV14" s="65" t="str">
        <f>IF(ISERROR(IF(BU14="","",VLOOKUP(($BH14&amp;BU14&amp;"Template de desconto FLAT bundle - Velox XDSL - Varejo"),[6]BENEFICIOS!$A:$E,5,0))),"Criar",IF(BU14="","",VLOOKUP(($BH14&amp;BU14&amp;"Template de desconto FLAT bundle - Velox XDSL - Varejo"),[6]BENEFICIOS!$A:$E,5,0)))</f>
        <v>MKT-1-9865126733</v>
      </c>
      <c r="BW14" s="104" t="s">
        <v>244</v>
      </c>
      <c r="BX14" s="69">
        <v>44.9</v>
      </c>
      <c r="BY14" s="64">
        <f>IF(BX14=0,"",IF(BX14=VLOOKUP("PCS-30604g",[6]ARBOR!$A:$C,3,0),0.0001,IF(BX14&gt;VLOOKUP("PCS-30604g",[6]ARBOR!$A:$C,3,0),"Maior que CAP!",IF((DOLLAR(BX14+(VLOOKUP("PCS-30604g",[6]ARBOR!$A:$C,3,0)*-TRUNC(BX14/VLOOKUP("PCS-30604g",[6]ARBOR!$A:$C,3,0)-1,4)),6))&lt;&gt;(DOLLAR(VLOOKUP("PCS-30604g",[6]ARBOR!$A:$C,3,0),6)),-TRUNC(BX14/VLOOKUP("PCS-30604g",[6]ARBOR!$A:$C,3,0)-1,4)+0.0001,-TRUNC(BX14/VLOOKUP("PCS-30604g",[6]ARBOR!$A:$C,3,0)-1,4)))))</f>
        <v>0.53679999999999994</v>
      </c>
      <c r="BZ14" s="65" t="str">
        <f>IF(ISERROR(IF(BY14="","",VLOOKUP(($BH14&amp;BY14&amp;"Template de desconto FLAT bundle - Velox XDSL - Varejo"),[6]BENEFICIOS!$A:$E,5,0))),"Criar",IF(BY14="","",VLOOKUP(($BH14&amp;BY14&amp;"Template de desconto FLAT bundle - Velox XDSL - Varejo"),[6]BENEFICIOS!$A:$E,5,0)))</f>
        <v>MKT-1-9865126733</v>
      </c>
      <c r="CA14" s="104" t="s">
        <v>244</v>
      </c>
      <c r="CB14" s="69">
        <v>44.9</v>
      </c>
      <c r="CC14" s="64">
        <f>IF(CB14=0,"",IF(CB14=VLOOKUP("PCS-30631g",[6]ARBOR!$A:$C,3,0),0.0001,IF(CB14&gt;VLOOKUP("PCS-30631g",[6]ARBOR!$A:$C,3,0),"Maior que CAP!",IF((DOLLAR(CB14+(VLOOKUP("PCS-30631g",[6]ARBOR!$A:$C,3,0)*-TRUNC(CB14/VLOOKUP("PCS-30631g",[6]ARBOR!$A:$C,3,0)-1,4)),6))&lt;&gt;(DOLLAR(VLOOKUP("PCS-30631g",[6]ARBOR!$A:$C,3,0),6)),-TRUNC(CB14/VLOOKUP("PCS-30631g",[6]ARBOR!$A:$C,3,0)-1,4)+0.0001,-TRUNC(CB14/VLOOKUP("PCS-30631g",[6]ARBOR!$A:$C,3,0)-1,4)))))</f>
        <v>0.54310000000000003</v>
      </c>
      <c r="CD14" s="65" t="str">
        <f>IF(ISERROR(IF(CC14="","",VLOOKUP(($BH14&amp;CC14&amp;"Template de desconto FLAT bundle - Velox XDSL - Varejo"),[6]BENEFICIOS!$A:$E,5,0))),"Criar",IF(CC14="","",VLOOKUP(($BH14&amp;CC14&amp;"Template de desconto FLAT bundle - Velox XDSL - Varejo"),[6]BENEFICIOS!$A:$E,5,0)))</f>
        <v>MKT-1-9865126826</v>
      </c>
      <c r="CE14" s="68" t="s">
        <v>165</v>
      </c>
      <c r="CF14" s="69">
        <v>49.9</v>
      </c>
      <c r="CG14" s="64">
        <f>IF(CF14=0,"",IF(CF14=VLOOKUP("PCS-30658g",[6]ARBOR!$A:$C,3,0),0.0001,IF(CF14&gt;VLOOKUP("PCS-30658g",[6]ARBOR!$A:$C,3,0),"Maior que CAP!",IF((DOLLAR(CF14+(VLOOKUP("PCS-30658g",[6]ARBOR!$A:$C,3,0)*-TRUNC(CF14/VLOOKUP("PCS-30658g",[6]ARBOR!$A:$C,3,0)-1,4)),6))&lt;&gt;(DOLLAR(VLOOKUP("PCS-30658g",[6]ARBOR!$A:$C,3,0),6)),-TRUNC(CF14/VLOOKUP("PCS-30658g",[6]ARBOR!$A:$C,3,0)-1,4)+0.0001,-TRUNC(CF14/VLOOKUP("PCS-30658g",[6]ARBOR!$A:$C,3,0)-1,4)))))</f>
        <v>0.55569999999999997</v>
      </c>
      <c r="CH14" s="65" t="str">
        <f>IF(ISERROR(IF(CG14="","",VLOOKUP(($BH14&amp;CG14&amp;"Template de desconto FLAT bundle - Velox XDSL - Varejo"),[6]BENEFICIOS!$A:$E,5,0))),"Criar",IF(CG14="","",VLOOKUP(($BH14&amp;CG14&amp;"Template de desconto FLAT bundle - Velox XDSL - Varejo"),[6]BENEFICIOS!$A:$E,5,0)))</f>
        <v>MKT-1-9865126919</v>
      </c>
      <c r="CI14" s="68" t="s">
        <v>165</v>
      </c>
      <c r="CJ14" s="69">
        <v>49.9</v>
      </c>
      <c r="CK14" s="64">
        <f>IF(CJ14=0,"",IF(CJ14=VLOOKUP("PCS-30685g",[6]ARBOR!$A:$C,3,0),0.0001,IF(CJ14&gt;VLOOKUP("PCS-30685g",[6]ARBOR!$A:$C,3,0),"Maior que CAP!",IF((DOLLAR(CJ14+(VLOOKUP("PCS-30685g",[6]ARBOR!$A:$C,3,0)*-TRUNC(CJ14/VLOOKUP("PCS-30685g",[6]ARBOR!$A:$C,3,0)-1,4)),6))&lt;&gt;(DOLLAR(VLOOKUP("PCS-30685g",[6]ARBOR!$A:$C,3,0),6)),-TRUNC(CJ14/VLOOKUP("PCS-30685g",[6]ARBOR!$A:$C,3,0)-1,4)+0.0001,-TRUNC(CJ14/VLOOKUP("PCS-30685g",[6]ARBOR!$A:$C,3,0)-1,4)))))</f>
        <v>0.60509999999999997</v>
      </c>
      <c r="CL14" s="65" t="str">
        <f>IF(ISERROR(IF(CK14="","",VLOOKUP(($BH14&amp;CK14&amp;"Template de desconto FLAT bundle - Velox XDSL - Varejo"),[6]BENEFICIOS!$A:$E,5,0))),"Criar",IF(CK14="","",VLOOKUP(($BH14&amp;CK14&amp;"Template de desconto FLAT bundle - Velox XDSL - Varejo"),[6]BENEFICIOS!$A:$E,5,0)))</f>
        <v>MKT-1-9865694381</v>
      </c>
      <c r="CM14" s="68" t="s">
        <v>165</v>
      </c>
      <c r="CN14" s="69">
        <v>49.9</v>
      </c>
      <c r="CO14" s="64">
        <f>IF(CN14=0,"",IF(CN14=VLOOKUP("PCS-30712g",[6]ARBOR!$A:$C,3,0),0.0001,IF(CN14&gt;VLOOKUP("PCS-30712g",[6]ARBOR!$A:$C,3,0),"Maior que CAP!",IF((DOLLAR(CN14+(VLOOKUP("PCS-30712g",[6]ARBOR!$A:$C,3,0)*-TRUNC(CN14/VLOOKUP("PCS-30712g",[6]ARBOR!$A:$C,3,0)-1,4)),6))&lt;&gt;(DOLLAR(VLOOKUP("PCS-30712g",[6]ARBOR!$A:$C,3,0),6)),-TRUNC(CN14/VLOOKUP("PCS-30712g",[6]ARBOR!$A:$C,3,0)-1,4)+0.0001,-TRUNC(CN14/VLOOKUP("PCS-30712g",[6]ARBOR!$A:$C,3,0)-1,4)))))</f>
        <v>0.64459999999999995</v>
      </c>
      <c r="CP14" s="65" t="str">
        <f>IF(ISERROR(IF(CO14="","",VLOOKUP(($BH14&amp;CO14&amp;"Template de desconto FLAT bundle - Velox XDSL - Varejo"),[6]BENEFICIOS!$A:$E,5,0))),"Criar",IF(CO14="","",VLOOKUP(($BH14&amp;CO14&amp;"Template de desconto FLAT bundle - Velox XDSL - Varejo"),[6]BENEFICIOS!$A:$E,5,0)))</f>
        <v>MKT-1-9865191105</v>
      </c>
      <c r="CQ14" s="68" t="s">
        <v>165</v>
      </c>
      <c r="CR14" s="69">
        <v>59.9</v>
      </c>
      <c r="CS14" s="64">
        <f>IF(CR14=0,"",IF(CR14=VLOOKUP("PCS-30739g",[6]ARBOR!$A:$C,3,0),0.0001,IF(CR14&gt;VLOOKUP("PCS-30739g",[6]ARBOR!$A:$C,3,0),"Maior que CAP!",IF((DOLLAR(CR14+(VLOOKUP("PCS-30739g",[6]ARBOR!$A:$C,3,0)*-TRUNC(CR14/VLOOKUP("PCS-30739g",[6]ARBOR!$A:$C,3,0)-1,4)),6))&lt;&gt;(DOLLAR(VLOOKUP("PCS-30739g",[6]ARBOR!$A:$C,3,0),6)),-TRUNC(CR14/VLOOKUP("PCS-30739g",[6]ARBOR!$A:$C,3,0)-1,4)+0.0001,-TRUNC(CR14/VLOOKUP("PCS-30739g",[6]ARBOR!$A:$C,3,0)-1,4)))))</f>
        <v>0.71560000000000001</v>
      </c>
      <c r="CT14" s="65" t="str">
        <f>IF(ISERROR(IF(CS14="","",VLOOKUP(($BH14&amp;CS14&amp;"Template de desconto FLAT bundle - Velox XDSL - Varejo"),[6]BENEFICIOS!$A:$E,5,0))),"Criar",IF(CS14="","",VLOOKUP(($BH14&amp;CS14&amp;"Template de desconto FLAT bundle - Velox XDSL - Varejo"),[6]BENEFICIOS!$A:$E,5,0)))</f>
        <v>MKT-1-9865191198</v>
      </c>
      <c r="CU14" s="69"/>
      <c r="CV14" s="70"/>
      <c r="CW14" s="64"/>
      <c r="CX14" s="65"/>
      <c r="CY14" s="68" t="s">
        <v>165</v>
      </c>
      <c r="CZ14" s="69">
        <v>59.9</v>
      </c>
      <c r="DA14" s="64">
        <f>IF(CZ14=0,"",IF(CZ14=VLOOKUP("PCS-30766g",[6]ARBOR!$A:$C,3,0),0.0001,IF(CZ14&gt;VLOOKUP("PCS-30766g",[6]ARBOR!$A:$C,3,0),"Maior que CAP!",IF((DOLLAR(CZ14+(VLOOKUP("PCS-30766g",[6]ARBOR!$A:$C,3,0)*-TRUNC(CZ14/VLOOKUP("PCS-30766g",[6]ARBOR!$A:$C,3,0)-1,4)),6))&lt;&gt;(DOLLAR(VLOOKUP("PCS-30766g",[6]ARBOR!$A:$C,3,0),6)),-TRUNC(CZ14/VLOOKUP("PCS-30766g",[6]ARBOR!$A:$C,3,0)-1,4)+0.0001,-TRUNC(CZ14/VLOOKUP("PCS-30766g",[6]ARBOR!$A:$C,3,0)-1,4)))))</f>
        <v>0.78669999999999995</v>
      </c>
      <c r="DB14" s="65" t="str">
        <f>IF(ISERROR(IF(DA14="","",VLOOKUP(($BH14&amp;DA14&amp;"Template de desconto FLAT bundle - Velox XDSL - Varejo"),[6]BENEFICIOS!$A:$E,5,0))),"Criar",IF(DA14="","",VLOOKUP(($BH14&amp;DA14&amp;"Template de desconto FLAT bundle - Velox XDSL - Varejo"),[6]BENEFICIOS!$A:$E,5,0)))</f>
        <v>MKT-1-9865191291</v>
      </c>
      <c r="DC14" s="69"/>
      <c r="DD14" s="70"/>
      <c r="DE14" s="64"/>
      <c r="DF14" s="65"/>
      <c r="DG14" s="68" t="s">
        <v>244</v>
      </c>
      <c r="DH14" s="69">
        <v>69.900000000000006</v>
      </c>
      <c r="DI14" s="64">
        <f>IF(DH14=0,"",IF(DH14=VLOOKUP("PCS-30793g",[6]ARBOR!$A:$C,3,0),0.0001,IF(DH14&gt;VLOOKUP("PCS-30793g",[6]ARBOR!$A:$C,3,0),"Maior que CAP!",IF((DOLLAR(DH14+(VLOOKUP("PCS-30793g",[6]ARBOR!$A:$C,3,0)*-TRUNC(DH14/VLOOKUP("PCS-30793g",[6]ARBOR!$A:$C,3,0)-1,4)),6))&lt;&gt;(DOLLAR(VLOOKUP("PCS-30793g",[6]ARBOR!$A:$C,3,0),6)),-TRUNC(DH14/VLOOKUP("PCS-30793g",[6]ARBOR!$A:$C,3,0)-1,4)+0.0001,-TRUNC(DH14/VLOOKUP("PCS-30793g",[6]ARBOR!$A:$C,3,0)-1,4)))))</f>
        <v>0.75109999999999999</v>
      </c>
      <c r="DJ14" s="65" t="str">
        <f>IF(ISERROR(IF(DI14="","",VLOOKUP(($BH14&amp;DI14&amp;"Template de desconto FLAT bundle - Velox XDSL - Varejo"),[6]BENEFICIOS!$A:$E,5,0))),"Criar",IF(DI14="","",VLOOKUP(($BH14&amp;DI14&amp;"Template de desconto FLAT bundle - Velox XDSL - Varejo"),[6]BENEFICIOS!$A:$E,5,0)))</f>
        <v>MKT-1-9865191384</v>
      </c>
      <c r="DK14" s="69"/>
      <c r="DL14" s="70"/>
      <c r="DM14" s="64"/>
      <c r="DN14" s="65"/>
      <c r="DO14" s="68" t="s">
        <v>165</v>
      </c>
      <c r="DP14" s="69">
        <v>69.900000000000006</v>
      </c>
      <c r="DQ14" s="64">
        <f>IF(DP14=0,"",IF(DP14=VLOOKUP("PCS-30820g",[6]ARBOR!$A:$C,3,0),0.0001,IF(DP14&gt;VLOOKUP("PCS-30820g",[6]ARBOR!$A:$C,3,0),"Maior que CAP!",IF((DOLLAR(DP14+(VLOOKUP("PCS-30820g",[6]ARBOR!$A:$C,3,0)*-TRUNC(DP14/VLOOKUP("PCS-30820g",[6]ARBOR!$A:$C,3,0)-1,4)),6))&lt;&gt;(DOLLAR(VLOOKUP("PCS-30820g",[6]ARBOR!$A:$C,3,0),6)),-TRUNC(DP14/VLOOKUP("PCS-30820g",[6]ARBOR!$A:$C,3,0)-1,4)+0.0001,-TRUNC(DP14/VLOOKUP("PCS-30820g",[6]ARBOR!$A:$C,3,0)-1,4)))))</f>
        <v>0.75109999999999999</v>
      </c>
      <c r="DR14" s="65" t="str">
        <f>IF(ISERROR(IF(DQ14="","",VLOOKUP(($BH14&amp;DQ14&amp;"Template de desconto FLAT bundle - Velox XDSL - Varejo"),[6]BENEFICIOS!$A:$E,5,0))),"Criar",IF(DQ14="","",VLOOKUP(($BH14&amp;DQ14&amp;"Template de desconto FLAT bundle - Velox XDSL - Varejo"),[6]BENEFICIOS!$A:$E,5,0)))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IF(DW14=0,"",IF(DW14=VLOOKUP("PCS-21448p2",[6]ARBOR!$A:$C,3,0),0.0001,IF(DW14&gt;VLOOKUP("PCS-21448p2",[6]ARBOR!$A:$C,3,0),"Maior que CAP!",IF((DOLLAR(DW14+(VLOOKUP("PCS-21448p2",[6]ARBOR!$A:$C,3,0)*-TRUNC(DW14/VLOOKUP("PCS-21448p2",[6]ARBOR!$A:$C,3,0)-1,4)),6))&lt;&gt;(DOLLAR(VLOOKUP("PCS-21448p2",[6]ARBOR!$A:$C,3,0),6)),-TRUNC(DW14/VLOOKUP("PCS-21448p2",[6]ARBOR!$A:$C,3,0)-1,4)+0.0001,-TRUNC(DW14/VLOOKUP("PCS-21448p2",[6]ARBOR!$A:$C,3,0)-1,4)))))</f>
        <v/>
      </c>
      <c r="DY14" s="65" t="str">
        <f>IF(ISERROR(IF(DX14="","",VLOOKUP(("Oi Conta Total Plug 10GB Downgrade"&amp;DX14&amp;"Template de desconto percentual BL Móvel - Internet Total - Varejo"),[6]BENEFICIOS!$A:$E,5,0))),"Criar",IF(DX14="","",VLOOKUP(("Oi Conta Total Plug 10GB Downgrade"&amp;DX14&amp;"Template de desconto percentual BL Móvel - Internet Total - Varejo"),[6]BENEFICIOS!$A:$E,5,0)))</f>
        <v/>
      </c>
      <c r="DZ14" s="71">
        <v>19.899999999999999</v>
      </c>
      <c r="EA14" s="72">
        <f>IF(DZ14=0,"",IF(DZ14=VLOOKUP("SVA",[6]ARBOR!$A:$C,3,0),0.0001,IF(DZ14&gt;VLOOKUP("SVA",[6]ARBOR!$A:$C,3,0),"Maior que CAP!",IF((DOLLAR(DZ14+(VLOOKUP("SVA",[6]ARBOR!$A:$C,3,0)*-TRUNC(DZ14/VLOOKUP("SVA",[6]ARBOR!$A:$C,3,0)-1,4)),6))&lt;&gt;(DOLLAR(VLOOKUP("SVA",[6]ARBOR!$A:$C,3,0),6)),-TRUNC(DZ14/VLOOKUP("SVA",[6]ARBOR!$A:$C,3,0)-1,4)+0.0001,-TRUNC(DZ14/VLOOKUP("SVA",[6]ARBOR!$A:$C,3,0)-1,4)))))</f>
        <v>7.1400000000000005E-2</v>
      </c>
      <c r="EB14" s="65" t="s">
        <v>245</v>
      </c>
      <c r="EC14" s="69"/>
      <c r="ED14" s="73"/>
      <c r="EE14" s="74"/>
      <c r="EF14" s="65"/>
      <c r="EG14" s="75">
        <f>IF(BI14="","",VLOOKUP(BI14,[6]ARBOR!A:C,3,0))</f>
        <v>479.46</v>
      </c>
      <c r="EH14" s="69">
        <v>15</v>
      </c>
      <c r="EI14" s="76">
        <f>IF(EH14="","",1-(EH14/VLOOKUP(BI14&amp;"ASS",[6]ARBOR!A:C,3,0)))</f>
        <v>0.34725848563968664</v>
      </c>
      <c r="EJ14" s="77" t="s">
        <v>228</v>
      </c>
      <c r="EK14" s="78" t="s">
        <v>229</v>
      </c>
      <c r="EL14" s="69">
        <v>180.36999999999998</v>
      </c>
      <c r="EM14" s="64">
        <f>ROUND(IF(EL14=0,"",IF(EL14=EG14,0.0001,1-((EL14+(VLOOKUP(BI14&amp;"ASS",[6]ARBOR!A:C,3,0)-EH14))/EG14))),4)</f>
        <v>0.60719999999999996</v>
      </c>
      <c r="EN14" s="65" t="str">
        <f>IF(ISERROR(IF(EM14="","",VLOOKUP(($BH14&amp;EM14&amp;"Template de desconto percentual FLAT Móvel - Conta Total - Varejo - Ganho Tributário Cross"),[6]BENEFICIOS!$A:$E,5,0))),"Criar",IF(EM14="","",VLOOKUP(($BH14&amp;EM14&amp;"Template de desconto percentual FLAT Móvel - Conta Total - Varejo - Ganho Tributário Cross"),[6]BENEFICIOS!$A:$E,5,0)))</f>
        <v>Criar</v>
      </c>
      <c r="EO14" s="79"/>
      <c r="EP14" s="64"/>
      <c r="EQ14" s="72"/>
      <c r="ER14" s="72"/>
      <c r="ES14" s="64"/>
      <c r="ET14" s="80"/>
      <c r="EU14" s="81" t="s">
        <v>248</v>
      </c>
      <c r="EV14" s="81" t="s">
        <v>271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IF(FC14=0,"",IF(FC14=VLOOKUP("PCS-10357",[6]ARBOR!$A:$C,3,0),0.0001,IF(FC14&gt;VLOOKUP("PCS-10357",[6]ARBOR!$A:$C,3,0),"Maior que CAP!",ROUND(-1*(FC14/VLOOKUP("PCS-10357",[6]ARBOR!$A:$C,3,0)-1),4))))</f>
        <v/>
      </c>
      <c r="FE14" s="84" t="str">
        <f>IF(ISERROR(IF(FD14="","",VLOOKUP(("Oi Internet Pra Celular 1GB"&amp;FD14&amp;"Template Flat Instância Dados"),[6]BENEFICIOS!$A:$E,5,0))),"Criar",IF(FD14="","",VLOOKUP(("Oi Internet Pra Celular 1GB"&amp;FD14&amp;"Template Flat Instância Dados"),[6]BENEFICIOS!$A:$E,5,0)))</f>
        <v/>
      </c>
      <c r="FF14" s="82"/>
      <c r="FG14" s="83" t="str">
        <f>IF(FF14=0,"",IF(FF14=VLOOKUP("PCS-813565",[6]ARBOR!$A:$C,3,0),0.0001,IF(FF14&gt;VLOOKUP("PCS-813565",[6]ARBOR!$A:$C,3,0),"Maior que CAP!",ROUND(-1*(FF14/VLOOKUP("PCS-813565",[6]ARBOR!$A:$C,3,0)-1),4))))</f>
        <v/>
      </c>
      <c r="FH14" s="84" t="str">
        <f>IF(ISERROR(IF(FG14="","",VLOOKUP(("Oi Internet Pra Celular 2GB"&amp;FG14&amp;"Template Flat Instância Dados"),[6]BENEFICIOS!$A:$E,5,0))),"Criar",IF(FG14="","",VLOOKUP(("Oi Internet Pra Celular 2GB"&amp;FG14&amp;"Template Flat Instância Dados"),[6]BENEFICIOS!$A:$E,5,0)))</f>
        <v/>
      </c>
      <c r="FI14" s="82"/>
      <c r="FJ14" s="83" t="str">
        <f>IF(FI14=0,"",IF(FI14=VLOOKUP("PCS-7171B",[6]ARBOR!$A:$C,3,0),0.0001,IF(FI14&gt;VLOOKUP("PCS-7171B",[6]ARBOR!$A:$C,3,0),"Maior que CAP!",ROUND(-1*(FI14/VLOOKUP("PCS-7171B",[6]ARBOR!$A:$C,3,0)-1),4))))</f>
        <v/>
      </c>
      <c r="FK14" s="84" t="str">
        <f>IF(ISERROR(IF(FJ14="","",VLOOKUP(("Oi Internet Pra Celular 3GB"&amp;FJ14&amp;"Template Flat Instância Dados"),[6]BENEFICIOS!$A:$E,5,0))),"Criar",IF(FJ14="","",VLOOKUP(("Oi Internet Pra Celular 3GB"&amp;FJ14&amp;"Template Flat Instância Dados"),[6]BENEFICIOS!$A:$E,5,0)))</f>
        <v/>
      </c>
      <c r="FL14" s="82"/>
      <c r="FM14" s="83"/>
      <c r="FN14" s="84"/>
      <c r="FO14" s="82">
        <v>35.53</v>
      </c>
      <c r="FP14" s="83">
        <f>IF(FO14=0,"",IF(FO14=VLOOKUP("PCS-7171A",[6]ARBOR!$A:$C,3,0),0.0001,IF(FO14&gt;VLOOKUP("PCS-7171A",[6]ARBOR!$A:$C,3,0),"Maior que CAP!",ROUND(-1*(FO14/VLOOKUP("PCS-7171A",[6]ARBOR!$A:$C,3,0)-1),4))))</f>
        <v>0.81899999999999995</v>
      </c>
      <c r="FQ14" s="84" t="str">
        <f>IF(ISERROR(IF(FP14="","",VLOOKUP(("Oi Internet Pra Celular 10GB"&amp;FP14&amp;"Template Flat Instância Dados"),[6]BENEFICIOS!$A:$E,5,0))),"Criar",IF(FP14="","",VLOOKUP(("Oi Internet Pra Celular 10GB"&amp;FP14&amp;"Template Flat Instância Dados"),[6]BENEFICIOS!$A:$E,5,0)))</f>
        <v>MKT-1-9869971287</v>
      </c>
      <c r="FR14" s="85">
        <v>0.74260000000000004</v>
      </c>
      <c r="FS14" s="86" t="s">
        <v>266</v>
      </c>
      <c r="FT14" s="48"/>
      <c r="FU14" s="87"/>
      <c r="FV14" s="88" t="s">
        <v>225</v>
      </c>
      <c r="FW14" s="49" t="s">
        <v>230</v>
      </c>
      <c r="FX14" s="89">
        <v>999</v>
      </c>
      <c r="FY14" s="49">
        <v>12</v>
      </c>
      <c r="FZ14" s="90" t="s">
        <v>231</v>
      </c>
      <c r="GA14" s="91" t="str">
        <f t="shared" si="1"/>
        <v>PCS-Fk83324</v>
      </c>
      <c r="GB14" s="92" t="str">
        <f t="shared" si="2"/>
        <v>PCS-SBL553142</v>
      </c>
      <c r="GC14" s="93" t="s">
        <v>232</v>
      </c>
      <c r="GD14" s="90" t="s">
        <v>233</v>
      </c>
      <c r="GE14" s="92" t="s">
        <v>234</v>
      </c>
      <c r="GF14" s="93" t="s">
        <v>235</v>
      </c>
      <c r="GG14" s="90" t="s">
        <v>236</v>
      </c>
      <c r="GH14" s="92" t="s">
        <v>237</v>
      </c>
      <c r="GI14" s="94" t="s">
        <v>238</v>
      </c>
      <c r="GJ14" s="95">
        <f>FO14+EL14+CN14+BJ14</f>
        <v>315.89999999999998</v>
      </c>
      <c r="GK14" s="96"/>
      <c r="GL14" s="97" t="s">
        <v>239</v>
      </c>
      <c r="GM14" s="98" t="s">
        <v>240</v>
      </c>
      <c r="GN14" s="97">
        <f>VLOOKUP($A14,'[6]TABELA COM TUDO'!$A:$AB,25,0)</f>
        <v>20.350000000000001</v>
      </c>
      <c r="GO14" s="99">
        <f>VLOOKUP($A14,'[6]TABELA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274</v>
      </c>
      <c r="GX14" s="44" t="s">
        <v>242</v>
      </c>
    </row>
    <row r="15" spans="1:206" s="44" customFormat="1" x14ac:dyDescent="0.25">
      <c r="A15" s="44" t="str">
        <f t="shared" si="0"/>
        <v>Oi Total Fixo + Pós 800 + Banda LargaN2MG</v>
      </c>
      <c r="B15" s="45" t="s">
        <v>215</v>
      </c>
      <c r="C15" s="46" t="s">
        <v>131</v>
      </c>
      <c r="D15" s="46" t="s">
        <v>216</v>
      </c>
      <c r="E15" s="47" t="s">
        <v>217</v>
      </c>
      <c r="F15" s="88" t="s">
        <v>218</v>
      </c>
      <c r="G15" s="49"/>
      <c r="H15" s="49"/>
      <c r="I15" s="49"/>
      <c r="J15" s="49" t="s">
        <v>218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218</v>
      </c>
      <c r="AC15" s="49" t="s">
        <v>218</v>
      </c>
      <c r="AD15" s="49" t="s">
        <v>218</v>
      </c>
      <c r="AE15" s="49" t="s">
        <v>218</v>
      </c>
      <c r="AF15" s="49" t="s">
        <v>218</v>
      </c>
      <c r="AG15" s="49" t="s">
        <v>218</v>
      </c>
      <c r="AH15" s="50"/>
      <c r="AI15" s="49" t="s">
        <v>218</v>
      </c>
      <c r="AJ15" s="49" t="s">
        <v>218</v>
      </c>
      <c r="AK15" s="49" t="s">
        <v>218</v>
      </c>
      <c r="AL15" s="49" t="s">
        <v>218</v>
      </c>
      <c r="AM15" s="49" t="s">
        <v>218</v>
      </c>
      <c r="AN15" s="49" t="s">
        <v>218</v>
      </c>
      <c r="AO15" s="49" t="s">
        <v>218</v>
      </c>
      <c r="AP15" s="49"/>
      <c r="AQ15" s="51"/>
      <c r="AR15" s="52" t="s">
        <v>275</v>
      </c>
      <c r="AS15" s="46" t="s">
        <v>220</v>
      </c>
      <c r="AT15" s="53" t="s">
        <v>221</v>
      </c>
      <c r="AU15" s="54">
        <v>42972</v>
      </c>
      <c r="AV15" s="105">
        <v>43097</v>
      </c>
      <c r="AW15" s="56" t="s">
        <v>222</v>
      </c>
      <c r="AX15" s="57" t="s">
        <v>222</v>
      </c>
      <c r="AY15" s="58"/>
      <c r="AZ15" s="58" t="s">
        <v>223</v>
      </c>
      <c r="BA15" s="58">
        <v>20</v>
      </c>
      <c r="BB15" s="58">
        <v>10000</v>
      </c>
      <c r="BC15" s="59" t="s">
        <v>224</v>
      </c>
      <c r="BD15" s="60" t="s">
        <v>225</v>
      </c>
      <c r="BE15" s="58" t="s">
        <v>217</v>
      </c>
      <c r="BF15" s="51" t="s">
        <v>217</v>
      </c>
      <c r="BG15" s="45" t="s">
        <v>275</v>
      </c>
      <c r="BH15" s="61" t="s">
        <v>226</v>
      </c>
      <c r="BI15" s="62" t="str">
        <f>IF(ISERROR(VLOOKUP(BH15,[7]PLANOS!B:C,2,0)),"",VLOOKUP(BH15,[7]PLANOS!B:C,2,0))</f>
        <v>PCS-4P6pi</v>
      </c>
      <c r="BJ15" s="63">
        <v>50.1</v>
      </c>
      <c r="BK15" s="64">
        <f>IF(BJ15=0,"",IF(BJ15=VLOOKUP("FIXO",[7]ARBOR!$A:$C,3,0),0.0001,IF(BJ15&gt;VLOOKUP("FIXO",[7]ARBOR!$A:$C,3,0),"Maior que CAP!",IF((DOLLAR(BJ15+(VLOOKUP("FIXO",[7]ARBOR!$A:$C,3,0)*-TRUNC(BJ15/VLOOKUP("FIXO",[7]ARBOR!$A:$C,3,0)-1,4)),6))&lt;&gt;(DOLLAR(VLOOKUP("FIXO",[7]ARBOR!$A:$C,3,0),6)),-TRUNC(BJ15/VLOOKUP("FIXO",[7]ARBOR!$A:$C,3,0)-1,4)+0.0001,-TRUNC(BJ15/VLOOKUP("FIXO",[7]ARBOR!$A:$C,3,0)-1,4)))))</f>
        <v>0.33939999999999998</v>
      </c>
      <c r="BL15" s="65" t="str">
        <f>IF(ISERROR(IF(BK15="","",VLOOKUP(($BH15&amp;BK15&amp;"Template de desconto FLAT bundle - Fixo - Varejo - Ganho Tributário Cross"),[7]BENEFICIOS!$A:$E,5,0))),"Criar",IF(BK15="","",VLOOKUP(($BH15&amp;BK15&amp;"Template de desconto FLAT bundle - Fixo - Varejo - Ganho Tributário Cross"),[7]BENEFICIOS!$A:$E,5,0)))</f>
        <v>MKT-1-9856472058</v>
      </c>
      <c r="BM15" s="66"/>
      <c r="BN15" s="67"/>
      <c r="BO15" s="68" t="s">
        <v>165</v>
      </c>
      <c r="BP15" s="69">
        <v>44.9</v>
      </c>
      <c r="BQ15" s="64">
        <f>IF(BP15=0,"",IF(BP15=VLOOKUP("PCS-30874g",[7]ARBOR!$A:$C,3,0),0.0001,IF(BP15&gt;VLOOKUP("PCS-30874g",[7]ARBOR!$A:$C,3,0),"Maior que CAP!",IF((DOLLAR(BP15+(VLOOKUP("PCS-30874g",[7]ARBOR!$A:$C,3,0)*-TRUNC(BP15/VLOOKUP("PCS-30874g",[7]ARBOR!$A:$C,3,0)-1,4)),6))&lt;&gt;(DOLLAR(VLOOKUP("PCS-30874g",[7]ARBOR!$A:$C,3,0),6)),-TRUNC(BP15/VLOOKUP("PCS-30874g",[7]ARBOR!$A:$C,3,0)-1,4)+0.0001,-TRUNC(BP15/VLOOKUP("PCS-30874g",[7]ARBOR!$A:$C,3,0)-1,4)))))</f>
        <v>0.53679999999999994</v>
      </c>
      <c r="BR15" s="65" t="str">
        <f>IF(ISERROR(IF(BQ15="","",VLOOKUP(($BH15&amp;BQ15&amp;"Template de desconto FLAT bundle - Velox XDSL - Varejo"),[7]BENEFICIOS!$A:$E,5,0))),"Criar",IF(BQ15="","",VLOOKUP(($BH15&amp;BQ15&amp;"Template de desconto FLAT bundle - Velox XDSL - Varejo"),[7]BENEFICIOS!$A:$E,5,0)))</f>
        <v>MKT-1-9865126733</v>
      </c>
      <c r="BS15" s="68" t="s">
        <v>165</v>
      </c>
      <c r="BT15" s="69">
        <v>44.9</v>
      </c>
      <c r="BU15" s="64">
        <f>IF(BT15=0,"",IF(BT15=VLOOKUP("PCS-30577g",[7]ARBOR!$A:$C,3,0),0.0001,IF(BT15&gt;VLOOKUP("PCS-30577g",[7]ARBOR!$A:$C,3,0),"Maior que CAP!",IF((DOLLAR(BT15+(VLOOKUP("PCS-30577g",[7]ARBOR!$A:$C,3,0)*-TRUNC(BT15/VLOOKUP("PCS-30577g",[7]ARBOR!$A:$C,3,0)-1,4)),6))&lt;&gt;(DOLLAR(VLOOKUP("PCS-30577g",[7]ARBOR!$A:$C,3,0),6)),-TRUNC(BT15/VLOOKUP("PCS-30577g",[7]ARBOR!$A:$C,3,0)-1,4)+0.0001,-TRUNC(BT15/VLOOKUP("PCS-30577g",[7]ARBOR!$A:$C,3,0)-1,4)))))</f>
        <v>0.53679999999999994</v>
      </c>
      <c r="BV15" s="65" t="str">
        <f>IF(ISERROR(IF(BU15="","",VLOOKUP(($BH15&amp;BU15&amp;"Template de desconto FLAT bundle - Velox XDSL - Varejo"),[7]BENEFICIOS!$A:$E,5,0))),"Criar",IF(BU15="","",VLOOKUP(($BH15&amp;BU15&amp;"Template de desconto FLAT bundle - Velox XDSL - Varejo"),[7]BENEFICIOS!$A:$E,5,0)))</f>
        <v>MKT-1-9865126733</v>
      </c>
      <c r="BW15" s="68" t="s">
        <v>165</v>
      </c>
      <c r="BX15" s="69">
        <v>44.9</v>
      </c>
      <c r="BY15" s="64">
        <f>IF(BX15=0,"",IF(BX15=VLOOKUP("PCS-30604g",[7]ARBOR!$A:$C,3,0),0.0001,IF(BX15&gt;VLOOKUP("PCS-30604g",[7]ARBOR!$A:$C,3,0),"Maior que CAP!",IF((DOLLAR(BX15+(VLOOKUP("PCS-30604g",[7]ARBOR!$A:$C,3,0)*-TRUNC(BX15/VLOOKUP("PCS-30604g",[7]ARBOR!$A:$C,3,0)-1,4)),6))&lt;&gt;(DOLLAR(VLOOKUP("PCS-30604g",[7]ARBOR!$A:$C,3,0),6)),-TRUNC(BX15/VLOOKUP("PCS-30604g",[7]ARBOR!$A:$C,3,0)-1,4)+0.0001,-TRUNC(BX15/VLOOKUP("PCS-30604g",[7]ARBOR!$A:$C,3,0)-1,4)))))</f>
        <v>0.53679999999999994</v>
      </c>
      <c r="BZ15" s="65" t="str">
        <f>IF(ISERROR(IF(BY15="","",VLOOKUP(($BH15&amp;BY15&amp;"Template de desconto FLAT bundle - Velox XDSL - Varejo"),[7]BENEFICIOS!$A:$E,5,0))),"Criar",IF(BY15="","",VLOOKUP(($BH15&amp;BY15&amp;"Template de desconto FLAT bundle - Velox XDSL - Varejo"),[7]BENEFICIOS!$A:$E,5,0)))</f>
        <v>MKT-1-9865126733</v>
      </c>
      <c r="CA15" s="68" t="s">
        <v>165</v>
      </c>
      <c r="CB15" s="69">
        <v>44.9</v>
      </c>
      <c r="CC15" s="64">
        <f>IF(CB15=0,"",IF(CB15=VLOOKUP("PCS-30631g",[7]ARBOR!$A:$C,3,0),0.0001,IF(CB15&gt;VLOOKUP("PCS-30631g",[7]ARBOR!$A:$C,3,0),"Maior que CAP!",IF((DOLLAR(CB15+(VLOOKUP("PCS-30631g",[7]ARBOR!$A:$C,3,0)*-TRUNC(CB15/VLOOKUP("PCS-30631g",[7]ARBOR!$A:$C,3,0)-1,4)),6))&lt;&gt;(DOLLAR(VLOOKUP("PCS-30631g",[7]ARBOR!$A:$C,3,0),6)),-TRUNC(CB15/VLOOKUP("PCS-30631g",[7]ARBOR!$A:$C,3,0)-1,4)+0.0001,-TRUNC(CB15/VLOOKUP("PCS-30631g",[7]ARBOR!$A:$C,3,0)-1,4)))))</f>
        <v>0.54310000000000003</v>
      </c>
      <c r="CD15" s="65" t="str">
        <f>IF(ISERROR(IF(CC15="","",VLOOKUP(($BH15&amp;CC15&amp;"Template de desconto FLAT bundle - Velox XDSL - Varejo"),[7]BENEFICIOS!$A:$E,5,0))),"Criar",IF(CC15="","",VLOOKUP(($BH15&amp;CC15&amp;"Template de desconto FLAT bundle - Velox XDSL - Varejo"),[7]BENEFICIOS!$A:$E,5,0)))</f>
        <v>MKT-1-9865126826</v>
      </c>
      <c r="CE15" s="68"/>
      <c r="CF15" s="69"/>
      <c r="CG15" s="64" t="str">
        <f>IF(CF15=0,"",IF(CF15=VLOOKUP("PCS-30658g",[7]ARBOR!$A:$C,3,0),0.0001,IF(CF15&gt;VLOOKUP("PCS-30658g",[7]ARBOR!$A:$C,3,0),"Maior que CAP!",IF((DOLLAR(CF15+(VLOOKUP("PCS-30658g",[7]ARBOR!$A:$C,3,0)*-TRUNC(CF15/VLOOKUP("PCS-30658g",[7]ARBOR!$A:$C,3,0)-1,4)),6))&lt;&gt;(DOLLAR(VLOOKUP("PCS-30658g",[7]ARBOR!$A:$C,3,0),6)),-TRUNC(CF15/VLOOKUP("PCS-30658g",[7]ARBOR!$A:$C,3,0)-1,4)+0.0001,-TRUNC(CF15/VLOOKUP("PCS-30658g",[7]ARBOR!$A:$C,3,0)-1,4)))))</f>
        <v/>
      </c>
      <c r="CH15" s="65" t="str">
        <f>IF(ISERROR(IF(CG15="","",VLOOKUP(($BH15&amp;CG15&amp;"Template de desconto FLAT bundle - Velox XDSL - Varejo"),[7]BENEFICIOS!$A:$E,5,0))),"Criar",IF(CG15="","",VLOOKUP(($BH15&amp;CG15&amp;"Template de desconto FLAT bundle - Velox XDSL - Varejo"),[7]BENEFICIOS!$A:$E,5,0)))</f>
        <v/>
      </c>
      <c r="CI15" s="68"/>
      <c r="CJ15" s="69"/>
      <c r="CK15" s="64" t="str">
        <f>IF(CJ15=0,"",IF(CJ15=VLOOKUP("PCS-30685g",[7]ARBOR!$A:$C,3,0),0.0001,IF(CJ15&gt;VLOOKUP("PCS-30685g",[7]ARBOR!$A:$C,3,0),"Maior que CAP!",IF((DOLLAR(CJ15+(VLOOKUP("PCS-30685g",[7]ARBOR!$A:$C,3,0)*-TRUNC(CJ15/VLOOKUP("PCS-30685g",[7]ARBOR!$A:$C,3,0)-1,4)),6))&lt;&gt;(DOLLAR(VLOOKUP("PCS-30685g",[7]ARBOR!$A:$C,3,0),6)),-TRUNC(CJ15/VLOOKUP("PCS-30685g",[7]ARBOR!$A:$C,3,0)-1,4)+0.0001,-TRUNC(CJ15/VLOOKUP("PCS-30685g",[7]ARBOR!$A:$C,3,0)-1,4)))))</f>
        <v/>
      </c>
      <c r="CL15" s="65" t="str">
        <f>IF(ISERROR(IF(CK15="","",VLOOKUP(($BH15&amp;CK15&amp;"Template de desconto FLAT bundle - Velox XDSL - Varejo"),[7]BENEFICIOS!$A:$E,5,0))),"Criar",IF(CK15="","",VLOOKUP(($BH15&amp;CK15&amp;"Template de desconto FLAT bundle - Velox XDSL - Varejo"),[7]BENEFICIOS!$A:$E,5,0)))</f>
        <v/>
      </c>
      <c r="CM15" s="68"/>
      <c r="CN15" s="69"/>
      <c r="CO15" s="64" t="str">
        <f>IF(CN15=0,"",IF(CN15=VLOOKUP("PCS-30712g",[7]ARBOR!$A:$C,3,0),0.0001,IF(CN15&gt;VLOOKUP("PCS-30712g",[7]ARBOR!$A:$C,3,0),"Maior que CAP!",IF((DOLLAR(CN15+(VLOOKUP("PCS-30712g",[7]ARBOR!$A:$C,3,0)*-TRUNC(CN15/VLOOKUP("PCS-30712g",[7]ARBOR!$A:$C,3,0)-1,4)),6))&lt;&gt;(DOLLAR(VLOOKUP("PCS-30712g",[7]ARBOR!$A:$C,3,0),6)),-TRUNC(CN15/VLOOKUP("PCS-30712g",[7]ARBOR!$A:$C,3,0)-1,4)+0.0001,-TRUNC(CN15/VLOOKUP("PCS-30712g",[7]ARBOR!$A:$C,3,0)-1,4)))))</f>
        <v/>
      </c>
      <c r="CP15" s="65" t="str">
        <f>IF(ISERROR(IF(CO15="","",VLOOKUP(($BH15&amp;CO15&amp;"Template de desconto FLAT bundle - Velox XDSL - Varejo"),[7]BENEFICIOS!$A:$E,5,0))),"Criar",IF(CO15="","",VLOOKUP(($BH15&amp;CO15&amp;"Template de desconto FLAT bundle - Velox XDSL - Varejo"),[7]BENEFICIOS!$A:$E,5,0)))</f>
        <v/>
      </c>
      <c r="CQ15" s="68"/>
      <c r="CR15" s="69"/>
      <c r="CS15" s="64" t="str">
        <f>IF(CR15=0,"",IF(CR15=VLOOKUP("PCS-30739g",[7]ARBOR!$A:$C,3,0),0.0001,IF(CR15&gt;VLOOKUP("PCS-30739g",[7]ARBOR!$A:$C,3,0),"Maior que CAP!",IF((DOLLAR(CR15+(VLOOKUP("PCS-30739g",[7]ARBOR!$A:$C,3,0)*-TRUNC(CR15/VLOOKUP("PCS-30739g",[7]ARBOR!$A:$C,3,0)-1,4)),6))&lt;&gt;(DOLLAR(VLOOKUP("PCS-30739g",[7]ARBOR!$A:$C,3,0),6)),-TRUNC(CR15/VLOOKUP("PCS-30739g",[7]ARBOR!$A:$C,3,0)-1,4)+0.0001,-TRUNC(CR15/VLOOKUP("PCS-30739g",[7]ARBOR!$A:$C,3,0)-1,4)))))</f>
        <v/>
      </c>
      <c r="CT15" s="65" t="str">
        <f>IF(ISERROR(IF(CS15="","",VLOOKUP(($BH15&amp;CS15&amp;"Template de desconto FLAT bundle - Velox XDSL - Varejo"),[7]BENEFICIOS!$A:$E,5,0))),"Criar",IF(CS15="","",VLOOKUP(($BH15&amp;CS15&amp;"Template de desconto FLAT bundle - Velox XDSL - Varejo"),[7]BENEFICIOS!$A:$E,5,0)))</f>
        <v/>
      </c>
      <c r="CU15" s="69"/>
      <c r="CV15" s="70"/>
      <c r="CW15" s="64" t="str">
        <f>IF(CU15=0,"",IF(CU15=VLOOKUP("PCS-30739g",[7]ARBOR!$A:$C,3,0),0.0001,IF(CU15&gt;VLOOKUP("PCS-30739g",[7]ARBOR!$A:$C,3,0),"Maior que CAP!",IF((DOLLAR(CU15+(VLOOKUP("PCS-30739g",[7]ARBOR!$A:$C,3,0)*-TRUNC(CU15/VLOOKUP("PCS-30739g",[7]ARBOR!$A:$C,3,0)-1,4)),6))&lt;&gt;(DOLLAR(VLOOKUP("PCS-30739g",[7]ARBOR!$A:$C,3,0),6)),(-TRUNC(CU15/VLOOKUP("PCS-30739g",[7]ARBOR!$A:$C,3,0)-1,4)+0.0001)-CS15,-TRUNC(CU15/VLOOKUP("PCS-30739g",[7]ARBOR!$A:$C,3,0)-1,4)-CS15))))</f>
        <v/>
      </c>
      <c r="CX15" s="65" t="str">
        <f>IF(ISERROR(IF(CW15="","",VLOOKUP(($BQ15&amp;CW15&amp;"Template de desconto percentual Bundle - Velox XDSL - Varejo"),[7]BENEFICIOS!$A:$E,5,0))),"Criar",IF(CW15="","",VLOOKUP(($BQ15&amp;CW15&amp;"Template de desconto percentual Bundle - Velox XDSL - Varejo"),[7]BENEFICIOS!$A:$E,5,0)))</f>
        <v/>
      </c>
      <c r="CY15" s="68"/>
      <c r="CZ15" s="69"/>
      <c r="DA15" s="64" t="str">
        <f>IF(CZ15=0,"",IF(CZ15=VLOOKUP("PCS-30766g",[7]ARBOR!$A:$C,3,0),0.0001,IF(CZ15&gt;VLOOKUP("PCS-30766g",[7]ARBOR!$A:$C,3,0),"Maior que CAP!",IF((DOLLAR(CZ15+(VLOOKUP("PCS-30766g",[7]ARBOR!$A:$C,3,0)*-TRUNC(CZ15/VLOOKUP("PCS-30766g",[7]ARBOR!$A:$C,3,0)-1,4)),6))&lt;&gt;(DOLLAR(VLOOKUP("PCS-30766g",[7]ARBOR!$A:$C,3,0),6)),-TRUNC(CZ15/VLOOKUP("PCS-30766g",[7]ARBOR!$A:$C,3,0)-1,4)+0.0001,-TRUNC(CZ15/VLOOKUP("PCS-30766g",[7]ARBOR!$A:$C,3,0)-1,4)))))</f>
        <v/>
      </c>
      <c r="DB15" s="65" t="str">
        <f>IF(ISERROR(IF(DA15="","",VLOOKUP(($BH15&amp;DA15&amp;"Template de desconto FLAT bundle - Velox XDSL - Varejo"),[7]BENEFICIOS!$A:$E,5,0))),"Criar",IF(DA15="","",VLOOKUP(($BH15&amp;DA15&amp;"Template de desconto FLAT bundle - Velox XDSL - Varejo"),[7]BENEFICIOS!$A:$E,5,0)))</f>
        <v/>
      </c>
      <c r="DC15" s="69"/>
      <c r="DD15" s="70"/>
      <c r="DE15" s="64" t="str">
        <f>IF(DC15=0,"",IF(DC15=VLOOKUP("PCS-30766g",[7]ARBOR!$A:$C,3,0),0.0001,IF(DC15&gt;VLOOKUP("PCS-30766g",[7]ARBOR!$A:$C,3,0),"Maior que CAP!",IF((DOLLAR(DC15+(VLOOKUP("PCS-30766g",[7]ARBOR!$A:$C,3,0)*-TRUNC(DC15/VLOOKUP("PCS-30766g",[7]ARBOR!$A:$C,3,0)-1,4)),6))&lt;&gt;(DOLLAR(VLOOKUP("PCS-30766g",[7]ARBOR!$A:$C,3,0),6)),(-TRUNC(DC15/VLOOKUP("PCS-30766g",[7]ARBOR!$A:$C,3,0)-1,4)+0.0001)-DA15,-TRUNC(DC15/VLOOKUP("PCS-30766g",[7]ARBOR!$A:$C,3,0)-1,4)-DA15))))</f>
        <v/>
      </c>
      <c r="DF15" s="65" t="str">
        <f>IF(ISERROR(IF(DE15="","",VLOOKUP(($BQ15&amp;DE15&amp;"Template de desconto percentual Bundle - Velox XDSL - Varejo"),[7]BENEFICIOS!$A:$E,5,0))),"Criar",IF(DE15="","",VLOOKUP(($BQ15&amp;DE15&amp;"Template de desconto percentual Bundle - Velox XDSL - Varejo"),[7]BENEFICIOS!$A:$E,5,0)))</f>
        <v/>
      </c>
      <c r="DG15" s="68"/>
      <c r="DH15" s="69"/>
      <c r="DI15" s="64" t="str">
        <f>IF(DH15=0,"",IF(DH15=VLOOKUP("PCS-30793g",[7]ARBOR!$A:$C,3,0),0.0001,IF(DH15&gt;VLOOKUP("PCS-30793g",[7]ARBOR!$A:$C,3,0),"Maior que CAP!",IF((DOLLAR(DH15+(VLOOKUP("PCS-30793g",[7]ARBOR!$A:$C,3,0)*-TRUNC(DH15/VLOOKUP("PCS-30793g",[7]ARBOR!$A:$C,3,0)-1,4)),6))&lt;&gt;(DOLLAR(VLOOKUP("PCS-30793g",[7]ARBOR!$A:$C,3,0),6)),-TRUNC(DH15/VLOOKUP("PCS-30793g",[7]ARBOR!$A:$C,3,0)-1,4)+0.0001,-TRUNC(DH15/VLOOKUP("PCS-30793g",[7]ARBOR!$A:$C,3,0)-1,4)))))</f>
        <v/>
      </c>
      <c r="DJ15" s="65" t="str">
        <f>IF(ISERROR(IF(DI15="","",VLOOKUP(($BH15&amp;DI15&amp;"Template de desconto FLAT bundle - Velox XDSL - Varejo"),[7]BENEFICIOS!$A:$E,5,0))),"Criar",IF(DI15="","",VLOOKUP(($BH15&amp;DI15&amp;"Template de desconto FLAT bundle - Velox XDSL - Varejo"),[7]BENEFICIOS!$A:$E,5,0)))</f>
        <v/>
      </c>
      <c r="DK15" s="69"/>
      <c r="DL15" s="70"/>
      <c r="DM15" s="64" t="str">
        <f>IF(DK15=0,"",IF(DK15=VLOOKUP("PCS-30793g",[7]ARBOR!$A:$C,3,0),0.0001,IF(DK15&gt;VLOOKUP("PCS-30793g",[7]ARBOR!$A:$C,3,0),"Maior que CAP!",IF((DOLLAR(DK15+(VLOOKUP("PCS-30793g",[7]ARBOR!$A:$C,3,0)*-TRUNC(DK15/VLOOKUP("PCS-30793g",[7]ARBOR!$A:$C,3,0)-1,4)),6))&lt;&gt;(DOLLAR(VLOOKUP("PCS-30793g",[7]ARBOR!$A:$C,3,0),6)),(-TRUNC(DK15/VLOOKUP("PCS-30793g",[7]ARBOR!$A:$C,3,0)-1,4)+0.0001)-DI15,-TRUNC(DK15/VLOOKUP("PCS-30793g",[7]ARBOR!$A:$C,3,0)-1,4)-DI15))))</f>
        <v/>
      </c>
      <c r="DN15" s="65" t="str">
        <f>IF(ISERROR(IF(DM15="","",VLOOKUP(($BQ15&amp;DM15&amp;"Template de desconto percentual Bundle - Velox XDSL - Varejo"),[7]BENEFICIOS!$A:$E,5,0))),"Criar",IF(DM15="","",VLOOKUP(($BQ15&amp;DM15&amp;"Template de desconto percentual Bundle - Velox XDSL - Varejo"),[7]BENEFICIOS!$A:$E,5,0)))</f>
        <v/>
      </c>
      <c r="DO15" s="68"/>
      <c r="DP15" s="69"/>
      <c r="DQ15" s="64" t="str">
        <f>IF(DP15=0,"",IF(DP15=VLOOKUP("PCS-30820g",[7]ARBOR!$A:$C,3,0),0.0001,IF(DP15&gt;VLOOKUP("PCS-30820g",[7]ARBOR!$A:$C,3,0),"Maior que CAP!",IF((DOLLAR(DP15+(VLOOKUP("PCS-30820g",[7]ARBOR!$A:$C,3,0)*-TRUNC(DP15/VLOOKUP("PCS-30820g",[7]ARBOR!$A:$C,3,0)-1,4)),6))&lt;&gt;(DOLLAR(VLOOKUP("PCS-30820g",[7]ARBOR!$A:$C,3,0),6)),-TRUNC(DP15/VLOOKUP("PCS-30820g",[7]ARBOR!$A:$C,3,0)-1,4)+0.0001,-TRUNC(DP15/VLOOKUP("PCS-30820g",[7]ARBOR!$A:$C,3,0)-1,4)))))</f>
        <v/>
      </c>
      <c r="DR15" s="65" t="str">
        <f>IF(ISERROR(IF(DQ15="","",VLOOKUP(($BH15&amp;DQ15&amp;"Template de desconto FLAT bundle - Velox XDSL - Varejo"),[7]BENEFICIOS!$A:$E,5,0))),"Criar",IF(DQ15="","",VLOOKUP(($BH15&amp;DQ15&amp;"Template de desconto FLAT bundle - Velox XDSL - Varejo"),[7]BENEFICIOS!$A:$E,5,0)))</f>
        <v/>
      </c>
      <c r="DS15" s="69"/>
      <c r="DT15" s="70"/>
      <c r="DU15" s="64" t="str">
        <f>IF(DS15=0,"",IF(DS15=VLOOKUP("PCS-30820g",[7]ARBOR!$A:$C,3,0),0.0001,IF(DS15&gt;VLOOKUP("PCS-30820g",[7]ARBOR!$A:$C,3,0),"Maior que CAP!",IF((DOLLAR(DS15+(VLOOKUP("PCS-30820g",[7]ARBOR!$A:$C,3,0)*-TRUNC(DS15/VLOOKUP("PCS-30820g",[7]ARBOR!$A:$C,3,0)-1,4)),6))&lt;&gt;(DOLLAR(VLOOKUP("PCS-30820g",[7]ARBOR!$A:$C,3,0),6)),(-TRUNC(DS15/VLOOKUP("PCS-30820g",[7]ARBOR!$A:$C,3,0)-1,4)+0.0001)-DQ15,-TRUNC(DS15/VLOOKUP("PCS-30820g",[7]ARBOR!$A:$C,3,0)-1,4)-DQ15))))</f>
        <v/>
      </c>
      <c r="DV15" s="65" t="str">
        <f>IF(ISERROR(IF(DU15="","",VLOOKUP(($BQ15&amp;DU15&amp;"Template de desconto percentual Bundle - Velox XDSL - Varejo"),[7]BENEFICIOS!$A:$E,5,0))),"Criar",IF(DU15="","",VLOOKUP(($BQ15&amp;DU15&amp;"Template de desconto percentual Bundle - Velox XDSL - Varejo"),[7]BENEFICIOS!$A:$E,5,0)))</f>
        <v/>
      </c>
      <c r="DW15" s="71">
        <v>44.9</v>
      </c>
      <c r="DX15" s="64">
        <f>IF(DW15=0,"",IF(DW15=VLOOKUP("PCS-21448p2",[7]ARBOR!$A:$C,3,0),0.0001,IF(DW15&gt;VLOOKUP("PCS-21448p2",[7]ARBOR!$A:$C,3,0),"Maior que CAP!",IF((DOLLAR(DW15+(VLOOKUP("PCS-21448p2",[7]ARBOR!$A:$C,3,0)*-TRUNC(DW15/VLOOKUP("PCS-21448p2",[7]ARBOR!$A:$C,3,0)-1,4)),6))&lt;&gt;(DOLLAR(VLOOKUP("PCS-21448p2",[7]ARBOR!$A:$C,3,0),6)),-TRUNC(DW15/VLOOKUP("PCS-21448p2",[7]ARBOR!$A:$C,3,0)-1,4)+0.0001,-TRUNC(DW15/VLOOKUP("PCS-21448p2",[7]ARBOR!$A:$C,3,0)-1,4)))))</f>
        <v>0.64900000000000002</v>
      </c>
      <c r="DY15" s="65" t="str">
        <f>IF(ISERROR(IF(DX15="","",VLOOKUP(("Oi Conta Total Plug 10GB Downgrade"&amp;DX15&amp;"Template de desconto percentual BL Móvel - Internet Total - Varejo"),[7]BENEFICIOS!$A:$E,5,0))),"Criar",IF(DX15="","",VLOOKUP(("Oi Conta Total Plug 10GB Downgrade"&amp;DX15&amp;"Template de desconto percentual BL Móvel - Internet Total - Varejo"),[7]BENEFICIOS!$A:$E,5,0)))</f>
        <v>MKT-1-9825544790</v>
      </c>
      <c r="DZ15" s="71">
        <v>16.5</v>
      </c>
      <c r="EA15" s="72">
        <f>IF(DZ15=0,"",IF(DZ15=VLOOKUP("SVA",[7]ARBOR!$A:$C,3,0),0.0001,IF(DZ15&gt;VLOOKUP("SVA",[7]ARBOR!$A:$C,3,0),"Maior que CAP!",IF((DOLLAR(DZ15+(VLOOKUP("SVA",[7]ARBOR!$A:$C,3,0)*-TRUNC(DZ15/VLOOKUP("SVA",[7]ARBOR!$A:$C,3,0)-1,4)),6))&lt;&gt;(DOLLAR(VLOOKUP("SVA",[7]ARBOR!$A:$C,3,0),6)),-TRUNC(DZ15/VLOOKUP("SVA",[7]ARBOR!$A:$C,3,0)-1,4)+0.0001,-TRUNC(DZ15/VLOOKUP("SVA",[7]ARBOR!$A:$C,3,0)-1,4)))))</f>
        <v>0.2301</v>
      </c>
      <c r="EB15" s="65" t="s">
        <v>227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B2C"),[7]BENEFICIOS!$A:$G,5,0))),"Criar",IF(EE15="","",VLOOKUP(($BQ15&amp;EE15&amp;"Template Desc. % sobre Serviço SVA B2C"),[7]BENEFICIOS!$A:$G,5,0))))</f>
        <v/>
      </c>
      <c r="EG15" s="75">
        <f>IF(BI15="","",VLOOKUP(BI15,[7]ARBOR!A:C,3,0))</f>
        <v>479.46</v>
      </c>
      <c r="EH15" s="69">
        <v>15</v>
      </c>
      <c r="EI15" s="76">
        <f>IF(EH15="","",1-(EH15/VLOOKUP(BI15&amp;"ASS",[7]ARBOR!A:C,3,0)))</f>
        <v>0.34725848563968664</v>
      </c>
      <c r="EJ15" s="77" t="s">
        <v>228</v>
      </c>
      <c r="EK15" s="78" t="s">
        <v>229</v>
      </c>
      <c r="EL15" s="69">
        <v>124.9</v>
      </c>
      <c r="EM15" s="64">
        <f>IF(EL15=0,"",IF(EL15=EG15,0.0001,ROUND(1-((EL15+(VLOOKUP(BI15&amp;"ASS",[7]ARBOR!A:C,3,0)-EH15))/EG15),4)))</f>
        <v>0.72289999999999999</v>
      </c>
      <c r="EN15" s="65" t="str">
        <f>IF(ISERROR(IF(EM15="","",VLOOKUP(($BH15&amp;EM15&amp;"Template de desconto percentual FLAT Móvel - Conta Total - Varejo - Ganho Tributário Cross"),[7]BENEFICIOS!$A:$E,5,0))),"Criar",IF(EM15="","",VLOOKUP(($BH15&amp;EM15&amp;"Template de desconto percentual FLAT Móvel - Conta Total - Varejo - Ganho Tributário Cross"),[7]BENEFICIOS!$A:$E,5,0)))</f>
        <v>MKT-1-10033167881</v>
      </c>
      <c r="EO15" s="79"/>
      <c r="EP15" s="64" t="str">
        <f>IF(EO15="","",1-(EO15/VLOOKUP($EM$2,[7]ARBOR!B:C,2,0)))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IF(EW15=0,"",IF(EW15=VLOOKUP("PCS-813566",[7]ARBOR!$A:$C,3,0),0.0001,IF(EW15&gt;VLOOKUP("PCS-813566",[7]ARBOR!$A:$C,3,0),"Maior que CAP!",ROUND(-1*(EW15/VLOOKUP("PCS-813566",[7]ARBOR!$A:$C,3,0)-1),4))))</f>
        <v/>
      </c>
      <c r="EY15" s="84" t="str">
        <f>IF(ISERROR(IF(EX15="","",VLOOKUP(("Oi Internet Pra Celular 300MB"&amp;EX15&amp;"Template Flat Instância Dados"),[7]BENEFICIOS!$A:$E,5,0))),"Criar",IF(EX15="","",VLOOKUP(("Oi Internet Pra Celular 300MB"&amp;EX15&amp;"Template Flat Instância Dados"),[7]BENEFICIOS!$A:$E,5,0)))</f>
        <v/>
      </c>
      <c r="EZ15" s="82"/>
      <c r="FA15" s="83" t="str">
        <f>IF(EZ15=0,"",IF(EZ15=VLOOKUP("PCS-813564",[7]ARBOR!$A:$C,3,0),0.0001,IF(EZ15&gt;VLOOKUP("PCS-813564",[7]ARBOR!$A:$C,3,0),"Maior que CAP!",ROUND(-1*(EZ15/VLOOKUP("PCS-813564",[7]ARBOR!$A:$C,3,0)-1),4))))</f>
        <v/>
      </c>
      <c r="FB15" s="84" t="str">
        <f>IF(ISERROR(IF(FA15="","",VLOOKUP(("Oi Internet Pra Celular 500MB"&amp;FA15&amp;"Template Flat Instância Dados"),[7]BENEFICIOS!$A:$E,5,0))),"Criar",IF(FA15="","",VLOOKUP(("Oi Internet Pra Celular 500MB"&amp;FA15&amp;"Template Flat Instância Dados"),[7]BENEFICIOS!$A:$E,5,0)))</f>
        <v/>
      </c>
      <c r="FC15" s="82"/>
      <c r="FD15" s="83" t="str">
        <f>IF(FC15=0,"",IF(FC15=VLOOKUP("PCS-10357",[7]ARBOR!$A:$C,3,0),0.0001,IF(FC15&gt;VLOOKUP("PCS-10357",[7]ARBOR!$A:$C,3,0),"Maior que CAP!",ROUND(-1*(FC15/VLOOKUP("PCS-10357",[7]ARBOR!$A:$C,3,0)-1),4))))</f>
        <v/>
      </c>
      <c r="FE15" s="84" t="str">
        <f>IF(ISERROR(IF(FD15="","",VLOOKUP(("Oi Internet Pra Celular 1GB"&amp;FD15&amp;"Template Flat Instância Dados"),[7]BENEFICIOS!$A:$E,5,0))),"Criar",IF(FD15="","",VLOOKUP(("Oi Internet Pra Celular 1GB"&amp;FD15&amp;"Template Flat Instância Dados"),[7]BENEFICIOS!$A:$E,5,0)))</f>
        <v/>
      </c>
      <c r="FF15" s="82"/>
      <c r="FG15" s="83" t="str">
        <f>IF(FF15=0,"",IF(FF15=VLOOKUP("PCS-813565",[7]ARBOR!$A:$C,3,0),0.0001,IF(FF15&gt;VLOOKUP("PCS-813565",[7]ARBOR!$A:$C,3,0),"Maior que CAP!",ROUND(-1*(FF15/VLOOKUP("PCS-813565",[7]ARBOR!$A:$C,3,0)-1),4))))</f>
        <v/>
      </c>
      <c r="FH15" s="84" t="str">
        <f>IF(ISERROR(IF(FG15="","",VLOOKUP(("Oi Internet Pra Celular 2GB"&amp;FG15&amp;"Template Flat Instância Dados"),[7]BENEFICIOS!$A:$E,5,0))),"Criar",IF(FG15="","",VLOOKUP(("Oi Internet Pra Celular 2GB"&amp;FG15&amp;"Template Flat Instância Dados"),[7]BENEFICIOS!$A:$E,5,0)))</f>
        <v/>
      </c>
      <c r="FI15" s="82"/>
      <c r="FJ15" s="83" t="str">
        <f>IF(FI15=0,"",IF(FI15=VLOOKUP("PCS-7171B",[7]ARBOR!$A:$C,3,0),0.0001,IF(FI15&gt;VLOOKUP("PCS-7171B",[7]ARBOR!$A:$C,3,0),"Maior que CAP!",ROUND(-1*(FI15/VLOOKUP("PCS-7171B",[7]ARBOR!$A:$C,3,0)-1),4))))</f>
        <v/>
      </c>
      <c r="FK15" s="84" t="str">
        <f>IF(ISERROR(IF(FJ15="","",VLOOKUP(("Oi Internet Pra Celular 3GB"&amp;FJ15&amp;"Template Flat Instância Dados"),[7]BENEFICIOS!$A:$E,5,0))),"Criar",IF(FJ15="","",VLOOKUP(("Oi Internet Pra Celular 3GB"&amp;FJ15&amp;"Template Flat Instância Dados"),[7]BENEFICIOS!$A:$E,5,0)))</f>
        <v/>
      </c>
      <c r="FL15" s="82"/>
      <c r="FM15" s="83" t="str">
        <f>IF(FL15=0,"",IF(FL15=VLOOKUP("PCS-51793o08",[7]ARBOR!$A:$C,3,0),0.0001,IF(FL15&gt;VLOOKUP("PCS-51793o08",[7]ARBOR!$A:$C,3,0),"Maior que CAP!",ROUND(-1*(FL15/VLOOKUP("PCS-51793o08",[7]ARBOR!$A:$C,3,0)-1),4))))</f>
        <v/>
      </c>
      <c r="FN15" s="84" t="str">
        <f>IF(ISERROR(IF(FM15="","",VLOOKUP(("Oi Internet Pra Celular 5GB"&amp;FM15&amp;"Template Flat Instância Dados"),[7]BENEFICIOS!$A:$E,5,0))),"Criar",IF(FM15="","",VLOOKUP(("Oi Internet Pra Celular 5GB"&amp;FM15&amp;"Template Flat Instância Dados"),[7]BENEFICIOS!$A:$E,5,0)))</f>
        <v/>
      </c>
      <c r="FO15" s="82"/>
      <c r="FP15" s="83" t="str">
        <f>IF(FO15=0,"",IF(FO15=VLOOKUP("PCS-7171A",[7]ARBOR!$A:$C,3,0),0.0001,IF(FO15&gt;VLOOKUP("PCS-7171A",[7]ARBOR!$A:$C,3,0),"Maior que CAP!",ROUND(-1*(FO15/VLOOKUP("PCS-7171A",[7]ARBOR!$A:$C,3,0)-1),4))))</f>
        <v/>
      </c>
      <c r="FQ15" s="84" t="str">
        <f>IF(ISERROR(IF(FP15="","",VLOOKUP(("Oi Internet Pra Celular 10GB"&amp;FP15&amp;"Template Flat Instância Dados"),[7]BENEFICIOS!$A:$E,5,0))),"Criar",IF(FP15="","",VLOOKUP(("Oi Internet Pra Celular 10GB"&amp;FP15&amp;"Template Flat Instância Dados"),[7]BENEFICIOS!$A:$E,5,0)))</f>
        <v/>
      </c>
      <c r="FR15" s="85"/>
      <c r="FS15" s="86"/>
      <c r="FT15" s="48"/>
      <c r="FU15" s="87"/>
      <c r="FV15" s="88" t="s">
        <v>225</v>
      </c>
      <c r="FW15" s="49" t="s">
        <v>230</v>
      </c>
      <c r="FX15" s="89">
        <v>999</v>
      </c>
      <c r="FY15" s="49">
        <v>12</v>
      </c>
      <c r="FZ15" s="90" t="s">
        <v>231</v>
      </c>
      <c r="GA15" s="91" t="str">
        <f t="shared" si="1"/>
        <v>PCS-Fk83324</v>
      </c>
      <c r="GB15" s="92" t="str">
        <f t="shared" si="2"/>
        <v>PCS-SBL553142</v>
      </c>
      <c r="GC15" s="93" t="s">
        <v>232</v>
      </c>
      <c r="GD15" s="90" t="s">
        <v>233</v>
      </c>
      <c r="GE15" s="92" t="s">
        <v>234</v>
      </c>
      <c r="GF15" s="93" t="s">
        <v>235</v>
      </c>
      <c r="GG15" s="90" t="s">
        <v>236</v>
      </c>
      <c r="GH15" s="92" t="s">
        <v>237</v>
      </c>
      <c r="GI15" s="94" t="s">
        <v>238</v>
      </c>
      <c r="GJ15" s="95">
        <f>EL15+CB15+BJ15</f>
        <v>219.9</v>
      </c>
      <c r="GK15" s="96"/>
      <c r="GL15" s="97" t="s">
        <v>239</v>
      </c>
      <c r="GM15" s="98" t="s">
        <v>276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277</v>
      </c>
      <c r="GX15" s="44" t="s">
        <v>242</v>
      </c>
    </row>
    <row r="16" spans="1:206" s="44" customFormat="1" x14ac:dyDescent="0.25">
      <c r="A16" s="44" t="str">
        <f t="shared" si="0"/>
        <v>Oi Total Fixo + Pós 800 + Banda LargaN2MG</v>
      </c>
      <c r="B16" s="45" t="s">
        <v>215</v>
      </c>
      <c r="C16" s="46" t="s">
        <v>131</v>
      </c>
      <c r="D16" s="46" t="s">
        <v>216</v>
      </c>
      <c r="E16" s="47" t="s">
        <v>217</v>
      </c>
      <c r="F16" s="88" t="s">
        <v>218</v>
      </c>
      <c r="G16" s="49"/>
      <c r="H16" s="49"/>
      <c r="I16" s="49"/>
      <c r="J16" s="49" t="s">
        <v>218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218</v>
      </c>
      <c r="AC16" s="49" t="s">
        <v>218</v>
      </c>
      <c r="AD16" s="49" t="s">
        <v>218</v>
      </c>
      <c r="AE16" s="49" t="s">
        <v>218</v>
      </c>
      <c r="AF16" s="49" t="s">
        <v>218</v>
      </c>
      <c r="AG16" s="49" t="s">
        <v>218</v>
      </c>
      <c r="AH16" s="50"/>
      <c r="AI16" s="49" t="s">
        <v>218</v>
      </c>
      <c r="AJ16" s="49" t="s">
        <v>218</v>
      </c>
      <c r="AK16" s="49" t="s">
        <v>218</v>
      </c>
      <c r="AL16" s="49" t="s">
        <v>218</v>
      </c>
      <c r="AM16" s="49" t="s">
        <v>218</v>
      </c>
      <c r="AN16" s="49" t="s">
        <v>218</v>
      </c>
      <c r="AO16" s="49" t="s">
        <v>218</v>
      </c>
      <c r="AP16" s="49"/>
      <c r="AQ16" s="51"/>
      <c r="AR16" s="52" t="s">
        <v>278</v>
      </c>
      <c r="AS16" s="46" t="s">
        <v>220</v>
      </c>
      <c r="AT16" s="53" t="s">
        <v>221</v>
      </c>
      <c r="AU16" s="54">
        <v>42972</v>
      </c>
      <c r="AV16" s="105">
        <v>43097</v>
      </c>
      <c r="AW16" s="56" t="s">
        <v>222</v>
      </c>
      <c r="AX16" s="57" t="s">
        <v>222</v>
      </c>
      <c r="AY16" s="58"/>
      <c r="AZ16" s="58" t="s">
        <v>223</v>
      </c>
      <c r="BA16" s="58">
        <v>20</v>
      </c>
      <c r="BB16" s="58">
        <v>10000</v>
      </c>
      <c r="BC16" s="59" t="s">
        <v>224</v>
      </c>
      <c r="BD16" s="60" t="s">
        <v>225</v>
      </c>
      <c r="BE16" s="58" t="s">
        <v>217</v>
      </c>
      <c r="BF16" s="51" t="s">
        <v>217</v>
      </c>
      <c r="BG16" s="45" t="s">
        <v>278</v>
      </c>
      <c r="BH16" s="61" t="s">
        <v>226</v>
      </c>
      <c r="BI16" s="62" t="str">
        <f>IF(ISERROR(VLOOKUP(BH16,[7]PLANOS!B:C,2,0)),"",VLOOKUP(BH16,[7]PLANOS!B:C,2,0))</f>
        <v>PCS-4P6pi</v>
      </c>
      <c r="BJ16" s="63">
        <v>50.1</v>
      </c>
      <c r="BK16" s="64">
        <f>IF(BJ16=0,"",IF(BJ16=VLOOKUP("FIXO",[7]ARBOR!$A:$C,3,0),0.0001,IF(BJ16&gt;VLOOKUP("FIXO",[7]ARBOR!$A:$C,3,0),"Maior que CAP!",IF((DOLLAR(BJ16+(VLOOKUP("FIXO",[7]ARBOR!$A:$C,3,0)*-TRUNC(BJ16/VLOOKUP("FIXO",[7]ARBOR!$A:$C,3,0)-1,4)),6))&lt;&gt;(DOLLAR(VLOOKUP("FIXO",[7]ARBOR!$A:$C,3,0),6)),-TRUNC(BJ16/VLOOKUP("FIXO",[7]ARBOR!$A:$C,3,0)-1,4)+0.0001,-TRUNC(BJ16/VLOOKUP("FIXO",[7]ARBOR!$A:$C,3,0)-1,4)))))</f>
        <v>0.33939999999999998</v>
      </c>
      <c r="BL16" s="65" t="str">
        <f>IF(ISERROR(IF(BK16="","",VLOOKUP(($BH16&amp;BK16&amp;"Template de desconto FLAT bundle - Fixo - Varejo - Ganho Tributário Cross"),[7]BENEFICIOS!$A:$E,5,0))),"Criar",IF(BK16="","",VLOOKUP(($BH16&amp;BK16&amp;"Template de desconto FLAT bundle - Fixo - Varejo - Ganho Tributário Cross"),[7]BENEFICIOS!$A:$E,5,0)))</f>
        <v>MKT-1-9856472058</v>
      </c>
      <c r="BM16" s="66"/>
      <c r="BN16" s="67"/>
      <c r="BO16" s="104" t="s">
        <v>244</v>
      </c>
      <c r="BP16" s="69">
        <v>44.9</v>
      </c>
      <c r="BQ16" s="64">
        <f>IF(BP16=0,"",IF(BP16=VLOOKUP("PCS-30874g",[7]ARBOR!$A:$C,3,0),0.0001,IF(BP16&gt;VLOOKUP("PCS-30874g",[7]ARBOR!$A:$C,3,0),"Maior que CAP!",IF((DOLLAR(BP16+(VLOOKUP("PCS-30874g",[7]ARBOR!$A:$C,3,0)*-TRUNC(BP16/VLOOKUP("PCS-30874g",[7]ARBOR!$A:$C,3,0)-1,4)),6))&lt;&gt;(DOLLAR(VLOOKUP("PCS-30874g",[7]ARBOR!$A:$C,3,0),6)),-TRUNC(BP16/VLOOKUP("PCS-30874g",[7]ARBOR!$A:$C,3,0)-1,4)+0.0001,-TRUNC(BP16/VLOOKUP("PCS-30874g",[7]ARBOR!$A:$C,3,0)-1,4)))))</f>
        <v>0.53679999999999994</v>
      </c>
      <c r="BR16" s="65" t="str">
        <f>IF(ISERROR(IF(BQ16="","",VLOOKUP(($BH16&amp;BQ16&amp;"Template de desconto FLAT bundle - Velox XDSL - Varejo"),[7]BENEFICIOS!$A:$E,5,0))),"Criar",IF(BQ16="","",VLOOKUP(($BH16&amp;BQ16&amp;"Template de desconto FLAT bundle - Velox XDSL - Varejo"),[7]BENEFICIOS!$A:$E,5,0)))</f>
        <v>MKT-1-9865126733</v>
      </c>
      <c r="BS16" s="104" t="s">
        <v>244</v>
      </c>
      <c r="BT16" s="69">
        <v>44.9</v>
      </c>
      <c r="BU16" s="64">
        <f>IF(BT16=0,"",IF(BT16=VLOOKUP("PCS-30577g",[7]ARBOR!$A:$C,3,0),0.0001,IF(BT16&gt;VLOOKUP("PCS-30577g",[7]ARBOR!$A:$C,3,0),"Maior que CAP!",IF((DOLLAR(BT16+(VLOOKUP("PCS-30577g",[7]ARBOR!$A:$C,3,0)*-TRUNC(BT16/VLOOKUP("PCS-30577g",[7]ARBOR!$A:$C,3,0)-1,4)),6))&lt;&gt;(DOLLAR(VLOOKUP("PCS-30577g",[7]ARBOR!$A:$C,3,0),6)),-TRUNC(BT16/VLOOKUP("PCS-30577g",[7]ARBOR!$A:$C,3,0)-1,4)+0.0001,-TRUNC(BT16/VLOOKUP("PCS-30577g",[7]ARBOR!$A:$C,3,0)-1,4)))))</f>
        <v>0.53679999999999994</v>
      </c>
      <c r="BV16" s="65" t="str">
        <f>IF(ISERROR(IF(BU16="","",VLOOKUP(($BH16&amp;BU16&amp;"Template de desconto FLAT bundle - Velox XDSL - Varejo"),[7]BENEFICIOS!$A:$E,5,0))),"Criar",IF(BU16="","",VLOOKUP(($BH16&amp;BU16&amp;"Template de desconto FLAT bundle - Velox XDSL - Varejo"),[7]BENEFICIOS!$A:$E,5,0)))</f>
        <v>MKT-1-9865126733</v>
      </c>
      <c r="BW16" s="104" t="s">
        <v>244</v>
      </c>
      <c r="BX16" s="69">
        <v>44.9</v>
      </c>
      <c r="BY16" s="64">
        <f>IF(BX16=0,"",IF(BX16=VLOOKUP("PCS-30604g",[7]ARBOR!$A:$C,3,0),0.0001,IF(BX16&gt;VLOOKUP("PCS-30604g",[7]ARBOR!$A:$C,3,0),"Maior que CAP!",IF((DOLLAR(BX16+(VLOOKUP("PCS-30604g",[7]ARBOR!$A:$C,3,0)*-TRUNC(BX16/VLOOKUP("PCS-30604g",[7]ARBOR!$A:$C,3,0)-1,4)),6))&lt;&gt;(DOLLAR(VLOOKUP("PCS-30604g",[7]ARBOR!$A:$C,3,0),6)),-TRUNC(BX16/VLOOKUP("PCS-30604g",[7]ARBOR!$A:$C,3,0)-1,4)+0.0001,-TRUNC(BX16/VLOOKUP("PCS-30604g",[7]ARBOR!$A:$C,3,0)-1,4)))))</f>
        <v>0.53679999999999994</v>
      </c>
      <c r="BZ16" s="65" t="str">
        <f>IF(ISERROR(IF(BY16="","",VLOOKUP(($BH16&amp;BY16&amp;"Template de desconto FLAT bundle - Velox XDSL - Varejo"),[7]BENEFICIOS!$A:$E,5,0))),"Criar",IF(BY16="","",VLOOKUP(($BH16&amp;BY16&amp;"Template de desconto FLAT bundle - Velox XDSL - Varejo"),[7]BENEFICIOS!$A:$E,5,0)))</f>
        <v>MKT-1-9865126733</v>
      </c>
      <c r="CA16" s="104" t="s">
        <v>244</v>
      </c>
      <c r="CB16" s="69">
        <v>44.9</v>
      </c>
      <c r="CC16" s="64">
        <f>IF(CB16=0,"",IF(CB16=VLOOKUP("PCS-30631g",[7]ARBOR!$A:$C,3,0),0.0001,IF(CB16&gt;VLOOKUP("PCS-30631g",[7]ARBOR!$A:$C,3,0),"Maior que CAP!",IF((DOLLAR(CB16+(VLOOKUP("PCS-30631g",[7]ARBOR!$A:$C,3,0)*-TRUNC(CB16/VLOOKUP("PCS-30631g",[7]ARBOR!$A:$C,3,0)-1,4)),6))&lt;&gt;(DOLLAR(VLOOKUP("PCS-30631g",[7]ARBOR!$A:$C,3,0),6)),-TRUNC(CB16/VLOOKUP("PCS-30631g",[7]ARBOR!$A:$C,3,0)-1,4)+0.0001,-TRUNC(CB16/VLOOKUP("PCS-30631g",[7]ARBOR!$A:$C,3,0)-1,4)))))</f>
        <v>0.54310000000000003</v>
      </c>
      <c r="CD16" s="65" t="str">
        <f>IF(ISERROR(IF(CC16="","",VLOOKUP(($BH16&amp;CC16&amp;"Template de desconto FLAT bundle - Velox XDSL - Varejo"),[7]BENEFICIOS!$A:$E,5,0))),"Criar",IF(CC16="","",VLOOKUP(($BH16&amp;CC16&amp;"Template de desconto FLAT bundle - Velox XDSL - Varejo"),[7]BENEFICIOS!$A:$E,5,0)))</f>
        <v>MKT-1-9865126826</v>
      </c>
      <c r="CE16" s="68" t="s">
        <v>165</v>
      </c>
      <c r="CF16" s="69">
        <v>49.9</v>
      </c>
      <c r="CG16" s="64">
        <f>IF(CF16=0,"",IF(CF16=VLOOKUP("PCS-30658g",[7]ARBOR!$A:$C,3,0),0.0001,IF(CF16&gt;VLOOKUP("PCS-30658g",[7]ARBOR!$A:$C,3,0),"Maior que CAP!",IF((DOLLAR(CF16+(VLOOKUP("PCS-30658g",[7]ARBOR!$A:$C,3,0)*-TRUNC(CF16/VLOOKUP("PCS-30658g",[7]ARBOR!$A:$C,3,0)-1,4)),6))&lt;&gt;(DOLLAR(VLOOKUP("PCS-30658g",[7]ARBOR!$A:$C,3,0),6)),-TRUNC(CF16/VLOOKUP("PCS-30658g",[7]ARBOR!$A:$C,3,0)-1,4)+0.0001,-TRUNC(CF16/VLOOKUP("PCS-30658g",[7]ARBOR!$A:$C,3,0)-1,4)))))</f>
        <v>0.55569999999999997</v>
      </c>
      <c r="CH16" s="65" t="str">
        <f>IF(ISERROR(IF(CG16="","",VLOOKUP(($BH16&amp;CG16&amp;"Template de desconto FLAT bundle - Velox XDSL - Varejo"),[7]BENEFICIOS!$A:$E,5,0))),"Criar",IF(CG16="","",VLOOKUP(($BH16&amp;CG16&amp;"Template de desconto FLAT bundle - Velox XDSL - Varejo"),[7]BENEFICIOS!$A:$E,5,0)))</f>
        <v>MKT-1-9865126919</v>
      </c>
      <c r="CI16" s="68" t="s">
        <v>165</v>
      </c>
      <c r="CJ16" s="69">
        <v>49.9</v>
      </c>
      <c r="CK16" s="64">
        <f>IF(CJ16=0,"",IF(CJ16=VLOOKUP("PCS-30685g",[7]ARBOR!$A:$C,3,0),0.0001,IF(CJ16&gt;VLOOKUP("PCS-30685g",[7]ARBOR!$A:$C,3,0),"Maior que CAP!",IF((DOLLAR(CJ16+(VLOOKUP("PCS-30685g",[7]ARBOR!$A:$C,3,0)*-TRUNC(CJ16/VLOOKUP("PCS-30685g",[7]ARBOR!$A:$C,3,0)-1,4)),6))&lt;&gt;(DOLLAR(VLOOKUP("PCS-30685g",[7]ARBOR!$A:$C,3,0),6)),-TRUNC(CJ16/VLOOKUP("PCS-30685g",[7]ARBOR!$A:$C,3,0)-1,4)+0.0001,-TRUNC(CJ16/VLOOKUP("PCS-30685g",[7]ARBOR!$A:$C,3,0)-1,4)))))</f>
        <v>0.60509999999999997</v>
      </c>
      <c r="CL16" s="65" t="str">
        <f>IF(ISERROR(IF(CK16="","",VLOOKUP(($BH16&amp;CK16&amp;"Template de desconto FLAT bundle - Velox XDSL - Varejo"),[7]BENEFICIOS!$A:$E,5,0))),"Criar",IF(CK16="","",VLOOKUP(($BH16&amp;CK16&amp;"Template de desconto FLAT bundle - Velox XDSL - Varejo"),[7]BENEFICIOS!$A:$E,5,0)))</f>
        <v>MKT-1-9865694381</v>
      </c>
      <c r="CM16" s="68" t="s">
        <v>165</v>
      </c>
      <c r="CN16" s="69">
        <v>49.9</v>
      </c>
      <c r="CO16" s="64">
        <f>IF(CN16=0,"",IF(CN16=VLOOKUP("PCS-30712g",[7]ARBOR!$A:$C,3,0),0.0001,IF(CN16&gt;VLOOKUP("PCS-30712g",[7]ARBOR!$A:$C,3,0),"Maior que CAP!",IF((DOLLAR(CN16+(VLOOKUP("PCS-30712g",[7]ARBOR!$A:$C,3,0)*-TRUNC(CN16/VLOOKUP("PCS-30712g",[7]ARBOR!$A:$C,3,0)-1,4)),6))&lt;&gt;(DOLLAR(VLOOKUP("PCS-30712g",[7]ARBOR!$A:$C,3,0),6)),-TRUNC(CN16/VLOOKUP("PCS-30712g",[7]ARBOR!$A:$C,3,0)-1,4)+0.0001,-TRUNC(CN16/VLOOKUP("PCS-30712g",[7]ARBOR!$A:$C,3,0)-1,4)))))</f>
        <v>0.64459999999999995</v>
      </c>
      <c r="CP16" s="65" t="str">
        <f>IF(ISERROR(IF(CO16="","",VLOOKUP(($BH16&amp;CO16&amp;"Template de desconto FLAT bundle - Velox XDSL - Varejo"),[7]BENEFICIOS!$A:$E,5,0))),"Criar",IF(CO16="","",VLOOKUP(($BH16&amp;CO16&amp;"Template de desconto FLAT bundle - Velox XDSL - Varejo"),[7]BENEFICIOS!$A:$E,5,0)))</f>
        <v>MKT-1-9865191105</v>
      </c>
      <c r="CQ16" s="68" t="s">
        <v>165</v>
      </c>
      <c r="CR16" s="69">
        <v>59.9</v>
      </c>
      <c r="CS16" s="64">
        <f>IF(CR16=0,"",IF(CR16=VLOOKUP("PCS-30739g",[7]ARBOR!$A:$C,3,0),0.0001,IF(CR16&gt;VLOOKUP("PCS-30739g",[7]ARBOR!$A:$C,3,0),"Maior que CAP!",IF((DOLLAR(CR16+(VLOOKUP("PCS-30739g",[7]ARBOR!$A:$C,3,0)*-TRUNC(CR16/VLOOKUP("PCS-30739g",[7]ARBOR!$A:$C,3,0)-1,4)),6))&lt;&gt;(DOLLAR(VLOOKUP("PCS-30739g",[7]ARBOR!$A:$C,3,0),6)),-TRUNC(CR16/VLOOKUP("PCS-30739g",[7]ARBOR!$A:$C,3,0)-1,4)+0.0001,-TRUNC(CR16/VLOOKUP("PCS-30739g",[7]ARBOR!$A:$C,3,0)-1,4)))))</f>
        <v>0.71560000000000001</v>
      </c>
      <c r="CT16" s="65" t="str">
        <f>IF(ISERROR(IF(CS16="","",VLOOKUP(($BH16&amp;CS16&amp;"Template de desconto FLAT bundle - Velox XDSL - Varejo"),[7]BENEFICIOS!$A:$E,5,0))),"Criar",IF(CS16="","",VLOOKUP(($BH16&amp;CS16&amp;"Template de desconto FLAT bundle - Velox XDSL - Varejo"),[7]BENEFICIOS!$A:$E,5,0)))</f>
        <v>MKT-1-9865191198</v>
      </c>
      <c r="CU16" s="69"/>
      <c r="CV16" s="70"/>
      <c r="CW16" s="64"/>
      <c r="CX16" s="65"/>
      <c r="CY16" s="68" t="s">
        <v>165</v>
      </c>
      <c r="CZ16" s="69">
        <v>59.9</v>
      </c>
      <c r="DA16" s="64">
        <f>IF(CZ16=0,"",IF(CZ16=VLOOKUP("PCS-30766g",[7]ARBOR!$A:$C,3,0),0.0001,IF(CZ16&gt;VLOOKUP("PCS-30766g",[7]ARBOR!$A:$C,3,0),"Maior que CAP!",IF((DOLLAR(CZ16+(VLOOKUP("PCS-30766g",[7]ARBOR!$A:$C,3,0)*-TRUNC(CZ16/VLOOKUP("PCS-30766g",[7]ARBOR!$A:$C,3,0)-1,4)),6))&lt;&gt;(DOLLAR(VLOOKUP("PCS-30766g",[7]ARBOR!$A:$C,3,0),6)),-TRUNC(CZ16/VLOOKUP("PCS-30766g",[7]ARBOR!$A:$C,3,0)-1,4)+0.0001,-TRUNC(CZ16/VLOOKUP("PCS-30766g",[7]ARBOR!$A:$C,3,0)-1,4)))))</f>
        <v>0.78669999999999995</v>
      </c>
      <c r="DB16" s="65" t="str">
        <f>IF(ISERROR(IF(DA16="","",VLOOKUP(($BH16&amp;DA16&amp;"Template de desconto FLAT bundle - Velox XDSL - Varejo"),[7]BENEFICIOS!$A:$E,5,0))),"Criar",IF(DA16="","",VLOOKUP(($BH16&amp;DA16&amp;"Template de desconto FLAT bundle - Velox XDSL - Varejo"),[7]BENEFICIOS!$A:$E,5,0)))</f>
        <v>MKT-1-9865191291</v>
      </c>
      <c r="DC16" s="69"/>
      <c r="DD16" s="70"/>
      <c r="DE16" s="64"/>
      <c r="DF16" s="65"/>
      <c r="DG16" s="68" t="s">
        <v>244</v>
      </c>
      <c r="DH16" s="69">
        <v>69.900000000000006</v>
      </c>
      <c r="DI16" s="64">
        <f>IF(DH16=0,"",IF(DH16=VLOOKUP("PCS-30793g",[7]ARBOR!$A:$C,3,0),0.0001,IF(DH16&gt;VLOOKUP("PCS-30793g",[7]ARBOR!$A:$C,3,0),"Maior que CAP!",IF((DOLLAR(DH16+(VLOOKUP("PCS-30793g",[7]ARBOR!$A:$C,3,0)*-TRUNC(DH16/VLOOKUP("PCS-30793g",[7]ARBOR!$A:$C,3,0)-1,4)),6))&lt;&gt;(DOLLAR(VLOOKUP("PCS-30793g",[7]ARBOR!$A:$C,3,0),6)),-TRUNC(DH16/VLOOKUP("PCS-30793g",[7]ARBOR!$A:$C,3,0)-1,4)+0.0001,-TRUNC(DH16/VLOOKUP("PCS-30793g",[7]ARBOR!$A:$C,3,0)-1,4)))))</f>
        <v>0.75109999999999999</v>
      </c>
      <c r="DJ16" s="65" t="str">
        <f>IF(ISERROR(IF(DI16="","",VLOOKUP(($BH16&amp;DI16&amp;"Template de desconto FLAT bundle - Velox XDSL - Varejo"),[7]BENEFICIOS!$A:$E,5,0))),"Criar",IF(DI16="","",VLOOKUP(($BH16&amp;DI16&amp;"Template de desconto FLAT bundle - Velox XDSL - Varejo"),[7]BENEFICIOS!$A:$E,5,0)))</f>
        <v>MKT-1-9865191384</v>
      </c>
      <c r="DK16" s="69"/>
      <c r="DL16" s="70"/>
      <c r="DM16" s="64"/>
      <c r="DN16" s="65"/>
      <c r="DO16" s="68" t="s">
        <v>165</v>
      </c>
      <c r="DP16" s="69">
        <v>69.900000000000006</v>
      </c>
      <c r="DQ16" s="64">
        <f>IF(DP16=0,"",IF(DP16=VLOOKUP("PCS-30820g",[7]ARBOR!$A:$C,3,0),0.0001,IF(DP16&gt;VLOOKUP("PCS-30820g",[7]ARBOR!$A:$C,3,0),"Maior que CAP!",IF((DOLLAR(DP16+(VLOOKUP("PCS-30820g",[7]ARBOR!$A:$C,3,0)*-TRUNC(DP16/VLOOKUP("PCS-30820g",[7]ARBOR!$A:$C,3,0)-1,4)),6))&lt;&gt;(DOLLAR(VLOOKUP("PCS-30820g",[7]ARBOR!$A:$C,3,0),6)),-TRUNC(DP16/VLOOKUP("PCS-30820g",[7]ARBOR!$A:$C,3,0)-1,4)+0.0001,-TRUNC(DP16/VLOOKUP("PCS-30820g",[7]ARBOR!$A:$C,3,0)-1,4)))))</f>
        <v>0.75109999999999999</v>
      </c>
      <c r="DR16" s="65" t="str">
        <f>IF(ISERROR(IF(DQ16="","",VLOOKUP(($BH16&amp;DQ16&amp;"Template de desconto FLAT bundle - Velox XDSL - Varejo"),[7]BENEFICIOS!$A:$E,5,0))),"Criar",IF(DQ16="","",VLOOKUP(($BH16&amp;DQ16&amp;"Template de desconto FLAT bundle - Velox XDSL - Varejo"),[7]BENEFICIOS!$A:$E,5,0)))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IF(DW16=0,"",IF(DW16=VLOOKUP("PCS-21448p2",[7]ARBOR!$A:$C,3,0),0.0001,IF(DW16&gt;VLOOKUP("PCS-21448p2",[7]ARBOR!$A:$C,3,0),"Maior que CAP!",IF((DOLLAR(DW16+(VLOOKUP("PCS-21448p2",[7]ARBOR!$A:$C,3,0)*-TRUNC(DW16/VLOOKUP("PCS-21448p2",[7]ARBOR!$A:$C,3,0)-1,4)),6))&lt;&gt;(DOLLAR(VLOOKUP("PCS-21448p2",[7]ARBOR!$A:$C,3,0),6)),-TRUNC(DW16/VLOOKUP("PCS-21448p2",[7]ARBOR!$A:$C,3,0)-1,4)+0.0001,-TRUNC(DW16/VLOOKUP("PCS-21448p2",[7]ARBOR!$A:$C,3,0)-1,4)))))</f>
        <v/>
      </c>
      <c r="DY16" s="65" t="str">
        <f>IF(ISERROR(IF(DX16="","",VLOOKUP(("Oi Conta Total Plug 10GB Downgrade"&amp;DX16&amp;"Template de desconto percentual BL Móvel - Internet Total - Varejo"),[7]BENEFICIOS!$A:$E,5,0))),"Criar",IF(DX16="","",VLOOKUP(("Oi Conta Total Plug 10GB Downgrade"&amp;DX16&amp;"Template de desconto percentual BL Móvel - Internet Total - Varejo"),[7]BENEFICIOS!$A:$E,5,0)))</f>
        <v/>
      </c>
      <c r="DZ16" s="71">
        <v>19.899999999999999</v>
      </c>
      <c r="EA16" s="72">
        <f>IF(DZ16=0,"",IF(DZ16=VLOOKUP("SVA",[7]ARBOR!$A:$C,3,0),0.0001,IF(DZ16&gt;VLOOKUP("SVA",[7]ARBOR!$A:$C,3,0),"Maior que CAP!",IF((DOLLAR(DZ16+(VLOOKUP("SVA",[7]ARBOR!$A:$C,3,0)*-TRUNC(DZ16/VLOOKUP("SVA",[7]ARBOR!$A:$C,3,0)-1,4)),6))&lt;&gt;(DOLLAR(VLOOKUP("SVA",[7]ARBOR!$A:$C,3,0),6)),-TRUNC(DZ16/VLOOKUP("SVA",[7]ARBOR!$A:$C,3,0)-1,4)+0.0001,-TRUNC(DZ16/VLOOKUP("SVA",[7]ARBOR!$A:$C,3,0)-1,4)))))</f>
        <v>7.1400000000000005E-2</v>
      </c>
      <c r="EB16" s="65" t="s">
        <v>245</v>
      </c>
      <c r="EC16" s="69"/>
      <c r="ED16" s="73"/>
      <c r="EE16" s="74"/>
      <c r="EF16" s="65"/>
      <c r="EG16" s="75">
        <f>IF(BI16="","",VLOOKUP(BI16,[7]ARBOR!A:C,3,0))</f>
        <v>479.46</v>
      </c>
      <c r="EH16" s="69">
        <v>15</v>
      </c>
      <c r="EI16" s="76">
        <f>IF(EH16="","",1-(EH16/VLOOKUP(BI16&amp;"ASS",[7]ARBOR!A:C,3,0)))</f>
        <v>0.34725848563968664</v>
      </c>
      <c r="EJ16" s="77" t="s">
        <v>228</v>
      </c>
      <c r="EK16" s="78" t="s">
        <v>229</v>
      </c>
      <c r="EL16" s="69">
        <v>124.9</v>
      </c>
      <c r="EM16" s="64">
        <f>IF(EL16=0,"",IF(EL16=EG16,0.0001,ROUND(1-((EL16+(VLOOKUP(BI16&amp;"ASS",[7]ARBOR!A:C,3,0)-EH16))/EG16),4)))</f>
        <v>0.72289999999999999</v>
      </c>
      <c r="EN16" s="65" t="str">
        <f>IF(ISERROR(IF(EM16="","",VLOOKUP(($BH16&amp;EM16&amp;"Template de desconto percentual FLAT Móvel - Conta Total - Varejo - Ganho Tributário Cross"),[7]BENEFICIOS!$A:$E,5,0))),"Criar",IF(EM16="","",VLOOKUP(($BH16&amp;EM16&amp;"Template de desconto percentual FLAT Móvel - Conta Total - Varejo - Ganho Tributário Cross"),[7]BENEFICIOS!$A:$E,5,0)))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IF(FC16=0,"",IF(FC16=VLOOKUP("PCS-10357",[7]ARBOR!$A:$C,3,0),0.0001,IF(FC16&gt;VLOOKUP("PCS-10357",[7]ARBOR!$A:$C,3,0),"Maior que CAP!",ROUND(-1*(FC16/VLOOKUP("PCS-10357",[7]ARBOR!$A:$C,3,0)-1),4))))</f>
        <v/>
      </c>
      <c r="FE16" s="84" t="str">
        <f>IF(ISERROR(IF(FD16="","",VLOOKUP(("Oi Internet Pra Celular 1GB"&amp;FD16&amp;"Template Flat Instância Dados"),[7]BENEFICIOS!$A:$E,5,0))),"Criar",IF(FD16="","",VLOOKUP(("Oi Internet Pra Celular 1GB"&amp;FD16&amp;"Template Flat Instância Dados"),[7]BENEFICIOS!$A:$E,5,0)))</f>
        <v/>
      </c>
      <c r="FF16" s="82"/>
      <c r="FG16" s="83" t="str">
        <f>IF(FF16=0,"",IF(FF16=VLOOKUP("PCS-813565",[7]ARBOR!$A:$C,3,0),0.0001,IF(FF16&gt;VLOOKUP("PCS-813565",[7]ARBOR!$A:$C,3,0),"Maior que CAP!",ROUND(-1*(FF16/VLOOKUP("PCS-813565",[7]ARBOR!$A:$C,3,0)-1),4))))</f>
        <v/>
      </c>
      <c r="FH16" s="84" t="str">
        <f>IF(ISERROR(IF(FG16="","",VLOOKUP(("Oi Internet Pra Celular 2GB"&amp;FG16&amp;"Template Flat Instância Dados"),[7]BENEFICIOS!$A:$E,5,0))),"Criar",IF(FG16="","",VLOOKUP(("Oi Internet Pra Celular 2GB"&amp;FG16&amp;"Template Flat Instância Dados"),[7]BENEFICIOS!$A:$E,5,0)))</f>
        <v/>
      </c>
      <c r="FI16" s="82"/>
      <c r="FJ16" s="83" t="str">
        <f>IF(FI16=0,"",IF(FI16=VLOOKUP("PCS-7171B",[7]ARBOR!$A:$C,3,0),0.0001,IF(FI16&gt;VLOOKUP("PCS-7171B",[7]ARBOR!$A:$C,3,0),"Maior que CAP!",ROUND(-1*(FI16/VLOOKUP("PCS-7171B",[7]ARBOR!$A:$C,3,0)-1),4))))</f>
        <v/>
      </c>
      <c r="FK16" s="84" t="str">
        <f>IF(ISERROR(IF(FJ16="","",VLOOKUP(("Oi Internet Pra Celular 3GB"&amp;FJ16&amp;"Template Flat Instância Dados"),[7]BENEFICIOS!$A:$E,5,0))),"Criar",IF(FJ16="","",VLOOKUP(("Oi Internet Pra Celular 3GB"&amp;FJ16&amp;"Template Flat Instância Dados"),[7]BENEFICIOS!$A:$E,5,0)))</f>
        <v/>
      </c>
      <c r="FL16" s="82"/>
      <c r="FM16" s="83" t="str">
        <f>IF(FL16=0,"",IF(FL16=VLOOKUP("PCS-51793o08",[7]ARBOR!$A:$C,3,0),0.0001,IF(FL16&gt;VLOOKUP("PCS-51793o08",[7]ARBOR!$A:$C,3,0),"Maior que CAP!",ROUND(-1*(FL16/VLOOKUP("PCS-51793o08",[7]ARBOR!$A:$C,3,0)-1),4))))</f>
        <v/>
      </c>
      <c r="FN16" s="84" t="str">
        <f>IF(ISERROR(IF(FM16="","",VLOOKUP(("Oi Internet Pra Celular 5GB"&amp;FM16&amp;"Template Flat Instância Dados"),[7]BENEFICIOS!$A:$E,5,0))),"Criar",IF(FM16="","",VLOOKUP(("Oi Internet Pra Celular 5GB"&amp;FM16&amp;"Template Flat Instância Dados"),[7]BENEFICIOS!$A:$E,5,0)))</f>
        <v/>
      </c>
      <c r="FO16" s="82"/>
      <c r="FP16" s="83" t="str">
        <f>IF(FO16=0,"",IF(FO16=VLOOKUP("PCS-7171A",[7]ARBOR!$A:$C,3,0),0.0001,IF(FO16&gt;VLOOKUP("PCS-7171A",[7]ARBOR!$A:$C,3,0),"Maior que CAP!",ROUND(-1*(FO16/VLOOKUP("PCS-7171A",[7]ARBOR!$A:$C,3,0)-1),4))))</f>
        <v/>
      </c>
      <c r="FQ16" s="84" t="str">
        <f>IF(ISERROR(IF(FP16="","",VLOOKUP(("Oi Internet Pra Celular 10GB"&amp;FP16&amp;"Template Flat Instância Dados"),[7]BENEFICIOS!$A:$E,5,0))),"Criar",IF(FP16="","",VLOOKUP(("Oi Internet Pra Celular 10GB"&amp;FP16&amp;"Template Flat Instância Dados"),[7]BENEFICIOS!$A:$E,5,0)))</f>
        <v/>
      </c>
      <c r="FR16" s="85"/>
      <c r="FS16" s="86"/>
      <c r="FT16" s="48"/>
      <c r="FU16" s="87"/>
      <c r="FV16" s="88" t="s">
        <v>225</v>
      </c>
      <c r="FW16" s="49" t="s">
        <v>230</v>
      </c>
      <c r="FX16" s="89">
        <v>999</v>
      </c>
      <c r="FY16" s="49">
        <v>12</v>
      </c>
      <c r="FZ16" s="90" t="s">
        <v>231</v>
      </c>
      <c r="GA16" s="91" t="str">
        <f t="shared" si="1"/>
        <v>PCS-Fk83324</v>
      </c>
      <c r="GB16" s="92" t="str">
        <f t="shared" si="2"/>
        <v>PCS-SBL553142</v>
      </c>
      <c r="GC16" s="93" t="s">
        <v>232</v>
      </c>
      <c r="GD16" s="90" t="s">
        <v>233</v>
      </c>
      <c r="GE16" s="92" t="s">
        <v>234</v>
      </c>
      <c r="GF16" s="93" t="s">
        <v>235</v>
      </c>
      <c r="GG16" s="90" t="s">
        <v>236</v>
      </c>
      <c r="GH16" s="92" t="s">
        <v>237</v>
      </c>
      <c r="GI16" s="94" t="s">
        <v>238</v>
      </c>
      <c r="GJ16" s="95">
        <f>EL16+CN16+BJ16</f>
        <v>224.9</v>
      </c>
      <c r="GK16" s="96"/>
      <c r="GL16" s="97" t="s">
        <v>239</v>
      </c>
      <c r="GM16" s="98" t="s">
        <v>276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279</v>
      </c>
      <c r="GX16" s="44" t="s">
        <v>242</v>
      </c>
    </row>
    <row r="17" spans="1:206" s="44" customFormat="1" x14ac:dyDescent="0.25">
      <c r="A17" s="44" t="str">
        <f t="shared" si="0"/>
        <v>Oi Total Fixo + Pós 800 + Banda LargaN21GBMG</v>
      </c>
      <c r="B17" s="45" t="s">
        <v>215</v>
      </c>
      <c r="C17" s="46" t="s">
        <v>131</v>
      </c>
      <c r="D17" s="46" t="s">
        <v>216</v>
      </c>
      <c r="E17" s="47" t="s">
        <v>217</v>
      </c>
      <c r="F17" s="88" t="s">
        <v>218</v>
      </c>
      <c r="G17" s="49"/>
      <c r="H17" s="49"/>
      <c r="I17" s="49"/>
      <c r="J17" s="49" t="s">
        <v>218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218</v>
      </c>
      <c r="AC17" s="49" t="s">
        <v>218</v>
      </c>
      <c r="AD17" s="49" t="s">
        <v>218</v>
      </c>
      <c r="AE17" s="49" t="s">
        <v>218</v>
      </c>
      <c r="AF17" s="49" t="s">
        <v>218</v>
      </c>
      <c r="AG17" s="49" t="s">
        <v>218</v>
      </c>
      <c r="AH17" s="50"/>
      <c r="AI17" s="49" t="s">
        <v>218</v>
      </c>
      <c r="AJ17" s="49" t="s">
        <v>218</v>
      </c>
      <c r="AK17" s="49" t="s">
        <v>218</v>
      </c>
      <c r="AL17" s="49" t="s">
        <v>218</v>
      </c>
      <c r="AM17" s="49" t="s">
        <v>218</v>
      </c>
      <c r="AN17" s="49" t="s">
        <v>218</v>
      </c>
      <c r="AO17" s="49" t="s">
        <v>218</v>
      </c>
      <c r="AP17" s="49"/>
      <c r="AQ17" s="51"/>
      <c r="AR17" s="52" t="s">
        <v>280</v>
      </c>
      <c r="AS17" s="46" t="s">
        <v>220</v>
      </c>
      <c r="AT17" s="53" t="s">
        <v>221</v>
      </c>
      <c r="AU17" s="54">
        <v>42972</v>
      </c>
      <c r="AV17" s="105">
        <v>43097</v>
      </c>
      <c r="AW17" s="56" t="s">
        <v>222</v>
      </c>
      <c r="AX17" s="57" t="s">
        <v>222</v>
      </c>
      <c r="AY17" s="58"/>
      <c r="AZ17" s="58" t="s">
        <v>223</v>
      </c>
      <c r="BA17" s="58">
        <v>20</v>
      </c>
      <c r="BB17" s="58">
        <v>10000</v>
      </c>
      <c r="BC17" s="59" t="s">
        <v>224</v>
      </c>
      <c r="BD17" s="60" t="s">
        <v>225</v>
      </c>
      <c r="BE17" s="58" t="s">
        <v>217</v>
      </c>
      <c r="BF17" s="51" t="s">
        <v>217</v>
      </c>
      <c r="BG17" s="45" t="s">
        <v>280</v>
      </c>
      <c r="BH17" s="61" t="s">
        <v>226</v>
      </c>
      <c r="BI17" s="62" t="str">
        <f>IF(ISERROR(VLOOKUP(BH17,[7]PLANOS!B:C,2,0)),"",VLOOKUP(BH17,[7]PLANOS!B:C,2,0))</f>
        <v>PCS-4P6pi</v>
      </c>
      <c r="BJ17" s="63">
        <v>50.1</v>
      </c>
      <c r="BK17" s="64">
        <f>IF(BJ17=0,"",IF(BJ17=VLOOKUP("FIXO",[7]ARBOR!$A:$C,3,0),0.0001,IF(BJ17&gt;VLOOKUP("FIXO",[7]ARBOR!$A:$C,3,0),"Maior que CAP!",IF((DOLLAR(BJ17+(VLOOKUP("FIXO",[7]ARBOR!$A:$C,3,0)*-TRUNC(BJ17/VLOOKUP("FIXO",[7]ARBOR!$A:$C,3,0)-1,4)),6))&lt;&gt;(DOLLAR(VLOOKUP("FIXO",[7]ARBOR!$A:$C,3,0),6)),-TRUNC(BJ17/VLOOKUP("FIXO",[7]ARBOR!$A:$C,3,0)-1,4)+0.0001,-TRUNC(BJ17/VLOOKUP("FIXO",[7]ARBOR!$A:$C,3,0)-1,4)))))</f>
        <v>0.33939999999999998</v>
      </c>
      <c r="BL17" s="65" t="str">
        <f>IF(ISERROR(IF(BK17="","",VLOOKUP(($BH17&amp;BK17&amp;"Template de desconto FLAT bundle - Fixo - Varejo - Ganho Tributário Cross"),[7]BENEFICIOS!$A:$E,5,0))),"Criar",IF(BK17="","",VLOOKUP(($BH17&amp;BK17&amp;"Template de desconto FLAT bundle - Fixo - Varejo - Ganho Tributário Cross"),[7]BENEFICIOS!$A:$E,5,0)))</f>
        <v>MKT-1-9856472058</v>
      </c>
      <c r="BM17" s="66"/>
      <c r="BN17" s="67"/>
      <c r="BO17" s="68" t="s">
        <v>165</v>
      </c>
      <c r="BP17" s="69">
        <v>44.9</v>
      </c>
      <c r="BQ17" s="64">
        <f>IF(BP17=0,"",IF(BP17=VLOOKUP("PCS-30874g",[7]ARBOR!$A:$C,3,0),0.0001,IF(BP17&gt;VLOOKUP("PCS-30874g",[7]ARBOR!$A:$C,3,0),"Maior que CAP!",IF((DOLLAR(BP17+(VLOOKUP("PCS-30874g",[7]ARBOR!$A:$C,3,0)*-TRUNC(BP17/VLOOKUP("PCS-30874g",[7]ARBOR!$A:$C,3,0)-1,4)),6))&lt;&gt;(DOLLAR(VLOOKUP("PCS-30874g",[7]ARBOR!$A:$C,3,0),6)),-TRUNC(BP17/VLOOKUP("PCS-30874g",[7]ARBOR!$A:$C,3,0)-1,4)+0.0001,-TRUNC(BP17/VLOOKUP("PCS-30874g",[7]ARBOR!$A:$C,3,0)-1,4)))))</f>
        <v>0.53679999999999994</v>
      </c>
      <c r="BR17" s="65" t="str">
        <f>IF(ISERROR(IF(BQ17="","",VLOOKUP(($BH17&amp;BQ17&amp;"Template de desconto FLAT bundle - Velox XDSL - Varejo"),[7]BENEFICIOS!$A:$E,5,0))),"Criar",IF(BQ17="","",VLOOKUP(($BH17&amp;BQ17&amp;"Template de desconto FLAT bundle - Velox XDSL - Varejo"),[7]BENEFICIOS!$A:$E,5,0)))</f>
        <v>MKT-1-9865126733</v>
      </c>
      <c r="BS17" s="68" t="s">
        <v>165</v>
      </c>
      <c r="BT17" s="69">
        <v>44.9</v>
      </c>
      <c r="BU17" s="64">
        <f>IF(BT17=0,"",IF(BT17=VLOOKUP("PCS-30577g",[7]ARBOR!$A:$C,3,0),0.0001,IF(BT17&gt;VLOOKUP("PCS-30577g",[7]ARBOR!$A:$C,3,0),"Maior que CAP!",IF((DOLLAR(BT17+(VLOOKUP("PCS-30577g",[7]ARBOR!$A:$C,3,0)*-TRUNC(BT17/VLOOKUP("PCS-30577g",[7]ARBOR!$A:$C,3,0)-1,4)),6))&lt;&gt;(DOLLAR(VLOOKUP("PCS-30577g",[7]ARBOR!$A:$C,3,0),6)),-TRUNC(BT17/VLOOKUP("PCS-30577g",[7]ARBOR!$A:$C,3,0)-1,4)+0.0001,-TRUNC(BT17/VLOOKUP("PCS-30577g",[7]ARBOR!$A:$C,3,0)-1,4)))))</f>
        <v>0.53679999999999994</v>
      </c>
      <c r="BV17" s="65" t="str">
        <f>IF(ISERROR(IF(BU17="","",VLOOKUP(($BH17&amp;BU17&amp;"Template de desconto FLAT bundle - Velox XDSL - Varejo"),[7]BENEFICIOS!$A:$E,5,0))),"Criar",IF(BU17="","",VLOOKUP(($BH17&amp;BU17&amp;"Template de desconto FLAT bundle - Velox XDSL - Varejo"),[7]BENEFICIOS!$A:$E,5,0)))</f>
        <v>MKT-1-9865126733</v>
      </c>
      <c r="BW17" s="68" t="s">
        <v>165</v>
      </c>
      <c r="BX17" s="69">
        <v>44.9</v>
      </c>
      <c r="BY17" s="64">
        <f>IF(BX17=0,"",IF(BX17=VLOOKUP("PCS-30604g",[7]ARBOR!$A:$C,3,0),0.0001,IF(BX17&gt;VLOOKUP("PCS-30604g",[7]ARBOR!$A:$C,3,0),"Maior que CAP!",IF((DOLLAR(BX17+(VLOOKUP("PCS-30604g",[7]ARBOR!$A:$C,3,0)*-TRUNC(BX17/VLOOKUP("PCS-30604g",[7]ARBOR!$A:$C,3,0)-1,4)),6))&lt;&gt;(DOLLAR(VLOOKUP("PCS-30604g",[7]ARBOR!$A:$C,3,0),6)),-TRUNC(BX17/VLOOKUP("PCS-30604g",[7]ARBOR!$A:$C,3,0)-1,4)+0.0001,-TRUNC(BX17/VLOOKUP("PCS-30604g",[7]ARBOR!$A:$C,3,0)-1,4)))))</f>
        <v>0.53679999999999994</v>
      </c>
      <c r="BZ17" s="65" t="str">
        <f>IF(ISERROR(IF(BY17="","",VLOOKUP(($BH17&amp;BY17&amp;"Template de desconto FLAT bundle - Velox XDSL - Varejo"),[7]BENEFICIOS!$A:$E,5,0))),"Criar",IF(BY17="","",VLOOKUP(($BH17&amp;BY17&amp;"Template de desconto FLAT bundle - Velox XDSL - Varejo"),[7]BENEFICIOS!$A:$E,5,0)))</f>
        <v>MKT-1-9865126733</v>
      </c>
      <c r="CA17" s="68" t="s">
        <v>165</v>
      </c>
      <c r="CB17" s="69">
        <v>44.9</v>
      </c>
      <c r="CC17" s="64">
        <f>IF(CB17=0,"",IF(CB17=VLOOKUP("PCS-30631g",[7]ARBOR!$A:$C,3,0),0.0001,IF(CB17&gt;VLOOKUP("PCS-30631g",[7]ARBOR!$A:$C,3,0),"Maior que CAP!",IF((DOLLAR(CB17+(VLOOKUP("PCS-30631g",[7]ARBOR!$A:$C,3,0)*-TRUNC(CB17/VLOOKUP("PCS-30631g",[7]ARBOR!$A:$C,3,0)-1,4)),6))&lt;&gt;(DOLLAR(VLOOKUP("PCS-30631g",[7]ARBOR!$A:$C,3,0),6)),-TRUNC(CB17/VLOOKUP("PCS-30631g",[7]ARBOR!$A:$C,3,0)-1,4)+0.0001,-TRUNC(CB17/VLOOKUP("PCS-30631g",[7]ARBOR!$A:$C,3,0)-1,4)))))</f>
        <v>0.54310000000000003</v>
      </c>
      <c r="CD17" s="65" t="str">
        <f>IF(ISERROR(IF(CC17="","",VLOOKUP(($BH17&amp;CC17&amp;"Template de desconto FLAT bundle - Velox XDSL - Varejo"),[7]BENEFICIOS!$A:$E,5,0))),"Criar",IF(CC17="","",VLOOKUP(($BH17&amp;CC17&amp;"Template de desconto FLAT bundle - Velox XDSL - Varejo"),[7]BENEFICIOS!$A:$E,5,0)))</f>
        <v>MKT-1-9865126826</v>
      </c>
      <c r="CE17" s="68"/>
      <c r="CF17" s="69"/>
      <c r="CG17" s="64" t="str">
        <f>IF(CF17=0,"",IF(CF17=VLOOKUP("PCS-30658g",[7]ARBOR!$A:$C,3,0),0.0001,IF(CF17&gt;VLOOKUP("PCS-30658g",[7]ARBOR!$A:$C,3,0),"Maior que CAP!",IF((DOLLAR(CF17+(VLOOKUP("PCS-30658g",[7]ARBOR!$A:$C,3,0)*-TRUNC(CF17/VLOOKUP("PCS-30658g",[7]ARBOR!$A:$C,3,0)-1,4)),6))&lt;&gt;(DOLLAR(VLOOKUP("PCS-30658g",[7]ARBOR!$A:$C,3,0),6)),-TRUNC(CF17/VLOOKUP("PCS-30658g",[7]ARBOR!$A:$C,3,0)-1,4)+0.0001,-TRUNC(CF17/VLOOKUP("PCS-30658g",[7]ARBOR!$A:$C,3,0)-1,4)))))</f>
        <v/>
      </c>
      <c r="CH17" s="65" t="str">
        <f>IF(ISERROR(IF(CG17="","",VLOOKUP(($BH17&amp;CG17&amp;"Template de desconto FLAT bundle - Velox XDSL - Varejo"),[7]BENEFICIOS!$A:$E,5,0))),"Criar",IF(CG17="","",VLOOKUP(($BH17&amp;CG17&amp;"Template de desconto FLAT bundle - Velox XDSL - Varejo"),[7]BENEFICIOS!$A:$E,5,0)))</f>
        <v/>
      </c>
      <c r="CI17" s="68"/>
      <c r="CJ17" s="69"/>
      <c r="CK17" s="64" t="str">
        <f>IF(CJ17=0,"",IF(CJ17=VLOOKUP("PCS-30685g",[7]ARBOR!$A:$C,3,0),0.0001,IF(CJ17&gt;VLOOKUP("PCS-30685g",[7]ARBOR!$A:$C,3,0),"Maior que CAP!",IF((DOLLAR(CJ17+(VLOOKUP("PCS-30685g",[7]ARBOR!$A:$C,3,0)*-TRUNC(CJ17/VLOOKUP("PCS-30685g",[7]ARBOR!$A:$C,3,0)-1,4)),6))&lt;&gt;(DOLLAR(VLOOKUP("PCS-30685g",[7]ARBOR!$A:$C,3,0),6)),-TRUNC(CJ17/VLOOKUP("PCS-30685g",[7]ARBOR!$A:$C,3,0)-1,4)+0.0001,-TRUNC(CJ17/VLOOKUP("PCS-30685g",[7]ARBOR!$A:$C,3,0)-1,4)))))</f>
        <v/>
      </c>
      <c r="CL17" s="65" t="str">
        <f>IF(ISERROR(IF(CK17="","",VLOOKUP(($BH17&amp;CK17&amp;"Template de desconto FLAT bundle - Velox XDSL - Varejo"),[7]BENEFICIOS!$A:$E,5,0))),"Criar",IF(CK17="","",VLOOKUP(($BH17&amp;CK17&amp;"Template de desconto FLAT bundle - Velox XDSL - Varejo"),[7]BENEFICIOS!$A:$E,5,0)))</f>
        <v/>
      </c>
      <c r="CM17" s="68"/>
      <c r="CN17" s="69"/>
      <c r="CO17" s="64" t="str">
        <f>IF(CN17=0,"",IF(CN17=VLOOKUP("PCS-30712g",[7]ARBOR!$A:$C,3,0),0.0001,IF(CN17&gt;VLOOKUP("PCS-30712g",[7]ARBOR!$A:$C,3,0),"Maior que CAP!",IF((DOLLAR(CN17+(VLOOKUP("PCS-30712g",[7]ARBOR!$A:$C,3,0)*-TRUNC(CN17/VLOOKUP("PCS-30712g",[7]ARBOR!$A:$C,3,0)-1,4)),6))&lt;&gt;(DOLLAR(VLOOKUP("PCS-30712g",[7]ARBOR!$A:$C,3,0),6)),-TRUNC(CN17/VLOOKUP("PCS-30712g",[7]ARBOR!$A:$C,3,0)-1,4)+0.0001,-TRUNC(CN17/VLOOKUP("PCS-30712g",[7]ARBOR!$A:$C,3,0)-1,4)))))</f>
        <v/>
      </c>
      <c r="CP17" s="65" t="str">
        <f>IF(ISERROR(IF(CO17="","",VLOOKUP(($BH17&amp;CO17&amp;"Template de desconto FLAT bundle - Velox XDSL - Varejo"),[7]BENEFICIOS!$A:$E,5,0))),"Criar",IF(CO17="","",VLOOKUP(($BH17&amp;CO17&amp;"Template de desconto FLAT bundle - Velox XDSL - Varejo"),[7]BENEFICIOS!$A:$E,5,0)))</f>
        <v/>
      </c>
      <c r="CQ17" s="68"/>
      <c r="CR17" s="69"/>
      <c r="CS17" s="64" t="str">
        <f>IF(CR17=0,"",IF(CR17=VLOOKUP("PCS-30739g",[7]ARBOR!$A:$C,3,0),0.0001,IF(CR17&gt;VLOOKUP("PCS-30739g",[7]ARBOR!$A:$C,3,0),"Maior que CAP!",IF((DOLLAR(CR17+(VLOOKUP("PCS-30739g",[7]ARBOR!$A:$C,3,0)*-TRUNC(CR17/VLOOKUP("PCS-30739g",[7]ARBOR!$A:$C,3,0)-1,4)),6))&lt;&gt;(DOLLAR(VLOOKUP("PCS-30739g",[7]ARBOR!$A:$C,3,0),6)),-TRUNC(CR17/VLOOKUP("PCS-30739g",[7]ARBOR!$A:$C,3,0)-1,4)+0.0001,-TRUNC(CR17/VLOOKUP("PCS-30739g",[7]ARBOR!$A:$C,3,0)-1,4)))))</f>
        <v/>
      </c>
      <c r="CT17" s="65" t="str">
        <f>IF(ISERROR(IF(CS17="","",VLOOKUP(($BH17&amp;CS17&amp;"Template de desconto FLAT bundle - Velox XDSL - Varejo"),[7]BENEFICIOS!$A:$E,5,0))),"Criar",IF(CS17="","",VLOOKUP(($BH17&amp;CS17&amp;"Template de desconto FLAT bundle - Velox XDSL - Varejo"),[7]BENEFICIOS!$A:$E,5,0)))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IF(CZ17=0,"",IF(CZ17=VLOOKUP("PCS-30766g",[7]ARBOR!$A:$C,3,0),0.0001,IF(CZ17&gt;VLOOKUP("PCS-30766g",[7]ARBOR!$A:$C,3,0),"Maior que CAP!",IF((DOLLAR(CZ17+(VLOOKUP("PCS-30766g",[7]ARBOR!$A:$C,3,0)*-TRUNC(CZ17/VLOOKUP("PCS-30766g",[7]ARBOR!$A:$C,3,0)-1,4)),6))&lt;&gt;(DOLLAR(VLOOKUP("PCS-30766g",[7]ARBOR!$A:$C,3,0),6)),-TRUNC(CZ17/VLOOKUP("PCS-30766g",[7]ARBOR!$A:$C,3,0)-1,4)+0.0001,-TRUNC(CZ17/VLOOKUP("PCS-30766g",[7]ARBOR!$A:$C,3,0)-1,4)))))</f>
        <v/>
      </c>
      <c r="DB17" s="65" t="str">
        <f>IF(ISERROR(IF(DA17="","",VLOOKUP(($BH17&amp;DA17&amp;"Template de desconto FLAT bundle - Velox XDSL - Varejo"),[7]BENEFICIOS!$A:$E,5,0))),"Criar",IF(DA17="","",VLOOKUP(($BH17&amp;DA17&amp;"Template de desconto FLAT bundle - Velox XDSL - Varejo"),[7]BENEFICIOS!$A:$E,5,0)))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IF(DH17=0,"",IF(DH17=VLOOKUP("PCS-30793g",[7]ARBOR!$A:$C,3,0),0.0001,IF(DH17&gt;VLOOKUP("PCS-30793g",[7]ARBOR!$A:$C,3,0),"Maior que CAP!",IF((DOLLAR(DH17+(VLOOKUP("PCS-30793g",[7]ARBOR!$A:$C,3,0)*-TRUNC(DH17/VLOOKUP("PCS-30793g",[7]ARBOR!$A:$C,3,0)-1,4)),6))&lt;&gt;(DOLLAR(VLOOKUP("PCS-30793g",[7]ARBOR!$A:$C,3,0),6)),-TRUNC(DH17/VLOOKUP("PCS-30793g",[7]ARBOR!$A:$C,3,0)-1,4)+0.0001,-TRUNC(DH17/VLOOKUP("PCS-30793g",[7]ARBOR!$A:$C,3,0)-1,4)))))</f>
        <v/>
      </c>
      <c r="DJ17" s="65" t="str">
        <f>IF(ISERROR(IF(DI17="","",VLOOKUP(($BH17&amp;DI17&amp;"Template de desconto FLAT bundle - Velox XDSL - Varejo"),[7]BENEFICIOS!$A:$E,5,0))),"Criar",IF(DI17="","",VLOOKUP(($BH17&amp;DI17&amp;"Template de desconto FLAT bundle - Velox XDSL - Varejo"),[7]BENEFICIOS!$A:$E,5,0)))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IF(DP17=0,"",IF(DP17=VLOOKUP("PCS-30820g",[7]ARBOR!$A:$C,3,0),0.0001,IF(DP17&gt;VLOOKUP("PCS-30820g",[7]ARBOR!$A:$C,3,0),"Maior que CAP!",IF((DOLLAR(DP17+(VLOOKUP("PCS-30820g",[7]ARBOR!$A:$C,3,0)*-TRUNC(DP17/VLOOKUP("PCS-30820g",[7]ARBOR!$A:$C,3,0)-1,4)),6))&lt;&gt;(DOLLAR(VLOOKUP("PCS-30820g",[7]ARBOR!$A:$C,3,0),6)),-TRUNC(DP17/VLOOKUP("PCS-30820g",[7]ARBOR!$A:$C,3,0)-1,4)+0.0001,-TRUNC(DP17/VLOOKUP("PCS-30820g",[7]ARBOR!$A:$C,3,0)-1,4)))))</f>
        <v/>
      </c>
      <c r="DR17" s="65" t="str">
        <f>IF(ISERROR(IF(DQ17="","",VLOOKUP(($BH17&amp;DQ17&amp;"Template de desconto FLAT bundle - Velox XDSL - Varejo"),[7]BENEFICIOS!$A:$E,5,0))),"Criar",IF(DQ17="","",VLOOKUP(($BH17&amp;DQ17&amp;"Template de desconto FLAT bundle - Velox XDSL - Varejo"),[7]BENEFICIOS!$A:$E,5,0)))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IF(DW17=0,"",IF(DW17=VLOOKUP("PCS-21448p2",[7]ARBOR!$A:$C,3,0),0.0001,IF(DW17&gt;VLOOKUP("PCS-21448p2",[7]ARBOR!$A:$C,3,0),"Maior que CAP!",IF((DOLLAR(DW17+(VLOOKUP("PCS-21448p2",[7]ARBOR!$A:$C,3,0)*-TRUNC(DW17/VLOOKUP("PCS-21448p2",[7]ARBOR!$A:$C,3,0)-1,4)),6))&lt;&gt;(DOLLAR(VLOOKUP("PCS-21448p2",[7]ARBOR!$A:$C,3,0),6)),-TRUNC(DW17/VLOOKUP("PCS-21448p2",[7]ARBOR!$A:$C,3,0)-1,4)+0.0001,-TRUNC(DW17/VLOOKUP("PCS-21448p2",[7]ARBOR!$A:$C,3,0)-1,4)))))</f>
        <v>0.64900000000000002</v>
      </c>
      <c r="DY17" s="65" t="str">
        <f>IF(ISERROR(IF(DX17="","",VLOOKUP(("Oi Conta Total Plug 10GB Downgrade"&amp;DX17&amp;"Template de desconto percentual BL Móvel - Internet Total - Varejo"),[7]BENEFICIOS!$A:$E,5,0))),"Criar",IF(DX17="","",VLOOKUP(("Oi Conta Total Plug 10GB Downgrade"&amp;DX17&amp;"Template de desconto percentual BL Móvel - Internet Total - Varejo"),[7]BENEFICIOS!$A:$E,5,0)))</f>
        <v>MKT-1-9825544790</v>
      </c>
      <c r="DZ17" s="71">
        <v>16.5</v>
      </c>
      <c r="EA17" s="72">
        <f>IF(DZ17=0,"",IF(DZ17=VLOOKUP("SVA",[7]ARBOR!$A:$C,3,0),0.0001,IF(DZ17&gt;VLOOKUP("SVA",[7]ARBOR!$A:$C,3,0),"Maior que CAP!",IF((DOLLAR(DZ17+(VLOOKUP("SVA",[7]ARBOR!$A:$C,3,0)*-TRUNC(DZ17/VLOOKUP("SVA",[7]ARBOR!$A:$C,3,0)-1,4)),6))&lt;&gt;(DOLLAR(VLOOKUP("SVA",[7]ARBOR!$A:$C,3,0),6)),-TRUNC(DZ17/VLOOKUP("SVA",[7]ARBOR!$A:$C,3,0)-1,4)+0.0001,-TRUNC(DZ17/VLOOKUP("SVA",[7]ARBOR!$A:$C,3,0)-1,4)))))</f>
        <v>0.2301</v>
      </c>
      <c r="EB17" s="65" t="s">
        <v>227</v>
      </c>
      <c r="EC17" s="69"/>
      <c r="ED17" s="73"/>
      <c r="EE17" s="74"/>
      <c r="EF17" s="65"/>
      <c r="EG17" s="75">
        <f>IF(BI17="","",VLOOKUP(BI17,[7]ARBOR!A:C,3,0))</f>
        <v>479.46</v>
      </c>
      <c r="EH17" s="69">
        <v>15</v>
      </c>
      <c r="EI17" s="76">
        <f>IF(EH17="","",1-(EH17/VLOOKUP(BI17&amp;"ASS",[7]ARBOR!A:C,3,0)))</f>
        <v>0.34725848563968664</v>
      </c>
      <c r="EJ17" s="77" t="s">
        <v>228</v>
      </c>
      <c r="EK17" s="78" t="s">
        <v>229</v>
      </c>
      <c r="EL17" s="69">
        <v>116.16000000000001</v>
      </c>
      <c r="EM17" s="64">
        <f>IF(EL17=0,"",IF(EL17=EG17,0.0001,ROUND(1-((EL17+(VLOOKUP(BI17&amp;"ASS",[7]ARBOR!A:C,3,0)-EH17))/EG17),4)))</f>
        <v>0.74109999999999998</v>
      </c>
      <c r="EN17" s="65" t="str">
        <f>IF(ISERROR(IF(EM17="","",VLOOKUP(($BH17&amp;EM17&amp;"Template de desconto percentual FLAT Móvel - Conta Total - Varejo - Ganho Tributário Cross"),[7]BENEFICIOS!$A:$E,5,0))),"Criar",IF(EM17="","",VLOOKUP(($BH17&amp;EM17&amp;"Template de desconto percentual FLAT Móvel - Conta Total - Varejo - Ganho Tributário Cross"),[7]BENEFICIOS!$A:$E,5,0)))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248</v>
      </c>
      <c r="EV17" s="81" t="s">
        <v>249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IF(FC17=0,"",IF(FC17=VLOOKUP("PCS-10357",[7]ARBOR!$A:$C,3,0),0.0001,IF(FC17&gt;VLOOKUP("PCS-10357",[7]ARBOR!$A:$C,3,0),"Maior que CAP!",ROUND(-1*(FC17/VLOOKUP("PCS-10357",[7]ARBOR!$A:$C,3,0)-1),4))))</f>
        <v>0.8669</v>
      </c>
      <c r="FE17" s="84" t="str">
        <f>IF(ISERROR(IF(FD17="","",VLOOKUP(("Oi Internet Pra Celular 1GB"&amp;FD17&amp;"Template Flat Instância Dados"),[7]BENEFICIOS!$A:$E,5,0))),"Criar",IF(FD17="","",VLOOKUP(("Oi Internet Pra Celular 1GB"&amp;FD17&amp;"Template Flat Instância Dados"),[7]BENEFICIOS!$A:$E,5,0)))</f>
        <v>MKT-1-9869952543</v>
      </c>
      <c r="FF17" s="82"/>
      <c r="FG17" s="83" t="str">
        <f>IF(FF17=0,"",IF(FF17=VLOOKUP("PCS-813565",[7]ARBOR!$A:$C,3,0),0.0001,IF(FF17&gt;VLOOKUP("PCS-813565",[7]ARBOR!$A:$C,3,0),"Maior que CAP!",ROUND(-1*(FF17/VLOOKUP("PCS-813565",[7]ARBOR!$A:$C,3,0)-1),4))))</f>
        <v/>
      </c>
      <c r="FH17" s="84" t="str">
        <f>IF(ISERROR(IF(FG17="","",VLOOKUP(("Oi Internet Pra Celular 2GB"&amp;FG17&amp;"Template Flat Instância Dados"),[7]BENEFICIOS!$A:$E,5,0))),"Criar",IF(FG17="","",VLOOKUP(("Oi Internet Pra Celular 2GB"&amp;FG17&amp;"Template Flat Instância Dados"),[7]BENEFICIOS!$A:$E,5,0)))</f>
        <v/>
      </c>
      <c r="FI17" s="82"/>
      <c r="FJ17" s="83" t="str">
        <f>IF(FI17=0,"",IF(FI17=VLOOKUP("PCS-7171B",[7]ARBOR!$A:$C,3,0),0.0001,IF(FI17&gt;VLOOKUP("PCS-7171B",[7]ARBOR!$A:$C,3,0),"Maior que CAP!",ROUND(-1*(FI17/VLOOKUP("PCS-7171B",[7]ARBOR!$A:$C,3,0)-1),4))))</f>
        <v/>
      </c>
      <c r="FK17" s="84" t="str">
        <f>IF(ISERROR(IF(FJ17="","",VLOOKUP(("Oi Internet Pra Celular 3GB"&amp;FJ17&amp;"Template Flat Instância Dados"),[7]BENEFICIOS!$A:$E,5,0))),"Criar",IF(FJ17="","",VLOOKUP(("Oi Internet Pra Celular 3GB"&amp;FJ17&amp;"Template Flat Instância Dados"),[7]BENEFICIOS!$A:$E,5,0)))</f>
        <v/>
      </c>
      <c r="FL17" s="82"/>
      <c r="FM17" s="83" t="str">
        <f>IF(FL17=0,"",IF(FL17=VLOOKUP("PCS-51793o08",[7]ARBOR!$A:$C,3,0),0.0001,IF(FL17&gt;VLOOKUP("PCS-51793o08",[7]ARBOR!$A:$C,3,0),"Maior que CAP!",ROUND(-1*(FL17/VLOOKUP("PCS-51793o08",[7]ARBOR!$A:$C,3,0)-1),4))))</f>
        <v/>
      </c>
      <c r="FN17" s="84" t="str">
        <f>IF(ISERROR(IF(FM17="","",VLOOKUP(("Oi Internet Pra Celular 5GB"&amp;FM17&amp;"Template Flat Instância Dados"),[7]BENEFICIOS!$A:$E,5,0))),"Criar",IF(FM17="","",VLOOKUP(("Oi Internet Pra Celular 5GB"&amp;FM17&amp;"Template Flat Instância Dados"),[7]BENEFICIOS!$A:$E,5,0)))</f>
        <v/>
      </c>
      <c r="FO17" s="82"/>
      <c r="FP17" s="83" t="str">
        <f>IF(FO17=0,"",IF(FO17=VLOOKUP("PCS-7171A",[7]ARBOR!$A:$C,3,0),0.0001,IF(FO17&gt;VLOOKUP("PCS-7171A",[7]ARBOR!$A:$C,3,0),"Maior que CAP!",ROUND(-1*(FO17/VLOOKUP("PCS-7171A",[7]ARBOR!$A:$C,3,0)-1),4))))</f>
        <v/>
      </c>
      <c r="FQ17" s="84" t="str">
        <f>IF(ISERROR(IF(FP17="","",VLOOKUP(("Oi Internet Pra Celular 10GB"&amp;FP17&amp;"Template Flat Instância Dados"),[7]BENEFICIOS!$A:$E,5,0))),"Criar",IF(FP17="","",VLOOKUP(("Oi Internet Pra Celular 10GB"&amp;FP17&amp;"Template Flat Instância Dados"),[7]BENEFICIOS!$A:$E,5,0)))</f>
        <v/>
      </c>
      <c r="FR17" s="85">
        <v>0.74219999999999997</v>
      </c>
      <c r="FS17" s="86" t="s">
        <v>250</v>
      </c>
      <c r="FT17" s="48"/>
      <c r="FU17" s="87"/>
      <c r="FV17" s="88" t="s">
        <v>225</v>
      </c>
      <c r="FW17" s="49" t="s">
        <v>230</v>
      </c>
      <c r="FX17" s="89">
        <v>999</v>
      </c>
      <c r="FY17" s="49">
        <v>12</v>
      </c>
      <c r="FZ17" s="90" t="s">
        <v>231</v>
      </c>
      <c r="GA17" s="91" t="str">
        <f t="shared" si="1"/>
        <v>PCS-Fk83324</v>
      </c>
      <c r="GB17" s="92" t="str">
        <f t="shared" si="2"/>
        <v>PCS-SBL553142</v>
      </c>
      <c r="GC17" s="93" t="s">
        <v>232</v>
      </c>
      <c r="GD17" s="90" t="s">
        <v>233</v>
      </c>
      <c r="GE17" s="92" t="s">
        <v>234</v>
      </c>
      <c r="GF17" s="93" t="s">
        <v>235</v>
      </c>
      <c r="GG17" s="90" t="s">
        <v>236</v>
      </c>
      <c r="GH17" s="92" t="s">
        <v>237</v>
      </c>
      <c r="GI17" s="94" t="s">
        <v>238</v>
      </c>
      <c r="GJ17" s="95">
        <f>FC17+EL17+DW17+BJ17</f>
        <v>219.9</v>
      </c>
      <c r="GK17" s="96"/>
      <c r="GL17" s="97" t="s">
        <v>239</v>
      </c>
      <c r="GM17" s="98" t="s">
        <v>276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281</v>
      </c>
      <c r="GX17" s="44" t="s">
        <v>242</v>
      </c>
    </row>
    <row r="18" spans="1:206" s="44" customFormat="1" x14ac:dyDescent="0.25">
      <c r="A18" s="44" t="str">
        <f t="shared" si="0"/>
        <v>Oi Total Fixo + Pós 800 + Banda LargaN21GBMG</v>
      </c>
      <c r="B18" s="45" t="s">
        <v>215</v>
      </c>
      <c r="C18" s="46" t="s">
        <v>131</v>
      </c>
      <c r="D18" s="46" t="s">
        <v>216</v>
      </c>
      <c r="E18" s="47" t="s">
        <v>217</v>
      </c>
      <c r="F18" s="88" t="s">
        <v>218</v>
      </c>
      <c r="G18" s="49"/>
      <c r="H18" s="49"/>
      <c r="I18" s="49"/>
      <c r="J18" s="49" t="s">
        <v>218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218</v>
      </c>
      <c r="AC18" s="49" t="s">
        <v>218</v>
      </c>
      <c r="AD18" s="49" t="s">
        <v>218</v>
      </c>
      <c r="AE18" s="49" t="s">
        <v>218</v>
      </c>
      <c r="AF18" s="49" t="s">
        <v>218</v>
      </c>
      <c r="AG18" s="49" t="s">
        <v>218</v>
      </c>
      <c r="AH18" s="50"/>
      <c r="AI18" s="49" t="s">
        <v>218</v>
      </c>
      <c r="AJ18" s="49" t="s">
        <v>218</v>
      </c>
      <c r="AK18" s="49" t="s">
        <v>218</v>
      </c>
      <c r="AL18" s="49" t="s">
        <v>218</v>
      </c>
      <c r="AM18" s="49" t="s">
        <v>218</v>
      </c>
      <c r="AN18" s="49" t="s">
        <v>218</v>
      </c>
      <c r="AO18" s="49" t="s">
        <v>218</v>
      </c>
      <c r="AP18" s="49"/>
      <c r="AQ18" s="51"/>
      <c r="AR18" s="52" t="s">
        <v>282</v>
      </c>
      <c r="AS18" s="46" t="s">
        <v>220</v>
      </c>
      <c r="AT18" s="53" t="s">
        <v>221</v>
      </c>
      <c r="AU18" s="54">
        <v>42972</v>
      </c>
      <c r="AV18" s="105">
        <v>43097</v>
      </c>
      <c r="AW18" s="56" t="s">
        <v>222</v>
      </c>
      <c r="AX18" s="57" t="s">
        <v>222</v>
      </c>
      <c r="AY18" s="58"/>
      <c r="AZ18" s="58" t="s">
        <v>223</v>
      </c>
      <c r="BA18" s="58">
        <v>20</v>
      </c>
      <c r="BB18" s="58">
        <v>10000</v>
      </c>
      <c r="BC18" s="59" t="s">
        <v>224</v>
      </c>
      <c r="BD18" s="60" t="s">
        <v>225</v>
      </c>
      <c r="BE18" s="58" t="s">
        <v>217</v>
      </c>
      <c r="BF18" s="51" t="s">
        <v>217</v>
      </c>
      <c r="BG18" s="45" t="s">
        <v>282</v>
      </c>
      <c r="BH18" s="61" t="s">
        <v>226</v>
      </c>
      <c r="BI18" s="62" t="str">
        <f>IF(ISERROR(VLOOKUP(BH18,[7]PLANOS!B:C,2,0)),"",VLOOKUP(BH18,[7]PLANOS!B:C,2,0))</f>
        <v>PCS-4P6pi</v>
      </c>
      <c r="BJ18" s="63">
        <v>50.1</v>
      </c>
      <c r="BK18" s="64">
        <f>IF(BJ18=0,"",IF(BJ18=VLOOKUP("FIXO",[7]ARBOR!$A:$C,3,0),0.0001,IF(BJ18&gt;VLOOKUP("FIXO",[7]ARBOR!$A:$C,3,0),"Maior que CAP!",IF((DOLLAR(BJ18+(VLOOKUP("FIXO",[7]ARBOR!$A:$C,3,0)*-TRUNC(BJ18/VLOOKUP("FIXO",[7]ARBOR!$A:$C,3,0)-1,4)),6))&lt;&gt;(DOLLAR(VLOOKUP("FIXO",[7]ARBOR!$A:$C,3,0),6)),-TRUNC(BJ18/VLOOKUP("FIXO",[7]ARBOR!$A:$C,3,0)-1,4)+0.0001,-TRUNC(BJ18/VLOOKUP("FIXO",[7]ARBOR!$A:$C,3,0)-1,4)))))</f>
        <v>0.33939999999999998</v>
      </c>
      <c r="BL18" s="65" t="str">
        <f>IF(ISERROR(IF(BK18="","",VLOOKUP(($BH18&amp;BK18&amp;"Template de desconto FLAT bundle - Fixo - Varejo - Ganho Tributário Cross"),[7]BENEFICIOS!$A:$E,5,0))),"Criar",IF(BK18="","",VLOOKUP(($BH18&amp;BK18&amp;"Template de desconto FLAT bundle - Fixo - Varejo - Ganho Tributário Cross"),[7]BENEFICIOS!$A:$E,5,0)))</f>
        <v>MKT-1-9856472058</v>
      </c>
      <c r="BM18" s="66"/>
      <c r="BN18" s="67"/>
      <c r="BO18" s="104" t="s">
        <v>244</v>
      </c>
      <c r="BP18" s="69">
        <v>44.9</v>
      </c>
      <c r="BQ18" s="64">
        <f>IF(BP18=0,"",IF(BP18=VLOOKUP("PCS-30874g",[7]ARBOR!$A:$C,3,0),0.0001,IF(BP18&gt;VLOOKUP("PCS-30874g",[7]ARBOR!$A:$C,3,0),"Maior que CAP!",IF((DOLLAR(BP18+(VLOOKUP("PCS-30874g",[7]ARBOR!$A:$C,3,0)*-TRUNC(BP18/VLOOKUP("PCS-30874g",[7]ARBOR!$A:$C,3,0)-1,4)),6))&lt;&gt;(DOLLAR(VLOOKUP("PCS-30874g",[7]ARBOR!$A:$C,3,0),6)),-TRUNC(BP18/VLOOKUP("PCS-30874g",[7]ARBOR!$A:$C,3,0)-1,4)+0.0001,-TRUNC(BP18/VLOOKUP("PCS-30874g",[7]ARBOR!$A:$C,3,0)-1,4)))))</f>
        <v>0.53679999999999994</v>
      </c>
      <c r="BR18" s="65" t="str">
        <f>IF(ISERROR(IF(BQ18="","",VLOOKUP(($BH18&amp;BQ18&amp;"Template de desconto FLAT bundle - Velox XDSL - Varejo"),[7]BENEFICIOS!$A:$E,5,0))),"Criar",IF(BQ18="","",VLOOKUP(($BH18&amp;BQ18&amp;"Template de desconto FLAT bundle - Velox XDSL - Varejo"),[7]BENEFICIOS!$A:$E,5,0)))</f>
        <v>MKT-1-9865126733</v>
      </c>
      <c r="BS18" s="104" t="s">
        <v>244</v>
      </c>
      <c r="BT18" s="69">
        <v>44.9</v>
      </c>
      <c r="BU18" s="64">
        <f>IF(BT18=0,"",IF(BT18=VLOOKUP("PCS-30577g",[7]ARBOR!$A:$C,3,0),0.0001,IF(BT18&gt;VLOOKUP("PCS-30577g",[7]ARBOR!$A:$C,3,0),"Maior que CAP!",IF((DOLLAR(BT18+(VLOOKUP("PCS-30577g",[7]ARBOR!$A:$C,3,0)*-TRUNC(BT18/VLOOKUP("PCS-30577g",[7]ARBOR!$A:$C,3,0)-1,4)),6))&lt;&gt;(DOLLAR(VLOOKUP("PCS-30577g",[7]ARBOR!$A:$C,3,0),6)),-TRUNC(BT18/VLOOKUP("PCS-30577g",[7]ARBOR!$A:$C,3,0)-1,4)+0.0001,-TRUNC(BT18/VLOOKUP("PCS-30577g",[7]ARBOR!$A:$C,3,0)-1,4)))))</f>
        <v>0.53679999999999994</v>
      </c>
      <c r="BV18" s="65" t="str">
        <f>IF(ISERROR(IF(BU18="","",VLOOKUP(($BH18&amp;BU18&amp;"Template de desconto FLAT bundle - Velox XDSL - Varejo"),[7]BENEFICIOS!$A:$E,5,0))),"Criar",IF(BU18="","",VLOOKUP(($BH18&amp;BU18&amp;"Template de desconto FLAT bundle - Velox XDSL - Varejo"),[7]BENEFICIOS!$A:$E,5,0)))</f>
        <v>MKT-1-9865126733</v>
      </c>
      <c r="BW18" s="104" t="s">
        <v>244</v>
      </c>
      <c r="BX18" s="69">
        <v>44.9</v>
      </c>
      <c r="BY18" s="64">
        <f>IF(BX18=0,"",IF(BX18=VLOOKUP("PCS-30604g",[7]ARBOR!$A:$C,3,0),0.0001,IF(BX18&gt;VLOOKUP("PCS-30604g",[7]ARBOR!$A:$C,3,0),"Maior que CAP!",IF((DOLLAR(BX18+(VLOOKUP("PCS-30604g",[7]ARBOR!$A:$C,3,0)*-TRUNC(BX18/VLOOKUP("PCS-30604g",[7]ARBOR!$A:$C,3,0)-1,4)),6))&lt;&gt;(DOLLAR(VLOOKUP("PCS-30604g",[7]ARBOR!$A:$C,3,0),6)),-TRUNC(BX18/VLOOKUP("PCS-30604g",[7]ARBOR!$A:$C,3,0)-1,4)+0.0001,-TRUNC(BX18/VLOOKUP("PCS-30604g",[7]ARBOR!$A:$C,3,0)-1,4)))))</f>
        <v>0.53679999999999994</v>
      </c>
      <c r="BZ18" s="65" t="str">
        <f>IF(ISERROR(IF(BY18="","",VLOOKUP(($BH18&amp;BY18&amp;"Template de desconto FLAT bundle - Velox XDSL - Varejo"),[7]BENEFICIOS!$A:$E,5,0))),"Criar",IF(BY18="","",VLOOKUP(($BH18&amp;BY18&amp;"Template de desconto FLAT bundle - Velox XDSL - Varejo"),[7]BENEFICIOS!$A:$E,5,0)))</f>
        <v>MKT-1-9865126733</v>
      </c>
      <c r="CA18" s="104" t="s">
        <v>244</v>
      </c>
      <c r="CB18" s="69">
        <v>44.9</v>
      </c>
      <c r="CC18" s="64">
        <f>IF(CB18=0,"",IF(CB18=VLOOKUP("PCS-30631g",[7]ARBOR!$A:$C,3,0),0.0001,IF(CB18&gt;VLOOKUP("PCS-30631g",[7]ARBOR!$A:$C,3,0),"Maior que CAP!",IF((DOLLAR(CB18+(VLOOKUP("PCS-30631g",[7]ARBOR!$A:$C,3,0)*-TRUNC(CB18/VLOOKUP("PCS-30631g",[7]ARBOR!$A:$C,3,0)-1,4)),6))&lt;&gt;(DOLLAR(VLOOKUP("PCS-30631g",[7]ARBOR!$A:$C,3,0),6)),-TRUNC(CB18/VLOOKUP("PCS-30631g",[7]ARBOR!$A:$C,3,0)-1,4)+0.0001,-TRUNC(CB18/VLOOKUP("PCS-30631g",[7]ARBOR!$A:$C,3,0)-1,4)))))</f>
        <v>0.54310000000000003</v>
      </c>
      <c r="CD18" s="65" t="str">
        <f>IF(ISERROR(IF(CC18="","",VLOOKUP(($BH18&amp;CC18&amp;"Template de desconto FLAT bundle - Velox XDSL - Varejo"),[7]BENEFICIOS!$A:$E,5,0))),"Criar",IF(CC18="","",VLOOKUP(($BH18&amp;CC18&amp;"Template de desconto FLAT bundle - Velox XDSL - Varejo"),[7]BENEFICIOS!$A:$E,5,0)))</f>
        <v>MKT-1-9865126826</v>
      </c>
      <c r="CE18" s="68" t="s">
        <v>165</v>
      </c>
      <c r="CF18" s="69">
        <v>49.9</v>
      </c>
      <c r="CG18" s="64">
        <f>IF(CF18=0,"",IF(CF18=VLOOKUP("PCS-30658g",[7]ARBOR!$A:$C,3,0),0.0001,IF(CF18&gt;VLOOKUP("PCS-30658g",[7]ARBOR!$A:$C,3,0),"Maior que CAP!",IF((DOLLAR(CF18+(VLOOKUP("PCS-30658g",[7]ARBOR!$A:$C,3,0)*-TRUNC(CF18/VLOOKUP("PCS-30658g",[7]ARBOR!$A:$C,3,0)-1,4)),6))&lt;&gt;(DOLLAR(VLOOKUP("PCS-30658g",[7]ARBOR!$A:$C,3,0),6)),-TRUNC(CF18/VLOOKUP("PCS-30658g",[7]ARBOR!$A:$C,3,0)-1,4)+0.0001,-TRUNC(CF18/VLOOKUP("PCS-30658g",[7]ARBOR!$A:$C,3,0)-1,4)))))</f>
        <v>0.55569999999999997</v>
      </c>
      <c r="CH18" s="65" t="str">
        <f>IF(ISERROR(IF(CG18="","",VLOOKUP(($BH18&amp;CG18&amp;"Template de desconto FLAT bundle - Velox XDSL - Varejo"),[7]BENEFICIOS!$A:$E,5,0))),"Criar",IF(CG18="","",VLOOKUP(($BH18&amp;CG18&amp;"Template de desconto FLAT bundle - Velox XDSL - Varejo"),[7]BENEFICIOS!$A:$E,5,0)))</f>
        <v>MKT-1-9865126919</v>
      </c>
      <c r="CI18" s="68" t="s">
        <v>165</v>
      </c>
      <c r="CJ18" s="69">
        <v>49.9</v>
      </c>
      <c r="CK18" s="64">
        <f>IF(CJ18=0,"",IF(CJ18=VLOOKUP("PCS-30685g",[7]ARBOR!$A:$C,3,0),0.0001,IF(CJ18&gt;VLOOKUP("PCS-30685g",[7]ARBOR!$A:$C,3,0),"Maior que CAP!",IF((DOLLAR(CJ18+(VLOOKUP("PCS-30685g",[7]ARBOR!$A:$C,3,0)*-TRUNC(CJ18/VLOOKUP("PCS-30685g",[7]ARBOR!$A:$C,3,0)-1,4)),6))&lt;&gt;(DOLLAR(VLOOKUP("PCS-30685g",[7]ARBOR!$A:$C,3,0),6)),-TRUNC(CJ18/VLOOKUP("PCS-30685g",[7]ARBOR!$A:$C,3,0)-1,4)+0.0001,-TRUNC(CJ18/VLOOKUP("PCS-30685g",[7]ARBOR!$A:$C,3,0)-1,4)))))</f>
        <v>0.60509999999999997</v>
      </c>
      <c r="CL18" s="65" t="str">
        <f>IF(ISERROR(IF(CK18="","",VLOOKUP(($BH18&amp;CK18&amp;"Template de desconto FLAT bundle - Velox XDSL - Varejo"),[7]BENEFICIOS!$A:$E,5,0))),"Criar",IF(CK18="","",VLOOKUP(($BH18&amp;CK18&amp;"Template de desconto FLAT bundle - Velox XDSL - Varejo"),[7]BENEFICIOS!$A:$E,5,0)))</f>
        <v>MKT-1-9865694381</v>
      </c>
      <c r="CM18" s="68" t="s">
        <v>165</v>
      </c>
      <c r="CN18" s="69">
        <v>49.9</v>
      </c>
      <c r="CO18" s="64">
        <f>IF(CN18=0,"",IF(CN18=VLOOKUP("PCS-30712g",[7]ARBOR!$A:$C,3,0),0.0001,IF(CN18&gt;VLOOKUP("PCS-30712g",[7]ARBOR!$A:$C,3,0),"Maior que CAP!",IF((DOLLAR(CN18+(VLOOKUP("PCS-30712g",[7]ARBOR!$A:$C,3,0)*-TRUNC(CN18/VLOOKUP("PCS-30712g",[7]ARBOR!$A:$C,3,0)-1,4)),6))&lt;&gt;(DOLLAR(VLOOKUP("PCS-30712g",[7]ARBOR!$A:$C,3,0),6)),-TRUNC(CN18/VLOOKUP("PCS-30712g",[7]ARBOR!$A:$C,3,0)-1,4)+0.0001,-TRUNC(CN18/VLOOKUP("PCS-30712g",[7]ARBOR!$A:$C,3,0)-1,4)))))</f>
        <v>0.64459999999999995</v>
      </c>
      <c r="CP18" s="65" t="str">
        <f>IF(ISERROR(IF(CO18="","",VLOOKUP(($BH18&amp;CO18&amp;"Template de desconto FLAT bundle - Velox XDSL - Varejo"),[7]BENEFICIOS!$A:$E,5,0))),"Criar",IF(CO18="","",VLOOKUP(($BH18&amp;CO18&amp;"Template de desconto FLAT bundle - Velox XDSL - Varejo"),[7]BENEFICIOS!$A:$E,5,0)))</f>
        <v>MKT-1-9865191105</v>
      </c>
      <c r="CQ18" s="68" t="s">
        <v>165</v>
      </c>
      <c r="CR18" s="69">
        <v>59.9</v>
      </c>
      <c r="CS18" s="64">
        <f>IF(CR18=0,"",IF(CR18=VLOOKUP("PCS-30739g",[7]ARBOR!$A:$C,3,0),0.0001,IF(CR18&gt;VLOOKUP("PCS-30739g",[7]ARBOR!$A:$C,3,0),"Maior que CAP!",IF((DOLLAR(CR18+(VLOOKUP("PCS-30739g",[7]ARBOR!$A:$C,3,0)*-TRUNC(CR18/VLOOKUP("PCS-30739g",[7]ARBOR!$A:$C,3,0)-1,4)),6))&lt;&gt;(DOLLAR(VLOOKUP("PCS-30739g",[7]ARBOR!$A:$C,3,0),6)),-TRUNC(CR18/VLOOKUP("PCS-30739g",[7]ARBOR!$A:$C,3,0)-1,4)+0.0001,-TRUNC(CR18/VLOOKUP("PCS-30739g",[7]ARBOR!$A:$C,3,0)-1,4)))))</f>
        <v>0.71560000000000001</v>
      </c>
      <c r="CT18" s="65" t="str">
        <f>IF(ISERROR(IF(CS18="","",VLOOKUP(($BH18&amp;CS18&amp;"Template de desconto FLAT bundle - Velox XDSL - Varejo"),[7]BENEFICIOS!$A:$E,5,0))),"Criar",IF(CS18="","",VLOOKUP(($BH18&amp;CS18&amp;"Template de desconto FLAT bundle - Velox XDSL - Varejo"),[7]BENEFICIOS!$A:$E,5,0)))</f>
        <v>MKT-1-9865191198</v>
      </c>
      <c r="CU18" s="69"/>
      <c r="CV18" s="70"/>
      <c r="CW18" s="64"/>
      <c r="CX18" s="65"/>
      <c r="CY18" s="68" t="s">
        <v>165</v>
      </c>
      <c r="CZ18" s="69">
        <v>59.9</v>
      </c>
      <c r="DA18" s="64">
        <f>IF(CZ18=0,"",IF(CZ18=VLOOKUP("PCS-30766g",[7]ARBOR!$A:$C,3,0),0.0001,IF(CZ18&gt;VLOOKUP("PCS-30766g",[7]ARBOR!$A:$C,3,0),"Maior que CAP!",IF((DOLLAR(CZ18+(VLOOKUP("PCS-30766g",[7]ARBOR!$A:$C,3,0)*-TRUNC(CZ18/VLOOKUP("PCS-30766g",[7]ARBOR!$A:$C,3,0)-1,4)),6))&lt;&gt;(DOLLAR(VLOOKUP("PCS-30766g",[7]ARBOR!$A:$C,3,0),6)),-TRUNC(CZ18/VLOOKUP("PCS-30766g",[7]ARBOR!$A:$C,3,0)-1,4)+0.0001,-TRUNC(CZ18/VLOOKUP("PCS-30766g",[7]ARBOR!$A:$C,3,0)-1,4)))))</f>
        <v>0.78669999999999995</v>
      </c>
      <c r="DB18" s="65" t="str">
        <f>IF(ISERROR(IF(DA18="","",VLOOKUP(($BH18&amp;DA18&amp;"Template de desconto FLAT bundle - Velox XDSL - Varejo"),[7]BENEFICIOS!$A:$E,5,0))),"Criar",IF(DA18="","",VLOOKUP(($BH18&amp;DA18&amp;"Template de desconto FLAT bundle - Velox XDSL - Varejo"),[7]BENEFICIOS!$A:$E,5,0)))</f>
        <v>MKT-1-9865191291</v>
      </c>
      <c r="DC18" s="69"/>
      <c r="DD18" s="70"/>
      <c r="DE18" s="64"/>
      <c r="DF18" s="65"/>
      <c r="DG18" s="68" t="s">
        <v>244</v>
      </c>
      <c r="DH18" s="69">
        <v>69.900000000000006</v>
      </c>
      <c r="DI18" s="64">
        <f>IF(DH18=0,"",IF(DH18=VLOOKUP("PCS-30793g",[7]ARBOR!$A:$C,3,0),0.0001,IF(DH18&gt;VLOOKUP("PCS-30793g",[7]ARBOR!$A:$C,3,0),"Maior que CAP!",IF((DOLLAR(DH18+(VLOOKUP("PCS-30793g",[7]ARBOR!$A:$C,3,0)*-TRUNC(DH18/VLOOKUP("PCS-30793g",[7]ARBOR!$A:$C,3,0)-1,4)),6))&lt;&gt;(DOLLAR(VLOOKUP("PCS-30793g",[7]ARBOR!$A:$C,3,0),6)),-TRUNC(DH18/VLOOKUP("PCS-30793g",[7]ARBOR!$A:$C,3,0)-1,4)+0.0001,-TRUNC(DH18/VLOOKUP("PCS-30793g",[7]ARBOR!$A:$C,3,0)-1,4)))))</f>
        <v>0.75109999999999999</v>
      </c>
      <c r="DJ18" s="65" t="str">
        <f>IF(ISERROR(IF(DI18="","",VLOOKUP(($BH18&amp;DI18&amp;"Template de desconto FLAT bundle - Velox XDSL - Varejo"),[7]BENEFICIOS!$A:$E,5,0))),"Criar",IF(DI18="","",VLOOKUP(($BH18&amp;DI18&amp;"Template de desconto FLAT bundle - Velox XDSL - Varejo"),[7]BENEFICIOS!$A:$E,5,0)))</f>
        <v>MKT-1-9865191384</v>
      </c>
      <c r="DK18" s="69"/>
      <c r="DL18" s="70"/>
      <c r="DM18" s="64"/>
      <c r="DN18" s="65"/>
      <c r="DO18" s="68" t="s">
        <v>165</v>
      </c>
      <c r="DP18" s="69">
        <v>69.900000000000006</v>
      </c>
      <c r="DQ18" s="64">
        <f>IF(DP18=0,"",IF(DP18=VLOOKUP("PCS-30820g",[7]ARBOR!$A:$C,3,0),0.0001,IF(DP18&gt;VLOOKUP("PCS-30820g",[7]ARBOR!$A:$C,3,0),"Maior que CAP!",IF((DOLLAR(DP18+(VLOOKUP("PCS-30820g",[7]ARBOR!$A:$C,3,0)*-TRUNC(DP18/VLOOKUP("PCS-30820g",[7]ARBOR!$A:$C,3,0)-1,4)),6))&lt;&gt;(DOLLAR(VLOOKUP("PCS-30820g",[7]ARBOR!$A:$C,3,0),6)),-TRUNC(DP18/VLOOKUP("PCS-30820g",[7]ARBOR!$A:$C,3,0)-1,4)+0.0001,-TRUNC(DP18/VLOOKUP("PCS-30820g",[7]ARBOR!$A:$C,3,0)-1,4)))))</f>
        <v>0.75109999999999999</v>
      </c>
      <c r="DR18" s="65" t="str">
        <f>IF(ISERROR(IF(DQ18="","",VLOOKUP(($BH18&amp;DQ18&amp;"Template de desconto FLAT bundle - Velox XDSL - Varejo"),[7]BENEFICIOS!$A:$E,5,0))),"Criar",IF(DQ18="","",VLOOKUP(($BH18&amp;DQ18&amp;"Template de desconto FLAT bundle - Velox XDSL - Varejo"),[7]BENEFICIOS!$A:$E,5,0)))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IF(DW18=0,"",IF(DW18=VLOOKUP("PCS-21448p2",[7]ARBOR!$A:$C,3,0),0.0001,IF(DW18&gt;VLOOKUP("PCS-21448p2",[7]ARBOR!$A:$C,3,0),"Maior que CAP!",IF((DOLLAR(DW18+(VLOOKUP("PCS-21448p2",[7]ARBOR!$A:$C,3,0)*-TRUNC(DW18/VLOOKUP("PCS-21448p2",[7]ARBOR!$A:$C,3,0)-1,4)),6))&lt;&gt;(DOLLAR(VLOOKUP("PCS-21448p2",[7]ARBOR!$A:$C,3,0),6)),-TRUNC(DW18/VLOOKUP("PCS-21448p2",[7]ARBOR!$A:$C,3,0)-1,4)+0.0001,-TRUNC(DW18/VLOOKUP("PCS-21448p2",[7]ARBOR!$A:$C,3,0)-1,4)))))</f>
        <v/>
      </c>
      <c r="DY18" s="65" t="str">
        <f>IF(ISERROR(IF(DX18="","",VLOOKUP(("Oi Conta Total Plug 10GB Downgrade"&amp;DX18&amp;"Template de desconto percentual BL Móvel - Internet Total - Varejo"),[7]BENEFICIOS!$A:$E,5,0))),"Criar",IF(DX18="","",VLOOKUP(("Oi Conta Total Plug 10GB Downgrade"&amp;DX18&amp;"Template de desconto percentual BL Móvel - Internet Total - Varejo"),[7]BENEFICIOS!$A:$E,5,0)))</f>
        <v/>
      </c>
      <c r="DZ18" s="71">
        <v>19.899999999999999</v>
      </c>
      <c r="EA18" s="72">
        <f>IF(DZ18=0,"",IF(DZ18=VLOOKUP("SVA",[7]ARBOR!$A:$C,3,0),0.0001,IF(DZ18&gt;VLOOKUP("SVA",[7]ARBOR!$A:$C,3,0),"Maior que CAP!",IF((DOLLAR(DZ18+(VLOOKUP("SVA",[7]ARBOR!$A:$C,3,0)*-TRUNC(DZ18/VLOOKUP("SVA",[7]ARBOR!$A:$C,3,0)-1,4)),6))&lt;&gt;(DOLLAR(VLOOKUP("SVA",[7]ARBOR!$A:$C,3,0),6)),-TRUNC(DZ18/VLOOKUP("SVA",[7]ARBOR!$A:$C,3,0)-1,4)+0.0001,-TRUNC(DZ18/VLOOKUP("SVA",[7]ARBOR!$A:$C,3,0)-1,4)))))</f>
        <v>7.1400000000000005E-2</v>
      </c>
      <c r="EB18" s="65" t="s">
        <v>245</v>
      </c>
      <c r="EC18" s="69"/>
      <c r="ED18" s="73"/>
      <c r="EE18" s="74"/>
      <c r="EF18" s="65"/>
      <c r="EG18" s="75">
        <f>IF(BI18="","",VLOOKUP(BI18,[7]ARBOR!A:C,3,0))</f>
        <v>479.46</v>
      </c>
      <c r="EH18" s="69">
        <v>15</v>
      </c>
      <c r="EI18" s="76">
        <f>IF(EH18="","",1-(EH18/VLOOKUP(BI18&amp;"ASS",[7]ARBOR!A:C,3,0)))</f>
        <v>0.34725848563968664</v>
      </c>
      <c r="EJ18" s="77" t="s">
        <v>228</v>
      </c>
      <c r="EK18" s="78" t="s">
        <v>229</v>
      </c>
      <c r="EL18" s="69">
        <v>116.16000000000001</v>
      </c>
      <c r="EM18" s="64">
        <f>IF(EL18=0,"",IF(EL18=EG18,0.0001,ROUND(1-((EL18+(VLOOKUP(BI18&amp;"ASS",[7]ARBOR!A:C,3,0)-EH18))/EG18),4)))</f>
        <v>0.74109999999999998</v>
      </c>
      <c r="EN18" s="65" t="str">
        <f>IF(ISERROR(IF(EM18="","",VLOOKUP(($BH18&amp;EM18&amp;"Template de desconto percentual FLAT Móvel - Conta Total - Varejo - Ganho Tributário Cross"),[7]BENEFICIOS!$A:$E,5,0))),"Criar",IF(EM18="","",VLOOKUP(($BH18&amp;EM18&amp;"Template de desconto percentual FLAT Móvel - Conta Total - Varejo - Ganho Tributário Cross"),[7]BENEFICIOS!$A:$E,5,0)))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248</v>
      </c>
      <c r="EV18" s="81" t="s">
        <v>249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IF(FC18=0,"",IF(FC18=VLOOKUP("PCS-10357",[7]ARBOR!$A:$C,3,0),0.0001,IF(FC18&gt;VLOOKUP("PCS-10357",[7]ARBOR!$A:$C,3,0),"Maior que CAP!",ROUND(-1*(FC18/VLOOKUP("PCS-10357",[7]ARBOR!$A:$C,3,0)-1),4))))</f>
        <v>0.8669</v>
      </c>
      <c r="FE18" s="84" t="str">
        <f>IF(ISERROR(IF(FD18="","",VLOOKUP(("Oi Internet Pra Celular 1GB"&amp;FD18&amp;"Template Flat Instância Dados"),[7]BENEFICIOS!$A:$E,5,0))),"Criar",IF(FD18="","",VLOOKUP(("Oi Internet Pra Celular 1GB"&amp;FD18&amp;"Template Flat Instância Dados"),[7]BENEFICIOS!$A:$E,5,0)))</f>
        <v>MKT-1-9869952543</v>
      </c>
      <c r="FF18" s="82"/>
      <c r="FG18" s="83" t="str">
        <f>IF(FF18=0,"",IF(FF18=VLOOKUP("PCS-813565",[7]ARBOR!$A:$C,3,0),0.0001,IF(FF18&gt;VLOOKUP("PCS-813565",[7]ARBOR!$A:$C,3,0),"Maior que CAP!",ROUND(-1*(FF18/VLOOKUP("PCS-813565",[7]ARBOR!$A:$C,3,0)-1),4))))</f>
        <v/>
      </c>
      <c r="FH18" s="84" t="str">
        <f>IF(ISERROR(IF(FG18="","",VLOOKUP(("Oi Internet Pra Celular 2GB"&amp;FG18&amp;"Template Flat Instância Dados"),[7]BENEFICIOS!$A:$E,5,0))),"Criar",IF(FG18="","",VLOOKUP(("Oi Internet Pra Celular 2GB"&amp;FG18&amp;"Template Flat Instância Dados"),[7]BENEFICIOS!$A:$E,5,0)))</f>
        <v/>
      </c>
      <c r="FI18" s="82"/>
      <c r="FJ18" s="83" t="str">
        <f>IF(FI18=0,"",IF(FI18=VLOOKUP("PCS-7171B",[7]ARBOR!$A:$C,3,0),0.0001,IF(FI18&gt;VLOOKUP("PCS-7171B",[7]ARBOR!$A:$C,3,0),"Maior que CAP!",ROUND(-1*(FI18/VLOOKUP("PCS-7171B",[7]ARBOR!$A:$C,3,0)-1),4))))</f>
        <v/>
      </c>
      <c r="FK18" s="84" t="str">
        <f>IF(ISERROR(IF(FJ18="","",VLOOKUP(("Oi Internet Pra Celular 3GB"&amp;FJ18&amp;"Template Flat Instância Dados"),[7]BENEFICIOS!$A:$E,5,0))),"Criar",IF(FJ18="","",VLOOKUP(("Oi Internet Pra Celular 3GB"&amp;FJ18&amp;"Template Flat Instância Dados"),[7]BENEFICIOS!$A:$E,5,0)))</f>
        <v/>
      </c>
      <c r="FL18" s="82"/>
      <c r="FM18" s="83" t="str">
        <f>IF(FL18=0,"",IF(FL18=VLOOKUP("PCS-51793o08",[7]ARBOR!$A:$C,3,0),0.0001,IF(FL18&gt;VLOOKUP("PCS-51793o08",[7]ARBOR!$A:$C,3,0),"Maior que CAP!",ROUND(-1*(FL18/VLOOKUP("PCS-51793o08",[7]ARBOR!$A:$C,3,0)-1),4))))</f>
        <v/>
      </c>
      <c r="FN18" s="84" t="str">
        <f>IF(ISERROR(IF(FM18="","",VLOOKUP(("Oi Internet Pra Celular 5GB"&amp;FM18&amp;"Template Flat Instância Dados"),[7]BENEFICIOS!$A:$E,5,0))),"Criar",IF(FM18="","",VLOOKUP(("Oi Internet Pra Celular 5GB"&amp;FM18&amp;"Template Flat Instância Dados"),[7]BENEFICIOS!$A:$E,5,0)))</f>
        <v/>
      </c>
      <c r="FO18" s="82"/>
      <c r="FP18" s="83" t="str">
        <f>IF(FO18=0,"",IF(FO18=VLOOKUP("PCS-7171A",[7]ARBOR!$A:$C,3,0),0.0001,IF(FO18&gt;VLOOKUP("PCS-7171A",[7]ARBOR!$A:$C,3,0),"Maior que CAP!",ROUND(-1*(FO18/VLOOKUP("PCS-7171A",[7]ARBOR!$A:$C,3,0)-1),4))))</f>
        <v/>
      </c>
      <c r="FQ18" s="84" t="str">
        <f>IF(ISERROR(IF(FP18="","",VLOOKUP(("Oi Internet Pra Celular 10GB"&amp;FP18&amp;"Template Flat Instância Dados"),[7]BENEFICIOS!$A:$E,5,0))),"Criar",IF(FP18="","",VLOOKUP(("Oi Internet Pra Celular 10GB"&amp;FP18&amp;"Template Flat Instância Dados"),[7]BENEFICIOS!$A:$E,5,0)))</f>
        <v/>
      </c>
      <c r="FR18" s="85">
        <v>0.74219999999999997</v>
      </c>
      <c r="FS18" s="86" t="s">
        <v>250</v>
      </c>
      <c r="FT18" s="48"/>
      <c r="FU18" s="87"/>
      <c r="FV18" s="88" t="s">
        <v>225</v>
      </c>
      <c r="FW18" s="49" t="s">
        <v>230</v>
      </c>
      <c r="FX18" s="89">
        <v>999</v>
      </c>
      <c r="FY18" s="49">
        <v>12</v>
      </c>
      <c r="FZ18" s="90" t="s">
        <v>231</v>
      </c>
      <c r="GA18" s="91" t="str">
        <f t="shared" si="1"/>
        <v>PCS-Fk83324</v>
      </c>
      <c r="GB18" s="92" t="str">
        <f t="shared" si="2"/>
        <v>PCS-SBL553142</v>
      </c>
      <c r="GC18" s="93" t="s">
        <v>232</v>
      </c>
      <c r="GD18" s="90" t="s">
        <v>233</v>
      </c>
      <c r="GE18" s="92" t="s">
        <v>234</v>
      </c>
      <c r="GF18" s="93" t="s">
        <v>235</v>
      </c>
      <c r="GG18" s="90" t="s">
        <v>236</v>
      </c>
      <c r="GH18" s="92" t="s">
        <v>237</v>
      </c>
      <c r="GI18" s="94" t="s">
        <v>238</v>
      </c>
      <c r="GJ18" s="95">
        <f>FC18+EL18+CN18+BJ18</f>
        <v>224.9</v>
      </c>
      <c r="GK18" s="96"/>
      <c r="GL18" s="97" t="s">
        <v>239</v>
      </c>
      <c r="GM18" s="98" t="s">
        <v>276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283</v>
      </c>
      <c r="GX18" s="44" t="s">
        <v>242</v>
      </c>
    </row>
    <row r="19" spans="1:206" s="44" customFormat="1" x14ac:dyDescent="0.25">
      <c r="A19" s="44" t="str">
        <f t="shared" si="0"/>
        <v>Oi Total Fixo + Pós 800 + Banda LargaN22GBMG</v>
      </c>
      <c r="B19" s="45" t="s">
        <v>215</v>
      </c>
      <c r="C19" s="46" t="s">
        <v>131</v>
      </c>
      <c r="D19" s="46" t="s">
        <v>216</v>
      </c>
      <c r="E19" s="47" t="s">
        <v>217</v>
      </c>
      <c r="F19" s="88" t="s">
        <v>218</v>
      </c>
      <c r="G19" s="49"/>
      <c r="H19" s="49"/>
      <c r="I19" s="49"/>
      <c r="J19" s="49" t="s">
        <v>218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218</v>
      </c>
      <c r="AC19" s="49" t="s">
        <v>218</v>
      </c>
      <c r="AD19" s="49" t="s">
        <v>218</v>
      </c>
      <c r="AE19" s="49" t="s">
        <v>218</v>
      </c>
      <c r="AF19" s="49" t="s">
        <v>218</v>
      </c>
      <c r="AG19" s="49" t="s">
        <v>218</v>
      </c>
      <c r="AH19" s="50"/>
      <c r="AI19" s="49" t="s">
        <v>218</v>
      </c>
      <c r="AJ19" s="49" t="s">
        <v>218</v>
      </c>
      <c r="AK19" s="49" t="s">
        <v>218</v>
      </c>
      <c r="AL19" s="49" t="s">
        <v>218</v>
      </c>
      <c r="AM19" s="49" t="s">
        <v>218</v>
      </c>
      <c r="AN19" s="49" t="s">
        <v>218</v>
      </c>
      <c r="AO19" s="49" t="s">
        <v>218</v>
      </c>
      <c r="AP19" s="49"/>
      <c r="AQ19" s="51"/>
      <c r="AR19" s="52" t="s">
        <v>284</v>
      </c>
      <c r="AS19" s="46" t="s">
        <v>220</v>
      </c>
      <c r="AT19" s="53" t="s">
        <v>221</v>
      </c>
      <c r="AU19" s="54">
        <v>42972</v>
      </c>
      <c r="AV19" s="105">
        <v>43097</v>
      </c>
      <c r="AW19" s="56" t="s">
        <v>222</v>
      </c>
      <c r="AX19" s="57" t="s">
        <v>222</v>
      </c>
      <c r="AY19" s="58"/>
      <c r="AZ19" s="58" t="s">
        <v>223</v>
      </c>
      <c r="BA19" s="58">
        <v>20</v>
      </c>
      <c r="BB19" s="58">
        <v>10000</v>
      </c>
      <c r="BC19" s="59" t="s">
        <v>224</v>
      </c>
      <c r="BD19" s="60" t="s">
        <v>225</v>
      </c>
      <c r="BE19" s="58" t="s">
        <v>217</v>
      </c>
      <c r="BF19" s="51" t="s">
        <v>217</v>
      </c>
      <c r="BG19" s="45" t="s">
        <v>284</v>
      </c>
      <c r="BH19" s="61" t="s">
        <v>226</v>
      </c>
      <c r="BI19" s="62" t="str">
        <f>IF(ISERROR(VLOOKUP(BH19,[7]PLANOS!B:C,2,0)),"",VLOOKUP(BH19,[7]PLANOS!B:C,2,0))</f>
        <v>PCS-4P6pi</v>
      </c>
      <c r="BJ19" s="63">
        <v>50.1</v>
      </c>
      <c r="BK19" s="64">
        <f>IF(BJ19=0,"",IF(BJ19=VLOOKUP("FIXO",[7]ARBOR!$A:$C,3,0),0.0001,IF(BJ19&gt;VLOOKUP("FIXO",[7]ARBOR!$A:$C,3,0),"Maior que CAP!",IF((DOLLAR(BJ19+(VLOOKUP("FIXO",[7]ARBOR!$A:$C,3,0)*-TRUNC(BJ19/VLOOKUP("FIXO",[7]ARBOR!$A:$C,3,0)-1,4)),6))&lt;&gt;(DOLLAR(VLOOKUP("FIXO",[7]ARBOR!$A:$C,3,0),6)),-TRUNC(BJ19/VLOOKUP("FIXO",[7]ARBOR!$A:$C,3,0)-1,4)+0.0001,-TRUNC(BJ19/VLOOKUP("FIXO",[7]ARBOR!$A:$C,3,0)-1,4)))))</f>
        <v>0.33939999999999998</v>
      </c>
      <c r="BL19" s="65" t="str">
        <f>IF(ISERROR(IF(BK19="","",VLOOKUP(($BH19&amp;BK19&amp;"Template de desconto FLAT bundle - Fixo - Varejo - Ganho Tributário Cross"),[7]BENEFICIOS!$A:$E,5,0))),"Criar",IF(BK19="","",VLOOKUP(($BH19&amp;BK19&amp;"Template de desconto FLAT bundle - Fixo - Varejo - Ganho Tributário Cross"),[7]BENEFICIOS!$A:$E,5,0)))</f>
        <v>MKT-1-9856472058</v>
      </c>
      <c r="BM19" s="66"/>
      <c r="BN19" s="67"/>
      <c r="BO19" s="68" t="s">
        <v>165</v>
      </c>
      <c r="BP19" s="69">
        <v>44.9</v>
      </c>
      <c r="BQ19" s="64">
        <f>IF(BP19=0,"",IF(BP19=VLOOKUP("PCS-30874g",[7]ARBOR!$A:$C,3,0),0.0001,IF(BP19&gt;VLOOKUP("PCS-30874g",[7]ARBOR!$A:$C,3,0),"Maior que CAP!",IF((DOLLAR(BP19+(VLOOKUP("PCS-30874g",[7]ARBOR!$A:$C,3,0)*-TRUNC(BP19/VLOOKUP("PCS-30874g",[7]ARBOR!$A:$C,3,0)-1,4)),6))&lt;&gt;(DOLLAR(VLOOKUP("PCS-30874g",[7]ARBOR!$A:$C,3,0),6)),-TRUNC(BP19/VLOOKUP("PCS-30874g",[7]ARBOR!$A:$C,3,0)-1,4)+0.0001,-TRUNC(BP19/VLOOKUP("PCS-30874g",[7]ARBOR!$A:$C,3,0)-1,4)))))</f>
        <v>0.53679999999999994</v>
      </c>
      <c r="BR19" s="65" t="str">
        <f>IF(ISERROR(IF(BQ19="","",VLOOKUP(($BH19&amp;BQ19&amp;"Template de desconto FLAT bundle - Velox XDSL - Varejo"),[7]BENEFICIOS!$A:$E,5,0))),"Criar",IF(BQ19="","",VLOOKUP(($BH19&amp;BQ19&amp;"Template de desconto FLAT bundle - Velox XDSL - Varejo"),[7]BENEFICIOS!$A:$E,5,0)))</f>
        <v>MKT-1-9865126733</v>
      </c>
      <c r="BS19" s="68" t="s">
        <v>165</v>
      </c>
      <c r="BT19" s="69">
        <v>44.9</v>
      </c>
      <c r="BU19" s="64">
        <f>IF(BT19=0,"",IF(BT19=VLOOKUP("PCS-30577g",[7]ARBOR!$A:$C,3,0),0.0001,IF(BT19&gt;VLOOKUP("PCS-30577g",[7]ARBOR!$A:$C,3,0),"Maior que CAP!",IF((DOLLAR(BT19+(VLOOKUP("PCS-30577g",[7]ARBOR!$A:$C,3,0)*-TRUNC(BT19/VLOOKUP("PCS-30577g",[7]ARBOR!$A:$C,3,0)-1,4)),6))&lt;&gt;(DOLLAR(VLOOKUP("PCS-30577g",[7]ARBOR!$A:$C,3,0),6)),-TRUNC(BT19/VLOOKUP("PCS-30577g",[7]ARBOR!$A:$C,3,0)-1,4)+0.0001,-TRUNC(BT19/VLOOKUP("PCS-30577g",[7]ARBOR!$A:$C,3,0)-1,4)))))</f>
        <v>0.53679999999999994</v>
      </c>
      <c r="BV19" s="65" t="str">
        <f>IF(ISERROR(IF(BU19="","",VLOOKUP(($BH19&amp;BU19&amp;"Template de desconto FLAT bundle - Velox XDSL - Varejo"),[7]BENEFICIOS!$A:$E,5,0))),"Criar",IF(BU19="","",VLOOKUP(($BH19&amp;BU19&amp;"Template de desconto FLAT bundle - Velox XDSL - Varejo"),[7]BENEFICIOS!$A:$E,5,0)))</f>
        <v>MKT-1-9865126733</v>
      </c>
      <c r="BW19" s="68" t="s">
        <v>165</v>
      </c>
      <c r="BX19" s="69">
        <v>44.9</v>
      </c>
      <c r="BY19" s="64">
        <f>IF(BX19=0,"",IF(BX19=VLOOKUP("PCS-30604g",[7]ARBOR!$A:$C,3,0),0.0001,IF(BX19&gt;VLOOKUP("PCS-30604g",[7]ARBOR!$A:$C,3,0),"Maior que CAP!",IF((DOLLAR(BX19+(VLOOKUP("PCS-30604g",[7]ARBOR!$A:$C,3,0)*-TRUNC(BX19/VLOOKUP("PCS-30604g",[7]ARBOR!$A:$C,3,0)-1,4)),6))&lt;&gt;(DOLLAR(VLOOKUP("PCS-30604g",[7]ARBOR!$A:$C,3,0),6)),-TRUNC(BX19/VLOOKUP("PCS-30604g",[7]ARBOR!$A:$C,3,0)-1,4)+0.0001,-TRUNC(BX19/VLOOKUP("PCS-30604g",[7]ARBOR!$A:$C,3,0)-1,4)))))</f>
        <v>0.53679999999999994</v>
      </c>
      <c r="BZ19" s="65" t="str">
        <f>IF(ISERROR(IF(BY19="","",VLOOKUP(($BH19&amp;BY19&amp;"Template de desconto FLAT bundle - Velox XDSL - Varejo"),[7]BENEFICIOS!$A:$E,5,0))),"Criar",IF(BY19="","",VLOOKUP(($BH19&amp;BY19&amp;"Template de desconto FLAT bundle - Velox XDSL - Varejo"),[7]BENEFICIOS!$A:$E,5,0)))</f>
        <v>MKT-1-9865126733</v>
      </c>
      <c r="CA19" s="68" t="s">
        <v>165</v>
      </c>
      <c r="CB19" s="69">
        <v>44.9</v>
      </c>
      <c r="CC19" s="64">
        <f>IF(CB19=0,"",IF(CB19=VLOOKUP("PCS-30631g",[7]ARBOR!$A:$C,3,0),0.0001,IF(CB19&gt;VLOOKUP("PCS-30631g",[7]ARBOR!$A:$C,3,0),"Maior que CAP!",IF((DOLLAR(CB19+(VLOOKUP("PCS-30631g",[7]ARBOR!$A:$C,3,0)*-TRUNC(CB19/VLOOKUP("PCS-30631g",[7]ARBOR!$A:$C,3,0)-1,4)),6))&lt;&gt;(DOLLAR(VLOOKUP("PCS-30631g",[7]ARBOR!$A:$C,3,0),6)),-TRUNC(CB19/VLOOKUP("PCS-30631g",[7]ARBOR!$A:$C,3,0)-1,4)+0.0001,-TRUNC(CB19/VLOOKUP("PCS-30631g",[7]ARBOR!$A:$C,3,0)-1,4)))))</f>
        <v>0.54310000000000003</v>
      </c>
      <c r="CD19" s="65" t="str">
        <f>IF(ISERROR(IF(CC19="","",VLOOKUP(($BH19&amp;CC19&amp;"Template de desconto FLAT bundle - Velox XDSL - Varejo"),[7]BENEFICIOS!$A:$E,5,0))),"Criar",IF(CC19="","",VLOOKUP(($BH19&amp;CC19&amp;"Template de desconto FLAT bundle - Velox XDSL - Varejo"),[7]BENEFICIOS!$A:$E,5,0)))</f>
        <v>MKT-1-9865126826</v>
      </c>
      <c r="CE19" s="68"/>
      <c r="CF19" s="69"/>
      <c r="CG19" s="64" t="str">
        <f>IF(CF19=0,"",IF(CF19=VLOOKUP("PCS-30658g",[7]ARBOR!$A:$C,3,0),0.0001,IF(CF19&gt;VLOOKUP("PCS-30658g",[7]ARBOR!$A:$C,3,0),"Maior que CAP!",IF((DOLLAR(CF19+(VLOOKUP("PCS-30658g",[7]ARBOR!$A:$C,3,0)*-TRUNC(CF19/VLOOKUP("PCS-30658g",[7]ARBOR!$A:$C,3,0)-1,4)),6))&lt;&gt;(DOLLAR(VLOOKUP("PCS-30658g",[7]ARBOR!$A:$C,3,0),6)),-TRUNC(CF19/VLOOKUP("PCS-30658g",[7]ARBOR!$A:$C,3,0)-1,4)+0.0001,-TRUNC(CF19/VLOOKUP("PCS-30658g",[7]ARBOR!$A:$C,3,0)-1,4)))))</f>
        <v/>
      </c>
      <c r="CH19" s="65" t="str">
        <f>IF(ISERROR(IF(CG19="","",VLOOKUP(($BH19&amp;CG19&amp;"Template de desconto FLAT bundle - Velox XDSL - Varejo"),[7]BENEFICIOS!$A:$E,5,0))),"Criar",IF(CG19="","",VLOOKUP(($BH19&amp;CG19&amp;"Template de desconto FLAT bundle - Velox XDSL - Varejo"),[7]BENEFICIOS!$A:$E,5,0)))</f>
        <v/>
      </c>
      <c r="CI19" s="68"/>
      <c r="CJ19" s="69"/>
      <c r="CK19" s="64" t="str">
        <f>IF(CJ19=0,"",IF(CJ19=VLOOKUP("PCS-30685g",[7]ARBOR!$A:$C,3,0),0.0001,IF(CJ19&gt;VLOOKUP("PCS-30685g",[7]ARBOR!$A:$C,3,0),"Maior que CAP!",IF((DOLLAR(CJ19+(VLOOKUP("PCS-30685g",[7]ARBOR!$A:$C,3,0)*-TRUNC(CJ19/VLOOKUP("PCS-30685g",[7]ARBOR!$A:$C,3,0)-1,4)),6))&lt;&gt;(DOLLAR(VLOOKUP("PCS-30685g",[7]ARBOR!$A:$C,3,0),6)),-TRUNC(CJ19/VLOOKUP("PCS-30685g",[7]ARBOR!$A:$C,3,0)-1,4)+0.0001,-TRUNC(CJ19/VLOOKUP("PCS-30685g",[7]ARBOR!$A:$C,3,0)-1,4)))))</f>
        <v/>
      </c>
      <c r="CL19" s="65" t="str">
        <f>IF(ISERROR(IF(CK19="","",VLOOKUP(($BH19&amp;CK19&amp;"Template de desconto FLAT bundle - Velox XDSL - Varejo"),[7]BENEFICIOS!$A:$E,5,0))),"Criar",IF(CK19="","",VLOOKUP(($BH19&amp;CK19&amp;"Template de desconto FLAT bundle - Velox XDSL - Varejo"),[7]BENEFICIOS!$A:$E,5,0)))</f>
        <v/>
      </c>
      <c r="CM19" s="68"/>
      <c r="CN19" s="69"/>
      <c r="CO19" s="64" t="str">
        <f>IF(CN19=0,"",IF(CN19=VLOOKUP("PCS-30712g",[7]ARBOR!$A:$C,3,0),0.0001,IF(CN19&gt;VLOOKUP("PCS-30712g",[7]ARBOR!$A:$C,3,0),"Maior que CAP!",IF((DOLLAR(CN19+(VLOOKUP("PCS-30712g",[7]ARBOR!$A:$C,3,0)*-TRUNC(CN19/VLOOKUP("PCS-30712g",[7]ARBOR!$A:$C,3,0)-1,4)),6))&lt;&gt;(DOLLAR(VLOOKUP("PCS-30712g",[7]ARBOR!$A:$C,3,0),6)),-TRUNC(CN19/VLOOKUP("PCS-30712g",[7]ARBOR!$A:$C,3,0)-1,4)+0.0001,-TRUNC(CN19/VLOOKUP("PCS-30712g",[7]ARBOR!$A:$C,3,0)-1,4)))))</f>
        <v/>
      </c>
      <c r="CP19" s="65" t="str">
        <f>IF(ISERROR(IF(CO19="","",VLOOKUP(($BH19&amp;CO19&amp;"Template de desconto FLAT bundle - Velox XDSL - Varejo"),[7]BENEFICIOS!$A:$E,5,0))),"Criar",IF(CO19="","",VLOOKUP(($BH19&amp;CO19&amp;"Template de desconto FLAT bundle - Velox XDSL - Varejo"),[7]BENEFICIOS!$A:$E,5,0)))</f>
        <v/>
      </c>
      <c r="CQ19" s="68"/>
      <c r="CR19" s="69"/>
      <c r="CS19" s="64" t="str">
        <f>IF(CR19=0,"",IF(CR19=VLOOKUP("PCS-30739g",[7]ARBOR!$A:$C,3,0),0.0001,IF(CR19&gt;VLOOKUP("PCS-30739g",[7]ARBOR!$A:$C,3,0),"Maior que CAP!",IF((DOLLAR(CR19+(VLOOKUP("PCS-30739g",[7]ARBOR!$A:$C,3,0)*-TRUNC(CR19/VLOOKUP("PCS-30739g",[7]ARBOR!$A:$C,3,0)-1,4)),6))&lt;&gt;(DOLLAR(VLOOKUP("PCS-30739g",[7]ARBOR!$A:$C,3,0),6)),-TRUNC(CR19/VLOOKUP("PCS-30739g",[7]ARBOR!$A:$C,3,0)-1,4)+0.0001,-TRUNC(CR19/VLOOKUP("PCS-30739g",[7]ARBOR!$A:$C,3,0)-1,4)))))</f>
        <v/>
      </c>
      <c r="CT19" s="65" t="str">
        <f>IF(ISERROR(IF(CS19="","",VLOOKUP(($BH19&amp;CS19&amp;"Template de desconto FLAT bundle - Velox XDSL - Varejo"),[7]BENEFICIOS!$A:$E,5,0))),"Criar",IF(CS19="","",VLOOKUP(($BH19&amp;CS19&amp;"Template de desconto FLAT bundle - Velox XDSL - Varejo"),[7]BENEFICIOS!$A:$E,5,0)))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IF(CZ19=0,"",IF(CZ19=VLOOKUP("PCS-30766g",[7]ARBOR!$A:$C,3,0),0.0001,IF(CZ19&gt;VLOOKUP("PCS-30766g",[7]ARBOR!$A:$C,3,0),"Maior que CAP!",IF((DOLLAR(CZ19+(VLOOKUP("PCS-30766g",[7]ARBOR!$A:$C,3,0)*-TRUNC(CZ19/VLOOKUP("PCS-30766g",[7]ARBOR!$A:$C,3,0)-1,4)),6))&lt;&gt;(DOLLAR(VLOOKUP("PCS-30766g",[7]ARBOR!$A:$C,3,0),6)),-TRUNC(CZ19/VLOOKUP("PCS-30766g",[7]ARBOR!$A:$C,3,0)-1,4)+0.0001,-TRUNC(CZ19/VLOOKUP("PCS-30766g",[7]ARBOR!$A:$C,3,0)-1,4)))))</f>
        <v/>
      </c>
      <c r="DB19" s="65" t="str">
        <f>IF(ISERROR(IF(DA19="","",VLOOKUP(($BH19&amp;DA19&amp;"Template de desconto FLAT bundle - Velox XDSL - Varejo"),[7]BENEFICIOS!$A:$E,5,0))),"Criar",IF(DA19="","",VLOOKUP(($BH19&amp;DA19&amp;"Template de desconto FLAT bundle - Velox XDSL - Varejo"),[7]BENEFICIOS!$A:$E,5,0)))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IF(DH19=0,"",IF(DH19=VLOOKUP("PCS-30793g",[7]ARBOR!$A:$C,3,0),0.0001,IF(DH19&gt;VLOOKUP("PCS-30793g",[7]ARBOR!$A:$C,3,0),"Maior que CAP!",IF((DOLLAR(DH19+(VLOOKUP("PCS-30793g",[7]ARBOR!$A:$C,3,0)*-TRUNC(DH19/VLOOKUP("PCS-30793g",[7]ARBOR!$A:$C,3,0)-1,4)),6))&lt;&gt;(DOLLAR(VLOOKUP("PCS-30793g",[7]ARBOR!$A:$C,3,0),6)),-TRUNC(DH19/VLOOKUP("PCS-30793g",[7]ARBOR!$A:$C,3,0)-1,4)+0.0001,-TRUNC(DH19/VLOOKUP("PCS-30793g",[7]ARBOR!$A:$C,3,0)-1,4)))))</f>
        <v/>
      </c>
      <c r="DJ19" s="65" t="str">
        <f>IF(ISERROR(IF(DI19="","",VLOOKUP(($BH19&amp;DI19&amp;"Template de desconto FLAT bundle - Velox XDSL - Varejo"),[7]BENEFICIOS!$A:$E,5,0))),"Criar",IF(DI19="","",VLOOKUP(($BH19&amp;DI19&amp;"Template de desconto FLAT bundle - Velox XDSL - Varejo"),[7]BENEFICIOS!$A:$E,5,0)))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IF(DP19=0,"",IF(DP19=VLOOKUP("PCS-30820g",[7]ARBOR!$A:$C,3,0),0.0001,IF(DP19&gt;VLOOKUP("PCS-30820g",[7]ARBOR!$A:$C,3,0),"Maior que CAP!",IF((DOLLAR(DP19+(VLOOKUP("PCS-30820g",[7]ARBOR!$A:$C,3,0)*-TRUNC(DP19/VLOOKUP("PCS-30820g",[7]ARBOR!$A:$C,3,0)-1,4)),6))&lt;&gt;(DOLLAR(VLOOKUP("PCS-30820g",[7]ARBOR!$A:$C,3,0),6)),-TRUNC(DP19/VLOOKUP("PCS-30820g",[7]ARBOR!$A:$C,3,0)-1,4)+0.0001,-TRUNC(DP19/VLOOKUP("PCS-30820g",[7]ARBOR!$A:$C,3,0)-1,4)))))</f>
        <v/>
      </c>
      <c r="DR19" s="65" t="str">
        <f>IF(ISERROR(IF(DQ19="","",VLOOKUP(($BH19&amp;DQ19&amp;"Template de desconto FLAT bundle - Velox XDSL - Varejo"),[7]BENEFICIOS!$A:$E,5,0))),"Criar",IF(DQ19="","",VLOOKUP(($BH19&amp;DQ19&amp;"Template de desconto FLAT bundle - Velox XDSL - Varejo"),[7]BENEFICIOS!$A:$E,5,0)))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IF(DW19=0,"",IF(DW19=VLOOKUP("PCS-21448p2",[7]ARBOR!$A:$C,3,0),0.0001,IF(DW19&gt;VLOOKUP("PCS-21448p2",[7]ARBOR!$A:$C,3,0),"Maior que CAP!",IF((DOLLAR(DW19+(VLOOKUP("PCS-21448p2",[7]ARBOR!$A:$C,3,0)*-TRUNC(DW19/VLOOKUP("PCS-21448p2",[7]ARBOR!$A:$C,3,0)-1,4)),6))&lt;&gt;(DOLLAR(VLOOKUP("PCS-21448p2",[7]ARBOR!$A:$C,3,0),6)),-TRUNC(DW19/VLOOKUP("PCS-21448p2",[7]ARBOR!$A:$C,3,0)-1,4)+0.0001,-TRUNC(DW19/VLOOKUP("PCS-21448p2",[7]ARBOR!$A:$C,3,0)-1,4)))))</f>
        <v>0.64900000000000002</v>
      </c>
      <c r="DY19" s="65" t="str">
        <f>IF(ISERROR(IF(DX19="","",VLOOKUP(("Oi Conta Total Plug 10GB Downgrade"&amp;DX19&amp;"Template de desconto percentual BL Móvel - Internet Total - Varejo"),[7]BENEFICIOS!$A:$E,5,0))),"Criar",IF(DX19="","",VLOOKUP(("Oi Conta Total Plug 10GB Downgrade"&amp;DX19&amp;"Template de desconto percentual BL Móvel - Internet Total - Varejo"),[7]BENEFICIOS!$A:$E,5,0)))</f>
        <v>MKT-1-9825544790</v>
      </c>
      <c r="DZ19" s="71">
        <v>16.5</v>
      </c>
      <c r="EA19" s="72">
        <f>IF(DZ19=0,"",IF(DZ19=VLOOKUP("SVA",[7]ARBOR!$A:$C,3,0),0.0001,IF(DZ19&gt;VLOOKUP("SVA",[7]ARBOR!$A:$C,3,0),"Maior que CAP!",IF((DOLLAR(DZ19+(VLOOKUP("SVA",[7]ARBOR!$A:$C,3,0)*-TRUNC(DZ19/VLOOKUP("SVA",[7]ARBOR!$A:$C,3,0)-1,4)),6))&lt;&gt;(DOLLAR(VLOOKUP("SVA",[7]ARBOR!$A:$C,3,0),6)),-TRUNC(DZ19/VLOOKUP("SVA",[7]ARBOR!$A:$C,3,0)-1,4)+0.0001,-TRUNC(DZ19/VLOOKUP("SVA",[7]ARBOR!$A:$C,3,0)-1,4)))))</f>
        <v>0.2301</v>
      </c>
      <c r="EB19" s="65" t="s">
        <v>227</v>
      </c>
      <c r="EC19" s="69"/>
      <c r="ED19" s="73"/>
      <c r="EE19" s="74"/>
      <c r="EF19" s="65"/>
      <c r="EG19" s="75">
        <f>IF(BI19="","",VLOOKUP(BI19,[7]ARBOR!A:C,3,0))</f>
        <v>479.46</v>
      </c>
      <c r="EH19" s="69">
        <v>15</v>
      </c>
      <c r="EI19" s="76">
        <f>IF(EH19="","",1-(EH19/VLOOKUP(BI19&amp;"ASS",[7]ARBOR!A:C,3,0)))</f>
        <v>0.34725848563968664</v>
      </c>
      <c r="EJ19" s="77" t="s">
        <v>228</v>
      </c>
      <c r="EK19" s="78" t="s">
        <v>229</v>
      </c>
      <c r="EL19" s="69">
        <v>125.13000000000001</v>
      </c>
      <c r="EM19" s="64">
        <f>IF(EL19=0,"",IF(EL19=EG19,0.0001,ROUND(1-((EL19+(VLOOKUP(BI19&amp;"ASS",[7]ARBOR!A:C,3,0)-EH19))/EG19),4)))</f>
        <v>0.72240000000000004</v>
      </c>
      <c r="EN19" s="65" t="str">
        <f>IF(ISERROR(IF(EM19="","",VLOOKUP(($BH19&amp;EM19&amp;"Template de desconto percentual FLAT Móvel - Conta Total - Varejo - Ganho Tributário Cross"),[7]BENEFICIOS!$A:$E,5,0))),"Criar",IF(EM19="","",VLOOKUP(($BH19&amp;EM19&amp;"Template de desconto percentual FLAT Móvel - Conta Total - Varejo - Ganho Tributário Cross"),[7]BENEFICIOS!$A:$E,5,0)))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248</v>
      </c>
      <c r="EV19" s="81" t="s">
        <v>255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IF(FC19=0,"",IF(FC19=VLOOKUP("PCS-10357",[7]ARBOR!$A:$C,3,0),0.0001,IF(FC19&gt;VLOOKUP("PCS-10357",[7]ARBOR!$A:$C,3,0),"Maior que CAP!",ROUND(-1*(FC19/VLOOKUP("PCS-10357",[7]ARBOR!$A:$C,3,0)-1),4))))</f>
        <v/>
      </c>
      <c r="FE19" s="84" t="str">
        <f>IF(ISERROR(IF(FD19="","",VLOOKUP(("Oi Internet Pra Celular 1GB"&amp;FD19&amp;"Template Flat Instância Dados"),[7]BENEFICIOS!$A:$E,5,0))),"Criar",IF(FD19="","",VLOOKUP(("Oi Internet Pra Celular 1GB"&amp;FD19&amp;"Template Flat Instância Dados"),[7]BENEFICIOS!$A:$E,5,0)))</f>
        <v/>
      </c>
      <c r="FF19" s="82">
        <v>9.77</v>
      </c>
      <c r="FG19" s="83">
        <f>IF(FF19=0,"",IF(FF19=VLOOKUP("PCS-813565",[7]ARBOR!$A:$C,3,0),0.0001,IF(FF19&gt;VLOOKUP("PCS-813565",[7]ARBOR!$A:$C,3,0),"Maior que CAP!",ROUND(-1*(FF19/VLOOKUP("PCS-813565",[7]ARBOR!$A:$C,3,0)-1),4))))</f>
        <v>0.74260000000000004</v>
      </c>
      <c r="FH19" s="84" t="str">
        <f>IF(ISERROR(IF(FG19="","",VLOOKUP(("Oi Internet Pra Celular 2GB"&amp;FG19&amp;"Template Flat Instância Dados"),[7]BENEFICIOS!$A:$E,5,0))),"Criar",IF(FG19="","",VLOOKUP(("Oi Internet Pra Celular 2GB"&amp;FG19&amp;"Template Flat Instância Dados"),[7]BENEFICIOS!$A:$E,5,0)))</f>
        <v>MKT-1-9870023571</v>
      </c>
      <c r="FI19" s="82"/>
      <c r="FJ19" s="83" t="str">
        <f>IF(FI19=0,"",IF(FI19=VLOOKUP("PCS-7171B",[7]ARBOR!$A:$C,3,0),0.0001,IF(FI19&gt;VLOOKUP("PCS-7171B",[7]ARBOR!$A:$C,3,0),"Maior que CAP!",ROUND(-1*(FI19/VLOOKUP("PCS-7171B",[7]ARBOR!$A:$C,3,0)-1),4))))</f>
        <v/>
      </c>
      <c r="FK19" s="84" t="str">
        <f>IF(ISERROR(IF(FJ19="","",VLOOKUP(("Oi Internet Pra Celular 3GB"&amp;FJ19&amp;"Template Flat Instância Dados"),[7]BENEFICIOS!$A:$E,5,0))),"Criar",IF(FJ19="","",VLOOKUP(("Oi Internet Pra Celular 3GB"&amp;FJ19&amp;"Template Flat Instância Dados"),[7]BENEFICIOS!$A:$E,5,0)))</f>
        <v/>
      </c>
      <c r="FL19" s="82"/>
      <c r="FM19" s="83" t="str">
        <f>IF(FL19=0,"",IF(FL19=VLOOKUP("PCS-51793o08",[7]ARBOR!$A:$C,3,0),0.0001,IF(FL19&gt;VLOOKUP("PCS-51793o08",[7]ARBOR!$A:$C,3,0),"Maior que CAP!",ROUND(-1*(FL19/VLOOKUP("PCS-51793o08",[7]ARBOR!$A:$C,3,0)-1),4))))</f>
        <v/>
      </c>
      <c r="FN19" s="84" t="str">
        <f>IF(ISERROR(IF(FM19="","",VLOOKUP(("Oi Internet Pra Celular 5GB"&amp;FM19&amp;"Template Flat Instância Dados"),[7]BENEFICIOS!$A:$E,5,0))),"Criar",IF(FM19="","",VLOOKUP(("Oi Internet Pra Celular 5GB"&amp;FM19&amp;"Template Flat Instância Dados"),[7]BENEFICIOS!$A:$E,5,0)))</f>
        <v/>
      </c>
      <c r="FO19" s="82"/>
      <c r="FP19" s="83" t="str">
        <f>IF(FO19=0,"",IF(FO19=VLOOKUP("PCS-7171A",[7]ARBOR!$A:$C,3,0),0.0001,IF(FO19&gt;VLOOKUP("PCS-7171A",[7]ARBOR!$A:$C,3,0),"Maior que CAP!",ROUND(-1*(FO19/VLOOKUP("PCS-7171A",[7]ARBOR!$A:$C,3,0)-1),4))))</f>
        <v/>
      </c>
      <c r="FQ19" s="84" t="str">
        <f>IF(ISERROR(IF(FP19="","",VLOOKUP(("Oi Internet Pra Celular 10GB"&amp;FP19&amp;"Template Flat Instância Dados"),[7]BENEFICIOS!$A:$E,5,0))),"Criar",IF(FP19="","",VLOOKUP(("Oi Internet Pra Celular 10GB"&amp;FP19&amp;"Template Flat Instância Dados"),[7]BENEFICIOS!$A:$E,5,0)))</f>
        <v/>
      </c>
      <c r="FR19" s="85">
        <v>0.74219999999999997</v>
      </c>
      <c r="FS19" s="86" t="s">
        <v>250</v>
      </c>
      <c r="FT19" s="48"/>
      <c r="FU19" s="87"/>
      <c r="FV19" s="88" t="s">
        <v>225</v>
      </c>
      <c r="FW19" s="49" t="s">
        <v>230</v>
      </c>
      <c r="FX19" s="89">
        <v>999</v>
      </c>
      <c r="FY19" s="49">
        <v>12</v>
      </c>
      <c r="FZ19" s="90" t="s">
        <v>231</v>
      </c>
      <c r="GA19" s="91" t="str">
        <f t="shared" si="1"/>
        <v>PCS-Fk83324</v>
      </c>
      <c r="GB19" s="92" t="str">
        <f t="shared" si="2"/>
        <v>PCS-SBL553142</v>
      </c>
      <c r="GC19" s="93" t="s">
        <v>232</v>
      </c>
      <c r="GD19" s="90" t="s">
        <v>233</v>
      </c>
      <c r="GE19" s="92" t="s">
        <v>234</v>
      </c>
      <c r="GF19" s="93" t="s">
        <v>235</v>
      </c>
      <c r="GG19" s="90" t="s">
        <v>236</v>
      </c>
      <c r="GH19" s="92" t="s">
        <v>237</v>
      </c>
      <c r="GI19" s="94" t="s">
        <v>238</v>
      </c>
      <c r="GJ19" s="95">
        <f>FF19+EL19+CB19+BJ19</f>
        <v>229.9</v>
      </c>
      <c r="GK19" s="96"/>
      <c r="GL19" s="97" t="s">
        <v>239</v>
      </c>
      <c r="GM19" s="98" t="s">
        <v>276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285</v>
      </c>
      <c r="GX19" s="44" t="s">
        <v>242</v>
      </c>
    </row>
    <row r="20" spans="1:206" s="44" customFormat="1" x14ac:dyDescent="0.25">
      <c r="A20" s="44" t="str">
        <f t="shared" si="0"/>
        <v>Oi Total Fixo + Pós 800 + Banda LargaN22GBMG</v>
      </c>
      <c r="B20" s="45" t="s">
        <v>215</v>
      </c>
      <c r="C20" s="46" t="s">
        <v>131</v>
      </c>
      <c r="D20" s="46" t="s">
        <v>216</v>
      </c>
      <c r="E20" s="47" t="s">
        <v>217</v>
      </c>
      <c r="F20" s="88" t="s">
        <v>218</v>
      </c>
      <c r="G20" s="49"/>
      <c r="H20" s="49"/>
      <c r="I20" s="49"/>
      <c r="J20" s="49" t="s">
        <v>218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218</v>
      </c>
      <c r="AC20" s="49" t="s">
        <v>218</v>
      </c>
      <c r="AD20" s="49" t="s">
        <v>218</v>
      </c>
      <c r="AE20" s="49" t="s">
        <v>218</v>
      </c>
      <c r="AF20" s="49" t="s">
        <v>218</v>
      </c>
      <c r="AG20" s="49" t="s">
        <v>218</v>
      </c>
      <c r="AH20" s="50"/>
      <c r="AI20" s="49" t="s">
        <v>218</v>
      </c>
      <c r="AJ20" s="49" t="s">
        <v>218</v>
      </c>
      <c r="AK20" s="49" t="s">
        <v>218</v>
      </c>
      <c r="AL20" s="49" t="s">
        <v>218</v>
      </c>
      <c r="AM20" s="49" t="s">
        <v>218</v>
      </c>
      <c r="AN20" s="49" t="s">
        <v>218</v>
      </c>
      <c r="AO20" s="49" t="s">
        <v>218</v>
      </c>
      <c r="AP20" s="49"/>
      <c r="AQ20" s="51"/>
      <c r="AR20" s="52" t="s">
        <v>286</v>
      </c>
      <c r="AS20" s="46" t="s">
        <v>220</v>
      </c>
      <c r="AT20" s="53" t="s">
        <v>221</v>
      </c>
      <c r="AU20" s="54">
        <v>42972</v>
      </c>
      <c r="AV20" s="105">
        <v>43097</v>
      </c>
      <c r="AW20" s="56" t="s">
        <v>222</v>
      </c>
      <c r="AX20" s="57" t="s">
        <v>222</v>
      </c>
      <c r="AY20" s="58"/>
      <c r="AZ20" s="58" t="s">
        <v>223</v>
      </c>
      <c r="BA20" s="58">
        <v>20</v>
      </c>
      <c r="BB20" s="58">
        <v>10000</v>
      </c>
      <c r="BC20" s="59" t="s">
        <v>224</v>
      </c>
      <c r="BD20" s="60" t="s">
        <v>225</v>
      </c>
      <c r="BE20" s="58" t="s">
        <v>217</v>
      </c>
      <c r="BF20" s="51" t="s">
        <v>217</v>
      </c>
      <c r="BG20" s="45" t="s">
        <v>286</v>
      </c>
      <c r="BH20" s="61" t="s">
        <v>226</v>
      </c>
      <c r="BI20" s="62" t="str">
        <f>IF(ISERROR(VLOOKUP(BH20,[7]PLANOS!B:C,2,0)),"",VLOOKUP(BH20,[7]PLANOS!B:C,2,0))</f>
        <v>PCS-4P6pi</v>
      </c>
      <c r="BJ20" s="63">
        <v>50.1</v>
      </c>
      <c r="BK20" s="64">
        <f>IF(BJ20=0,"",IF(BJ20=VLOOKUP("FIXO",[7]ARBOR!$A:$C,3,0),0.0001,IF(BJ20&gt;VLOOKUP("FIXO",[7]ARBOR!$A:$C,3,0),"Maior que CAP!",IF((DOLLAR(BJ20+(VLOOKUP("FIXO",[7]ARBOR!$A:$C,3,0)*-TRUNC(BJ20/VLOOKUP("FIXO",[7]ARBOR!$A:$C,3,0)-1,4)),6))&lt;&gt;(DOLLAR(VLOOKUP("FIXO",[7]ARBOR!$A:$C,3,0),6)),-TRUNC(BJ20/VLOOKUP("FIXO",[7]ARBOR!$A:$C,3,0)-1,4)+0.0001,-TRUNC(BJ20/VLOOKUP("FIXO",[7]ARBOR!$A:$C,3,0)-1,4)))))</f>
        <v>0.33939999999999998</v>
      </c>
      <c r="BL20" s="65" t="str">
        <f>IF(ISERROR(IF(BK20="","",VLOOKUP(($BH20&amp;BK20&amp;"Template de desconto FLAT bundle - Fixo - Varejo - Ganho Tributário Cross"),[7]BENEFICIOS!$A:$E,5,0))),"Criar",IF(BK20="","",VLOOKUP(($BH20&amp;BK20&amp;"Template de desconto FLAT bundle - Fixo - Varejo - Ganho Tributário Cross"),[7]BENEFICIOS!$A:$E,5,0)))</f>
        <v>MKT-1-9856472058</v>
      </c>
      <c r="BM20" s="66"/>
      <c r="BN20" s="67"/>
      <c r="BO20" s="104" t="s">
        <v>244</v>
      </c>
      <c r="BP20" s="69">
        <v>44.9</v>
      </c>
      <c r="BQ20" s="64">
        <f>IF(BP20=0,"",IF(BP20=VLOOKUP("PCS-30874g",[7]ARBOR!$A:$C,3,0),0.0001,IF(BP20&gt;VLOOKUP("PCS-30874g",[7]ARBOR!$A:$C,3,0),"Maior que CAP!",IF((DOLLAR(BP20+(VLOOKUP("PCS-30874g",[7]ARBOR!$A:$C,3,0)*-TRUNC(BP20/VLOOKUP("PCS-30874g",[7]ARBOR!$A:$C,3,0)-1,4)),6))&lt;&gt;(DOLLAR(VLOOKUP("PCS-30874g",[7]ARBOR!$A:$C,3,0),6)),-TRUNC(BP20/VLOOKUP("PCS-30874g",[7]ARBOR!$A:$C,3,0)-1,4)+0.0001,-TRUNC(BP20/VLOOKUP("PCS-30874g",[7]ARBOR!$A:$C,3,0)-1,4)))))</f>
        <v>0.53679999999999994</v>
      </c>
      <c r="BR20" s="65" t="str">
        <f>IF(ISERROR(IF(BQ20="","",VLOOKUP(($BH20&amp;BQ20&amp;"Template de desconto FLAT bundle - Velox XDSL - Varejo"),[7]BENEFICIOS!$A:$E,5,0))),"Criar",IF(BQ20="","",VLOOKUP(($BH20&amp;BQ20&amp;"Template de desconto FLAT bundle - Velox XDSL - Varejo"),[7]BENEFICIOS!$A:$E,5,0)))</f>
        <v>MKT-1-9865126733</v>
      </c>
      <c r="BS20" s="104" t="s">
        <v>244</v>
      </c>
      <c r="BT20" s="69">
        <v>44.9</v>
      </c>
      <c r="BU20" s="64">
        <f>IF(BT20=0,"",IF(BT20=VLOOKUP("PCS-30577g",[7]ARBOR!$A:$C,3,0),0.0001,IF(BT20&gt;VLOOKUP("PCS-30577g",[7]ARBOR!$A:$C,3,0),"Maior que CAP!",IF((DOLLAR(BT20+(VLOOKUP("PCS-30577g",[7]ARBOR!$A:$C,3,0)*-TRUNC(BT20/VLOOKUP("PCS-30577g",[7]ARBOR!$A:$C,3,0)-1,4)),6))&lt;&gt;(DOLLAR(VLOOKUP("PCS-30577g",[7]ARBOR!$A:$C,3,0),6)),-TRUNC(BT20/VLOOKUP("PCS-30577g",[7]ARBOR!$A:$C,3,0)-1,4)+0.0001,-TRUNC(BT20/VLOOKUP("PCS-30577g",[7]ARBOR!$A:$C,3,0)-1,4)))))</f>
        <v>0.53679999999999994</v>
      </c>
      <c r="BV20" s="65" t="str">
        <f>IF(ISERROR(IF(BU20="","",VLOOKUP(($BH20&amp;BU20&amp;"Template de desconto FLAT bundle - Velox XDSL - Varejo"),[7]BENEFICIOS!$A:$E,5,0))),"Criar",IF(BU20="","",VLOOKUP(($BH20&amp;BU20&amp;"Template de desconto FLAT bundle - Velox XDSL - Varejo"),[7]BENEFICIOS!$A:$E,5,0)))</f>
        <v>MKT-1-9865126733</v>
      </c>
      <c r="BW20" s="104" t="s">
        <v>244</v>
      </c>
      <c r="BX20" s="69">
        <v>44.9</v>
      </c>
      <c r="BY20" s="64">
        <f>IF(BX20=0,"",IF(BX20=VLOOKUP("PCS-30604g",[7]ARBOR!$A:$C,3,0),0.0001,IF(BX20&gt;VLOOKUP("PCS-30604g",[7]ARBOR!$A:$C,3,0),"Maior que CAP!",IF((DOLLAR(BX20+(VLOOKUP("PCS-30604g",[7]ARBOR!$A:$C,3,0)*-TRUNC(BX20/VLOOKUP("PCS-30604g",[7]ARBOR!$A:$C,3,0)-1,4)),6))&lt;&gt;(DOLLAR(VLOOKUP("PCS-30604g",[7]ARBOR!$A:$C,3,0),6)),-TRUNC(BX20/VLOOKUP("PCS-30604g",[7]ARBOR!$A:$C,3,0)-1,4)+0.0001,-TRUNC(BX20/VLOOKUP("PCS-30604g",[7]ARBOR!$A:$C,3,0)-1,4)))))</f>
        <v>0.53679999999999994</v>
      </c>
      <c r="BZ20" s="65" t="str">
        <f>IF(ISERROR(IF(BY20="","",VLOOKUP(($BH20&amp;BY20&amp;"Template de desconto FLAT bundle - Velox XDSL - Varejo"),[7]BENEFICIOS!$A:$E,5,0))),"Criar",IF(BY20="","",VLOOKUP(($BH20&amp;BY20&amp;"Template de desconto FLAT bundle - Velox XDSL - Varejo"),[7]BENEFICIOS!$A:$E,5,0)))</f>
        <v>MKT-1-9865126733</v>
      </c>
      <c r="CA20" s="104" t="s">
        <v>244</v>
      </c>
      <c r="CB20" s="69">
        <v>44.9</v>
      </c>
      <c r="CC20" s="64">
        <f>IF(CB20=0,"",IF(CB20=VLOOKUP("PCS-30631g",[7]ARBOR!$A:$C,3,0),0.0001,IF(CB20&gt;VLOOKUP("PCS-30631g",[7]ARBOR!$A:$C,3,0),"Maior que CAP!",IF((DOLLAR(CB20+(VLOOKUP("PCS-30631g",[7]ARBOR!$A:$C,3,0)*-TRUNC(CB20/VLOOKUP("PCS-30631g",[7]ARBOR!$A:$C,3,0)-1,4)),6))&lt;&gt;(DOLLAR(VLOOKUP("PCS-30631g",[7]ARBOR!$A:$C,3,0),6)),-TRUNC(CB20/VLOOKUP("PCS-30631g",[7]ARBOR!$A:$C,3,0)-1,4)+0.0001,-TRUNC(CB20/VLOOKUP("PCS-30631g",[7]ARBOR!$A:$C,3,0)-1,4)))))</f>
        <v>0.54310000000000003</v>
      </c>
      <c r="CD20" s="65" t="str">
        <f>IF(ISERROR(IF(CC20="","",VLOOKUP(($BH20&amp;CC20&amp;"Template de desconto FLAT bundle - Velox XDSL - Varejo"),[7]BENEFICIOS!$A:$E,5,0))),"Criar",IF(CC20="","",VLOOKUP(($BH20&amp;CC20&amp;"Template de desconto FLAT bundle - Velox XDSL - Varejo"),[7]BENEFICIOS!$A:$E,5,0)))</f>
        <v>MKT-1-9865126826</v>
      </c>
      <c r="CE20" s="68" t="s">
        <v>165</v>
      </c>
      <c r="CF20" s="69">
        <v>49.9</v>
      </c>
      <c r="CG20" s="64">
        <f>IF(CF20=0,"",IF(CF20=VLOOKUP("PCS-30658g",[7]ARBOR!$A:$C,3,0),0.0001,IF(CF20&gt;VLOOKUP("PCS-30658g",[7]ARBOR!$A:$C,3,0),"Maior que CAP!",IF((DOLLAR(CF20+(VLOOKUP("PCS-30658g",[7]ARBOR!$A:$C,3,0)*-TRUNC(CF20/VLOOKUP("PCS-30658g",[7]ARBOR!$A:$C,3,0)-1,4)),6))&lt;&gt;(DOLLAR(VLOOKUP("PCS-30658g",[7]ARBOR!$A:$C,3,0),6)),-TRUNC(CF20/VLOOKUP("PCS-30658g",[7]ARBOR!$A:$C,3,0)-1,4)+0.0001,-TRUNC(CF20/VLOOKUP("PCS-30658g",[7]ARBOR!$A:$C,3,0)-1,4)))))</f>
        <v>0.55569999999999997</v>
      </c>
      <c r="CH20" s="65" t="str">
        <f>IF(ISERROR(IF(CG20="","",VLOOKUP(($BH20&amp;CG20&amp;"Template de desconto FLAT bundle - Velox XDSL - Varejo"),[7]BENEFICIOS!$A:$E,5,0))),"Criar",IF(CG20="","",VLOOKUP(($BH20&amp;CG20&amp;"Template de desconto FLAT bundle - Velox XDSL - Varejo"),[7]BENEFICIOS!$A:$E,5,0)))</f>
        <v>MKT-1-9865126919</v>
      </c>
      <c r="CI20" s="68" t="s">
        <v>165</v>
      </c>
      <c r="CJ20" s="69">
        <v>49.9</v>
      </c>
      <c r="CK20" s="64">
        <f>IF(CJ20=0,"",IF(CJ20=VLOOKUP("PCS-30685g",[7]ARBOR!$A:$C,3,0),0.0001,IF(CJ20&gt;VLOOKUP("PCS-30685g",[7]ARBOR!$A:$C,3,0),"Maior que CAP!",IF((DOLLAR(CJ20+(VLOOKUP("PCS-30685g",[7]ARBOR!$A:$C,3,0)*-TRUNC(CJ20/VLOOKUP("PCS-30685g",[7]ARBOR!$A:$C,3,0)-1,4)),6))&lt;&gt;(DOLLAR(VLOOKUP("PCS-30685g",[7]ARBOR!$A:$C,3,0),6)),-TRUNC(CJ20/VLOOKUP("PCS-30685g",[7]ARBOR!$A:$C,3,0)-1,4)+0.0001,-TRUNC(CJ20/VLOOKUP("PCS-30685g",[7]ARBOR!$A:$C,3,0)-1,4)))))</f>
        <v>0.60509999999999997</v>
      </c>
      <c r="CL20" s="65" t="str">
        <f>IF(ISERROR(IF(CK20="","",VLOOKUP(($BH20&amp;CK20&amp;"Template de desconto FLAT bundle - Velox XDSL - Varejo"),[7]BENEFICIOS!$A:$E,5,0))),"Criar",IF(CK20="","",VLOOKUP(($BH20&amp;CK20&amp;"Template de desconto FLAT bundle - Velox XDSL - Varejo"),[7]BENEFICIOS!$A:$E,5,0)))</f>
        <v>MKT-1-9865694381</v>
      </c>
      <c r="CM20" s="68" t="s">
        <v>165</v>
      </c>
      <c r="CN20" s="69">
        <v>49.9</v>
      </c>
      <c r="CO20" s="64">
        <f>IF(CN20=0,"",IF(CN20=VLOOKUP("PCS-30712g",[7]ARBOR!$A:$C,3,0),0.0001,IF(CN20&gt;VLOOKUP("PCS-30712g",[7]ARBOR!$A:$C,3,0),"Maior que CAP!",IF((DOLLAR(CN20+(VLOOKUP("PCS-30712g",[7]ARBOR!$A:$C,3,0)*-TRUNC(CN20/VLOOKUP("PCS-30712g",[7]ARBOR!$A:$C,3,0)-1,4)),6))&lt;&gt;(DOLLAR(VLOOKUP("PCS-30712g",[7]ARBOR!$A:$C,3,0),6)),-TRUNC(CN20/VLOOKUP("PCS-30712g",[7]ARBOR!$A:$C,3,0)-1,4)+0.0001,-TRUNC(CN20/VLOOKUP("PCS-30712g",[7]ARBOR!$A:$C,3,0)-1,4)))))</f>
        <v>0.64459999999999995</v>
      </c>
      <c r="CP20" s="65" t="str">
        <f>IF(ISERROR(IF(CO20="","",VLOOKUP(($BH20&amp;CO20&amp;"Template de desconto FLAT bundle - Velox XDSL - Varejo"),[7]BENEFICIOS!$A:$E,5,0))),"Criar",IF(CO20="","",VLOOKUP(($BH20&amp;CO20&amp;"Template de desconto FLAT bundle - Velox XDSL - Varejo"),[7]BENEFICIOS!$A:$E,5,0)))</f>
        <v>MKT-1-9865191105</v>
      </c>
      <c r="CQ20" s="68" t="s">
        <v>165</v>
      </c>
      <c r="CR20" s="69">
        <v>59.9</v>
      </c>
      <c r="CS20" s="64">
        <f>IF(CR20=0,"",IF(CR20=VLOOKUP("PCS-30739g",[7]ARBOR!$A:$C,3,0),0.0001,IF(CR20&gt;VLOOKUP("PCS-30739g",[7]ARBOR!$A:$C,3,0),"Maior que CAP!",IF((DOLLAR(CR20+(VLOOKUP("PCS-30739g",[7]ARBOR!$A:$C,3,0)*-TRUNC(CR20/VLOOKUP("PCS-30739g",[7]ARBOR!$A:$C,3,0)-1,4)),6))&lt;&gt;(DOLLAR(VLOOKUP("PCS-30739g",[7]ARBOR!$A:$C,3,0),6)),-TRUNC(CR20/VLOOKUP("PCS-30739g",[7]ARBOR!$A:$C,3,0)-1,4)+0.0001,-TRUNC(CR20/VLOOKUP("PCS-30739g",[7]ARBOR!$A:$C,3,0)-1,4)))))</f>
        <v>0.71560000000000001</v>
      </c>
      <c r="CT20" s="65" t="str">
        <f>IF(ISERROR(IF(CS20="","",VLOOKUP(($BH20&amp;CS20&amp;"Template de desconto FLAT bundle - Velox XDSL - Varejo"),[7]BENEFICIOS!$A:$E,5,0))),"Criar",IF(CS20="","",VLOOKUP(($BH20&amp;CS20&amp;"Template de desconto FLAT bundle - Velox XDSL - Varejo"),[7]BENEFICIOS!$A:$E,5,0)))</f>
        <v>MKT-1-9865191198</v>
      </c>
      <c r="CU20" s="69"/>
      <c r="CV20" s="70"/>
      <c r="CW20" s="64"/>
      <c r="CX20" s="65"/>
      <c r="CY20" s="68" t="s">
        <v>165</v>
      </c>
      <c r="CZ20" s="69">
        <v>59.9</v>
      </c>
      <c r="DA20" s="64">
        <f>IF(CZ20=0,"",IF(CZ20=VLOOKUP("PCS-30766g",[7]ARBOR!$A:$C,3,0),0.0001,IF(CZ20&gt;VLOOKUP("PCS-30766g",[7]ARBOR!$A:$C,3,0),"Maior que CAP!",IF((DOLLAR(CZ20+(VLOOKUP("PCS-30766g",[7]ARBOR!$A:$C,3,0)*-TRUNC(CZ20/VLOOKUP("PCS-30766g",[7]ARBOR!$A:$C,3,0)-1,4)),6))&lt;&gt;(DOLLAR(VLOOKUP("PCS-30766g",[7]ARBOR!$A:$C,3,0),6)),-TRUNC(CZ20/VLOOKUP("PCS-30766g",[7]ARBOR!$A:$C,3,0)-1,4)+0.0001,-TRUNC(CZ20/VLOOKUP("PCS-30766g",[7]ARBOR!$A:$C,3,0)-1,4)))))</f>
        <v>0.78669999999999995</v>
      </c>
      <c r="DB20" s="65" t="str">
        <f>IF(ISERROR(IF(DA20="","",VLOOKUP(($BH20&amp;DA20&amp;"Template de desconto FLAT bundle - Velox XDSL - Varejo"),[7]BENEFICIOS!$A:$E,5,0))),"Criar",IF(DA20="","",VLOOKUP(($BH20&amp;DA20&amp;"Template de desconto FLAT bundle - Velox XDSL - Varejo"),[7]BENEFICIOS!$A:$E,5,0)))</f>
        <v>MKT-1-9865191291</v>
      </c>
      <c r="DC20" s="69"/>
      <c r="DD20" s="70"/>
      <c r="DE20" s="64"/>
      <c r="DF20" s="65"/>
      <c r="DG20" s="68" t="s">
        <v>244</v>
      </c>
      <c r="DH20" s="69">
        <v>69.900000000000006</v>
      </c>
      <c r="DI20" s="64">
        <f>IF(DH20=0,"",IF(DH20=VLOOKUP("PCS-30793g",[7]ARBOR!$A:$C,3,0),0.0001,IF(DH20&gt;VLOOKUP("PCS-30793g",[7]ARBOR!$A:$C,3,0),"Maior que CAP!",IF((DOLLAR(DH20+(VLOOKUP("PCS-30793g",[7]ARBOR!$A:$C,3,0)*-TRUNC(DH20/VLOOKUP("PCS-30793g",[7]ARBOR!$A:$C,3,0)-1,4)),6))&lt;&gt;(DOLLAR(VLOOKUP("PCS-30793g",[7]ARBOR!$A:$C,3,0),6)),-TRUNC(DH20/VLOOKUP("PCS-30793g",[7]ARBOR!$A:$C,3,0)-1,4)+0.0001,-TRUNC(DH20/VLOOKUP("PCS-30793g",[7]ARBOR!$A:$C,3,0)-1,4)))))</f>
        <v>0.75109999999999999</v>
      </c>
      <c r="DJ20" s="65" t="str">
        <f>IF(ISERROR(IF(DI20="","",VLOOKUP(($BH20&amp;DI20&amp;"Template de desconto FLAT bundle - Velox XDSL - Varejo"),[7]BENEFICIOS!$A:$E,5,0))),"Criar",IF(DI20="","",VLOOKUP(($BH20&amp;DI20&amp;"Template de desconto FLAT bundle - Velox XDSL - Varejo"),[7]BENEFICIOS!$A:$E,5,0)))</f>
        <v>MKT-1-9865191384</v>
      </c>
      <c r="DK20" s="69"/>
      <c r="DL20" s="70"/>
      <c r="DM20" s="64"/>
      <c r="DN20" s="65"/>
      <c r="DO20" s="68" t="s">
        <v>165</v>
      </c>
      <c r="DP20" s="69">
        <v>69.900000000000006</v>
      </c>
      <c r="DQ20" s="64">
        <f>IF(DP20=0,"",IF(DP20=VLOOKUP("PCS-30820g",[7]ARBOR!$A:$C,3,0),0.0001,IF(DP20&gt;VLOOKUP("PCS-30820g",[7]ARBOR!$A:$C,3,0),"Maior que CAP!",IF((DOLLAR(DP20+(VLOOKUP("PCS-30820g",[7]ARBOR!$A:$C,3,0)*-TRUNC(DP20/VLOOKUP("PCS-30820g",[7]ARBOR!$A:$C,3,0)-1,4)),6))&lt;&gt;(DOLLAR(VLOOKUP("PCS-30820g",[7]ARBOR!$A:$C,3,0),6)),-TRUNC(DP20/VLOOKUP("PCS-30820g",[7]ARBOR!$A:$C,3,0)-1,4)+0.0001,-TRUNC(DP20/VLOOKUP("PCS-30820g",[7]ARBOR!$A:$C,3,0)-1,4)))))</f>
        <v>0.75109999999999999</v>
      </c>
      <c r="DR20" s="65" t="str">
        <f>IF(ISERROR(IF(DQ20="","",VLOOKUP(($BH20&amp;DQ20&amp;"Template de desconto FLAT bundle - Velox XDSL - Varejo"),[7]BENEFICIOS!$A:$E,5,0))),"Criar",IF(DQ20="","",VLOOKUP(($BH20&amp;DQ20&amp;"Template de desconto FLAT bundle - Velox XDSL - Varejo"),[7]BENEFICIOS!$A:$E,5,0)))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IF(DW20=0,"",IF(DW20=VLOOKUP("PCS-21448p2",[7]ARBOR!$A:$C,3,0),0.0001,IF(DW20&gt;VLOOKUP("PCS-21448p2",[7]ARBOR!$A:$C,3,0),"Maior que CAP!",IF((DOLLAR(DW20+(VLOOKUP("PCS-21448p2",[7]ARBOR!$A:$C,3,0)*-TRUNC(DW20/VLOOKUP("PCS-21448p2",[7]ARBOR!$A:$C,3,0)-1,4)),6))&lt;&gt;(DOLLAR(VLOOKUP("PCS-21448p2",[7]ARBOR!$A:$C,3,0),6)),-TRUNC(DW20/VLOOKUP("PCS-21448p2",[7]ARBOR!$A:$C,3,0)-1,4)+0.0001,-TRUNC(DW20/VLOOKUP("PCS-21448p2",[7]ARBOR!$A:$C,3,0)-1,4)))))</f>
        <v/>
      </c>
      <c r="DY20" s="65" t="str">
        <f>IF(ISERROR(IF(DX20="","",VLOOKUP(("Oi Conta Total Plug 10GB Downgrade"&amp;DX20&amp;"Template de desconto percentual BL Móvel - Internet Total - Varejo"),[7]BENEFICIOS!$A:$E,5,0))),"Criar",IF(DX20="","",VLOOKUP(("Oi Conta Total Plug 10GB Downgrade"&amp;DX20&amp;"Template de desconto percentual BL Móvel - Internet Total - Varejo"),[7]BENEFICIOS!$A:$E,5,0)))</f>
        <v/>
      </c>
      <c r="DZ20" s="71">
        <v>19.899999999999999</v>
      </c>
      <c r="EA20" s="72">
        <f>IF(DZ20=0,"",IF(DZ20=VLOOKUP("SVA",[7]ARBOR!$A:$C,3,0),0.0001,IF(DZ20&gt;VLOOKUP("SVA",[7]ARBOR!$A:$C,3,0),"Maior que CAP!",IF((DOLLAR(DZ20+(VLOOKUP("SVA",[7]ARBOR!$A:$C,3,0)*-TRUNC(DZ20/VLOOKUP("SVA",[7]ARBOR!$A:$C,3,0)-1,4)),6))&lt;&gt;(DOLLAR(VLOOKUP("SVA",[7]ARBOR!$A:$C,3,0),6)),-TRUNC(DZ20/VLOOKUP("SVA",[7]ARBOR!$A:$C,3,0)-1,4)+0.0001,-TRUNC(DZ20/VLOOKUP("SVA",[7]ARBOR!$A:$C,3,0)-1,4)))))</f>
        <v>7.1400000000000005E-2</v>
      </c>
      <c r="EB20" s="65" t="s">
        <v>245</v>
      </c>
      <c r="EC20" s="69"/>
      <c r="ED20" s="73"/>
      <c r="EE20" s="74"/>
      <c r="EF20" s="65"/>
      <c r="EG20" s="75">
        <f>IF(BI20="","",VLOOKUP(BI20,[7]ARBOR!A:C,3,0))</f>
        <v>479.46</v>
      </c>
      <c r="EH20" s="69">
        <v>15</v>
      </c>
      <c r="EI20" s="76">
        <f>IF(EH20="","",1-(EH20/VLOOKUP(BI20&amp;"ASS",[7]ARBOR!A:C,3,0)))</f>
        <v>0.34725848563968664</v>
      </c>
      <c r="EJ20" s="77" t="s">
        <v>228</v>
      </c>
      <c r="EK20" s="78" t="s">
        <v>229</v>
      </c>
      <c r="EL20" s="69">
        <v>125.13000000000001</v>
      </c>
      <c r="EM20" s="64">
        <f>IF(EL20=0,"",IF(EL20=EG20,0.0001,ROUND(1-((EL20+(VLOOKUP(BI20&amp;"ASS",[7]ARBOR!A:C,3,0)-EH20))/EG20),4)))</f>
        <v>0.72240000000000004</v>
      </c>
      <c r="EN20" s="65" t="str">
        <f>IF(ISERROR(IF(EM20="","",VLOOKUP(($BH20&amp;EM20&amp;"Template de desconto percentual FLAT Móvel - Conta Total - Varejo - Ganho Tributário Cross"),[7]BENEFICIOS!$A:$E,5,0))),"Criar",IF(EM20="","",VLOOKUP(($BH20&amp;EM20&amp;"Template de desconto percentual FLAT Móvel - Conta Total - Varejo - Ganho Tributário Cross"),[7]BENEFICIOS!$A:$E,5,0)))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248</v>
      </c>
      <c r="EV20" s="81" t="s">
        <v>255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IF(FC20=0,"",IF(FC20=VLOOKUP("PCS-10357",[7]ARBOR!$A:$C,3,0),0.0001,IF(FC20&gt;VLOOKUP("PCS-10357",[7]ARBOR!$A:$C,3,0),"Maior que CAP!",ROUND(-1*(FC20/VLOOKUP("PCS-10357",[7]ARBOR!$A:$C,3,0)-1),4))))</f>
        <v/>
      </c>
      <c r="FE20" s="84" t="str">
        <f>IF(ISERROR(IF(FD20="","",VLOOKUP(("Oi Internet Pra Celular 1GB"&amp;FD20&amp;"Template Flat Instância Dados"),[7]BENEFICIOS!$A:$E,5,0))),"Criar",IF(FD20="","",VLOOKUP(("Oi Internet Pra Celular 1GB"&amp;FD20&amp;"Template Flat Instância Dados"),[7]BENEFICIOS!$A:$E,5,0)))</f>
        <v/>
      </c>
      <c r="FF20" s="82">
        <v>9.77</v>
      </c>
      <c r="FG20" s="83">
        <f>IF(FF20=0,"",IF(FF20=VLOOKUP("PCS-813565",[7]ARBOR!$A:$C,3,0),0.0001,IF(FF20&gt;VLOOKUP("PCS-813565",[7]ARBOR!$A:$C,3,0),"Maior que CAP!",ROUND(-1*(FF20/VLOOKUP("PCS-813565",[7]ARBOR!$A:$C,3,0)-1),4))))</f>
        <v>0.74260000000000004</v>
      </c>
      <c r="FH20" s="84" t="str">
        <f>IF(ISERROR(IF(FG20="","",VLOOKUP(("Oi Internet Pra Celular 2GB"&amp;FG20&amp;"Template Flat Instância Dados"),[7]BENEFICIOS!$A:$E,5,0))),"Criar",IF(FG20="","",VLOOKUP(("Oi Internet Pra Celular 2GB"&amp;FG20&amp;"Template Flat Instância Dados"),[7]BENEFICIOS!$A:$E,5,0)))</f>
        <v>MKT-1-9870023571</v>
      </c>
      <c r="FI20" s="82"/>
      <c r="FJ20" s="83" t="str">
        <f>IF(FI20=0,"",IF(FI20=VLOOKUP("PCS-7171B",[7]ARBOR!$A:$C,3,0),0.0001,IF(FI20&gt;VLOOKUP("PCS-7171B",[7]ARBOR!$A:$C,3,0),"Maior que CAP!",ROUND(-1*(FI20/VLOOKUP("PCS-7171B",[7]ARBOR!$A:$C,3,0)-1),4))))</f>
        <v/>
      </c>
      <c r="FK20" s="84" t="str">
        <f>IF(ISERROR(IF(FJ20="","",VLOOKUP(("Oi Internet Pra Celular 3GB"&amp;FJ20&amp;"Template Flat Instância Dados"),[7]BENEFICIOS!$A:$E,5,0))),"Criar",IF(FJ20="","",VLOOKUP(("Oi Internet Pra Celular 3GB"&amp;FJ20&amp;"Template Flat Instância Dados"),[7]BENEFICIOS!$A:$E,5,0)))</f>
        <v/>
      </c>
      <c r="FL20" s="82"/>
      <c r="FM20" s="83" t="str">
        <f>IF(FL20=0,"",IF(FL20=VLOOKUP("PCS-51793o08",[7]ARBOR!$A:$C,3,0),0.0001,IF(FL20&gt;VLOOKUP("PCS-51793o08",[7]ARBOR!$A:$C,3,0),"Maior que CAP!",ROUND(-1*(FL20/VLOOKUP("PCS-51793o08",[7]ARBOR!$A:$C,3,0)-1),4))))</f>
        <v/>
      </c>
      <c r="FN20" s="84" t="str">
        <f>IF(ISERROR(IF(FM20="","",VLOOKUP(("Oi Internet Pra Celular 5GB"&amp;FM20&amp;"Template Flat Instância Dados"),[7]BENEFICIOS!$A:$E,5,0))),"Criar",IF(FM20="","",VLOOKUP(("Oi Internet Pra Celular 5GB"&amp;FM20&amp;"Template Flat Instância Dados"),[7]BENEFICIOS!$A:$E,5,0)))</f>
        <v/>
      </c>
      <c r="FO20" s="82"/>
      <c r="FP20" s="83" t="str">
        <f>IF(FO20=0,"",IF(FO20=VLOOKUP("PCS-7171A",[7]ARBOR!$A:$C,3,0),0.0001,IF(FO20&gt;VLOOKUP("PCS-7171A",[7]ARBOR!$A:$C,3,0),"Maior que CAP!",ROUND(-1*(FO20/VLOOKUP("PCS-7171A",[7]ARBOR!$A:$C,3,0)-1),4))))</f>
        <v/>
      </c>
      <c r="FQ20" s="84" t="str">
        <f>IF(ISERROR(IF(FP20="","",VLOOKUP(("Oi Internet Pra Celular 10GB"&amp;FP20&amp;"Template Flat Instância Dados"),[7]BENEFICIOS!$A:$E,5,0))),"Criar",IF(FP20="","",VLOOKUP(("Oi Internet Pra Celular 10GB"&amp;FP20&amp;"Template Flat Instância Dados"),[7]BENEFICIOS!$A:$E,5,0)))</f>
        <v/>
      </c>
      <c r="FR20" s="85">
        <v>0.74219999999999997</v>
      </c>
      <c r="FS20" s="86" t="s">
        <v>250</v>
      </c>
      <c r="FT20" s="48"/>
      <c r="FU20" s="87"/>
      <c r="FV20" s="88" t="s">
        <v>225</v>
      </c>
      <c r="FW20" s="49" t="s">
        <v>230</v>
      </c>
      <c r="FX20" s="89">
        <v>999</v>
      </c>
      <c r="FY20" s="49">
        <v>12</v>
      </c>
      <c r="FZ20" s="90" t="s">
        <v>231</v>
      </c>
      <c r="GA20" s="91" t="str">
        <f t="shared" si="1"/>
        <v>PCS-Fk83324</v>
      </c>
      <c r="GB20" s="92" t="str">
        <f t="shared" si="2"/>
        <v>PCS-SBL553142</v>
      </c>
      <c r="GC20" s="93" t="s">
        <v>232</v>
      </c>
      <c r="GD20" s="90" t="s">
        <v>233</v>
      </c>
      <c r="GE20" s="92" t="s">
        <v>234</v>
      </c>
      <c r="GF20" s="93" t="s">
        <v>235</v>
      </c>
      <c r="GG20" s="90" t="s">
        <v>236</v>
      </c>
      <c r="GH20" s="92" t="s">
        <v>237</v>
      </c>
      <c r="GI20" s="94" t="s">
        <v>238</v>
      </c>
      <c r="GJ20" s="95">
        <f>FF20+EL20+CN20+BJ20</f>
        <v>234.9</v>
      </c>
      <c r="GK20" s="96"/>
      <c r="GL20" s="97" t="s">
        <v>239</v>
      </c>
      <c r="GM20" s="98" t="s">
        <v>276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287</v>
      </c>
      <c r="GX20" s="44" t="s">
        <v>242</v>
      </c>
    </row>
    <row r="21" spans="1:206" s="44" customFormat="1" x14ac:dyDescent="0.25">
      <c r="A21" s="44" t="str">
        <f t="shared" si="0"/>
        <v>Oi Total Fixo + Pós 800 + Banda LargaN23GBMG</v>
      </c>
      <c r="B21" s="45" t="s">
        <v>215</v>
      </c>
      <c r="C21" s="46" t="s">
        <v>131</v>
      </c>
      <c r="D21" s="46" t="s">
        <v>216</v>
      </c>
      <c r="E21" s="47" t="s">
        <v>217</v>
      </c>
      <c r="F21" s="88" t="s">
        <v>218</v>
      </c>
      <c r="G21" s="49"/>
      <c r="H21" s="49"/>
      <c r="I21" s="49"/>
      <c r="J21" s="49" t="s">
        <v>218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218</v>
      </c>
      <c r="AC21" s="49" t="s">
        <v>218</v>
      </c>
      <c r="AD21" s="49" t="s">
        <v>218</v>
      </c>
      <c r="AE21" s="49" t="s">
        <v>218</v>
      </c>
      <c r="AF21" s="49" t="s">
        <v>218</v>
      </c>
      <c r="AG21" s="49" t="s">
        <v>218</v>
      </c>
      <c r="AH21" s="50"/>
      <c r="AI21" s="49" t="s">
        <v>218</v>
      </c>
      <c r="AJ21" s="49" t="s">
        <v>218</v>
      </c>
      <c r="AK21" s="49" t="s">
        <v>218</v>
      </c>
      <c r="AL21" s="49" t="s">
        <v>218</v>
      </c>
      <c r="AM21" s="49" t="s">
        <v>218</v>
      </c>
      <c r="AN21" s="49" t="s">
        <v>218</v>
      </c>
      <c r="AO21" s="49" t="s">
        <v>218</v>
      </c>
      <c r="AP21" s="49"/>
      <c r="AQ21" s="51"/>
      <c r="AR21" s="52" t="s">
        <v>288</v>
      </c>
      <c r="AS21" s="46" t="s">
        <v>220</v>
      </c>
      <c r="AT21" s="53" t="s">
        <v>221</v>
      </c>
      <c r="AU21" s="54">
        <v>42972</v>
      </c>
      <c r="AV21" s="105">
        <v>43097</v>
      </c>
      <c r="AW21" s="56" t="s">
        <v>222</v>
      </c>
      <c r="AX21" s="57" t="s">
        <v>222</v>
      </c>
      <c r="AY21" s="58"/>
      <c r="AZ21" s="58" t="s">
        <v>223</v>
      </c>
      <c r="BA21" s="58">
        <v>20</v>
      </c>
      <c r="BB21" s="58">
        <v>10000</v>
      </c>
      <c r="BC21" s="59" t="s">
        <v>224</v>
      </c>
      <c r="BD21" s="60" t="s">
        <v>225</v>
      </c>
      <c r="BE21" s="58" t="s">
        <v>217</v>
      </c>
      <c r="BF21" s="51" t="s">
        <v>217</v>
      </c>
      <c r="BG21" s="45" t="s">
        <v>288</v>
      </c>
      <c r="BH21" s="61" t="s">
        <v>226</v>
      </c>
      <c r="BI21" s="62" t="str">
        <f>IF(ISERROR(VLOOKUP(BH21,[7]PLANOS!B:C,2,0)),"",VLOOKUP(BH21,[7]PLANOS!B:C,2,0))</f>
        <v>PCS-4P6pi</v>
      </c>
      <c r="BJ21" s="63">
        <v>50.1</v>
      </c>
      <c r="BK21" s="64">
        <f>IF(BJ21=0,"",IF(BJ21=VLOOKUP("FIXO",[7]ARBOR!$A:$C,3,0),0.0001,IF(BJ21&gt;VLOOKUP("FIXO",[7]ARBOR!$A:$C,3,0),"Maior que CAP!",IF((DOLLAR(BJ21+(VLOOKUP("FIXO",[7]ARBOR!$A:$C,3,0)*-TRUNC(BJ21/VLOOKUP("FIXO",[7]ARBOR!$A:$C,3,0)-1,4)),6))&lt;&gt;(DOLLAR(VLOOKUP("FIXO",[7]ARBOR!$A:$C,3,0),6)),-TRUNC(BJ21/VLOOKUP("FIXO",[7]ARBOR!$A:$C,3,0)-1,4)+0.0001,-TRUNC(BJ21/VLOOKUP("FIXO",[7]ARBOR!$A:$C,3,0)-1,4)))))</f>
        <v>0.33939999999999998</v>
      </c>
      <c r="BL21" s="65" t="str">
        <f>IF(ISERROR(IF(BK21="","",VLOOKUP(($BH21&amp;BK21&amp;"Template de desconto FLAT bundle - Fixo - Varejo - Ganho Tributário Cross"),[7]BENEFICIOS!$A:$E,5,0))),"Criar",IF(BK21="","",VLOOKUP(($BH21&amp;BK21&amp;"Template de desconto FLAT bundle - Fixo - Varejo - Ganho Tributário Cross"),[7]BENEFICIOS!$A:$E,5,0)))</f>
        <v>MKT-1-9856472058</v>
      </c>
      <c r="BM21" s="66"/>
      <c r="BN21" s="67"/>
      <c r="BO21" s="68" t="s">
        <v>165</v>
      </c>
      <c r="BP21" s="69">
        <v>44.9</v>
      </c>
      <c r="BQ21" s="64">
        <f>IF(BP21=0,"",IF(BP21=VLOOKUP("PCS-30874g",[7]ARBOR!$A:$C,3,0),0.0001,IF(BP21&gt;VLOOKUP("PCS-30874g",[7]ARBOR!$A:$C,3,0),"Maior que CAP!",IF((DOLLAR(BP21+(VLOOKUP("PCS-30874g",[7]ARBOR!$A:$C,3,0)*-TRUNC(BP21/VLOOKUP("PCS-30874g",[7]ARBOR!$A:$C,3,0)-1,4)),6))&lt;&gt;(DOLLAR(VLOOKUP("PCS-30874g",[7]ARBOR!$A:$C,3,0),6)),-TRUNC(BP21/VLOOKUP("PCS-30874g",[7]ARBOR!$A:$C,3,0)-1,4)+0.0001,-TRUNC(BP21/VLOOKUP("PCS-30874g",[7]ARBOR!$A:$C,3,0)-1,4)))))</f>
        <v>0.53679999999999994</v>
      </c>
      <c r="BR21" s="65" t="str">
        <f>IF(ISERROR(IF(BQ21="","",VLOOKUP(($BH21&amp;BQ21&amp;"Template de desconto FLAT bundle - Velox XDSL - Varejo"),[7]BENEFICIOS!$A:$E,5,0))),"Criar",IF(BQ21="","",VLOOKUP(($BH21&amp;BQ21&amp;"Template de desconto FLAT bundle - Velox XDSL - Varejo"),[7]BENEFICIOS!$A:$E,5,0)))</f>
        <v>MKT-1-9865126733</v>
      </c>
      <c r="BS21" s="68" t="s">
        <v>165</v>
      </c>
      <c r="BT21" s="69">
        <v>44.9</v>
      </c>
      <c r="BU21" s="64">
        <f>IF(BT21=0,"",IF(BT21=VLOOKUP("PCS-30577g",[7]ARBOR!$A:$C,3,0),0.0001,IF(BT21&gt;VLOOKUP("PCS-30577g",[7]ARBOR!$A:$C,3,0),"Maior que CAP!",IF((DOLLAR(BT21+(VLOOKUP("PCS-30577g",[7]ARBOR!$A:$C,3,0)*-TRUNC(BT21/VLOOKUP("PCS-30577g",[7]ARBOR!$A:$C,3,0)-1,4)),6))&lt;&gt;(DOLLAR(VLOOKUP("PCS-30577g",[7]ARBOR!$A:$C,3,0),6)),-TRUNC(BT21/VLOOKUP("PCS-30577g",[7]ARBOR!$A:$C,3,0)-1,4)+0.0001,-TRUNC(BT21/VLOOKUP("PCS-30577g",[7]ARBOR!$A:$C,3,0)-1,4)))))</f>
        <v>0.53679999999999994</v>
      </c>
      <c r="BV21" s="65" t="str">
        <f>IF(ISERROR(IF(BU21="","",VLOOKUP(($BH21&amp;BU21&amp;"Template de desconto FLAT bundle - Velox XDSL - Varejo"),[7]BENEFICIOS!$A:$E,5,0))),"Criar",IF(BU21="","",VLOOKUP(($BH21&amp;BU21&amp;"Template de desconto FLAT bundle - Velox XDSL - Varejo"),[7]BENEFICIOS!$A:$E,5,0)))</f>
        <v>MKT-1-9865126733</v>
      </c>
      <c r="BW21" s="68" t="s">
        <v>165</v>
      </c>
      <c r="BX21" s="69">
        <v>44.9</v>
      </c>
      <c r="BY21" s="64">
        <f>IF(BX21=0,"",IF(BX21=VLOOKUP("PCS-30604g",[7]ARBOR!$A:$C,3,0),0.0001,IF(BX21&gt;VLOOKUP("PCS-30604g",[7]ARBOR!$A:$C,3,0),"Maior que CAP!",IF((DOLLAR(BX21+(VLOOKUP("PCS-30604g",[7]ARBOR!$A:$C,3,0)*-TRUNC(BX21/VLOOKUP("PCS-30604g",[7]ARBOR!$A:$C,3,0)-1,4)),6))&lt;&gt;(DOLLAR(VLOOKUP("PCS-30604g",[7]ARBOR!$A:$C,3,0),6)),-TRUNC(BX21/VLOOKUP("PCS-30604g",[7]ARBOR!$A:$C,3,0)-1,4)+0.0001,-TRUNC(BX21/VLOOKUP("PCS-30604g",[7]ARBOR!$A:$C,3,0)-1,4)))))</f>
        <v>0.53679999999999994</v>
      </c>
      <c r="BZ21" s="65" t="str">
        <f>IF(ISERROR(IF(BY21="","",VLOOKUP(($BH21&amp;BY21&amp;"Template de desconto FLAT bundle - Velox XDSL - Varejo"),[7]BENEFICIOS!$A:$E,5,0))),"Criar",IF(BY21="","",VLOOKUP(($BH21&amp;BY21&amp;"Template de desconto FLAT bundle - Velox XDSL - Varejo"),[7]BENEFICIOS!$A:$E,5,0)))</f>
        <v>MKT-1-9865126733</v>
      </c>
      <c r="CA21" s="68" t="s">
        <v>165</v>
      </c>
      <c r="CB21" s="69">
        <v>44.9</v>
      </c>
      <c r="CC21" s="64">
        <f>IF(CB21=0,"",IF(CB21=VLOOKUP("PCS-30631g",[7]ARBOR!$A:$C,3,0),0.0001,IF(CB21&gt;VLOOKUP("PCS-30631g",[7]ARBOR!$A:$C,3,0),"Maior que CAP!",IF((DOLLAR(CB21+(VLOOKUP("PCS-30631g",[7]ARBOR!$A:$C,3,0)*-TRUNC(CB21/VLOOKUP("PCS-30631g",[7]ARBOR!$A:$C,3,0)-1,4)),6))&lt;&gt;(DOLLAR(VLOOKUP("PCS-30631g",[7]ARBOR!$A:$C,3,0),6)),-TRUNC(CB21/VLOOKUP("PCS-30631g",[7]ARBOR!$A:$C,3,0)-1,4)+0.0001,-TRUNC(CB21/VLOOKUP("PCS-30631g",[7]ARBOR!$A:$C,3,0)-1,4)))))</f>
        <v>0.54310000000000003</v>
      </c>
      <c r="CD21" s="65" t="str">
        <f>IF(ISERROR(IF(CC21="","",VLOOKUP(($BH21&amp;CC21&amp;"Template de desconto FLAT bundle - Velox XDSL - Varejo"),[7]BENEFICIOS!$A:$E,5,0))),"Criar",IF(CC21="","",VLOOKUP(($BH21&amp;CC21&amp;"Template de desconto FLAT bundle - Velox XDSL - Varejo"),[7]BENEFICIOS!$A:$E,5,0)))</f>
        <v>MKT-1-9865126826</v>
      </c>
      <c r="CE21" s="68"/>
      <c r="CF21" s="69"/>
      <c r="CG21" s="64" t="str">
        <f>IF(CF21=0,"",IF(CF21=VLOOKUP("PCS-30658g",[7]ARBOR!$A:$C,3,0),0.0001,IF(CF21&gt;VLOOKUP("PCS-30658g",[7]ARBOR!$A:$C,3,0),"Maior que CAP!",IF((DOLLAR(CF21+(VLOOKUP("PCS-30658g",[7]ARBOR!$A:$C,3,0)*-TRUNC(CF21/VLOOKUP("PCS-30658g",[7]ARBOR!$A:$C,3,0)-1,4)),6))&lt;&gt;(DOLLAR(VLOOKUP("PCS-30658g",[7]ARBOR!$A:$C,3,0),6)),-TRUNC(CF21/VLOOKUP("PCS-30658g",[7]ARBOR!$A:$C,3,0)-1,4)+0.0001,-TRUNC(CF21/VLOOKUP("PCS-30658g",[7]ARBOR!$A:$C,3,0)-1,4)))))</f>
        <v/>
      </c>
      <c r="CH21" s="65" t="str">
        <f>IF(ISERROR(IF(CG21="","",VLOOKUP(($BH21&amp;CG21&amp;"Template de desconto FLAT bundle - Velox XDSL - Varejo"),[7]BENEFICIOS!$A:$E,5,0))),"Criar",IF(CG21="","",VLOOKUP(($BH21&amp;CG21&amp;"Template de desconto FLAT bundle - Velox XDSL - Varejo"),[7]BENEFICIOS!$A:$E,5,0)))</f>
        <v/>
      </c>
      <c r="CI21" s="68"/>
      <c r="CJ21" s="69"/>
      <c r="CK21" s="64" t="str">
        <f>IF(CJ21=0,"",IF(CJ21=VLOOKUP("PCS-30685g",[7]ARBOR!$A:$C,3,0),0.0001,IF(CJ21&gt;VLOOKUP("PCS-30685g",[7]ARBOR!$A:$C,3,0),"Maior que CAP!",IF((DOLLAR(CJ21+(VLOOKUP("PCS-30685g",[7]ARBOR!$A:$C,3,0)*-TRUNC(CJ21/VLOOKUP("PCS-30685g",[7]ARBOR!$A:$C,3,0)-1,4)),6))&lt;&gt;(DOLLAR(VLOOKUP("PCS-30685g",[7]ARBOR!$A:$C,3,0),6)),-TRUNC(CJ21/VLOOKUP("PCS-30685g",[7]ARBOR!$A:$C,3,0)-1,4)+0.0001,-TRUNC(CJ21/VLOOKUP("PCS-30685g",[7]ARBOR!$A:$C,3,0)-1,4)))))</f>
        <v/>
      </c>
      <c r="CL21" s="65" t="str">
        <f>IF(ISERROR(IF(CK21="","",VLOOKUP(($BH21&amp;CK21&amp;"Template de desconto FLAT bundle - Velox XDSL - Varejo"),[7]BENEFICIOS!$A:$E,5,0))),"Criar",IF(CK21="","",VLOOKUP(($BH21&amp;CK21&amp;"Template de desconto FLAT bundle - Velox XDSL - Varejo"),[7]BENEFICIOS!$A:$E,5,0)))</f>
        <v/>
      </c>
      <c r="CM21" s="68"/>
      <c r="CN21" s="69"/>
      <c r="CO21" s="64" t="str">
        <f>IF(CN21=0,"",IF(CN21=VLOOKUP("PCS-30712g",[7]ARBOR!$A:$C,3,0),0.0001,IF(CN21&gt;VLOOKUP("PCS-30712g",[7]ARBOR!$A:$C,3,0),"Maior que CAP!",IF((DOLLAR(CN21+(VLOOKUP("PCS-30712g",[7]ARBOR!$A:$C,3,0)*-TRUNC(CN21/VLOOKUP("PCS-30712g",[7]ARBOR!$A:$C,3,0)-1,4)),6))&lt;&gt;(DOLLAR(VLOOKUP("PCS-30712g",[7]ARBOR!$A:$C,3,0),6)),-TRUNC(CN21/VLOOKUP("PCS-30712g",[7]ARBOR!$A:$C,3,0)-1,4)+0.0001,-TRUNC(CN21/VLOOKUP("PCS-30712g",[7]ARBOR!$A:$C,3,0)-1,4)))))</f>
        <v/>
      </c>
      <c r="CP21" s="65" t="str">
        <f>IF(ISERROR(IF(CO21="","",VLOOKUP(($BH21&amp;CO21&amp;"Template de desconto FLAT bundle - Velox XDSL - Varejo"),[7]BENEFICIOS!$A:$E,5,0))),"Criar",IF(CO21="","",VLOOKUP(($BH21&amp;CO21&amp;"Template de desconto FLAT bundle - Velox XDSL - Varejo"),[7]BENEFICIOS!$A:$E,5,0)))</f>
        <v/>
      </c>
      <c r="CQ21" s="68"/>
      <c r="CR21" s="69"/>
      <c r="CS21" s="64" t="str">
        <f>IF(CR21=0,"",IF(CR21=VLOOKUP("PCS-30739g",[7]ARBOR!$A:$C,3,0),0.0001,IF(CR21&gt;VLOOKUP("PCS-30739g",[7]ARBOR!$A:$C,3,0),"Maior que CAP!",IF((DOLLAR(CR21+(VLOOKUP("PCS-30739g",[7]ARBOR!$A:$C,3,0)*-TRUNC(CR21/VLOOKUP("PCS-30739g",[7]ARBOR!$A:$C,3,0)-1,4)),6))&lt;&gt;(DOLLAR(VLOOKUP("PCS-30739g",[7]ARBOR!$A:$C,3,0),6)),-TRUNC(CR21/VLOOKUP("PCS-30739g",[7]ARBOR!$A:$C,3,0)-1,4)+0.0001,-TRUNC(CR21/VLOOKUP("PCS-30739g",[7]ARBOR!$A:$C,3,0)-1,4)))))</f>
        <v/>
      </c>
      <c r="CT21" s="65" t="str">
        <f>IF(ISERROR(IF(CS21="","",VLOOKUP(($BH21&amp;CS21&amp;"Template de desconto FLAT bundle - Velox XDSL - Varejo"),[7]BENEFICIOS!$A:$E,5,0))),"Criar",IF(CS21="","",VLOOKUP(($BH21&amp;CS21&amp;"Template de desconto FLAT bundle - Velox XDSL - Varejo"),[7]BENEFICIOS!$A:$E,5,0)))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IF(CZ21=0,"",IF(CZ21=VLOOKUP("PCS-30766g",[7]ARBOR!$A:$C,3,0),0.0001,IF(CZ21&gt;VLOOKUP("PCS-30766g",[7]ARBOR!$A:$C,3,0),"Maior que CAP!",IF((DOLLAR(CZ21+(VLOOKUP("PCS-30766g",[7]ARBOR!$A:$C,3,0)*-TRUNC(CZ21/VLOOKUP("PCS-30766g",[7]ARBOR!$A:$C,3,0)-1,4)),6))&lt;&gt;(DOLLAR(VLOOKUP("PCS-30766g",[7]ARBOR!$A:$C,3,0),6)),-TRUNC(CZ21/VLOOKUP("PCS-30766g",[7]ARBOR!$A:$C,3,0)-1,4)+0.0001,-TRUNC(CZ21/VLOOKUP("PCS-30766g",[7]ARBOR!$A:$C,3,0)-1,4)))))</f>
        <v/>
      </c>
      <c r="DB21" s="65" t="str">
        <f>IF(ISERROR(IF(DA21="","",VLOOKUP(($BH21&amp;DA21&amp;"Template de desconto FLAT bundle - Velox XDSL - Varejo"),[7]BENEFICIOS!$A:$E,5,0))),"Criar",IF(DA21="","",VLOOKUP(($BH21&amp;DA21&amp;"Template de desconto FLAT bundle - Velox XDSL - Varejo"),[7]BENEFICIOS!$A:$E,5,0)))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IF(DH21=0,"",IF(DH21=VLOOKUP("PCS-30793g",[7]ARBOR!$A:$C,3,0),0.0001,IF(DH21&gt;VLOOKUP("PCS-30793g",[7]ARBOR!$A:$C,3,0),"Maior que CAP!",IF((DOLLAR(DH21+(VLOOKUP("PCS-30793g",[7]ARBOR!$A:$C,3,0)*-TRUNC(DH21/VLOOKUP("PCS-30793g",[7]ARBOR!$A:$C,3,0)-1,4)),6))&lt;&gt;(DOLLAR(VLOOKUP("PCS-30793g",[7]ARBOR!$A:$C,3,0),6)),-TRUNC(DH21/VLOOKUP("PCS-30793g",[7]ARBOR!$A:$C,3,0)-1,4)+0.0001,-TRUNC(DH21/VLOOKUP("PCS-30793g",[7]ARBOR!$A:$C,3,0)-1,4)))))</f>
        <v/>
      </c>
      <c r="DJ21" s="65" t="str">
        <f>IF(ISERROR(IF(DI21="","",VLOOKUP(($BH21&amp;DI21&amp;"Template de desconto FLAT bundle - Velox XDSL - Varejo"),[7]BENEFICIOS!$A:$E,5,0))),"Criar",IF(DI21="","",VLOOKUP(($BH21&amp;DI21&amp;"Template de desconto FLAT bundle - Velox XDSL - Varejo"),[7]BENEFICIOS!$A:$E,5,0)))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IF(DP21=0,"",IF(DP21=VLOOKUP("PCS-30820g",[7]ARBOR!$A:$C,3,0),0.0001,IF(DP21&gt;VLOOKUP("PCS-30820g",[7]ARBOR!$A:$C,3,0),"Maior que CAP!",IF((DOLLAR(DP21+(VLOOKUP("PCS-30820g",[7]ARBOR!$A:$C,3,0)*-TRUNC(DP21/VLOOKUP("PCS-30820g",[7]ARBOR!$A:$C,3,0)-1,4)),6))&lt;&gt;(DOLLAR(VLOOKUP("PCS-30820g",[7]ARBOR!$A:$C,3,0),6)),-TRUNC(DP21/VLOOKUP("PCS-30820g",[7]ARBOR!$A:$C,3,0)-1,4)+0.0001,-TRUNC(DP21/VLOOKUP("PCS-30820g",[7]ARBOR!$A:$C,3,0)-1,4)))))</f>
        <v/>
      </c>
      <c r="DR21" s="65" t="str">
        <f>IF(ISERROR(IF(DQ21="","",VLOOKUP(($BH21&amp;DQ21&amp;"Template de desconto FLAT bundle - Velox XDSL - Varejo"),[7]BENEFICIOS!$A:$E,5,0))),"Criar",IF(DQ21="","",VLOOKUP(($BH21&amp;DQ21&amp;"Template de desconto FLAT bundle - Velox XDSL - Varejo"),[7]BENEFICIOS!$A:$E,5,0)))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IF(DW21=0,"",IF(DW21=VLOOKUP("PCS-21448p2",[7]ARBOR!$A:$C,3,0),0.0001,IF(DW21&gt;VLOOKUP("PCS-21448p2",[7]ARBOR!$A:$C,3,0),"Maior que CAP!",IF((DOLLAR(DW21+(VLOOKUP("PCS-21448p2",[7]ARBOR!$A:$C,3,0)*-TRUNC(DW21/VLOOKUP("PCS-21448p2",[7]ARBOR!$A:$C,3,0)-1,4)),6))&lt;&gt;(DOLLAR(VLOOKUP("PCS-21448p2",[7]ARBOR!$A:$C,3,0),6)),-TRUNC(DW21/VLOOKUP("PCS-21448p2",[7]ARBOR!$A:$C,3,0)-1,4)+0.0001,-TRUNC(DW21/VLOOKUP("PCS-21448p2",[7]ARBOR!$A:$C,3,0)-1,4)))))</f>
        <v>0.64900000000000002</v>
      </c>
      <c r="DY21" s="65" t="str">
        <f>IF(ISERROR(IF(DX21="","",VLOOKUP(("Oi Conta Total Plug 10GB Downgrade"&amp;DX21&amp;"Template de desconto percentual BL Móvel - Internet Total - Varejo"),[7]BENEFICIOS!$A:$E,5,0))),"Criar",IF(DX21="","",VLOOKUP(("Oi Conta Total Plug 10GB Downgrade"&amp;DX21&amp;"Template de desconto percentual BL Móvel - Internet Total - Varejo"),[7]BENEFICIOS!$A:$E,5,0)))</f>
        <v>MKT-1-9825544790</v>
      </c>
      <c r="DZ21" s="71">
        <v>16.5</v>
      </c>
      <c r="EA21" s="72">
        <f>IF(DZ21=0,"",IF(DZ21=VLOOKUP("SVA",[7]ARBOR!$A:$C,3,0),0.0001,IF(DZ21&gt;VLOOKUP("SVA",[7]ARBOR!$A:$C,3,0),"Maior que CAP!",IF((DOLLAR(DZ21+(VLOOKUP("SVA",[7]ARBOR!$A:$C,3,0)*-TRUNC(DZ21/VLOOKUP("SVA",[7]ARBOR!$A:$C,3,0)-1,4)),6))&lt;&gt;(DOLLAR(VLOOKUP("SVA",[7]ARBOR!$A:$C,3,0),6)),-TRUNC(DZ21/VLOOKUP("SVA",[7]ARBOR!$A:$C,3,0)-1,4)+0.0001,-TRUNC(DZ21/VLOOKUP("SVA",[7]ARBOR!$A:$C,3,0)-1,4)))))</f>
        <v>0.2301</v>
      </c>
      <c r="EB21" s="65" t="s">
        <v>227</v>
      </c>
      <c r="EC21" s="69"/>
      <c r="ED21" s="73"/>
      <c r="EE21" s="74"/>
      <c r="EF21" s="65"/>
      <c r="EG21" s="75">
        <f>IF(BI21="","",VLOOKUP(BI21,[7]ARBOR!A:C,3,0))</f>
        <v>479.46</v>
      </c>
      <c r="EH21" s="69">
        <v>15</v>
      </c>
      <c r="EI21" s="76">
        <f>IF(EH21="","",1-(EH21/VLOOKUP(BI21&amp;"ASS",[7]ARBOR!A:C,3,0)))</f>
        <v>0.34725848563968664</v>
      </c>
      <c r="EJ21" s="77" t="s">
        <v>228</v>
      </c>
      <c r="EK21" s="78" t="s">
        <v>229</v>
      </c>
      <c r="EL21" s="69">
        <v>132.55000000000001</v>
      </c>
      <c r="EM21" s="64">
        <f>IF(EL21=0,"",IF(EL21=EG21,0.0001,ROUND(1-((EL21+(VLOOKUP(BI21&amp;"ASS",[7]ARBOR!A:C,3,0)-EH21))/EG21),4)))</f>
        <v>0.70689999999999997</v>
      </c>
      <c r="EN21" s="65" t="str">
        <f>IF(ISERROR(IF(EM21="","",VLOOKUP(($BH21&amp;EM21&amp;"Template de desconto percentual FLAT Móvel - Conta Total - Varejo - Ganho Tributário Cross"),[7]BENEFICIOS!$A:$E,5,0))),"Criar",IF(EM21="","",VLOOKUP(($BH21&amp;EM21&amp;"Template de desconto percentual FLAT Móvel - Conta Total - Varejo - Ganho Tributário Cross"),[7]BENEFICIOS!$A:$E,5,0)))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248</v>
      </c>
      <c r="EV21" s="81" t="s">
        <v>260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IF(FC21=0,"",IF(FC21=VLOOKUP("PCS-10357",[7]ARBOR!$A:$C,3,0),0.0001,IF(FC21&gt;VLOOKUP("PCS-10357",[7]ARBOR!$A:$C,3,0),"Maior que CAP!",ROUND(-1*(FC21/VLOOKUP("PCS-10357",[7]ARBOR!$A:$C,3,0)-1),4))))</f>
        <v/>
      </c>
      <c r="FE21" s="84" t="str">
        <f>IF(ISERROR(IF(FD21="","",VLOOKUP(("Oi Internet Pra Celular 1GB"&amp;FD21&amp;"Template Flat Instância Dados"),[7]BENEFICIOS!$A:$E,5,0))),"Criar",IF(FD21="","",VLOOKUP(("Oi Internet Pra Celular 1GB"&amp;FD21&amp;"Template Flat Instância Dados"),[7]BENEFICIOS!$A:$E,5,0)))</f>
        <v/>
      </c>
      <c r="FF21" s="82"/>
      <c r="FG21" s="83" t="str">
        <f>IF(FF21=0,"",IF(FF21=VLOOKUP("PCS-813565",[7]ARBOR!$A:$C,3,0),0.0001,IF(FF21&gt;VLOOKUP("PCS-813565",[7]ARBOR!$A:$C,3,0),"Maior que CAP!",ROUND(-1*(FF21/VLOOKUP("PCS-813565",[7]ARBOR!$A:$C,3,0)-1),4))))</f>
        <v/>
      </c>
      <c r="FH21" s="84" t="str">
        <f>IF(ISERROR(IF(FG21="","",VLOOKUP(("Oi Internet Pra Celular 2GB"&amp;FG21&amp;"Template Flat Instância Dados"),[7]BENEFICIOS!$A:$E,5,0))),"Criar",IF(FG21="","",VLOOKUP(("Oi Internet Pra Celular 2GB"&amp;FG21&amp;"Template Flat Instância Dados"),[7]BENEFICIOS!$A:$E,5,0)))</f>
        <v/>
      </c>
      <c r="FI21" s="82">
        <v>12.35</v>
      </c>
      <c r="FJ21" s="83">
        <f>IF(FI21=0,"",IF(FI21=VLOOKUP("PCS-7171B",[7]ARBOR!$A:$C,3,0),0.0001,IF(FI21&gt;VLOOKUP("PCS-7171B",[7]ARBOR!$A:$C,3,0),"Maior que CAP!",ROUND(-1*(FI21/VLOOKUP("PCS-7171B",[7]ARBOR!$A:$C,3,0)-1),4))))</f>
        <v>0.87419999999999998</v>
      </c>
      <c r="FK21" s="84" t="str">
        <f>IF(ISERROR(IF(FJ21="","",VLOOKUP(("Oi Internet Pra Celular 3GB"&amp;FJ21&amp;"Template Flat Instância Dados"),[7]BENEFICIOS!$A:$E,5,0))),"Criar",IF(FJ21="","",VLOOKUP(("Oi Internet Pra Celular 3GB"&amp;FJ21&amp;"Template Flat Instância Dados"),[7]BENEFICIOS!$A:$E,5,0)))</f>
        <v>MKT-1-9870092975</v>
      </c>
      <c r="FL21" s="82"/>
      <c r="FM21" s="83" t="str">
        <f>IF(FL21=0,"",IF(FL21=VLOOKUP("PCS-51793o08",[7]ARBOR!$A:$C,3,0),0.0001,IF(FL21&gt;VLOOKUP("PCS-51793o08",[7]ARBOR!$A:$C,3,0),"Maior que CAP!",ROUND(-1*(FL21/VLOOKUP("PCS-51793o08",[7]ARBOR!$A:$C,3,0)-1),4))))</f>
        <v/>
      </c>
      <c r="FN21" s="84" t="str">
        <f>IF(ISERROR(IF(FM21="","",VLOOKUP(("Oi Internet Pra Celular 5GB"&amp;FM21&amp;"Template Flat Instância Dados"),[7]BENEFICIOS!$A:$E,5,0))),"Criar",IF(FM21="","",VLOOKUP(("Oi Internet Pra Celular 5GB"&amp;FM21&amp;"Template Flat Instância Dados"),[7]BENEFICIOS!$A:$E,5,0)))</f>
        <v/>
      </c>
      <c r="FO21" s="82"/>
      <c r="FP21" s="83" t="str">
        <f>IF(FO21=0,"",IF(FO21=VLOOKUP("PCS-7171A",[7]ARBOR!$A:$C,3,0),0.0001,IF(FO21&gt;VLOOKUP("PCS-7171A",[7]ARBOR!$A:$C,3,0),"Maior que CAP!",ROUND(-1*(FO21/VLOOKUP("PCS-7171A",[7]ARBOR!$A:$C,3,0)-1),4))))</f>
        <v/>
      </c>
      <c r="FQ21" s="84" t="str">
        <f>IF(ISERROR(IF(FP21="","",VLOOKUP(("Oi Internet Pra Celular 10GB"&amp;FP21&amp;"Template Flat Instância Dados"),[7]BENEFICIOS!$A:$E,5,0))),"Criar",IF(FP21="","",VLOOKUP(("Oi Internet Pra Celular 10GB"&amp;FP21&amp;"Template Flat Instância Dados"),[7]BENEFICIOS!$A:$E,5,0)))</f>
        <v/>
      </c>
      <c r="FR21" s="85">
        <v>0.74219999999999997</v>
      </c>
      <c r="FS21" s="86" t="s">
        <v>250</v>
      </c>
      <c r="FT21" s="48"/>
      <c r="FU21" s="87"/>
      <c r="FV21" s="88" t="s">
        <v>225</v>
      </c>
      <c r="FW21" s="49" t="s">
        <v>230</v>
      </c>
      <c r="FX21" s="89">
        <v>999</v>
      </c>
      <c r="FY21" s="49">
        <v>12</v>
      </c>
      <c r="FZ21" s="90" t="s">
        <v>231</v>
      </c>
      <c r="GA21" s="91" t="str">
        <f t="shared" si="1"/>
        <v>PCS-Fk83324</v>
      </c>
      <c r="GB21" s="92" t="str">
        <f t="shared" si="2"/>
        <v>PCS-SBL553142</v>
      </c>
      <c r="GC21" s="93" t="s">
        <v>232</v>
      </c>
      <c r="GD21" s="90" t="s">
        <v>233</v>
      </c>
      <c r="GE21" s="92" t="s">
        <v>234</v>
      </c>
      <c r="GF21" s="93" t="s">
        <v>235</v>
      </c>
      <c r="GG21" s="90" t="s">
        <v>236</v>
      </c>
      <c r="GH21" s="92" t="s">
        <v>237</v>
      </c>
      <c r="GI21" s="94" t="s">
        <v>238</v>
      </c>
      <c r="GJ21" s="95">
        <f>FI21+EL21+DW21+BJ21</f>
        <v>239.9</v>
      </c>
      <c r="GK21" s="96"/>
      <c r="GL21" s="97" t="s">
        <v>239</v>
      </c>
      <c r="GM21" s="98" t="s">
        <v>276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289</v>
      </c>
      <c r="GX21" s="44" t="s">
        <v>242</v>
      </c>
    </row>
    <row r="22" spans="1:206" s="44" customFormat="1" x14ac:dyDescent="0.25">
      <c r="A22" s="44" t="str">
        <f t="shared" si="0"/>
        <v>Oi Total Fixo + Pós 800 + Banda LargaN23GBMG</v>
      </c>
      <c r="B22" s="45" t="s">
        <v>215</v>
      </c>
      <c r="C22" s="46" t="s">
        <v>131</v>
      </c>
      <c r="D22" s="46" t="s">
        <v>216</v>
      </c>
      <c r="E22" s="47" t="s">
        <v>217</v>
      </c>
      <c r="F22" s="88" t="s">
        <v>218</v>
      </c>
      <c r="G22" s="49"/>
      <c r="H22" s="49"/>
      <c r="I22" s="49"/>
      <c r="J22" s="49" t="s">
        <v>218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218</v>
      </c>
      <c r="AC22" s="49" t="s">
        <v>218</v>
      </c>
      <c r="AD22" s="49" t="s">
        <v>218</v>
      </c>
      <c r="AE22" s="49" t="s">
        <v>218</v>
      </c>
      <c r="AF22" s="49" t="s">
        <v>218</v>
      </c>
      <c r="AG22" s="49" t="s">
        <v>218</v>
      </c>
      <c r="AH22" s="50"/>
      <c r="AI22" s="49" t="s">
        <v>218</v>
      </c>
      <c r="AJ22" s="49" t="s">
        <v>218</v>
      </c>
      <c r="AK22" s="49" t="s">
        <v>218</v>
      </c>
      <c r="AL22" s="49" t="s">
        <v>218</v>
      </c>
      <c r="AM22" s="49" t="s">
        <v>218</v>
      </c>
      <c r="AN22" s="49" t="s">
        <v>218</v>
      </c>
      <c r="AO22" s="49" t="s">
        <v>218</v>
      </c>
      <c r="AP22" s="49"/>
      <c r="AQ22" s="51"/>
      <c r="AR22" s="52" t="s">
        <v>290</v>
      </c>
      <c r="AS22" s="46" t="s">
        <v>220</v>
      </c>
      <c r="AT22" s="53" t="s">
        <v>221</v>
      </c>
      <c r="AU22" s="54">
        <v>42972</v>
      </c>
      <c r="AV22" s="105">
        <v>43097</v>
      </c>
      <c r="AW22" s="56" t="s">
        <v>222</v>
      </c>
      <c r="AX22" s="57" t="s">
        <v>222</v>
      </c>
      <c r="AY22" s="58"/>
      <c r="AZ22" s="58" t="s">
        <v>223</v>
      </c>
      <c r="BA22" s="58">
        <v>20</v>
      </c>
      <c r="BB22" s="58">
        <v>10000</v>
      </c>
      <c r="BC22" s="59" t="s">
        <v>224</v>
      </c>
      <c r="BD22" s="60" t="s">
        <v>225</v>
      </c>
      <c r="BE22" s="58" t="s">
        <v>217</v>
      </c>
      <c r="BF22" s="51" t="s">
        <v>217</v>
      </c>
      <c r="BG22" s="45" t="s">
        <v>290</v>
      </c>
      <c r="BH22" s="61" t="s">
        <v>226</v>
      </c>
      <c r="BI22" s="62" t="str">
        <f>IF(ISERROR(VLOOKUP(BH22,[7]PLANOS!B:C,2,0)),"",VLOOKUP(BH22,[7]PLANOS!B:C,2,0))</f>
        <v>PCS-4P6pi</v>
      </c>
      <c r="BJ22" s="63">
        <v>50.1</v>
      </c>
      <c r="BK22" s="64">
        <f>IF(BJ22=0,"",IF(BJ22=VLOOKUP("FIXO",[7]ARBOR!$A:$C,3,0),0.0001,IF(BJ22&gt;VLOOKUP("FIXO",[7]ARBOR!$A:$C,3,0),"Maior que CAP!",IF((DOLLAR(BJ22+(VLOOKUP("FIXO",[7]ARBOR!$A:$C,3,0)*-TRUNC(BJ22/VLOOKUP("FIXO",[7]ARBOR!$A:$C,3,0)-1,4)),6))&lt;&gt;(DOLLAR(VLOOKUP("FIXO",[7]ARBOR!$A:$C,3,0),6)),-TRUNC(BJ22/VLOOKUP("FIXO",[7]ARBOR!$A:$C,3,0)-1,4)+0.0001,-TRUNC(BJ22/VLOOKUP("FIXO",[7]ARBOR!$A:$C,3,0)-1,4)))))</f>
        <v>0.33939999999999998</v>
      </c>
      <c r="BL22" s="65" t="str">
        <f>IF(ISERROR(IF(BK22="","",VLOOKUP(($BH22&amp;BK22&amp;"Template de desconto FLAT bundle - Fixo - Varejo - Ganho Tributário Cross"),[7]BENEFICIOS!$A:$E,5,0))),"Criar",IF(BK22="","",VLOOKUP(($BH22&amp;BK22&amp;"Template de desconto FLAT bundle - Fixo - Varejo - Ganho Tributário Cross"),[7]BENEFICIOS!$A:$E,5,0)))</f>
        <v>MKT-1-9856472058</v>
      </c>
      <c r="BM22" s="66"/>
      <c r="BN22" s="67"/>
      <c r="BO22" s="104" t="s">
        <v>244</v>
      </c>
      <c r="BP22" s="69">
        <v>44.9</v>
      </c>
      <c r="BQ22" s="64">
        <f>IF(BP22=0,"",IF(BP22=VLOOKUP("PCS-30874g",[7]ARBOR!$A:$C,3,0),0.0001,IF(BP22&gt;VLOOKUP("PCS-30874g",[7]ARBOR!$A:$C,3,0),"Maior que CAP!",IF((DOLLAR(BP22+(VLOOKUP("PCS-30874g",[7]ARBOR!$A:$C,3,0)*-TRUNC(BP22/VLOOKUP("PCS-30874g",[7]ARBOR!$A:$C,3,0)-1,4)),6))&lt;&gt;(DOLLAR(VLOOKUP("PCS-30874g",[7]ARBOR!$A:$C,3,0),6)),-TRUNC(BP22/VLOOKUP("PCS-30874g",[7]ARBOR!$A:$C,3,0)-1,4)+0.0001,-TRUNC(BP22/VLOOKUP("PCS-30874g",[7]ARBOR!$A:$C,3,0)-1,4)))))</f>
        <v>0.53679999999999994</v>
      </c>
      <c r="BR22" s="65" t="str">
        <f>IF(ISERROR(IF(BQ22="","",VLOOKUP(($BH22&amp;BQ22&amp;"Template de desconto FLAT bundle - Velox XDSL - Varejo"),[7]BENEFICIOS!$A:$E,5,0))),"Criar",IF(BQ22="","",VLOOKUP(($BH22&amp;BQ22&amp;"Template de desconto FLAT bundle - Velox XDSL - Varejo"),[7]BENEFICIOS!$A:$E,5,0)))</f>
        <v>MKT-1-9865126733</v>
      </c>
      <c r="BS22" s="104" t="s">
        <v>244</v>
      </c>
      <c r="BT22" s="69">
        <v>44.9</v>
      </c>
      <c r="BU22" s="64">
        <f>IF(BT22=0,"",IF(BT22=VLOOKUP("PCS-30577g",[7]ARBOR!$A:$C,3,0),0.0001,IF(BT22&gt;VLOOKUP("PCS-30577g",[7]ARBOR!$A:$C,3,0),"Maior que CAP!",IF((DOLLAR(BT22+(VLOOKUP("PCS-30577g",[7]ARBOR!$A:$C,3,0)*-TRUNC(BT22/VLOOKUP("PCS-30577g",[7]ARBOR!$A:$C,3,0)-1,4)),6))&lt;&gt;(DOLLAR(VLOOKUP("PCS-30577g",[7]ARBOR!$A:$C,3,0),6)),-TRUNC(BT22/VLOOKUP("PCS-30577g",[7]ARBOR!$A:$C,3,0)-1,4)+0.0001,-TRUNC(BT22/VLOOKUP("PCS-30577g",[7]ARBOR!$A:$C,3,0)-1,4)))))</f>
        <v>0.53679999999999994</v>
      </c>
      <c r="BV22" s="65" t="str">
        <f>IF(ISERROR(IF(BU22="","",VLOOKUP(($BH22&amp;BU22&amp;"Template de desconto FLAT bundle - Velox XDSL - Varejo"),[7]BENEFICIOS!$A:$E,5,0))),"Criar",IF(BU22="","",VLOOKUP(($BH22&amp;BU22&amp;"Template de desconto FLAT bundle - Velox XDSL - Varejo"),[7]BENEFICIOS!$A:$E,5,0)))</f>
        <v>MKT-1-9865126733</v>
      </c>
      <c r="BW22" s="104" t="s">
        <v>244</v>
      </c>
      <c r="BX22" s="69">
        <v>44.9</v>
      </c>
      <c r="BY22" s="64">
        <f>IF(BX22=0,"",IF(BX22=VLOOKUP("PCS-30604g",[7]ARBOR!$A:$C,3,0),0.0001,IF(BX22&gt;VLOOKUP("PCS-30604g",[7]ARBOR!$A:$C,3,0),"Maior que CAP!",IF((DOLLAR(BX22+(VLOOKUP("PCS-30604g",[7]ARBOR!$A:$C,3,0)*-TRUNC(BX22/VLOOKUP("PCS-30604g",[7]ARBOR!$A:$C,3,0)-1,4)),6))&lt;&gt;(DOLLAR(VLOOKUP("PCS-30604g",[7]ARBOR!$A:$C,3,0),6)),-TRUNC(BX22/VLOOKUP("PCS-30604g",[7]ARBOR!$A:$C,3,0)-1,4)+0.0001,-TRUNC(BX22/VLOOKUP("PCS-30604g",[7]ARBOR!$A:$C,3,0)-1,4)))))</f>
        <v>0.53679999999999994</v>
      </c>
      <c r="BZ22" s="65" t="str">
        <f>IF(ISERROR(IF(BY22="","",VLOOKUP(($BH22&amp;BY22&amp;"Template de desconto FLAT bundle - Velox XDSL - Varejo"),[7]BENEFICIOS!$A:$E,5,0))),"Criar",IF(BY22="","",VLOOKUP(($BH22&amp;BY22&amp;"Template de desconto FLAT bundle - Velox XDSL - Varejo"),[7]BENEFICIOS!$A:$E,5,0)))</f>
        <v>MKT-1-9865126733</v>
      </c>
      <c r="CA22" s="104" t="s">
        <v>244</v>
      </c>
      <c r="CB22" s="69">
        <v>44.9</v>
      </c>
      <c r="CC22" s="64">
        <f>IF(CB22=0,"",IF(CB22=VLOOKUP("PCS-30631g",[7]ARBOR!$A:$C,3,0),0.0001,IF(CB22&gt;VLOOKUP("PCS-30631g",[7]ARBOR!$A:$C,3,0),"Maior que CAP!",IF((DOLLAR(CB22+(VLOOKUP("PCS-30631g",[7]ARBOR!$A:$C,3,0)*-TRUNC(CB22/VLOOKUP("PCS-30631g",[7]ARBOR!$A:$C,3,0)-1,4)),6))&lt;&gt;(DOLLAR(VLOOKUP("PCS-30631g",[7]ARBOR!$A:$C,3,0),6)),-TRUNC(CB22/VLOOKUP("PCS-30631g",[7]ARBOR!$A:$C,3,0)-1,4)+0.0001,-TRUNC(CB22/VLOOKUP("PCS-30631g",[7]ARBOR!$A:$C,3,0)-1,4)))))</f>
        <v>0.54310000000000003</v>
      </c>
      <c r="CD22" s="65" t="str">
        <f>IF(ISERROR(IF(CC22="","",VLOOKUP(($BH22&amp;CC22&amp;"Template de desconto FLAT bundle - Velox XDSL - Varejo"),[7]BENEFICIOS!$A:$E,5,0))),"Criar",IF(CC22="","",VLOOKUP(($BH22&amp;CC22&amp;"Template de desconto FLAT bundle - Velox XDSL - Varejo"),[7]BENEFICIOS!$A:$E,5,0)))</f>
        <v>MKT-1-9865126826</v>
      </c>
      <c r="CE22" s="68" t="s">
        <v>165</v>
      </c>
      <c r="CF22" s="69">
        <v>49.9</v>
      </c>
      <c r="CG22" s="64">
        <f>IF(CF22=0,"",IF(CF22=VLOOKUP("PCS-30658g",[7]ARBOR!$A:$C,3,0),0.0001,IF(CF22&gt;VLOOKUP("PCS-30658g",[7]ARBOR!$A:$C,3,0),"Maior que CAP!",IF((DOLLAR(CF22+(VLOOKUP("PCS-30658g",[7]ARBOR!$A:$C,3,0)*-TRUNC(CF22/VLOOKUP("PCS-30658g",[7]ARBOR!$A:$C,3,0)-1,4)),6))&lt;&gt;(DOLLAR(VLOOKUP("PCS-30658g",[7]ARBOR!$A:$C,3,0),6)),-TRUNC(CF22/VLOOKUP("PCS-30658g",[7]ARBOR!$A:$C,3,0)-1,4)+0.0001,-TRUNC(CF22/VLOOKUP("PCS-30658g",[7]ARBOR!$A:$C,3,0)-1,4)))))</f>
        <v>0.55569999999999997</v>
      </c>
      <c r="CH22" s="65" t="str">
        <f>IF(ISERROR(IF(CG22="","",VLOOKUP(($BH22&amp;CG22&amp;"Template de desconto FLAT bundle - Velox XDSL - Varejo"),[7]BENEFICIOS!$A:$E,5,0))),"Criar",IF(CG22="","",VLOOKUP(($BH22&amp;CG22&amp;"Template de desconto FLAT bundle - Velox XDSL - Varejo"),[7]BENEFICIOS!$A:$E,5,0)))</f>
        <v>MKT-1-9865126919</v>
      </c>
      <c r="CI22" s="68" t="s">
        <v>165</v>
      </c>
      <c r="CJ22" s="69">
        <v>49.9</v>
      </c>
      <c r="CK22" s="64">
        <f>IF(CJ22=0,"",IF(CJ22=VLOOKUP("PCS-30685g",[7]ARBOR!$A:$C,3,0),0.0001,IF(CJ22&gt;VLOOKUP("PCS-30685g",[7]ARBOR!$A:$C,3,0),"Maior que CAP!",IF((DOLLAR(CJ22+(VLOOKUP("PCS-30685g",[7]ARBOR!$A:$C,3,0)*-TRUNC(CJ22/VLOOKUP("PCS-30685g",[7]ARBOR!$A:$C,3,0)-1,4)),6))&lt;&gt;(DOLLAR(VLOOKUP("PCS-30685g",[7]ARBOR!$A:$C,3,0),6)),-TRUNC(CJ22/VLOOKUP("PCS-30685g",[7]ARBOR!$A:$C,3,0)-1,4)+0.0001,-TRUNC(CJ22/VLOOKUP("PCS-30685g",[7]ARBOR!$A:$C,3,0)-1,4)))))</f>
        <v>0.60509999999999997</v>
      </c>
      <c r="CL22" s="65" t="str">
        <f>IF(ISERROR(IF(CK22="","",VLOOKUP(($BH22&amp;CK22&amp;"Template de desconto FLAT bundle - Velox XDSL - Varejo"),[7]BENEFICIOS!$A:$E,5,0))),"Criar",IF(CK22="","",VLOOKUP(($BH22&amp;CK22&amp;"Template de desconto FLAT bundle - Velox XDSL - Varejo"),[7]BENEFICIOS!$A:$E,5,0)))</f>
        <v>MKT-1-9865694381</v>
      </c>
      <c r="CM22" s="68" t="s">
        <v>165</v>
      </c>
      <c r="CN22" s="69">
        <v>49.9</v>
      </c>
      <c r="CO22" s="64">
        <f>IF(CN22=0,"",IF(CN22=VLOOKUP("PCS-30712g",[7]ARBOR!$A:$C,3,0),0.0001,IF(CN22&gt;VLOOKUP("PCS-30712g",[7]ARBOR!$A:$C,3,0),"Maior que CAP!",IF((DOLLAR(CN22+(VLOOKUP("PCS-30712g",[7]ARBOR!$A:$C,3,0)*-TRUNC(CN22/VLOOKUP("PCS-30712g",[7]ARBOR!$A:$C,3,0)-1,4)),6))&lt;&gt;(DOLLAR(VLOOKUP("PCS-30712g",[7]ARBOR!$A:$C,3,0),6)),-TRUNC(CN22/VLOOKUP("PCS-30712g",[7]ARBOR!$A:$C,3,0)-1,4)+0.0001,-TRUNC(CN22/VLOOKUP("PCS-30712g",[7]ARBOR!$A:$C,3,0)-1,4)))))</f>
        <v>0.64459999999999995</v>
      </c>
      <c r="CP22" s="65" t="str">
        <f>IF(ISERROR(IF(CO22="","",VLOOKUP(($BH22&amp;CO22&amp;"Template de desconto FLAT bundle - Velox XDSL - Varejo"),[7]BENEFICIOS!$A:$E,5,0))),"Criar",IF(CO22="","",VLOOKUP(($BH22&amp;CO22&amp;"Template de desconto FLAT bundle - Velox XDSL - Varejo"),[7]BENEFICIOS!$A:$E,5,0)))</f>
        <v>MKT-1-9865191105</v>
      </c>
      <c r="CQ22" s="68" t="s">
        <v>165</v>
      </c>
      <c r="CR22" s="69">
        <v>59.9</v>
      </c>
      <c r="CS22" s="64">
        <f>IF(CR22=0,"",IF(CR22=VLOOKUP("PCS-30739g",[7]ARBOR!$A:$C,3,0),0.0001,IF(CR22&gt;VLOOKUP("PCS-30739g",[7]ARBOR!$A:$C,3,0),"Maior que CAP!",IF((DOLLAR(CR22+(VLOOKUP("PCS-30739g",[7]ARBOR!$A:$C,3,0)*-TRUNC(CR22/VLOOKUP("PCS-30739g",[7]ARBOR!$A:$C,3,0)-1,4)),6))&lt;&gt;(DOLLAR(VLOOKUP("PCS-30739g",[7]ARBOR!$A:$C,3,0),6)),-TRUNC(CR22/VLOOKUP("PCS-30739g",[7]ARBOR!$A:$C,3,0)-1,4)+0.0001,-TRUNC(CR22/VLOOKUP("PCS-30739g",[7]ARBOR!$A:$C,3,0)-1,4)))))</f>
        <v>0.71560000000000001</v>
      </c>
      <c r="CT22" s="65" t="str">
        <f>IF(ISERROR(IF(CS22="","",VLOOKUP(($BH22&amp;CS22&amp;"Template de desconto FLAT bundle - Velox XDSL - Varejo"),[7]BENEFICIOS!$A:$E,5,0))),"Criar",IF(CS22="","",VLOOKUP(($BH22&amp;CS22&amp;"Template de desconto FLAT bundle - Velox XDSL - Varejo"),[7]BENEFICIOS!$A:$E,5,0)))</f>
        <v>MKT-1-9865191198</v>
      </c>
      <c r="CU22" s="69"/>
      <c r="CV22" s="70"/>
      <c r="CW22" s="64"/>
      <c r="CX22" s="65"/>
      <c r="CY22" s="68" t="s">
        <v>165</v>
      </c>
      <c r="CZ22" s="69">
        <v>59.9</v>
      </c>
      <c r="DA22" s="64">
        <f>IF(CZ22=0,"",IF(CZ22=VLOOKUP("PCS-30766g",[7]ARBOR!$A:$C,3,0),0.0001,IF(CZ22&gt;VLOOKUP("PCS-30766g",[7]ARBOR!$A:$C,3,0),"Maior que CAP!",IF((DOLLAR(CZ22+(VLOOKUP("PCS-30766g",[7]ARBOR!$A:$C,3,0)*-TRUNC(CZ22/VLOOKUP("PCS-30766g",[7]ARBOR!$A:$C,3,0)-1,4)),6))&lt;&gt;(DOLLAR(VLOOKUP("PCS-30766g",[7]ARBOR!$A:$C,3,0),6)),-TRUNC(CZ22/VLOOKUP("PCS-30766g",[7]ARBOR!$A:$C,3,0)-1,4)+0.0001,-TRUNC(CZ22/VLOOKUP("PCS-30766g",[7]ARBOR!$A:$C,3,0)-1,4)))))</f>
        <v>0.78669999999999995</v>
      </c>
      <c r="DB22" s="65" t="str">
        <f>IF(ISERROR(IF(DA22="","",VLOOKUP(($BH22&amp;DA22&amp;"Template de desconto FLAT bundle - Velox XDSL - Varejo"),[7]BENEFICIOS!$A:$E,5,0))),"Criar",IF(DA22="","",VLOOKUP(($BH22&amp;DA22&amp;"Template de desconto FLAT bundle - Velox XDSL - Varejo"),[7]BENEFICIOS!$A:$E,5,0)))</f>
        <v>MKT-1-9865191291</v>
      </c>
      <c r="DC22" s="69"/>
      <c r="DD22" s="70"/>
      <c r="DE22" s="64"/>
      <c r="DF22" s="65"/>
      <c r="DG22" s="68" t="s">
        <v>244</v>
      </c>
      <c r="DH22" s="69">
        <v>69.900000000000006</v>
      </c>
      <c r="DI22" s="64">
        <f>IF(DH22=0,"",IF(DH22=VLOOKUP("PCS-30793g",[7]ARBOR!$A:$C,3,0),0.0001,IF(DH22&gt;VLOOKUP("PCS-30793g",[7]ARBOR!$A:$C,3,0),"Maior que CAP!",IF((DOLLAR(DH22+(VLOOKUP("PCS-30793g",[7]ARBOR!$A:$C,3,0)*-TRUNC(DH22/VLOOKUP("PCS-30793g",[7]ARBOR!$A:$C,3,0)-1,4)),6))&lt;&gt;(DOLLAR(VLOOKUP("PCS-30793g",[7]ARBOR!$A:$C,3,0),6)),-TRUNC(DH22/VLOOKUP("PCS-30793g",[7]ARBOR!$A:$C,3,0)-1,4)+0.0001,-TRUNC(DH22/VLOOKUP("PCS-30793g",[7]ARBOR!$A:$C,3,0)-1,4)))))</f>
        <v>0.75109999999999999</v>
      </c>
      <c r="DJ22" s="65" t="str">
        <f>IF(ISERROR(IF(DI22="","",VLOOKUP(($BH22&amp;DI22&amp;"Template de desconto FLAT bundle - Velox XDSL - Varejo"),[7]BENEFICIOS!$A:$E,5,0))),"Criar",IF(DI22="","",VLOOKUP(($BH22&amp;DI22&amp;"Template de desconto FLAT bundle - Velox XDSL - Varejo"),[7]BENEFICIOS!$A:$E,5,0)))</f>
        <v>MKT-1-9865191384</v>
      </c>
      <c r="DK22" s="69"/>
      <c r="DL22" s="70"/>
      <c r="DM22" s="64"/>
      <c r="DN22" s="65"/>
      <c r="DO22" s="68" t="s">
        <v>165</v>
      </c>
      <c r="DP22" s="69">
        <v>69.900000000000006</v>
      </c>
      <c r="DQ22" s="64">
        <f>IF(DP22=0,"",IF(DP22=VLOOKUP("PCS-30820g",[7]ARBOR!$A:$C,3,0),0.0001,IF(DP22&gt;VLOOKUP("PCS-30820g",[7]ARBOR!$A:$C,3,0),"Maior que CAP!",IF((DOLLAR(DP22+(VLOOKUP("PCS-30820g",[7]ARBOR!$A:$C,3,0)*-TRUNC(DP22/VLOOKUP("PCS-30820g",[7]ARBOR!$A:$C,3,0)-1,4)),6))&lt;&gt;(DOLLAR(VLOOKUP("PCS-30820g",[7]ARBOR!$A:$C,3,0),6)),-TRUNC(DP22/VLOOKUP("PCS-30820g",[7]ARBOR!$A:$C,3,0)-1,4)+0.0001,-TRUNC(DP22/VLOOKUP("PCS-30820g",[7]ARBOR!$A:$C,3,0)-1,4)))))</f>
        <v>0.75109999999999999</v>
      </c>
      <c r="DR22" s="65" t="str">
        <f>IF(ISERROR(IF(DQ22="","",VLOOKUP(($BH22&amp;DQ22&amp;"Template de desconto FLAT bundle - Velox XDSL - Varejo"),[7]BENEFICIOS!$A:$E,5,0))),"Criar",IF(DQ22="","",VLOOKUP(($BH22&amp;DQ22&amp;"Template de desconto FLAT bundle - Velox XDSL - Varejo"),[7]BENEFICIOS!$A:$E,5,0)))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IF(DW22=0,"",IF(DW22=VLOOKUP("PCS-21448p2",[7]ARBOR!$A:$C,3,0),0.0001,IF(DW22&gt;VLOOKUP("PCS-21448p2",[7]ARBOR!$A:$C,3,0),"Maior que CAP!",IF((DOLLAR(DW22+(VLOOKUP("PCS-21448p2",[7]ARBOR!$A:$C,3,0)*-TRUNC(DW22/VLOOKUP("PCS-21448p2",[7]ARBOR!$A:$C,3,0)-1,4)),6))&lt;&gt;(DOLLAR(VLOOKUP("PCS-21448p2",[7]ARBOR!$A:$C,3,0),6)),-TRUNC(DW22/VLOOKUP("PCS-21448p2",[7]ARBOR!$A:$C,3,0)-1,4)+0.0001,-TRUNC(DW22/VLOOKUP("PCS-21448p2",[7]ARBOR!$A:$C,3,0)-1,4)))))</f>
        <v/>
      </c>
      <c r="DY22" s="65" t="str">
        <f>IF(ISERROR(IF(DX22="","",VLOOKUP(("Oi Conta Total Plug 10GB Downgrade"&amp;DX22&amp;"Template de desconto percentual BL Móvel - Internet Total - Varejo"),[7]BENEFICIOS!$A:$E,5,0))),"Criar",IF(DX22="","",VLOOKUP(("Oi Conta Total Plug 10GB Downgrade"&amp;DX22&amp;"Template de desconto percentual BL Móvel - Internet Total - Varejo"),[7]BENEFICIOS!$A:$E,5,0)))</f>
        <v/>
      </c>
      <c r="DZ22" s="71">
        <v>19.899999999999999</v>
      </c>
      <c r="EA22" s="72">
        <f>IF(DZ22=0,"",IF(DZ22=VLOOKUP("SVA",[7]ARBOR!$A:$C,3,0),0.0001,IF(DZ22&gt;VLOOKUP("SVA",[7]ARBOR!$A:$C,3,0),"Maior que CAP!",IF((DOLLAR(DZ22+(VLOOKUP("SVA",[7]ARBOR!$A:$C,3,0)*-TRUNC(DZ22/VLOOKUP("SVA",[7]ARBOR!$A:$C,3,0)-1,4)),6))&lt;&gt;(DOLLAR(VLOOKUP("SVA",[7]ARBOR!$A:$C,3,0),6)),-TRUNC(DZ22/VLOOKUP("SVA",[7]ARBOR!$A:$C,3,0)-1,4)+0.0001,-TRUNC(DZ22/VLOOKUP("SVA",[7]ARBOR!$A:$C,3,0)-1,4)))))</f>
        <v>7.1400000000000005E-2</v>
      </c>
      <c r="EB22" s="65" t="s">
        <v>245</v>
      </c>
      <c r="EC22" s="69"/>
      <c r="ED22" s="73"/>
      <c r="EE22" s="74"/>
      <c r="EF22" s="65"/>
      <c r="EG22" s="75">
        <f>IF(BI22="","",VLOOKUP(BI22,[7]ARBOR!A:C,3,0))</f>
        <v>479.46</v>
      </c>
      <c r="EH22" s="69">
        <v>15</v>
      </c>
      <c r="EI22" s="76">
        <f>IF(EH22="","",1-(EH22/VLOOKUP(BI22&amp;"ASS",[7]ARBOR!A:C,3,0)))</f>
        <v>0.34725848563968664</v>
      </c>
      <c r="EJ22" s="77" t="s">
        <v>228</v>
      </c>
      <c r="EK22" s="78" t="s">
        <v>229</v>
      </c>
      <c r="EL22" s="69">
        <v>132.55000000000001</v>
      </c>
      <c r="EM22" s="64">
        <f>IF(EL22=0,"",IF(EL22=EG22,0.0001,ROUND(1-((EL22+(VLOOKUP(BI22&amp;"ASS",[7]ARBOR!A:C,3,0)-EH22))/EG22),4)))</f>
        <v>0.70689999999999997</v>
      </c>
      <c r="EN22" s="65" t="str">
        <f>IF(ISERROR(IF(EM22="","",VLOOKUP(($BH22&amp;EM22&amp;"Template de desconto percentual FLAT Móvel - Conta Total - Varejo - Ganho Tributário Cross"),[7]BENEFICIOS!$A:$E,5,0))),"Criar",IF(EM22="","",VLOOKUP(($BH22&amp;EM22&amp;"Template de desconto percentual FLAT Móvel - Conta Total - Varejo - Ganho Tributário Cross"),[7]BENEFICIOS!$A:$E,5,0)))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248</v>
      </c>
      <c r="EV22" s="81" t="s">
        <v>260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IF(FC22=0,"",IF(FC22=VLOOKUP("PCS-10357",[7]ARBOR!$A:$C,3,0),0.0001,IF(FC22&gt;VLOOKUP("PCS-10357",[7]ARBOR!$A:$C,3,0),"Maior que CAP!",ROUND(-1*(FC22/VLOOKUP("PCS-10357",[7]ARBOR!$A:$C,3,0)-1),4))))</f>
        <v/>
      </c>
      <c r="FE22" s="84" t="str">
        <f>IF(ISERROR(IF(FD22="","",VLOOKUP(("Oi Internet Pra Celular 1GB"&amp;FD22&amp;"Template Flat Instância Dados"),[7]BENEFICIOS!$A:$E,5,0))),"Criar",IF(FD22="","",VLOOKUP(("Oi Internet Pra Celular 1GB"&amp;FD22&amp;"Template Flat Instância Dados"),[7]BENEFICIOS!$A:$E,5,0)))</f>
        <v/>
      </c>
      <c r="FF22" s="82"/>
      <c r="FG22" s="83" t="str">
        <f>IF(FF22=0,"",IF(FF22=VLOOKUP("PCS-813565",[7]ARBOR!$A:$C,3,0),0.0001,IF(FF22&gt;VLOOKUP("PCS-813565",[7]ARBOR!$A:$C,3,0),"Maior que CAP!",ROUND(-1*(FF22/VLOOKUP("PCS-813565",[7]ARBOR!$A:$C,3,0)-1),4))))</f>
        <v/>
      </c>
      <c r="FH22" s="84" t="str">
        <f>IF(ISERROR(IF(FG22="","",VLOOKUP(("Oi Internet Pra Celular 2GB"&amp;FG22&amp;"Template Flat Instância Dados"),[7]BENEFICIOS!$A:$E,5,0))),"Criar",IF(FG22="","",VLOOKUP(("Oi Internet Pra Celular 2GB"&amp;FG22&amp;"Template Flat Instância Dados"),[7]BENEFICIOS!$A:$E,5,0)))</f>
        <v/>
      </c>
      <c r="FI22" s="82">
        <v>12.35</v>
      </c>
      <c r="FJ22" s="83">
        <f>IF(FI22=0,"",IF(FI22=VLOOKUP("PCS-7171B",[7]ARBOR!$A:$C,3,0),0.0001,IF(FI22&gt;VLOOKUP("PCS-7171B",[7]ARBOR!$A:$C,3,0),"Maior que CAP!",ROUND(-1*(FI22/VLOOKUP("PCS-7171B",[7]ARBOR!$A:$C,3,0)-1),4))))</f>
        <v>0.87419999999999998</v>
      </c>
      <c r="FK22" s="84" t="str">
        <f>IF(ISERROR(IF(FJ22="","",VLOOKUP(("Oi Internet Pra Celular 3GB"&amp;FJ22&amp;"Template Flat Instância Dados"),[7]BENEFICIOS!$A:$E,5,0))),"Criar",IF(FJ22="","",VLOOKUP(("Oi Internet Pra Celular 3GB"&amp;FJ22&amp;"Template Flat Instância Dados"),[7]BENEFICIOS!$A:$E,5,0)))</f>
        <v>MKT-1-9870092975</v>
      </c>
      <c r="FL22" s="82"/>
      <c r="FM22" s="83" t="str">
        <f>IF(FL22=0,"",IF(FL22=VLOOKUP("PCS-51793o08",[7]ARBOR!$A:$C,3,0),0.0001,IF(FL22&gt;VLOOKUP("PCS-51793o08",[7]ARBOR!$A:$C,3,0),"Maior que CAP!",ROUND(-1*(FL22/VLOOKUP("PCS-51793o08",[7]ARBOR!$A:$C,3,0)-1),4))))</f>
        <v/>
      </c>
      <c r="FN22" s="84" t="str">
        <f>IF(ISERROR(IF(FM22="","",VLOOKUP(("Oi Internet Pra Celular 5GB"&amp;FM22&amp;"Template Flat Instância Dados"),[7]BENEFICIOS!$A:$E,5,0))),"Criar",IF(FM22="","",VLOOKUP(("Oi Internet Pra Celular 5GB"&amp;FM22&amp;"Template Flat Instância Dados"),[7]BENEFICIOS!$A:$E,5,0)))</f>
        <v/>
      </c>
      <c r="FO22" s="82"/>
      <c r="FP22" s="83" t="str">
        <f>IF(FO22=0,"",IF(FO22=VLOOKUP("PCS-7171A",[7]ARBOR!$A:$C,3,0),0.0001,IF(FO22&gt;VLOOKUP("PCS-7171A",[7]ARBOR!$A:$C,3,0),"Maior que CAP!",ROUND(-1*(FO22/VLOOKUP("PCS-7171A",[7]ARBOR!$A:$C,3,0)-1),4))))</f>
        <v/>
      </c>
      <c r="FQ22" s="84" t="str">
        <f>IF(ISERROR(IF(FP22="","",VLOOKUP(("Oi Internet Pra Celular 10GB"&amp;FP22&amp;"Template Flat Instância Dados"),[7]BENEFICIOS!$A:$E,5,0))),"Criar",IF(FP22="","",VLOOKUP(("Oi Internet Pra Celular 10GB"&amp;FP22&amp;"Template Flat Instância Dados"),[7]BENEFICIOS!$A:$E,5,0)))</f>
        <v/>
      </c>
      <c r="FR22" s="85">
        <v>0.74219999999999997</v>
      </c>
      <c r="FS22" s="86" t="s">
        <v>250</v>
      </c>
      <c r="FT22" s="48"/>
      <c r="FU22" s="87"/>
      <c r="FV22" s="88" t="s">
        <v>225</v>
      </c>
      <c r="FW22" s="49" t="s">
        <v>230</v>
      </c>
      <c r="FX22" s="89">
        <v>999</v>
      </c>
      <c r="FY22" s="49">
        <v>12</v>
      </c>
      <c r="FZ22" s="90" t="s">
        <v>231</v>
      </c>
      <c r="GA22" s="91" t="str">
        <f t="shared" si="1"/>
        <v>PCS-Fk83324</v>
      </c>
      <c r="GB22" s="92" t="str">
        <f t="shared" si="2"/>
        <v>PCS-SBL553142</v>
      </c>
      <c r="GC22" s="93" t="s">
        <v>232</v>
      </c>
      <c r="GD22" s="90" t="s">
        <v>233</v>
      </c>
      <c r="GE22" s="92" t="s">
        <v>234</v>
      </c>
      <c r="GF22" s="93" t="s">
        <v>235</v>
      </c>
      <c r="GG22" s="90" t="s">
        <v>236</v>
      </c>
      <c r="GH22" s="92" t="s">
        <v>237</v>
      </c>
      <c r="GI22" s="94" t="s">
        <v>238</v>
      </c>
      <c r="GJ22" s="95">
        <f>FI22+EL22+CN22+BJ22</f>
        <v>244.9</v>
      </c>
      <c r="GK22" s="96"/>
      <c r="GL22" s="97" t="s">
        <v>239</v>
      </c>
      <c r="GM22" s="98" t="s">
        <v>276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291</v>
      </c>
      <c r="GX22" s="44" t="s">
        <v>242</v>
      </c>
    </row>
    <row r="23" spans="1:206" s="44" customFormat="1" x14ac:dyDescent="0.25">
      <c r="A23" s="44" t="str">
        <f t="shared" si="0"/>
        <v>Oi Total Fixo + Pós 800 + Banda LargaN25GBMG</v>
      </c>
      <c r="B23" s="45" t="s">
        <v>215</v>
      </c>
      <c r="C23" s="46" t="s">
        <v>131</v>
      </c>
      <c r="D23" s="46" t="s">
        <v>216</v>
      </c>
      <c r="E23" s="47" t="s">
        <v>217</v>
      </c>
      <c r="F23" s="88" t="s">
        <v>218</v>
      </c>
      <c r="G23" s="49"/>
      <c r="H23" s="49"/>
      <c r="I23" s="49"/>
      <c r="J23" s="49" t="s">
        <v>218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218</v>
      </c>
      <c r="AC23" s="49" t="s">
        <v>218</v>
      </c>
      <c r="AD23" s="49" t="s">
        <v>218</v>
      </c>
      <c r="AE23" s="49" t="s">
        <v>218</v>
      </c>
      <c r="AF23" s="49" t="s">
        <v>218</v>
      </c>
      <c r="AG23" s="49" t="s">
        <v>218</v>
      </c>
      <c r="AH23" s="50"/>
      <c r="AI23" s="49" t="s">
        <v>218</v>
      </c>
      <c r="AJ23" s="49" t="s">
        <v>218</v>
      </c>
      <c r="AK23" s="49" t="s">
        <v>218</v>
      </c>
      <c r="AL23" s="49" t="s">
        <v>218</v>
      </c>
      <c r="AM23" s="49" t="s">
        <v>218</v>
      </c>
      <c r="AN23" s="49" t="s">
        <v>218</v>
      </c>
      <c r="AO23" s="49" t="s">
        <v>218</v>
      </c>
      <c r="AP23" s="49"/>
      <c r="AQ23" s="51"/>
      <c r="AR23" s="52" t="s">
        <v>292</v>
      </c>
      <c r="AS23" s="46" t="s">
        <v>220</v>
      </c>
      <c r="AT23" s="53" t="s">
        <v>221</v>
      </c>
      <c r="AU23" s="54">
        <v>42972</v>
      </c>
      <c r="AV23" s="105">
        <v>43097</v>
      </c>
      <c r="AW23" s="56" t="s">
        <v>222</v>
      </c>
      <c r="AX23" s="57" t="s">
        <v>222</v>
      </c>
      <c r="AY23" s="58"/>
      <c r="AZ23" s="58" t="s">
        <v>223</v>
      </c>
      <c r="BA23" s="58">
        <v>20</v>
      </c>
      <c r="BB23" s="58">
        <v>10000</v>
      </c>
      <c r="BC23" s="59" t="s">
        <v>224</v>
      </c>
      <c r="BD23" s="60" t="s">
        <v>225</v>
      </c>
      <c r="BE23" s="58" t="s">
        <v>217</v>
      </c>
      <c r="BF23" s="51" t="s">
        <v>217</v>
      </c>
      <c r="BG23" s="45" t="s">
        <v>292</v>
      </c>
      <c r="BH23" s="61" t="s">
        <v>226</v>
      </c>
      <c r="BI23" s="62" t="str">
        <f>IF(ISERROR(VLOOKUP(BH23,[7]PLANOS!B:C,2,0)),"",VLOOKUP(BH23,[7]PLANOS!B:C,2,0))</f>
        <v>PCS-4P6pi</v>
      </c>
      <c r="BJ23" s="63">
        <v>50.1</v>
      </c>
      <c r="BK23" s="64">
        <f>IF(BJ23=0,"",IF(BJ23=VLOOKUP("FIXO",[7]ARBOR!$A:$C,3,0),0.0001,IF(BJ23&gt;VLOOKUP("FIXO",[7]ARBOR!$A:$C,3,0),"Maior que CAP!",IF((DOLLAR(BJ23+(VLOOKUP("FIXO",[7]ARBOR!$A:$C,3,0)*-TRUNC(BJ23/VLOOKUP("FIXO",[7]ARBOR!$A:$C,3,0)-1,4)),6))&lt;&gt;(DOLLAR(VLOOKUP("FIXO",[7]ARBOR!$A:$C,3,0),6)),-TRUNC(BJ23/VLOOKUP("FIXO",[7]ARBOR!$A:$C,3,0)-1,4)+0.0001,-TRUNC(BJ23/VLOOKUP("FIXO",[7]ARBOR!$A:$C,3,0)-1,4)))))</f>
        <v>0.33939999999999998</v>
      </c>
      <c r="BL23" s="65" t="str">
        <f>IF(ISERROR(IF(BK23="","",VLOOKUP(($BH23&amp;BK23&amp;"Template de desconto FLAT bundle - Fixo - Varejo - Ganho Tributário Cross"),[7]BENEFICIOS!$A:$E,5,0))),"Criar",IF(BK23="","",VLOOKUP(($BH23&amp;BK23&amp;"Template de desconto FLAT bundle - Fixo - Varejo - Ganho Tributário Cross"),[7]BENEFICIOS!$A:$E,5,0)))</f>
        <v>MKT-1-9856472058</v>
      </c>
      <c r="BM23" s="66"/>
      <c r="BN23" s="67"/>
      <c r="BO23" s="68" t="s">
        <v>165</v>
      </c>
      <c r="BP23" s="69">
        <v>44.9</v>
      </c>
      <c r="BQ23" s="64">
        <f>IF(BP23=0,"",IF(BP23=VLOOKUP("PCS-30874g",[7]ARBOR!$A:$C,3,0),0.0001,IF(BP23&gt;VLOOKUP("PCS-30874g",[7]ARBOR!$A:$C,3,0),"Maior que CAP!",IF((DOLLAR(BP23+(VLOOKUP("PCS-30874g",[7]ARBOR!$A:$C,3,0)*-TRUNC(BP23/VLOOKUP("PCS-30874g",[7]ARBOR!$A:$C,3,0)-1,4)),6))&lt;&gt;(DOLLAR(VLOOKUP("PCS-30874g",[7]ARBOR!$A:$C,3,0),6)),-TRUNC(BP23/VLOOKUP("PCS-30874g",[7]ARBOR!$A:$C,3,0)-1,4)+0.0001,-TRUNC(BP23/VLOOKUP("PCS-30874g",[7]ARBOR!$A:$C,3,0)-1,4)))))</f>
        <v>0.53679999999999994</v>
      </c>
      <c r="BR23" s="65" t="str">
        <f>IF(ISERROR(IF(BQ23="","",VLOOKUP(($BH23&amp;BQ23&amp;"Template de desconto FLAT bundle - Velox XDSL - Varejo"),[7]BENEFICIOS!$A:$E,5,0))),"Criar",IF(BQ23="","",VLOOKUP(($BH23&amp;BQ23&amp;"Template de desconto FLAT bundle - Velox XDSL - Varejo"),[7]BENEFICIOS!$A:$E,5,0)))</f>
        <v>MKT-1-9865126733</v>
      </c>
      <c r="BS23" s="68" t="s">
        <v>165</v>
      </c>
      <c r="BT23" s="69">
        <v>44.9</v>
      </c>
      <c r="BU23" s="64">
        <f>IF(BT23=0,"",IF(BT23=VLOOKUP("PCS-30577g",[7]ARBOR!$A:$C,3,0),0.0001,IF(BT23&gt;VLOOKUP("PCS-30577g",[7]ARBOR!$A:$C,3,0),"Maior que CAP!",IF((DOLLAR(BT23+(VLOOKUP("PCS-30577g",[7]ARBOR!$A:$C,3,0)*-TRUNC(BT23/VLOOKUP("PCS-30577g",[7]ARBOR!$A:$C,3,0)-1,4)),6))&lt;&gt;(DOLLAR(VLOOKUP("PCS-30577g",[7]ARBOR!$A:$C,3,0),6)),-TRUNC(BT23/VLOOKUP("PCS-30577g",[7]ARBOR!$A:$C,3,0)-1,4)+0.0001,-TRUNC(BT23/VLOOKUP("PCS-30577g",[7]ARBOR!$A:$C,3,0)-1,4)))))</f>
        <v>0.53679999999999994</v>
      </c>
      <c r="BV23" s="65" t="str">
        <f>IF(ISERROR(IF(BU23="","",VLOOKUP(($BH23&amp;BU23&amp;"Template de desconto FLAT bundle - Velox XDSL - Varejo"),[7]BENEFICIOS!$A:$E,5,0))),"Criar",IF(BU23="","",VLOOKUP(($BH23&amp;BU23&amp;"Template de desconto FLAT bundle - Velox XDSL - Varejo"),[7]BENEFICIOS!$A:$E,5,0)))</f>
        <v>MKT-1-9865126733</v>
      </c>
      <c r="BW23" s="68" t="s">
        <v>165</v>
      </c>
      <c r="BX23" s="69">
        <v>44.9</v>
      </c>
      <c r="BY23" s="64">
        <f>IF(BX23=0,"",IF(BX23=VLOOKUP("PCS-30604g",[7]ARBOR!$A:$C,3,0),0.0001,IF(BX23&gt;VLOOKUP("PCS-30604g",[7]ARBOR!$A:$C,3,0),"Maior que CAP!",IF((DOLLAR(BX23+(VLOOKUP("PCS-30604g",[7]ARBOR!$A:$C,3,0)*-TRUNC(BX23/VLOOKUP("PCS-30604g",[7]ARBOR!$A:$C,3,0)-1,4)),6))&lt;&gt;(DOLLAR(VLOOKUP("PCS-30604g",[7]ARBOR!$A:$C,3,0),6)),-TRUNC(BX23/VLOOKUP("PCS-30604g",[7]ARBOR!$A:$C,3,0)-1,4)+0.0001,-TRUNC(BX23/VLOOKUP("PCS-30604g",[7]ARBOR!$A:$C,3,0)-1,4)))))</f>
        <v>0.53679999999999994</v>
      </c>
      <c r="BZ23" s="65" t="str">
        <f>IF(ISERROR(IF(BY23="","",VLOOKUP(($BH23&amp;BY23&amp;"Template de desconto FLAT bundle - Velox XDSL - Varejo"),[7]BENEFICIOS!$A:$E,5,0))),"Criar",IF(BY23="","",VLOOKUP(($BH23&amp;BY23&amp;"Template de desconto FLAT bundle - Velox XDSL - Varejo"),[7]BENEFICIOS!$A:$E,5,0)))</f>
        <v>MKT-1-9865126733</v>
      </c>
      <c r="CA23" s="68" t="s">
        <v>165</v>
      </c>
      <c r="CB23" s="69">
        <v>44.9</v>
      </c>
      <c r="CC23" s="64">
        <f>IF(CB23=0,"",IF(CB23=VLOOKUP("PCS-30631g",[7]ARBOR!$A:$C,3,0),0.0001,IF(CB23&gt;VLOOKUP("PCS-30631g",[7]ARBOR!$A:$C,3,0),"Maior que CAP!",IF((DOLLAR(CB23+(VLOOKUP("PCS-30631g",[7]ARBOR!$A:$C,3,0)*-TRUNC(CB23/VLOOKUP("PCS-30631g",[7]ARBOR!$A:$C,3,0)-1,4)),6))&lt;&gt;(DOLLAR(VLOOKUP("PCS-30631g",[7]ARBOR!$A:$C,3,0),6)),-TRUNC(CB23/VLOOKUP("PCS-30631g",[7]ARBOR!$A:$C,3,0)-1,4)+0.0001,-TRUNC(CB23/VLOOKUP("PCS-30631g",[7]ARBOR!$A:$C,3,0)-1,4)))))</f>
        <v>0.54310000000000003</v>
      </c>
      <c r="CD23" s="65" t="str">
        <f>IF(ISERROR(IF(CC23="","",VLOOKUP(($BH23&amp;CC23&amp;"Template de desconto FLAT bundle - Velox XDSL - Varejo"),[7]BENEFICIOS!$A:$E,5,0))),"Criar",IF(CC23="","",VLOOKUP(($BH23&amp;CC23&amp;"Template de desconto FLAT bundle - Velox XDSL - Varejo"),[7]BENEFICIOS!$A:$E,5,0)))</f>
        <v>MKT-1-9865126826</v>
      </c>
      <c r="CE23" s="68"/>
      <c r="CF23" s="69"/>
      <c r="CG23" s="64" t="str">
        <f>IF(CF23=0,"",IF(CF23=VLOOKUP("PCS-30658g",[7]ARBOR!$A:$C,3,0),0.0001,IF(CF23&gt;VLOOKUP("PCS-30658g",[7]ARBOR!$A:$C,3,0),"Maior que CAP!",IF((DOLLAR(CF23+(VLOOKUP("PCS-30658g",[7]ARBOR!$A:$C,3,0)*-TRUNC(CF23/VLOOKUP("PCS-30658g",[7]ARBOR!$A:$C,3,0)-1,4)),6))&lt;&gt;(DOLLAR(VLOOKUP("PCS-30658g",[7]ARBOR!$A:$C,3,0),6)),-TRUNC(CF23/VLOOKUP("PCS-30658g",[7]ARBOR!$A:$C,3,0)-1,4)+0.0001,-TRUNC(CF23/VLOOKUP("PCS-30658g",[7]ARBOR!$A:$C,3,0)-1,4)))))</f>
        <v/>
      </c>
      <c r="CH23" s="65" t="str">
        <f>IF(ISERROR(IF(CG23="","",VLOOKUP(($BH23&amp;CG23&amp;"Template de desconto FLAT bundle - Velox XDSL - Varejo"),[7]BENEFICIOS!$A:$E,5,0))),"Criar",IF(CG23="","",VLOOKUP(($BH23&amp;CG23&amp;"Template de desconto FLAT bundle - Velox XDSL - Varejo"),[7]BENEFICIOS!$A:$E,5,0)))</f>
        <v/>
      </c>
      <c r="CI23" s="68"/>
      <c r="CJ23" s="69"/>
      <c r="CK23" s="64" t="str">
        <f>IF(CJ23=0,"",IF(CJ23=VLOOKUP("PCS-30685g",[7]ARBOR!$A:$C,3,0),0.0001,IF(CJ23&gt;VLOOKUP("PCS-30685g",[7]ARBOR!$A:$C,3,0),"Maior que CAP!",IF((DOLLAR(CJ23+(VLOOKUP("PCS-30685g",[7]ARBOR!$A:$C,3,0)*-TRUNC(CJ23/VLOOKUP("PCS-30685g",[7]ARBOR!$A:$C,3,0)-1,4)),6))&lt;&gt;(DOLLAR(VLOOKUP("PCS-30685g",[7]ARBOR!$A:$C,3,0),6)),-TRUNC(CJ23/VLOOKUP("PCS-30685g",[7]ARBOR!$A:$C,3,0)-1,4)+0.0001,-TRUNC(CJ23/VLOOKUP("PCS-30685g",[7]ARBOR!$A:$C,3,0)-1,4)))))</f>
        <v/>
      </c>
      <c r="CL23" s="65" t="str">
        <f>IF(ISERROR(IF(CK23="","",VLOOKUP(($BH23&amp;CK23&amp;"Template de desconto FLAT bundle - Velox XDSL - Varejo"),[7]BENEFICIOS!$A:$E,5,0))),"Criar",IF(CK23="","",VLOOKUP(($BH23&amp;CK23&amp;"Template de desconto FLAT bundle - Velox XDSL - Varejo"),[7]BENEFICIOS!$A:$E,5,0)))</f>
        <v/>
      </c>
      <c r="CM23" s="68"/>
      <c r="CN23" s="69"/>
      <c r="CO23" s="64" t="str">
        <f>IF(CN23=0,"",IF(CN23=VLOOKUP("PCS-30712g",[7]ARBOR!$A:$C,3,0),0.0001,IF(CN23&gt;VLOOKUP("PCS-30712g",[7]ARBOR!$A:$C,3,0),"Maior que CAP!",IF((DOLLAR(CN23+(VLOOKUP("PCS-30712g",[7]ARBOR!$A:$C,3,0)*-TRUNC(CN23/VLOOKUP("PCS-30712g",[7]ARBOR!$A:$C,3,0)-1,4)),6))&lt;&gt;(DOLLAR(VLOOKUP("PCS-30712g",[7]ARBOR!$A:$C,3,0),6)),-TRUNC(CN23/VLOOKUP("PCS-30712g",[7]ARBOR!$A:$C,3,0)-1,4)+0.0001,-TRUNC(CN23/VLOOKUP("PCS-30712g",[7]ARBOR!$A:$C,3,0)-1,4)))))</f>
        <v/>
      </c>
      <c r="CP23" s="65" t="str">
        <f>IF(ISERROR(IF(CO23="","",VLOOKUP(($BH23&amp;CO23&amp;"Template de desconto FLAT bundle - Velox XDSL - Varejo"),[7]BENEFICIOS!$A:$E,5,0))),"Criar",IF(CO23="","",VLOOKUP(($BH23&amp;CO23&amp;"Template de desconto FLAT bundle - Velox XDSL - Varejo"),[7]BENEFICIOS!$A:$E,5,0)))</f>
        <v/>
      </c>
      <c r="CQ23" s="68"/>
      <c r="CR23" s="69"/>
      <c r="CS23" s="64" t="str">
        <f>IF(CR23=0,"",IF(CR23=VLOOKUP("PCS-30739g",[7]ARBOR!$A:$C,3,0),0.0001,IF(CR23&gt;VLOOKUP("PCS-30739g",[7]ARBOR!$A:$C,3,0),"Maior que CAP!",IF((DOLLAR(CR23+(VLOOKUP("PCS-30739g",[7]ARBOR!$A:$C,3,0)*-TRUNC(CR23/VLOOKUP("PCS-30739g",[7]ARBOR!$A:$C,3,0)-1,4)),6))&lt;&gt;(DOLLAR(VLOOKUP("PCS-30739g",[7]ARBOR!$A:$C,3,0),6)),-TRUNC(CR23/VLOOKUP("PCS-30739g",[7]ARBOR!$A:$C,3,0)-1,4)+0.0001,-TRUNC(CR23/VLOOKUP("PCS-30739g",[7]ARBOR!$A:$C,3,0)-1,4)))))</f>
        <v/>
      </c>
      <c r="CT23" s="65" t="str">
        <f>IF(ISERROR(IF(CS23="","",VLOOKUP(($BH23&amp;CS23&amp;"Template de desconto FLAT bundle - Velox XDSL - Varejo"),[7]BENEFICIOS!$A:$E,5,0))),"Criar",IF(CS23="","",VLOOKUP(($BH23&amp;CS23&amp;"Template de desconto FLAT bundle - Velox XDSL - Varejo"),[7]BENEFICIOS!$A:$E,5,0)))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IF(CZ23=0,"",IF(CZ23=VLOOKUP("PCS-30766g",[7]ARBOR!$A:$C,3,0),0.0001,IF(CZ23&gt;VLOOKUP("PCS-30766g",[7]ARBOR!$A:$C,3,0),"Maior que CAP!",IF((DOLLAR(CZ23+(VLOOKUP("PCS-30766g",[7]ARBOR!$A:$C,3,0)*-TRUNC(CZ23/VLOOKUP("PCS-30766g",[7]ARBOR!$A:$C,3,0)-1,4)),6))&lt;&gt;(DOLLAR(VLOOKUP("PCS-30766g",[7]ARBOR!$A:$C,3,0),6)),-TRUNC(CZ23/VLOOKUP("PCS-30766g",[7]ARBOR!$A:$C,3,0)-1,4)+0.0001,-TRUNC(CZ23/VLOOKUP("PCS-30766g",[7]ARBOR!$A:$C,3,0)-1,4)))))</f>
        <v/>
      </c>
      <c r="DB23" s="65" t="str">
        <f>IF(ISERROR(IF(DA23="","",VLOOKUP(($BH23&amp;DA23&amp;"Template de desconto FLAT bundle - Velox XDSL - Varejo"),[7]BENEFICIOS!$A:$E,5,0))),"Criar",IF(DA23="","",VLOOKUP(($BH23&amp;DA23&amp;"Template de desconto FLAT bundle - Velox XDSL - Varejo"),[7]BENEFICIOS!$A:$E,5,0)))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IF(DH23=0,"",IF(DH23=VLOOKUP("PCS-30793g",[7]ARBOR!$A:$C,3,0),0.0001,IF(DH23&gt;VLOOKUP("PCS-30793g",[7]ARBOR!$A:$C,3,0),"Maior que CAP!",IF((DOLLAR(DH23+(VLOOKUP("PCS-30793g",[7]ARBOR!$A:$C,3,0)*-TRUNC(DH23/VLOOKUP("PCS-30793g",[7]ARBOR!$A:$C,3,0)-1,4)),6))&lt;&gt;(DOLLAR(VLOOKUP("PCS-30793g",[7]ARBOR!$A:$C,3,0),6)),-TRUNC(DH23/VLOOKUP("PCS-30793g",[7]ARBOR!$A:$C,3,0)-1,4)+0.0001,-TRUNC(DH23/VLOOKUP("PCS-30793g",[7]ARBOR!$A:$C,3,0)-1,4)))))</f>
        <v/>
      </c>
      <c r="DJ23" s="65" t="str">
        <f>IF(ISERROR(IF(DI23="","",VLOOKUP(($BH23&amp;DI23&amp;"Template de desconto FLAT bundle - Velox XDSL - Varejo"),[7]BENEFICIOS!$A:$E,5,0))),"Criar",IF(DI23="","",VLOOKUP(($BH23&amp;DI23&amp;"Template de desconto FLAT bundle - Velox XDSL - Varejo"),[7]BENEFICIOS!$A:$E,5,0)))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IF(DP23=0,"",IF(DP23=VLOOKUP("PCS-30820g",[7]ARBOR!$A:$C,3,0),0.0001,IF(DP23&gt;VLOOKUP("PCS-30820g",[7]ARBOR!$A:$C,3,0),"Maior que CAP!",IF((DOLLAR(DP23+(VLOOKUP("PCS-30820g",[7]ARBOR!$A:$C,3,0)*-TRUNC(DP23/VLOOKUP("PCS-30820g",[7]ARBOR!$A:$C,3,0)-1,4)),6))&lt;&gt;(DOLLAR(VLOOKUP("PCS-30820g",[7]ARBOR!$A:$C,3,0),6)),-TRUNC(DP23/VLOOKUP("PCS-30820g",[7]ARBOR!$A:$C,3,0)-1,4)+0.0001,-TRUNC(DP23/VLOOKUP("PCS-30820g",[7]ARBOR!$A:$C,3,0)-1,4)))))</f>
        <v/>
      </c>
      <c r="DR23" s="65" t="str">
        <f>IF(ISERROR(IF(DQ23="","",VLOOKUP(($BH23&amp;DQ23&amp;"Template de desconto FLAT bundle - Velox XDSL - Varejo"),[7]BENEFICIOS!$A:$E,5,0))),"Criar",IF(DQ23="","",VLOOKUP(($BH23&amp;DQ23&amp;"Template de desconto FLAT bundle - Velox XDSL - Varejo"),[7]BENEFICIOS!$A:$E,5,0)))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IF(DW23=0,"",IF(DW23=VLOOKUP("PCS-21448p2",[7]ARBOR!$A:$C,3,0),0.0001,IF(DW23&gt;VLOOKUP("PCS-21448p2",[7]ARBOR!$A:$C,3,0),"Maior que CAP!",IF((DOLLAR(DW23+(VLOOKUP("PCS-21448p2",[7]ARBOR!$A:$C,3,0)*-TRUNC(DW23/VLOOKUP("PCS-21448p2",[7]ARBOR!$A:$C,3,0)-1,4)),6))&lt;&gt;(DOLLAR(VLOOKUP("PCS-21448p2",[7]ARBOR!$A:$C,3,0),6)),-TRUNC(DW23/VLOOKUP("PCS-21448p2",[7]ARBOR!$A:$C,3,0)-1,4)+0.0001,-TRUNC(DW23/VLOOKUP("PCS-21448p2",[7]ARBOR!$A:$C,3,0)-1,4)))))</f>
        <v>0.64900000000000002</v>
      </c>
      <c r="DY23" s="65" t="str">
        <f>IF(ISERROR(IF(DX23="","",VLOOKUP(("Oi Conta Total Plug 10GB Downgrade"&amp;DX23&amp;"Template de desconto percentual BL Móvel - Internet Total - Varejo"),[7]BENEFICIOS!$A:$E,5,0))),"Criar",IF(DX23="","",VLOOKUP(("Oi Conta Total Plug 10GB Downgrade"&amp;DX23&amp;"Template de desconto percentual BL Móvel - Internet Total - Varejo"),[7]BENEFICIOS!$A:$E,5,0)))</f>
        <v>MKT-1-9825544790</v>
      </c>
      <c r="DZ23" s="71">
        <v>16.5</v>
      </c>
      <c r="EA23" s="72">
        <f>IF(DZ23=0,"",IF(DZ23=VLOOKUP("SVA",[7]ARBOR!$A:$C,3,0),0.0001,IF(DZ23&gt;VLOOKUP("SVA",[7]ARBOR!$A:$C,3,0),"Maior que CAP!",IF((DOLLAR(DZ23+(VLOOKUP("SVA",[7]ARBOR!$A:$C,3,0)*-TRUNC(DZ23/VLOOKUP("SVA",[7]ARBOR!$A:$C,3,0)-1,4)),6))&lt;&gt;(DOLLAR(VLOOKUP("SVA",[7]ARBOR!$A:$C,3,0),6)),-TRUNC(DZ23/VLOOKUP("SVA",[7]ARBOR!$A:$C,3,0)-1,4)+0.0001,-TRUNC(DZ23/VLOOKUP("SVA",[7]ARBOR!$A:$C,3,0)-1,4)))))</f>
        <v>0.2301</v>
      </c>
      <c r="EB23" s="65" t="s">
        <v>227</v>
      </c>
      <c r="EC23" s="69"/>
      <c r="ED23" s="73"/>
      <c r="EE23" s="74"/>
      <c r="EF23" s="65"/>
      <c r="EG23" s="75">
        <f>IF(BI23="","",VLOOKUP(BI23,[7]ARBOR!A:C,3,0))</f>
        <v>479.46</v>
      </c>
      <c r="EH23" s="69">
        <v>15</v>
      </c>
      <c r="EI23" s="76">
        <f>IF(EH23="","",1-(EH23/VLOOKUP(BI23&amp;"ASS",[7]ARBOR!A:C,3,0)))</f>
        <v>0.34725848563968664</v>
      </c>
      <c r="EJ23" s="77" t="s">
        <v>228</v>
      </c>
      <c r="EK23" s="78" t="s">
        <v>229</v>
      </c>
      <c r="EL23" s="69">
        <v>144.97999999999999</v>
      </c>
      <c r="EM23" s="64">
        <f>IF(EL23=0,"",IF(EL23=EG23,0.0001,ROUND(1-((EL23+(VLOOKUP(BI23&amp;"ASS",[7]ARBOR!A:C,3,0)-EH23))/EG23),4)))</f>
        <v>0.68100000000000005</v>
      </c>
      <c r="EN23" s="65" t="str">
        <f>IF(ISERROR(IF(EM23="","",VLOOKUP(($BH23&amp;EM23&amp;"Template de desconto percentual FLAT Móvel - Conta Total - Varejo - Ganho Tributário Cross"),[7]BENEFICIOS!$A:$E,5,0))),"Criar",IF(EM23="","",VLOOKUP(($BH23&amp;EM23&amp;"Template de desconto percentual FLAT Móvel - Conta Total - Varejo - Ganho Tributário Cross"),[7]BENEFICIOS!$A:$E,5,0)))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248</v>
      </c>
      <c r="EV23" s="81" t="s">
        <v>265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IF(FC23=0,"",IF(FC23=VLOOKUP("PCS-10357",[7]ARBOR!$A:$C,3,0),0.0001,IF(FC23&gt;VLOOKUP("PCS-10357",[7]ARBOR!$A:$C,3,0),"Maior que CAP!",ROUND(-1*(FC23/VLOOKUP("PCS-10357",[7]ARBOR!$A:$C,3,0)-1),4))))</f>
        <v/>
      </c>
      <c r="FE23" s="84" t="str">
        <f>IF(ISERROR(IF(FD23="","",VLOOKUP(("Oi Internet Pra Celular 1GB"&amp;FD23&amp;"Template Flat Instância Dados"),[7]BENEFICIOS!$A:$E,5,0))),"Criar",IF(FD23="","",VLOOKUP(("Oi Internet Pra Celular 1GB"&amp;FD23&amp;"Template Flat Instância Dados"),[7]BENEFICIOS!$A:$E,5,0)))</f>
        <v/>
      </c>
      <c r="FF23" s="82"/>
      <c r="FG23" s="83" t="str">
        <f>IF(FF23=0,"",IF(FF23=VLOOKUP("PCS-813565",[7]ARBOR!$A:$C,3,0),0.0001,IF(FF23&gt;VLOOKUP("PCS-813565",[7]ARBOR!$A:$C,3,0),"Maior que CAP!",ROUND(-1*(FF23/VLOOKUP("PCS-813565",[7]ARBOR!$A:$C,3,0)-1),4))))</f>
        <v/>
      </c>
      <c r="FH23" s="84" t="str">
        <f>IF(ISERROR(IF(FG23="","",VLOOKUP(("Oi Internet Pra Celular 2GB"&amp;FG23&amp;"Template Flat Instância Dados"),[7]BENEFICIOS!$A:$E,5,0))),"Criar",IF(FG23="","",VLOOKUP(("Oi Internet Pra Celular 2GB"&amp;FG23&amp;"Template Flat Instância Dados"),[7]BENEFICIOS!$A:$E,5,0)))</f>
        <v/>
      </c>
      <c r="FI23" s="82"/>
      <c r="FJ23" s="83" t="str">
        <f>IF(FI23=0,"",IF(FI23=VLOOKUP("PCS-7171B",[7]ARBOR!$A:$C,3,0),0.0001,IF(FI23&gt;VLOOKUP("PCS-7171B",[7]ARBOR!$A:$C,3,0),"Maior que CAP!",ROUND(-1*(FI23/VLOOKUP("PCS-7171B",[7]ARBOR!$A:$C,3,0)-1),4))))</f>
        <v/>
      </c>
      <c r="FK23" s="84" t="str">
        <f>IF(ISERROR(IF(FJ23="","",VLOOKUP(("Oi Internet Pra Celular 3GB"&amp;FJ23&amp;"Template Flat Instância Dados"),[7]BENEFICIOS!$A:$E,5,0))),"Criar",IF(FJ23="","",VLOOKUP(("Oi Internet Pra Celular 3GB"&amp;FJ23&amp;"Template Flat Instância Dados"),[7]BENEFICIOS!$A:$E,5,0)))</f>
        <v/>
      </c>
      <c r="FL23" s="82">
        <v>14.92</v>
      </c>
      <c r="FM23" s="83">
        <f>IF(FL23=0,"",IF(FL23=VLOOKUP("PCS-51793o08",[7]ARBOR!$A:$C,3,0),0.0001,IF(FL23&gt;VLOOKUP("PCS-51793o08",[7]ARBOR!$A:$C,3,0),"Maior que CAP!",ROUND(-1*(FL23/VLOOKUP("PCS-51793o08",[7]ARBOR!$A:$C,3,0)-1),4))))</f>
        <v>0.89500000000000002</v>
      </c>
      <c r="FN23" s="84" t="str">
        <f>IF(ISERROR(IF(FM23="","",VLOOKUP(("Oi Internet Pra Celular 5GB"&amp;FM23&amp;"Template Flat Instância Dados"),[7]BENEFICIOS!$A:$E,5,0))),"Criar",IF(FM23="","",VLOOKUP(("Oi Internet Pra Celular 5GB"&amp;FM23&amp;"Template Flat Instância Dados"),[7]BENEFICIOS!$A:$E,5,0)))</f>
        <v>MKT-1-9870312709</v>
      </c>
      <c r="FO23" s="82"/>
      <c r="FP23" s="83" t="str">
        <f>IF(FO23=0,"",IF(FO23=VLOOKUP("PCS-7171A",[7]ARBOR!$A:$C,3,0),0.0001,IF(FO23&gt;VLOOKUP("PCS-7171A",[7]ARBOR!$A:$C,3,0),"Maior que CAP!",ROUND(-1*(FO23/VLOOKUP("PCS-7171A",[7]ARBOR!$A:$C,3,0)-1),4))))</f>
        <v/>
      </c>
      <c r="FQ23" s="84" t="str">
        <f>IF(ISERROR(IF(FP23="","",VLOOKUP(("Oi Internet Pra Celular 10GB"&amp;FP23&amp;"Template Flat Instância Dados"),[7]BENEFICIOS!$A:$E,5,0))),"Criar",IF(FP23="","",VLOOKUP(("Oi Internet Pra Celular 10GB"&amp;FP23&amp;"Template Flat Instância Dados"),[7]BENEFICIOS!$A:$E,5,0)))</f>
        <v/>
      </c>
      <c r="FR23" s="85">
        <v>0.74260000000000004</v>
      </c>
      <c r="FS23" s="86" t="s">
        <v>266</v>
      </c>
      <c r="FT23" s="48"/>
      <c r="FU23" s="87"/>
      <c r="FV23" s="88" t="s">
        <v>225</v>
      </c>
      <c r="FW23" s="49" t="s">
        <v>230</v>
      </c>
      <c r="FX23" s="89">
        <v>999</v>
      </c>
      <c r="FY23" s="49">
        <v>12</v>
      </c>
      <c r="FZ23" s="90" t="s">
        <v>231</v>
      </c>
      <c r="GA23" s="91" t="str">
        <f t="shared" si="1"/>
        <v>PCS-Fk83324</v>
      </c>
      <c r="GB23" s="92" t="str">
        <f t="shared" si="2"/>
        <v>PCS-SBL553142</v>
      </c>
      <c r="GC23" s="93" t="s">
        <v>232</v>
      </c>
      <c r="GD23" s="90" t="s">
        <v>233</v>
      </c>
      <c r="GE23" s="92" t="s">
        <v>234</v>
      </c>
      <c r="GF23" s="93" t="s">
        <v>235</v>
      </c>
      <c r="GG23" s="90" t="s">
        <v>236</v>
      </c>
      <c r="GH23" s="92" t="s">
        <v>237</v>
      </c>
      <c r="GI23" s="94" t="s">
        <v>238</v>
      </c>
      <c r="GJ23" s="95">
        <f>FL23+EL23+DW23+BJ23</f>
        <v>254.89999999999998</v>
      </c>
      <c r="GK23" s="96"/>
      <c r="GL23" s="97" t="s">
        <v>239</v>
      </c>
      <c r="GM23" s="98" t="s">
        <v>276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293</v>
      </c>
      <c r="GX23" s="44" t="s">
        <v>242</v>
      </c>
    </row>
    <row r="24" spans="1:206" s="44" customFormat="1" x14ac:dyDescent="0.25">
      <c r="A24" s="44" t="str">
        <f t="shared" si="0"/>
        <v>Oi Total Fixo + Pós 800 + Banda LargaN25GBMG</v>
      </c>
      <c r="B24" s="45" t="s">
        <v>215</v>
      </c>
      <c r="C24" s="46" t="s">
        <v>131</v>
      </c>
      <c r="D24" s="46" t="s">
        <v>216</v>
      </c>
      <c r="E24" s="47" t="s">
        <v>217</v>
      </c>
      <c r="F24" s="88" t="s">
        <v>218</v>
      </c>
      <c r="G24" s="49"/>
      <c r="H24" s="49"/>
      <c r="I24" s="49"/>
      <c r="J24" s="49" t="s">
        <v>218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218</v>
      </c>
      <c r="AC24" s="49" t="s">
        <v>218</v>
      </c>
      <c r="AD24" s="49" t="s">
        <v>218</v>
      </c>
      <c r="AE24" s="49" t="s">
        <v>218</v>
      </c>
      <c r="AF24" s="49" t="s">
        <v>218</v>
      </c>
      <c r="AG24" s="49" t="s">
        <v>218</v>
      </c>
      <c r="AH24" s="50"/>
      <c r="AI24" s="49" t="s">
        <v>218</v>
      </c>
      <c r="AJ24" s="49" t="s">
        <v>218</v>
      </c>
      <c r="AK24" s="49" t="s">
        <v>218</v>
      </c>
      <c r="AL24" s="49" t="s">
        <v>218</v>
      </c>
      <c r="AM24" s="49" t="s">
        <v>218</v>
      </c>
      <c r="AN24" s="49" t="s">
        <v>218</v>
      </c>
      <c r="AO24" s="49" t="s">
        <v>218</v>
      </c>
      <c r="AP24" s="49"/>
      <c r="AQ24" s="51"/>
      <c r="AR24" s="52" t="s">
        <v>294</v>
      </c>
      <c r="AS24" s="46" t="s">
        <v>220</v>
      </c>
      <c r="AT24" s="53" t="s">
        <v>221</v>
      </c>
      <c r="AU24" s="54">
        <v>42972</v>
      </c>
      <c r="AV24" s="105">
        <v>43097</v>
      </c>
      <c r="AW24" s="56" t="s">
        <v>222</v>
      </c>
      <c r="AX24" s="57" t="s">
        <v>222</v>
      </c>
      <c r="AY24" s="58"/>
      <c r="AZ24" s="58" t="s">
        <v>223</v>
      </c>
      <c r="BA24" s="58">
        <v>20</v>
      </c>
      <c r="BB24" s="58">
        <v>10000</v>
      </c>
      <c r="BC24" s="59" t="s">
        <v>224</v>
      </c>
      <c r="BD24" s="60" t="s">
        <v>225</v>
      </c>
      <c r="BE24" s="58" t="s">
        <v>217</v>
      </c>
      <c r="BF24" s="51" t="s">
        <v>217</v>
      </c>
      <c r="BG24" s="45" t="s">
        <v>294</v>
      </c>
      <c r="BH24" s="61" t="s">
        <v>226</v>
      </c>
      <c r="BI24" s="62" t="str">
        <f>IF(ISERROR(VLOOKUP(BH24,[7]PLANOS!B:C,2,0)),"",VLOOKUP(BH24,[7]PLANOS!B:C,2,0))</f>
        <v>PCS-4P6pi</v>
      </c>
      <c r="BJ24" s="63">
        <v>50.1</v>
      </c>
      <c r="BK24" s="64">
        <f>IF(BJ24=0,"",IF(BJ24=VLOOKUP("FIXO",[7]ARBOR!$A:$C,3,0),0.0001,IF(BJ24&gt;VLOOKUP("FIXO",[7]ARBOR!$A:$C,3,0),"Maior que CAP!",IF((DOLLAR(BJ24+(VLOOKUP("FIXO",[7]ARBOR!$A:$C,3,0)*-TRUNC(BJ24/VLOOKUP("FIXO",[7]ARBOR!$A:$C,3,0)-1,4)),6))&lt;&gt;(DOLLAR(VLOOKUP("FIXO",[7]ARBOR!$A:$C,3,0),6)),-TRUNC(BJ24/VLOOKUP("FIXO",[7]ARBOR!$A:$C,3,0)-1,4)+0.0001,-TRUNC(BJ24/VLOOKUP("FIXO",[7]ARBOR!$A:$C,3,0)-1,4)))))</f>
        <v>0.33939999999999998</v>
      </c>
      <c r="BL24" s="65" t="str">
        <f>IF(ISERROR(IF(BK24="","",VLOOKUP(($BH24&amp;BK24&amp;"Template de desconto FLAT bundle - Fixo - Varejo - Ganho Tributário Cross"),[7]BENEFICIOS!$A:$E,5,0))),"Criar",IF(BK24="","",VLOOKUP(($BH24&amp;BK24&amp;"Template de desconto FLAT bundle - Fixo - Varejo - Ganho Tributário Cross"),[7]BENEFICIOS!$A:$E,5,0)))</f>
        <v>MKT-1-9856472058</v>
      </c>
      <c r="BM24" s="66"/>
      <c r="BN24" s="67"/>
      <c r="BO24" s="104" t="s">
        <v>244</v>
      </c>
      <c r="BP24" s="69">
        <v>44.9</v>
      </c>
      <c r="BQ24" s="64">
        <f>IF(BP24=0,"",IF(BP24=VLOOKUP("PCS-30874g",[7]ARBOR!$A:$C,3,0),0.0001,IF(BP24&gt;VLOOKUP("PCS-30874g",[7]ARBOR!$A:$C,3,0),"Maior que CAP!",IF((DOLLAR(BP24+(VLOOKUP("PCS-30874g",[7]ARBOR!$A:$C,3,0)*-TRUNC(BP24/VLOOKUP("PCS-30874g",[7]ARBOR!$A:$C,3,0)-1,4)),6))&lt;&gt;(DOLLAR(VLOOKUP("PCS-30874g",[7]ARBOR!$A:$C,3,0),6)),-TRUNC(BP24/VLOOKUP("PCS-30874g",[7]ARBOR!$A:$C,3,0)-1,4)+0.0001,-TRUNC(BP24/VLOOKUP("PCS-30874g",[7]ARBOR!$A:$C,3,0)-1,4)))))</f>
        <v>0.53679999999999994</v>
      </c>
      <c r="BR24" s="65" t="str">
        <f>IF(ISERROR(IF(BQ24="","",VLOOKUP(($BH24&amp;BQ24&amp;"Template de desconto FLAT bundle - Velox XDSL - Varejo"),[7]BENEFICIOS!$A:$E,5,0))),"Criar",IF(BQ24="","",VLOOKUP(($BH24&amp;BQ24&amp;"Template de desconto FLAT bundle - Velox XDSL - Varejo"),[7]BENEFICIOS!$A:$E,5,0)))</f>
        <v>MKT-1-9865126733</v>
      </c>
      <c r="BS24" s="104" t="s">
        <v>244</v>
      </c>
      <c r="BT24" s="69">
        <v>44.9</v>
      </c>
      <c r="BU24" s="64">
        <f>IF(BT24=0,"",IF(BT24=VLOOKUP("PCS-30577g",[7]ARBOR!$A:$C,3,0),0.0001,IF(BT24&gt;VLOOKUP("PCS-30577g",[7]ARBOR!$A:$C,3,0),"Maior que CAP!",IF((DOLLAR(BT24+(VLOOKUP("PCS-30577g",[7]ARBOR!$A:$C,3,0)*-TRUNC(BT24/VLOOKUP("PCS-30577g",[7]ARBOR!$A:$C,3,0)-1,4)),6))&lt;&gt;(DOLLAR(VLOOKUP("PCS-30577g",[7]ARBOR!$A:$C,3,0),6)),-TRUNC(BT24/VLOOKUP("PCS-30577g",[7]ARBOR!$A:$C,3,0)-1,4)+0.0001,-TRUNC(BT24/VLOOKUP("PCS-30577g",[7]ARBOR!$A:$C,3,0)-1,4)))))</f>
        <v>0.53679999999999994</v>
      </c>
      <c r="BV24" s="65" t="str">
        <f>IF(ISERROR(IF(BU24="","",VLOOKUP(($BH24&amp;BU24&amp;"Template de desconto FLAT bundle - Velox XDSL - Varejo"),[7]BENEFICIOS!$A:$E,5,0))),"Criar",IF(BU24="","",VLOOKUP(($BH24&amp;BU24&amp;"Template de desconto FLAT bundle - Velox XDSL - Varejo"),[7]BENEFICIOS!$A:$E,5,0)))</f>
        <v>MKT-1-9865126733</v>
      </c>
      <c r="BW24" s="104" t="s">
        <v>244</v>
      </c>
      <c r="BX24" s="69">
        <v>44.9</v>
      </c>
      <c r="BY24" s="64">
        <f>IF(BX24=0,"",IF(BX24=VLOOKUP("PCS-30604g",[7]ARBOR!$A:$C,3,0),0.0001,IF(BX24&gt;VLOOKUP("PCS-30604g",[7]ARBOR!$A:$C,3,0),"Maior que CAP!",IF((DOLLAR(BX24+(VLOOKUP("PCS-30604g",[7]ARBOR!$A:$C,3,0)*-TRUNC(BX24/VLOOKUP("PCS-30604g",[7]ARBOR!$A:$C,3,0)-1,4)),6))&lt;&gt;(DOLLAR(VLOOKUP("PCS-30604g",[7]ARBOR!$A:$C,3,0),6)),-TRUNC(BX24/VLOOKUP("PCS-30604g",[7]ARBOR!$A:$C,3,0)-1,4)+0.0001,-TRUNC(BX24/VLOOKUP("PCS-30604g",[7]ARBOR!$A:$C,3,0)-1,4)))))</f>
        <v>0.53679999999999994</v>
      </c>
      <c r="BZ24" s="65" t="str">
        <f>IF(ISERROR(IF(BY24="","",VLOOKUP(($BH24&amp;BY24&amp;"Template de desconto FLAT bundle - Velox XDSL - Varejo"),[7]BENEFICIOS!$A:$E,5,0))),"Criar",IF(BY24="","",VLOOKUP(($BH24&amp;BY24&amp;"Template de desconto FLAT bundle - Velox XDSL - Varejo"),[7]BENEFICIOS!$A:$E,5,0)))</f>
        <v>MKT-1-9865126733</v>
      </c>
      <c r="CA24" s="104" t="s">
        <v>244</v>
      </c>
      <c r="CB24" s="69">
        <v>44.9</v>
      </c>
      <c r="CC24" s="64">
        <f>IF(CB24=0,"",IF(CB24=VLOOKUP("PCS-30631g",[7]ARBOR!$A:$C,3,0),0.0001,IF(CB24&gt;VLOOKUP("PCS-30631g",[7]ARBOR!$A:$C,3,0),"Maior que CAP!",IF((DOLLAR(CB24+(VLOOKUP("PCS-30631g",[7]ARBOR!$A:$C,3,0)*-TRUNC(CB24/VLOOKUP("PCS-30631g",[7]ARBOR!$A:$C,3,0)-1,4)),6))&lt;&gt;(DOLLAR(VLOOKUP("PCS-30631g",[7]ARBOR!$A:$C,3,0),6)),-TRUNC(CB24/VLOOKUP("PCS-30631g",[7]ARBOR!$A:$C,3,0)-1,4)+0.0001,-TRUNC(CB24/VLOOKUP("PCS-30631g",[7]ARBOR!$A:$C,3,0)-1,4)))))</f>
        <v>0.54310000000000003</v>
      </c>
      <c r="CD24" s="65" t="str">
        <f>IF(ISERROR(IF(CC24="","",VLOOKUP(($BH24&amp;CC24&amp;"Template de desconto FLAT bundle - Velox XDSL - Varejo"),[7]BENEFICIOS!$A:$E,5,0))),"Criar",IF(CC24="","",VLOOKUP(($BH24&amp;CC24&amp;"Template de desconto FLAT bundle - Velox XDSL - Varejo"),[7]BENEFICIOS!$A:$E,5,0)))</f>
        <v>MKT-1-9865126826</v>
      </c>
      <c r="CE24" s="68" t="s">
        <v>165</v>
      </c>
      <c r="CF24" s="69">
        <v>49.9</v>
      </c>
      <c r="CG24" s="64">
        <f>IF(CF24=0,"",IF(CF24=VLOOKUP("PCS-30658g",[7]ARBOR!$A:$C,3,0),0.0001,IF(CF24&gt;VLOOKUP("PCS-30658g",[7]ARBOR!$A:$C,3,0),"Maior que CAP!",IF((DOLLAR(CF24+(VLOOKUP("PCS-30658g",[7]ARBOR!$A:$C,3,0)*-TRUNC(CF24/VLOOKUP("PCS-30658g",[7]ARBOR!$A:$C,3,0)-1,4)),6))&lt;&gt;(DOLLAR(VLOOKUP("PCS-30658g",[7]ARBOR!$A:$C,3,0),6)),-TRUNC(CF24/VLOOKUP("PCS-30658g",[7]ARBOR!$A:$C,3,0)-1,4)+0.0001,-TRUNC(CF24/VLOOKUP("PCS-30658g",[7]ARBOR!$A:$C,3,0)-1,4)))))</f>
        <v>0.55569999999999997</v>
      </c>
      <c r="CH24" s="65" t="str">
        <f>IF(ISERROR(IF(CG24="","",VLOOKUP(($BH24&amp;CG24&amp;"Template de desconto FLAT bundle - Velox XDSL - Varejo"),[7]BENEFICIOS!$A:$E,5,0))),"Criar",IF(CG24="","",VLOOKUP(($BH24&amp;CG24&amp;"Template de desconto FLAT bundle - Velox XDSL - Varejo"),[7]BENEFICIOS!$A:$E,5,0)))</f>
        <v>MKT-1-9865126919</v>
      </c>
      <c r="CI24" s="68" t="s">
        <v>165</v>
      </c>
      <c r="CJ24" s="69">
        <v>49.9</v>
      </c>
      <c r="CK24" s="64">
        <f>IF(CJ24=0,"",IF(CJ24=VLOOKUP("PCS-30685g",[7]ARBOR!$A:$C,3,0),0.0001,IF(CJ24&gt;VLOOKUP("PCS-30685g",[7]ARBOR!$A:$C,3,0),"Maior que CAP!",IF((DOLLAR(CJ24+(VLOOKUP("PCS-30685g",[7]ARBOR!$A:$C,3,0)*-TRUNC(CJ24/VLOOKUP("PCS-30685g",[7]ARBOR!$A:$C,3,0)-1,4)),6))&lt;&gt;(DOLLAR(VLOOKUP("PCS-30685g",[7]ARBOR!$A:$C,3,0),6)),-TRUNC(CJ24/VLOOKUP("PCS-30685g",[7]ARBOR!$A:$C,3,0)-1,4)+0.0001,-TRUNC(CJ24/VLOOKUP("PCS-30685g",[7]ARBOR!$A:$C,3,0)-1,4)))))</f>
        <v>0.60509999999999997</v>
      </c>
      <c r="CL24" s="65" t="str">
        <f>IF(ISERROR(IF(CK24="","",VLOOKUP(($BH24&amp;CK24&amp;"Template de desconto FLAT bundle - Velox XDSL - Varejo"),[7]BENEFICIOS!$A:$E,5,0))),"Criar",IF(CK24="","",VLOOKUP(($BH24&amp;CK24&amp;"Template de desconto FLAT bundle - Velox XDSL - Varejo"),[7]BENEFICIOS!$A:$E,5,0)))</f>
        <v>MKT-1-9865694381</v>
      </c>
      <c r="CM24" s="68" t="s">
        <v>165</v>
      </c>
      <c r="CN24" s="69">
        <v>49.9</v>
      </c>
      <c r="CO24" s="64">
        <f>IF(CN24=0,"",IF(CN24=VLOOKUP("PCS-30712g",[7]ARBOR!$A:$C,3,0),0.0001,IF(CN24&gt;VLOOKUP("PCS-30712g",[7]ARBOR!$A:$C,3,0),"Maior que CAP!",IF((DOLLAR(CN24+(VLOOKUP("PCS-30712g",[7]ARBOR!$A:$C,3,0)*-TRUNC(CN24/VLOOKUP("PCS-30712g",[7]ARBOR!$A:$C,3,0)-1,4)),6))&lt;&gt;(DOLLAR(VLOOKUP("PCS-30712g",[7]ARBOR!$A:$C,3,0),6)),-TRUNC(CN24/VLOOKUP("PCS-30712g",[7]ARBOR!$A:$C,3,0)-1,4)+0.0001,-TRUNC(CN24/VLOOKUP("PCS-30712g",[7]ARBOR!$A:$C,3,0)-1,4)))))</f>
        <v>0.64459999999999995</v>
      </c>
      <c r="CP24" s="65" t="str">
        <f>IF(ISERROR(IF(CO24="","",VLOOKUP(($BH24&amp;CO24&amp;"Template de desconto FLAT bundle - Velox XDSL - Varejo"),[7]BENEFICIOS!$A:$E,5,0))),"Criar",IF(CO24="","",VLOOKUP(($BH24&amp;CO24&amp;"Template de desconto FLAT bundle - Velox XDSL - Varejo"),[7]BENEFICIOS!$A:$E,5,0)))</f>
        <v>MKT-1-9865191105</v>
      </c>
      <c r="CQ24" s="68" t="s">
        <v>165</v>
      </c>
      <c r="CR24" s="69">
        <v>59.9</v>
      </c>
      <c r="CS24" s="64">
        <f>IF(CR24=0,"",IF(CR24=VLOOKUP("PCS-30739g",[7]ARBOR!$A:$C,3,0),0.0001,IF(CR24&gt;VLOOKUP("PCS-30739g",[7]ARBOR!$A:$C,3,0),"Maior que CAP!",IF((DOLLAR(CR24+(VLOOKUP("PCS-30739g",[7]ARBOR!$A:$C,3,0)*-TRUNC(CR24/VLOOKUP("PCS-30739g",[7]ARBOR!$A:$C,3,0)-1,4)),6))&lt;&gt;(DOLLAR(VLOOKUP("PCS-30739g",[7]ARBOR!$A:$C,3,0),6)),-TRUNC(CR24/VLOOKUP("PCS-30739g",[7]ARBOR!$A:$C,3,0)-1,4)+0.0001,-TRUNC(CR24/VLOOKUP("PCS-30739g",[7]ARBOR!$A:$C,3,0)-1,4)))))</f>
        <v>0.71560000000000001</v>
      </c>
      <c r="CT24" s="65" t="str">
        <f>IF(ISERROR(IF(CS24="","",VLOOKUP(($BH24&amp;CS24&amp;"Template de desconto FLAT bundle - Velox XDSL - Varejo"),[7]BENEFICIOS!$A:$E,5,0))),"Criar",IF(CS24="","",VLOOKUP(($BH24&amp;CS24&amp;"Template de desconto FLAT bundle - Velox XDSL - Varejo"),[7]BENEFICIOS!$A:$E,5,0)))</f>
        <v>MKT-1-9865191198</v>
      </c>
      <c r="CU24" s="69"/>
      <c r="CV24" s="70"/>
      <c r="CW24" s="64"/>
      <c r="CX24" s="65"/>
      <c r="CY24" s="68" t="s">
        <v>165</v>
      </c>
      <c r="CZ24" s="69">
        <v>59.9</v>
      </c>
      <c r="DA24" s="64">
        <f>IF(CZ24=0,"",IF(CZ24=VLOOKUP("PCS-30766g",[7]ARBOR!$A:$C,3,0),0.0001,IF(CZ24&gt;VLOOKUP("PCS-30766g",[7]ARBOR!$A:$C,3,0),"Maior que CAP!",IF((DOLLAR(CZ24+(VLOOKUP("PCS-30766g",[7]ARBOR!$A:$C,3,0)*-TRUNC(CZ24/VLOOKUP("PCS-30766g",[7]ARBOR!$A:$C,3,0)-1,4)),6))&lt;&gt;(DOLLAR(VLOOKUP("PCS-30766g",[7]ARBOR!$A:$C,3,0),6)),-TRUNC(CZ24/VLOOKUP("PCS-30766g",[7]ARBOR!$A:$C,3,0)-1,4)+0.0001,-TRUNC(CZ24/VLOOKUP("PCS-30766g",[7]ARBOR!$A:$C,3,0)-1,4)))))</f>
        <v>0.78669999999999995</v>
      </c>
      <c r="DB24" s="65" t="str">
        <f>IF(ISERROR(IF(DA24="","",VLOOKUP(($BH24&amp;DA24&amp;"Template de desconto FLAT bundle - Velox XDSL - Varejo"),[7]BENEFICIOS!$A:$E,5,0))),"Criar",IF(DA24="","",VLOOKUP(($BH24&amp;DA24&amp;"Template de desconto FLAT bundle - Velox XDSL - Varejo"),[7]BENEFICIOS!$A:$E,5,0)))</f>
        <v>MKT-1-9865191291</v>
      </c>
      <c r="DC24" s="69"/>
      <c r="DD24" s="70"/>
      <c r="DE24" s="64"/>
      <c r="DF24" s="65"/>
      <c r="DG24" s="68" t="s">
        <v>244</v>
      </c>
      <c r="DH24" s="69">
        <v>69.900000000000006</v>
      </c>
      <c r="DI24" s="64">
        <f>IF(DH24=0,"",IF(DH24=VLOOKUP("PCS-30793g",[7]ARBOR!$A:$C,3,0),0.0001,IF(DH24&gt;VLOOKUP("PCS-30793g",[7]ARBOR!$A:$C,3,0),"Maior que CAP!",IF((DOLLAR(DH24+(VLOOKUP("PCS-30793g",[7]ARBOR!$A:$C,3,0)*-TRUNC(DH24/VLOOKUP("PCS-30793g",[7]ARBOR!$A:$C,3,0)-1,4)),6))&lt;&gt;(DOLLAR(VLOOKUP("PCS-30793g",[7]ARBOR!$A:$C,3,0),6)),-TRUNC(DH24/VLOOKUP("PCS-30793g",[7]ARBOR!$A:$C,3,0)-1,4)+0.0001,-TRUNC(DH24/VLOOKUP("PCS-30793g",[7]ARBOR!$A:$C,3,0)-1,4)))))</f>
        <v>0.75109999999999999</v>
      </c>
      <c r="DJ24" s="65" t="str">
        <f>IF(ISERROR(IF(DI24="","",VLOOKUP(($BH24&amp;DI24&amp;"Template de desconto FLAT bundle - Velox XDSL - Varejo"),[7]BENEFICIOS!$A:$E,5,0))),"Criar",IF(DI24="","",VLOOKUP(($BH24&amp;DI24&amp;"Template de desconto FLAT bundle - Velox XDSL - Varejo"),[7]BENEFICIOS!$A:$E,5,0)))</f>
        <v>MKT-1-9865191384</v>
      </c>
      <c r="DK24" s="69"/>
      <c r="DL24" s="70"/>
      <c r="DM24" s="64"/>
      <c r="DN24" s="65"/>
      <c r="DO24" s="68" t="s">
        <v>165</v>
      </c>
      <c r="DP24" s="69">
        <v>69.900000000000006</v>
      </c>
      <c r="DQ24" s="64">
        <f>IF(DP24=0,"",IF(DP24=VLOOKUP("PCS-30820g",[7]ARBOR!$A:$C,3,0),0.0001,IF(DP24&gt;VLOOKUP("PCS-30820g",[7]ARBOR!$A:$C,3,0),"Maior que CAP!",IF((DOLLAR(DP24+(VLOOKUP("PCS-30820g",[7]ARBOR!$A:$C,3,0)*-TRUNC(DP24/VLOOKUP("PCS-30820g",[7]ARBOR!$A:$C,3,0)-1,4)),6))&lt;&gt;(DOLLAR(VLOOKUP("PCS-30820g",[7]ARBOR!$A:$C,3,0),6)),-TRUNC(DP24/VLOOKUP("PCS-30820g",[7]ARBOR!$A:$C,3,0)-1,4)+0.0001,-TRUNC(DP24/VLOOKUP("PCS-30820g",[7]ARBOR!$A:$C,3,0)-1,4)))))</f>
        <v>0.75109999999999999</v>
      </c>
      <c r="DR24" s="65" t="str">
        <f>IF(ISERROR(IF(DQ24="","",VLOOKUP(($BH24&amp;DQ24&amp;"Template de desconto FLAT bundle - Velox XDSL - Varejo"),[7]BENEFICIOS!$A:$E,5,0))),"Criar",IF(DQ24="","",VLOOKUP(($BH24&amp;DQ24&amp;"Template de desconto FLAT bundle - Velox XDSL - Varejo"),[7]BENEFICIOS!$A:$E,5,0)))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IF(DW24=0,"",IF(DW24=VLOOKUP("PCS-21448p2",[7]ARBOR!$A:$C,3,0),0.0001,IF(DW24&gt;VLOOKUP("PCS-21448p2",[7]ARBOR!$A:$C,3,0),"Maior que CAP!",IF((DOLLAR(DW24+(VLOOKUP("PCS-21448p2",[7]ARBOR!$A:$C,3,0)*-TRUNC(DW24/VLOOKUP("PCS-21448p2",[7]ARBOR!$A:$C,3,0)-1,4)),6))&lt;&gt;(DOLLAR(VLOOKUP("PCS-21448p2",[7]ARBOR!$A:$C,3,0),6)),-TRUNC(DW24/VLOOKUP("PCS-21448p2",[7]ARBOR!$A:$C,3,0)-1,4)+0.0001,-TRUNC(DW24/VLOOKUP("PCS-21448p2",[7]ARBOR!$A:$C,3,0)-1,4)))))</f>
        <v/>
      </c>
      <c r="DY24" s="65" t="str">
        <f>IF(ISERROR(IF(DX24="","",VLOOKUP(("Oi Conta Total Plug 10GB Downgrade"&amp;DX24&amp;"Template de desconto percentual BL Móvel - Internet Total - Varejo"),[7]BENEFICIOS!$A:$E,5,0))),"Criar",IF(DX24="","",VLOOKUP(("Oi Conta Total Plug 10GB Downgrade"&amp;DX24&amp;"Template de desconto percentual BL Móvel - Internet Total - Varejo"),[7]BENEFICIOS!$A:$E,5,0)))</f>
        <v/>
      </c>
      <c r="DZ24" s="71">
        <v>19.899999999999999</v>
      </c>
      <c r="EA24" s="72">
        <f>IF(DZ24=0,"",IF(DZ24=VLOOKUP("SVA",[7]ARBOR!$A:$C,3,0),0.0001,IF(DZ24&gt;VLOOKUP("SVA",[7]ARBOR!$A:$C,3,0),"Maior que CAP!",IF((DOLLAR(DZ24+(VLOOKUP("SVA",[7]ARBOR!$A:$C,3,0)*-TRUNC(DZ24/VLOOKUP("SVA",[7]ARBOR!$A:$C,3,0)-1,4)),6))&lt;&gt;(DOLLAR(VLOOKUP("SVA",[7]ARBOR!$A:$C,3,0),6)),-TRUNC(DZ24/VLOOKUP("SVA",[7]ARBOR!$A:$C,3,0)-1,4)+0.0001,-TRUNC(DZ24/VLOOKUP("SVA",[7]ARBOR!$A:$C,3,0)-1,4)))))</f>
        <v>7.1400000000000005E-2</v>
      </c>
      <c r="EB24" s="65" t="s">
        <v>245</v>
      </c>
      <c r="EC24" s="69"/>
      <c r="ED24" s="73"/>
      <c r="EE24" s="74"/>
      <c r="EF24" s="65"/>
      <c r="EG24" s="75">
        <f>IF(BI24="","",VLOOKUP(BI24,[7]ARBOR!A:C,3,0))</f>
        <v>479.46</v>
      </c>
      <c r="EH24" s="69">
        <v>15</v>
      </c>
      <c r="EI24" s="76">
        <f>IF(EH24="","",1-(EH24/VLOOKUP(BI24&amp;"ASS",[7]ARBOR!A:C,3,0)))</f>
        <v>0.34725848563968664</v>
      </c>
      <c r="EJ24" s="77" t="s">
        <v>228</v>
      </c>
      <c r="EK24" s="78" t="s">
        <v>229</v>
      </c>
      <c r="EL24" s="69">
        <v>144.97999999999999</v>
      </c>
      <c r="EM24" s="64">
        <f>IF(EL24=0,"",IF(EL24=EG24,0.0001,ROUND(1-((EL24+(VLOOKUP(BI24&amp;"ASS",[7]ARBOR!A:C,3,0)-EH24))/EG24),4)))</f>
        <v>0.68100000000000005</v>
      </c>
      <c r="EN24" s="65" t="str">
        <f>IF(ISERROR(IF(EM24="","",VLOOKUP(($BH24&amp;EM24&amp;"Template de desconto percentual FLAT Móvel - Conta Total - Varejo - Ganho Tributário Cross"),[7]BENEFICIOS!$A:$E,5,0))),"Criar",IF(EM24="","",VLOOKUP(($BH24&amp;EM24&amp;"Template de desconto percentual FLAT Móvel - Conta Total - Varejo - Ganho Tributário Cross"),[7]BENEFICIOS!$A:$E,5,0)))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248</v>
      </c>
      <c r="EV24" s="81" t="s">
        <v>265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IF(FC24=0,"",IF(FC24=VLOOKUP("PCS-10357",[7]ARBOR!$A:$C,3,0),0.0001,IF(FC24&gt;VLOOKUP("PCS-10357",[7]ARBOR!$A:$C,3,0),"Maior que CAP!",ROUND(-1*(FC24/VLOOKUP("PCS-10357",[7]ARBOR!$A:$C,3,0)-1),4))))</f>
        <v/>
      </c>
      <c r="FE24" s="84" t="str">
        <f>IF(ISERROR(IF(FD24="","",VLOOKUP(("Oi Internet Pra Celular 1GB"&amp;FD24&amp;"Template Flat Instância Dados"),[7]BENEFICIOS!$A:$E,5,0))),"Criar",IF(FD24="","",VLOOKUP(("Oi Internet Pra Celular 1GB"&amp;FD24&amp;"Template Flat Instância Dados"),[7]BENEFICIOS!$A:$E,5,0)))</f>
        <v/>
      </c>
      <c r="FF24" s="82"/>
      <c r="FG24" s="83" t="str">
        <f>IF(FF24=0,"",IF(FF24=VLOOKUP("PCS-813565",[7]ARBOR!$A:$C,3,0),0.0001,IF(FF24&gt;VLOOKUP("PCS-813565",[7]ARBOR!$A:$C,3,0),"Maior que CAP!",ROUND(-1*(FF24/VLOOKUP("PCS-813565",[7]ARBOR!$A:$C,3,0)-1),4))))</f>
        <v/>
      </c>
      <c r="FH24" s="84" t="str">
        <f>IF(ISERROR(IF(FG24="","",VLOOKUP(("Oi Internet Pra Celular 2GB"&amp;FG24&amp;"Template Flat Instância Dados"),[7]BENEFICIOS!$A:$E,5,0))),"Criar",IF(FG24="","",VLOOKUP(("Oi Internet Pra Celular 2GB"&amp;FG24&amp;"Template Flat Instância Dados"),[7]BENEFICIOS!$A:$E,5,0)))</f>
        <v/>
      </c>
      <c r="FI24" s="82"/>
      <c r="FJ24" s="83" t="str">
        <f>IF(FI24=0,"",IF(FI24=VLOOKUP("PCS-7171B",[7]ARBOR!$A:$C,3,0),0.0001,IF(FI24&gt;VLOOKUP("PCS-7171B",[7]ARBOR!$A:$C,3,0),"Maior que CAP!",ROUND(-1*(FI24/VLOOKUP("PCS-7171B",[7]ARBOR!$A:$C,3,0)-1),4))))</f>
        <v/>
      </c>
      <c r="FK24" s="84" t="str">
        <f>IF(ISERROR(IF(FJ24="","",VLOOKUP(("Oi Internet Pra Celular 3GB"&amp;FJ24&amp;"Template Flat Instância Dados"),[7]BENEFICIOS!$A:$E,5,0))),"Criar",IF(FJ24="","",VLOOKUP(("Oi Internet Pra Celular 3GB"&amp;FJ24&amp;"Template Flat Instância Dados"),[7]BENEFICIOS!$A:$E,5,0)))</f>
        <v/>
      </c>
      <c r="FL24" s="82">
        <v>14.92</v>
      </c>
      <c r="FM24" s="83">
        <f>IF(FL24=0,"",IF(FL24=VLOOKUP("PCS-51793o08",[7]ARBOR!$A:$C,3,0),0.0001,IF(FL24&gt;VLOOKUP("PCS-51793o08",[7]ARBOR!$A:$C,3,0),"Maior que CAP!",ROUND(-1*(FL24/VLOOKUP("PCS-51793o08",[7]ARBOR!$A:$C,3,0)-1),4))))</f>
        <v>0.89500000000000002</v>
      </c>
      <c r="FN24" s="84" t="str">
        <f>IF(ISERROR(IF(FM24="","",VLOOKUP(("Oi Internet Pra Celular 5GB"&amp;FM24&amp;"Template Flat Instância Dados"),[7]BENEFICIOS!$A:$E,5,0))),"Criar",IF(FM24="","",VLOOKUP(("Oi Internet Pra Celular 5GB"&amp;FM24&amp;"Template Flat Instância Dados"),[7]BENEFICIOS!$A:$E,5,0)))</f>
        <v>MKT-1-9870312709</v>
      </c>
      <c r="FO24" s="82"/>
      <c r="FP24" s="83" t="str">
        <f>IF(FO24=0,"",IF(FO24=VLOOKUP("PCS-7171A",[7]ARBOR!$A:$C,3,0),0.0001,IF(FO24&gt;VLOOKUP("PCS-7171A",[7]ARBOR!$A:$C,3,0),"Maior que CAP!",ROUND(-1*(FO24/VLOOKUP("PCS-7171A",[7]ARBOR!$A:$C,3,0)-1),4))))</f>
        <v/>
      </c>
      <c r="FQ24" s="84" t="str">
        <f>IF(ISERROR(IF(FP24="","",VLOOKUP(("Oi Internet Pra Celular 10GB"&amp;FP24&amp;"Template Flat Instância Dados"),[7]BENEFICIOS!$A:$E,5,0))),"Criar",IF(FP24="","",VLOOKUP(("Oi Internet Pra Celular 10GB"&amp;FP24&amp;"Template Flat Instância Dados"),[7]BENEFICIOS!$A:$E,5,0)))</f>
        <v/>
      </c>
      <c r="FR24" s="85">
        <v>0.74260000000000004</v>
      </c>
      <c r="FS24" s="86" t="s">
        <v>266</v>
      </c>
      <c r="FT24" s="48"/>
      <c r="FU24" s="87"/>
      <c r="FV24" s="88" t="s">
        <v>225</v>
      </c>
      <c r="FW24" s="49" t="s">
        <v>230</v>
      </c>
      <c r="FX24" s="89">
        <v>999</v>
      </c>
      <c r="FY24" s="49">
        <v>12</v>
      </c>
      <c r="FZ24" s="90" t="s">
        <v>231</v>
      </c>
      <c r="GA24" s="91" t="str">
        <f t="shared" si="1"/>
        <v>PCS-Fk83324</v>
      </c>
      <c r="GB24" s="92" t="str">
        <f t="shared" si="2"/>
        <v>PCS-SBL553142</v>
      </c>
      <c r="GC24" s="93" t="s">
        <v>232</v>
      </c>
      <c r="GD24" s="90" t="s">
        <v>233</v>
      </c>
      <c r="GE24" s="92" t="s">
        <v>234</v>
      </c>
      <c r="GF24" s="93" t="s">
        <v>235</v>
      </c>
      <c r="GG24" s="90" t="s">
        <v>236</v>
      </c>
      <c r="GH24" s="92" t="s">
        <v>237</v>
      </c>
      <c r="GI24" s="94" t="s">
        <v>238</v>
      </c>
      <c r="GJ24" s="95">
        <f>FL24+EL24+CN24+BJ24</f>
        <v>259.89999999999998</v>
      </c>
      <c r="GK24" s="96"/>
      <c r="GL24" s="97" t="s">
        <v>239</v>
      </c>
      <c r="GM24" s="98" t="s">
        <v>276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295</v>
      </c>
      <c r="GX24" s="44" t="s">
        <v>242</v>
      </c>
    </row>
    <row r="25" spans="1:206" s="44" customFormat="1" x14ac:dyDescent="0.25">
      <c r="A25" s="44" t="str">
        <f t="shared" si="0"/>
        <v>Oi Total Fixo + Pós 800 + Banda LargaN210GBMG</v>
      </c>
      <c r="B25" s="45" t="s">
        <v>215</v>
      </c>
      <c r="C25" s="46" t="s">
        <v>131</v>
      </c>
      <c r="D25" s="46" t="s">
        <v>216</v>
      </c>
      <c r="E25" s="47" t="s">
        <v>217</v>
      </c>
      <c r="F25" s="88" t="s">
        <v>218</v>
      </c>
      <c r="G25" s="49"/>
      <c r="H25" s="49"/>
      <c r="I25" s="49"/>
      <c r="J25" s="49" t="s">
        <v>218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218</v>
      </c>
      <c r="AC25" s="49" t="s">
        <v>218</v>
      </c>
      <c r="AD25" s="49" t="s">
        <v>218</v>
      </c>
      <c r="AE25" s="49" t="s">
        <v>218</v>
      </c>
      <c r="AF25" s="49" t="s">
        <v>218</v>
      </c>
      <c r="AG25" s="49" t="s">
        <v>218</v>
      </c>
      <c r="AH25" s="50"/>
      <c r="AI25" s="49" t="s">
        <v>218</v>
      </c>
      <c r="AJ25" s="49" t="s">
        <v>218</v>
      </c>
      <c r="AK25" s="49" t="s">
        <v>218</v>
      </c>
      <c r="AL25" s="49" t="s">
        <v>218</v>
      </c>
      <c r="AM25" s="49" t="s">
        <v>218</v>
      </c>
      <c r="AN25" s="49" t="s">
        <v>218</v>
      </c>
      <c r="AO25" s="49" t="s">
        <v>218</v>
      </c>
      <c r="AP25" s="49"/>
      <c r="AQ25" s="51"/>
      <c r="AR25" s="52" t="s">
        <v>296</v>
      </c>
      <c r="AS25" s="46" t="s">
        <v>220</v>
      </c>
      <c r="AT25" s="53" t="s">
        <v>221</v>
      </c>
      <c r="AU25" s="54">
        <v>42972</v>
      </c>
      <c r="AV25" s="105">
        <v>43097</v>
      </c>
      <c r="AW25" s="56" t="s">
        <v>222</v>
      </c>
      <c r="AX25" s="57" t="s">
        <v>222</v>
      </c>
      <c r="AY25" s="58"/>
      <c r="AZ25" s="58" t="s">
        <v>223</v>
      </c>
      <c r="BA25" s="58">
        <v>20</v>
      </c>
      <c r="BB25" s="58">
        <v>10000</v>
      </c>
      <c r="BC25" s="59" t="s">
        <v>224</v>
      </c>
      <c r="BD25" s="60" t="s">
        <v>225</v>
      </c>
      <c r="BE25" s="58" t="s">
        <v>217</v>
      </c>
      <c r="BF25" s="51" t="s">
        <v>217</v>
      </c>
      <c r="BG25" s="45" t="s">
        <v>296</v>
      </c>
      <c r="BH25" s="61" t="s">
        <v>226</v>
      </c>
      <c r="BI25" s="62" t="str">
        <f>IF(ISERROR(VLOOKUP(BH25,[7]PLANOS!B:C,2,0)),"",VLOOKUP(BH25,[7]PLANOS!B:C,2,0))</f>
        <v>PCS-4P6pi</v>
      </c>
      <c r="BJ25" s="63">
        <v>50.1</v>
      </c>
      <c r="BK25" s="64">
        <f>IF(BJ25=0,"",IF(BJ25=VLOOKUP("FIXO",[7]ARBOR!$A:$C,3,0),0.0001,IF(BJ25&gt;VLOOKUP("FIXO",[7]ARBOR!$A:$C,3,0),"Maior que CAP!",IF((DOLLAR(BJ25+(VLOOKUP("FIXO",[7]ARBOR!$A:$C,3,0)*-TRUNC(BJ25/VLOOKUP("FIXO",[7]ARBOR!$A:$C,3,0)-1,4)),6))&lt;&gt;(DOLLAR(VLOOKUP("FIXO",[7]ARBOR!$A:$C,3,0),6)),-TRUNC(BJ25/VLOOKUP("FIXO",[7]ARBOR!$A:$C,3,0)-1,4)+0.0001,-TRUNC(BJ25/VLOOKUP("FIXO",[7]ARBOR!$A:$C,3,0)-1,4)))))</f>
        <v>0.33939999999999998</v>
      </c>
      <c r="BL25" s="65" t="str">
        <f>IF(ISERROR(IF(BK25="","",VLOOKUP(($BH25&amp;BK25&amp;"Template de desconto FLAT bundle - Fixo - Varejo - Ganho Tributário Cross"),[7]BENEFICIOS!$A:$E,5,0))),"Criar",IF(BK25="","",VLOOKUP(($BH25&amp;BK25&amp;"Template de desconto FLAT bundle - Fixo - Varejo - Ganho Tributário Cross"),[7]BENEFICIOS!$A:$E,5,0)))</f>
        <v>MKT-1-9856472058</v>
      </c>
      <c r="BM25" s="66"/>
      <c r="BN25" s="67"/>
      <c r="BO25" s="68" t="s">
        <v>165</v>
      </c>
      <c r="BP25" s="69">
        <v>44.9</v>
      </c>
      <c r="BQ25" s="64">
        <f>IF(BP25=0,"",IF(BP25=VLOOKUP("PCS-30874g",[7]ARBOR!$A:$C,3,0),0.0001,IF(BP25&gt;VLOOKUP("PCS-30874g",[7]ARBOR!$A:$C,3,0),"Maior que CAP!",IF((DOLLAR(BP25+(VLOOKUP("PCS-30874g",[7]ARBOR!$A:$C,3,0)*-TRUNC(BP25/VLOOKUP("PCS-30874g",[7]ARBOR!$A:$C,3,0)-1,4)),6))&lt;&gt;(DOLLAR(VLOOKUP("PCS-30874g",[7]ARBOR!$A:$C,3,0),6)),-TRUNC(BP25/VLOOKUP("PCS-30874g",[7]ARBOR!$A:$C,3,0)-1,4)+0.0001,-TRUNC(BP25/VLOOKUP("PCS-30874g",[7]ARBOR!$A:$C,3,0)-1,4)))))</f>
        <v>0.53679999999999994</v>
      </c>
      <c r="BR25" s="65" t="str">
        <f>IF(ISERROR(IF(BQ25="","",VLOOKUP(($BH25&amp;BQ25&amp;"Template de desconto FLAT bundle - Velox XDSL - Varejo"),[7]BENEFICIOS!$A:$E,5,0))),"Criar",IF(BQ25="","",VLOOKUP(($BH25&amp;BQ25&amp;"Template de desconto FLAT bundle - Velox XDSL - Varejo"),[7]BENEFICIOS!$A:$E,5,0)))</f>
        <v>MKT-1-9865126733</v>
      </c>
      <c r="BS25" s="68" t="s">
        <v>165</v>
      </c>
      <c r="BT25" s="69">
        <v>44.9</v>
      </c>
      <c r="BU25" s="64">
        <f>IF(BT25=0,"",IF(BT25=VLOOKUP("PCS-30577g",[7]ARBOR!$A:$C,3,0),0.0001,IF(BT25&gt;VLOOKUP("PCS-30577g",[7]ARBOR!$A:$C,3,0),"Maior que CAP!",IF((DOLLAR(BT25+(VLOOKUP("PCS-30577g",[7]ARBOR!$A:$C,3,0)*-TRUNC(BT25/VLOOKUP("PCS-30577g",[7]ARBOR!$A:$C,3,0)-1,4)),6))&lt;&gt;(DOLLAR(VLOOKUP("PCS-30577g",[7]ARBOR!$A:$C,3,0),6)),-TRUNC(BT25/VLOOKUP("PCS-30577g",[7]ARBOR!$A:$C,3,0)-1,4)+0.0001,-TRUNC(BT25/VLOOKUP("PCS-30577g",[7]ARBOR!$A:$C,3,0)-1,4)))))</f>
        <v>0.53679999999999994</v>
      </c>
      <c r="BV25" s="65" t="str">
        <f>IF(ISERROR(IF(BU25="","",VLOOKUP(($BH25&amp;BU25&amp;"Template de desconto FLAT bundle - Velox XDSL - Varejo"),[7]BENEFICIOS!$A:$E,5,0))),"Criar",IF(BU25="","",VLOOKUP(($BH25&amp;BU25&amp;"Template de desconto FLAT bundle - Velox XDSL - Varejo"),[7]BENEFICIOS!$A:$E,5,0)))</f>
        <v>MKT-1-9865126733</v>
      </c>
      <c r="BW25" s="68" t="s">
        <v>165</v>
      </c>
      <c r="BX25" s="69">
        <v>44.9</v>
      </c>
      <c r="BY25" s="64">
        <f>IF(BX25=0,"",IF(BX25=VLOOKUP("PCS-30604g",[7]ARBOR!$A:$C,3,0),0.0001,IF(BX25&gt;VLOOKUP("PCS-30604g",[7]ARBOR!$A:$C,3,0),"Maior que CAP!",IF((DOLLAR(BX25+(VLOOKUP("PCS-30604g",[7]ARBOR!$A:$C,3,0)*-TRUNC(BX25/VLOOKUP("PCS-30604g",[7]ARBOR!$A:$C,3,0)-1,4)),6))&lt;&gt;(DOLLAR(VLOOKUP("PCS-30604g",[7]ARBOR!$A:$C,3,0),6)),-TRUNC(BX25/VLOOKUP("PCS-30604g",[7]ARBOR!$A:$C,3,0)-1,4)+0.0001,-TRUNC(BX25/VLOOKUP("PCS-30604g",[7]ARBOR!$A:$C,3,0)-1,4)))))</f>
        <v>0.53679999999999994</v>
      </c>
      <c r="BZ25" s="65" t="str">
        <f>IF(ISERROR(IF(BY25="","",VLOOKUP(($BH25&amp;BY25&amp;"Template de desconto FLAT bundle - Velox XDSL - Varejo"),[7]BENEFICIOS!$A:$E,5,0))),"Criar",IF(BY25="","",VLOOKUP(($BH25&amp;BY25&amp;"Template de desconto FLAT bundle - Velox XDSL - Varejo"),[7]BENEFICIOS!$A:$E,5,0)))</f>
        <v>MKT-1-9865126733</v>
      </c>
      <c r="CA25" s="68" t="s">
        <v>165</v>
      </c>
      <c r="CB25" s="69">
        <v>44.9</v>
      </c>
      <c r="CC25" s="64">
        <f>IF(CB25=0,"",IF(CB25=VLOOKUP("PCS-30631g",[7]ARBOR!$A:$C,3,0),0.0001,IF(CB25&gt;VLOOKUP("PCS-30631g",[7]ARBOR!$A:$C,3,0),"Maior que CAP!",IF((DOLLAR(CB25+(VLOOKUP("PCS-30631g",[7]ARBOR!$A:$C,3,0)*-TRUNC(CB25/VLOOKUP("PCS-30631g",[7]ARBOR!$A:$C,3,0)-1,4)),6))&lt;&gt;(DOLLAR(VLOOKUP("PCS-30631g",[7]ARBOR!$A:$C,3,0),6)),-TRUNC(CB25/VLOOKUP("PCS-30631g",[7]ARBOR!$A:$C,3,0)-1,4)+0.0001,-TRUNC(CB25/VLOOKUP("PCS-30631g",[7]ARBOR!$A:$C,3,0)-1,4)))))</f>
        <v>0.54310000000000003</v>
      </c>
      <c r="CD25" s="65" t="str">
        <f>IF(ISERROR(IF(CC25="","",VLOOKUP(($BH25&amp;CC25&amp;"Template de desconto FLAT bundle - Velox XDSL - Varejo"),[7]BENEFICIOS!$A:$E,5,0))),"Criar",IF(CC25="","",VLOOKUP(($BH25&amp;CC25&amp;"Template de desconto FLAT bundle - Velox XDSL - Varejo"),[7]BENEFICIOS!$A:$E,5,0)))</f>
        <v>MKT-1-9865126826</v>
      </c>
      <c r="CE25" s="68"/>
      <c r="CF25" s="69"/>
      <c r="CG25" s="64" t="str">
        <f>IF(CF25=0,"",IF(CF25=VLOOKUP("PCS-30658g",[7]ARBOR!$A:$C,3,0),0.0001,IF(CF25&gt;VLOOKUP("PCS-30658g",[7]ARBOR!$A:$C,3,0),"Maior que CAP!",IF((DOLLAR(CF25+(VLOOKUP("PCS-30658g",[7]ARBOR!$A:$C,3,0)*-TRUNC(CF25/VLOOKUP("PCS-30658g",[7]ARBOR!$A:$C,3,0)-1,4)),6))&lt;&gt;(DOLLAR(VLOOKUP("PCS-30658g",[7]ARBOR!$A:$C,3,0),6)),-TRUNC(CF25/VLOOKUP("PCS-30658g",[7]ARBOR!$A:$C,3,0)-1,4)+0.0001,-TRUNC(CF25/VLOOKUP("PCS-30658g",[7]ARBOR!$A:$C,3,0)-1,4)))))</f>
        <v/>
      </c>
      <c r="CH25" s="65" t="str">
        <f>IF(ISERROR(IF(CG25="","",VLOOKUP(($BH25&amp;CG25&amp;"Template de desconto FLAT bundle - Velox XDSL - Varejo"),[7]BENEFICIOS!$A:$E,5,0))),"Criar",IF(CG25="","",VLOOKUP(($BH25&amp;CG25&amp;"Template de desconto FLAT bundle - Velox XDSL - Varejo"),[7]BENEFICIOS!$A:$E,5,0)))</f>
        <v/>
      </c>
      <c r="CI25" s="68"/>
      <c r="CJ25" s="69"/>
      <c r="CK25" s="64" t="str">
        <f>IF(CJ25=0,"",IF(CJ25=VLOOKUP("PCS-30685g",[7]ARBOR!$A:$C,3,0),0.0001,IF(CJ25&gt;VLOOKUP("PCS-30685g",[7]ARBOR!$A:$C,3,0),"Maior que CAP!",IF((DOLLAR(CJ25+(VLOOKUP("PCS-30685g",[7]ARBOR!$A:$C,3,0)*-TRUNC(CJ25/VLOOKUP("PCS-30685g",[7]ARBOR!$A:$C,3,0)-1,4)),6))&lt;&gt;(DOLLAR(VLOOKUP("PCS-30685g",[7]ARBOR!$A:$C,3,0),6)),-TRUNC(CJ25/VLOOKUP("PCS-30685g",[7]ARBOR!$A:$C,3,0)-1,4)+0.0001,-TRUNC(CJ25/VLOOKUP("PCS-30685g",[7]ARBOR!$A:$C,3,0)-1,4)))))</f>
        <v/>
      </c>
      <c r="CL25" s="65" t="str">
        <f>IF(ISERROR(IF(CK25="","",VLOOKUP(($BH25&amp;CK25&amp;"Template de desconto FLAT bundle - Velox XDSL - Varejo"),[7]BENEFICIOS!$A:$E,5,0))),"Criar",IF(CK25="","",VLOOKUP(($BH25&amp;CK25&amp;"Template de desconto FLAT bundle - Velox XDSL - Varejo"),[7]BENEFICIOS!$A:$E,5,0)))</f>
        <v/>
      </c>
      <c r="CM25" s="68"/>
      <c r="CN25" s="69"/>
      <c r="CO25" s="64" t="str">
        <f>IF(CN25=0,"",IF(CN25=VLOOKUP("PCS-30712g",[7]ARBOR!$A:$C,3,0),0.0001,IF(CN25&gt;VLOOKUP("PCS-30712g",[7]ARBOR!$A:$C,3,0),"Maior que CAP!",IF((DOLLAR(CN25+(VLOOKUP("PCS-30712g",[7]ARBOR!$A:$C,3,0)*-TRUNC(CN25/VLOOKUP("PCS-30712g",[7]ARBOR!$A:$C,3,0)-1,4)),6))&lt;&gt;(DOLLAR(VLOOKUP("PCS-30712g",[7]ARBOR!$A:$C,3,0),6)),-TRUNC(CN25/VLOOKUP("PCS-30712g",[7]ARBOR!$A:$C,3,0)-1,4)+0.0001,-TRUNC(CN25/VLOOKUP("PCS-30712g",[7]ARBOR!$A:$C,3,0)-1,4)))))</f>
        <v/>
      </c>
      <c r="CP25" s="65" t="str">
        <f>IF(ISERROR(IF(CO25="","",VLOOKUP(($BH25&amp;CO25&amp;"Template de desconto FLAT bundle - Velox XDSL - Varejo"),[7]BENEFICIOS!$A:$E,5,0))),"Criar",IF(CO25="","",VLOOKUP(($BH25&amp;CO25&amp;"Template de desconto FLAT bundle - Velox XDSL - Varejo"),[7]BENEFICIOS!$A:$E,5,0)))</f>
        <v/>
      </c>
      <c r="CQ25" s="68"/>
      <c r="CR25" s="69"/>
      <c r="CS25" s="64" t="str">
        <f>IF(CR25=0,"",IF(CR25=VLOOKUP("PCS-30739g",[7]ARBOR!$A:$C,3,0),0.0001,IF(CR25&gt;VLOOKUP("PCS-30739g",[7]ARBOR!$A:$C,3,0),"Maior que CAP!",IF((DOLLAR(CR25+(VLOOKUP("PCS-30739g",[7]ARBOR!$A:$C,3,0)*-TRUNC(CR25/VLOOKUP("PCS-30739g",[7]ARBOR!$A:$C,3,0)-1,4)),6))&lt;&gt;(DOLLAR(VLOOKUP("PCS-30739g",[7]ARBOR!$A:$C,3,0),6)),-TRUNC(CR25/VLOOKUP("PCS-30739g",[7]ARBOR!$A:$C,3,0)-1,4)+0.0001,-TRUNC(CR25/VLOOKUP("PCS-30739g",[7]ARBOR!$A:$C,3,0)-1,4)))))</f>
        <v/>
      </c>
      <c r="CT25" s="65" t="str">
        <f>IF(ISERROR(IF(CS25="","",VLOOKUP(($BH25&amp;CS25&amp;"Template de desconto FLAT bundle - Velox XDSL - Varejo"),[7]BENEFICIOS!$A:$E,5,0))),"Criar",IF(CS25="","",VLOOKUP(($BH25&amp;CS25&amp;"Template de desconto FLAT bundle - Velox XDSL - Varejo"),[7]BENEFICIOS!$A:$E,5,0)))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IF(CZ25=0,"",IF(CZ25=VLOOKUP("PCS-30766g",[7]ARBOR!$A:$C,3,0),0.0001,IF(CZ25&gt;VLOOKUP("PCS-30766g",[7]ARBOR!$A:$C,3,0),"Maior que CAP!",IF((DOLLAR(CZ25+(VLOOKUP("PCS-30766g",[7]ARBOR!$A:$C,3,0)*-TRUNC(CZ25/VLOOKUP("PCS-30766g",[7]ARBOR!$A:$C,3,0)-1,4)),6))&lt;&gt;(DOLLAR(VLOOKUP("PCS-30766g",[7]ARBOR!$A:$C,3,0),6)),-TRUNC(CZ25/VLOOKUP("PCS-30766g",[7]ARBOR!$A:$C,3,0)-1,4)+0.0001,-TRUNC(CZ25/VLOOKUP("PCS-30766g",[7]ARBOR!$A:$C,3,0)-1,4)))))</f>
        <v/>
      </c>
      <c r="DB25" s="65" t="str">
        <f>IF(ISERROR(IF(DA25="","",VLOOKUP(($BH25&amp;DA25&amp;"Template de desconto FLAT bundle - Velox XDSL - Varejo"),[7]BENEFICIOS!$A:$E,5,0))),"Criar",IF(DA25="","",VLOOKUP(($BH25&amp;DA25&amp;"Template de desconto FLAT bundle - Velox XDSL - Varejo"),[7]BENEFICIOS!$A:$E,5,0)))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IF(DH25=0,"",IF(DH25=VLOOKUP("PCS-30793g",[7]ARBOR!$A:$C,3,0),0.0001,IF(DH25&gt;VLOOKUP("PCS-30793g",[7]ARBOR!$A:$C,3,0),"Maior que CAP!",IF((DOLLAR(DH25+(VLOOKUP("PCS-30793g",[7]ARBOR!$A:$C,3,0)*-TRUNC(DH25/VLOOKUP("PCS-30793g",[7]ARBOR!$A:$C,3,0)-1,4)),6))&lt;&gt;(DOLLAR(VLOOKUP("PCS-30793g",[7]ARBOR!$A:$C,3,0),6)),-TRUNC(DH25/VLOOKUP("PCS-30793g",[7]ARBOR!$A:$C,3,0)-1,4)+0.0001,-TRUNC(DH25/VLOOKUP("PCS-30793g",[7]ARBOR!$A:$C,3,0)-1,4)))))</f>
        <v/>
      </c>
      <c r="DJ25" s="65" t="str">
        <f>IF(ISERROR(IF(DI25="","",VLOOKUP(($BH25&amp;DI25&amp;"Template de desconto FLAT bundle - Velox XDSL - Varejo"),[7]BENEFICIOS!$A:$E,5,0))),"Criar",IF(DI25="","",VLOOKUP(($BH25&amp;DI25&amp;"Template de desconto FLAT bundle - Velox XDSL - Varejo"),[7]BENEFICIOS!$A:$E,5,0)))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IF(DP25=0,"",IF(DP25=VLOOKUP("PCS-30820g",[7]ARBOR!$A:$C,3,0),0.0001,IF(DP25&gt;VLOOKUP("PCS-30820g",[7]ARBOR!$A:$C,3,0),"Maior que CAP!",IF((DOLLAR(DP25+(VLOOKUP("PCS-30820g",[7]ARBOR!$A:$C,3,0)*-TRUNC(DP25/VLOOKUP("PCS-30820g",[7]ARBOR!$A:$C,3,0)-1,4)),6))&lt;&gt;(DOLLAR(VLOOKUP("PCS-30820g",[7]ARBOR!$A:$C,3,0),6)),-TRUNC(DP25/VLOOKUP("PCS-30820g",[7]ARBOR!$A:$C,3,0)-1,4)+0.0001,-TRUNC(DP25/VLOOKUP("PCS-30820g",[7]ARBOR!$A:$C,3,0)-1,4)))))</f>
        <v/>
      </c>
      <c r="DR25" s="65" t="str">
        <f>IF(ISERROR(IF(DQ25="","",VLOOKUP(($BH25&amp;DQ25&amp;"Template de desconto FLAT bundle - Velox XDSL - Varejo"),[7]BENEFICIOS!$A:$E,5,0))),"Criar",IF(DQ25="","",VLOOKUP(($BH25&amp;DQ25&amp;"Template de desconto FLAT bundle - Velox XDSL - Varejo"),[7]BENEFICIOS!$A:$E,5,0)))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IF(DW25=0,"",IF(DW25=VLOOKUP("PCS-21448p2",[7]ARBOR!$A:$C,3,0),0.0001,IF(DW25&gt;VLOOKUP("PCS-21448p2",[7]ARBOR!$A:$C,3,0),"Maior que CAP!",IF((DOLLAR(DW25+(VLOOKUP("PCS-21448p2",[7]ARBOR!$A:$C,3,0)*-TRUNC(DW25/VLOOKUP("PCS-21448p2",[7]ARBOR!$A:$C,3,0)-1,4)),6))&lt;&gt;(DOLLAR(VLOOKUP("PCS-21448p2",[7]ARBOR!$A:$C,3,0),6)),-TRUNC(DW25/VLOOKUP("PCS-21448p2",[7]ARBOR!$A:$C,3,0)-1,4)+0.0001,-TRUNC(DW25/VLOOKUP("PCS-21448p2",[7]ARBOR!$A:$C,3,0)-1,4)))))</f>
        <v>0.64900000000000002</v>
      </c>
      <c r="DY25" s="65" t="str">
        <f>IF(ISERROR(IF(DX25="","",VLOOKUP(("Oi Conta Total Plug 10GB Downgrade"&amp;DX25&amp;"Template de desconto percentual BL Móvel - Internet Total - Varejo"),[7]BENEFICIOS!$A:$E,5,0))),"Criar",IF(DX25="","",VLOOKUP(("Oi Conta Total Plug 10GB Downgrade"&amp;DX25&amp;"Template de desconto percentual BL Móvel - Internet Total - Varejo"),[7]BENEFICIOS!$A:$E,5,0)))</f>
        <v>MKT-1-9825544790</v>
      </c>
      <c r="DZ25" s="71">
        <v>16.5</v>
      </c>
      <c r="EA25" s="72">
        <f>IF(DZ25=0,"",IF(DZ25=VLOOKUP("SVA",[7]ARBOR!$A:$C,3,0),0.0001,IF(DZ25&gt;VLOOKUP("SVA",[7]ARBOR!$A:$C,3,0),"Maior que CAP!",IF((DOLLAR(DZ25+(VLOOKUP("SVA",[7]ARBOR!$A:$C,3,0)*-TRUNC(DZ25/VLOOKUP("SVA",[7]ARBOR!$A:$C,3,0)-1,4)),6))&lt;&gt;(DOLLAR(VLOOKUP("SVA",[7]ARBOR!$A:$C,3,0),6)),-TRUNC(DZ25/VLOOKUP("SVA",[7]ARBOR!$A:$C,3,0)-1,4)+0.0001,-TRUNC(DZ25/VLOOKUP("SVA",[7]ARBOR!$A:$C,3,0)-1,4)))))</f>
        <v>0.2301</v>
      </c>
      <c r="EB25" s="65" t="s">
        <v>227</v>
      </c>
      <c r="EC25" s="69"/>
      <c r="ED25" s="73"/>
      <c r="EE25" s="74"/>
      <c r="EF25" s="65"/>
      <c r="EG25" s="75">
        <f>IF(BI25="","",VLOOKUP(BI25,[7]ARBOR!A:C,3,0))</f>
        <v>479.46</v>
      </c>
      <c r="EH25" s="69">
        <v>15</v>
      </c>
      <c r="EI25" s="76">
        <f>IF(EH25="","",1-(EH25/VLOOKUP(BI25&amp;"ASS",[7]ARBOR!A:C,3,0)))</f>
        <v>0.34725848563968664</v>
      </c>
      <c r="EJ25" s="77" t="s">
        <v>228</v>
      </c>
      <c r="EK25" s="78" t="s">
        <v>229</v>
      </c>
      <c r="EL25" s="69">
        <v>154.36999999999998</v>
      </c>
      <c r="EM25" s="64">
        <f>IF(EL25=0,"",IF(EL25=EG25,0.0001,ROUND(1-((EL25+(VLOOKUP(BI25&amp;"ASS",[7]ARBOR!A:C,3,0)-EH25))/EG25),4)))</f>
        <v>0.66139999999999999</v>
      </c>
      <c r="EN25" s="65" t="str">
        <f>IF(ISERROR(IF(EM25="","",VLOOKUP(($BH25&amp;EM25&amp;"Template de desconto percentual FLAT Móvel - Conta Total - Varejo - Ganho Tributário Cross"),[7]BENEFICIOS!$A:$E,5,0))),"Criar",IF(EM25="","",VLOOKUP(($BH25&amp;EM25&amp;"Template de desconto percentual FLAT Móvel - Conta Total - Varejo - Ganho Tributário Cross"),[7]BENEFICIOS!$A:$E,5,0)))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248</v>
      </c>
      <c r="EV25" s="81" t="s">
        <v>271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IF(FC25=0,"",IF(FC25=VLOOKUP("PCS-10357",[7]ARBOR!$A:$C,3,0),0.0001,IF(FC25&gt;VLOOKUP("PCS-10357",[7]ARBOR!$A:$C,3,0),"Maior que CAP!",ROUND(-1*(FC25/VLOOKUP("PCS-10357",[7]ARBOR!$A:$C,3,0)-1),4))))</f>
        <v/>
      </c>
      <c r="FE25" s="84" t="str">
        <f>IF(ISERROR(IF(FD25="","",VLOOKUP(("Oi Internet Pra Celular 1GB"&amp;FD25&amp;"Template Flat Instância Dados"),[7]BENEFICIOS!$A:$E,5,0))),"Criar",IF(FD25="","",VLOOKUP(("Oi Internet Pra Celular 1GB"&amp;FD25&amp;"Template Flat Instância Dados"),[7]BENEFICIOS!$A:$E,5,0)))</f>
        <v/>
      </c>
      <c r="FF25" s="82"/>
      <c r="FG25" s="83" t="str">
        <f>IF(FF25=0,"",IF(FF25=VLOOKUP("PCS-813565",[7]ARBOR!$A:$C,3,0),0.0001,IF(FF25&gt;VLOOKUP("PCS-813565",[7]ARBOR!$A:$C,3,0),"Maior que CAP!",ROUND(-1*(FF25/VLOOKUP("PCS-813565",[7]ARBOR!$A:$C,3,0)-1),4))))</f>
        <v/>
      </c>
      <c r="FH25" s="84" t="str">
        <f>IF(ISERROR(IF(FG25="","",VLOOKUP(("Oi Internet Pra Celular 2GB"&amp;FG25&amp;"Template Flat Instância Dados"),[7]BENEFICIOS!$A:$E,5,0))),"Criar",IF(FG25="","",VLOOKUP(("Oi Internet Pra Celular 2GB"&amp;FG25&amp;"Template Flat Instância Dados"),[7]BENEFICIOS!$A:$E,5,0)))</f>
        <v/>
      </c>
      <c r="FI25" s="82"/>
      <c r="FJ25" s="83" t="str">
        <f>IF(FI25=0,"",IF(FI25=VLOOKUP("PCS-7171B",[7]ARBOR!$A:$C,3,0),0.0001,IF(FI25&gt;VLOOKUP("PCS-7171B",[7]ARBOR!$A:$C,3,0),"Maior que CAP!",ROUND(-1*(FI25/VLOOKUP("PCS-7171B",[7]ARBOR!$A:$C,3,0)-1),4))))</f>
        <v/>
      </c>
      <c r="FK25" s="84" t="str">
        <f>IF(ISERROR(IF(FJ25="","",VLOOKUP(("Oi Internet Pra Celular 3GB"&amp;FJ25&amp;"Template Flat Instância Dados"),[7]BENEFICIOS!$A:$E,5,0))),"Criar",IF(FJ25="","",VLOOKUP(("Oi Internet Pra Celular 3GB"&amp;FJ25&amp;"Template Flat Instância Dados"),[7]BENEFICIOS!$A:$E,5,0)))</f>
        <v/>
      </c>
      <c r="FL25" s="82"/>
      <c r="FM25" s="83"/>
      <c r="FN25" s="84"/>
      <c r="FO25" s="82">
        <v>35.53</v>
      </c>
      <c r="FP25" s="83">
        <f>IF(FO25=0,"",IF(FO25=VLOOKUP("PCS-7171A",[7]ARBOR!$A:$C,3,0),0.0001,IF(FO25&gt;VLOOKUP("PCS-7171A",[7]ARBOR!$A:$C,3,0),"Maior que CAP!",ROUND(-1*(FO25/VLOOKUP("PCS-7171A",[7]ARBOR!$A:$C,3,0)-1),4))))</f>
        <v>0.81899999999999995</v>
      </c>
      <c r="FQ25" s="84" t="str">
        <f>IF(ISERROR(IF(FP25="","",VLOOKUP(("Oi Internet Pra Celular 10GB"&amp;FP25&amp;"Template Flat Instância Dados"),[7]BENEFICIOS!$A:$E,5,0))),"Criar",IF(FP25="","",VLOOKUP(("Oi Internet Pra Celular 10GB"&amp;FP25&amp;"Template Flat Instância Dados"),[7]BENEFICIOS!$A:$E,5,0)))</f>
        <v>MKT-1-9869971287</v>
      </c>
      <c r="FR25" s="85">
        <v>0.74260000000000004</v>
      </c>
      <c r="FS25" s="86" t="s">
        <v>266</v>
      </c>
      <c r="FT25" s="48"/>
      <c r="FU25" s="87"/>
      <c r="FV25" s="88" t="s">
        <v>225</v>
      </c>
      <c r="FW25" s="49" t="s">
        <v>230</v>
      </c>
      <c r="FX25" s="89">
        <v>999</v>
      </c>
      <c r="FY25" s="49">
        <v>12</v>
      </c>
      <c r="FZ25" s="90" t="s">
        <v>231</v>
      </c>
      <c r="GA25" s="91" t="str">
        <f t="shared" si="1"/>
        <v>PCS-Fk83324</v>
      </c>
      <c r="GB25" s="92" t="str">
        <f t="shared" si="2"/>
        <v>PCS-SBL553142</v>
      </c>
      <c r="GC25" s="93" t="s">
        <v>232</v>
      </c>
      <c r="GD25" s="90" t="s">
        <v>233</v>
      </c>
      <c r="GE25" s="92" t="s">
        <v>234</v>
      </c>
      <c r="GF25" s="93" t="s">
        <v>235</v>
      </c>
      <c r="GG25" s="90" t="s">
        <v>236</v>
      </c>
      <c r="GH25" s="92" t="s">
        <v>237</v>
      </c>
      <c r="GI25" s="94" t="s">
        <v>238</v>
      </c>
      <c r="GJ25" s="95">
        <f>FO25+EL25+DW25+BJ25</f>
        <v>284.89999999999998</v>
      </c>
      <c r="GK25" s="96"/>
      <c r="GL25" s="97" t="s">
        <v>239</v>
      </c>
      <c r="GM25" s="98" t="s">
        <v>276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297</v>
      </c>
      <c r="GX25" s="44" t="s">
        <v>242</v>
      </c>
    </row>
    <row r="26" spans="1:206" s="44" customFormat="1" x14ac:dyDescent="0.25">
      <c r="A26" s="44" t="str">
        <f t="shared" si="0"/>
        <v>Oi Total Fixo + Pós 800 + Banda LargaN210GBMG</v>
      </c>
      <c r="B26" s="45" t="s">
        <v>215</v>
      </c>
      <c r="C26" s="46" t="s">
        <v>131</v>
      </c>
      <c r="D26" s="46" t="s">
        <v>216</v>
      </c>
      <c r="E26" s="47" t="s">
        <v>217</v>
      </c>
      <c r="F26" s="88" t="s">
        <v>218</v>
      </c>
      <c r="G26" s="49"/>
      <c r="H26" s="49"/>
      <c r="I26" s="49"/>
      <c r="J26" s="49" t="s">
        <v>218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218</v>
      </c>
      <c r="AC26" s="49" t="s">
        <v>218</v>
      </c>
      <c r="AD26" s="49" t="s">
        <v>218</v>
      </c>
      <c r="AE26" s="49" t="s">
        <v>218</v>
      </c>
      <c r="AF26" s="49" t="s">
        <v>218</v>
      </c>
      <c r="AG26" s="49" t="s">
        <v>218</v>
      </c>
      <c r="AH26" s="50"/>
      <c r="AI26" s="49" t="s">
        <v>218</v>
      </c>
      <c r="AJ26" s="49" t="s">
        <v>218</v>
      </c>
      <c r="AK26" s="49" t="s">
        <v>218</v>
      </c>
      <c r="AL26" s="49" t="s">
        <v>218</v>
      </c>
      <c r="AM26" s="49" t="s">
        <v>218</v>
      </c>
      <c r="AN26" s="49" t="s">
        <v>218</v>
      </c>
      <c r="AO26" s="49" t="s">
        <v>218</v>
      </c>
      <c r="AP26" s="49"/>
      <c r="AQ26" s="51"/>
      <c r="AR26" s="52" t="s">
        <v>298</v>
      </c>
      <c r="AS26" s="46" t="s">
        <v>220</v>
      </c>
      <c r="AT26" s="53" t="s">
        <v>221</v>
      </c>
      <c r="AU26" s="54">
        <v>42972</v>
      </c>
      <c r="AV26" s="105">
        <v>43097</v>
      </c>
      <c r="AW26" s="56" t="s">
        <v>222</v>
      </c>
      <c r="AX26" s="57" t="s">
        <v>222</v>
      </c>
      <c r="AY26" s="58"/>
      <c r="AZ26" s="58" t="s">
        <v>223</v>
      </c>
      <c r="BA26" s="58">
        <v>20</v>
      </c>
      <c r="BB26" s="58">
        <v>10000</v>
      </c>
      <c r="BC26" s="59" t="s">
        <v>224</v>
      </c>
      <c r="BD26" s="60" t="s">
        <v>225</v>
      </c>
      <c r="BE26" s="58" t="s">
        <v>217</v>
      </c>
      <c r="BF26" s="51" t="s">
        <v>217</v>
      </c>
      <c r="BG26" s="45" t="s">
        <v>298</v>
      </c>
      <c r="BH26" s="61" t="s">
        <v>226</v>
      </c>
      <c r="BI26" s="62" t="str">
        <f>IF(ISERROR(VLOOKUP(BH26,[7]PLANOS!B:C,2,0)),"",VLOOKUP(BH26,[7]PLANOS!B:C,2,0))</f>
        <v>PCS-4P6pi</v>
      </c>
      <c r="BJ26" s="63">
        <v>50.1</v>
      </c>
      <c r="BK26" s="64">
        <f>IF(BJ26=0,"",IF(BJ26=VLOOKUP("FIXO",[7]ARBOR!$A:$C,3,0),0.0001,IF(BJ26&gt;VLOOKUP("FIXO",[7]ARBOR!$A:$C,3,0),"Maior que CAP!",IF((DOLLAR(BJ26+(VLOOKUP("FIXO",[7]ARBOR!$A:$C,3,0)*-TRUNC(BJ26/VLOOKUP("FIXO",[7]ARBOR!$A:$C,3,0)-1,4)),6))&lt;&gt;(DOLLAR(VLOOKUP("FIXO",[7]ARBOR!$A:$C,3,0),6)),-TRUNC(BJ26/VLOOKUP("FIXO",[7]ARBOR!$A:$C,3,0)-1,4)+0.0001,-TRUNC(BJ26/VLOOKUP("FIXO",[7]ARBOR!$A:$C,3,0)-1,4)))))</f>
        <v>0.33939999999999998</v>
      </c>
      <c r="BL26" s="65" t="str">
        <f>IF(ISERROR(IF(BK26="","",VLOOKUP(($BH26&amp;BK26&amp;"Template de desconto FLAT bundle - Fixo - Varejo - Ganho Tributário Cross"),[7]BENEFICIOS!$A:$E,5,0))),"Criar",IF(BK26="","",VLOOKUP(($BH26&amp;BK26&amp;"Template de desconto FLAT bundle - Fixo - Varejo - Ganho Tributário Cross"),[7]BENEFICIOS!$A:$E,5,0)))</f>
        <v>MKT-1-9856472058</v>
      </c>
      <c r="BM26" s="66"/>
      <c r="BN26" s="67"/>
      <c r="BO26" s="104" t="s">
        <v>244</v>
      </c>
      <c r="BP26" s="69">
        <v>44.9</v>
      </c>
      <c r="BQ26" s="64">
        <f>IF(BP26=0,"",IF(BP26=VLOOKUP("PCS-30874g",[7]ARBOR!$A:$C,3,0),0.0001,IF(BP26&gt;VLOOKUP("PCS-30874g",[7]ARBOR!$A:$C,3,0),"Maior que CAP!",IF((DOLLAR(BP26+(VLOOKUP("PCS-30874g",[7]ARBOR!$A:$C,3,0)*-TRUNC(BP26/VLOOKUP("PCS-30874g",[7]ARBOR!$A:$C,3,0)-1,4)),6))&lt;&gt;(DOLLAR(VLOOKUP("PCS-30874g",[7]ARBOR!$A:$C,3,0),6)),-TRUNC(BP26/VLOOKUP("PCS-30874g",[7]ARBOR!$A:$C,3,0)-1,4)+0.0001,-TRUNC(BP26/VLOOKUP("PCS-30874g",[7]ARBOR!$A:$C,3,0)-1,4)))))</f>
        <v>0.53679999999999994</v>
      </c>
      <c r="BR26" s="65" t="str">
        <f>IF(ISERROR(IF(BQ26="","",VLOOKUP(($BH26&amp;BQ26&amp;"Template de desconto FLAT bundle - Velox XDSL - Varejo"),[7]BENEFICIOS!$A:$E,5,0))),"Criar",IF(BQ26="","",VLOOKUP(($BH26&amp;BQ26&amp;"Template de desconto FLAT bundle - Velox XDSL - Varejo"),[7]BENEFICIOS!$A:$E,5,0)))</f>
        <v>MKT-1-9865126733</v>
      </c>
      <c r="BS26" s="104" t="s">
        <v>244</v>
      </c>
      <c r="BT26" s="69">
        <v>44.9</v>
      </c>
      <c r="BU26" s="64">
        <f>IF(BT26=0,"",IF(BT26=VLOOKUP("PCS-30577g",[7]ARBOR!$A:$C,3,0),0.0001,IF(BT26&gt;VLOOKUP("PCS-30577g",[7]ARBOR!$A:$C,3,0),"Maior que CAP!",IF((DOLLAR(BT26+(VLOOKUP("PCS-30577g",[7]ARBOR!$A:$C,3,0)*-TRUNC(BT26/VLOOKUP("PCS-30577g",[7]ARBOR!$A:$C,3,0)-1,4)),6))&lt;&gt;(DOLLAR(VLOOKUP("PCS-30577g",[7]ARBOR!$A:$C,3,0),6)),-TRUNC(BT26/VLOOKUP("PCS-30577g",[7]ARBOR!$A:$C,3,0)-1,4)+0.0001,-TRUNC(BT26/VLOOKUP("PCS-30577g",[7]ARBOR!$A:$C,3,0)-1,4)))))</f>
        <v>0.53679999999999994</v>
      </c>
      <c r="BV26" s="65" t="str">
        <f>IF(ISERROR(IF(BU26="","",VLOOKUP(($BH26&amp;BU26&amp;"Template de desconto FLAT bundle - Velox XDSL - Varejo"),[7]BENEFICIOS!$A:$E,5,0))),"Criar",IF(BU26="","",VLOOKUP(($BH26&amp;BU26&amp;"Template de desconto FLAT bundle - Velox XDSL - Varejo"),[7]BENEFICIOS!$A:$E,5,0)))</f>
        <v>MKT-1-9865126733</v>
      </c>
      <c r="BW26" s="104" t="s">
        <v>244</v>
      </c>
      <c r="BX26" s="69">
        <v>44.9</v>
      </c>
      <c r="BY26" s="64">
        <f>IF(BX26=0,"",IF(BX26=VLOOKUP("PCS-30604g",[7]ARBOR!$A:$C,3,0),0.0001,IF(BX26&gt;VLOOKUP("PCS-30604g",[7]ARBOR!$A:$C,3,0),"Maior que CAP!",IF((DOLLAR(BX26+(VLOOKUP("PCS-30604g",[7]ARBOR!$A:$C,3,0)*-TRUNC(BX26/VLOOKUP("PCS-30604g",[7]ARBOR!$A:$C,3,0)-1,4)),6))&lt;&gt;(DOLLAR(VLOOKUP("PCS-30604g",[7]ARBOR!$A:$C,3,0),6)),-TRUNC(BX26/VLOOKUP("PCS-30604g",[7]ARBOR!$A:$C,3,0)-1,4)+0.0001,-TRUNC(BX26/VLOOKUP("PCS-30604g",[7]ARBOR!$A:$C,3,0)-1,4)))))</f>
        <v>0.53679999999999994</v>
      </c>
      <c r="BZ26" s="65" t="str">
        <f>IF(ISERROR(IF(BY26="","",VLOOKUP(($BH26&amp;BY26&amp;"Template de desconto FLAT bundle - Velox XDSL - Varejo"),[7]BENEFICIOS!$A:$E,5,0))),"Criar",IF(BY26="","",VLOOKUP(($BH26&amp;BY26&amp;"Template de desconto FLAT bundle - Velox XDSL - Varejo"),[7]BENEFICIOS!$A:$E,5,0)))</f>
        <v>MKT-1-9865126733</v>
      </c>
      <c r="CA26" s="104" t="s">
        <v>244</v>
      </c>
      <c r="CB26" s="69">
        <v>44.9</v>
      </c>
      <c r="CC26" s="64">
        <f>IF(CB26=0,"",IF(CB26=VLOOKUP("PCS-30631g",[7]ARBOR!$A:$C,3,0),0.0001,IF(CB26&gt;VLOOKUP("PCS-30631g",[7]ARBOR!$A:$C,3,0),"Maior que CAP!",IF((DOLLAR(CB26+(VLOOKUP("PCS-30631g",[7]ARBOR!$A:$C,3,0)*-TRUNC(CB26/VLOOKUP("PCS-30631g",[7]ARBOR!$A:$C,3,0)-1,4)),6))&lt;&gt;(DOLLAR(VLOOKUP("PCS-30631g",[7]ARBOR!$A:$C,3,0),6)),-TRUNC(CB26/VLOOKUP("PCS-30631g",[7]ARBOR!$A:$C,3,0)-1,4)+0.0001,-TRUNC(CB26/VLOOKUP("PCS-30631g",[7]ARBOR!$A:$C,3,0)-1,4)))))</f>
        <v>0.54310000000000003</v>
      </c>
      <c r="CD26" s="65" t="str">
        <f>IF(ISERROR(IF(CC26="","",VLOOKUP(($BH26&amp;CC26&amp;"Template de desconto FLAT bundle - Velox XDSL - Varejo"),[7]BENEFICIOS!$A:$E,5,0))),"Criar",IF(CC26="","",VLOOKUP(($BH26&amp;CC26&amp;"Template de desconto FLAT bundle - Velox XDSL - Varejo"),[7]BENEFICIOS!$A:$E,5,0)))</f>
        <v>MKT-1-9865126826</v>
      </c>
      <c r="CE26" s="68" t="s">
        <v>165</v>
      </c>
      <c r="CF26" s="69">
        <v>49.9</v>
      </c>
      <c r="CG26" s="64">
        <f>IF(CF26=0,"",IF(CF26=VLOOKUP("PCS-30658g",[7]ARBOR!$A:$C,3,0),0.0001,IF(CF26&gt;VLOOKUP("PCS-30658g",[7]ARBOR!$A:$C,3,0),"Maior que CAP!",IF((DOLLAR(CF26+(VLOOKUP("PCS-30658g",[7]ARBOR!$A:$C,3,0)*-TRUNC(CF26/VLOOKUP("PCS-30658g",[7]ARBOR!$A:$C,3,0)-1,4)),6))&lt;&gt;(DOLLAR(VLOOKUP("PCS-30658g",[7]ARBOR!$A:$C,3,0),6)),-TRUNC(CF26/VLOOKUP("PCS-30658g",[7]ARBOR!$A:$C,3,0)-1,4)+0.0001,-TRUNC(CF26/VLOOKUP("PCS-30658g",[7]ARBOR!$A:$C,3,0)-1,4)))))</f>
        <v>0.55569999999999997</v>
      </c>
      <c r="CH26" s="65" t="str">
        <f>IF(ISERROR(IF(CG26="","",VLOOKUP(($BH26&amp;CG26&amp;"Template de desconto FLAT bundle - Velox XDSL - Varejo"),[7]BENEFICIOS!$A:$E,5,0))),"Criar",IF(CG26="","",VLOOKUP(($BH26&amp;CG26&amp;"Template de desconto FLAT bundle - Velox XDSL - Varejo"),[7]BENEFICIOS!$A:$E,5,0)))</f>
        <v>MKT-1-9865126919</v>
      </c>
      <c r="CI26" s="68" t="s">
        <v>165</v>
      </c>
      <c r="CJ26" s="69">
        <v>49.9</v>
      </c>
      <c r="CK26" s="64">
        <f>IF(CJ26=0,"",IF(CJ26=VLOOKUP("PCS-30685g",[7]ARBOR!$A:$C,3,0),0.0001,IF(CJ26&gt;VLOOKUP("PCS-30685g",[7]ARBOR!$A:$C,3,0),"Maior que CAP!",IF((DOLLAR(CJ26+(VLOOKUP("PCS-30685g",[7]ARBOR!$A:$C,3,0)*-TRUNC(CJ26/VLOOKUP("PCS-30685g",[7]ARBOR!$A:$C,3,0)-1,4)),6))&lt;&gt;(DOLLAR(VLOOKUP("PCS-30685g",[7]ARBOR!$A:$C,3,0),6)),-TRUNC(CJ26/VLOOKUP("PCS-30685g",[7]ARBOR!$A:$C,3,0)-1,4)+0.0001,-TRUNC(CJ26/VLOOKUP("PCS-30685g",[7]ARBOR!$A:$C,3,0)-1,4)))))</f>
        <v>0.60509999999999997</v>
      </c>
      <c r="CL26" s="65" t="str">
        <f>IF(ISERROR(IF(CK26="","",VLOOKUP(($BH26&amp;CK26&amp;"Template de desconto FLAT bundle - Velox XDSL - Varejo"),[7]BENEFICIOS!$A:$E,5,0))),"Criar",IF(CK26="","",VLOOKUP(($BH26&amp;CK26&amp;"Template de desconto FLAT bundle - Velox XDSL - Varejo"),[7]BENEFICIOS!$A:$E,5,0)))</f>
        <v>MKT-1-9865694381</v>
      </c>
      <c r="CM26" s="68" t="s">
        <v>165</v>
      </c>
      <c r="CN26" s="69">
        <v>49.9</v>
      </c>
      <c r="CO26" s="64">
        <f>IF(CN26=0,"",IF(CN26=VLOOKUP("PCS-30712g",[7]ARBOR!$A:$C,3,0),0.0001,IF(CN26&gt;VLOOKUP("PCS-30712g",[7]ARBOR!$A:$C,3,0),"Maior que CAP!",IF((DOLLAR(CN26+(VLOOKUP("PCS-30712g",[7]ARBOR!$A:$C,3,0)*-TRUNC(CN26/VLOOKUP("PCS-30712g",[7]ARBOR!$A:$C,3,0)-1,4)),6))&lt;&gt;(DOLLAR(VLOOKUP("PCS-30712g",[7]ARBOR!$A:$C,3,0),6)),-TRUNC(CN26/VLOOKUP("PCS-30712g",[7]ARBOR!$A:$C,3,0)-1,4)+0.0001,-TRUNC(CN26/VLOOKUP("PCS-30712g",[7]ARBOR!$A:$C,3,0)-1,4)))))</f>
        <v>0.64459999999999995</v>
      </c>
      <c r="CP26" s="65" t="str">
        <f>IF(ISERROR(IF(CO26="","",VLOOKUP(($BH26&amp;CO26&amp;"Template de desconto FLAT bundle - Velox XDSL - Varejo"),[7]BENEFICIOS!$A:$E,5,0))),"Criar",IF(CO26="","",VLOOKUP(($BH26&amp;CO26&amp;"Template de desconto FLAT bundle - Velox XDSL - Varejo"),[7]BENEFICIOS!$A:$E,5,0)))</f>
        <v>MKT-1-9865191105</v>
      </c>
      <c r="CQ26" s="68" t="s">
        <v>165</v>
      </c>
      <c r="CR26" s="69">
        <v>59.9</v>
      </c>
      <c r="CS26" s="64">
        <f>IF(CR26=0,"",IF(CR26=VLOOKUP("PCS-30739g",[7]ARBOR!$A:$C,3,0),0.0001,IF(CR26&gt;VLOOKUP("PCS-30739g",[7]ARBOR!$A:$C,3,0),"Maior que CAP!",IF((DOLLAR(CR26+(VLOOKUP("PCS-30739g",[7]ARBOR!$A:$C,3,0)*-TRUNC(CR26/VLOOKUP("PCS-30739g",[7]ARBOR!$A:$C,3,0)-1,4)),6))&lt;&gt;(DOLLAR(VLOOKUP("PCS-30739g",[7]ARBOR!$A:$C,3,0),6)),-TRUNC(CR26/VLOOKUP("PCS-30739g",[7]ARBOR!$A:$C,3,0)-1,4)+0.0001,-TRUNC(CR26/VLOOKUP("PCS-30739g",[7]ARBOR!$A:$C,3,0)-1,4)))))</f>
        <v>0.71560000000000001</v>
      </c>
      <c r="CT26" s="65" t="str">
        <f>IF(ISERROR(IF(CS26="","",VLOOKUP(($BH26&amp;CS26&amp;"Template de desconto FLAT bundle - Velox XDSL - Varejo"),[7]BENEFICIOS!$A:$E,5,0))),"Criar",IF(CS26="","",VLOOKUP(($BH26&amp;CS26&amp;"Template de desconto FLAT bundle - Velox XDSL - Varejo"),[7]BENEFICIOS!$A:$E,5,0)))</f>
        <v>MKT-1-9865191198</v>
      </c>
      <c r="CU26" s="69"/>
      <c r="CV26" s="70"/>
      <c r="CW26" s="64"/>
      <c r="CX26" s="65"/>
      <c r="CY26" s="68" t="s">
        <v>165</v>
      </c>
      <c r="CZ26" s="69">
        <v>59.9</v>
      </c>
      <c r="DA26" s="64">
        <f>IF(CZ26=0,"",IF(CZ26=VLOOKUP("PCS-30766g",[7]ARBOR!$A:$C,3,0),0.0001,IF(CZ26&gt;VLOOKUP("PCS-30766g",[7]ARBOR!$A:$C,3,0),"Maior que CAP!",IF((DOLLAR(CZ26+(VLOOKUP("PCS-30766g",[7]ARBOR!$A:$C,3,0)*-TRUNC(CZ26/VLOOKUP("PCS-30766g",[7]ARBOR!$A:$C,3,0)-1,4)),6))&lt;&gt;(DOLLAR(VLOOKUP("PCS-30766g",[7]ARBOR!$A:$C,3,0),6)),-TRUNC(CZ26/VLOOKUP("PCS-30766g",[7]ARBOR!$A:$C,3,0)-1,4)+0.0001,-TRUNC(CZ26/VLOOKUP("PCS-30766g",[7]ARBOR!$A:$C,3,0)-1,4)))))</f>
        <v>0.78669999999999995</v>
      </c>
      <c r="DB26" s="65" t="str">
        <f>IF(ISERROR(IF(DA26="","",VLOOKUP(($BH26&amp;DA26&amp;"Template de desconto FLAT bundle - Velox XDSL - Varejo"),[7]BENEFICIOS!$A:$E,5,0))),"Criar",IF(DA26="","",VLOOKUP(($BH26&amp;DA26&amp;"Template de desconto FLAT bundle - Velox XDSL - Varejo"),[7]BENEFICIOS!$A:$E,5,0)))</f>
        <v>MKT-1-9865191291</v>
      </c>
      <c r="DC26" s="69"/>
      <c r="DD26" s="70"/>
      <c r="DE26" s="64"/>
      <c r="DF26" s="65"/>
      <c r="DG26" s="68" t="s">
        <v>244</v>
      </c>
      <c r="DH26" s="69">
        <v>69.900000000000006</v>
      </c>
      <c r="DI26" s="64">
        <f>IF(DH26=0,"",IF(DH26=VLOOKUP("PCS-30793g",[7]ARBOR!$A:$C,3,0),0.0001,IF(DH26&gt;VLOOKUP("PCS-30793g",[7]ARBOR!$A:$C,3,0),"Maior que CAP!",IF((DOLLAR(DH26+(VLOOKUP("PCS-30793g",[7]ARBOR!$A:$C,3,0)*-TRUNC(DH26/VLOOKUP("PCS-30793g",[7]ARBOR!$A:$C,3,0)-1,4)),6))&lt;&gt;(DOLLAR(VLOOKUP("PCS-30793g",[7]ARBOR!$A:$C,3,0),6)),-TRUNC(DH26/VLOOKUP("PCS-30793g",[7]ARBOR!$A:$C,3,0)-1,4)+0.0001,-TRUNC(DH26/VLOOKUP("PCS-30793g",[7]ARBOR!$A:$C,3,0)-1,4)))))</f>
        <v>0.75109999999999999</v>
      </c>
      <c r="DJ26" s="65" t="str">
        <f>IF(ISERROR(IF(DI26="","",VLOOKUP(($BH26&amp;DI26&amp;"Template de desconto FLAT bundle - Velox XDSL - Varejo"),[7]BENEFICIOS!$A:$E,5,0))),"Criar",IF(DI26="","",VLOOKUP(($BH26&amp;DI26&amp;"Template de desconto FLAT bundle - Velox XDSL - Varejo"),[7]BENEFICIOS!$A:$E,5,0)))</f>
        <v>MKT-1-9865191384</v>
      </c>
      <c r="DK26" s="69"/>
      <c r="DL26" s="70"/>
      <c r="DM26" s="64"/>
      <c r="DN26" s="65"/>
      <c r="DO26" s="68" t="s">
        <v>165</v>
      </c>
      <c r="DP26" s="69">
        <v>69.900000000000006</v>
      </c>
      <c r="DQ26" s="64">
        <f>IF(DP26=0,"",IF(DP26=VLOOKUP("PCS-30820g",[7]ARBOR!$A:$C,3,0),0.0001,IF(DP26&gt;VLOOKUP("PCS-30820g",[7]ARBOR!$A:$C,3,0),"Maior que CAP!",IF((DOLLAR(DP26+(VLOOKUP("PCS-30820g",[7]ARBOR!$A:$C,3,0)*-TRUNC(DP26/VLOOKUP("PCS-30820g",[7]ARBOR!$A:$C,3,0)-1,4)),6))&lt;&gt;(DOLLAR(VLOOKUP("PCS-30820g",[7]ARBOR!$A:$C,3,0),6)),-TRUNC(DP26/VLOOKUP("PCS-30820g",[7]ARBOR!$A:$C,3,0)-1,4)+0.0001,-TRUNC(DP26/VLOOKUP("PCS-30820g",[7]ARBOR!$A:$C,3,0)-1,4)))))</f>
        <v>0.75109999999999999</v>
      </c>
      <c r="DR26" s="65" t="str">
        <f>IF(ISERROR(IF(DQ26="","",VLOOKUP(($BH26&amp;DQ26&amp;"Template de desconto FLAT bundle - Velox XDSL - Varejo"),[7]BENEFICIOS!$A:$E,5,0))),"Criar",IF(DQ26="","",VLOOKUP(($BH26&amp;DQ26&amp;"Template de desconto FLAT bundle - Velox XDSL - Varejo"),[7]BENEFICIOS!$A:$E,5,0)))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IF(DW26=0,"",IF(DW26=VLOOKUP("PCS-21448p2",[7]ARBOR!$A:$C,3,0),0.0001,IF(DW26&gt;VLOOKUP("PCS-21448p2",[7]ARBOR!$A:$C,3,0),"Maior que CAP!",IF((DOLLAR(DW26+(VLOOKUP("PCS-21448p2",[7]ARBOR!$A:$C,3,0)*-TRUNC(DW26/VLOOKUP("PCS-21448p2",[7]ARBOR!$A:$C,3,0)-1,4)),6))&lt;&gt;(DOLLAR(VLOOKUP("PCS-21448p2",[7]ARBOR!$A:$C,3,0),6)),-TRUNC(DW26/VLOOKUP("PCS-21448p2",[7]ARBOR!$A:$C,3,0)-1,4)+0.0001,-TRUNC(DW26/VLOOKUP("PCS-21448p2",[7]ARBOR!$A:$C,3,0)-1,4)))))</f>
        <v/>
      </c>
      <c r="DY26" s="65" t="str">
        <f>IF(ISERROR(IF(DX26="","",VLOOKUP(("Oi Conta Total Plug 10GB Downgrade"&amp;DX26&amp;"Template de desconto percentual BL Móvel - Internet Total - Varejo"),[7]BENEFICIOS!$A:$E,5,0))),"Criar",IF(DX26="","",VLOOKUP(("Oi Conta Total Plug 10GB Downgrade"&amp;DX26&amp;"Template de desconto percentual BL Móvel - Internet Total - Varejo"),[7]BENEFICIOS!$A:$E,5,0)))</f>
        <v/>
      </c>
      <c r="DZ26" s="71">
        <v>19.899999999999999</v>
      </c>
      <c r="EA26" s="72">
        <f>IF(DZ26=0,"",IF(DZ26=VLOOKUP("SVA",[7]ARBOR!$A:$C,3,0),0.0001,IF(DZ26&gt;VLOOKUP("SVA",[7]ARBOR!$A:$C,3,0),"Maior que CAP!",IF((DOLLAR(DZ26+(VLOOKUP("SVA",[7]ARBOR!$A:$C,3,0)*-TRUNC(DZ26/VLOOKUP("SVA",[7]ARBOR!$A:$C,3,0)-1,4)),6))&lt;&gt;(DOLLAR(VLOOKUP("SVA",[7]ARBOR!$A:$C,3,0),6)),-TRUNC(DZ26/VLOOKUP("SVA",[7]ARBOR!$A:$C,3,0)-1,4)+0.0001,-TRUNC(DZ26/VLOOKUP("SVA",[7]ARBOR!$A:$C,3,0)-1,4)))))</f>
        <v>7.1400000000000005E-2</v>
      </c>
      <c r="EB26" s="65" t="s">
        <v>245</v>
      </c>
      <c r="EC26" s="69"/>
      <c r="ED26" s="73"/>
      <c r="EE26" s="74"/>
      <c r="EF26" s="65"/>
      <c r="EG26" s="75">
        <f>IF(BI26="","",VLOOKUP(BI26,[7]ARBOR!A:C,3,0))</f>
        <v>479.46</v>
      </c>
      <c r="EH26" s="69">
        <v>15</v>
      </c>
      <c r="EI26" s="76">
        <f>IF(EH26="","",1-(EH26/VLOOKUP(BI26&amp;"ASS",[7]ARBOR!A:C,3,0)))</f>
        <v>0.34725848563968664</v>
      </c>
      <c r="EJ26" s="77" t="s">
        <v>228</v>
      </c>
      <c r="EK26" s="78" t="s">
        <v>229</v>
      </c>
      <c r="EL26" s="69">
        <v>154.36999999999998</v>
      </c>
      <c r="EM26" s="64">
        <f>IF(EL26=0,"",IF(EL26=EG26,0.0001,ROUND(1-((EL26+(VLOOKUP(BI26&amp;"ASS",[7]ARBOR!A:C,3,0)-EH26))/EG26),4)))</f>
        <v>0.66139999999999999</v>
      </c>
      <c r="EN26" s="65" t="str">
        <f>IF(ISERROR(IF(EM26="","",VLOOKUP(($BH26&amp;EM26&amp;"Template de desconto percentual FLAT Móvel - Conta Total - Varejo - Ganho Tributário Cross"),[7]BENEFICIOS!$A:$E,5,0))),"Criar",IF(EM26="","",VLOOKUP(($BH26&amp;EM26&amp;"Template de desconto percentual FLAT Móvel - Conta Total - Varejo - Ganho Tributário Cross"),[7]BENEFICIOS!$A:$E,5,0)))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248</v>
      </c>
      <c r="EV26" s="81" t="s">
        <v>271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IF(FC26=0,"",IF(FC26=VLOOKUP("PCS-10357",[7]ARBOR!$A:$C,3,0),0.0001,IF(FC26&gt;VLOOKUP("PCS-10357",[7]ARBOR!$A:$C,3,0),"Maior que CAP!",ROUND(-1*(FC26/VLOOKUP("PCS-10357",[7]ARBOR!$A:$C,3,0)-1),4))))</f>
        <v/>
      </c>
      <c r="FE26" s="84" t="str">
        <f>IF(ISERROR(IF(FD26="","",VLOOKUP(("Oi Internet Pra Celular 1GB"&amp;FD26&amp;"Template Flat Instância Dados"),[7]BENEFICIOS!$A:$E,5,0))),"Criar",IF(FD26="","",VLOOKUP(("Oi Internet Pra Celular 1GB"&amp;FD26&amp;"Template Flat Instância Dados"),[7]BENEFICIOS!$A:$E,5,0)))</f>
        <v/>
      </c>
      <c r="FF26" s="82"/>
      <c r="FG26" s="83" t="str">
        <f>IF(FF26=0,"",IF(FF26=VLOOKUP("PCS-813565",[7]ARBOR!$A:$C,3,0),0.0001,IF(FF26&gt;VLOOKUP("PCS-813565",[7]ARBOR!$A:$C,3,0),"Maior que CAP!",ROUND(-1*(FF26/VLOOKUP("PCS-813565",[7]ARBOR!$A:$C,3,0)-1),4))))</f>
        <v/>
      </c>
      <c r="FH26" s="84" t="str">
        <f>IF(ISERROR(IF(FG26="","",VLOOKUP(("Oi Internet Pra Celular 2GB"&amp;FG26&amp;"Template Flat Instância Dados"),[7]BENEFICIOS!$A:$E,5,0))),"Criar",IF(FG26="","",VLOOKUP(("Oi Internet Pra Celular 2GB"&amp;FG26&amp;"Template Flat Instância Dados"),[7]BENEFICIOS!$A:$E,5,0)))</f>
        <v/>
      </c>
      <c r="FI26" s="82"/>
      <c r="FJ26" s="83" t="str">
        <f>IF(FI26=0,"",IF(FI26=VLOOKUP("PCS-7171B",[7]ARBOR!$A:$C,3,0),0.0001,IF(FI26&gt;VLOOKUP("PCS-7171B",[7]ARBOR!$A:$C,3,0),"Maior que CAP!",ROUND(-1*(FI26/VLOOKUP("PCS-7171B",[7]ARBOR!$A:$C,3,0)-1),4))))</f>
        <v/>
      </c>
      <c r="FK26" s="84" t="str">
        <f>IF(ISERROR(IF(FJ26="","",VLOOKUP(("Oi Internet Pra Celular 3GB"&amp;FJ26&amp;"Template Flat Instância Dados"),[7]BENEFICIOS!$A:$E,5,0))),"Criar",IF(FJ26="","",VLOOKUP(("Oi Internet Pra Celular 3GB"&amp;FJ26&amp;"Template Flat Instância Dados"),[7]BENEFICIOS!$A:$E,5,0)))</f>
        <v/>
      </c>
      <c r="FL26" s="82"/>
      <c r="FM26" s="83"/>
      <c r="FN26" s="84"/>
      <c r="FO26" s="82">
        <v>35.53</v>
      </c>
      <c r="FP26" s="83">
        <f>IF(FO26=0,"",IF(FO26=VLOOKUP("PCS-7171A",[7]ARBOR!$A:$C,3,0),0.0001,IF(FO26&gt;VLOOKUP("PCS-7171A",[7]ARBOR!$A:$C,3,0),"Maior que CAP!",ROUND(-1*(FO26/VLOOKUP("PCS-7171A",[7]ARBOR!$A:$C,3,0)-1),4))))</f>
        <v>0.81899999999999995</v>
      </c>
      <c r="FQ26" s="84" t="str">
        <f>IF(ISERROR(IF(FP26="","",VLOOKUP(("Oi Internet Pra Celular 10GB"&amp;FP26&amp;"Template Flat Instância Dados"),[7]BENEFICIOS!$A:$E,5,0))),"Criar",IF(FP26="","",VLOOKUP(("Oi Internet Pra Celular 10GB"&amp;FP26&amp;"Template Flat Instância Dados"),[7]BENEFICIOS!$A:$E,5,0)))</f>
        <v>MKT-1-9869971287</v>
      </c>
      <c r="FR26" s="85">
        <v>0.74260000000000004</v>
      </c>
      <c r="FS26" s="86" t="s">
        <v>266</v>
      </c>
      <c r="FT26" s="48"/>
      <c r="FU26" s="87"/>
      <c r="FV26" s="88" t="s">
        <v>225</v>
      </c>
      <c r="FW26" s="49" t="s">
        <v>230</v>
      </c>
      <c r="FX26" s="89">
        <v>999</v>
      </c>
      <c r="FY26" s="49">
        <v>12</v>
      </c>
      <c r="FZ26" s="90" t="s">
        <v>231</v>
      </c>
      <c r="GA26" s="91" t="str">
        <f t="shared" si="1"/>
        <v>PCS-Fk83324</v>
      </c>
      <c r="GB26" s="92" t="str">
        <f t="shared" si="2"/>
        <v>PCS-SBL553142</v>
      </c>
      <c r="GC26" s="93" t="s">
        <v>232</v>
      </c>
      <c r="GD26" s="90" t="s">
        <v>233</v>
      </c>
      <c r="GE26" s="92" t="s">
        <v>234</v>
      </c>
      <c r="GF26" s="93" t="s">
        <v>235</v>
      </c>
      <c r="GG26" s="90" t="s">
        <v>236</v>
      </c>
      <c r="GH26" s="92" t="s">
        <v>237</v>
      </c>
      <c r="GI26" s="94" t="s">
        <v>238</v>
      </c>
      <c r="GJ26" s="95">
        <f>FO26+EL26+CN26+BJ26</f>
        <v>289.89999999999998</v>
      </c>
      <c r="GK26" s="96"/>
      <c r="GL26" s="97" t="s">
        <v>239</v>
      </c>
      <c r="GM26" s="98" t="s">
        <v>276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299</v>
      </c>
      <c r="GX26" s="44" t="s">
        <v>242</v>
      </c>
    </row>
  </sheetData>
  <mergeCells count="36"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V109"/>
  <sheetViews>
    <sheetView workbookViewId="0">
      <selection activeCell="E7" sqref="E7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26.42578125" bestFit="1" customWidth="1"/>
    <col min="15" max="15" width="7.425781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59.140625" bestFit="1" customWidth="1"/>
    <col min="34" max="34" width="38.5703125" bestFit="1" customWidth="1"/>
    <col min="35" max="35" width="34.28515625" customWidth="1"/>
    <col min="36" max="36" width="34.42578125" customWidth="1"/>
    <col min="37" max="37" width="34.5703125" customWidth="1"/>
    <col min="38" max="38" width="36.85546875" customWidth="1"/>
    <col min="39" max="39" width="24.42578125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0.42578125" customWidth="1"/>
    <col min="48" max="48" width="14.42578125" hidden="1" customWidth="1"/>
    <col min="49" max="49" width="11.7109375" customWidth="1"/>
    <col min="50" max="50" width="18" customWidth="1"/>
    <col min="51" max="51" width="0" hidden="1" customWidth="1"/>
  </cols>
  <sheetData>
    <row r="2" spans="1:46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</row>
    <row r="3" spans="1:46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300</v>
      </c>
      <c r="P3" s="4" t="s">
        <v>15</v>
      </c>
      <c r="Q3" s="5" t="s">
        <v>316</v>
      </c>
      <c r="R3" s="5" t="s">
        <v>304</v>
      </c>
      <c r="S3" s="5" t="s">
        <v>305</v>
      </c>
      <c r="T3" s="5" t="s">
        <v>306</v>
      </c>
      <c r="U3" s="5" t="s">
        <v>307</v>
      </c>
      <c r="V3" s="5" t="s">
        <v>308</v>
      </c>
      <c r="W3" s="5" t="s">
        <v>309</v>
      </c>
      <c r="X3" s="5" t="s">
        <v>310</v>
      </c>
      <c r="Y3" s="5" t="s">
        <v>311</v>
      </c>
      <c r="Z3" s="5" t="s">
        <v>312</v>
      </c>
      <c r="AA3" s="5" t="s">
        <v>313</v>
      </c>
      <c r="AB3" s="5" t="s">
        <v>12</v>
      </c>
      <c r="AC3" s="5" t="s">
        <v>16</v>
      </c>
      <c r="AD3" s="5" t="s">
        <v>17</v>
      </c>
      <c r="AE3" s="5" t="s">
        <v>314</v>
      </c>
      <c r="AF3" s="5" t="s">
        <v>317</v>
      </c>
      <c r="AG3" s="5" t="s">
        <v>318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58</v>
      </c>
      <c r="AS3" s="5" t="s">
        <v>29</v>
      </c>
      <c r="AT3" s="5" t="s">
        <v>59</v>
      </c>
    </row>
    <row r="4" spans="1:46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301</v>
      </c>
      <c r="P4" s="10"/>
      <c r="Q4" s="5" t="s">
        <v>319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320</v>
      </c>
      <c r="AG4" s="5" t="s">
        <v>321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60</v>
      </c>
      <c r="AS4" s="5" t="s">
        <v>29</v>
      </c>
      <c r="AT4" s="5" t="s">
        <v>59</v>
      </c>
    </row>
    <row r="5" spans="1:46" x14ac:dyDescent="0.25">
      <c r="A5" t="s">
        <v>322</v>
      </c>
    </row>
    <row r="13" spans="1:46" x14ac:dyDescent="0.25">
      <c r="AB13" s="108"/>
    </row>
    <row r="23" spans="28:28" x14ac:dyDescent="0.25">
      <c r="AB23" s="108"/>
    </row>
    <row r="25" spans="28:28" x14ac:dyDescent="0.25">
      <c r="AB25" s="108"/>
    </row>
    <row r="33" spans="28:28" x14ac:dyDescent="0.25">
      <c r="AB33" s="108"/>
    </row>
    <row r="43" spans="28:28" x14ac:dyDescent="0.25">
      <c r="AB43" s="108"/>
    </row>
    <row r="53" spans="28:28" x14ac:dyDescent="0.25">
      <c r="AB53" s="108"/>
    </row>
    <row r="63" spans="28:28" x14ac:dyDescent="0.25">
      <c r="AB63" s="108"/>
    </row>
    <row r="73" spans="28:28" x14ac:dyDescent="0.25">
      <c r="AB73" s="108"/>
    </row>
    <row r="105" spans="28:28" x14ac:dyDescent="0.25">
      <c r="AB105" s="108"/>
    </row>
    <row r="109" spans="28:28" x14ac:dyDescent="0.25">
      <c r="AB109" s="108"/>
    </row>
  </sheetData>
  <autoFilter ref="A4:AY110" xr:uid="{00000000-0009-0000-0000-000002000000}"/>
  <sortState ref="A4:AV5">
    <sortCondition ref="AV4"/>
    <sortCondition ref="R4"/>
  </sortState>
  <dataConsolidate/>
  <dataValidations count="1">
    <dataValidation type="list" showInputMessage="1" error="Please select a valid value" promptTitle="select a value" sqref="P3:P4" xr:uid="{00000000-0002-0000-02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ALLNET</vt:lpstr>
      <vt:lpstr>Sheet1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2018-08-17T19:56:10Z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</Properties>
</file>
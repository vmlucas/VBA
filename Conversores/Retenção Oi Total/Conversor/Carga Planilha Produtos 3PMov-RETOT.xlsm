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Oferta 1043\Conversores\"/>
    </mc:Choice>
  </mc:AlternateContent>
  <xr:revisionPtr revIDLastSave="42886" documentId="10_ncr:100000_{75C432E8-54D7-44F0-84B7-644111730DCD}" xr6:coauthVersionLast="44" xr6:coauthVersionMax="44" xr10:uidLastSave="{9117A611-B76B-4089-AE48-8557A75756B4}"/>
  <bookViews>
    <workbookView xWindow="-110" yWindow="-110" windowWidth="19420" windowHeight="10420" activeTab="2" xr2:uid="{00000000-000D-0000-FFFF-FFFF00000000}"/>
  </bookViews>
  <sheets>
    <sheet name="Com Fidelidade" sheetId="1" r:id="rId1"/>
    <sheet name="Erro" sheetId="6" r:id="rId2"/>
    <sheet name="Sem Fidelidade" sheetId="2" r:id="rId3"/>
    <sheet name="Com Fidelidade (2)" sheetId="7" r:id="rId4"/>
  </sheets>
  <functionGroups builtInGroupCount="19"/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0" hidden="1">'Com Fidelidade'!$A$4:$AY$215</definedName>
    <definedName name="_xlnm._FilterDatabase" localSheetId="3" hidden="1">'Com Fidelidade (2)'!$A$4:$AY$233</definedName>
    <definedName name="_xlnm._FilterDatabase" localSheetId="2" hidden="1">'Sem Fidelidade'!$A$4:$AY$13</definedName>
    <definedName name="_validValues">[1]Settings!$A$1</definedName>
    <definedName name="ffff">[2]Settings!$A$1</definedName>
    <definedName name="sssaaa">[3]Settings!$A$1</definedName>
    <definedName name="sssss">[4]Settings!$A$1</definedName>
    <definedName name="validValues">[5]Settings!$A$1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J26" i="6" l="1"/>
  <c r="GB26" i="6"/>
  <c r="GA26" i="6"/>
  <c r="FP26" i="6"/>
  <c r="FQ26" i="6" s="1"/>
  <c r="FJ26" i="6"/>
  <c r="FK26" i="6" s="1"/>
  <c r="FG26" i="6"/>
  <c r="FH26" i="6" s="1"/>
  <c r="FD26" i="6"/>
  <c r="FE26" i="6" s="1"/>
  <c r="EA26" i="6"/>
  <c r="DX26" i="6"/>
  <c r="DY26" i="6" s="1"/>
  <c r="DQ26" i="6"/>
  <c r="DR26" i="6" s="1"/>
  <c r="DI26" i="6"/>
  <c r="DJ26" i="6" s="1"/>
  <c r="DA26" i="6"/>
  <c r="DB26" i="6" s="1"/>
  <c r="CS26" i="6"/>
  <c r="CT26" i="6" s="1"/>
  <c r="CO26" i="6"/>
  <c r="CP26" i="6" s="1"/>
  <c r="CK26" i="6"/>
  <c r="CL26" i="6" s="1"/>
  <c r="CG26" i="6"/>
  <c r="CH26" i="6" s="1"/>
  <c r="CC26" i="6"/>
  <c r="CD26" i="6" s="1"/>
  <c r="BY26" i="6"/>
  <c r="BZ26" i="6" s="1"/>
  <c r="BU26" i="6"/>
  <c r="BV26" i="6" s="1"/>
  <c r="BQ26" i="6"/>
  <c r="BR26" i="6" s="1"/>
  <c r="BK26" i="6"/>
  <c r="BL26" i="6" s="1"/>
  <c r="BI26" i="6"/>
  <c r="EI26" i="6" s="1"/>
  <c r="A26" i="6"/>
  <c r="GJ25" i="6"/>
  <c r="GB25" i="6"/>
  <c r="GA25" i="6"/>
  <c r="FP25" i="6"/>
  <c r="FQ25" i="6" s="1"/>
  <c r="FJ25" i="6"/>
  <c r="FK25" i="6" s="1"/>
  <c r="FG25" i="6"/>
  <c r="FH25" i="6" s="1"/>
  <c r="FD25" i="6"/>
  <c r="FE25" i="6" s="1"/>
  <c r="EA25" i="6"/>
  <c r="DX25" i="6"/>
  <c r="DY25" i="6" s="1"/>
  <c r="DQ25" i="6"/>
  <c r="DR25" i="6" s="1"/>
  <c r="DI25" i="6"/>
  <c r="DJ25" i="6" s="1"/>
  <c r="DA25" i="6"/>
  <c r="DB25" i="6" s="1"/>
  <c r="CS25" i="6"/>
  <c r="CT25" i="6" s="1"/>
  <c r="CO25" i="6"/>
  <c r="CP25" i="6" s="1"/>
  <c r="CK25" i="6"/>
  <c r="CL25" i="6" s="1"/>
  <c r="CG25" i="6"/>
  <c r="CH25" i="6" s="1"/>
  <c r="CC25" i="6"/>
  <c r="CD25" i="6" s="1"/>
  <c r="BY25" i="6"/>
  <c r="BZ25" i="6" s="1"/>
  <c r="BU25" i="6"/>
  <c r="BV25" i="6" s="1"/>
  <c r="BQ25" i="6"/>
  <c r="BR25" i="6" s="1"/>
  <c r="BK25" i="6"/>
  <c r="BL25" i="6" s="1"/>
  <c r="BI25" i="6"/>
  <c r="EI25" i="6" s="1"/>
  <c r="A25" i="6"/>
  <c r="GJ24" i="6"/>
  <c r="GB24" i="6"/>
  <c r="GA24" i="6"/>
  <c r="FP24" i="6"/>
  <c r="FQ24" i="6" s="1"/>
  <c r="FM24" i="6"/>
  <c r="FN24" i="6" s="1"/>
  <c r="FJ24" i="6"/>
  <c r="FK24" i="6" s="1"/>
  <c r="FG24" i="6"/>
  <c r="FH24" i="6" s="1"/>
  <c r="FD24" i="6"/>
  <c r="FE24" i="6" s="1"/>
  <c r="EA24" i="6"/>
  <c r="DX24" i="6"/>
  <c r="DY24" i="6" s="1"/>
  <c r="DQ24" i="6"/>
  <c r="DR24" i="6" s="1"/>
  <c r="DI24" i="6"/>
  <c r="DJ24" i="6" s="1"/>
  <c r="DA24" i="6"/>
  <c r="DB24" i="6" s="1"/>
  <c r="CS24" i="6"/>
  <c r="CT24" i="6" s="1"/>
  <c r="CO24" i="6"/>
  <c r="CP24" i="6" s="1"/>
  <c r="CK24" i="6"/>
  <c r="CL24" i="6" s="1"/>
  <c r="CG24" i="6"/>
  <c r="CH24" i="6" s="1"/>
  <c r="CC24" i="6"/>
  <c r="CD24" i="6" s="1"/>
  <c r="BY24" i="6"/>
  <c r="BZ24" i="6" s="1"/>
  <c r="BU24" i="6"/>
  <c r="BV24" i="6" s="1"/>
  <c r="BQ24" i="6"/>
  <c r="BR24" i="6" s="1"/>
  <c r="BK24" i="6"/>
  <c r="BL24" i="6" s="1"/>
  <c r="BI24" i="6"/>
  <c r="EG24" i="6" s="1"/>
  <c r="EM24" i="6" s="1"/>
  <c r="EN24" i="6" s="1"/>
  <c r="A24" i="6"/>
  <c r="GJ23" i="6"/>
  <c r="GB23" i="6"/>
  <c r="GA23" i="6"/>
  <c r="FP23" i="6"/>
  <c r="FQ23" i="6" s="1"/>
  <c r="FM23" i="6"/>
  <c r="FN23" i="6" s="1"/>
  <c r="FJ23" i="6"/>
  <c r="FK23" i="6" s="1"/>
  <c r="FG23" i="6"/>
  <c r="FH23" i="6" s="1"/>
  <c r="FD23" i="6"/>
  <c r="FE23" i="6" s="1"/>
  <c r="EA23" i="6"/>
  <c r="DX23" i="6"/>
  <c r="DY23" i="6" s="1"/>
  <c r="DQ23" i="6"/>
  <c r="DR23" i="6" s="1"/>
  <c r="DI23" i="6"/>
  <c r="DJ23" i="6" s="1"/>
  <c r="DA23" i="6"/>
  <c r="DB23" i="6" s="1"/>
  <c r="CS23" i="6"/>
  <c r="CT23" i="6" s="1"/>
  <c r="CO23" i="6"/>
  <c r="CP23" i="6" s="1"/>
  <c r="CK23" i="6"/>
  <c r="CL23" i="6" s="1"/>
  <c r="CG23" i="6"/>
  <c r="CH23" i="6" s="1"/>
  <c r="CC23" i="6"/>
  <c r="CD23" i="6" s="1"/>
  <c r="BY23" i="6"/>
  <c r="BZ23" i="6" s="1"/>
  <c r="BU23" i="6"/>
  <c r="BV23" i="6" s="1"/>
  <c r="BQ23" i="6"/>
  <c r="BR23" i="6" s="1"/>
  <c r="BK23" i="6"/>
  <c r="BL23" i="6" s="1"/>
  <c r="BI23" i="6"/>
  <c r="EG23" i="6" s="1"/>
  <c r="EM23" i="6" s="1"/>
  <c r="EN23" i="6" s="1"/>
  <c r="A23" i="6"/>
  <c r="GJ22" i="6"/>
  <c r="GB22" i="6"/>
  <c r="GA22" i="6"/>
  <c r="FP22" i="6"/>
  <c r="FQ22" i="6" s="1"/>
  <c r="FM22" i="6"/>
  <c r="FN22" i="6" s="1"/>
  <c r="FJ22" i="6"/>
  <c r="FK22" i="6" s="1"/>
  <c r="FG22" i="6"/>
  <c r="FH22" i="6" s="1"/>
  <c r="FD22" i="6"/>
  <c r="FE22" i="6" s="1"/>
  <c r="EA22" i="6"/>
  <c r="DX22" i="6"/>
  <c r="DY22" i="6" s="1"/>
  <c r="DQ22" i="6"/>
  <c r="DR22" i="6" s="1"/>
  <c r="DI22" i="6"/>
  <c r="DJ22" i="6" s="1"/>
  <c r="DA22" i="6"/>
  <c r="DB22" i="6" s="1"/>
  <c r="CS22" i="6"/>
  <c r="CT22" i="6" s="1"/>
  <c r="CO22" i="6"/>
  <c r="CP22" i="6" s="1"/>
  <c r="CK22" i="6"/>
  <c r="CL22" i="6" s="1"/>
  <c r="CG22" i="6"/>
  <c r="CH22" i="6" s="1"/>
  <c r="CC22" i="6"/>
  <c r="CD22" i="6" s="1"/>
  <c r="BY22" i="6"/>
  <c r="BZ22" i="6" s="1"/>
  <c r="BU22" i="6"/>
  <c r="BV22" i="6" s="1"/>
  <c r="BQ22" i="6"/>
  <c r="BR22" i="6" s="1"/>
  <c r="BK22" i="6"/>
  <c r="BL22" i="6" s="1"/>
  <c r="BI22" i="6"/>
  <c r="EG22" i="6" s="1"/>
  <c r="EM22" i="6" s="1"/>
  <c r="EN22" i="6" s="1"/>
  <c r="A22" i="6"/>
  <c r="GJ21" i="6"/>
  <c r="GB21" i="6"/>
  <c r="GA21" i="6"/>
  <c r="FP21" i="6"/>
  <c r="FQ21" i="6" s="1"/>
  <c r="FM21" i="6"/>
  <c r="FN21" i="6" s="1"/>
  <c r="FJ21" i="6"/>
  <c r="FK21" i="6" s="1"/>
  <c r="FG21" i="6"/>
  <c r="FH21" i="6" s="1"/>
  <c r="FD21" i="6"/>
  <c r="FE21" i="6" s="1"/>
  <c r="EA21" i="6"/>
  <c r="DX21" i="6"/>
  <c r="DY21" i="6" s="1"/>
  <c r="DQ21" i="6"/>
  <c r="DR21" i="6" s="1"/>
  <c r="DI21" i="6"/>
  <c r="DJ21" i="6" s="1"/>
  <c r="DA21" i="6"/>
  <c r="DB21" i="6" s="1"/>
  <c r="CS21" i="6"/>
  <c r="CT21" i="6" s="1"/>
  <c r="CO21" i="6"/>
  <c r="CP21" i="6" s="1"/>
  <c r="CK21" i="6"/>
  <c r="CL21" i="6" s="1"/>
  <c r="CG21" i="6"/>
  <c r="CH21" i="6" s="1"/>
  <c r="CC21" i="6"/>
  <c r="CD21" i="6" s="1"/>
  <c r="BY21" i="6"/>
  <c r="BZ21" i="6" s="1"/>
  <c r="BU21" i="6"/>
  <c r="BV21" i="6" s="1"/>
  <c r="BQ21" i="6"/>
  <c r="BR21" i="6" s="1"/>
  <c r="BK21" i="6"/>
  <c r="BL21" i="6" s="1"/>
  <c r="BI21" i="6"/>
  <c r="EG21" i="6" s="1"/>
  <c r="EM21" i="6" s="1"/>
  <c r="EN21" i="6" s="1"/>
  <c r="A21" i="6"/>
  <c r="GJ20" i="6"/>
  <c r="GB20" i="6"/>
  <c r="GA20" i="6"/>
  <c r="FP20" i="6"/>
  <c r="FQ20" i="6" s="1"/>
  <c r="FM20" i="6"/>
  <c r="FN20" i="6" s="1"/>
  <c r="FJ20" i="6"/>
  <c r="FK20" i="6" s="1"/>
  <c r="FG20" i="6"/>
  <c r="FH20" i="6" s="1"/>
  <c r="FD20" i="6"/>
  <c r="FE20" i="6" s="1"/>
  <c r="EA20" i="6"/>
  <c r="DX20" i="6"/>
  <c r="DY20" i="6" s="1"/>
  <c r="DQ20" i="6"/>
  <c r="DR20" i="6" s="1"/>
  <c r="DI20" i="6"/>
  <c r="DJ20" i="6" s="1"/>
  <c r="DA20" i="6"/>
  <c r="DB20" i="6" s="1"/>
  <c r="CS20" i="6"/>
  <c r="CT20" i="6" s="1"/>
  <c r="CO20" i="6"/>
  <c r="CP20" i="6" s="1"/>
  <c r="CK20" i="6"/>
  <c r="CL20" i="6" s="1"/>
  <c r="CG20" i="6"/>
  <c r="CH20" i="6" s="1"/>
  <c r="CC20" i="6"/>
  <c r="CD20" i="6" s="1"/>
  <c r="BY20" i="6"/>
  <c r="BZ20" i="6" s="1"/>
  <c r="BU20" i="6"/>
  <c r="BV20" i="6" s="1"/>
  <c r="BQ20" i="6"/>
  <c r="BR20" i="6" s="1"/>
  <c r="BK20" i="6"/>
  <c r="BL20" i="6" s="1"/>
  <c r="BI20" i="6"/>
  <c r="EG20" i="6" s="1"/>
  <c r="EM20" i="6" s="1"/>
  <c r="EN20" i="6" s="1"/>
  <c r="A20" i="6"/>
  <c r="GJ19" i="6"/>
  <c r="GB19" i="6"/>
  <c r="GA19" i="6"/>
  <c r="FP19" i="6"/>
  <c r="FQ19" i="6" s="1"/>
  <c r="FM19" i="6"/>
  <c r="FN19" i="6" s="1"/>
  <c r="FJ19" i="6"/>
  <c r="FK19" i="6" s="1"/>
  <c r="FG19" i="6"/>
  <c r="FH19" i="6" s="1"/>
  <c r="FD19" i="6"/>
  <c r="FE19" i="6" s="1"/>
  <c r="EA19" i="6"/>
  <c r="DX19" i="6"/>
  <c r="DY19" i="6" s="1"/>
  <c r="DQ19" i="6"/>
  <c r="DR19" i="6" s="1"/>
  <c r="DI19" i="6"/>
  <c r="DJ19" i="6" s="1"/>
  <c r="DA19" i="6"/>
  <c r="DB19" i="6" s="1"/>
  <c r="CS19" i="6"/>
  <c r="CT19" i="6" s="1"/>
  <c r="CO19" i="6"/>
  <c r="CP19" i="6" s="1"/>
  <c r="CK19" i="6"/>
  <c r="CL19" i="6" s="1"/>
  <c r="CG19" i="6"/>
  <c r="CH19" i="6" s="1"/>
  <c r="CC19" i="6"/>
  <c r="CD19" i="6" s="1"/>
  <c r="BY19" i="6"/>
  <c r="BZ19" i="6" s="1"/>
  <c r="BU19" i="6"/>
  <c r="BV19" i="6" s="1"/>
  <c r="BQ19" i="6"/>
  <c r="BR19" i="6" s="1"/>
  <c r="BK19" i="6"/>
  <c r="BL19" i="6" s="1"/>
  <c r="BI19" i="6"/>
  <c r="EG19" i="6" s="1"/>
  <c r="EM19" i="6" s="1"/>
  <c r="EN19" i="6" s="1"/>
  <c r="A19" i="6"/>
  <c r="GJ18" i="6"/>
  <c r="GB18" i="6"/>
  <c r="GA18" i="6"/>
  <c r="FP18" i="6"/>
  <c r="FQ18" i="6" s="1"/>
  <c r="FM18" i="6"/>
  <c r="FN18" i="6" s="1"/>
  <c r="FJ18" i="6"/>
  <c r="FK18" i="6" s="1"/>
  <c r="FG18" i="6"/>
  <c r="FH18" i="6" s="1"/>
  <c r="FD18" i="6"/>
  <c r="FE18" i="6" s="1"/>
  <c r="EA18" i="6"/>
  <c r="DX18" i="6"/>
  <c r="DY18" i="6" s="1"/>
  <c r="DQ18" i="6"/>
  <c r="DR18" i="6" s="1"/>
  <c r="DI18" i="6"/>
  <c r="DJ18" i="6" s="1"/>
  <c r="DA18" i="6"/>
  <c r="DB18" i="6" s="1"/>
  <c r="CS18" i="6"/>
  <c r="CT18" i="6" s="1"/>
  <c r="CO18" i="6"/>
  <c r="CP18" i="6" s="1"/>
  <c r="CK18" i="6"/>
  <c r="CL18" i="6" s="1"/>
  <c r="CG18" i="6"/>
  <c r="CH18" i="6" s="1"/>
  <c r="CC18" i="6"/>
  <c r="CD18" i="6" s="1"/>
  <c r="BY18" i="6"/>
  <c r="BZ18" i="6" s="1"/>
  <c r="BU18" i="6"/>
  <c r="BV18" i="6" s="1"/>
  <c r="BQ18" i="6"/>
  <c r="BR18" i="6" s="1"/>
  <c r="BK18" i="6"/>
  <c r="BL18" i="6" s="1"/>
  <c r="BI18" i="6"/>
  <c r="EG18" i="6" s="1"/>
  <c r="EM18" i="6" s="1"/>
  <c r="EN18" i="6" s="1"/>
  <c r="A18" i="6"/>
  <c r="GJ17" i="6"/>
  <c r="GB17" i="6"/>
  <c r="GA17" i="6"/>
  <c r="FP17" i="6"/>
  <c r="FQ17" i="6" s="1"/>
  <c r="FM17" i="6"/>
  <c r="FN17" i="6" s="1"/>
  <c r="FJ17" i="6"/>
  <c r="FK17" i="6" s="1"/>
  <c r="FG17" i="6"/>
  <c r="FH17" i="6" s="1"/>
  <c r="FD17" i="6"/>
  <c r="FE17" i="6" s="1"/>
  <c r="EA17" i="6"/>
  <c r="DX17" i="6"/>
  <c r="DY17" i="6" s="1"/>
  <c r="DQ17" i="6"/>
  <c r="DR17" i="6" s="1"/>
  <c r="DI17" i="6"/>
  <c r="DJ17" i="6" s="1"/>
  <c r="DA17" i="6"/>
  <c r="DB17" i="6" s="1"/>
  <c r="CS17" i="6"/>
  <c r="CT17" i="6" s="1"/>
  <c r="CO17" i="6"/>
  <c r="CP17" i="6" s="1"/>
  <c r="CK17" i="6"/>
  <c r="CL17" i="6" s="1"/>
  <c r="CG17" i="6"/>
  <c r="CH17" i="6" s="1"/>
  <c r="CC17" i="6"/>
  <c r="CD17" i="6" s="1"/>
  <c r="BY17" i="6"/>
  <c r="BZ17" i="6" s="1"/>
  <c r="BU17" i="6"/>
  <c r="BV17" i="6" s="1"/>
  <c r="BQ17" i="6"/>
  <c r="BR17" i="6" s="1"/>
  <c r="BK17" i="6"/>
  <c r="BL17" i="6" s="1"/>
  <c r="BI17" i="6"/>
  <c r="EG17" i="6" s="1"/>
  <c r="EM17" i="6" s="1"/>
  <c r="EN17" i="6" s="1"/>
  <c r="A17" i="6"/>
  <c r="GJ16" i="6"/>
  <c r="GB16" i="6"/>
  <c r="GA16" i="6"/>
  <c r="FP16" i="6"/>
  <c r="FQ16" i="6" s="1"/>
  <c r="FM16" i="6"/>
  <c r="FN16" i="6" s="1"/>
  <c r="FJ16" i="6"/>
  <c r="FK16" i="6" s="1"/>
  <c r="FG16" i="6"/>
  <c r="FH16" i="6" s="1"/>
  <c r="FD16" i="6"/>
  <c r="FE16" i="6" s="1"/>
  <c r="EA16" i="6"/>
  <c r="DX16" i="6"/>
  <c r="DY16" i="6" s="1"/>
  <c r="DQ16" i="6"/>
  <c r="DR16" i="6" s="1"/>
  <c r="DI16" i="6"/>
  <c r="DJ16" i="6" s="1"/>
  <c r="DA16" i="6"/>
  <c r="DB16" i="6" s="1"/>
  <c r="CS16" i="6"/>
  <c r="CT16" i="6" s="1"/>
  <c r="CO16" i="6"/>
  <c r="CP16" i="6" s="1"/>
  <c r="CK16" i="6"/>
  <c r="CL16" i="6" s="1"/>
  <c r="CG16" i="6"/>
  <c r="CH16" i="6" s="1"/>
  <c r="CC16" i="6"/>
  <c r="CD16" i="6" s="1"/>
  <c r="BY16" i="6"/>
  <c r="BZ16" i="6" s="1"/>
  <c r="BU16" i="6"/>
  <c r="BV16" i="6" s="1"/>
  <c r="BQ16" i="6"/>
  <c r="BR16" i="6" s="1"/>
  <c r="BK16" i="6"/>
  <c r="BL16" i="6" s="1"/>
  <c r="BI16" i="6"/>
  <c r="EG16" i="6" s="1"/>
  <c r="EM16" i="6" s="1"/>
  <c r="EN16" i="6" s="1"/>
  <c r="A16" i="6"/>
  <c r="GJ15" i="6"/>
  <c r="GB15" i="6"/>
  <c r="GA15" i="6"/>
  <c r="FP15" i="6"/>
  <c r="FQ15" i="6" s="1"/>
  <c r="FM15" i="6"/>
  <c r="FN15" i="6" s="1"/>
  <c r="FJ15" i="6"/>
  <c r="FK15" i="6" s="1"/>
  <c r="FG15" i="6"/>
  <c r="FH15" i="6" s="1"/>
  <c r="FD15" i="6"/>
  <c r="FE15" i="6" s="1"/>
  <c r="FA15" i="6"/>
  <c r="FB15" i="6" s="1"/>
  <c r="EX15" i="6"/>
  <c r="EY15" i="6" s="1"/>
  <c r="EP15" i="6"/>
  <c r="EE15" i="6"/>
  <c r="EF15" i="6" s="1"/>
  <c r="EA15" i="6"/>
  <c r="DX15" i="6"/>
  <c r="DY15" i="6" s="1"/>
  <c r="DU15" i="6"/>
  <c r="DV15" i="6" s="1"/>
  <c r="DQ15" i="6"/>
  <c r="DR15" i="6" s="1"/>
  <c r="DM15" i="6"/>
  <c r="DN15" i="6" s="1"/>
  <c r="DI15" i="6"/>
  <c r="DJ15" i="6" s="1"/>
  <c r="DE15" i="6"/>
  <c r="DF15" i="6" s="1"/>
  <c r="DA15" i="6"/>
  <c r="DB15" i="6" s="1"/>
  <c r="CW15" i="6"/>
  <c r="CX15" i="6" s="1"/>
  <c r="CS15" i="6"/>
  <c r="CT15" i="6" s="1"/>
  <c r="CO15" i="6"/>
  <c r="CP15" i="6" s="1"/>
  <c r="CK15" i="6"/>
  <c r="CL15" i="6" s="1"/>
  <c r="CG15" i="6"/>
  <c r="CH15" i="6" s="1"/>
  <c r="CC15" i="6"/>
  <c r="CD15" i="6" s="1"/>
  <c r="BY15" i="6"/>
  <c r="BZ15" i="6" s="1"/>
  <c r="BU15" i="6"/>
  <c r="BV15" i="6" s="1"/>
  <c r="BQ15" i="6"/>
  <c r="BR15" i="6" s="1"/>
  <c r="BK15" i="6"/>
  <c r="BL15" i="6" s="1"/>
  <c r="BI15" i="6"/>
  <c r="EI15" i="6" s="1"/>
  <c r="A15" i="6"/>
  <c r="GJ14" i="6"/>
  <c r="GB14" i="6"/>
  <c r="GA14" i="6"/>
  <c r="FP14" i="6"/>
  <c r="FQ14" i="6" s="1"/>
  <c r="FJ14" i="6"/>
  <c r="FK14" i="6" s="1"/>
  <c r="FG14" i="6"/>
  <c r="FH14" i="6" s="1"/>
  <c r="FD14" i="6"/>
  <c r="FE14" i="6" s="1"/>
  <c r="EA14" i="6"/>
  <c r="DX14" i="6"/>
  <c r="DY14" i="6" s="1"/>
  <c r="DQ14" i="6"/>
  <c r="DR14" i="6" s="1"/>
  <c r="DI14" i="6"/>
  <c r="DJ14" i="6" s="1"/>
  <c r="DA14" i="6"/>
  <c r="DB14" i="6" s="1"/>
  <c r="CS14" i="6"/>
  <c r="CT14" i="6" s="1"/>
  <c r="CO14" i="6"/>
  <c r="CP14" i="6" s="1"/>
  <c r="CK14" i="6"/>
  <c r="CL14" i="6" s="1"/>
  <c r="CG14" i="6"/>
  <c r="CH14" i="6" s="1"/>
  <c r="CC14" i="6"/>
  <c r="CD14" i="6" s="1"/>
  <c r="BY14" i="6"/>
  <c r="BZ14" i="6" s="1"/>
  <c r="BU14" i="6"/>
  <c r="BV14" i="6" s="1"/>
  <c r="BQ14" i="6"/>
  <c r="BR14" i="6" s="1"/>
  <c r="BK14" i="6"/>
  <c r="BL14" i="6" s="1"/>
  <c r="BI14" i="6"/>
  <c r="EI14" i="6" s="1"/>
  <c r="A14" i="6"/>
  <c r="GO14" i="6" s="1"/>
  <c r="GJ13" i="6"/>
  <c r="GB13" i="6"/>
  <c r="GA13" i="6"/>
  <c r="FP13" i="6"/>
  <c r="FQ13" i="6" s="1"/>
  <c r="FJ13" i="6"/>
  <c r="FK13" i="6" s="1"/>
  <c r="FG13" i="6"/>
  <c r="FH13" i="6" s="1"/>
  <c r="FD13" i="6"/>
  <c r="FE13" i="6" s="1"/>
  <c r="EA13" i="6"/>
  <c r="DX13" i="6"/>
  <c r="DY13" i="6" s="1"/>
  <c r="DQ13" i="6"/>
  <c r="DR13" i="6" s="1"/>
  <c r="DI13" i="6"/>
  <c r="DJ13" i="6" s="1"/>
  <c r="DA13" i="6"/>
  <c r="DB13" i="6" s="1"/>
  <c r="CS13" i="6"/>
  <c r="CT13" i="6" s="1"/>
  <c r="CO13" i="6"/>
  <c r="CP13" i="6" s="1"/>
  <c r="CK13" i="6"/>
  <c r="CL13" i="6" s="1"/>
  <c r="CG13" i="6"/>
  <c r="CH13" i="6" s="1"/>
  <c r="CC13" i="6"/>
  <c r="CD13" i="6" s="1"/>
  <c r="BY13" i="6"/>
  <c r="BZ13" i="6" s="1"/>
  <c r="BU13" i="6"/>
  <c r="BV13" i="6" s="1"/>
  <c r="BQ13" i="6"/>
  <c r="BR13" i="6" s="1"/>
  <c r="BK13" i="6"/>
  <c r="BL13" i="6" s="1"/>
  <c r="BI13" i="6"/>
  <c r="EI13" i="6" s="1"/>
  <c r="A13" i="6"/>
  <c r="GO13" i="6" s="1"/>
  <c r="GJ12" i="6"/>
  <c r="GB12" i="6"/>
  <c r="GA12" i="6"/>
  <c r="FP12" i="6"/>
  <c r="FQ12" i="6" s="1"/>
  <c r="FM12" i="6"/>
  <c r="FN12" i="6" s="1"/>
  <c r="FJ12" i="6"/>
  <c r="FK12" i="6" s="1"/>
  <c r="FG12" i="6"/>
  <c r="FH12" i="6" s="1"/>
  <c r="FD12" i="6"/>
  <c r="FE12" i="6" s="1"/>
  <c r="EA12" i="6"/>
  <c r="DX12" i="6"/>
  <c r="DY12" i="6" s="1"/>
  <c r="DQ12" i="6"/>
  <c r="DR12" i="6" s="1"/>
  <c r="DI12" i="6"/>
  <c r="DJ12" i="6" s="1"/>
  <c r="DA12" i="6"/>
  <c r="DB12" i="6" s="1"/>
  <c r="CS12" i="6"/>
  <c r="CT12" i="6" s="1"/>
  <c r="CO12" i="6"/>
  <c r="CP12" i="6" s="1"/>
  <c r="CK12" i="6"/>
  <c r="CL12" i="6" s="1"/>
  <c r="CG12" i="6"/>
  <c r="CH12" i="6" s="1"/>
  <c r="CC12" i="6"/>
  <c r="CD12" i="6" s="1"/>
  <c r="BY12" i="6"/>
  <c r="BZ12" i="6" s="1"/>
  <c r="BU12" i="6"/>
  <c r="BV12" i="6" s="1"/>
  <c r="BQ12" i="6"/>
  <c r="BR12" i="6" s="1"/>
  <c r="BK12" i="6"/>
  <c r="BL12" i="6" s="1"/>
  <c r="BI12" i="6"/>
  <c r="EI12" i="6" s="1"/>
  <c r="A12" i="6"/>
  <c r="GO12" i="6" s="1"/>
  <c r="GJ11" i="6"/>
  <c r="GB11" i="6"/>
  <c r="GA11" i="6"/>
  <c r="FP11" i="6"/>
  <c r="FQ11" i="6" s="1"/>
  <c r="FM11" i="6"/>
  <c r="FN11" i="6" s="1"/>
  <c r="FJ11" i="6"/>
  <c r="FK11" i="6" s="1"/>
  <c r="FG11" i="6"/>
  <c r="FH11" i="6" s="1"/>
  <c r="FD11" i="6"/>
  <c r="FE11" i="6" s="1"/>
  <c r="EA11" i="6"/>
  <c r="DX11" i="6"/>
  <c r="DY11" i="6" s="1"/>
  <c r="DQ11" i="6"/>
  <c r="DR11" i="6" s="1"/>
  <c r="DI11" i="6"/>
  <c r="DJ11" i="6" s="1"/>
  <c r="DA11" i="6"/>
  <c r="DB11" i="6" s="1"/>
  <c r="CS11" i="6"/>
  <c r="CT11" i="6" s="1"/>
  <c r="CO11" i="6"/>
  <c r="CP11" i="6" s="1"/>
  <c r="CK11" i="6"/>
  <c r="CL11" i="6" s="1"/>
  <c r="CG11" i="6"/>
  <c r="CH11" i="6" s="1"/>
  <c r="CC11" i="6"/>
  <c r="CD11" i="6" s="1"/>
  <c r="BY11" i="6"/>
  <c r="BZ11" i="6" s="1"/>
  <c r="BU11" i="6"/>
  <c r="BV11" i="6" s="1"/>
  <c r="BQ11" i="6"/>
  <c r="BR11" i="6" s="1"/>
  <c r="BK11" i="6"/>
  <c r="BL11" i="6" s="1"/>
  <c r="BI11" i="6"/>
  <c r="EI11" i="6" s="1"/>
  <c r="A11" i="6"/>
  <c r="GO11" i="6" s="1"/>
  <c r="GJ10" i="6"/>
  <c r="GB10" i="6"/>
  <c r="GA10" i="6"/>
  <c r="FP10" i="6"/>
  <c r="FQ10" i="6" s="1"/>
  <c r="FM10" i="6"/>
  <c r="FN10" i="6" s="1"/>
  <c r="FJ10" i="6"/>
  <c r="FK10" i="6" s="1"/>
  <c r="FG10" i="6"/>
  <c r="FH10" i="6" s="1"/>
  <c r="FD10" i="6"/>
  <c r="FE10" i="6" s="1"/>
  <c r="EA10" i="6"/>
  <c r="DX10" i="6"/>
  <c r="DY10" i="6" s="1"/>
  <c r="DQ10" i="6"/>
  <c r="DR10" i="6" s="1"/>
  <c r="DI10" i="6"/>
  <c r="DJ10" i="6" s="1"/>
  <c r="DA10" i="6"/>
  <c r="DB10" i="6" s="1"/>
  <c r="CS10" i="6"/>
  <c r="CT10" i="6" s="1"/>
  <c r="CO10" i="6"/>
  <c r="CP10" i="6" s="1"/>
  <c r="CK10" i="6"/>
  <c r="CL10" i="6" s="1"/>
  <c r="CG10" i="6"/>
  <c r="CH10" i="6" s="1"/>
  <c r="CC10" i="6"/>
  <c r="CD10" i="6" s="1"/>
  <c r="BY10" i="6"/>
  <c r="BZ10" i="6" s="1"/>
  <c r="BU10" i="6"/>
  <c r="BV10" i="6" s="1"/>
  <c r="BQ10" i="6"/>
  <c r="BR10" i="6" s="1"/>
  <c r="BK10" i="6"/>
  <c r="BL10" i="6" s="1"/>
  <c r="BI10" i="6"/>
  <c r="EG10" i="6" s="1"/>
  <c r="EM10" i="6" s="1"/>
  <c r="EN10" i="6" s="1"/>
  <c r="A10" i="6"/>
  <c r="GO10" i="6" s="1"/>
  <c r="GJ9" i="6"/>
  <c r="GB9" i="6"/>
  <c r="GA9" i="6"/>
  <c r="FP9" i="6"/>
  <c r="FQ9" i="6" s="1"/>
  <c r="FM9" i="6"/>
  <c r="FN9" i="6" s="1"/>
  <c r="FJ9" i="6"/>
  <c r="FK9" i="6" s="1"/>
  <c r="FG9" i="6"/>
  <c r="FH9" i="6" s="1"/>
  <c r="FD9" i="6"/>
  <c r="FE9" i="6" s="1"/>
  <c r="EA9" i="6"/>
  <c r="DX9" i="6"/>
  <c r="DY9" i="6" s="1"/>
  <c r="DQ9" i="6"/>
  <c r="DR9" i="6" s="1"/>
  <c r="DI9" i="6"/>
  <c r="DJ9" i="6" s="1"/>
  <c r="DA9" i="6"/>
  <c r="DB9" i="6" s="1"/>
  <c r="CS9" i="6"/>
  <c r="CT9" i="6" s="1"/>
  <c r="CO9" i="6"/>
  <c r="CP9" i="6" s="1"/>
  <c r="CK9" i="6"/>
  <c r="CL9" i="6" s="1"/>
  <c r="CG9" i="6"/>
  <c r="CH9" i="6" s="1"/>
  <c r="CC9" i="6"/>
  <c r="CD9" i="6" s="1"/>
  <c r="BY9" i="6"/>
  <c r="BZ9" i="6" s="1"/>
  <c r="BU9" i="6"/>
  <c r="BV9" i="6" s="1"/>
  <c r="BQ9" i="6"/>
  <c r="BR9" i="6" s="1"/>
  <c r="BK9" i="6"/>
  <c r="BL9" i="6" s="1"/>
  <c r="BI9" i="6"/>
  <c r="EG9" i="6" s="1"/>
  <c r="EM9" i="6" s="1"/>
  <c r="EN9" i="6" s="1"/>
  <c r="A9" i="6"/>
  <c r="GO9" i="6" s="1"/>
  <c r="GJ8" i="6"/>
  <c r="GB8" i="6"/>
  <c r="GA8" i="6"/>
  <c r="FP8" i="6"/>
  <c r="FQ8" i="6" s="1"/>
  <c r="FM8" i="6"/>
  <c r="FN8" i="6" s="1"/>
  <c r="FJ8" i="6"/>
  <c r="FK8" i="6" s="1"/>
  <c r="FG8" i="6"/>
  <c r="FH8" i="6" s="1"/>
  <c r="FD8" i="6"/>
  <c r="FE8" i="6" s="1"/>
  <c r="EA8" i="6"/>
  <c r="DX8" i="6"/>
  <c r="DY8" i="6" s="1"/>
  <c r="DQ8" i="6"/>
  <c r="DR8" i="6" s="1"/>
  <c r="DI8" i="6"/>
  <c r="DJ8" i="6" s="1"/>
  <c r="DA8" i="6"/>
  <c r="DB8" i="6" s="1"/>
  <c r="CS8" i="6"/>
  <c r="CT8" i="6" s="1"/>
  <c r="CO8" i="6"/>
  <c r="CP8" i="6" s="1"/>
  <c r="CK8" i="6"/>
  <c r="CL8" i="6" s="1"/>
  <c r="CG8" i="6"/>
  <c r="CH8" i="6" s="1"/>
  <c r="CC8" i="6"/>
  <c r="CD8" i="6" s="1"/>
  <c r="BY8" i="6"/>
  <c r="BZ8" i="6" s="1"/>
  <c r="BU8" i="6"/>
  <c r="BV8" i="6" s="1"/>
  <c r="BQ8" i="6"/>
  <c r="BR8" i="6" s="1"/>
  <c r="BK8" i="6"/>
  <c r="BL8" i="6" s="1"/>
  <c r="BI8" i="6"/>
  <c r="EI8" i="6" s="1"/>
  <c r="A8" i="6"/>
  <c r="GO8" i="6" s="1"/>
  <c r="GJ7" i="6"/>
  <c r="GB7" i="6"/>
  <c r="GA7" i="6"/>
  <c r="FP7" i="6"/>
  <c r="FQ7" i="6" s="1"/>
  <c r="FM7" i="6"/>
  <c r="FN7" i="6" s="1"/>
  <c r="FJ7" i="6"/>
  <c r="FK7" i="6" s="1"/>
  <c r="FG7" i="6"/>
  <c r="FH7" i="6" s="1"/>
  <c r="FD7" i="6"/>
  <c r="FE7" i="6" s="1"/>
  <c r="EA7" i="6"/>
  <c r="DX7" i="6"/>
  <c r="DY7" i="6" s="1"/>
  <c r="DQ7" i="6"/>
  <c r="DR7" i="6" s="1"/>
  <c r="DI7" i="6"/>
  <c r="DJ7" i="6" s="1"/>
  <c r="DA7" i="6"/>
  <c r="DB7" i="6" s="1"/>
  <c r="CS7" i="6"/>
  <c r="CT7" i="6" s="1"/>
  <c r="CO7" i="6"/>
  <c r="CP7" i="6" s="1"/>
  <c r="CK7" i="6"/>
  <c r="CL7" i="6" s="1"/>
  <c r="CG7" i="6"/>
  <c r="CH7" i="6" s="1"/>
  <c r="CC7" i="6"/>
  <c r="CD7" i="6" s="1"/>
  <c r="BY7" i="6"/>
  <c r="BZ7" i="6" s="1"/>
  <c r="BU7" i="6"/>
  <c r="BV7" i="6" s="1"/>
  <c r="BQ7" i="6"/>
  <c r="BR7" i="6" s="1"/>
  <c r="BK7" i="6"/>
  <c r="BL7" i="6" s="1"/>
  <c r="BI7" i="6"/>
  <c r="EI7" i="6" s="1"/>
  <c r="A7" i="6"/>
  <c r="GO7" i="6" s="1"/>
  <c r="GJ6" i="6"/>
  <c r="GB6" i="6"/>
  <c r="GA6" i="6"/>
  <c r="FP6" i="6"/>
  <c r="FQ6" i="6" s="1"/>
  <c r="FM6" i="6"/>
  <c r="FN6" i="6" s="1"/>
  <c r="FJ6" i="6"/>
  <c r="FK6" i="6" s="1"/>
  <c r="FG6" i="6"/>
  <c r="FH6" i="6" s="1"/>
  <c r="FD6" i="6"/>
  <c r="FE6" i="6" s="1"/>
  <c r="EA6" i="6"/>
  <c r="DX6" i="6"/>
  <c r="DY6" i="6" s="1"/>
  <c r="DQ6" i="6"/>
  <c r="DR6" i="6" s="1"/>
  <c r="DI6" i="6"/>
  <c r="DJ6" i="6" s="1"/>
  <c r="DA6" i="6"/>
  <c r="DB6" i="6" s="1"/>
  <c r="CS6" i="6"/>
  <c r="CT6" i="6" s="1"/>
  <c r="CO6" i="6"/>
  <c r="CP6" i="6" s="1"/>
  <c r="CK6" i="6"/>
  <c r="CL6" i="6" s="1"/>
  <c r="CG6" i="6"/>
  <c r="CH6" i="6" s="1"/>
  <c r="CC6" i="6"/>
  <c r="CD6" i="6" s="1"/>
  <c r="BY6" i="6"/>
  <c r="BZ6" i="6" s="1"/>
  <c r="BU6" i="6"/>
  <c r="BV6" i="6" s="1"/>
  <c r="BQ6" i="6"/>
  <c r="BR6" i="6" s="1"/>
  <c r="BK6" i="6"/>
  <c r="BL6" i="6" s="1"/>
  <c r="BI6" i="6"/>
  <c r="EI6" i="6" s="1"/>
  <c r="A6" i="6"/>
  <c r="GO6" i="6" s="1"/>
  <c r="GJ5" i="6"/>
  <c r="GB5" i="6"/>
  <c r="GA5" i="6"/>
  <c r="FP5" i="6"/>
  <c r="FQ5" i="6" s="1"/>
  <c r="FM5" i="6"/>
  <c r="FN5" i="6" s="1"/>
  <c r="FJ5" i="6"/>
  <c r="FK5" i="6" s="1"/>
  <c r="FG5" i="6"/>
  <c r="FH5" i="6" s="1"/>
  <c r="FD5" i="6"/>
  <c r="FE5" i="6" s="1"/>
  <c r="EA5" i="6"/>
  <c r="DX5" i="6"/>
  <c r="DY5" i="6" s="1"/>
  <c r="DQ5" i="6"/>
  <c r="DR5" i="6" s="1"/>
  <c r="DI5" i="6"/>
  <c r="DJ5" i="6" s="1"/>
  <c r="DA5" i="6"/>
  <c r="DB5" i="6" s="1"/>
  <c r="CS5" i="6"/>
  <c r="CT5" i="6" s="1"/>
  <c r="CO5" i="6"/>
  <c r="CP5" i="6" s="1"/>
  <c r="CK5" i="6"/>
  <c r="CL5" i="6" s="1"/>
  <c r="CG5" i="6"/>
  <c r="CH5" i="6" s="1"/>
  <c r="CC5" i="6"/>
  <c r="CD5" i="6" s="1"/>
  <c r="BY5" i="6"/>
  <c r="BZ5" i="6" s="1"/>
  <c r="BU5" i="6"/>
  <c r="BV5" i="6" s="1"/>
  <c r="BQ5" i="6"/>
  <c r="BR5" i="6" s="1"/>
  <c r="BK5" i="6"/>
  <c r="BL5" i="6" s="1"/>
  <c r="BI5" i="6"/>
  <c r="EI5" i="6" s="1"/>
  <c r="A5" i="6"/>
  <c r="GO5" i="6" s="1"/>
  <c r="GJ4" i="6"/>
  <c r="GB4" i="6"/>
  <c r="GA4" i="6"/>
  <c r="FP4" i="6"/>
  <c r="FQ4" i="6" s="1"/>
  <c r="FM4" i="6"/>
  <c r="FN4" i="6" s="1"/>
  <c r="FJ4" i="6"/>
  <c r="FK4" i="6" s="1"/>
  <c r="FG4" i="6"/>
  <c r="FH4" i="6" s="1"/>
  <c r="FD4" i="6"/>
  <c r="FE4" i="6" s="1"/>
  <c r="EA4" i="6"/>
  <c r="DX4" i="6"/>
  <c r="DY4" i="6" s="1"/>
  <c r="DQ4" i="6"/>
  <c r="DR4" i="6" s="1"/>
  <c r="DI4" i="6"/>
  <c r="DJ4" i="6" s="1"/>
  <c r="DA4" i="6"/>
  <c r="DB4" i="6" s="1"/>
  <c r="CS4" i="6"/>
  <c r="CT4" i="6" s="1"/>
  <c r="CO4" i="6"/>
  <c r="CP4" i="6" s="1"/>
  <c r="CK4" i="6"/>
  <c r="CL4" i="6" s="1"/>
  <c r="CG4" i="6"/>
  <c r="CH4" i="6" s="1"/>
  <c r="CC4" i="6"/>
  <c r="CD4" i="6" s="1"/>
  <c r="BY4" i="6"/>
  <c r="BZ4" i="6" s="1"/>
  <c r="BU4" i="6"/>
  <c r="BV4" i="6" s="1"/>
  <c r="BQ4" i="6"/>
  <c r="BR4" i="6" s="1"/>
  <c r="BK4" i="6"/>
  <c r="BL4" i="6" s="1"/>
  <c r="BI4" i="6"/>
  <c r="EI4" i="6" s="1"/>
  <c r="A4" i="6"/>
  <c r="GO4" i="6" s="1"/>
  <c r="GJ3" i="6"/>
  <c r="GB3" i="6"/>
  <c r="GA3" i="6"/>
  <c r="FP3" i="6"/>
  <c r="FQ3" i="6" s="1"/>
  <c r="FM3" i="6"/>
  <c r="FN3" i="6" s="1"/>
  <c r="FJ3" i="6"/>
  <c r="FK3" i="6" s="1"/>
  <c r="FG3" i="6"/>
  <c r="FH3" i="6" s="1"/>
  <c r="FD3" i="6"/>
  <c r="FE3" i="6" s="1"/>
  <c r="EA3" i="6"/>
  <c r="DX3" i="6"/>
  <c r="DY3" i="6" s="1"/>
  <c r="DQ3" i="6"/>
  <c r="DR3" i="6" s="1"/>
  <c r="DI3" i="6"/>
  <c r="DJ3" i="6" s="1"/>
  <c r="DA3" i="6"/>
  <c r="DB3" i="6" s="1"/>
  <c r="CS3" i="6"/>
  <c r="CT3" i="6" s="1"/>
  <c r="CO3" i="6"/>
  <c r="CP3" i="6" s="1"/>
  <c r="CK3" i="6"/>
  <c r="CL3" i="6" s="1"/>
  <c r="CG3" i="6"/>
  <c r="CH3" i="6" s="1"/>
  <c r="CC3" i="6"/>
  <c r="CD3" i="6" s="1"/>
  <c r="BY3" i="6"/>
  <c r="BZ3" i="6" s="1"/>
  <c r="BU3" i="6"/>
  <c r="BV3" i="6" s="1"/>
  <c r="BQ3" i="6"/>
  <c r="BR3" i="6" s="1"/>
  <c r="BK3" i="6"/>
  <c r="BL3" i="6" s="1"/>
  <c r="BI3" i="6"/>
  <c r="EI3" i="6" s="1"/>
  <c r="A3" i="6"/>
  <c r="GO3" i="6" s="1"/>
  <c r="EZ1" i="6"/>
  <c r="EW1" i="6"/>
  <c r="BJ1" i="6"/>
  <c r="EI16" i="6" l="1"/>
  <c r="EI17" i="6"/>
  <c r="EI24" i="6"/>
  <c r="EG26" i="6"/>
  <c r="EM26" i="6" s="1"/>
  <c r="EN26" i="6" s="1"/>
  <c r="EG25" i="6"/>
  <c r="EM25" i="6" s="1"/>
  <c r="EN25" i="6" s="1"/>
  <c r="EI23" i="6"/>
  <c r="EI22" i="6"/>
  <c r="EI21" i="6"/>
  <c r="EI20" i="6"/>
  <c r="EI19" i="6"/>
  <c r="EI18" i="6"/>
  <c r="EG15" i="6"/>
  <c r="EM15" i="6" s="1"/>
  <c r="EN15" i="6" s="1"/>
  <c r="GN14" i="6"/>
  <c r="EG14" i="6"/>
  <c r="EM14" i="6" s="1"/>
  <c r="EN14" i="6" s="1"/>
  <c r="GN13" i="6"/>
  <c r="EG13" i="6"/>
  <c r="EM13" i="6" s="1"/>
  <c r="EN13" i="6" s="1"/>
  <c r="EG12" i="6"/>
  <c r="EM12" i="6" s="1"/>
  <c r="EN12" i="6" s="1"/>
  <c r="GN12" i="6"/>
  <c r="EG11" i="6"/>
  <c r="EM11" i="6" s="1"/>
  <c r="EN11" i="6" s="1"/>
  <c r="GN11" i="6"/>
  <c r="GP11" i="6" s="1"/>
  <c r="EI10" i="6"/>
  <c r="GN10" i="6"/>
  <c r="EI9" i="6"/>
  <c r="GN9" i="6"/>
  <c r="EG8" i="6"/>
  <c r="EM8" i="6" s="1"/>
  <c r="EN8" i="6" s="1"/>
  <c r="GN8" i="6"/>
  <c r="EG7" i="6"/>
  <c r="EM7" i="6" s="1"/>
  <c r="EN7" i="6" s="1"/>
  <c r="GN7" i="6"/>
  <c r="EG6" i="6"/>
  <c r="EM6" i="6" s="1"/>
  <c r="EN6" i="6" s="1"/>
  <c r="GN6" i="6"/>
  <c r="EG5" i="6"/>
  <c r="EM5" i="6" s="1"/>
  <c r="EN5" i="6" s="1"/>
  <c r="GN5" i="6"/>
  <c r="EG4" i="6"/>
  <c r="EM4" i="6" s="1"/>
  <c r="EN4" i="6" s="1"/>
  <c r="GN4" i="6"/>
  <c r="EG3" i="6"/>
  <c r="EM3" i="6" s="1"/>
  <c r="EN3" i="6" s="1"/>
  <c r="GN3" i="6"/>
  <c r="GP14" i="6" l="1"/>
  <c r="GQ14" i="6" s="1"/>
  <c r="GR14" i="6" s="1"/>
  <c r="GP13" i="6"/>
  <c r="GQ13" i="6" s="1"/>
  <c r="GR13" i="6" s="1"/>
  <c r="GP12" i="6"/>
  <c r="GQ12" i="6" s="1"/>
  <c r="GR12" i="6" s="1"/>
  <c r="GQ11" i="6"/>
  <c r="GR11" i="6" s="1"/>
  <c r="GP10" i="6"/>
  <c r="GQ10" i="6" s="1"/>
  <c r="GR10" i="6" s="1"/>
  <c r="GP9" i="6"/>
  <c r="GQ9" i="6" s="1"/>
  <c r="GR9" i="6" s="1"/>
  <c r="GP8" i="6"/>
  <c r="GQ8" i="6" s="1"/>
  <c r="GR8" i="6" s="1"/>
  <c r="GP7" i="6"/>
  <c r="GQ7" i="6" s="1"/>
  <c r="GR7" i="6" s="1"/>
  <c r="GP6" i="6"/>
  <c r="GQ6" i="6" s="1"/>
  <c r="GR6" i="6" s="1"/>
  <c r="GP5" i="6"/>
  <c r="GQ5" i="6" s="1"/>
  <c r="GR5" i="6" s="1"/>
  <c r="GP4" i="6"/>
  <c r="GQ4" i="6" s="1"/>
  <c r="GR4" i="6" s="1"/>
  <c r="GP3" i="6"/>
  <c r="GQ3" i="6" s="1"/>
  <c r="GR3" i="6" s="1"/>
  <c r="GV14" i="6" l="1"/>
  <c r="GU14" i="6"/>
  <c r="GV13" i="6"/>
  <c r="GU13" i="6"/>
  <c r="GV12" i="6"/>
  <c r="GU12" i="6"/>
  <c r="GV11" i="6"/>
  <c r="GU11" i="6"/>
  <c r="GV10" i="6"/>
  <c r="GU10" i="6"/>
  <c r="GV9" i="6"/>
  <c r="GU9" i="6"/>
  <c r="GV8" i="6"/>
  <c r="GU8" i="6"/>
  <c r="GV7" i="6"/>
  <c r="GU7" i="6"/>
  <c r="GV6" i="6"/>
  <c r="GU6" i="6"/>
  <c r="GV5" i="6"/>
  <c r="GU5" i="6"/>
  <c r="GV4" i="6"/>
  <c r="GU4" i="6"/>
  <c r="GV3" i="6"/>
  <c r="GU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AC7B72B9-027D-4902-970F-C1BD441BC9A0}">
      <text/>
    </comment>
    <comment ref="C4" authorId="1" shapeId="0" xr:uid="{0ECB703E-BAB6-4EF8-80A2-7830C05EC5BF}">
      <text/>
    </comment>
    <comment ref="D4" authorId="1" shapeId="0" xr:uid="{3839FB81-4123-4FD6-8775-7A5594EEE37F}">
      <text/>
    </comment>
    <comment ref="E4" authorId="1" shapeId="0" xr:uid="{8603ED99-E016-46ED-98FB-B5253BEEE298}">
      <text/>
    </comment>
    <comment ref="F4" authorId="1" shapeId="0" xr:uid="{84EF6C6D-9633-410E-A748-EBCD71C97BF6}">
      <text/>
    </comment>
    <comment ref="G4" authorId="1" shapeId="0" xr:uid="{FF813E3F-228D-4EE3-9F4A-B3C0F8676B09}">
      <text/>
    </comment>
    <comment ref="H4" authorId="1" shapeId="0" xr:uid="{E6A8D915-DC09-49BE-B880-D34B45AD6617}">
      <text/>
    </comment>
    <comment ref="I4" authorId="1" shapeId="0" xr:uid="{26674A86-BBD3-4A26-BCCA-478E422CEDE9}">
      <text/>
    </comment>
    <comment ref="J4" authorId="1" shapeId="0" xr:uid="{BBCE7C16-E071-4B03-B431-F9BCFDE76269}">
      <text/>
    </comment>
    <comment ref="K4" authorId="1" shapeId="0" xr:uid="{791B48C5-E2E1-4A5E-BAC2-7C31FEA9FBA3}">
      <text/>
    </comment>
    <comment ref="L4" authorId="1" shapeId="0" xr:uid="{D4D03DD7-C855-451C-A05D-BB0B528E4580}">
      <text/>
    </comment>
    <comment ref="M4" authorId="1" shapeId="0" xr:uid="{1F51A18B-0F14-4A1C-94FD-99777A0E4FDF}">
      <text/>
    </comment>
    <comment ref="N4" authorId="1" shapeId="0" xr:uid="{E96CA491-DB01-48BA-A6B9-832A2AA037B4}">
      <text/>
    </comment>
    <comment ref="O4" authorId="1" shapeId="0" xr:uid="{07965B89-348B-492B-8B73-E80F87CFAE2C}">
      <text/>
    </comment>
    <comment ref="P4" authorId="1" shapeId="0" xr:uid="{85AA6B78-B03F-4497-8FC0-978F085DD2D2}">
      <text/>
    </comment>
    <comment ref="R4" authorId="1" shapeId="0" xr:uid="{6BF6491C-41AC-426C-918B-807653B271A6}">
      <text/>
    </comment>
    <comment ref="S4" authorId="1" shapeId="0" xr:uid="{6399BDB0-5009-4F4F-A707-3DF7D5C5982B}">
      <text/>
    </comment>
    <comment ref="T4" authorId="1" shapeId="0" xr:uid="{15A1A4EB-16EC-4C64-9376-E204E0B5AB00}">
      <text/>
    </comment>
    <comment ref="U4" authorId="1" shapeId="0" xr:uid="{4D61C4CF-497B-4A31-80B8-C9ECEA1BF603}">
      <text/>
    </comment>
    <comment ref="V4" authorId="1" shapeId="0" xr:uid="{A5209322-79ED-405C-A1B4-E9BCC22A48E3}">
      <text/>
    </comment>
    <comment ref="W4" authorId="1" shapeId="0" xr:uid="{6FE7474D-AAA1-4E57-802E-9F303E4A4E0C}">
      <text/>
    </comment>
    <comment ref="X4" authorId="1" shapeId="0" xr:uid="{DB6375A6-51B6-48DE-B099-34A55E2C8D7B}">
      <text/>
    </comment>
    <comment ref="Y4" authorId="1" shapeId="0" xr:uid="{B3CAC178-1787-4255-BB5F-4BB16EDFF663}">
      <text/>
    </comment>
    <comment ref="Z4" authorId="1" shapeId="0" xr:uid="{31969BCA-F6CF-421B-859B-93ED74E25893}">
      <text/>
    </comment>
    <comment ref="AA4" authorId="1" shapeId="0" xr:uid="{9D00618D-1D61-436E-84A6-47A19DB4422E}">
      <text/>
    </comment>
    <comment ref="AB4" authorId="1" shapeId="0" xr:uid="{ECFD75C1-5422-49E7-BFB3-6EE0CD9B6AF7}">
      <text/>
    </comment>
    <comment ref="AC4" authorId="1" shapeId="0" xr:uid="{3731C823-032F-44B0-85D8-DB2F0A704328}">
      <text/>
    </comment>
    <comment ref="AD4" authorId="1" shapeId="0" xr:uid="{EA16C10D-B1D0-47B9-B8ED-3839B5A557F5}">
      <text/>
    </comment>
    <comment ref="AE4" authorId="1" shapeId="0" xr:uid="{49B1A554-E37B-40C2-8278-402DB98A7DCD}">
      <text/>
    </comment>
    <comment ref="AF4" authorId="1" shapeId="0" xr:uid="{F588B61C-EC66-4781-BD1B-207D86C60365}">
      <text/>
    </comment>
    <comment ref="AG4" authorId="1" shapeId="0" xr:uid="{586F0BEB-4F82-4959-AF0B-3DEC335FB669}">
      <text/>
    </comment>
    <comment ref="AH4" authorId="1" shapeId="0" xr:uid="{D79B1F02-FB54-4976-94F9-D9D779AC7A3D}">
      <text/>
    </comment>
    <comment ref="AI4" authorId="1" shapeId="0" xr:uid="{541E1737-77E8-4848-BE7E-76354F051A69}">
      <text/>
    </comment>
    <comment ref="AJ4" authorId="1" shapeId="0" xr:uid="{7BC8A5FB-86C1-46BF-96B3-11B42FF1A0CA}">
      <text/>
    </comment>
    <comment ref="AK4" authorId="1" shapeId="0" xr:uid="{CE3564E0-A07B-4A6D-A754-D23C3D6AFEB1}">
      <text/>
    </comment>
    <comment ref="AL4" authorId="1" shapeId="0" xr:uid="{08041212-0591-42EF-875E-CEB231935637}">
      <text/>
    </comment>
    <comment ref="AM4" authorId="1" shapeId="0" xr:uid="{662E1943-50C5-4ED6-B4D2-34D63320C2A0}">
      <text/>
    </comment>
    <comment ref="AN4" authorId="1" shapeId="0" xr:uid="{2737EB28-7CBB-4E14-B742-B25EA0317E9F}">
      <text/>
    </comment>
    <comment ref="AO4" authorId="1" shapeId="0" xr:uid="{61481992-1F30-46F8-BA14-5954146B096B}">
      <text/>
    </comment>
    <comment ref="AP4" authorId="1" shapeId="0" xr:uid="{BB397CD8-21BD-45B4-83FA-B4BF077A1511}">
      <text/>
    </comment>
    <comment ref="AQ4" authorId="1" shapeId="0" xr:uid="{33464E6A-03E9-4DD1-B501-F6C4F2F27778}">
      <text/>
    </comment>
    <comment ref="AR4" authorId="1" shapeId="0" xr:uid="{B6ED4C12-6817-46B0-8726-6B002026100D}">
      <text/>
    </comment>
    <comment ref="AS4" authorId="1" shapeId="0" xr:uid="{4D6F9B3D-399A-43E1-93FE-2667CB1BE19C}">
      <text/>
    </comment>
    <comment ref="AT4" authorId="1" shapeId="0" xr:uid="{770F6DA1-A21A-4960-9FF2-243B59F5022B}">
      <text/>
    </comment>
    <comment ref="AU4" authorId="1" shapeId="0" xr:uid="{D2E4E018-8B5B-4A81-9F59-0F1234E1C1B4}">
      <text/>
    </comment>
    <comment ref="AV4" authorId="1" shapeId="0" xr:uid="{7DF5ED61-C8AA-41DD-8FA0-1D55B9F7E20E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</authors>
  <commentList>
    <comment ref="AW2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200-000001000000}">
      <text/>
    </comment>
    <comment ref="C4" authorId="1" shapeId="0" xr:uid="{00000000-0006-0000-0200-000002000000}">
      <text/>
    </comment>
    <comment ref="D4" authorId="1" shapeId="0" xr:uid="{00000000-0006-0000-0200-000003000000}">
      <text/>
    </comment>
    <comment ref="E4" authorId="1" shapeId="0" xr:uid="{00000000-0006-0000-0200-000004000000}">
      <text/>
    </comment>
    <comment ref="F4" authorId="1" shapeId="0" xr:uid="{00000000-0006-0000-0200-000005000000}">
      <text/>
    </comment>
    <comment ref="G4" authorId="1" shapeId="0" xr:uid="{00000000-0006-0000-0200-000006000000}">
      <text/>
    </comment>
    <comment ref="H4" authorId="1" shapeId="0" xr:uid="{00000000-0006-0000-0200-000007000000}">
      <text/>
    </comment>
    <comment ref="I4" authorId="1" shapeId="0" xr:uid="{00000000-0006-0000-0200-000008000000}">
      <text/>
    </comment>
    <comment ref="J4" authorId="1" shapeId="0" xr:uid="{00000000-0006-0000-0200-000009000000}">
      <text/>
    </comment>
    <comment ref="K4" authorId="1" shapeId="0" xr:uid="{00000000-0006-0000-0200-00000A000000}">
      <text/>
    </comment>
    <comment ref="L4" authorId="1" shapeId="0" xr:uid="{00000000-0006-0000-0200-00000B000000}">
      <text/>
    </comment>
    <comment ref="M4" authorId="1" shapeId="0" xr:uid="{00000000-0006-0000-0200-00000C000000}">
      <text/>
    </comment>
    <comment ref="N4" authorId="1" shapeId="0" xr:uid="{00000000-0006-0000-0200-00000D000000}">
      <text/>
    </comment>
    <comment ref="O4" authorId="1" shapeId="0" xr:uid="{00000000-0006-0000-0200-00000E000000}">
      <text/>
    </comment>
    <comment ref="P4" authorId="1" shapeId="0" xr:uid="{00000000-0006-0000-0200-00000F000000}">
      <text/>
    </comment>
    <comment ref="R4" authorId="1" shapeId="0" xr:uid="{00000000-0006-0000-0200-000010000000}">
      <text/>
    </comment>
    <comment ref="S4" authorId="1" shapeId="0" xr:uid="{00000000-0006-0000-0200-000011000000}">
      <text/>
    </comment>
    <comment ref="T4" authorId="1" shapeId="0" xr:uid="{00000000-0006-0000-0200-000012000000}">
      <text/>
    </comment>
    <comment ref="U4" authorId="1" shapeId="0" xr:uid="{00000000-0006-0000-0200-000013000000}">
      <text/>
    </comment>
    <comment ref="V4" authorId="1" shapeId="0" xr:uid="{00000000-0006-0000-0200-000014000000}">
      <text/>
    </comment>
    <comment ref="W4" authorId="1" shapeId="0" xr:uid="{00000000-0006-0000-0200-000015000000}">
      <text/>
    </comment>
    <comment ref="X4" authorId="1" shapeId="0" xr:uid="{00000000-0006-0000-0200-000016000000}">
      <text/>
    </comment>
    <comment ref="Y4" authorId="1" shapeId="0" xr:uid="{00000000-0006-0000-0200-000017000000}">
      <text/>
    </comment>
    <comment ref="Z4" authorId="1" shapeId="0" xr:uid="{00000000-0006-0000-0200-000018000000}">
      <text/>
    </comment>
    <comment ref="AA4" authorId="1" shapeId="0" xr:uid="{00000000-0006-0000-0200-000019000000}">
      <text/>
    </comment>
    <comment ref="AB4" authorId="1" shapeId="0" xr:uid="{00000000-0006-0000-0200-00001A000000}">
      <text/>
    </comment>
    <comment ref="AC4" authorId="1" shapeId="0" xr:uid="{00000000-0006-0000-0200-00001B000000}">
      <text/>
    </comment>
    <comment ref="AD4" authorId="1" shapeId="0" xr:uid="{00000000-0006-0000-0200-00001C000000}">
      <text/>
    </comment>
    <comment ref="AE4" authorId="1" shapeId="0" xr:uid="{00000000-0006-0000-0200-00001D000000}">
      <text/>
    </comment>
    <comment ref="AF4" authorId="1" shapeId="0" xr:uid="{00000000-0006-0000-0200-00001E000000}">
      <text/>
    </comment>
    <comment ref="AG4" authorId="1" shapeId="0" xr:uid="{00000000-0006-0000-0200-00001F000000}">
      <text/>
    </comment>
    <comment ref="AH4" authorId="1" shapeId="0" xr:uid="{00000000-0006-0000-0200-000020000000}">
      <text/>
    </comment>
    <comment ref="AI4" authorId="1" shapeId="0" xr:uid="{00000000-0006-0000-0200-000021000000}">
      <text/>
    </comment>
    <comment ref="AJ4" authorId="1" shapeId="0" xr:uid="{00000000-0006-0000-0200-000022000000}">
      <text/>
    </comment>
    <comment ref="AK4" authorId="1" shapeId="0" xr:uid="{00000000-0006-0000-0200-000023000000}">
      <text/>
    </comment>
    <comment ref="AL4" authorId="1" shapeId="0" xr:uid="{00000000-0006-0000-0200-000024000000}">
      <text/>
    </comment>
    <comment ref="AM4" authorId="1" shapeId="0" xr:uid="{00000000-0006-0000-0200-000025000000}">
      <text/>
    </comment>
    <comment ref="AN4" authorId="1" shapeId="0" xr:uid="{00000000-0006-0000-0200-000026000000}">
      <text/>
    </comment>
    <comment ref="AO4" authorId="1" shapeId="0" xr:uid="{00000000-0006-0000-0200-000027000000}">
      <text/>
    </comment>
    <comment ref="AP4" authorId="1" shapeId="0" xr:uid="{00000000-0006-0000-0200-000028000000}">
      <text/>
    </comment>
    <comment ref="AQ4" authorId="1" shapeId="0" xr:uid="{00000000-0006-0000-0200-000029000000}">
      <text/>
    </comment>
    <comment ref="AR4" authorId="1" shapeId="0" xr:uid="{00000000-0006-0000-0200-00002A000000}">
      <text/>
    </comment>
    <comment ref="AS4" authorId="1" shapeId="0" xr:uid="{00000000-0006-0000-0200-00002B000000}">
      <text/>
    </comment>
    <comment ref="AT4" authorId="1" shapeId="0" xr:uid="{00000000-0006-0000-0200-00002C000000}">
      <text/>
    </comment>
    <comment ref="AU4" authorId="1" shapeId="0" xr:uid="{00000000-0006-0000-0200-00002D000000}">
      <text/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5E809D3C-3AC8-4800-A34C-BFFAEC944AA7}">
      <text/>
    </comment>
    <comment ref="C4" authorId="1" shapeId="0" xr:uid="{DE91CAA3-5AA5-40EB-9481-2C6292F0E553}">
      <text/>
    </comment>
    <comment ref="D4" authorId="1" shapeId="0" xr:uid="{DDFBDAC8-41D7-4F89-A5E9-AF8D3E043CC9}">
      <text/>
    </comment>
    <comment ref="E4" authorId="1" shapeId="0" xr:uid="{E1E4BCB2-8589-4A95-A8BA-2F514CA45C5E}">
      <text/>
    </comment>
    <comment ref="F4" authorId="1" shapeId="0" xr:uid="{3F17498A-CB0A-4D62-B1AD-85844B613D7F}">
      <text/>
    </comment>
    <comment ref="G4" authorId="1" shapeId="0" xr:uid="{ADF7CC83-6189-41BA-83FC-6EB1826FB32C}">
      <text/>
    </comment>
    <comment ref="H4" authorId="1" shapeId="0" xr:uid="{8D532CB1-8361-4C6F-86EB-D8D6F4F2AA21}">
      <text/>
    </comment>
    <comment ref="I4" authorId="1" shapeId="0" xr:uid="{09426591-7685-4F7F-A151-6376FD319D78}">
      <text/>
    </comment>
    <comment ref="J4" authorId="1" shapeId="0" xr:uid="{E9C02EB4-E96F-4DCA-A970-C01DFF7F349A}">
      <text/>
    </comment>
    <comment ref="K4" authorId="1" shapeId="0" xr:uid="{5814E5E0-6A3C-447B-9432-58046F8045AA}">
      <text/>
    </comment>
    <comment ref="L4" authorId="1" shapeId="0" xr:uid="{93EBA91B-589C-4F56-A1AE-D4F7A41628B6}">
      <text/>
    </comment>
    <comment ref="M4" authorId="1" shapeId="0" xr:uid="{447820E8-4837-4377-A99E-ED36A19F9B46}">
      <text/>
    </comment>
    <comment ref="N4" authorId="1" shapeId="0" xr:uid="{B5EB6DEC-DB27-4A8B-B289-FB670DBD4B9E}">
      <text/>
    </comment>
    <comment ref="O4" authorId="1" shapeId="0" xr:uid="{6F58F928-4976-4336-901C-F896ADB53AF2}">
      <text/>
    </comment>
    <comment ref="P4" authorId="1" shapeId="0" xr:uid="{E493ACA9-7B8E-421C-833F-4C2C823A5AFB}">
      <text/>
    </comment>
    <comment ref="R4" authorId="1" shapeId="0" xr:uid="{15F865FB-34DA-4681-9C93-9845A08C6F11}">
      <text/>
    </comment>
    <comment ref="S4" authorId="1" shapeId="0" xr:uid="{FF1DF22F-856E-4186-A6E8-AFBD586452A8}">
      <text/>
    </comment>
    <comment ref="T4" authorId="1" shapeId="0" xr:uid="{03FA6106-A826-46E0-8B4F-A648AF3F7CDA}">
      <text/>
    </comment>
    <comment ref="U4" authorId="1" shapeId="0" xr:uid="{88464BF0-9521-432F-BEFD-3E9AFEDB2E17}">
      <text/>
    </comment>
    <comment ref="V4" authorId="1" shapeId="0" xr:uid="{9D457EA3-2001-4C42-A9C8-45DDDA68E7BD}">
      <text/>
    </comment>
    <comment ref="W4" authorId="1" shapeId="0" xr:uid="{1B71672A-3DCD-486F-AB44-68016CBBDDAA}">
      <text/>
    </comment>
    <comment ref="X4" authorId="1" shapeId="0" xr:uid="{9E3B2ED6-E305-466B-AB3F-C11570BF57BF}">
      <text/>
    </comment>
    <comment ref="Y4" authorId="1" shapeId="0" xr:uid="{CAD1DD97-4105-40E2-8FA8-41EF77EAAC5C}">
      <text/>
    </comment>
    <comment ref="Z4" authorId="1" shapeId="0" xr:uid="{08DF6E44-9DAB-4199-8933-C6EB4E988162}">
      <text/>
    </comment>
    <comment ref="AA4" authorId="1" shapeId="0" xr:uid="{156B37B7-8301-4C38-944E-82F8C9133267}">
      <text/>
    </comment>
    <comment ref="AB4" authorId="1" shapeId="0" xr:uid="{C5AA7629-BD78-4FC3-A9C0-A66807947C86}">
      <text/>
    </comment>
    <comment ref="AC4" authorId="1" shapeId="0" xr:uid="{78B43132-4D25-47ED-BF35-3B1CD90BB3B0}">
      <text/>
    </comment>
    <comment ref="AD4" authorId="1" shapeId="0" xr:uid="{1ACD9003-94A3-4F4A-8717-B12046238B16}">
      <text/>
    </comment>
    <comment ref="AE4" authorId="1" shapeId="0" xr:uid="{C78C7B7A-BE96-49DD-9A04-29C491C323C5}">
      <text/>
    </comment>
    <comment ref="AF4" authorId="1" shapeId="0" xr:uid="{A2E09032-F2C7-47C4-92CB-3E4AA244D7C6}">
      <text/>
    </comment>
    <comment ref="AG4" authorId="1" shapeId="0" xr:uid="{5E38A835-635C-4E67-B2EC-6D9E340989BA}">
      <text/>
    </comment>
    <comment ref="AH4" authorId="1" shapeId="0" xr:uid="{2DD3779D-D099-4EF1-B31F-6722EA0D8652}">
      <text/>
    </comment>
    <comment ref="AI4" authorId="1" shapeId="0" xr:uid="{02F2B5DC-2C30-4671-BC6A-28810037A0CF}">
      <text/>
    </comment>
    <comment ref="AJ4" authorId="1" shapeId="0" xr:uid="{CD263124-13AD-43C3-B64B-D5DA1C172144}">
      <text/>
    </comment>
    <comment ref="AK4" authorId="1" shapeId="0" xr:uid="{B8830C2E-71E8-4EC8-A36B-BE5987A424E3}">
      <text/>
    </comment>
    <comment ref="AL4" authorId="1" shapeId="0" xr:uid="{EF0F5268-C494-4E73-BB7B-E1071342A9EF}">
      <text/>
    </comment>
    <comment ref="AM4" authorId="1" shapeId="0" xr:uid="{A27D35B3-89AE-4604-AC49-12655F5B4BBC}">
      <text/>
    </comment>
    <comment ref="AN4" authorId="1" shapeId="0" xr:uid="{0115BD01-B98D-48A2-808E-B32052C2C1FA}">
      <text/>
    </comment>
    <comment ref="AO4" authorId="1" shapeId="0" xr:uid="{B74D1ADF-128D-4E84-A141-82F52586C2F5}">
      <text/>
    </comment>
    <comment ref="AP4" authorId="1" shapeId="0" xr:uid="{A27892BA-D488-4508-A71D-68A4DC6C6623}">
      <text/>
    </comment>
    <comment ref="AQ4" authorId="1" shapeId="0" xr:uid="{B36A65B9-1860-48F2-87DC-17590969D838}">
      <text/>
    </comment>
    <comment ref="AR4" authorId="1" shapeId="0" xr:uid="{58A874A0-2AD2-49FD-9E76-CC8CF0427FD1}">
      <text/>
    </comment>
    <comment ref="AS4" authorId="1" shapeId="0" xr:uid="{497000CD-6C35-4A8B-B1DD-6CEE40DBC01F}">
      <text/>
    </comment>
    <comment ref="AT4" authorId="1" shapeId="0" xr:uid="{9368DA87-DE3B-41FB-B0A2-3A39FA7DC065}">
      <text/>
    </comment>
    <comment ref="AU4" authorId="1" shapeId="0" xr:uid="{4D3C040A-9F95-4C0D-ACE8-BE87603AD19C}">
      <text/>
    </comment>
    <comment ref="AV4" authorId="1" shapeId="0" xr:uid="{19F4BA83-6C1C-4A8E-B477-3AE4F53EF46C}">
      <text/>
    </comment>
  </commentList>
</comments>
</file>

<file path=xl/sharedStrings.xml><?xml version="1.0" encoding="utf-8"?>
<sst xmlns="http://schemas.openxmlformats.org/spreadsheetml/2006/main" count="2256" uniqueCount="399">
  <si>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</si>
  <si>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</si>
  <si>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</si>
  <si>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</si>
  <si>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</si>
  <si>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</si>
  <si>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</si>
  <si>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</si>
  <si>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</si>
  <si>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</si>
  <si>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</si>
  <si>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</si>
  <si>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</si>
  <si>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</si>
  <si>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</si>
  <si>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</si>
  <si>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PrecoConteudoOnlineFidel</t>
  </si>
  <si>
    <t>PrecoConteudoOnlineSemFidel</t>
  </si>
  <si>
    <t>.CodigoPlanoConteudoOnline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</si>
  <si>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</si>
  <si>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</si>
  <si>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</si>
  <si>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</si>
  <si>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</si>
  <si>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</si>
  <si>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</si>
  <si>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</si>
  <si>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</si>
  <si>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</si>
  <si>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</si>
  <si>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</si>
  <si>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</si>
  <si>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</si>
  <si>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</si>
  <si>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</si>
  <si>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</si>
  <si>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</si>
  <si>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</si>
  <si>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</si>
  <si>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</si>
  <si>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</si>
  <si>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</si>
  <si>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</si>
  <si>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</si>
  <si>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</si>
  <si>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</si>
  <si>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</si>
  <si>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</si>
  <si>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</si>
  <si>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</si>
  <si>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</si>
  <si>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</si>
  <si>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.MinVCoferta</t>
  </si>
  <si>
    <t>.MinLDOfertaFixo</t>
  </si>
  <si>
    <t>.ValorMultaFidel</t>
  </si>
  <si>
    <t>.TipoPreco</t>
  </si>
  <si>
    <t>.NivelPrecoRet</t>
  </si>
  <si>
    <t>EmpacotaDados</t>
  </si>
  <si>
    <t>.ClassificacaoPreco</t>
  </si>
  <si>
    <t>.EmpacotaDados</t>
  </si>
  <si>
    <t>"Fixo Ilimitado"</t>
  </si>
  <si>
    <t>Oi Total Fixo + Pós Conectado Mais + Banda LargaN2MG</t>
  </si>
  <si>
    <t>Portfolio</t>
  </si>
  <si>
    <t>Estratégia</t>
  </si>
  <si>
    <t>Elegibilidade</t>
  </si>
  <si>
    <t>Oi Vende</t>
  </si>
  <si>
    <t>Canais</t>
  </si>
  <si>
    <t>Campanha</t>
  </si>
  <si>
    <t>Data</t>
  </si>
  <si>
    <t>Configurações da Campanha</t>
  </si>
  <si>
    <t>Regras de Campanha</t>
  </si>
  <si>
    <t>Configurações da Oferta</t>
  </si>
  <si>
    <t>Assinatura Velox 300Kb (PCS-30874g)
R$ 96,93</t>
  </si>
  <si>
    <t>Assinatura Velox 600Kb (PCS-30577g)
R$ 96,93</t>
  </si>
  <si>
    <t>Assinatura Velox 1Mb (PCS-30604g)
R$ 96,93</t>
  </si>
  <si>
    <t>Assinatura Velox 2Mb (PCS-30631g)
R$ 98,26</t>
  </si>
  <si>
    <t>Assinatura Velox 5Mb (PCS-30658g)
R$ 112,31</t>
  </si>
  <si>
    <t>Assinatura Velox 10Mb (PCS-30685g)
R$ 126,34</t>
  </si>
  <si>
    <t>Assinatura Velox 15Mb (PCS-30712g)
R$ 14,38</t>
  </si>
  <si>
    <t>Assinatura Velox 20Mb (PCS-30739g)
R$ 210,58</t>
  </si>
  <si>
    <t>Assinatura Velox 25Mb (PCS-30766g)
R$ 280,77</t>
  </si>
  <si>
    <t>Assinatura Velox 30Mb (PCS-30793g)
R$ 280,77</t>
  </si>
  <si>
    <t>Assinatura Velox 35Mb (PCS-3820g)
R$ 280,77</t>
  </si>
  <si>
    <t>Oi Internet Móvel Substituta 1GB (PCS-21448p2)
R$ 127,9</t>
  </si>
  <si>
    <t>Benefício SVA Indeterminado 
R$ 21,43</t>
  </si>
  <si>
    <t>Preço Móvel</t>
  </si>
  <si>
    <t>Preço Dependente</t>
  </si>
  <si>
    <t>Dados para Celular</t>
  </si>
  <si>
    <t>Oi Internet pra Celular 1GB (PCS-10357)
R$ 65,68</t>
  </si>
  <si>
    <t>Oi Internet pra Celular 2GB (PCS-813565)
R$ 37,95</t>
  </si>
  <si>
    <t>Oi Internet pra Celular 3GB (PCS-7171B)
R$ 98,15</t>
  </si>
  <si>
    <t>Oi Internet pra Celular 5GB (PCS-51793o08)
R$ 142,15</t>
  </si>
  <si>
    <t>Oi Internet pra Celular 10GB (PCS-7171A)
R$ 196,31</t>
  </si>
  <si>
    <t>SVA Dados</t>
  </si>
  <si>
    <t>Aparelhos</t>
  </si>
  <si>
    <t>Multa</t>
  </si>
  <si>
    <t>Benefícios de Minutos/SMS</t>
  </si>
  <si>
    <t>Chip Alone</t>
  </si>
  <si>
    <t>TOTAIS</t>
  </si>
  <si>
    <t>Campos de uso livre</t>
  </si>
  <si>
    <t>chave</t>
  </si>
  <si>
    <t>Portfolio
(linguagem comercial)</t>
  </si>
  <si>
    <t>Estratégia 
(aquisição, retenção ou Oi Pontos)</t>
  </si>
  <si>
    <t>Cliente Elegivel</t>
  </si>
  <si>
    <t>Visível no Oi Vende?</t>
  </si>
  <si>
    <t>Oi BSIM R1</t>
  </si>
  <si>
    <t>Oi BSIM R2</t>
  </si>
  <si>
    <t>Atendimento</t>
  </si>
  <si>
    <t>BO Atendimento</t>
  </si>
  <si>
    <t>Ouvidoria</t>
  </si>
  <si>
    <t>Auditoria de Vendas</t>
  </si>
  <si>
    <t>BO Contratos</t>
  </si>
  <si>
    <t>Hotline</t>
  </si>
  <si>
    <t>BO Hotline</t>
  </si>
  <si>
    <t>Faranqua Alto Valor</t>
  </si>
  <si>
    <t>Franquia Oi Atende</t>
  </si>
  <si>
    <t>Agex</t>
  </si>
  <si>
    <t>Agex Simples</t>
  </si>
  <si>
    <t>Lojas Próprias</t>
  </si>
  <si>
    <t>Pap</t>
  </si>
  <si>
    <t>Televendas Ativo 3P RES</t>
  </si>
  <si>
    <t>Televendas Ativo 4P/ 3P Móvel</t>
  </si>
  <si>
    <t>Televendas Receptivo 3P RES</t>
  </si>
  <si>
    <t>Televendas Receptivo 4P/ 3P MÓVEL</t>
  </si>
  <si>
    <t>Teleagentes</t>
  </si>
  <si>
    <t>Teleagentes 4P</t>
  </si>
  <si>
    <t>Web</t>
  </si>
  <si>
    <t>Retenção</t>
  </si>
  <si>
    <t>BO Retenção</t>
  </si>
  <si>
    <t>Cobrança (Novo!)</t>
  </si>
  <si>
    <t>Ativo de reversão (Novo!)</t>
  </si>
  <si>
    <t>Ilha de loja (Novo!)</t>
  </si>
  <si>
    <t>Portabilidade (Novo!)</t>
  </si>
  <si>
    <t>Blindagem Oi ToTal</t>
  </si>
  <si>
    <t>Blindagem</t>
  </si>
  <si>
    <t>Ilha de Migração</t>
  </si>
  <si>
    <t>Rentabilização</t>
  </si>
  <si>
    <t>Procon</t>
  </si>
  <si>
    <t>JEC</t>
  </si>
  <si>
    <t>BO Oi Pontos</t>
  </si>
  <si>
    <t>x</t>
  </si>
  <si>
    <t>Operações Especiais Retenção (Propenso e Ativo Reversão)</t>
  </si>
  <si>
    <t>PDV's específicos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</si>
  <si>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</si>
  <si>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</si>
  <si>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</si>
  <si>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</si>
  <si>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</si>
  <si>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</si>
  <si>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</si>
  <si>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</si>
  <si>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</si>
  <si>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</si>
  <si>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</si>
  <si>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</si>
  <si>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</si>
  <si>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</si>
  <si>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</si>
  <si>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</si>
  <si>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</si>
  <si>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</si>
  <si>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Comercial</t>
  </si>
  <si>
    <t>% Desc Ajust</t>
  </si>
  <si>
    <t>Código</t>
  </si>
  <si>
    <t>Conteúdo</t>
  </si>
  <si>
    <t>Código 
Conteúdo</t>
  </si>
  <si>
    <t>Comercial/
Tratamento</t>
  </si>
  <si>
    <t>% Desc</t>
  </si>
  <si>
    <t>Duração
Meses</t>
  </si>
  <si>
    <t>% Desc
(ind)</t>
  </si>
  <si>
    <t>Comercial SVA</t>
  </si>
  <si>
    <t>Gratuidade?</t>
  </si>
  <si>
    <t xml:space="preserve">
Duração
Meses</t>
  </si>
  <si>
    <t>Arbor</t>
  </si>
  <si>
    <t>Assinatura Titular</t>
  </si>
  <si>
    <t>Desconto Ass. Titular</t>
  </si>
  <si>
    <t>Nome Benefício</t>
  </si>
  <si>
    <t>Comercial (Franquia+Ass) MÓVEL</t>
  </si>
  <si>
    <t>Assinatura dependente</t>
  </si>
  <si>
    <t>Desconto Ass. DEP</t>
  </si>
  <si>
    <t>Intragrupo</t>
  </si>
  <si>
    <t>Desconto Intragrupo</t>
  </si>
  <si>
    <t xml:space="preserve">
Regra da Oferta
Dados para Celular</t>
  </si>
  <si>
    <t>Pincipal (Titular)</t>
  </si>
  <si>
    <t xml:space="preserve">
% Desc
(ind)</t>
  </si>
  <si>
    <t>Aparelhos?
Sim / Não</t>
  </si>
  <si>
    <t>Códigos e nomes dos aparelhos a serem cadastrados (copiar numa única célula os codigos e nomes)</t>
  </si>
  <si>
    <t>Sim/ Não</t>
  </si>
  <si>
    <t>Tipo
Benefício/ Aparelho/ Oi Pontos</t>
  </si>
  <si>
    <t>Valor da multa</t>
  </si>
  <si>
    <t>Duração (meses)</t>
  </si>
  <si>
    <t>Benefício que gerou a fidelização</t>
  </si>
  <si>
    <t>Código Benefício que gerou Fidelização</t>
  </si>
  <si>
    <t xml:space="preserve">ELEMENTO DE MULTA </t>
  </si>
  <si>
    <t>Tipo do benefício</t>
  </si>
  <si>
    <t>Nome do benefício</t>
  </si>
  <si>
    <t>Elementos</t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</si>
  <si>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rFont val="Calibri"/>
        <family val="2"/>
        <scheme val="minor"/>
      </rPr>
      <t>[Móvel]
[Dados]</t>
    </r>
  </si>
  <si>
    <t>Livre 1</t>
  </si>
  <si>
    <t>Livre 2</t>
  </si>
  <si>
    <t>NIVEL</t>
  </si>
  <si>
    <t>SVA CAP</t>
  </si>
  <si>
    <t>SVA RETENÇÃO</t>
  </si>
  <si>
    <t>DESCONTO</t>
  </si>
  <si>
    <t>Livre 7</t>
  </si>
  <si>
    <t>Livre 8</t>
  </si>
  <si>
    <t>Livre 9</t>
  </si>
  <si>
    <t>Livre 10</t>
  </si>
  <si>
    <t>dif</t>
  </si>
  <si>
    <t>Linha</t>
  </si>
  <si>
    <t>Mensagem de Erro</t>
  </si>
  <si>
    <t>Oi Total</t>
  </si>
  <si>
    <t>Novos e Atuais</t>
  </si>
  <si>
    <t>Não</t>
  </si>
  <si>
    <t>X</t>
  </si>
  <si>
    <t>OT_SET17_RET_CONEC_137_P800_ILIMOI_BL2</t>
  </si>
  <si>
    <t>Vender OI Total com Fidelidade F+BL+P</t>
  </si>
  <si>
    <t>Produto Fixo + Banda Larga + Pós + Dados com fidelização</t>
  </si>
  <si>
    <t>20. Oi Total</t>
  </si>
  <si>
    <t>Varejo</t>
  </si>
  <si>
    <t>Campanha Restrita</t>
  </si>
  <si>
    <t>Sim</t>
  </si>
  <si>
    <t>Oi Total Fixo + Pós 800 + Banda Larga</t>
  </si>
  <si>
    <t>MKT-1-9825601270</t>
  </si>
  <si>
    <t>0T0T_PAI17_RET_ASSINATURA_MÓVEL_RS15.00.</t>
  </si>
  <si>
    <t>MKT-1-9993306541</t>
  </si>
  <si>
    <t>Benefício</t>
  </si>
  <si>
    <t>Oi benefício fidelização Multiprodutos</t>
  </si>
  <si>
    <t>LD + VC Oi</t>
  </si>
  <si>
    <t>0T0T_MIN_LDN_270000</t>
  </si>
  <si>
    <t>MKT-1-8611306447</t>
  </si>
  <si>
    <t>SMS</t>
  </si>
  <si>
    <t>0T0T_SMS_50000</t>
  </si>
  <si>
    <t>MKT-1-8269296658</t>
  </si>
  <si>
    <t>PCS-SBL11111</t>
  </si>
  <si>
    <t>MG</t>
  </si>
  <si>
    <t>N1</t>
  </si>
  <si>
    <t>Erro:  Linha 139</t>
  </si>
  <si>
    <t>Franquia minutos não prevista</t>
  </si>
  <si>
    <t>OT_SET17_RET_CONEC_138_P800_ILIMOI_BL5</t>
  </si>
  <si>
    <t>Tratamento</t>
  </si>
  <si>
    <t>MKT-1-9825601765</t>
  </si>
  <si>
    <t>Erro:  Linha 140</t>
  </si>
  <si>
    <t>OT_SET17_RET_CONEC_139_P800_ILIMOI_1GB_BL2</t>
  </si>
  <si>
    <t>Exige pelo menos um Pacote de dados</t>
  </si>
  <si>
    <t>1GB</t>
  </si>
  <si>
    <t>MKT-1-10026767331</t>
  </si>
  <si>
    <t>Erro:  Linha 141</t>
  </si>
  <si>
    <t>OT_SET17_RET_CONEC_140_P800_ILIMOI_1GB_BL5</t>
  </si>
  <si>
    <t>Erro:  Linha 142</t>
  </si>
  <si>
    <t>OT_SET17_RET_CONEC_141_P800_ILIMOI_2GB_BL2</t>
  </si>
  <si>
    <t>2GB</t>
  </si>
  <si>
    <t>Erro:  Linha 143</t>
  </si>
  <si>
    <t>OT_SET17_RET_CONEC_142_P800_ILIMOI_2GB_BL5</t>
  </si>
  <si>
    <t>Erro:  Linha 144</t>
  </si>
  <si>
    <t>OT_SET17_RET_CONEC_143_P800_ILIMOI_3GB_BL2</t>
  </si>
  <si>
    <t>3GB</t>
  </si>
  <si>
    <t>Erro:  Linha 145</t>
  </si>
  <si>
    <t>OT_SET17_RET_CONEC_144_P800_ILIMOI_3GB_BL5</t>
  </si>
  <si>
    <t>Erro:  Linha 146</t>
  </si>
  <si>
    <t>OT_SET17_RET_CONEC_145_P800_ILIMOI_5GB_BL2</t>
  </si>
  <si>
    <t>5GB</t>
  </si>
  <si>
    <t>MKT-1-10026709011</t>
  </si>
  <si>
    <t>Erro:  Linha 147</t>
  </si>
  <si>
    <t>OT_SET17_RET_CONEC_146_P800_ILIMOI_5GB_BL5</t>
  </si>
  <si>
    <t>Erro:  Linha 148</t>
  </si>
  <si>
    <t>OT_SET17_RET_CONEC_147_P800_ILIMOI_10GB_BL2</t>
  </si>
  <si>
    <t>10GB</t>
  </si>
  <si>
    <t>Erro:  Linha 149</t>
  </si>
  <si>
    <t>OT_SET17_RET_CONEC_148_P800_ILIMOI_10GB_BL5</t>
  </si>
  <si>
    <t>Erro:  Linha 150</t>
  </si>
  <si>
    <t>OT_SET17_RET_CONEC_281_P800_ILIMOI_BL2</t>
  </si>
  <si>
    <t>N2</t>
  </si>
  <si>
    <t>Erro:  Linha 227</t>
  </si>
  <si>
    <t>OT_SET17_RET_CONEC_282_P800_ILIMOI_BL5</t>
  </si>
  <si>
    <t>Erro:  Linha 228</t>
  </si>
  <si>
    <t>OT_SET17_RET_CONEC_283_P800_ILIMOI_1GB_BL2</t>
  </si>
  <si>
    <t>Erro:  Linha 229</t>
  </si>
  <si>
    <t>OT_SET17_RET_CONEC_284_P800_ILIMOI_1GB_BL5</t>
  </si>
  <si>
    <t>Erro:  Linha 230</t>
  </si>
  <si>
    <t>OT_SET17_RET_CONEC_285_P800_ILIMOI_2GB_BL2</t>
  </si>
  <si>
    <t>Erro:  Linha 231</t>
  </si>
  <si>
    <t>OT_SET17_RET_CONEC_286_P800_ILIMOI_2GB_BL5</t>
  </si>
  <si>
    <t>Erro:  Linha 232</t>
  </si>
  <si>
    <t>OT_SET17_RET_CONEC_287_P800_ILIMOI_3GB_BL2</t>
  </si>
  <si>
    <t>Erro:  Linha 233</t>
  </si>
  <si>
    <t>OT_SET17_RET_CONEC_288_P800_ILIMOI_3GB_BL5</t>
  </si>
  <si>
    <t>Erro:  Linha 234</t>
  </si>
  <si>
    <t>OT_SET17_RET_CONEC_289_P800_ILIMOI_5GB_BL2</t>
  </si>
  <si>
    <t>Erro:  Linha 235</t>
  </si>
  <si>
    <t>OT_SET17_RET_CONEC_290_P800_ILIMOI_5GB_BL5</t>
  </si>
  <si>
    <t>Erro:  Linha 236</t>
  </si>
  <si>
    <t>OT_SET17_RET_CONEC_291_P800_ILIMOI_10GB_BL2</t>
  </si>
  <si>
    <t>Erro:  Linha 237</t>
  </si>
  <si>
    <t>OT_SET17_RET_CONEC_292_P800_ILIMOI_10GB_BL5</t>
  </si>
  <si>
    <t>Erro:  Linha 238</t>
  </si>
  <si>
    <t>MovelPontos_PrecoDadosDep_ComFidel</t>
  </si>
  <si>
    <t>.MovelPontos_PrecoDadosDep_ComFidel</t>
  </si>
  <si>
    <t>"Digital"</t>
  </si>
  <si>
    <t>TesteLab</t>
  </si>
  <si>
    <t>@if(TmpDadosCliente.GrupoTesteAnalytics == "MICRO_SEG_OT",@when(IsTop1Estrategia2)==true,true)</t>
  </si>
  <si>
    <t>"LD VC ALL"</t>
  </si>
  <si>
    <t>"Basico"</t>
  </si>
  <si>
    <t>otherwise</t>
  </si>
  <si>
    <t>"oi total fixo + oi mais 40gb + banda larga"</t>
  </si>
  <si>
    <t>"oi total fixo + oi mais 7gb + banda larga"</t>
  </si>
  <si>
    <t>PrecoTotalDoOiTotalComFidel</t>
  </si>
  <si>
    <t>PrecoMovelVozComFidel</t>
  </si>
  <si>
    <t>PrecoMovelDadosTitularComFidel</t>
  </si>
  <si>
    <t>PrecoPlanoFixoFidel</t>
  </si>
  <si>
    <t>PrecoFixoLDComFidel</t>
  </si>
  <si>
    <t>PrecoFixoVCComFidel</t>
  </si>
  <si>
    <t>PrecoPlanoTVFidel</t>
  </si>
  <si>
    <t>PrecoPlanoVeloxSemSVAFidel</t>
  </si>
  <si>
    <t>PrecoPlanoVeloxComSVAFidel</t>
  </si>
  <si>
    <t>PrecoSVAVeloxFidel</t>
  </si>
  <si>
    <t>CodigoPlanoConteudoOnline</t>
  </si>
  <si>
    <t>CodigoCampanhaVozSemLDSemVCFidel</t>
  </si>
  <si>
    <t>CodigoCampanhaVozSemLDComVCFidel</t>
  </si>
  <si>
    <t>CodigoCampanhaVozComLDSemVCFidel</t>
  </si>
  <si>
    <t>CodigoCampanhaVozComLDComVCFidel</t>
  </si>
  <si>
    <t>CodigoOfertaVozSemLDSemVCFidel</t>
  </si>
  <si>
    <t>CodigoOfertaVozSemLDComVCFidel</t>
  </si>
  <si>
    <t>CodigoOfertaVozComLDSemVCFidel</t>
  </si>
  <si>
    <t>CodigoOfertaVozComLDComVCFidel</t>
  </si>
  <si>
    <t>.NivelPreco</t>
  </si>
  <si>
    <t>MesesFidel</t>
  </si>
  <si>
    <t>ClassificacaoPreco</t>
  </si>
  <si>
    <t>.CodigoCampanhaVozSemLDSemVCFidel</t>
  </si>
  <si>
    <t>.CodigoCampanhaVozSemLDComVCFidel</t>
  </si>
  <si>
    <t>.CodigoCampanhaVozComLDSemVCFidel</t>
  </si>
  <si>
    <t>.CodigoCampanhaVozComLDComVCFidel</t>
  </si>
  <si>
    <t>.CodigoOfertaVozSemLDSemVCFidel</t>
  </si>
  <si>
    <t>.CodigoOfertaVozSemLDComVCFidel</t>
  </si>
  <si>
    <t>.CodigoOfertaVozComLDSemVCFidel</t>
  </si>
  <si>
    <t>.CodigoOfertaVozComLDComVCFidel</t>
  </si>
  <si>
    <t>"oi total fixo + oi mais 20gb + banda larga"</t>
  </si>
  <si>
    <t>Novo Cliente</t>
  </si>
  <si>
    <t>LinhaOferta</t>
  </si>
  <si>
    <t>PrecoTotalDoOiTotalSemFidel</t>
  </si>
  <si>
    <t>PrecoMovelVozSemFidel</t>
  </si>
  <si>
    <t>PrecoMovelDadosTitularSemFidel</t>
  </si>
  <si>
    <t>PrecoPlanoFixoSemFidel</t>
  </si>
  <si>
    <t>PrecoFixoLDSemFidel</t>
  </si>
  <si>
    <t>PrecoFixoVCSemFidel</t>
  </si>
  <si>
    <t>PrecoPlanoTVSemFidel</t>
  </si>
  <si>
    <t>PrecoPlanoVeloxSemSVASemFidel</t>
  </si>
  <si>
    <t>PrecoPlanoVeloxComSVASemFidel</t>
  </si>
  <si>
    <t>PrecoSVAVeloxSemFidel</t>
  </si>
  <si>
    <t>CodigoCampanhaVoz</t>
  </si>
  <si>
    <t>CodigoOfertaVoz</t>
  </si>
  <si>
    <t>NivelPreco</t>
  </si>
  <si>
    <t>TecnologiaOferta</t>
  </si>
  <si>
    <t>@when(Teste_NovoCliente)</t>
  </si>
  <si>
    <t>.LinhaOferta</t>
  </si>
  <si>
    <t>.CodigoCampanhaVoz</t>
  </si>
  <si>
    <t>.CodigoOfertaVoz</t>
  </si>
  <si>
    <t>.TecnologiaOferta</t>
  </si>
  <si>
    <t>"VX 200mb"</t>
  </si>
  <si>
    <t>"OT_FIBRA_NAT19_FID_CONEC_SMART_POS_7GB"</t>
  </si>
  <si>
    <t>"FIBRA"</t>
  </si>
  <si>
    <t>7000"VX 200mb""OT_FIBRA_NAT19_FID_CONEC_SMART_POS_7GB""LD VC ALL"188.9</t>
  </si>
  <si>
    <t>"OT_FIBRA_NAT19_FID_CONEC_AVA_POS_20GB"</t>
  </si>
  <si>
    <t>20000"VX 200mb""OT_FIBRA_NAT19_FID_CONEC_AVA_POS_20GB""LD VC ALL"218.9</t>
  </si>
  <si>
    <t>"Top"</t>
  </si>
  <si>
    <t>"OT_FIBRA_NAT19_FID_CONEC_TOP_POS_40GB"</t>
  </si>
  <si>
    <t>"OT_FIBRA_BLK19_FID_CONEC_SMART_POS_7GB"</t>
  </si>
  <si>
    <t>7000"VX 200mb""OT_FIBRA_BLK19_FID_CONEC_SMART_POS_7GB""LD VC ALL"188.9</t>
  </si>
  <si>
    <t>"OT_FIBRA_BLK19_FID_CONEC_TOP_POS_40GB"</t>
  </si>
  <si>
    <t>40000"VX 200mb""OT_FIBRA_BLK19_FID_CONEC_TOP_POS_40GB""LD VC ALL"218.9</t>
  </si>
  <si>
    <t>"OT_FIBRA_NAT19_FID_CONEC_TOP_TOT_POS_ILIM"</t>
  </si>
  <si>
    <t>else if</t>
  </si>
  <si>
    <t>"RETOT"</t>
  </si>
  <si>
    <t>40000"VX 200mb""OT_FIBRA_NAT19_FID_CONEC_TOP_POS_40GB""LD VC ALL"258.9</t>
  </si>
  <si>
    <t>40000"VX 200mb""OT_FIBRA_NAT19_FID_CONEC_TOP_TOT_POS_ILIM""LD VC ALL"258.9</t>
  </si>
  <si>
    <t>"RetencaoOT"</t>
  </si>
  <si>
    <t>"VX Até 15mb"</t>
  </si>
  <si>
    <t>"COBRE"</t>
  </si>
  <si>
    <t>"VX Até 25mb"</t>
  </si>
  <si>
    <t>"VX 35mb"</t>
  </si>
  <si>
    <t>"OT_MAE20_NFID_CONEC_SMART_7GB_15_35"</t>
  </si>
  <si>
    <t>"OT_MAE20_NFID_CONEC_AVA_20GB_15_35"</t>
  </si>
  <si>
    <t>"OT_MAE20_NFID_CONEC_TOP_40GB_15_35"</t>
  </si>
  <si>
    <t>"OT_MAE20_NFID_CONEC_SMART_7GB_5_10"</t>
  </si>
  <si>
    <t>"OT_MAE20_NFID_CONEC_AVA_20GB_5_10"</t>
  </si>
  <si>
    <t>"OT_MAE20_NFID_CONEC_TOP_40GB_5_10"</t>
  </si>
  <si>
    <t>"Franquia ilimitada"</t>
  </si>
  <si>
    <t>7000"VX Até 15mb""OT_MAE20_NFID_CONEC_SMART_7GB_15_35""LD VC ALL"294.9</t>
  </si>
  <si>
    <t>7000"VX Até 25mb""OT_MAE20_NFID_CONEC_SMART_7GB_15_35""LD VC ALL"294.9</t>
  </si>
  <si>
    <t>7000"VX 35mb""OT_MAE20_NFID_CONEC_SMART_7GB_15_35""LD VC ALL"294.9</t>
  </si>
  <si>
    <t>20000"VX Até 15mb""OT_MAE20_NFID_CONEC_AVA_20GB_15_35""LD VC ALL"354.9</t>
  </si>
  <si>
    <t>20000"VX Até 25mb""OT_MAE20_NFID_CONEC_AVA_20GB_15_35""LD VC ALL"354.9</t>
  </si>
  <si>
    <t>20000"VX 35mb""OT_MAE20_NFID_CONEC_AVA_20GB_15_35""LD VC ALL"354.9</t>
  </si>
  <si>
    <t>7000"VX Até 15mb""OT_MAE20_NFID_CONEC_SMART_7GB_5_10""LD VC ALL"294.9</t>
  </si>
  <si>
    <t>20000"VX Até 15mb""OT_MAE20_NFID_CONEC_AVA_20GB_5_10""LD VC ALL"354.9</t>
  </si>
  <si>
    <t>40000"VX Até 15mb""OT_MAE20_NFID_CONEC_TOP_40GB_15_35""LD VC ALL"399.9</t>
  </si>
  <si>
    <t>40000"VX Até 25mb""OT_MAE20_NFID_CONEC_TOP_40GB_15_35""LD VC ALL"399.9</t>
  </si>
  <si>
    <t>40000"VX 35mb""OT_MAE20_NFID_CONEC_TOP_40GB_15_35""LD VC ALL"399.9</t>
  </si>
  <si>
    <t>40000"VX Até 15mb""OT_MAE20_NFID_CONEC_TOP_40GB_5_10""LD VC ALL"399.9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</si>
</sst>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#,##0_ ;\-#,##0\ "/>
  </numFmts>
  <fonts count="1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BB8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auto="1"/>
      </left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64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0" fontId="0" fillId="4" borderId="0" xfId="0" applyFill="1"/>
    <xf numFmtId="0" fontId="5" fillId="9" borderId="18" xfId="0" applyFont="1" applyFill="1" applyBorder="1" applyAlignment="1" applyProtection="1">
      <alignment horizontal="center" vertical="center"/>
      <protection hidden="1"/>
    </xf>
    <xf numFmtId="0" fontId="9" fillId="11" borderId="22" xfId="0" applyFont="1" applyFill="1" applyBorder="1" applyAlignment="1" applyProtection="1">
      <alignment vertical="center" wrapText="1"/>
      <protection hidden="1"/>
    </xf>
    <xf numFmtId="0" fontId="9" fillId="11" borderId="22" xfId="0" applyFont="1" applyFill="1" applyBorder="1" applyAlignment="1" applyProtection="1">
      <alignment horizontal="center" textRotation="90"/>
      <protection hidden="1"/>
    </xf>
    <xf numFmtId="0" fontId="9" fillId="11" borderId="22" xfId="0" applyFont="1" applyFill="1" applyBorder="1" applyAlignment="1" applyProtection="1">
      <alignment horizontal="center" textRotation="90" wrapText="1"/>
      <protection hidden="1"/>
    </xf>
    <xf numFmtId="0" fontId="10" fillId="11" borderId="22" xfId="0" applyFont="1" applyFill="1" applyBorder="1" applyAlignment="1" applyProtection="1">
      <alignment horizontal="center" textRotation="90"/>
      <protection hidden="1"/>
    </xf>
    <xf numFmtId="0" fontId="11" fillId="4" borderId="22" xfId="0" applyFont="1" applyFill="1" applyBorder="1" applyAlignment="1" applyProtection="1">
      <alignment vertical="center" wrapText="1"/>
      <protection hidden="1"/>
    </xf>
    <xf numFmtId="0" fontId="11" fillId="4" borderId="22" xfId="0" applyFont="1" applyFill="1" applyBorder="1" applyAlignment="1" applyProtection="1">
      <alignment horizontal="center" vertical="center" textRotation="90" wrapText="1"/>
      <protection hidden="1"/>
    </xf>
    <xf numFmtId="0" fontId="11" fillId="11" borderId="22" xfId="0" applyFont="1" applyFill="1" applyBorder="1" applyAlignment="1" applyProtection="1">
      <alignment horizontal="center" vertical="center" textRotation="90" wrapText="1"/>
      <protection hidden="1"/>
    </xf>
    <xf numFmtId="0" fontId="9" fillId="12" borderId="22" xfId="0" applyFont="1" applyFill="1" applyBorder="1" applyAlignment="1" applyProtection="1">
      <alignment vertical="center" wrapText="1"/>
      <protection hidden="1"/>
    </xf>
    <xf numFmtId="164" fontId="9" fillId="11" borderId="22" xfId="1" applyFont="1" applyFill="1" applyBorder="1" applyAlignment="1" applyProtection="1">
      <alignment vertical="center" wrapText="1"/>
      <protection hidden="1"/>
    </xf>
    <xf numFmtId="10" fontId="9" fillId="11" borderId="22" xfId="2" applyNumberFormat="1" applyFont="1" applyFill="1" applyBorder="1" applyAlignment="1" applyProtection="1">
      <alignment vertical="center" wrapText="1"/>
      <protection hidden="1"/>
    </xf>
    <xf numFmtId="164" fontId="11" fillId="11" borderId="23" xfId="1" applyFont="1" applyFill="1" applyBorder="1" applyAlignment="1" applyProtection="1">
      <alignment vertical="center" wrapText="1"/>
      <protection hidden="1"/>
    </xf>
    <xf numFmtId="0" fontId="11" fillId="4" borderId="24" xfId="0" applyFont="1" applyFill="1" applyBorder="1" applyAlignment="1" applyProtection="1">
      <alignment vertical="center" wrapText="1"/>
      <protection hidden="1"/>
    </xf>
    <xf numFmtId="0" fontId="9" fillId="11" borderId="5" xfId="0" applyFont="1" applyFill="1" applyBorder="1" applyAlignment="1" applyProtection="1">
      <alignment vertical="center" wrapText="1"/>
      <protection hidden="1"/>
    </xf>
    <xf numFmtId="0" fontId="11" fillId="4" borderId="5" xfId="0" applyFont="1" applyFill="1" applyBorder="1" applyAlignment="1" applyProtection="1">
      <alignment vertical="center" wrapText="1"/>
      <protection hidden="1"/>
    </xf>
    <xf numFmtId="0" fontId="11" fillId="13" borderId="22" xfId="0" applyFont="1" applyFill="1" applyBorder="1" applyAlignment="1" applyProtection="1">
      <alignment vertical="center" wrapText="1"/>
      <protection hidden="1"/>
    </xf>
    <xf numFmtId="0" fontId="12" fillId="13" borderId="22" xfId="0" applyFont="1" applyFill="1" applyBorder="1" applyAlignment="1" applyProtection="1">
      <alignment vertical="center" wrapText="1"/>
      <protection hidden="1"/>
    </xf>
    <xf numFmtId="0" fontId="12" fillId="4" borderId="5" xfId="0" applyFont="1" applyFill="1" applyBorder="1" applyAlignment="1" applyProtection="1">
      <alignment vertical="center" wrapText="1"/>
      <protection hidden="1"/>
    </xf>
    <xf numFmtId="0" fontId="13" fillId="5" borderId="22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vertical="center" wrapText="1"/>
      <protection hidden="1"/>
    </xf>
    <xf numFmtId="0" fontId="9" fillId="11" borderId="23" xfId="0" applyFont="1" applyFill="1" applyBorder="1" applyAlignment="1" applyProtection="1">
      <alignment vertical="center" wrapText="1"/>
      <protection hidden="1"/>
    </xf>
    <xf numFmtId="0" fontId="9" fillId="11" borderId="24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horizontal="left" vertical="center" wrapText="1"/>
      <protection hidden="1"/>
    </xf>
    <xf numFmtId="0" fontId="9" fillId="11" borderId="22" xfId="0" applyFont="1" applyFill="1" applyBorder="1" applyAlignment="1" applyProtection="1">
      <alignment horizontal="left" vertical="center" wrapText="1"/>
      <protection hidden="1"/>
    </xf>
    <xf numFmtId="0" fontId="11" fillId="4" borderId="22" xfId="0" applyFont="1" applyFill="1" applyBorder="1" applyAlignment="1" applyProtection="1">
      <alignment horizontal="left" vertical="center" wrapText="1"/>
      <protection hidden="1"/>
    </xf>
    <xf numFmtId="0" fontId="9" fillId="4" borderId="25" xfId="0" applyFont="1" applyFill="1" applyBorder="1" applyAlignment="1" applyProtection="1">
      <alignment horizontal="left" vertical="center" wrapText="1"/>
      <protection hidden="1"/>
    </xf>
    <xf numFmtId="0" fontId="11" fillId="14" borderId="26" xfId="0" applyFont="1" applyFill="1" applyBorder="1" applyAlignment="1" applyProtection="1">
      <alignment horizontal="center" vertical="center" wrapText="1"/>
      <protection hidden="1"/>
    </xf>
    <xf numFmtId="0" fontId="4" fillId="10" borderId="27" xfId="0" applyFont="1" applyFill="1" applyBorder="1" applyAlignment="1" applyProtection="1">
      <alignment horizontal="center" vertical="center"/>
      <protection locked="0"/>
    </xf>
    <xf numFmtId="0" fontId="4" fillId="10" borderId="28" xfId="0" applyFont="1" applyFill="1" applyBorder="1" applyAlignment="1" applyProtection="1">
      <alignment horizontal="center" vertical="center"/>
      <protection locked="0"/>
    </xf>
    <xf numFmtId="0" fontId="3" fillId="6" borderId="28" xfId="0" applyFont="1" applyFill="1" applyBorder="1" applyAlignment="1" applyProtection="1">
      <alignment horizontal="center" vertical="center"/>
      <protection locked="0"/>
    </xf>
    <xf numFmtId="0" fontId="4" fillId="10" borderId="29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/>
    <xf numFmtId="0" fontId="16" fillId="0" borderId="30" xfId="0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left" vertical="center"/>
      <protection locked="0"/>
    </xf>
    <xf numFmtId="0" fontId="16" fillId="0" borderId="32" xfId="0" applyFont="1" applyFill="1" applyBorder="1" applyAlignment="1" applyProtection="1">
      <alignment horizontal="left" vertical="center"/>
      <protection locked="0"/>
    </xf>
    <xf numFmtId="0" fontId="16" fillId="0" borderId="33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 vertical="center" wrapText="1"/>
      <protection locked="0"/>
    </xf>
    <xf numFmtId="0" fontId="16" fillId="0" borderId="32" xfId="0" applyFont="1" applyFill="1" applyBorder="1" applyAlignment="1" applyProtection="1">
      <alignment horizontal="center" vertical="center"/>
      <protection locked="0"/>
    </xf>
    <xf numFmtId="0" fontId="16" fillId="0" borderId="33" xfId="0" applyFont="1" applyFill="1" applyBorder="1" applyAlignment="1" applyProtection="1">
      <alignment horizontal="left" vertical="center"/>
      <protection locked="0"/>
    </xf>
    <xf numFmtId="0" fontId="16" fillId="0" borderId="34" xfId="0" applyFont="1" applyFill="1" applyBorder="1" applyAlignment="1" applyProtection="1">
      <alignment horizontal="left" vertical="center"/>
      <protection locked="0"/>
    </xf>
    <xf numFmtId="14" fontId="16" fillId="0" borderId="30" xfId="0" applyNumberFormat="1" applyFont="1" applyFill="1" applyBorder="1" applyAlignment="1" applyProtection="1">
      <alignment horizontal="left" vertical="center"/>
      <protection locked="0"/>
    </xf>
    <xf numFmtId="14" fontId="16" fillId="0" borderId="32" xfId="0" applyNumberFormat="1" applyFont="1" applyFill="1" applyBorder="1" applyAlignment="1" applyProtection="1">
      <alignment horizontal="left" vertical="center"/>
      <protection locked="0"/>
    </xf>
    <xf numFmtId="14" fontId="16" fillId="0" borderId="33" xfId="0" applyNumberFormat="1" applyFont="1" applyFill="1" applyBorder="1" applyAlignment="1" applyProtection="1">
      <alignment horizontal="left" vertical="center"/>
      <protection locked="0"/>
    </xf>
    <xf numFmtId="14" fontId="16" fillId="0" borderId="31" xfId="0" applyNumberFormat="1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center" vertical="center"/>
      <protection locked="0"/>
    </xf>
    <xf numFmtId="0" fontId="16" fillId="0" borderId="34" xfId="0" applyFont="1" applyFill="1" applyBorder="1" applyAlignment="1" applyProtection="1">
      <alignment horizontal="center" vertical="center"/>
      <protection locked="0"/>
    </xf>
    <xf numFmtId="0" fontId="16" fillId="0" borderId="30" xfId="0" applyFont="1" applyFill="1" applyBorder="1" applyAlignment="1" applyProtection="1">
      <alignment horizontal="center" vertical="center"/>
      <protection locked="0"/>
    </xf>
    <xf numFmtId="0" fontId="16" fillId="0" borderId="31" xfId="0" applyFont="1" applyFill="1" applyBorder="1" applyAlignment="1" applyProtection="1">
      <alignment vertical="center"/>
      <protection locked="0"/>
    </xf>
    <xf numFmtId="0" fontId="16" fillId="0" borderId="32" xfId="0" applyFont="1" applyFill="1" applyBorder="1" applyAlignment="1" applyProtection="1">
      <alignment vertical="center"/>
      <protection hidden="1"/>
    </xf>
    <xf numFmtId="164" fontId="16" fillId="0" borderId="31" xfId="1" applyFont="1" applyFill="1" applyBorder="1" applyAlignment="1" applyProtection="1">
      <alignment horizontal="left" vertical="center"/>
      <protection locked="0"/>
    </xf>
    <xf numFmtId="10" fontId="16" fillId="0" borderId="31" xfId="2" applyNumberFormat="1" applyFont="1" applyFill="1" applyBorder="1" applyProtection="1">
      <protection hidden="1"/>
    </xf>
    <xf numFmtId="10" fontId="16" fillId="0" borderId="32" xfId="2" applyNumberFormat="1" applyFont="1" applyFill="1" applyBorder="1" applyProtection="1">
      <protection hidden="1"/>
    </xf>
    <xf numFmtId="10" fontId="0" fillId="0" borderId="30" xfId="2" applyNumberFormat="1" applyFont="1" applyFill="1" applyBorder="1" applyProtection="1">
      <protection hidden="1"/>
    </xf>
    <xf numFmtId="10" fontId="0" fillId="14" borderId="32" xfId="2" applyNumberFormat="1" applyFont="1" applyFill="1" applyBorder="1" applyProtection="1">
      <protection hidden="1"/>
    </xf>
    <xf numFmtId="10" fontId="16" fillId="0" borderId="30" xfId="2" applyNumberFormat="1" applyFont="1" applyFill="1" applyBorder="1" applyProtection="1">
      <protection locked="0"/>
    </xf>
    <xf numFmtId="164" fontId="16" fillId="0" borderId="31" xfId="1" applyFont="1" applyFill="1" applyBorder="1" applyProtection="1">
      <protection locked="0"/>
    </xf>
    <xf numFmtId="0" fontId="16" fillId="0" borderId="31" xfId="1" applyNumberFormat="1" applyFont="1" applyFill="1" applyBorder="1" applyProtection="1">
      <protection locked="0"/>
    </xf>
    <xf numFmtId="165" fontId="16" fillId="0" borderId="30" xfId="0" applyNumberFormat="1" applyFont="1" applyFill="1" applyBorder="1" applyProtection="1">
      <protection locked="0"/>
    </xf>
    <xf numFmtId="10" fontId="16" fillId="0" borderId="33" xfId="2" applyNumberFormat="1" applyFont="1" applyFill="1" applyBorder="1" applyProtection="1">
      <protection hidden="1"/>
    </xf>
    <xf numFmtId="166" fontId="16" fillId="0" borderId="31" xfId="1" applyNumberFormat="1" applyFont="1" applyFill="1" applyBorder="1" applyProtection="1">
      <protection locked="0"/>
    </xf>
    <xf numFmtId="10" fontId="16" fillId="0" borderId="31" xfId="2" applyNumberFormat="1" applyFont="1" applyFill="1" applyBorder="1" applyAlignment="1" applyProtection="1">
      <alignment horizontal="right"/>
      <protection hidden="1"/>
    </xf>
    <xf numFmtId="164" fontId="16" fillId="0" borderId="30" xfId="1" applyFont="1" applyFill="1" applyBorder="1" applyProtection="1">
      <protection hidden="1"/>
    </xf>
    <xf numFmtId="10" fontId="16" fillId="0" borderId="31" xfId="2" applyNumberFormat="1" applyFont="1" applyFill="1" applyBorder="1" applyProtection="1">
      <protection locked="0"/>
    </xf>
    <xf numFmtId="10" fontId="0" fillId="14" borderId="31" xfId="2" applyNumberFormat="1" applyFont="1" applyFill="1" applyBorder="1" applyProtection="1">
      <protection hidden="1"/>
    </xf>
    <xf numFmtId="10" fontId="0" fillId="14" borderId="35" xfId="2" applyNumberFormat="1" applyFont="1" applyFill="1" applyBorder="1" applyProtection="1">
      <protection hidden="1"/>
    </xf>
    <xf numFmtId="164" fontId="16" fillId="0" borderId="36" xfId="1" applyFont="1" applyFill="1" applyBorder="1" applyProtection="1">
      <protection hidden="1"/>
    </xf>
    <xf numFmtId="10" fontId="16" fillId="0" borderId="37" xfId="2" applyNumberFormat="1" applyFont="1" applyFill="1" applyBorder="1" applyProtection="1">
      <protection hidden="1"/>
    </xf>
    <xf numFmtId="10" fontId="16" fillId="0" borderId="38" xfId="2" applyNumberFormat="1" applyFont="1" applyFill="1" applyBorder="1" applyAlignment="1" applyProtection="1">
      <alignment horizontal="left" vertical="center"/>
      <protection hidden="1"/>
    </xf>
    <xf numFmtId="165" fontId="16" fillId="0" borderId="30" xfId="0" applyNumberFormat="1" applyFont="1" applyFill="1" applyBorder="1" applyAlignment="1" applyProtection="1">
      <alignment horizontal="center"/>
      <protection locked="0"/>
    </xf>
    <xf numFmtId="10" fontId="16" fillId="0" borderId="33" xfId="2" applyNumberFormat="1" applyFont="1" applyFill="1" applyBorder="1" applyAlignment="1" applyProtection="1">
      <alignment horizontal="right"/>
      <protection hidden="1"/>
    </xf>
    <xf numFmtId="0" fontId="16" fillId="0" borderId="33" xfId="0" applyFont="1" applyFill="1" applyBorder="1" applyAlignment="1" applyProtection="1">
      <alignment horizontal="left"/>
      <protection hidden="1"/>
    </xf>
    <xf numFmtId="10" fontId="16" fillId="15" borderId="30" xfId="2" applyNumberFormat="1" applyFont="1" applyFill="1" applyBorder="1" applyProtection="1">
      <protection locked="0"/>
    </xf>
    <xf numFmtId="10" fontId="16" fillId="14" borderId="32" xfId="2" applyNumberFormat="1" applyFont="1" applyFill="1" applyBorder="1" applyProtection="1">
      <protection locked="0"/>
    </xf>
    <xf numFmtId="0" fontId="16" fillId="0" borderId="34" xfId="0" applyFont="1" applyFill="1" applyBorder="1" applyAlignment="1" applyProtection="1">
      <alignment horizontal="center"/>
      <protection locked="0"/>
    </xf>
    <xf numFmtId="0" fontId="16" fillId="0" borderId="30" xfId="0" applyFont="1" applyFill="1" applyBorder="1" applyAlignment="1" applyProtection="1">
      <alignment horizontal="center"/>
      <protection locked="0"/>
    </xf>
    <xf numFmtId="164" fontId="16" fillId="0" borderId="31" xfId="1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left"/>
      <protection hidden="1"/>
    </xf>
    <xf numFmtId="0" fontId="16" fillId="0" borderId="31" xfId="0" applyFont="1" applyFill="1" applyBorder="1" applyAlignment="1" applyProtection="1">
      <alignment horizontal="center"/>
      <protection hidden="1"/>
    </xf>
    <xf numFmtId="0" fontId="16" fillId="0" borderId="32" xfId="0" applyFont="1" applyFill="1" applyBorder="1" applyAlignment="1" applyProtection="1">
      <alignment horizontal="center"/>
      <protection hidden="1"/>
    </xf>
    <xf numFmtId="0" fontId="16" fillId="0" borderId="30" xfId="0" applyFont="1" applyFill="1" applyBorder="1" applyAlignment="1" applyProtection="1">
      <alignment horizontal="left"/>
      <protection locked="0"/>
    </xf>
    <xf numFmtId="0" fontId="16" fillId="0" borderId="38" xfId="0" applyFont="1" applyFill="1" applyBorder="1" applyAlignment="1" applyProtection="1">
      <alignment horizontal="center"/>
      <protection locked="0"/>
    </xf>
    <xf numFmtId="164" fontId="16" fillId="0" borderId="30" xfId="1" applyNumberFormat="1" applyFont="1" applyFill="1" applyBorder="1" applyProtection="1">
      <protection hidden="1"/>
    </xf>
    <xf numFmtId="0" fontId="16" fillId="0" borderId="30" xfId="0" applyFont="1" applyFill="1" applyBorder="1" applyProtection="1">
      <protection locked="0"/>
    </xf>
    <xf numFmtId="0" fontId="16" fillId="0" borderId="31" xfId="0" applyFont="1" applyFill="1" applyBorder="1" applyProtection="1">
      <protection locked="0"/>
    </xf>
    <xf numFmtId="0" fontId="16" fillId="0" borderId="31" xfId="0" applyFont="1" applyFill="1" applyBorder="1" applyAlignment="1">
      <alignment horizontal="center"/>
    </xf>
    <xf numFmtId="164" fontId="16" fillId="0" borderId="31" xfId="0" applyNumberFormat="1" applyFont="1" applyFill="1" applyBorder="1" applyProtection="1">
      <protection locked="0"/>
    </xf>
    <xf numFmtId="10" fontId="16" fillId="16" borderId="31" xfId="2" applyNumberFormat="1" applyFont="1" applyFill="1" applyBorder="1" applyProtection="1">
      <protection locked="0"/>
    </xf>
    <xf numFmtId="0" fontId="16" fillId="0" borderId="34" xfId="0" applyFont="1" applyFill="1" applyBorder="1" applyProtection="1">
      <protection locked="0"/>
    </xf>
    <xf numFmtId="0" fontId="16" fillId="0" borderId="32" xfId="0" applyFont="1" applyFill="1" applyBorder="1" applyProtection="1">
      <protection locked="0"/>
    </xf>
    <xf numFmtId="164" fontId="16" fillId="0" borderId="0" xfId="0" applyNumberFormat="1" applyFont="1" applyFill="1"/>
    <xf numFmtId="10" fontId="17" fillId="0" borderId="30" xfId="2" applyNumberFormat="1" applyFont="1" applyFill="1" applyBorder="1" applyProtection="1">
      <protection locked="0"/>
    </xf>
    <xf numFmtId="14" fontId="16" fillId="15" borderId="32" xfId="0" applyNumberFormat="1" applyFont="1" applyFill="1" applyBorder="1" applyAlignment="1" applyProtection="1">
      <alignment horizontal="left" vertical="center"/>
      <protection locked="0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49" fontId="0" fillId="0" borderId="0" xfId="0" applyNumberFormat="1" applyFill="1" applyProtection="1">
      <protection locked="0"/>
    </xf>
    <xf numFmtId="0" fontId="0" fillId="0" borderId="1" xfId="0" applyBorder="1"/>
    <xf numFmtId="0" fontId="0" fillId="0" borderId="0" xfId="0" applyBorder="1"/>
    <xf numFmtId="0" fontId="0" fillId="0" borderId="0" xfId="0" applyAlignment="1">
      <alignment horizontal="right"/>
    </xf>
    <xf numFmtId="49" fontId="0" fillId="2" borderId="0" xfId="0" applyNumberFormat="1" applyFill="1" applyAlignment="1" applyProtection="1">
      <alignment horizontal="right"/>
      <protection locked="0"/>
    </xf>
    <xf numFmtId="49" fontId="0" fillId="2" borderId="4" xfId="0" applyNumberFormat="1" applyFill="1" applyBorder="1" applyAlignment="1" applyProtection="1">
      <alignment horizontal="right"/>
      <protection locked="0"/>
    </xf>
    <xf numFmtId="0" fontId="0" fillId="0" borderId="0" xfId="0" applyAlignment="1">
      <alignment horizontal="left"/>
    </xf>
    <xf numFmtId="49" fontId="0" fillId="3" borderId="0" xfId="0" applyNumberFormat="1" applyFill="1" applyAlignment="1" applyProtection="1">
      <alignment horizontal="left"/>
      <protection locked="0"/>
    </xf>
    <xf numFmtId="49" fontId="0" fillId="0" borderId="0" xfId="0" applyNumberFormat="1" applyFill="1" applyAlignment="1" applyProtection="1">
      <alignment horizontal="left"/>
      <protection locked="0"/>
    </xf>
    <xf numFmtId="0" fontId="5" fillId="6" borderId="9" xfId="0" applyFont="1" applyFill="1" applyBorder="1" applyAlignment="1" applyProtection="1">
      <alignment horizontal="center" vertical="center" wrapText="1"/>
      <protection hidden="1"/>
    </xf>
    <xf numFmtId="0" fontId="5" fillId="6" borderId="10" xfId="0" applyFont="1" applyFill="1" applyBorder="1" applyAlignment="1" applyProtection="1">
      <alignment horizontal="center" vertical="center" wrapText="1"/>
      <protection hidden="1"/>
    </xf>
    <xf numFmtId="0" fontId="5" fillId="6" borderId="11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 wrapText="1"/>
      <protection hidden="1"/>
    </xf>
    <xf numFmtId="0" fontId="5" fillId="5" borderId="7" xfId="0" applyFont="1" applyFill="1" applyBorder="1" applyAlignment="1" applyProtection="1">
      <alignment horizontal="center" vertical="center" wrapText="1"/>
      <protection hidden="1"/>
    </xf>
    <xf numFmtId="0" fontId="5" fillId="5" borderId="8" xfId="0" applyFont="1" applyFill="1" applyBorder="1" applyAlignment="1" applyProtection="1">
      <alignment horizontal="center" vertical="center"/>
      <protection hidden="1"/>
    </xf>
    <xf numFmtId="0" fontId="8" fillId="8" borderId="12" xfId="0" applyFont="1" applyFill="1" applyBorder="1" applyAlignment="1" applyProtection="1">
      <alignment horizontal="center" vertical="center" wrapText="1"/>
      <protection hidden="1"/>
    </xf>
    <xf numFmtId="0" fontId="8" fillId="8" borderId="13" xfId="0" applyFont="1" applyFill="1" applyBorder="1" applyAlignment="1" applyProtection="1">
      <alignment horizontal="center" vertical="center" wrapText="1"/>
      <protection hidden="1"/>
    </xf>
    <xf numFmtId="0" fontId="8" fillId="8" borderId="14" xfId="0" applyFont="1" applyFill="1" applyBorder="1" applyAlignment="1" applyProtection="1">
      <alignment horizontal="center" vertical="center" wrapText="1"/>
      <protection hidden="1"/>
    </xf>
    <xf numFmtId="0" fontId="5" fillId="6" borderId="12" xfId="0" applyFont="1" applyFill="1" applyBorder="1" applyAlignment="1" applyProtection="1">
      <alignment horizontal="center" vertical="center" wrapText="1"/>
      <protection hidden="1"/>
    </xf>
    <xf numFmtId="0" fontId="5" fillId="6" borderId="13" xfId="0" applyFont="1" applyFill="1" applyBorder="1" applyAlignment="1" applyProtection="1">
      <alignment horizontal="center" vertical="center" wrapText="1"/>
      <protection hidden="1"/>
    </xf>
    <xf numFmtId="0" fontId="5" fillId="6" borderId="14" xfId="0" applyFont="1" applyFill="1" applyBorder="1" applyAlignment="1" applyProtection="1">
      <alignment horizontal="center" vertical="center" wrapText="1"/>
      <protection hidden="1"/>
    </xf>
    <xf numFmtId="0" fontId="5" fillId="6" borderId="6" xfId="0" applyFont="1" applyFill="1" applyBorder="1" applyAlignment="1" applyProtection="1">
      <alignment horizontal="center" vertical="center" wrapText="1"/>
      <protection hidden="1"/>
    </xf>
    <xf numFmtId="0" fontId="5" fillId="6" borderId="7" xfId="0" applyFont="1" applyFill="1" applyBorder="1" applyAlignment="1" applyProtection="1">
      <alignment horizontal="center" vertical="center" wrapText="1"/>
      <protection hidden="1"/>
    </xf>
    <xf numFmtId="0" fontId="5" fillId="6" borderId="8" xfId="0" applyFont="1" applyFill="1" applyBorder="1" applyAlignment="1" applyProtection="1">
      <alignment horizontal="center" vertical="center" wrapText="1"/>
      <protection hidden="1"/>
    </xf>
    <xf numFmtId="0" fontId="6" fillId="7" borderId="12" xfId="0" applyFont="1" applyFill="1" applyBorder="1" applyAlignment="1" applyProtection="1">
      <alignment horizontal="center" vertical="center" wrapText="1"/>
      <protection hidden="1"/>
    </xf>
    <xf numFmtId="0" fontId="6" fillId="7" borderId="13" xfId="0" applyFont="1" applyFill="1" applyBorder="1" applyAlignment="1" applyProtection="1">
      <alignment horizontal="center" vertical="center" wrapText="1"/>
      <protection hidden="1"/>
    </xf>
    <xf numFmtId="0" fontId="6" fillId="7" borderId="14" xfId="0" applyFont="1" applyFill="1" applyBorder="1" applyAlignment="1" applyProtection="1">
      <alignment horizontal="center" vertical="center" wrapText="1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7" fillId="8" borderId="13" xfId="0" applyFont="1" applyFill="1" applyBorder="1" applyAlignment="1" applyProtection="1">
      <alignment horizontal="center" vertical="center" wrapText="1"/>
      <protection hidden="1"/>
    </xf>
    <xf numFmtId="0" fontId="7" fillId="8" borderId="6" xfId="0" applyFont="1" applyFill="1" applyBorder="1" applyAlignment="1" applyProtection="1">
      <alignment horizontal="center" vertical="center" wrapText="1"/>
      <protection hidden="1"/>
    </xf>
    <xf numFmtId="0" fontId="7" fillId="8" borderId="7" xfId="0" applyFont="1" applyFill="1" applyBorder="1" applyAlignment="1" applyProtection="1">
      <alignment horizontal="center" vertical="center" wrapText="1"/>
      <protection hidden="1"/>
    </xf>
    <xf numFmtId="0" fontId="7" fillId="8" borderId="8" xfId="0" applyFont="1" applyFill="1" applyBorder="1" applyAlignment="1" applyProtection="1">
      <alignment horizontal="center" vertical="center" wrapText="1"/>
      <protection hidden="1"/>
    </xf>
    <xf numFmtId="0" fontId="7" fillId="8" borderId="15" xfId="0" applyFont="1" applyFill="1" applyBorder="1" applyAlignment="1" applyProtection="1">
      <alignment horizontal="center" vertical="center" wrapText="1"/>
      <protection hidden="1"/>
    </xf>
    <xf numFmtId="0" fontId="7" fillId="8" borderId="14" xfId="0" applyFont="1" applyFill="1" applyBorder="1" applyAlignment="1" applyProtection="1">
      <alignment horizontal="center" vertical="center" wrapText="1"/>
      <protection hidden="1"/>
    </xf>
    <xf numFmtId="0" fontId="8" fillId="10" borderId="19" xfId="0" applyFont="1" applyFill="1" applyBorder="1" applyAlignment="1" applyProtection="1">
      <alignment horizontal="center" vertical="center"/>
      <protection locked="0"/>
    </xf>
    <xf numFmtId="0" fontId="8" fillId="10" borderId="20" xfId="0" applyFont="1" applyFill="1" applyBorder="1" applyAlignment="1" applyProtection="1">
      <alignment horizontal="center" vertical="center"/>
      <protection locked="0"/>
    </xf>
    <xf numFmtId="0" fontId="8" fillId="10" borderId="21" xfId="0" applyFont="1" applyFill="1" applyBorder="1" applyAlignment="1" applyProtection="1">
      <alignment horizontal="center" vertical="center"/>
      <protection locked="0"/>
    </xf>
    <xf numFmtId="0" fontId="8" fillId="8" borderId="16" xfId="0" applyFont="1" applyFill="1" applyBorder="1" applyAlignment="1" applyProtection="1">
      <alignment horizontal="center" vertical="center" wrapText="1"/>
      <protection hidden="1"/>
    </xf>
    <xf numFmtId="0" fontId="8" fillId="8" borderId="17" xfId="0" applyFont="1" applyFill="1" applyBorder="1" applyAlignment="1" applyProtection="1">
      <alignment horizontal="center" vertical="center" wrapText="1"/>
      <protection hidden="1"/>
    </xf>
    <xf numFmtId="0" fontId="8" fillId="8" borderId="6" xfId="0" applyFont="1" applyFill="1" applyBorder="1" applyAlignment="1" applyProtection="1">
      <alignment horizontal="center" vertical="center"/>
      <protection hidden="1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7" xfId="0" applyFont="1" applyFill="1" applyBorder="1" applyAlignment="1" applyProtection="1">
      <alignment horizontal="center" vertical="center"/>
      <protection hidden="1"/>
    </xf>
    <xf numFmtId="49" fontId="0" fillId="2" borderId="0" xfId="0" applyNumberFormat="1" applyFill="1" applyAlignment="1" applyProtection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0" xfId="0" applyNumberFormat="1" applyFill="1" applyAlignment="1" applyProtection="1">
      <alignment horizontal="left"/>
      <protection locked="0"/>
    </xf>
    <xf numFmtId="49" fontId="0" fillId="3" borderId="1" xfId="0" applyNumberFormat="1" applyFill="1" applyBorder="1" applyAlignment="1" applyProtection="1">
      <alignment horizontal="left"/>
    </xf>
    <xf numFmtId="49" fontId="0" fillId="2" borderId="2" xfId="0" applyNumberFormat="1" applyFill="1" applyBorder="1" applyAlignment="1" applyProtection="1">
      <alignment horizontal="left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3" borderId="0" xfId="0" applyNumberFormat="1" applyFill="1" applyBorder="1" applyAlignment="1" applyProtection="1">
      <alignment horizontal="left"/>
    </xf>
    <xf numFmtId="0" fontId="0" fillId="0" borderId="1" xfId="0" applyBorder="1" applyAlignment="1">
      <alignment horizontal="left"/>
    </xf>
    <xf numFmtId="0" fontId="0" fillId="0" borderId="0" xfId="0" applyBorder="1" applyAlignment="1">
      <alignment horizontal="left"/>
    </xf>
  </cellXfs>
  <cellStyles count="3">
    <cellStyle name="Currency" xfId="1" builtinId="4"/>
    <cellStyle name="Normal" xfId="0" builtinId="0"/>
    <cellStyle name="Percent" xfId="2" builtinId="5"/>
  </cellStyles>
  <dxfs count="27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6"/>
      <tableStyleElement type="headerRow" dxfId="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50800</xdr:rowOff>
        </xdr:from>
        <xdr:to>
          <xdr:col>4</xdr:col>
          <xdr:colOff>1670050</xdr:colOff>
          <xdr:row>1</xdr:row>
          <xdr:rowOff>139700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3PMov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50800</xdr:rowOff>
        </xdr:from>
        <xdr:to>
          <xdr:col>4</xdr:col>
          <xdr:colOff>1670050</xdr:colOff>
          <xdr:row>1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3PMov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50800</xdr:rowOff>
        </xdr:from>
        <xdr:to>
          <xdr:col>4</xdr:col>
          <xdr:colOff>1670050</xdr:colOff>
          <xdr:row>1</xdr:row>
          <xdr:rowOff>139700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3PMov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88789/Rule-Declare-DecisionTableedit_8878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63679\Rule-Declare-DecisionTableedit_6367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72393\Rule-Declare-DecisionTableedit_72393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66189\Rule-Declare-DecisionTableedit_66189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bruno.viana/OneDrive%20-%20Accenture/Oi/NBA/Transforma&#231;&#227;o%20Planilha%20de%20Produtos/Ofertas%20%20500%20-%20RETOT/3PMov/DTs%20RTOT%20Nova/BCM_RET_3P_Movel_Urano_Test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_Parte_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 refreshError="1"/>
      <sheetData sheetId="12" refreshError="1"/>
      <sheetData sheetId="1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B1" t="str">
            <v>MG</v>
          </cell>
          <cell r="N1" t="str">
            <v>LUIZa</v>
          </cell>
          <cell r="P1" t="str">
            <v xml:space="preserve">planilha </v>
          </cell>
          <cell r="Q1" t="str">
            <v>planilha - proc depara de assinatura</v>
          </cell>
          <cell r="R1" t="str">
            <v>planilha - formula</v>
          </cell>
          <cell r="S1" t="str">
            <v>planilha</v>
          </cell>
          <cell r="T1" t="str">
            <v>planilha</v>
          </cell>
        </row>
        <row r="2">
          <cell r="A2" t="str">
            <v>chave briefing 2</v>
          </cell>
          <cell r="B2" t="str">
            <v>TIPO</v>
          </cell>
          <cell r="C2" t="str">
            <v>PLANO</v>
          </cell>
          <cell r="D2" t="str">
            <v>DADOS</v>
          </cell>
          <cell r="E2" t="str">
            <v>DADOS</v>
          </cell>
          <cell r="F2" t="str">
            <v>N1</v>
          </cell>
          <cell r="G2" t="str">
            <v>GRUPO</v>
          </cell>
          <cell r="H2" t="str">
            <v>EXP VOZ</v>
          </cell>
          <cell r="I2" t="str">
            <v>chave</v>
          </cell>
          <cell r="J2" t="str">
            <v>X</v>
          </cell>
          <cell r="K2" t="str">
            <v>CHAVE BRIEF</v>
          </cell>
          <cell r="L2" t="str">
            <v>CHAVE</v>
          </cell>
          <cell r="M2" t="str">
            <v>PrecoMovelTotalComFidel</v>
          </cell>
          <cell r="N2" t="str">
            <v>MÓVEL TOTAL COMERCIAL</v>
          </cell>
          <cell r="O2" t="str">
            <v>CHECK VOZ</v>
          </cell>
          <cell r="P2" t="str">
            <v>VOZ COMERCIAL</v>
          </cell>
          <cell r="Q2" t="str">
            <v>ASS</v>
          </cell>
          <cell r="R2" t="str">
            <v>FRANQUIA</v>
          </cell>
          <cell r="S2" t="str">
            <v>DADOS COMERCIAL ( SVA+ DADOS)</v>
          </cell>
          <cell r="T2" t="str">
            <v>SVA COMERCIAL</v>
          </cell>
          <cell r="U2" t="str">
            <v>DADOS1</v>
          </cell>
          <cell r="V2" t="str">
            <v>FIXO</v>
          </cell>
          <cell r="W2" t="str">
            <v>BANDA LARGA</v>
          </cell>
          <cell r="X2" t="str">
            <v>DEMAIS ( FIXO E VELOX)</v>
          </cell>
          <cell r="Y2" t="str">
            <v>SVA CAP</v>
          </cell>
          <cell r="Z2" t="str">
            <v>SVA RETENÇÃO</v>
          </cell>
          <cell r="AA2" t="str">
            <v>CHECK SVA 50% DADOS</v>
          </cell>
          <cell r="AB2" t="str">
            <v>CHECK 30% PARTE DA MOVEL</v>
          </cell>
        </row>
        <row r="3">
          <cell r="A3" t="str">
            <v>Oi Total Fixo + Pós Conectado Mais + Banda LargaN2MG</v>
          </cell>
          <cell r="B3" t="str">
            <v>ORIGINAL</v>
          </cell>
          <cell r="C3" t="str">
            <v>Oi Total Conectado Top</v>
          </cell>
          <cell r="D3"/>
          <cell r="E3" t="str">
            <v>s/dados</v>
          </cell>
          <cell r="F3" t="str">
            <v>N2</v>
          </cell>
          <cell r="G3" t="str">
            <v>G1</v>
          </cell>
          <cell r="H3" t="str">
            <v>MG</v>
          </cell>
          <cell r="I3" t="str">
            <v>Oi Total Fixo + Pós Conectado Mais + Banda Larga</v>
          </cell>
          <cell r="J3" t="str">
            <v>Oi Total Fixo + Pós Conectado Mais + Banda LargaAC</v>
          </cell>
          <cell r="K3" t="str">
            <v>Oi Total Fixo + Pós Conectado Mais + Banda LargaACN284.9</v>
          </cell>
          <cell r="L3" t="str">
            <v>Oi Total Conectado TopMG</v>
          </cell>
          <cell r="M3">
            <v>184.9</v>
          </cell>
          <cell r="N3">
            <v>84.9</v>
          </cell>
          <cell r="O3">
            <v>0</v>
          </cell>
          <cell r="P3">
            <v>84.9</v>
          </cell>
          <cell r="Q3">
            <v>15</v>
          </cell>
          <cell r="R3">
            <v>69.900000000000006</v>
          </cell>
          <cell r="S3">
            <v>0</v>
          </cell>
          <cell r="T3">
            <v>0</v>
          </cell>
          <cell r="U3">
            <v>0</v>
          </cell>
          <cell r="V3">
            <v>50.1</v>
          </cell>
          <cell r="W3">
            <v>49.9</v>
          </cell>
          <cell r="X3">
            <v>100</v>
          </cell>
          <cell r="Y3">
            <v>0</v>
          </cell>
          <cell r="Z3">
            <v>0</v>
          </cell>
          <cell r="AA3" t="b">
            <v>1</v>
          </cell>
          <cell r="AB3" t="b">
            <v>1</v>
          </cell>
        </row>
        <row r="4">
          <cell r="A4" t="str">
            <v>Oi Total Fixo + Pós Conectado Mais + Banda LargaN210GBMG</v>
          </cell>
          <cell r="B4" t="str">
            <v>ORIGINAL</v>
          </cell>
          <cell r="C4" t="str">
            <v>Oi Total Conectado Top</v>
          </cell>
          <cell r="D4">
            <v>10000</v>
          </cell>
          <cell r="E4" t="str">
            <v>10GB</v>
          </cell>
          <cell r="F4" t="str">
            <v>N2</v>
          </cell>
          <cell r="G4" t="str">
            <v>G1</v>
          </cell>
          <cell r="H4" t="str">
            <v>MG</v>
          </cell>
          <cell r="I4" t="str">
            <v>Oi Total Fixo + Pós Conectado Mais + Banda Larga</v>
          </cell>
          <cell r="J4" t="str">
            <v>Oi Total Fixo + Pós Conectado Mais + Banda LargaAC</v>
          </cell>
          <cell r="K4" t="str">
            <v>Oi Total Fixo + Pós Conectado Mais + Banda LargaACN2149.9</v>
          </cell>
          <cell r="L4" t="str">
            <v>Oi Total Conectado TopMG</v>
          </cell>
          <cell r="M4">
            <v>249.9</v>
          </cell>
          <cell r="N4">
            <v>149.9</v>
          </cell>
          <cell r="O4">
            <v>0</v>
          </cell>
          <cell r="P4">
            <v>114.37</v>
          </cell>
          <cell r="Q4">
            <v>15</v>
          </cell>
          <cell r="R4">
            <v>99.37</v>
          </cell>
          <cell r="S4">
            <v>35.53</v>
          </cell>
          <cell r="T4">
            <v>5.24</v>
          </cell>
          <cell r="U4">
            <v>30.29</v>
          </cell>
          <cell r="V4">
            <v>50.1</v>
          </cell>
          <cell r="W4">
            <v>49.9</v>
          </cell>
          <cell r="X4">
            <v>100</v>
          </cell>
          <cell r="Y4">
            <v>20.350000000000001</v>
          </cell>
          <cell r="Z4">
            <v>5.24</v>
          </cell>
          <cell r="AA4" t="b">
            <v>1</v>
          </cell>
          <cell r="AB4" t="b">
            <v>1</v>
          </cell>
        </row>
        <row r="5">
          <cell r="A5" t="str">
            <v>Oi Total Fixo + Pós Conectado 1.000 + Banda LargaN2MG</v>
          </cell>
          <cell r="B5" t="str">
            <v>ORIGINAL</v>
          </cell>
          <cell r="C5" t="str">
            <v>Oi Total Conectado Avançado</v>
          </cell>
          <cell r="D5"/>
          <cell r="E5" t="str">
            <v>s/dados</v>
          </cell>
          <cell r="F5" t="str">
            <v>N2</v>
          </cell>
          <cell r="G5" t="str">
            <v>G1</v>
          </cell>
          <cell r="H5" t="str">
            <v>MG</v>
          </cell>
          <cell r="I5" t="str">
            <v>Oi Total Fixo + Pós Conectado 1.000 + Banda Larga</v>
          </cell>
          <cell r="J5" t="str">
            <v>Oi Total Fixo + Pós Conectado 1.000 + Banda LargaAC</v>
          </cell>
          <cell r="K5" t="str">
            <v>Oi Total Fixo + Pós Conectado 1.000 + Banda LargaACN264.9</v>
          </cell>
          <cell r="L5" t="str">
            <v>Oi Total Conectado AvançadoMG</v>
          </cell>
          <cell r="M5">
            <v>164.9</v>
          </cell>
          <cell r="N5">
            <v>64.900000000000006</v>
          </cell>
          <cell r="O5">
            <v>0</v>
          </cell>
          <cell r="P5">
            <v>64.900000000000006</v>
          </cell>
          <cell r="Q5">
            <v>15</v>
          </cell>
          <cell r="R5">
            <v>49.900000000000006</v>
          </cell>
          <cell r="S5">
            <v>0</v>
          </cell>
          <cell r="T5">
            <v>0</v>
          </cell>
          <cell r="U5">
            <v>0</v>
          </cell>
          <cell r="V5">
            <v>50.1</v>
          </cell>
          <cell r="W5">
            <v>49.9</v>
          </cell>
          <cell r="X5">
            <v>100</v>
          </cell>
          <cell r="Y5">
            <v>0</v>
          </cell>
          <cell r="Z5">
            <v>0</v>
          </cell>
          <cell r="AA5" t="b">
            <v>1</v>
          </cell>
          <cell r="AB5" t="b">
            <v>1</v>
          </cell>
        </row>
        <row r="6">
          <cell r="A6" t="str">
            <v>Oi Total Fixo + Pós Conectado 1.000 + Banda LargaN41GBMG</v>
          </cell>
          <cell r="B6" t="str">
            <v>ORIGINAL</v>
          </cell>
          <cell r="C6" t="str">
            <v>Oi Total Conectado Avançado</v>
          </cell>
          <cell r="D6">
            <v>1000</v>
          </cell>
          <cell r="E6" t="str">
            <v>1GB</v>
          </cell>
          <cell r="F6" t="str">
            <v>N4</v>
          </cell>
          <cell r="G6" t="str">
            <v>G1</v>
          </cell>
          <cell r="H6" t="str">
            <v>MG</v>
          </cell>
          <cell r="I6" t="str">
            <v>Oi Total Fixo + Pós Conectado 1.000 + Banda Larga</v>
          </cell>
          <cell r="J6" t="str">
            <v>Oi Total Fixo + Pós Conectado 1.000 + Banda LargaAC</v>
          </cell>
          <cell r="K6" t="str">
            <v>Oi Total Fixo + Pós Conectado 1.000 + Banda LargaACN454.9</v>
          </cell>
          <cell r="L6" t="str">
            <v>Oi Total Conectado AvançadoMG</v>
          </cell>
          <cell r="M6">
            <v>154.9</v>
          </cell>
          <cell r="N6">
            <v>54.900000000000006</v>
          </cell>
          <cell r="O6">
            <v>0</v>
          </cell>
          <cell r="P6">
            <v>46.160000000000004</v>
          </cell>
          <cell r="Q6">
            <v>15</v>
          </cell>
          <cell r="R6">
            <v>31.160000000000004</v>
          </cell>
          <cell r="S6">
            <v>8.74</v>
          </cell>
          <cell r="T6">
            <v>3.61</v>
          </cell>
          <cell r="U6">
            <v>5.13</v>
          </cell>
          <cell r="V6">
            <v>50.1</v>
          </cell>
          <cell r="W6">
            <v>49.9</v>
          </cell>
          <cell r="X6">
            <v>100</v>
          </cell>
          <cell r="Y6">
            <v>14</v>
          </cell>
          <cell r="Z6">
            <v>3.61</v>
          </cell>
          <cell r="AA6" t="b">
            <v>1</v>
          </cell>
          <cell r="AB6" t="b">
            <v>1</v>
          </cell>
        </row>
        <row r="7">
          <cell r="A7" t="str">
            <v>Oi Total Fixo + Pós Conectado 1.000 + Banda LargaN31GBMG</v>
          </cell>
          <cell r="B7" t="str">
            <v>ORIGINAL</v>
          </cell>
          <cell r="C7" t="str">
            <v>Oi Total Conectado Avançado</v>
          </cell>
          <cell r="D7">
            <v>1000</v>
          </cell>
          <cell r="E7" t="str">
            <v>1GB</v>
          </cell>
          <cell r="F7" t="str">
            <v>N3</v>
          </cell>
          <cell r="G7" t="str">
            <v>G1</v>
          </cell>
          <cell r="H7" t="str">
            <v>MG</v>
          </cell>
          <cell r="I7" t="str">
            <v>Oi Total Fixo + Pós Conectado 1.000 + Banda Larga</v>
          </cell>
          <cell r="J7" t="str">
            <v>Oi Total Fixo + Pós Conectado 1.000 + Banda LargaAC</v>
          </cell>
          <cell r="K7" t="str">
            <v>Oi Total Fixo + Pós Conectado 1.000 + Banda LargaACN364.9</v>
          </cell>
          <cell r="L7" t="str">
            <v>Oi Total Conectado AvançadoMG</v>
          </cell>
          <cell r="M7">
            <v>164.9</v>
          </cell>
          <cell r="N7">
            <v>64.900000000000006</v>
          </cell>
          <cell r="O7">
            <v>0</v>
          </cell>
          <cell r="P7">
            <v>56.160000000000004</v>
          </cell>
          <cell r="Q7">
            <v>15</v>
          </cell>
          <cell r="R7">
            <v>41.160000000000004</v>
          </cell>
          <cell r="S7">
            <v>8.74</v>
          </cell>
          <cell r="T7">
            <v>3.61</v>
          </cell>
          <cell r="U7">
            <v>5.13</v>
          </cell>
          <cell r="V7">
            <v>50.1</v>
          </cell>
          <cell r="W7">
            <v>49.9</v>
          </cell>
          <cell r="X7">
            <v>100</v>
          </cell>
          <cell r="Y7">
            <v>14</v>
          </cell>
          <cell r="Z7">
            <v>3.61</v>
          </cell>
          <cell r="AA7" t="b">
            <v>1</v>
          </cell>
          <cell r="AB7" t="b">
            <v>1</v>
          </cell>
        </row>
        <row r="8">
          <cell r="A8" t="str">
            <v>Oi Total Fixo + Pós Conectado 1.000 + Banda LargaN42GBMG</v>
          </cell>
          <cell r="B8" t="str">
            <v>ORIGINAL</v>
          </cell>
          <cell r="C8" t="str">
            <v>Oi Total Conectado Avançado</v>
          </cell>
          <cell r="D8">
            <v>2000</v>
          </cell>
          <cell r="E8" t="str">
            <v>2GB</v>
          </cell>
          <cell r="F8" t="str">
            <v>N4</v>
          </cell>
          <cell r="G8" t="str">
            <v>G1</v>
          </cell>
          <cell r="H8" t="str">
            <v>MG</v>
          </cell>
          <cell r="I8" t="str">
            <v>Oi Total Fixo + Pós Conectado 1.000 + Banda Larga</v>
          </cell>
          <cell r="J8" t="str">
            <v>Oi Total Fixo + Pós Conectado 1.000 + Banda LargaAC</v>
          </cell>
          <cell r="K8" t="str">
            <v>Oi Total Fixo + Pós Conectado 1.000 + Banda LargaACN464.9</v>
          </cell>
          <cell r="L8" t="str">
            <v>Oi Total Conectado AvançadoMG</v>
          </cell>
          <cell r="M8">
            <v>164.9</v>
          </cell>
          <cell r="N8">
            <v>64.900000000000006</v>
          </cell>
          <cell r="O8">
            <v>0</v>
          </cell>
          <cell r="P8">
            <v>55.13000000000001</v>
          </cell>
          <cell r="Q8">
            <v>15</v>
          </cell>
          <cell r="R8">
            <v>40.13000000000001</v>
          </cell>
          <cell r="S8">
            <v>9.77</v>
          </cell>
          <cell r="T8">
            <v>3.61</v>
          </cell>
          <cell r="U8">
            <v>6.16</v>
          </cell>
          <cell r="V8">
            <v>50.1</v>
          </cell>
          <cell r="W8">
            <v>49.9</v>
          </cell>
          <cell r="X8">
            <v>100</v>
          </cell>
          <cell r="Y8">
            <v>14</v>
          </cell>
          <cell r="Z8">
            <v>3.61</v>
          </cell>
          <cell r="AA8" t="b">
            <v>1</v>
          </cell>
          <cell r="AB8" t="b">
            <v>1</v>
          </cell>
        </row>
        <row r="9">
          <cell r="A9" t="str">
            <v>Oi Total Fixo + Pós Conectado 1.000 + Banda LargaN32GBMG</v>
          </cell>
          <cell r="B9" t="str">
            <v>ORIGINAL</v>
          </cell>
          <cell r="C9" t="str">
            <v>Oi Total Conectado Avançado</v>
          </cell>
          <cell r="D9">
            <v>2000</v>
          </cell>
          <cell r="E9" t="str">
            <v>2GB</v>
          </cell>
          <cell r="F9" t="str">
            <v>N3</v>
          </cell>
          <cell r="G9" t="str">
            <v>G1</v>
          </cell>
          <cell r="H9" t="str">
            <v>MG</v>
          </cell>
          <cell r="I9" t="str">
            <v>Oi Total Fixo + Pós Conectado 1.000 + Banda Larga</v>
          </cell>
          <cell r="J9" t="str">
            <v>Oi Total Fixo + Pós Conectado 1.000 + Banda LargaAC</v>
          </cell>
          <cell r="K9" t="str">
            <v>Oi Total Fixo + Pós Conectado 1.000 + Banda LargaACN374.9</v>
          </cell>
          <cell r="L9" t="str">
            <v>Oi Total Conectado AvançadoMG</v>
          </cell>
          <cell r="M9">
            <v>174.9</v>
          </cell>
          <cell r="N9">
            <v>74.900000000000006</v>
          </cell>
          <cell r="O9">
            <v>0</v>
          </cell>
          <cell r="P9">
            <v>65.13000000000001</v>
          </cell>
          <cell r="Q9">
            <v>15</v>
          </cell>
          <cell r="R9">
            <v>50.13000000000001</v>
          </cell>
          <cell r="S9">
            <v>9.77</v>
          </cell>
          <cell r="T9">
            <v>3.61</v>
          </cell>
          <cell r="U9">
            <v>6.16</v>
          </cell>
          <cell r="V9">
            <v>50.1</v>
          </cell>
          <cell r="W9">
            <v>49.9</v>
          </cell>
          <cell r="X9">
            <v>100</v>
          </cell>
          <cell r="Y9">
            <v>14</v>
          </cell>
          <cell r="Z9">
            <v>3.61</v>
          </cell>
          <cell r="AA9" t="b">
            <v>1</v>
          </cell>
          <cell r="AB9" t="b">
            <v>1</v>
          </cell>
        </row>
        <row r="10">
          <cell r="A10" t="str">
            <v>Oi Total Fixo + Pós Conectado 1.000 + Banda LargaN43GBMG</v>
          </cell>
          <cell r="B10" t="str">
            <v>ORIGINAL</v>
          </cell>
          <cell r="C10" t="str">
            <v>Oi Total Conectado Avançado</v>
          </cell>
          <cell r="D10">
            <v>3000</v>
          </cell>
          <cell r="E10" t="str">
            <v>3GB</v>
          </cell>
          <cell r="F10" t="str">
            <v>N4</v>
          </cell>
          <cell r="G10" t="str">
            <v>G1</v>
          </cell>
          <cell r="H10" t="str">
            <v>MG</v>
          </cell>
          <cell r="I10" t="str">
            <v>Oi Total Fixo + Pós Conectado 1.000 + Banda Larga</v>
          </cell>
          <cell r="J10" t="str">
            <v>Oi Total Fixo + Pós Conectado 1.000 + Banda LargaAC</v>
          </cell>
          <cell r="K10" t="str">
            <v>Oi Total Fixo + Pós Conectado 1.000 + Banda LargaACN474.9</v>
          </cell>
          <cell r="L10" t="str">
            <v>Oi Total Conectado AvançadoMG</v>
          </cell>
          <cell r="M10">
            <v>174.9</v>
          </cell>
          <cell r="N10">
            <v>74.900000000000006</v>
          </cell>
          <cell r="O10">
            <v>0</v>
          </cell>
          <cell r="P10">
            <v>62.550000000000004</v>
          </cell>
          <cell r="Q10">
            <v>15</v>
          </cell>
          <cell r="R10">
            <v>47.550000000000004</v>
          </cell>
          <cell r="S10">
            <v>12.35</v>
          </cell>
          <cell r="T10">
            <v>3.61</v>
          </cell>
          <cell r="U10">
            <v>8.74</v>
          </cell>
          <cell r="V10">
            <v>50.1</v>
          </cell>
          <cell r="W10">
            <v>49.9</v>
          </cell>
          <cell r="X10">
            <v>100</v>
          </cell>
          <cell r="Y10">
            <v>14</v>
          </cell>
          <cell r="Z10">
            <v>3.61</v>
          </cell>
          <cell r="AA10" t="b">
            <v>1</v>
          </cell>
          <cell r="AB10" t="b">
            <v>1</v>
          </cell>
        </row>
        <row r="11">
          <cell r="A11" t="str">
            <v>Oi Total Fixo + Pós Conectado 1.000 + Banda LargaN33GBMG</v>
          </cell>
          <cell r="B11" t="str">
            <v>ORIGINAL</v>
          </cell>
          <cell r="C11" t="str">
            <v>Oi Total Conectado Avançado</v>
          </cell>
          <cell r="D11">
            <v>3000</v>
          </cell>
          <cell r="E11" t="str">
            <v>3GB</v>
          </cell>
          <cell r="F11" t="str">
            <v>N3</v>
          </cell>
          <cell r="G11" t="str">
            <v>G1</v>
          </cell>
          <cell r="H11" t="str">
            <v>MG</v>
          </cell>
          <cell r="I11" t="str">
            <v>Oi Total Fixo + Pós Conectado 1.000 + Banda Larga</v>
          </cell>
          <cell r="J11" t="str">
            <v>Oi Total Fixo + Pós Conectado 1.000 + Banda LargaAC</v>
          </cell>
          <cell r="K11" t="str">
            <v>Oi Total Fixo + Pós Conectado 1.000 + Banda LargaACN384.9</v>
          </cell>
          <cell r="L11" t="str">
            <v>Oi Total Conectado AvançadoMG</v>
          </cell>
          <cell r="M11">
            <v>184.9</v>
          </cell>
          <cell r="N11">
            <v>84.9</v>
          </cell>
          <cell r="O11">
            <v>0</v>
          </cell>
          <cell r="P11">
            <v>72.550000000000011</v>
          </cell>
          <cell r="Q11">
            <v>15</v>
          </cell>
          <cell r="R11">
            <v>57.550000000000011</v>
          </cell>
          <cell r="S11">
            <v>12.35</v>
          </cell>
          <cell r="T11">
            <v>3.61</v>
          </cell>
          <cell r="U11">
            <v>8.74</v>
          </cell>
          <cell r="V11">
            <v>50.1</v>
          </cell>
          <cell r="W11">
            <v>49.9</v>
          </cell>
          <cell r="X11">
            <v>100</v>
          </cell>
          <cell r="Y11">
            <v>14</v>
          </cell>
          <cell r="Z11">
            <v>3.61</v>
          </cell>
          <cell r="AA11" t="b">
            <v>1</v>
          </cell>
          <cell r="AB11" t="b">
            <v>1</v>
          </cell>
        </row>
        <row r="12">
          <cell r="A12" t="str">
            <v>Oi Total Fixo + Pós Conectado 1.000 + Banda LargaN45GBMG</v>
          </cell>
          <cell r="B12" t="str">
            <v>ORIGINAL</v>
          </cell>
          <cell r="C12" t="str">
            <v>Oi Total Conectado Avançado</v>
          </cell>
          <cell r="D12">
            <v>5000</v>
          </cell>
          <cell r="E12" t="str">
            <v>5GB</v>
          </cell>
          <cell r="F12" t="str">
            <v>N4</v>
          </cell>
          <cell r="G12" t="str">
            <v>G1</v>
          </cell>
          <cell r="H12" t="str">
            <v>MG</v>
          </cell>
          <cell r="I12" t="str">
            <v>Oi Total Fixo + Pós Conectado 1.000 + Banda Larga</v>
          </cell>
          <cell r="J12" t="str">
            <v>Oi Total Fixo + Pós Conectado 1.000 + Banda LargaAC</v>
          </cell>
          <cell r="K12" t="str">
            <v>Oi Total Fixo + Pós Conectado 1.000 + Banda LargaACN489.9</v>
          </cell>
          <cell r="L12" t="str">
            <v>Oi Total Conectado AvançadoMG</v>
          </cell>
          <cell r="M12">
            <v>189.9</v>
          </cell>
          <cell r="N12">
            <v>89.9</v>
          </cell>
          <cell r="O12">
            <v>0</v>
          </cell>
          <cell r="P12">
            <v>74.98</v>
          </cell>
          <cell r="Q12">
            <v>15</v>
          </cell>
          <cell r="R12">
            <v>59.980000000000004</v>
          </cell>
          <cell r="S12">
            <v>14.92</v>
          </cell>
          <cell r="T12">
            <v>5.24</v>
          </cell>
          <cell r="U12">
            <v>9.68</v>
          </cell>
          <cell r="V12">
            <v>50.1</v>
          </cell>
          <cell r="W12">
            <v>49.9</v>
          </cell>
          <cell r="X12">
            <v>100</v>
          </cell>
          <cell r="Y12">
            <v>20.350000000000001</v>
          </cell>
          <cell r="Z12">
            <v>5.24</v>
          </cell>
          <cell r="AA12" t="b">
            <v>1</v>
          </cell>
          <cell r="AB12" t="b">
            <v>1</v>
          </cell>
        </row>
        <row r="13">
          <cell r="A13" t="str">
            <v>Oi Total Fixo + Pós Conectado 1.000 + Banda LargaN35GBMG</v>
          </cell>
          <cell r="B13" t="str">
            <v>ORIGINAL-AQUI</v>
          </cell>
          <cell r="C13" t="str">
            <v>Oi Total Conectado Avançado</v>
          </cell>
          <cell r="D13">
            <v>5000</v>
          </cell>
          <cell r="E13" t="str">
            <v>5GB</v>
          </cell>
          <cell r="F13" t="str">
            <v>N3</v>
          </cell>
          <cell r="G13" t="str">
            <v>G1</v>
          </cell>
          <cell r="H13" t="str">
            <v>MG</v>
          </cell>
          <cell r="I13" t="str">
            <v>Oi Total Fixo + Pós Conectado 1.000 + Banda Larga</v>
          </cell>
          <cell r="J13" t="str">
            <v>Oi Total Fixo + Pós Conectado 1.000 + Banda LargaAC</v>
          </cell>
          <cell r="K13" t="str">
            <v>Oi Total Fixo + Pós Conectado 1.000 + Banda LargaACN399.9</v>
          </cell>
          <cell r="L13" t="str">
            <v>Oi Total Conectado AvançadoMG</v>
          </cell>
          <cell r="M13">
            <v>199.9</v>
          </cell>
          <cell r="N13">
            <v>99.9</v>
          </cell>
          <cell r="O13">
            <v>0</v>
          </cell>
          <cell r="P13">
            <v>84.98</v>
          </cell>
          <cell r="Q13">
            <v>15</v>
          </cell>
          <cell r="R13">
            <v>69.98</v>
          </cell>
          <cell r="S13">
            <v>14.92</v>
          </cell>
          <cell r="T13">
            <v>5.24</v>
          </cell>
          <cell r="U13">
            <v>9.68</v>
          </cell>
          <cell r="V13">
            <v>50.1</v>
          </cell>
          <cell r="W13">
            <v>49.9</v>
          </cell>
          <cell r="X13">
            <v>100</v>
          </cell>
          <cell r="Y13">
            <v>20.350000000000001</v>
          </cell>
          <cell r="Z13">
            <v>5.24</v>
          </cell>
          <cell r="AA13" t="b">
            <v>1</v>
          </cell>
          <cell r="AB13" t="b">
            <v>1</v>
          </cell>
        </row>
        <row r="14">
          <cell r="A14" t="str">
            <v>Oi Total Fixo + Pós Conectado 1.000 + Banda LargaN410GBMG</v>
          </cell>
          <cell r="B14" t="str">
            <v>ORIGINAL</v>
          </cell>
          <cell r="C14" t="str">
            <v>Oi Total Conectado Avançado</v>
          </cell>
          <cell r="D14">
            <v>10000</v>
          </cell>
          <cell r="E14" t="str">
            <v>10GB</v>
          </cell>
          <cell r="F14" t="str">
            <v>N4</v>
          </cell>
          <cell r="G14" t="str">
            <v>G1</v>
          </cell>
          <cell r="H14" t="str">
            <v>MG</v>
          </cell>
          <cell r="I14" t="str">
            <v>Oi Total Fixo + Pós Conectado 1.000 + Banda Larga</v>
          </cell>
          <cell r="J14" t="str">
            <v>Oi Total Fixo + Pós Conectado 1.000 + Banda LargaAC</v>
          </cell>
          <cell r="K14" t="str">
            <v>Oi Total Fixo + Pós Conectado 1.000 + Banda LargaACN4119.9</v>
          </cell>
          <cell r="L14" t="str">
            <v>Oi Total Conectado AvançadoMG</v>
          </cell>
          <cell r="M14">
            <v>219.9</v>
          </cell>
          <cell r="N14">
            <v>119.9</v>
          </cell>
          <cell r="O14">
            <v>0</v>
          </cell>
          <cell r="P14">
            <v>84.37</v>
          </cell>
          <cell r="Q14">
            <v>15</v>
          </cell>
          <cell r="R14">
            <v>69.37</v>
          </cell>
          <cell r="S14">
            <v>35.53</v>
          </cell>
          <cell r="T14">
            <v>5.24</v>
          </cell>
          <cell r="U14">
            <v>30.29</v>
          </cell>
          <cell r="V14">
            <v>50.1</v>
          </cell>
          <cell r="W14">
            <v>49.9</v>
          </cell>
          <cell r="X14">
            <v>100</v>
          </cell>
          <cell r="Y14">
            <v>20.350000000000001</v>
          </cell>
          <cell r="Z14">
            <v>5.24</v>
          </cell>
          <cell r="AA14" t="b">
            <v>1</v>
          </cell>
          <cell r="AB14" t="b">
            <v>1</v>
          </cell>
        </row>
        <row r="15">
          <cell r="A15" t="str">
            <v>Oi Total Fixo + Pós Conectado 1.000 + Banda LargaN310GBMG</v>
          </cell>
          <cell r="B15" t="str">
            <v>ORIGINAL-AQUI</v>
          </cell>
          <cell r="C15" t="str">
            <v>Oi Total Conectado Avançado</v>
          </cell>
          <cell r="D15">
            <v>10000</v>
          </cell>
          <cell r="E15" t="str">
            <v>10GB</v>
          </cell>
          <cell r="F15" t="str">
            <v>N3</v>
          </cell>
          <cell r="G15" t="str">
            <v>G1</v>
          </cell>
          <cell r="H15" t="str">
            <v>MG</v>
          </cell>
          <cell r="I15" t="str">
            <v>Oi Total Fixo + Pós Conectado 1.000 + Banda Larga</v>
          </cell>
          <cell r="J15" t="str">
            <v>Oi Total Fixo + Pós Conectado 1.000 + Banda LargaAC</v>
          </cell>
          <cell r="K15" t="str">
            <v>Oi Total Fixo + Pós Conectado 1.000 + Banda LargaACN3129.9</v>
          </cell>
          <cell r="L15" t="str">
            <v>Oi Total Conectado AvançadoMG</v>
          </cell>
          <cell r="M15">
            <v>229.9</v>
          </cell>
          <cell r="N15">
            <v>129.9</v>
          </cell>
          <cell r="O15">
            <v>0</v>
          </cell>
          <cell r="P15">
            <v>94.37</v>
          </cell>
          <cell r="Q15">
            <v>15</v>
          </cell>
          <cell r="R15">
            <v>79.37</v>
          </cell>
          <cell r="S15">
            <v>35.53</v>
          </cell>
          <cell r="T15">
            <v>5.24</v>
          </cell>
          <cell r="U15">
            <v>30.29</v>
          </cell>
          <cell r="V15">
            <v>50.1</v>
          </cell>
          <cell r="W15">
            <v>49.9</v>
          </cell>
          <cell r="X15">
            <v>100</v>
          </cell>
          <cell r="Y15">
            <v>20.350000000000001</v>
          </cell>
          <cell r="Z15">
            <v>5.24</v>
          </cell>
          <cell r="AA15" t="b">
            <v>1</v>
          </cell>
          <cell r="AB15" t="b">
            <v>1</v>
          </cell>
        </row>
        <row r="16">
          <cell r="A16" t="str">
            <v>Oi Total Fixo + Pós Conectado 500 + Banda LargaN2MG</v>
          </cell>
          <cell r="B16" t="str">
            <v>ORIGINAL</v>
          </cell>
          <cell r="C16" t="str">
            <v>Oi Total Conectado Básico</v>
          </cell>
          <cell r="D16"/>
          <cell r="E16" t="str">
            <v>s/dados</v>
          </cell>
          <cell r="F16" t="str">
            <v>N2</v>
          </cell>
          <cell r="G16" t="str">
            <v>G1</v>
          </cell>
          <cell r="H16" t="str">
            <v>MG</v>
          </cell>
          <cell r="I16" t="str">
            <v>Oi Total Fixo + Pós Conectado 500 + Banda Larga</v>
          </cell>
          <cell r="J16" t="str">
            <v>Oi Total Fixo + Pós Conectado 500 + Banda LargaAC</v>
          </cell>
          <cell r="K16" t="str">
            <v>Oi Total Fixo + Pós Conectado 500 + Banda LargaACN259.9</v>
          </cell>
          <cell r="L16" t="str">
            <v>Oi Total Conectado BásicoMG</v>
          </cell>
          <cell r="M16">
            <v>159.9</v>
          </cell>
          <cell r="N16">
            <v>59.900000000000006</v>
          </cell>
          <cell r="O16">
            <v>0</v>
          </cell>
          <cell r="P16">
            <v>59.900000000000006</v>
          </cell>
          <cell r="Q16">
            <v>15</v>
          </cell>
          <cell r="R16">
            <v>44.900000000000006</v>
          </cell>
          <cell r="S16">
            <v>0</v>
          </cell>
          <cell r="T16">
            <v>0</v>
          </cell>
          <cell r="U16">
            <v>0</v>
          </cell>
          <cell r="V16">
            <v>50.1</v>
          </cell>
          <cell r="W16">
            <v>49.9</v>
          </cell>
          <cell r="X16">
            <v>100</v>
          </cell>
          <cell r="Y16">
            <v>0</v>
          </cell>
          <cell r="Z16">
            <v>0</v>
          </cell>
          <cell r="AA16" t="b">
            <v>1</v>
          </cell>
          <cell r="AB16" t="b">
            <v>1</v>
          </cell>
        </row>
        <row r="17">
          <cell r="A17" t="str">
            <v>Oi Total Fixo + Pós Conectado 500 + Banda LargaN41GBMG</v>
          </cell>
          <cell r="B17" t="str">
            <v>ORIGINAL</v>
          </cell>
          <cell r="C17" t="str">
            <v>Oi Total Conectado Básico</v>
          </cell>
          <cell r="D17">
            <v>1000</v>
          </cell>
          <cell r="E17" t="str">
            <v>1GB</v>
          </cell>
          <cell r="F17" t="str">
            <v>N4</v>
          </cell>
          <cell r="G17" t="str">
            <v>G1</v>
          </cell>
          <cell r="H17" t="str">
            <v>MG</v>
          </cell>
          <cell r="I17" t="str">
            <v>Oi Total Fixo + Pós Conectado 500 + Banda Larga</v>
          </cell>
          <cell r="J17" t="str">
            <v>Oi Total Fixo + Pós Conectado 500 + Banda LargaAC</v>
          </cell>
          <cell r="K17" t="str">
            <v>Oi Total Fixo + Pós Conectado 500 + Banda LargaACN449.9</v>
          </cell>
          <cell r="L17" t="str">
            <v>Oi Total Conectado BásicoMG</v>
          </cell>
          <cell r="M17">
            <v>149.9</v>
          </cell>
          <cell r="N17">
            <v>49.900000000000006</v>
          </cell>
          <cell r="O17">
            <v>0</v>
          </cell>
          <cell r="P17">
            <v>41.160000000000004</v>
          </cell>
          <cell r="Q17">
            <v>15</v>
          </cell>
          <cell r="R17">
            <v>26.160000000000004</v>
          </cell>
          <cell r="S17">
            <v>8.74</v>
          </cell>
          <cell r="T17">
            <v>3.61</v>
          </cell>
          <cell r="U17">
            <v>5.13</v>
          </cell>
          <cell r="V17">
            <v>50.1</v>
          </cell>
          <cell r="W17">
            <v>49.9</v>
          </cell>
          <cell r="X17">
            <v>100</v>
          </cell>
          <cell r="Y17">
            <v>14</v>
          </cell>
          <cell r="Z17">
            <v>3.61</v>
          </cell>
          <cell r="AA17" t="b">
            <v>1</v>
          </cell>
          <cell r="AB17" t="b">
            <v>1</v>
          </cell>
        </row>
        <row r="18">
          <cell r="A18" t="str">
            <v>Oi Total Fixo + Pós Conectado 500 + Banda LargaN31GBMG</v>
          </cell>
          <cell r="B18" t="str">
            <v>ORIGINAL</v>
          </cell>
          <cell r="C18" t="str">
            <v>Oi Total Conectado Básico</v>
          </cell>
          <cell r="D18">
            <v>1000</v>
          </cell>
          <cell r="E18" t="str">
            <v>1GB</v>
          </cell>
          <cell r="F18" t="str">
            <v>N3</v>
          </cell>
          <cell r="G18" t="str">
            <v>G1</v>
          </cell>
          <cell r="H18" t="str">
            <v>MG</v>
          </cell>
          <cell r="I18" t="str">
            <v>Oi Total Fixo + Pós Conectado 500 + Banda Larga</v>
          </cell>
          <cell r="J18" t="str">
            <v>Oi Total Fixo + Pós Conectado 500 + Banda LargaAC</v>
          </cell>
          <cell r="K18" t="str">
            <v>Oi Total Fixo + Pós Conectado 500 + Banda LargaACN359.9</v>
          </cell>
          <cell r="L18" t="str">
            <v>Oi Total Conectado BásicoMG</v>
          </cell>
          <cell r="M18">
            <v>159.9</v>
          </cell>
          <cell r="N18">
            <v>59.900000000000006</v>
          </cell>
          <cell r="O18">
            <v>0</v>
          </cell>
          <cell r="P18">
            <v>51.160000000000004</v>
          </cell>
          <cell r="Q18">
            <v>15</v>
          </cell>
          <cell r="R18">
            <v>36.160000000000004</v>
          </cell>
          <cell r="S18">
            <v>8.74</v>
          </cell>
          <cell r="T18">
            <v>3.61</v>
          </cell>
          <cell r="U18">
            <v>5.13</v>
          </cell>
          <cell r="V18">
            <v>50.1</v>
          </cell>
          <cell r="W18">
            <v>49.9</v>
          </cell>
          <cell r="X18">
            <v>100</v>
          </cell>
          <cell r="Y18">
            <v>14</v>
          </cell>
          <cell r="Z18">
            <v>3.61</v>
          </cell>
          <cell r="AA18" t="b">
            <v>1</v>
          </cell>
          <cell r="AB18" t="b">
            <v>1</v>
          </cell>
        </row>
        <row r="19">
          <cell r="A19" t="str">
            <v>Oi Total Fixo + Pós Conectado 500 + Banda LargaN42GBMG</v>
          </cell>
          <cell r="B19" t="str">
            <v>ORIGINAL</v>
          </cell>
          <cell r="C19" t="str">
            <v>Oi Total Conectado Básico</v>
          </cell>
          <cell r="D19">
            <v>2000</v>
          </cell>
          <cell r="E19" t="str">
            <v>2GB</v>
          </cell>
          <cell r="F19" t="str">
            <v>N4</v>
          </cell>
          <cell r="G19" t="str">
            <v>G1</v>
          </cell>
          <cell r="H19" t="str">
            <v>MG</v>
          </cell>
          <cell r="I19" t="str">
            <v>Oi Total Fixo + Pós Conectado 500 + Banda Larga</v>
          </cell>
          <cell r="J19" t="str">
            <v>Oi Total Fixo + Pós Conectado 500 + Banda LargaAC</v>
          </cell>
          <cell r="K19" t="str">
            <v>Oi Total Fixo + Pós Conectado 500 + Banda LargaACN459.9</v>
          </cell>
          <cell r="L19" t="str">
            <v>Oi Total Conectado BásicoMG</v>
          </cell>
          <cell r="M19">
            <v>159.9</v>
          </cell>
          <cell r="N19">
            <v>59.900000000000006</v>
          </cell>
          <cell r="O19">
            <v>0</v>
          </cell>
          <cell r="P19">
            <v>50.13000000000001</v>
          </cell>
          <cell r="Q19">
            <v>15</v>
          </cell>
          <cell r="R19">
            <v>35.13000000000001</v>
          </cell>
          <cell r="S19">
            <v>9.77</v>
          </cell>
          <cell r="T19">
            <v>3.61</v>
          </cell>
          <cell r="U19">
            <v>6.16</v>
          </cell>
          <cell r="V19">
            <v>50.1</v>
          </cell>
          <cell r="W19">
            <v>49.9</v>
          </cell>
          <cell r="X19">
            <v>100</v>
          </cell>
          <cell r="Y19">
            <v>14</v>
          </cell>
          <cell r="Z19">
            <v>3.61</v>
          </cell>
          <cell r="AA19" t="b">
            <v>1</v>
          </cell>
          <cell r="AB19" t="b">
            <v>1</v>
          </cell>
        </row>
        <row r="20">
          <cell r="A20" t="str">
            <v>Oi Total Fixo + Pós Conectado 500 + Banda LargaN32GBMG</v>
          </cell>
          <cell r="B20" t="str">
            <v>ORIGINAL</v>
          </cell>
          <cell r="C20" t="str">
            <v>Oi Total Conectado Básico</v>
          </cell>
          <cell r="D20">
            <v>2000</v>
          </cell>
          <cell r="E20" t="str">
            <v>2GB</v>
          </cell>
          <cell r="F20" t="str">
            <v>N3</v>
          </cell>
          <cell r="G20" t="str">
            <v>G1</v>
          </cell>
          <cell r="H20" t="str">
            <v>MG</v>
          </cell>
          <cell r="I20" t="str">
            <v>Oi Total Fixo + Pós Conectado 500 + Banda Larga</v>
          </cell>
          <cell r="J20" t="str">
            <v>Oi Total Fixo + Pós Conectado 500 + Banda LargaAC</v>
          </cell>
          <cell r="K20" t="str">
            <v>Oi Total Fixo + Pós Conectado 500 + Banda LargaACN369.9</v>
          </cell>
          <cell r="L20" t="str">
            <v>Oi Total Conectado BásicoMG</v>
          </cell>
          <cell r="M20">
            <v>169.9</v>
          </cell>
          <cell r="N20">
            <v>69.900000000000006</v>
          </cell>
          <cell r="O20">
            <v>0</v>
          </cell>
          <cell r="P20">
            <v>60.13000000000001</v>
          </cell>
          <cell r="Q20">
            <v>15</v>
          </cell>
          <cell r="R20">
            <v>45.13000000000001</v>
          </cell>
          <cell r="S20">
            <v>9.77</v>
          </cell>
          <cell r="T20">
            <v>3.61</v>
          </cell>
          <cell r="U20">
            <v>6.16</v>
          </cell>
          <cell r="V20">
            <v>50.1</v>
          </cell>
          <cell r="W20">
            <v>49.9</v>
          </cell>
          <cell r="X20">
            <v>100</v>
          </cell>
          <cell r="Y20">
            <v>14</v>
          </cell>
          <cell r="Z20">
            <v>3.61</v>
          </cell>
          <cell r="AA20" t="b">
            <v>1</v>
          </cell>
          <cell r="AB20" t="b">
            <v>1</v>
          </cell>
        </row>
        <row r="21">
          <cell r="A21" t="str">
            <v>Oi Total Fixo + Pós Conectado 500 + Banda LargaN43GBMG</v>
          </cell>
          <cell r="B21" t="str">
            <v>ORIGINAL</v>
          </cell>
          <cell r="C21" t="str">
            <v>Oi Total Conectado Básico</v>
          </cell>
          <cell r="D21">
            <v>3000</v>
          </cell>
          <cell r="E21" t="str">
            <v>3GB</v>
          </cell>
          <cell r="F21" t="str">
            <v>N4</v>
          </cell>
          <cell r="G21" t="str">
            <v>G1</v>
          </cell>
          <cell r="H21" t="str">
            <v>MG</v>
          </cell>
          <cell r="I21" t="str">
            <v>Oi Total Fixo + Pós Conectado 500 + Banda Larga</v>
          </cell>
          <cell r="J21" t="str">
            <v>Oi Total Fixo + Pós Conectado 500 + Banda LargaAC</v>
          </cell>
          <cell r="K21" t="str">
            <v>Oi Total Fixo + Pós Conectado 500 + Banda LargaACN469.9</v>
          </cell>
          <cell r="L21" t="str">
            <v>Oi Total Conectado BásicoMG</v>
          </cell>
          <cell r="M21">
            <v>169.9</v>
          </cell>
          <cell r="N21">
            <v>69.900000000000006</v>
          </cell>
          <cell r="O21">
            <v>0</v>
          </cell>
          <cell r="P21">
            <v>57.550000000000004</v>
          </cell>
          <cell r="Q21">
            <v>15</v>
          </cell>
          <cell r="R21">
            <v>42.550000000000004</v>
          </cell>
          <cell r="S21">
            <v>12.35</v>
          </cell>
          <cell r="T21">
            <v>3.61</v>
          </cell>
          <cell r="U21">
            <v>8.74</v>
          </cell>
          <cell r="V21">
            <v>50.1</v>
          </cell>
          <cell r="W21">
            <v>49.9</v>
          </cell>
          <cell r="X21">
            <v>100</v>
          </cell>
          <cell r="Y21">
            <v>14</v>
          </cell>
          <cell r="Z21">
            <v>3.61</v>
          </cell>
          <cell r="AA21" t="b">
            <v>1</v>
          </cell>
          <cell r="AB21" t="b">
            <v>1</v>
          </cell>
        </row>
        <row r="22">
          <cell r="A22" t="str">
            <v>Oi Total Fixo + Pós Conectado 500 + Banda LargaN33GBMG</v>
          </cell>
          <cell r="B22" t="str">
            <v>ORIGINAL-AQUI</v>
          </cell>
          <cell r="C22" t="str">
            <v>Oi Total Conectado Básico</v>
          </cell>
          <cell r="D22">
            <v>3000</v>
          </cell>
          <cell r="E22" t="str">
            <v>3GB</v>
          </cell>
          <cell r="F22" t="str">
            <v>N3</v>
          </cell>
          <cell r="G22" t="str">
            <v>G1</v>
          </cell>
          <cell r="H22" t="str">
            <v>MG</v>
          </cell>
          <cell r="I22" t="str">
            <v>Oi Total Fixo + Pós Conectado 500 + Banda Larga</v>
          </cell>
          <cell r="J22" t="str">
            <v>Oi Total Fixo + Pós Conectado 500 + Banda LargaAC</v>
          </cell>
          <cell r="K22" t="str">
            <v>Oi Total Fixo + Pós Conectado 500 + Banda LargaACN379.9</v>
          </cell>
          <cell r="L22" t="str">
            <v>Oi Total Conectado BásicoMG</v>
          </cell>
          <cell r="M22">
            <v>179.9</v>
          </cell>
          <cell r="N22">
            <v>79.900000000000006</v>
          </cell>
          <cell r="O22">
            <v>0</v>
          </cell>
          <cell r="P22">
            <v>67.550000000000011</v>
          </cell>
          <cell r="Q22">
            <v>15</v>
          </cell>
          <cell r="R22">
            <v>52.550000000000011</v>
          </cell>
          <cell r="S22">
            <v>12.35</v>
          </cell>
          <cell r="T22">
            <v>3.61</v>
          </cell>
          <cell r="U22">
            <v>8.74</v>
          </cell>
          <cell r="V22">
            <v>50.1</v>
          </cell>
          <cell r="W22">
            <v>49.9</v>
          </cell>
          <cell r="X22">
            <v>100</v>
          </cell>
          <cell r="Y22">
            <v>14</v>
          </cell>
          <cell r="Z22">
            <v>3.61</v>
          </cell>
          <cell r="AA22" t="b">
            <v>1</v>
          </cell>
          <cell r="AB22" t="b">
            <v>1</v>
          </cell>
        </row>
        <row r="23">
          <cell r="A23" t="str">
            <v>Oi Total Fixo + Pós Conectado 500 + Banda LargaN45GBMG</v>
          </cell>
          <cell r="B23" t="str">
            <v>ORIGINAL</v>
          </cell>
          <cell r="C23" t="str">
            <v>Oi Total Conectado Básico</v>
          </cell>
          <cell r="D23">
            <v>5000</v>
          </cell>
          <cell r="E23" t="str">
            <v>5GB</v>
          </cell>
          <cell r="F23" t="str">
            <v>N4</v>
          </cell>
          <cell r="G23" t="str">
            <v>G1</v>
          </cell>
          <cell r="H23" t="str">
            <v>MG</v>
          </cell>
          <cell r="I23" t="str">
            <v>Oi Total Fixo + Pós Conectado 500 + Banda Larga</v>
          </cell>
          <cell r="J23" t="str">
            <v>Oi Total Fixo + Pós Conectado 500 + Banda LargaAC</v>
          </cell>
          <cell r="K23" t="str">
            <v>Oi Total Fixo + Pós Conectado 500 + Banda LargaACN484.9</v>
          </cell>
          <cell r="L23" t="str">
            <v>Oi Total Conectado BásicoMG</v>
          </cell>
          <cell r="M23">
            <v>184.9</v>
          </cell>
          <cell r="N23">
            <v>84.9</v>
          </cell>
          <cell r="O23">
            <v>0</v>
          </cell>
          <cell r="P23">
            <v>69.98</v>
          </cell>
          <cell r="Q23">
            <v>15</v>
          </cell>
          <cell r="R23">
            <v>54.980000000000004</v>
          </cell>
          <cell r="S23">
            <v>14.92</v>
          </cell>
          <cell r="T23">
            <v>5.24</v>
          </cell>
          <cell r="U23">
            <v>9.68</v>
          </cell>
          <cell r="V23">
            <v>50.1</v>
          </cell>
          <cell r="W23">
            <v>49.9</v>
          </cell>
          <cell r="X23">
            <v>100</v>
          </cell>
          <cell r="Y23">
            <v>20.350000000000001</v>
          </cell>
          <cell r="Z23">
            <v>5.24</v>
          </cell>
          <cell r="AA23" t="b">
            <v>1</v>
          </cell>
          <cell r="AB23" t="b">
            <v>1</v>
          </cell>
        </row>
        <row r="24">
          <cell r="A24" t="str">
            <v>Oi Total Fixo + Pós Conectado 500 + Banda LargaN35GBMG</v>
          </cell>
          <cell r="B24" t="str">
            <v>ORIGINAL</v>
          </cell>
          <cell r="C24" t="str">
            <v>Oi Total Conectado Básico</v>
          </cell>
          <cell r="D24">
            <v>5000</v>
          </cell>
          <cell r="E24" t="str">
            <v>5GB</v>
          </cell>
          <cell r="F24" t="str">
            <v>N3</v>
          </cell>
          <cell r="G24" t="str">
            <v>G1</v>
          </cell>
          <cell r="H24" t="str">
            <v>MG</v>
          </cell>
          <cell r="I24" t="str">
            <v>Oi Total Fixo + Pós Conectado 500 + Banda Larga</v>
          </cell>
          <cell r="J24" t="str">
            <v>Oi Total Fixo + Pós Conectado 500 + Banda LargaAC</v>
          </cell>
          <cell r="K24" t="str">
            <v>Oi Total Fixo + Pós Conectado 500 + Banda LargaACN394.9</v>
          </cell>
          <cell r="L24" t="str">
            <v>Oi Total Conectado BásicoMG</v>
          </cell>
          <cell r="M24">
            <v>194.9</v>
          </cell>
          <cell r="N24">
            <v>94.9</v>
          </cell>
          <cell r="O24">
            <v>0</v>
          </cell>
          <cell r="P24">
            <v>79.98</v>
          </cell>
          <cell r="Q24">
            <v>15</v>
          </cell>
          <cell r="R24">
            <v>64.98</v>
          </cell>
          <cell r="S24">
            <v>14.92</v>
          </cell>
          <cell r="T24">
            <v>5.24</v>
          </cell>
          <cell r="U24">
            <v>9.68</v>
          </cell>
          <cell r="V24">
            <v>50.1</v>
          </cell>
          <cell r="W24">
            <v>49.9</v>
          </cell>
          <cell r="X24">
            <v>100</v>
          </cell>
          <cell r="Y24">
            <v>20.350000000000001</v>
          </cell>
          <cell r="Z24">
            <v>5.24</v>
          </cell>
          <cell r="AA24" t="b">
            <v>1</v>
          </cell>
          <cell r="AB24" t="b">
            <v>1</v>
          </cell>
        </row>
        <row r="25">
          <cell r="A25" t="str">
            <v>Oi Total Fixo + Pós Conectado 500 + Banda LargaN410GBMG</v>
          </cell>
          <cell r="B25" t="str">
            <v>ORIGINAL</v>
          </cell>
          <cell r="C25" t="str">
            <v>Oi Total Conectado Básico</v>
          </cell>
          <cell r="D25">
            <v>10000</v>
          </cell>
          <cell r="E25" t="str">
            <v>10GB</v>
          </cell>
          <cell r="F25" t="str">
            <v>N4</v>
          </cell>
          <cell r="G25" t="str">
            <v>G1</v>
          </cell>
          <cell r="H25" t="str">
            <v>MG</v>
          </cell>
          <cell r="I25" t="str">
            <v>Oi Total Fixo + Pós Conectado 500 + Banda Larga</v>
          </cell>
          <cell r="J25" t="str">
            <v>Oi Total Fixo + Pós Conectado 500 + Banda LargaAC</v>
          </cell>
          <cell r="K25" t="str">
            <v>Oi Total Fixo + Pós Conectado 500 + Banda LargaACN4114.9</v>
          </cell>
          <cell r="L25" t="str">
            <v>Oi Total Conectado BásicoMG</v>
          </cell>
          <cell r="M25">
            <v>214.9</v>
          </cell>
          <cell r="N25">
            <v>114.9</v>
          </cell>
          <cell r="O25">
            <v>0</v>
          </cell>
          <cell r="P25">
            <v>79.37</v>
          </cell>
          <cell r="Q25">
            <v>15</v>
          </cell>
          <cell r="R25">
            <v>64.37</v>
          </cell>
          <cell r="S25">
            <v>35.53</v>
          </cell>
          <cell r="T25">
            <v>5.24</v>
          </cell>
          <cell r="U25">
            <v>30.29</v>
          </cell>
          <cell r="V25">
            <v>50.1</v>
          </cell>
          <cell r="W25">
            <v>49.9</v>
          </cell>
          <cell r="X25">
            <v>100</v>
          </cell>
          <cell r="Y25">
            <v>20.350000000000001</v>
          </cell>
          <cell r="Z25">
            <v>5.24</v>
          </cell>
          <cell r="AA25" t="b">
            <v>1</v>
          </cell>
          <cell r="AB25" t="b">
            <v>1</v>
          </cell>
        </row>
        <row r="26">
          <cell r="A26" t="str">
            <v>Oi Total Fixo + Pós Conectado 500 + Banda LargaN310GBMG</v>
          </cell>
          <cell r="B26" t="str">
            <v>ORIGINAL</v>
          </cell>
          <cell r="C26" t="str">
            <v>Oi Total Conectado Básico</v>
          </cell>
          <cell r="D26">
            <v>10000</v>
          </cell>
          <cell r="E26" t="str">
            <v>10GB</v>
          </cell>
          <cell r="F26" t="str">
            <v>N3</v>
          </cell>
          <cell r="G26" t="str">
            <v>G1</v>
          </cell>
          <cell r="H26" t="str">
            <v>MG</v>
          </cell>
          <cell r="I26" t="str">
            <v>Oi Total Fixo + Pós Conectado 500 + Banda Larga</v>
          </cell>
          <cell r="J26" t="str">
            <v>Oi Total Fixo + Pós Conectado 500 + Banda LargaAC</v>
          </cell>
          <cell r="K26" t="str">
            <v>Oi Total Fixo + Pós Conectado 500 + Banda LargaACN3124.9</v>
          </cell>
          <cell r="L26" t="str">
            <v>Oi Total Conectado BásicoMG</v>
          </cell>
          <cell r="M26">
            <v>224.9</v>
          </cell>
          <cell r="N26">
            <v>124.9</v>
          </cell>
          <cell r="O26">
            <v>0</v>
          </cell>
          <cell r="P26">
            <v>89.37</v>
          </cell>
          <cell r="Q26">
            <v>15</v>
          </cell>
          <cell r="R26">
            <v>74.37</v>
          </cell>
          <cell r="S26">
            <v>35.53</v>
          </cell>
          <cell r="T26">
            <v>5.24</v>
          </cell>
          <cell r="U26">
            <v>30.29</v>
          </cell>
          <cell r="V26">
            <v>50.1</v>
          </cell>
          <cell r="W26">
            <v>49.9</v>
          </cell>
          <cell r="X26">
            <v>100</v>
          </cell>
          <cell r="Y26">
            <v>20.350000000000001</v>
          </cell>
          <cell r="Z26">
            <v>5.24</v>
          </cell>
          <cell r="AA26" t="b">
            <v>1</v>
          </cell>
          <cell r="AB26" t="b">
            <v>1</v>
          </cell>
        </row>
        <row r="27">
          <cell r="A27" t="str">
            <v>Oi Total Fixo + Pós Conectado Mais + Banda LargaN21GBMG</v>
          </cell>
          <cell r="B27" t="str">
            <v>ORIGINAL</v>
          </cell>
          <cell r="C27" t="str">
            <v>Oi Total Conectado Top</v>
          </cell>
          <cell r="D27">
            <v>1000</v>
          </cell>
          <cell r="E27" t="str">
            <v>1GB</v>
          </cell>
          <cell r="F27" t="str">
            <v>N2</v>
          </cell>
          <cell r="G27" t="str">
            <v>G1</v>
          </cell>
          <cell r="H27" t="str">
            <v>MG</v>
          </cell>
          <cell r="I27" t="str">
            <v>Oi Total Fixo + Pós Conectado Mais + Banda Larga</v>
          </cell>
          <cell r="J27" t="str">
            <v>Oi Total Fixo + Pós Conectado Mais + Banda LargaAC</v>
          </cell>
          <cell r="K27" t="str">
            <v>Oi Total Fixo + Pós Conectado Mais + Banda LargaACN284.9</v>
          </cell>
          <cell r="L27" t="str">
            <v>Oi Total Conectado TopMG</v>
          </cell>
          <cell r="M27">
            <v>184.9</v>
          </cell>
          <cell r="N27">
            <v>84.9</v>
          </cell>
          <cell r="O27">
            <v>0</v>
          </cell>
          <cell r="P27">
            <v>76.160000000000011</v>
          </cell>
          <cell r="Q27">
            <v>15</v>
          </cell>
          <cell r="R27">
            <v>61.160000000000011</v>
          </cell>
          <cell r="S27">
            <v>8.74</v>
          </cell>
          <cell r="T27">
            <v>3.61</v>
          </cell>
          <cell r="U27">
            <v>5.13</v>
          </cell>
          <cell r="V27">
            <v>50.1</v>
          </cell>
          <cell r="W27">
            <v>49.9</v>
          </cell>
          <cell r="X27">
            <v>100</v>
          </cell>
          <cell r="Y27">
            <v>14</v>
          </cell>
          <cell r="Z27">
            <v>3.61</v>
          </cell>
          <cell r="AA27" t="b">
            <v>1</v>
          </cell>
          <cell r="AB27" t="b">
            <v>1</v>
          </cell>
        </row>
        <row r="28">
          <cell r="A28" t="str">
            <v>Oi Total Fixo + Pós Conectado Mais + Banda LargaN22GBMG</v>
          </cell>
          <cell r="B28" t="str">
            <v>ORIGINAL</v>
          </cell>
          <cell r="C28" t="str">
            <v>Oi Total Conectado Top</v>
          </cell>
          <cell r="D28">
            <v>2000</v>
          </cell>
          <cell r="E28" t="str">
            <v>2GB</v>
          </cell>
          <cell r="F28" t="str">
            <v>N2</v>
          </cell>
          <cell r="G28" t="str">
            <v>G1</v>
          </cell>
          <cell r="H28" t="str">
            <v>MG</v>
          </cell>
          <cell r="I28" t="str">
            <v>Oi Total Fixo + Pós Conectado Mais + Banda Larga</v>
          </cell>
          <cell r="J28" t="str">
            <v>Oi Total Fixo + Pós Conectado Mais + Banda LargaAC</v>
          </cell>
          <cell r="K28" t="str">
            <v>Oi Total Fixo + Pós Conectado Mais + Banda LargaACN294.9</v>
          </cell>
          <cell r="L28" t="str">
            <v>Oi Total Conectado TopMG</v>
          </cell>
          <cell r="M28">
            <v>194.9</v>
          </cell>
          <cell r="N28">
            <v>94.9</v>
          </cell>
          <cell r="O28">
            <v>0</v>
          </cell>
          <cell r="P28">
            <v>85.13000000000001</v>
          </cell>
          <cell r="Q28">
            <v>15</v>
          </cell>
          <cell r="R28">
            <v>70.13000000000001</v>
          </cell>
          <cell r="S28">
            <v>9.77</v>
          </cell>
          <cell r="T28">
            <v>3.61</v>
          </cell>
          <cell r="U28">
            <v>6.16</v>
          </cell>
          <cell r="V28">
            <v>50.1</v>
          </cell>
          <cell r="W28">
            <v>49.9</v>
          </cell>
          <cell r="X28">
            <v>100</v>
          </cell>
          <cell r="Y28">
            <v>14</v>
          </cell>
          <cell r="Z28">
            <v>3.61</v>
          </cell>
          <cell r="AA28" t="b">
            <v>1</v>
          </cell>
          <cell r="AB28" t="b">
            <v>1</v>
          </cell>
        </row>
        <row r="29">
          <cell r="A29" t="str">
            <v>Oi Total Fixo + Pós Conectado Mais + Banda LargaN23GBMG</v>
          </cell>
          <cell r="B29" t="str">
            <v>ORIGINAL</v>
          </cell>
          <cell r="C29" t="str">
            <v>Oi Total Conectado Top</v>
          </cell>
          <cell r="D29">
            <v>3000</v>
          </cell>
          <cell r="E29" t="str">
            <v>3GB</v>
          </cell>
          <cell r="F29" t="str">
            <v>N2</v>
          </cell>
          <cell r="G29" t="str">
            <v>G1</v>
          </cell>
          <cell r="H29" t="str">
            <v>MG</v>
          </cell>
          <cell r="I29" t="str">
            <v>Oi Total Fixo + Pós Conectado Mais + Banda Larga</v>
          </cell>
          <cell r="J29" t="str">
            <v>Oi Total Fixo + Pós Conectado Mais + Banda LargaAC</v>
          </cell>
          <cell r="K29" t="str">
            <v>Oi Total Fixo + Pós Conectado Mais + Banda LargaACN2104.9</v>
          </cell>
          <cell r="L29" t="str">
            <v>Oi Total Conectado TopMG</v>
          </cell>
          <cell r="M29">
            <v>204.9</v>
          </cell>
          <cell r="N29">
            <v>104.9</v>
          </cell>
          <cell r="O29">
            <v>0</v>
          </cell>
          <cell r="P29">
            <v>92.550000000000011</v>
          </cell>
          <cell r="Q29">
            <v>15</v>
          </cell>
          <cell r="R29">
            <v>77.550000000000011</v>
          </cell>
          <cell r="S29">
            <v>12.35</v>
          </cell>
          <cell r="T29">
            <v>3.61</v>
          </cell>
          <cell r="U29">
            <v>8.74</v>
          </cell>
          <cell r="V29">
            <v>50.1</v>
          </cell>
          <cell r="W29">
            <v>49.9</v>
          </cell>
          <cell r="X29">
            <v>100</v>
          </cell>
          <cell r="Y29">
            <v>14</v>
          </cell>
          <cell r="Z29">
            <v>3.61</v>
          </cell>
          <cell r="AA29" t="b">
            <v>1</v>
          </cell>
          <cell r="AB29" t="b">
            <v>1</v>
          </cell>
        </row>
        <row r="30">
          <cell r="A30" t="str">
            <v>Oi Total Fixo + Pós Conectado Mais + Banda LargaN25GBMG</v>
          </cell>
          <cell r="B30" t="str">
            <v>ORIGINAL</v>
          </cell>
          <cell r="C30" t="str">
            <v>Oi Total Conectado Top</v>
          </cell>
          <cell r="D30">
            <v>5000</v>
          </cell>
          <cell r="E30" t="str">
            <v>5GB</v>
          </cell>
          <cell r="F30" t="str">
            <v>N2</v>
          </cell>
          <cell r="G30" t="str">
            <v>G1</v>
          </cell>
          <cell r="H30" t="str">
            <v>MG</v>
          </cell>
          <cell r="I30" t="str">
            <v>Oi Total Fixo + Pós Conectado Mais + Banda Larga</v>
          </cell>
          <cell r="J30" t="str">
            <v>Oi Total Fixo + Pós Conectado Mais + Banda LargaAC</v>
          </cell>
          <cell r="K30" t="str">
            <v>Oi Total Fixo + Pós Conectado Mais + Banda LargaACN2119.9</v>
          </cell>
          <cell r="L30" t="str">
            <v>Oi Total Conectado TopMG</v>
          </cell>
          <cell r="M30">
            <v>219.9</v>
          </cell>
          <cell r="N30">
            <v>119.9</v>
          </cell>
          <cell r="O30">
            <v>0</v>
          </cell>
          <cell r="P30">
            <v>104.98</v>
          </cell>
          <cell r="Q30">
            <v>15</v>
          </cell>
          <cell r="R30">
            <v>89.98</v>
          </cell>
          <cell r="S30">
            <v>14.92</v>
          </cell>
          <cell r="T30">
            <v>5.24</v>
          </cell>
          <cell r="U30">
            <v>9.68</v>
          </cell>
          <cell r="V30">
            <v>50.1</v>
          </cell>
          <cell r="W30">
            <v>49.9</v>
          </cell>
          <cell r="X30">
            <v>100</v>
          </cell>
          <cell r="Y30">
            <v>20.350000000000001</v>
          </cell>
          <cell r="Z30">
            <v>5.24</v>
          </cell>
          <cell r="AA30" t="b">
            <v>1</v>
          </cell>
          <cell r="AB30" t="b">
            <v>1</v>
          </cell>
        </row>
        <row r="31">
          <cell r="A31" t="str">
            <v>Oi Total Fixo + Pós 100 + Banda LargaN2MG</v>
          </cell>
          <cell r="B31" t="str">
            <v>ORIGINAL</v>
          </cell>
          <cell r="C31" t="str">
            <v>Oi Total Conectado 100</v>
          </cell>
          <cell r="D31"/>
          <cell r="E31" t="str">
            <v>s/dados</v>
          </cell>
          <cell r="F31" t="str">
            <v>N2</v>
          </cell>
          <cell r="G31" t="str">
            <v>G1</v>
          </cell>
          <cell r="H31" t="str">
            <v>MG</v>
          </cell>
          <cell r="I31" t="str">
            <v>Oi Total Fixo + Pós 100 + Banda Larga</v>
          </cell>
          <cell r="J31" t="str">
            <v>Oi Total Fixo + Pós 100 + Banda LargaAC</v>
          </cell>
          <cell r="K31" t="str">
            <v>Oi Total Fixo + Pós 100 + Banda LargaACN264.9</v>
          </cell>
          <cell r="L31" t="str">
            <v>Oi Total Conectado 100MG</v>
          </cell>
          <cell r="M31">
            <v>164.9</v>
          </cell>
          <cell r="N31">
            <v>64.900000000000006</v>
          </cell>
          <cell r="O31">
            <v>0</v>
          </cell>
          <cell r="P31">
            <v>64.900000000000006</v>
          </cell>
          <cell r="Q31">
            <v>15</v>
          </cell>
          <cell r="R31">
            <v>49.900000000000006</v>
          </cell>
          <cell r="S31">
            <v>0</v>
          </cell>
          <cell r="T31">
            <v>0</v>
          </cell>
          <cell r="U31">
            <v>0</v>
          </cell>
          <cell r="V31">
            <v>50.1</v>
          </cell>
          <cell r="W31">
            <v>49.9</v>
          </cell>
          <cell r="X31">
            <v>100</v>
          </cell>
          <cell r="Y31">
            <v>0</v>
          </cell>
          <cell r="Z31">
            <v>0</v>
          </cell>
          <cell r="AA31" t="b">
            <v>1</v>
          </cell>
          <cell r="AB31" t="b">
            <v>1</v>
          </cell>
        </row>
        <row r="32">
          <cell r="A32" t="str">
            <v>Oi Total Fixo + Pós 100 + Banda LargaN41GBMG</v>
          </cell>
          <cell r="B32" t="str">
            <v>ORIGINAL</v>
          </cell>
          <cell r="C32" t="str">
            <v>Oi Total Conectado 100</v>
          </cell>
          <cell r="D32">
            <v>1000</v>
          </cell>
          <cell r="E32" t="str">
            <v>1GB</v>
          </cell>
          <cell r="F32" t="str">
            <v>N4</v>
          </cell>
          <cell r="G32" t="str">
            <v>G1</v>
          </cell>
          <cell r="H32" t="str">
            <v>MG</v>
          </cell>
          <cell r="I32" t="str">
            <v>Oi Total Fixo + Pós 100 + Banda Larga</v>
          </cell>
          <cell r="J32" t="str">
            <v>Oi Total Fixo + Pós 100 + Banda LargaAC</v>
          </cell>
          <cell r="K32" t="str">
            <v>Oi Total Fixo + Pós 100 + Banda LargaACN454.9</v>
          </cell>
          <cell r="L32" t="str">
            <v>Oi Total Conectado 100MG</v>
          </cell>
          <cell r="M32">
            <v>154.9</v>
          </cell>
          <cell r="N32">
            <v>54.900000000000006</v>
          </cell>
          <cell r="O32">
            <v>0</v>
          </cell>
          <cell r="P32">
            <v>46.160000000000004</v>
          </cell>
          <cell r="Q32">
            <v>15</v>
          </cell>
          <cell r="R32">
            <v>31.160000000000004</v>
          </cell>
          <cell r="S32">
            <v>8.74</v>
          </cell>
          <cell r="T32">
            <v>3.61</v>
          </cell>
          <cell r="U32">
            <v>5.13</v>
          </cell>
          <cell r="V32">
            <v>50.1</v>
          </cell>
          <cell r="W32">
            <v>49.9</v>
          </cell>
          <cell r="X32">
            <v>100</v>
          </cell>
          <cell r="Y32">
            <v>14</v>
          </cell>
          <cell r="Z32">
            <v>3.61</v>
          </cell>
          <cell r="AA32" t="b">
            <v>1</v>
          </cell>
          <cell r="AB32" t="b">
            <v>1</v>
          </cell>
        </row>
        <row r="33">
          <cell r="A33" t="str">
            <v>Oi Total Fixo + Pós 100 + Banda LargaN31GBMG</v>
          </cell>
          <cell r="B33" t="str">
            <v>ORIGINAL</v>
          </cell>
          <cell r="C33" t="str">
            <v>Oi Total Conectado 100</v>
          </cell>
          <cell r="D33">
            <v>1000</v>
          </cell>
          <cell r="E33" t="str">
            <v>1GB</v>
          </cell>
          <cell r="F33" t="str">
            <v>N3</v>
          </cell>
          <cell r="G33" t="str">
            <v>G1</v>
          </cell>
          <cell r="H33" t="str">
            <v>MG</v>
          </cell>
          <cell r="I33" t="str">
            <v>Oi Total Fixo + Pós 100 + Banda Larga</v>
          </cell>
          <cell r="J33" t="str">
            <v>Oi Total Fixo + Pós 100 + Banda LargaAC</v>
          </cell>
          <cell r="K33" t="str">
            <v>Oi Total Fixo + Pós 100 + Banda LargaACN364.9</v>
          </cell>
          <cell r="L33" t="str">
            <v>Oi Total Conectado 100MG</v>
          </cell>
          <cell r="M33">
            <v>164.9</v>
          </cell>
          <cell r="N33">
            <v>64.900000000000006</v>
          </cell>
          <cell r="O33">
            <v>0</v>
          </cell>
          <cell r="P33">
            <v>56.160000000000004</v>
          </cell>
          <cell r="Q33">
            <v>15</v>
          </cell>
          <cell r="R33">
            <v>41.160000000000004</v>
          </cell>
          <cell r="S33">
            <v>8.74</v>
          </cell>
          <cell r="T33">
            <v>3.61</v>
          </cell>
          <cell r="U33">
            <v>5.13</v>
          </cell>
          <cell r="V33">
            <v>50.1</v>
          </cell>
          <cell r="W33">
            <v>49.9</v>
          </cell>
          <cell r="X33">
            <v>100</v>
          </cell>
          <cell r="Y33">
            <v>14</v>
          </cell>
          <cell r="Z33">
            <v>3.61</v>
          </cell>
          <cell r="AA33" t="b">
            <v>1</v>
          </cell>
          <cell r="AB33" t="b">
            <v>1</v>
          </cell>
        </row>
        <row r="34">
          <cell r="A34" t="str">
            <v>Oi Total Fixo + Pós 100 + Banda LargaN42GBMG</v>
          </cell>
          <cell r="B34" t="str">
            <v>ORIGINAL</v>
          </cell>
          <cell r="C34" t="str">
            <v>Oi Total Conectado 100</v>
          </cell>
          <cell r="D34">
            <v>2000</v>
          </cell>
          <cell r="E34" t="str">
            <v>2GB</v>
          </cell>
          <cell r="F34" t="str">
            <v>N4</v>
          </cell>
          <cell r="G34" t="str">
            <v>G1</v>
          </cell>
          <cell r="H34" t="str">
            <v>MG</v>
          </cell>
          <cell r="I34" t="str">
            <v>Oi Total Fixo + Pós 100 + Banda Larga</v>
          </cell>
          <cell r="J34" t="str">
            <v>Oi Total Fixo + Pós 100 + Banda LargaAC</v>
          </cell>
          <cell r="K34" t="str">
            <v>Oi Total Fixo + Pós 100 + Banda LargaACN464.9</v>
          </cell>
          <cell r="L34" t="str">
            <v>Oi Total Conectado 100MG</v>
          </cell>
          <cell r="M34">
            <v>164.9</v>
          </cell>
          <cell r="N34">
            <v>64.900000000000006</v>
          </cell>
          <cell r="O34">
            <v>0</v>
          </cell>
          <cell r="P34">
            <v>55.13000000000001</v>
          </cell>
          <cell r="Q34">
            <v>15</v>
          </cell>
          <cell r="R34">
            <v>40.13000000000001</v>
          </cell>
          <cell r="S34">
            <v>9.77</v>
          </cell>
          <cell r="T34">
            <v>3.61</v>
          </cell>
          <cell r="U34">
            <v>6.16</v>
          </cell>
          <cell r="V34">
            <v>50.1</v>
          </cell>
          <cell r="W34">
            <v>49.9</v>
          </cell>
          <cell r="X34">
            <v>100</v>
          </cell>
          <cell r="Y34">
            <v>14</v>
          </cell>
          <cell r="Z34">
            <v>3.61</v>
          </cell>
          <cell r="AA34" t="b">
            <v>1</v>
          </cell>
          <cell r="AB34" t="b">
            <v>1</v>
          </cell>
        </row>
        <row r="35">
          <cell r="A35" t="str">
            <v>Oi Total Fixo + Pós 100 + Banda LargaN32GBMG</v>
          </cell>
          <cell r="B35" t="str">
            <v>ORIGINAL</v>
          </cell>
          <cell r="C35" t="str">
            <v>Oi Total Conectado 100</v>
          </cell>
          <cell r="D35">
            <v>2000</v>
          </cell>
          <cell r="E35" t="str">
            <v>2GB</v>
          </cell>
          <cell r="F35" t="str">
            <v>N3</v>
          </cell>
          <cell r="G35" t="str">
            <v>G1</v>
          </cell>
          <cell r="H35" t="str">
            <v>MG</v>
          </cell>
          <cell r="I35" t="str">
            <v>Oi Total Fixo + Pós 100 + Banda Larga</v>
          </cell>
          <cell r="J35" t="str">
            <v>Oi Total Fixo + Pós 100 + Banda LargaAC</v>
          </cell>
          <cell r="K35" t="str">
            <v>Oi Total Fixo + Pós 100 + Banda LargaACN374.9</v>
          </cell>
          <cell r="L35" t="str">
            <v>Oi Total Conectado 100MG</v>
          </cell>
          <cell r="M35">
            <v>174.9</v>
          </cell>
          <cell r="N35">
            <v>74.900000000000006</v>
          </cell>
          <cell r="O35">
            <v>0</v>
          </cell>
          <cell r="P35">
            <v>65.13000000000001</v>
          </cell>
          <cell r="Q35">
            <v>15</v>
          </cell>
          <cell r="R35">
            <v>50.13000000000001</v>
          </cell>
          <cell r="S35">
            <v>9.77</v>
          </cell>
          <cell r="T35">
            <v>3.61</v>
          </cell>
          <cell r="U35">
            <v>6.16</v>
          </cell>
          <cell r="V35">
            <v>50.1</v>
          </cell>
          <cell r="W35">
            <v>49.9</v>
          </cell>
          <cell r="X35">
            <v>100</v>
          </cell>
          <cell r="Y35">
            <v>14</v>
          </cell>
          <cell r="Z35">
            <v>3.61</v>
          </cell>
          <cell r="AA35" t="b">
            <v>1</v>
          </cell>
          <cell r="AB35" t="b">
            <v>1</v>
          </cell>
        </row>
        <row r="36">
          <cell r="A36" t="str">
            <v>Oi Total Fixo + Pós 100 + Banda LargaN43GBMG</v>
          </cell>
          <cell r="B36" t="str">
            <v>ORIGINAL</v>
          </cell>
          <cell r="C36" t="str">
            <v>Oi Total Conectado 100</v>
          </cell>
          <cell r="D36">
            <v>3000</v>
          </cell>
          <cell r="E36" t="str">
            <v>3GB</v>
          </cell>
          <cell r="F36" t="str">
            <v>N4</v>
          </cell>
          <cell r="G36" t="str">
            <v>G1</v>
          </cell>
          <cell r="H36" t="str">
            <v>MG</v>
          </cell>
          <cell r="I36" t="str">
            <v>Oi Total Fixo + Pós 100 + Banda Larga</v>
          </cell>
          <cell r="J36" t="str">
            <v>Oi Total Fixo + Pós 100 + Banda LargaAC</v>
          </cell>
          <cell r="K36" t="str">
            <v>Oi Total Fixo + Pós 100 + Banda LargaACN474.9</v>
          </cell>
          <cell r="L36" t="str">
            <v>Oi Total Conectado 100MG</v>
          </cell>
          <cell r="M36">
            <v>174.9</v>
          </cell>
          <cell r="N36">
            <v>74.900000000000006</v>
          </cell>
          <cell r="O36">
            <v>0</v>
          </cell>
          <cell r="P36">
            <v>62.550000000000004</v>
          </cell>
          <cell r="Q36">
            <v>15</v>
          </cell>
          <cell r="R36">
            <v>47.550000000000004</v>
          </cell>
          <cell r="S36">
            <v>12.35</v>
          </cell>
          <cell r="T36">
            <v>3.61</v>
          </cell>
          <cell r="U36">
            <v>8.74</v>
          </cell>
          <cell r="V36">
            <v>50.1</v>
          </cell>
          <cell r="W36">
            <v>49.9</v>
          </cell>
          <cell r="X36">
            <v>100</v>
          </cell>
          <cell r="Y36">
            <v>14</v>
          </cell>
          <cell r="Z36">
            <v>3.61</v>
          </cell>
          <cell r="AA36" t="b">
            <v>1</v>
          </cell>
          <cell r="AB36" t="b">
            <v>1</v>
          </cell>
        </row>
        <row r="37">
          <cell r="A37" t="str">
            <v>Oi Total Fixo + Pós 100 + Banda LargaN33GBMG</v>
          </cell>
          <cell r="B37" t="str">
            <v>ORIGINAL</v>
          </cell>
          <cell r="C37" t="str">
            <v>Oi Total Conectado 100</v>
          </cell>
          <cell r="D37">
            <v>3000</v>
          </cell>
          <cell r="E37" t="str">
            <v>3GB</v>
          </cell>
          <cell r="F37" t="str">
            <v>N3</v>
          </cell>
          <cell r="G37" t="str">
            <v>G1</v>
          </cell>
          <cell r="H37" t="str">
            <v>MG</v>
          </cell>
          <cell r="I37" t="str">
            <v>Oi Total Fixo + Pós 100 + Banda Larga</v>
          </cell>
          <cell r="J37" t="str">
            <v>Oi Total Fixo + Pós 100 + Banda LargaAC</v>
          </cell>
          <cell r="K37" t="str">
            <v>Oi Total Fixo + Pós 100 + Banda LargaACN384.9</v>
          </cell>
          <cell r="L37" t="str">
            <v>Oi Total Conectado 100MG</v>
          </cell>
          <cell r="M37">
            <v>184.9</v>
          </cell>
          <cell r="N37">
            <v>84.9</v>
          </cell>
          <cell r="O37">
            <v>0</v>
          </cell>
          <cell r="P37">
            <v>72.550000000000011</v>
          </cell>
          <cell r="Q37">
            <v>15</v>
          </cell>
          <cell r="R37">
            <v>57.550000000000011</v>
          </cell>
          <cell r="S37">
            <v>12.35</v>
          </cell>
          <cell r="T37">
            <v>3.61</v>
          </cell>
          <cell r="U37">
            <v>8.74</v>
          </cell>
          <cell r="V37">
            <v>50.1</v>
          </cell>
          <cell r="W37">
            <v>49.9</v>
          </cell>
          <cell r="X37">
            <v>100</v>
          </cell>
          <cell r="Y37">
            <v>14</v>
          </cell>
          <cell r="Z37">
            <v>3.61</v>
          </cell>
          <cell r="AA37" t="b">
            <v>1</v>
          </cell>
          <cell r="AB37" t="b">
            <v>1</v>
          </cell>
        </row>
        <row r="38">
          <cell r="A38" t="str">
            <v>Oi Total Fixo + Pós 100 + Banda LargaN45GBMG</v>
          </cell>
          <cell r="B38" t="str">
            <v>ORIGINAL</v>
          </cell>
          <cell r="C38" t="str">
            <v>Oi Total Conectado 100</v>
          </cell>
          <cell r="D38">
            <v>5000</v>
          </cell>
          <cell r="E38" t="str">
            <v>5GB</v>
          </cell>
          <cell r="F38" t="str">
            <v>N4</v>
          </cell>
          <cell r="G38" t="str">
            <v>G1</v>
          </cell>
          <cell r="H38" t="str">
            <v>MG</v>
          </cell>
          <cell r="I38" t="str">
            <v>Oi Total Fixo + Pós 100 + Banda Larga</v>
          </cell>
          <cell r="J38" t="str">
            <v>Oi Total Fixo + Pós 100 + Banda LargaAC</v>
          </cell>
          <cell r="K38" t="str">
            <v>Oi Total Fixo + Pós 100 + Banda LargaACN489.9</v>
          </cell>
          <cell r="L38" t="str">
            <v>Oi Total Conectado 100MG</v>
          </cell>
          <cell r="M38">
            <v>189.9</v>
          </cell>
          <cell r="N38">
            <v>89.9</v>
          </cell>
          <cell r="O38">
            <v>0</v>
          </cell>
          <cell r="P38">
            <v>74.98</v>
          </cell>
          <cell r="Q38">
            <v>15</v>
          </cell>
          <cell r="R38">
            <v>59.980000000000004</v>
          </cell>
          <cell r="S38">
            <v>14.92</v>
          </cell>
          <cell r="T38">
            <v>5.24</v>
          </cell>
          <cell r="U38">
            <v>9.68</v>
          </cell>
          <cell r="V38">
            <v>50.1</v>
          </cell>
          <cell r="W38">
            <v>49.9</v>
          </cell>
          <cell r="X38">
            <v>100</v>
          </cell>
          <cell r="Y38">
            <v>20.350000000000001</v>
          </cell>
          <cell r="Z38">
            <v>5.24</v>
          </cell>
          <cell r="AA38" t="b">
            <v>1</v>
          </cell>
          <cell r="AB38" t="b">
            <v>1</v>
          </cell>
        </row>
        <row r="39">
          <cell r="A39" t="str">
            <v>Oi Total Fixo + Pós 100 + Banda LargaN35GBMG</v>
          </cell>
          <cell r="B39" t="str">
            <v>ORIGINAL-AQUI</v>
          </cell>
          <cell r="C39" t="str">
            <v>Oi Total Conectado 100</v>
          </cell>
          <cell r="D39">
            <v>5000</v>
          </cell>
          <cell r="E39" t="str">
            <v>5GB</v>
          </cell>
          <cell r="F39" t="str">
            <v>N3</v>
          </cell>
          <cell r="G39" t="str">
            <v>G1</v>
          </cell>
          <cell r="H39" t="str">
            <v>MG</v>
          </cell>
          <cell r="I39" t="str">
            <v>Oi Total Fixo + Pós 100 + Banda Larga</v>
          </cell>
          <cell r="J39" t="str">
            <v>Oi Total Fixo + Pós 100 + Banda LargaAC</v>
          </cell>
          <cell r="K39" t="str">
            <v>Oi Total Fixo + Pós 100 + Banda LargaACN399.9</v>
          </cell>
          <cell r="L39" t="str">
            <v>Oi Total Conectado 100MG</v>
          </cell>
          <cell r="M39">
            <v>199.9</v>
          </cell>
          <cell r="N39">
            <v>99.9</v>
          </cell>
          <cell r="O39">
            <v>0</v>
          </cell>
          <cell r="P39">
            <v>84.98</v>
          </cell>
          <cell r="Q39">
            <v>15</v>
          </cell>
          <cell r="R39">
            <v>69.98</v>
          </cell>
          <cell r="S39">
            <v>14.92</v>
          </cell>
          <cell r="T39">
            <v>5.24</v>
          </cell>
          <cell r="U39">
            <v>9.68</v>
          </cell>
          <cell r="V39">
            <v>50.1</v>
          </cell>
          <cell r="W39">
            <v>49.9</v>
          </cell>
          <cell r="X39">
            <v>100</v>
          </cell>
          <cell r="Y39">
            <v>20.350000000000001</v>
          </cell>
          <cell r="Z39">
            <v>5.24</v>
          </cell>
          <cell r="AA39" t="b">
            <v>1</v>
          </cell>
          <cell r="AB39" t="b">
            <v>1</v>
          </cell>
        </row>
        <row r="40">
          <cell r="A40" t="str">
            <v>Oi Total Fixo + Pós 100 + Banda LargaN410GBMG</v>
          </cell>
          <cell r="B40" t="str">
            <v>ORIGINAL</v>
          </cell>
          <cell r="C40" t="str">
            <v>Oi Total Conectado 100</v>
          </cell>
          <cell r="D40">
            <v>10000</v>
          </cell>
          <cell r="E40" t="str">
            <v>10GB</v>
          </cell>
          <cell r="F40" t="str">
            <v>N4</v>
          </cell>
          <cell r="G40" t="str">
            <v>G1</v>
          </cell>
          <cell r="H40" t="str">
            <v>MG</v>
          </cell>
          <cell r="I40" t="str">
            <v>Oi Total Fixo + Pós 100 + Banda Larga</v>
          </cell>
          <cell r="J40" t="str">
            <v>Oi Total Fixo + Pós 100 + Banda LargaAC</v>
          </cell>
          <cell r="K40" t="str">
            <v>Oi Total Fixo + Pós 100 + Banda LargaACN4119.9</v>
          </cell>
          <cell r="L40" t="str">
            <v>Oi Total Conectado 100MG</v>
          </cell>
          <cell r="M40">
            <v>219.9</v>
          </cell>
          <cell r="N40">
            <v>119.9</v>
          </cell>
          <cell r="O40">
            <v>0</v>
          </cell>
          <cell r="P40">
            <v>84.37</v>
          </cell>
          <cell r="Q40">
            <v>15</v>
          </cell>
          <cell r="R40">
            <v>69.37</v>
          </cell>
          <cell r="S40">
            <v>35.53</v>
          </cell>
          <cell r="T40">
            <v>5.24</v>
          </cell>
          <cell r="U40">
            <v>30.29</v>
          </cell>
          <cell r="V40">
            <v>50.1</v>
          </cell>
          <cell r="W40">
            <v>49.9</v>
          </cell>
          <cell r="X40">
            <v>100</v>
          </cell>
          <cell r="Y40">
            <v>20.350000000000001</v>
          </cell>
          <cell r="Z40">
            <v>5.24</v>
          </cell>
          <cell r="AA40" t="b">
            <v>1</v>
          </cell>
          <cell r="AB40" t="b">
            <v>1</v>
          </cell>
        </row>
        <row r="41">
          <cell r="A41" t="str">
            <v>Oi Total Fixo + Pós 100 + Banda LargaN310GBMG</v>
          </cell>
          <cell r="B41" t="str">
            <v>ORIGINAL-AQUI</v>
          </cell>
          <cell r="C41" t="str">
            <v>Oi Total Conectado 100</v>
          </cell>
          <cell r="D41">
            <v>10000</v>
          </cell>
          <cell r="E41" t="str">
            <v>10GB</v>
          </cell>
          <cell r="F41" t="str">
            <v>N3</v>
          </cell>
          <cell r="G41" t="str">
            <v>G1</v>
          </cell>
          <cell r="H41" t="str">
            <v>MG</v>
          </cell>
          <cell r="I41" t="str">
            <v>Oi Total Fixo + Pós 100 + Banda Larga</v>
          </cell>
          <cell r="J41" t="str">
            <v>Oi Total Fixo + Pós 100 + Banda LargaAC</v>
          </cell>
          <cell r="K41" t="str">
            <v>Oi Total Fixo + Pós 100 + Banda LargaACN3129.9</v>
          </cell>
          <cell r="L41" t="str">
            <v>Oi Total Conectado 100MG</v>
          </cell>
          <cell r="M41">
            <v>229.9</v>
          </cell>
          <cell r="N41">
            <v>129.9</v>
          </cell>
          <cell r="O41">
            <v>0</v>
          </cell>
          <cell r="P41">
            <v>94.37</v>
          </cell>
          <cell r="Q41">
            <v>15</v>
          </cell>
          <cell r="R41">
            <v>79.37</v>
          </cell>
          <cell r="S41">
            <v>35.53</v>
          </cell>
          <cell r="T41">
            <v>5.24</v>
          </cell>
          <cell r="U41">
            <v>30.29</v>
          </cell>
          <cell r="V41">
            <v>50.1</v>
          </cell>
          <cell r="W41">
            <v>49.9</v>
          </cell>
          <cell r="X41">
            <v>100</v>
          </cell>
          <cell r="Y41">
            <v>20.350000000000001</v>
          </cell>
          <cell r="Z41">
            <v>5.24</v>
          </cell>
          <cell r="AA41" t="b">
            <v>1</v>
          </cell>
          <cell r="AB41" t="b">
            <v>1</v>
          </cell>
        </row>
        <row r="42">
          <cell r="A42" t="str">
            <v>Oi Total Fixo + Pós 250 + Banda LargaN2MG</v>
          </cell>
          <cell r="B42" t="str">
            <v>ORIGINAL</v>
          </cell>
          <cell r="C42" t="str">
            <v>Oi Total Conectado 250</v>
          </cell>
          <cell r="D42"/>
          <cell r="E42" t="str">
            <v>s/dados</v>
          </cell>
          <cell r="F42" t="str">
            <v>N2</v>
          </cell>
          <cell r="G42" t="str">
            <v>G1</v>
          </cell>
          <cell r="H42" t="str">
            <v>MG</v>
          </cell>
          <cell r="I42" t="str">
            <v>Oi Total Fixo + Pós 250 + Banda Larga</v>
          </cell>
          <cell r="J42" t="str">
            <v>Oi Total Fixo + Pós 250 + Banda LargaAC</v>
          </cell>
          <cell r="K42" t="str">
            <v>Oi Total Fixo + Pós 250 + Banda LargaACN279.9</v>
          </cell>
          <cell r="L42" t="str">
            <v>Oi Total Conectado 250MG</v>
          </cell>
          <cell r="M42">
            <v>179.9</v>
          </cell>
          <cell r="N42">
            <v>79.900000000000006</v>
          </cell>
          <cell r="O42">
            <v>0</v>
          </cell>
          <cell r="P42">
            <v>79.900000000000006</v>
          </cell>
          <cell r="Q42">
            <v>15</v>
          </cell>
          <cell r="R42">
            <v>64.900000000000006</v>
          </cell>
          <cell r="S42">
            <v>0</v>
          </cell>
          <cell r="T42">
            <v>0</v>
          </cell>
          <cell r="U42">
            <v>0</v>
          </cell>
          <cell r="V42">
            <v>50.1</v>
          </cell>
          <cell r="W42">
            <v>49.9</v>
          </cell>
          <cell r="X42">
            <v>100</v>
          </cell>
          <cell r="Y42">
            <v>0</v>
          </cell>
          <cell r="Z42">
            <v>0</v>
          </cell>
          <cell r="AA42" t="b">
            <v>1</v>
          </cell>
          <cell r="AB42" t="b">
            <v>1</v>
          </cell>
        </row>
        <row r="43">
          <cell r="A43" t="str">
            <v>Oi Total Fixo + Pós 250 + Banda LargaN41GBMG</v>
          </cell>
          <cell r="B43" t="str">
            <v>ORIGINAL</v>
          </cell>
          <cell r="C43" t="str">
            <v>Oi Total Conectado 250</v>
          </cell>
          <cell r="D43">
            <v>1000</v>
          </cell>
          <cell r="E43" t="str">
            <v>1GB</v>
          </cell>
          <cell r="F43" t="str">
            <v>N4</v>
          </cell>
          <cell r="G43" t="str">
            <v>G1</v>
          </cell>
          <cell r="H43" t="str">
            <v>MG</v>
          </cell>
          <cell r="I43" t="str">
            <v>Oi Total Fixo + Pós 250 + Banda Larga</v>
          </cell>
          <cell r="J43" t="str">
            <v>Oi Total Fixo + Pós 250 + Banda LargaAC</v>
          </cell>
          <cell r="K43" t="str">
            <v>Oi Total Fixo + Pós 250 + Banda LargaACN469.9</v>
          </cell>
          <cell r="L43" t="str">
            <v>Oi Total Conectado 250MG</v>
          </cell>
          <cell r="M43">
            <v>169.9</v>
          </cell>
          <cell r="N43">
            <v>69.900000000000006</v>
          </cell>
          <cell r="O43">
            <v>0</v>
          </cell>
          <cell r="P43">
            <v>61.160000000000004</v>
          </cell>
          <cell r="Q43">
            <v>15</v>
          </cell>
          <cell r="R43">
            <v>46.160000000000004</v>
          </cell>
          <cell r="S43">
            <v>8.74</v>
          </cell>
          <cell r="T43">
            <v>3.61</v>
          </cell>
          <cell r="U43">
            <v>5.13</v>
          </cell>
          <cell r="V43">
            <v>50.1</v>
          </cell>
          <cell r="W43">
            <v>49.9</v>
          </cell>
          <cell r="X43">
            <v>100</v>
          </cell>
          <cell r="Y43">
            <v>14</v>
          </cell>
          <cell r="Z43">
            <v>3.61</v>
          </cell>
          <cell r="AA43" t="b">
            <v>1</v>
          </cell>
          <cell r="AB43" t="b">
            <v>1</v>
          </cell>
        </row>
        <row r="44">
          <cell r="A44" t="str">
            <v>Oi Total Fixo + Pós 250 + Banda LargaN31GBMG</v>
          </cell>
          <cell r="B44" t="str">
            <v>ORIGINAL</v>
          </cell>
          <cell r="C44" t="str">
            <v>Oi Total Conectado 250</v>
          </cell>
          <cell r="D44">
            <v>1000</v>
          </cell>
          <cell r="E44" t="str">
            <v>1GB</v>
          </cell>
          <cell r="F44" t="str">
            <v>N3</v>
          </cell>
          <cell r="G44" t="str">
            <v>G1</v>
          </cell>
          <cell r="H44" t="str">
            <v>MG</v>
          </cell>
          <cell r="I44" t="str">
            <v>Oi Total Fixo + Pós 250 + Banda Larga</v>
          </cell>
          <cell r="J44" t="str">
            <v>Oi Total Fixo + Pós 250 + Banda LargaAC</v>
          </cell>
          <cell r="K44" t="str">
            <v>Oi Total Fixo + Pós 250 + Banda LargaACN379.9</v>
          </cell>
          <cell r="L44" t="str">
            <v>Oi Total Conectado 250MG</v>
          </cell>
          <cell r="M44">
            <v>179.9</v>
          </cell>
          <cell r="N44">
            <v>79.900000000000006</v>
          </cell>
          <cell r="O44">
            <v>0</v>
          </cell>
          <cell r="P44">
            <v>71.160000000000011</v>
          </cell>
          <cell r="Q44">
            <v>15</v>
          </cell>
          <cell r="R44">
            <v>56.160000000000011</v>
          </cell>
          <cell r="S44">
            <v>8.74</v>
          </cell>
          <cell r="T44">
            <v>3.61</v>
          </cell>
          <cell r="U44">
            <v>5.13</v>
          </cell>
          <cell r="V44">
            <v>50.1</v>
          </cell>
          <cell r="W44">
            <v>49.9</v>
          </cell>
          <cell r="X44">
            <v>100</v>
          </cell>
          <cell r="Y44">
            <v>14</v>
          </cell>
          <cell r="Z44">
            <v>3.61</v>
          </cell>
          <cell r="AA44" t="b">
            <v>1</v>
          </cell>
          <cell r="AB44" t="b">
            <v>1</v>
          </cell>
        </row>
        <row r="45">
          <cell r="A45" t="str">
            <v>Oi Total Fixo + Pós 250 + Banda LargaN42GBMG</v>
          </cell>
          <cell r="B45" t="str">
            <v>ORIGINAL</v>
          </cell>
          <cell r="C45" t="str">
            <v>Oi Total Conectado 250</v>
          </cell>
          <cell r="D45">
            <v>2000</v>
          </cell>
          <cell r="E45" t="str">
            <v>2GB</v>
          </cell>
          <cell r="F45" t="str">
            <v>N4</v>
          </cell>
          <cell r="G45" t="str">
            <v>G1</v>
          </cell>
          <cell r="H45" t="str">
            <v>MG</v>
          </cell>
          <cell r="I45" t="str">
            <v>Oi Total Fixo + Pós 250 + Banda Larga</v>
          </cell>
          <cell r="J45" t="str">
            <v>Oi Total Fixo + Pós 250 + Banda LargaAC</v>
          </cell>
          <cell r="K45" t="str">
            <v>Oi Total Fixo + Pós 250 + Banda LargaACN479.9</v>
          </cell>
          <cell r="L45" t="str">
            <v>Oi Total Conectado 250MG</v>
          </cell>
          <cell r="M45">
            <v>179.9</v>
          </cell>
          <cell r="N45">
            <v>79.900000000000006</v>
          </cell>
          <cell r="O45">
            <v>0</v>
          </cell>
          <cell r="P45">
            <v>70.13000000000001</v>
          </cell>
          <cell r="Q45">
            <v>15</v>
          </cell>
          <cell r="R45">
            <v>55.13000000000001</v>
          </cell>
          <cell r="S45">
            <v>9.77</v>
          </cell>
          <cell r="T45">
            <v>3.61</v>
          </cell>
          <cell r="U45">
            <v>6.16</v>
          </cell>
          <cell r="V45">
            <v>50.1</v>
          </cell>
          <cell r="W45">
            <v>49.9</v>
          </cell>
          <cell r="X45">
            <v>100</v>
          </cell>
          <cell r="Y45">
            <v>14</v>
          </cell>
          <cell r="Z45">
            <v>3.61</v>
          </cell>
          <cell r="AA45" t="b">
            <v>1</v>
          </cell>
          <cell r="AB45" t="b">
            <v>1</v>
          </cell>
        </row>
        <row r="46">
          <cell r="A46" t="str">
            <v>Oi Total Fixo + Pós 250 + Banda LargaN32GBMG</v>
          </cell>
          <cell r="B46" t="str">
            <v>ORIGINAL</v>
          </cell>
          <cell r="C46" t="str">
            <v>Oi Total Conectado 250</v>
          </cell>
          <cell r="D46">
            <v>2000</v>
          </cell>
          <cell r="E46" t="str">
            <v>2GB</v>
          </cell>
          <cell r="F46" t="str">
            <v>N3</v>
          </cell>
          <cell r="G46" t="str">
            <v>G1</v>
          </cell>
          <cell r="H46" t="str">
            <v>MG</v>
          </cell>
          <cell r="I46" t="str">
            <v>Oi Total Fixo + Pós 250 + Banda Larga</v>
          </cell>
          <cell r="J46" t="str">
            <v>Oi Total Fixo + Pós 250 + Banda LargaAC</v>
          </cell>
          <cell r="K46" t="str">
            <v>Oi Total Fixo + Pós 250 + Banda LargaACN389.9</v>
          </cell>
          <cell r="L46" t="str">
            <v>Oi Total Conectado 250MG</v>
          </cell>
          <cell r="M46">
            <v>189.9</v>
          </cell>
          <cell r="N46">
            <v>89.9</v>
          </cell>
          <cell r="O46">
            <v>0</v>
          </cell>
          <cell r="P46">
            <v>80.13000000000001</v>
          </cell>
          <cell r="Q46">
            <v>15</v>
          </cell>
          <cell r="R46">
            <v>65.13000000000001</v>
          </cell>
          <cell r="S46">
            <v>9.77</v>
          </cell>
          <cell r="T46">
            <v>3.61</v>
          </cell>
          <cell r="U46">
            <v>6.16</v>
          </cell>
          <cell r="V46">
            <v>50.1</v>
          </cell>
          <cell r="W46">
            <v>49.9</v>
          </cell>
          <cell r="X46">
            <v>100</v>
          </cell>
          <cell r="Y46">
            <v>14</v>
          </cell>
          <cell r="Z46">
            <v>3.61</v>
          </cell>
          <cell r="AA46" t="b">
            <v>1</v>
          </cell>
          <cell r="AB46" t="b">
            <v>1</v>
          </cell>
        </row>
        <row r="47">
          <cell r="A47" t="str">
            <v>Oi Total Fixo + Pós 250 + Banda LargaN43GBMG</v>
          </cell>
          <cell r="B47" t="str">
            <v>ORIGINAL</v>
          </cell>
          <cell r="C47" t="str">
            <v>Oi Total Conectado 250</v>
          </cell>
          <cell r="D47">
            <v>3000</v>
          </cell>
          <cell r="E47" t="str">
            <v>3GB</v>
          </cell>
          <cell r="F47" t="str">
            <v>N4</v>
          </cell>
          <cell r="G47" t="str">
            <v>G1</v>
          </cell>
          <cell r="H47" t="str">
            <v>MG</v>
          </cell>
          <cell r="I47" t="str">
            <v>Oi Total Fixo + Pós 250 + Banda Larga</v>
          </cell>
          <cell r="J47" t="str">
            <v>Oi Total Fixo + Pós 250 + Banda LargaAC</v>
          </cell>
          <cell r="K47" t="str">
            <v>Oi Total Fixo + Pós 250 + Banda LargaACN489.9</v>
          </cell>
          <cell r="L47" t="str">
            <v>Oi Total Conectado 250MG</v>
          </cell>
          <cell r="M47">
            <v>189.9</v>
          </cell>
          <cell r="N47">
            <v>89.9</v>
          </cell>
          <cell r="O47">
            <v>0</v>
          </cell>
          <cell r="P47">
            <v>77.550000000000011</v>
          </cell>
          <cell r="Q47">
            <v>15</v>
          </cell>
          <cell r="R47">
            <v>62.550000000000011</v>
          </cell>
          <cell r="S47">
            <v>12.35</v>
          </cell>
          <cell r="T47">
            <v>3.61</v>
          </cell>
          <cell r="U47">
            <v>8.74</v>
          </cell>
          <cell r="V47">
            <v>50.1</v>
          </cell>
          <cell r="W47">
            <v>49.9</v>
          </cell>
          <cell r="X47">
            <v>100</v>
          </cell>
          <cell r="Y47">
            <v>14</v>
          </cell>
          <cell r="Z47">
            <v>3.61</v>
          </cell>
          <cell r="AA47" t="b">
            <v>1</v>
          </cell>
          <cell r="AB47" t="b">
            <v>1</v>
          </cell>
        </row>
        <row r="48">
          <cell r="A48" t="str">
            <v>Oi Total Fixo + Pós 250 + Banda LargaN33GBMG</v>
          </cell>
          <cell r="B48" t="str">
            <v>ORIGINAL</v>
          </cell>
          <cell r="C48" t="str">
            <v>Oi Total Conectado 250</v>
          </cell>
          <cell r="D48">
            <v>3000</v>
          </cell>
          <cell r="E48" t="str">
            <v>3GB</v>
          </cell>
          <cell r="F48" t="str">
            <v>N3</v>
          </cell>
          <cell r="G48" t="str">
            <v>G1</v>
          </cell>
          <cell r="H48" t="str">
            <v>MG</v>
          </cell>
          <cell r="I48" t="str">
            <v>Oi Total Fixo + Pós 250 + Banda Larga</v>
          </cell>
          <cell r="J48" t="str">
            <v>Oi Total Fixo + Pós 250 + Banda LargaAC</v>
          </cell>
          <cell r="K48" t="str">
            <v>Oi Total Fixo + Pós 250 + Banda LargaACN399.9</v>
          </cell>
          <cell r="L48" t="str">
            <v>Oi Total Conectado 250MG</v>
          </cell>
          <cell r="M48">
            <v>199.9</v>
          </cell>
          <cell r="N48">
            <v>99.9</v>
          </cell>
          <cell r="O48">
            <v>0</v>
          </cell>
          <cell r="P48">
            <v>87.550000000000011</v>
          </cell>
          <cell r="Q48">
            <v>15</v>
          </cell>
          <cell r="R48">
            <v>72.550000000000011</v>
          </cell>
          <cell r="S48">
            <v>12.35</v>
          </cell>
          <cell r="T48">
            <v>3.61</v>
          </cell>
          <cell r="U48">
            <v>8.74</v>
          </cell>
          <cell r="V48">
            <v>50.1</v>
          </cell>
          <cell r="W48">
            <v>49.9</v>
          </cell>
          <cell r="X48">
            <v>100</v>
          </cell>
          <cell r="Y48">
            <v>14</v>
          </cell>
          <cell r="Z48">
            <v>3.61</v>
          </cell>
          <cell r="AA48" t="b">
            <v>1</v>
          </cell>
          <cell r="AB48" t="b">
            <v>1</v>
          </cell>
        </row>
        <row r="49">
          <cell r="A49" t="str">
            <v>Oi Total Fixo + Pós 250 + Banda LargaN45GBMG</v>
          </cell>
          <cell r="B49" t="str">
            <v>ORIGINAL</v>
          </cell>
          <cell r="C49" t="str">
            <v>Oi Total Conectado 250</v>
          </cell>
          <cell r="D49">
            <v>5000</v>
          </cell>
          <cell r="E49" t="str">
            <v>5GB</v>
          </cell>
          <cell r="F49" t="str">
            <v>N4</v>
          </cell>
          <cell r="G49" t="str">
            <v>G1</v>
          </cell>
          <cell r="H49" t="str">
            <v>MG</v>
          </cell>
          <cell r="I49" t="str">
            <v>Oi Total Fixo + Pós 250 + Banda Larga</v>
          </cell>
          <cell r="J49" t="str">
            <v>Oi Total Fixo + Pós 250 + Banda LargaAC</v>
          </cell>
          <cell r="K49" t="str">
            <v>Oi Total Fixo + Pós 250 + Banda LargaACN4104.9</v>
          </cell>
          <cell r="L49" t="str">
            <v>Oi Total Conectado 250MG</v>
          </cell>
          <cell r="M49">
            <v>204.9</v>
          </cell>
          <cell r="N49">
            <v>104.9</v>
          </cell>
          <cell r="O49">
            <v>0</v>
          </cell>
          <cell r="P49">
            <v>89.98</v>
          </cell>
          <cell r="Q49">
            <v>15</v>
          </cell>
          <cell r="R49">
            <v>74.98</v>
          </cell>
          <cell r="S49">
            <v>14.92</v>
          </cell>
          <cell r="T49">
            <v>5.24</v>
          </cell>
          <cell r="U49">
            <v>9.68</v>
          </cell>
          <cell r="V49">
            <v>50.1</v>
          </cell>
          <cell r="W49">
            <v>49.9</v>
          </cell>
          <cell r="X49">
            <v>100</v>
          </cell>
          <cell r="Y49">
            <v>20.350000000000001</v>
          </cell>
          <cell r="Z49">
            <v>5.24</v>
          </cell>
          <cell r="AA49" t="b">
            <v>1</v>
          </cell>
          <cell r="AB49" t="b">
            <v>1</v>
          </cell>
        </row>
        <row r="50">
          <cell r="A50" t="str">
            <v>Oi Total Fixo + Pós 250 + Banda LargaN35GBMG</v>
          </cell>
          <cell r="B50" t="str">
            <v>ORIGINAL</v>
          </cell>
          <cell r="C50" t="str">
            <v>Oi Total Conectado 250</v>
          </cell>
          <cell r="D50">
            <v>5000</v>
          </cell>
          <cell r="E50" t="str">
            <v>5GB</v>
          </cell>
          <cell r="F50" t="str">
            <v>N3</v>
          </cell>
          <cell r="G50" t="str">
            <v>G1</v>
          </cell>
          <cell r="H50" t="str">
            <v>MG</v>
          </cell>
          <cell r="I50" t="str">
            <v>Oi Total Fixo + Pós 250 + Banda Larga</v>
          </cell>
          <cell r="J50" t="str">
            <v>Oi Total Fixo + Pós 250 + Banda LargaAC</v>
          </cell>
          <cell r="K50" t="str">
            <v>Oi Total Fixo + Pós 250 + Banda LargaACN3114.9</v>
          </cell>
          <cell r="L50" t="str">
            <v>Oi Total Conectado 250MG</v>
          </cell>
          <cell r="M50">
            <v>214.9</v>
          </cell>
          <cell r="N50">
            <v>114.9</v>
          </cell>
          <cell r="O50">
            <v>0</v>
          </cell>
          <cell r="P50">
            <v>99.98</v>
          </cell>
          <cell r="Q50">
            <v>15</v>
          </cell>
          <cell r="R50">
            <v>84.98</v>
          </cell>
          <cell r="S50">
            <v>14.92</v>
          </cell>
          <cell r="T50">
            <v>5.24</v>
          </cell>
          <cell r="U50">
            <v>9.68</v>
          </cell>
          <cell r="V50">
            <v>50.1</v>
          </cell>
          <cell r="W50">
            <v>49.9</v>
          </cell>
          <cell r="X50">
            <v>100</v>
          </cell>
          <cell r="Y50">
            <v>20.350000000000001</v>
          </cell>
          <cell r="Z50">
            <v>5.24</v>
          </cell>
          <cell r="AA50" t="b">
            <v>1</v>
          </cell>
          <cell r="AB50" t="b">
            <v>1</v>
          </cell>
        </row>
        <row r="51">
          <cell r="A51" t="str">
            <v>Oi Total Fixo + Pós 250 + Banda LargaN410GBMG</v>
          </cell>
          <cell r="B51" t="str">
            <v>ORIGINAL</v>
          </cell>
          <cell r="C51" t="str">
            <v>Oi Total Conectado 250</v>
          </cell>
          <cell r="D51">
            <v>10000</v>
          </cell>
          <cell r="E51" t="str">
            <v>10GB</v>
          </cell>
          <cell r="F51" t="str">
            <v>N4</v>
          </cell>
          <cell r="G51" t="str">
            <v>G1</v>
          </cell>
          <cell r="H51" t="str">
            <v>MG</v>
          </cell>
          <cell r="I51" t="str">
            <v>Oi Total Fixo + Pós 250 + Banda Larga</v>
          </cell>
          <cell r="J51" t="str">
            <v>Oi Total Fixo + Pós 250 + Banda LargaAC</v>
          </cell>
          <cell r="K51" t="str">
            <v>Oi Total Fixo + Pós 250 + Banda LargaACN4134.9</v>
          </cell>
          <cell r="L51" t="str">
            <v>Oi Total Conectado 250MG</v>
          </cell>
          <cell r="M51">
            <v>234.9</v>
          </cell>
          <cell r="N51">
            <v>134.9</v>
          </cell>
          <cell r="O51">
            <v>0</v>
          </cell>
          <cell r="P51">
            <v>99.37</v>
          </cell>
          <cell r="Q51">
            <v>15</v>
          </cell>
          <cell r="R51">
            <v>84.37</v>
          </cell>
          <cell r="S51">
            <v>35.53</v>
          </cell>
          <cell r="T51">
            <v>5.24</v>
          </cell>
          <cell r="U51">
            <v>30.29</v>
          </cell>
          <cell r="V51">
            <v>50.1</v>
          </cell>
          <cell r="W51">
            <v>49.9</v>
          </cell>
          <cell r="X51">
            <v>100</v>
          </cell>
          <cell r="Y51">
            <v>20.350000000000001</v>
          </cell>
          <cell r="Z51">
            <v>5.24</v>
          </cell>
          <cell r="AA51" t="b">
            <v>1</v>
          </cell>
          <cell r="AB51" t="b">
            <v>1</v>
          </cell>
        </row>
        <row r="52">
          <cell r="A52" t="str">
            <v>Oi Total Fixo + Pós 250 + Banda LargaN310GBMG</v>
          </cell>
          <cell r="B52" t="str">
            <v>ORIGINAL</v>
          </cell>
          <cell r="C52" t="str">
            <v>Oi Total Conectado 250</v>
          </cell>
          <cell r="D52">
            <v>10000</v>
          </cell>
          <cell r="E52" t="str">
            <v>10GB</v>
          </cell>
          <cell r="F52" t="str">
            <v>N3</v>
          </cell>
          <cell r="G52" t="str">
            <v>G1</v>
          </cell>
          <cell r="H52" t="str">
            <v>MG</v>
          </cell>
          <cell r="I52" t="str">
            <v>Oi Total Fixo + Pós 250 + Banda Larga</v>
          </cell>
          <cell r="J52" t="str">
            <v>Oi Total Fixo + Pós 250 + Banda LargaAC</v>
          </cell>
          <cell r="K52" t="str">
            <v>Oi Total Fixo + Pós 250 + Banda LargaACN3144.9</v>
          </cell>
          <cell r="L52" t="str">
            <v>Oi Total Conectado 250MG</v>
          </cell>
          <cell r="M52">
            <v>244.9</v>
          </cell>
          <cell r="N52">
            <v>144.9</v>
          </cell>
          <cell r="O52">
            <v>0</v>
          </cell>
          <cell r="P52">
            <v>109.37</v>
          </cell>
          <cell r="Q52">
            <v>15</v>
          </cell>
          <cell r="R52">
            <v>94.37</v>
          </cell>
          <cell r="S52">
            <v>35.53</v>
          </cell>
          <cell r="T52">
            <v>5.24</v>
          </cell>
          <cell r="U52">
            <v>30.29</v>
          </cell>
          <cell r="V52">
            <v>50.1</v>
          </cell>
          <cell r="W52">
            <v>49.9</v>
          </cell>
          <cell r="X52">
            <v>100</v>
          </cell>
          <cell r="Y52">
            <v>20.350000000000001</v>
          </cell>
          <cell r="Z52">
            <v>5.24</v>
          </cell>
          <cell r="AA52" t="b">
            <v>1</v>
          </cell>
          <cell r="AB52" t="b">
            <v>1</v>
          </cell>
        </row>
        <row r="53">
          <cell r="A53" t="str">
            <v>Oi Total Fixo + Pós 50 + Banda LargaN2MG</v>
          </cell>
          <cell r="B53" t="str">
            <v>REAJUSTE - 25/07</v>
          </cell>
          <cell r="C53" t="str">
            <v>Oi Total Conectado 50</v>
          </cell>
          <cell r="D53"/>
          <cell r="E53" t="str">
            <v>s/dados</v>
          </cell>
          <cell r="F53" t="str">
            <v>N2</v>
          </cell>
          <cell r="G53" t="str">
            <v>G1</v>
          </cell>
          <cell r="H53" t="str">
            <v>MG</v>
          </cell>
          <cell r="I53" t="str">
            <v>Oi Total Fixo + Pós 50 + Banda Larga</v>
          </cell>
          <cell r="J53" t="str">
            <v>Oi Total Fixo + Pós 50 + Banda LargaAC</v>
          </cell>
          <cell r="K53" t="str">
            <v>Oi Total Fixo + Pós 50 + Banda LargaACN259.9</v>
          </cell>
          <cell r="L53" t="str">
            <v>Oi Total Conectado 50MG</v>
          </cell>
          <cell r="M53">
            <v>159.9</v>
          </cell>
          <cell r="N53">
            <v>59.900000000000006</v>
          </cell>
          <cell r="O53">
            <v>0</v>
          </cell>
          <cell r="P53">
            <v>59.900000000000006</v>
          </cell>
          <cell r="Q53">
            <v>15</v>
          </cell>
          <cell r="R53">
            <v>44.900000000000006</v>
          </cell>
          <cell r="S53">
            <v>0</v>
          </cell>
          <cell r="T53">
            <v>0</v>
          </cell>
          <cell r="U53">
            <v>0</v>
          </cell>
          <cell r="V53">
            <v>50.1</v>
          </cell>
          <cell r="W53">
            <v>49.9</v>
          </cell>
          <cell r="X53">
            <v>100</v>
          </cell>
          <cell r="Y53">
            <v>0</v>
          </cell>
          <cell r="Z53">
            <v>0</v>
          </cell>
          <cell r="AA53" t="b">
            <v>1</v>
          </cell>
          <cell r="AB53" t="b">
            <v>1</v>
          </cell>
        </row>
        <row r="54">
          <cell r="A54" t="str">
            <v>Oi Total Fixo + Pós 50 + Banda LargaN41GBMG</v>
          </cell>
          <cell r="B54" t="str">
            <v>ORIGINAL</v>
          </cell>
          <cell r="C54" t="str">
            <v>Oi Total Conectado 50</v>
          </cell>
          <cell r="D54">
            <v>1000</v>
          </cell>
          <cell r="E54" t="str">
            <v>1GB</v>
          </cell>
          <cell r="F54" t="str">
            <v>N4</v>
          </cell>
          <cell r="G54" t="str">
            <v>G1</v>
          </cell>
          <cell r="H54" t="str">
            <v>MG</v>
          </cell>
          <cell r="I54" t="str">
            <v>Oi Total Fixo + Pós 50 + Banda Larga</v>
          </cell>
          <cell r="J54" t="str">
            <v>Oi Total Fixo + Pós 50 + Banda LargaAC</v>
          </cell>
          <cell r="K54" t="str">
            <v>Oi Total Fixo + Pós 50 + Banda LargaACN449.9</v>
          </cell>
          <cell r="L54" t="str">
            <v>Oi Total Conectado 50MG</v>
          </cell>
          <cell r="M54">
            <v>149.9</v>
          </cell>
          <cell r="N54">
            <v>49.900000000000006</v>
          </cell>
          <cell r="O54">
            <v>0</v>
          </cell>
          <cell r="P54">
            <v>41.160000000000004</v>
          </cell>
          <cell r="Q54">
            <v>15</v>
          </cell>
          <cell r="R54">
            <v>26.160000000000004</v>
          </cell>
          <cell r="S54">
            <v>8.74</v>
          </cell>
          <cell r="T54">
            <v>3.61</v>
          </cell>
          <cell r="U54">
            <v>5.13</v>
          </cell>
          <cell r="V54">
            <v>50.1</v>
          </cell>
          <cell r="W54">
            <v>49.9</v>
          </cell>
          <cell r="X54">
            <v>100</v>
          </cell>
          <cell r="Y54">
            <v>14</v>
          </cell>
          <cell r="Z54">
            <v>3.61</v>
          </cell>
          <cell r="AA54" t="b">
            <v>1</v>
          </cell>
          <cell r="AB54" t="b">
            <v>1</v>
          </cell>
        </row>
        <row r="55">
          <cell r="A55" t="str">
            <v>Oi Total Fixo + Pós 50 + Banda LargaN31GBMG</v>
          </cell>
          <cell r="B55" t="str">
            <v>ORIGINAL</v>
          </cell>
          <cell r="C55" t="str">
            <v>Oi Total Conectado 50</v>
          </cell>
          <cell r="D55">
            <v>1000</v>
          </cell>
          <cell r="E55" t="str">
            <v>1GB</v>
          </cell>
          <cell r="F55" t="str">
            <v>N3</v>
          </cell>
          <cell r="G55" t="str">
            <v>G1</v>
          </cell>
          <cell r="H55" t="str">
            <v>MG</v>
          </cell>
          <cell r="I55" t="str">
            <v>Oi Total Fixo + Pós 50 + Banda Larga</v>
          </cell>
          <cell r="J55" t="str">
            <v>Oi Total Fixo + Pós 50 + Banda LargaAC</v>
          </cell>
          <cell r="K55" t="str">
            <v>Oi Total Fixo + Pós 50 + Banda LargaACN359.9</v>
          </cell>
          <cell r="L55" t="str">
            <v>Oi Total Conectado 50MG</v>
          </cell>
          <cell r="M55">
            <v>159.9</v>
          </cell>
          <cell r="N55">
            <v>59.900000000000006</v>
          </cell>
          <cell r="O55">
            <v>0</v>
          </cell>
          <cell r="P55">
            <v>51.160000000000004</v>
          </cell>
          <cell r="Q55">
            <v>15</v>
          </cell>
          <cell r="R55">
            <v>36.160000000000004</v>
          </cell>
          <cell r="S55">
            <v>8.74</v>
          </cell>
          <cell r="T55">
            <v>3.61</v>
          </cell>
          <cell r="U55">
            <v>5.13</v>
          </cell>
          <cell r="V55">
            <v>50.1</v>
          </cell>
          <cell r="W55">
            <v>49.9</v>
          </cell>
          <cell r="X55">
            <v>100</v>
          </cell>
          <cell r="Y55">
            <v>14</v>
          </cell>
          <cell r="Z55">
            <v>3.61</v>
          </cell>
          <cell r="AA55" t="b">
            <v>1</v>
          </cell>
          <cell r="AB55" t="b">
            <v>1</v>
          </cell>
        </row>
        <row r="56">
          <cell r="A56" t="str">
            <v>Oi Total Fixo + Pós 50 + Banda LargaN42GBMG</v>
          </cell>
          <cell r="B56" t="str">
            <v>ORIGINAL</v>
          </cell>
          <cell r="C56" t="str">
            <v>Oi Total Conectado 50</v>
          </cell>
          <cell r="D56">
            <v>2000</v>
          </cell>
          <cell r="E56" t="str">
            <v>2GB</v>
          </cell>
          <cell r="F56" t="str">
            <v>N4</v>
          </cell>
          <cell r="G56" t="str">
            <v>G1</v>
          </cell>
          <cell r="H56" t="str">
            <v>MG</v>
          </cell>
          <cell r="I56" t="str">
            <v>Oi Total Fixo + Pós 50 + Banda Larga</v>
          </cell>
          <cell r="J56" t="str">
            <v>Oi Total Fixo + Pós 50 + Banda LargaAC</v>
          </cell>
          <cell r="K56" t="str">
            <v>Oi Total Fixo + Pós 50 + Banda LargaACN459.9</v>
          </cell>
          <cell r="L56" t="str">
            <v>Oi Total Conectado 50MG</v>
          </cell>
          <cell r="M56">
            <v>159.9</v>
          </cell>
          <cell r="N56">
            <v>59.900000000000006</v>
          </cell>
          <cell r="O56">
            <v>0</v>
          </cell>
          <cell r="P56">
            <v>50.13000000000001</v>
          </cell>
          <cell r="Q56">
            <v>15</v>
          </cell>
          <cell r="R56">
            <v>35.13000000000001</v>
          </cell>
          <cell r="S56">
            <v>9.77</v>
          </cell>
          <cell r="T56">
            <v>3.61</v>
          </cell>
          <cell r="U56">
            <v>6.16</v>
          </cell>
          <cell r="V56">
            <v>50.1</v>
          </cell>
          <cell r="W56">
            <v>49.9</v>
          </cell>
          <cell r="X56">
            <v>100</v>
          </cell>
          <cell r="Y56">
            <v>14</v>
          </cell>
          <cell r="Z56">
            <v>3.61</v>
          </cell>
          <cell r="AA56" t="b">
            <v>1</v>
          </cell>
          <cell r="AB56" t="b">
            <v>1</v>
          </cell>
        </row>
        <row r="57">
          <cell r="A57" t="str">
            <v>Oi Total Fixo + Pós 50 + Banda LargaN32GBMG</v>
          </cell>
          <cell r="B57" t="str">
            <v>ORIGINAL</v>
          </cell>
          <cell r="C57" t="str">
            <v>Oi Total Conectado 50</v>
          </cell>
          <cell r="D57">
            <v>2000</v>
          </cell>
          <cell r="E57" t="str">
            <v>2GB</v>
          </cell>
          <cell r="F57" t="str">
            <v>N3</v>
          </cell>
          <cell r="G57" t="str">
            <v>G1</v>
          </cell>
          <cell r="H57" t="str">
            <v>MG</v>
          </cell>
          <cell r="I57" t="str">
            <v>Oi Total Fixo + Pós 50 + Banda Larga</v>
          </cell>
          <cell r="J57" t="str">
            <v>Oi Total Fixo + Pós 50 + Banda LargaAC</v>
          </cell>
          <cell r="K57" t="str">
            <v>Oi Total Fixo + Pós 50 + Banda LargaACN369.9</v>
          </cell>
          <cell r="L57" t="str">
            <v>Oi Total Conectado 50MG</v>
          </cell>
          <cell r="M57">
            <v>169.9</v>
          </cell>
          <cell r="N57">
            <v>69.900000000000006</v>
          </cell>
          <cell r="O57">
            <v>0</v>
          </cell>
          <cell r="P57">
            <v>60.13000000000001</v>
          </cell>
          <cell r="Q57">
            <v>15</v>
          </cell>
          <cell r="R57">
            <v>45.13000000000001</v>
          </cell>
          <cell r="S57">
            <v>9.77</v>
          </cell>
          <cell r="T57">
            <v>3.61</v>
          </cell>
          <cell r="U57">
            <v>6.16</v>
          </cell>
          <cell r="V57">
            <v>50.1</v>
          </cell>
          <cell r="W57">
            <v>49.9</v>
          </cell>
          <cell r="X57">
            <v>100</v>
          </cell>
          <cell r="Y57">
            <v>14</v>
          </cell>
          <cell r="Z57">
            <v>3.61</v>
          </cell>
          <cell r="AA57" t="b">
            <v>1</v>
          </cell>
          <cell r="AB57" t="b">
            <v>1</v>
          </cell>
        </row>
        <row r="58">
          <cell r="A58" t="str">
            <v>Oi Total Fixo + Pós 50 + Banda LargaN43GBMG</v>
          </cell>
          <cell r="B58" t="str">
            <v>ORIGINAL</v>
          </cell>
          <cell r="C58" t="str">
            <v>Oi Total Conectado 50</v>
          </cell>
          <cell r="D58">
            <v>3000</v>
          </cell>
          <cell r="E58" t="str">
            <v>3GB</v>
          </cell>
          <cell r="F58" t="str">
            <v>N4</v>
          </cell>
          <cell r="G58" t="str">
            <v>G1</v>
          </cell>
          <cell r="H58" t="str">
            <v>MG</v>
          </cell>
          <cell r="I58" t="str">
            <v>Oi Total Fixo + Pós 50 + Banda Larga</v>
          </cell>
          <cell r="J58" t="str">
            <v>Oi Total Fixo + Pós 50 + Banda LargaAC</v>
          </cell>
          <cell r="K58" t="str">
            <v>Oi Total Fixo + Pós 50 + Banda LargaACN469.9</v>
          </cell>
          <cell r="L58" t="str">
            <v>Oi Total Conectado 50MG</v>
          </cell>
          <cell r="M58">
            <v>169.9</v>
          </cell>
          <cell r="N58">
            <v>69.900000000000006</v>
          </cell>
          <cell r="O58">
            <v>0</v>
          </cell>
          <cell r="P58">
            <v>57.550000000000004</v>
          </cell>
          <cell r="Q58">
            <v>15</v>
          </cell>
          <cell r="R58">
            <v>42.550000000000004</v>
          </cell>
          <cell r="S58">
            <v>12.35</v>
          </cell>
          <cell r="T58">
            <v>3.61</v>
          </cell>
          <cell r="U58">
            <v>8.74</v>
          </cell>
          <cell r="V58">
            <v>50.1</v>
          </cell>
          <cell r="W58">
            <v>49.9</v>
          </cell>
          <cell r="X58">
            <v>100</v>
          </cell>
          <cell r="Y58">
            <v>14</v>
          </cell>
          <cell r="Z58">
            <v>3.61</v>
          </cell>
          <cell r="AA58" t="b">
            <v>1</v>
          </cell>
          <cell r="AB58" t="b">
            <v>1</v>
          </cell>
        </row>
        <row r="59">
          <cell r="A59" t="str">
            <v>Oi Total Fixo + Pós 50 + Banda LargaN33GBMG</v>
          </cell>
          <cell r="B59" t="str">
            <v>ORIGINAL-AQUI</v>
          </cell>
          <cell r="C59" t="str">
            <v>Oi Total Conectado 50</v>
          </cell>
          <cell r="D59">
            <v>3000</v>
          </cell>
          <cell r="E59" t="str">
            <v>3GB</v>
          </cell>
          <cell r="F59" t="str">
            <v>N3</v>
          </cell>
          <cell r="G59" t="str">
            <v>G1</v>
          </cell>
          <cell r="H59" t="str">
            <v>MG</v>
          </cell>
          <cell r="I59" t="str">
            <v>Oi Total Fixo + Pós 50 + Banda Larga</v>
          </cell>
          <cell r="J59" t="str">
            <v>Oi Total Fixo + Pós 50 + Banda LargaAC</v>
          </cell>
          <cell r="K59" t="str">
            <v>Oi Total Fixo + Pós 50 + Banda LargaACN379.9</v>
          </cell>
          <cell r="L59" t="str">
            <v>Oi Total Conectado 50MG</v>
          </cell>
          <cell r="M59">
            <v>179.9</v>
          </cell>
          <cell r="N59">
            <v>79.900000000000006</v>
          </cell>
          <cell r="O59">
            <v>0</v>
          </cell>
          <cell r="P59">
            <v>67.550000000000011</v>
          </cell>
          <cell r="Q59">
            <v>15</v>
          </cell>
          <cell r="R59">
            <v>52.550000000000011</v>
          </cell>
          <cell r="S59">
            <v>12.35</v>
          </cell>
          <cell r="T59">
            <v>3.61</v>
          </cell>
          <cell r="U59">
            <v>8.74</v>
          </cell>
          <cell r="V59">
            <v>50.1</v>
          </cell>
          <cell r="W59">
            <v>49.9</v>
          </cell>
          <cell r="X59">
            <v>100</v>
          </cell>
          <cell r="Y59">
            <v>14</v>
          </cell>
          <cell r="Z59">
            <v>3.61</v>
          </cell>
          <cell r="AA59" t="b">
            <v>1</v>
          </cell>
          <cell r="AB59" t="b">
            <v>1</v>
          </cell>
        </row>
        <row r="60">
          <cell r="A60" t="str">
            <v>Oi Total Fixo + Pós 50 + Banda LargaN45GBMG</v>
          </cell>
          <cell r="B60" t="str">
            <v>ORIGINAL</v>
          </cell>
          <cell r="C60" t="str">
            <v>Oi Total Conectado 50</v>
          </cell>
          <cell r="D60">
            <v>5000</v>
          </cell>
          <cell r="E60" t="str">
            <v>5GB</v>
          </cell>
          <cell r="F60" t="str">
            <v>N4</v>
          </cell>
          <cell r="G60" t="str">
            <v>G1</v>
          </cell>
          <cell r="H60" t="str">
            <v>MG</v>
          </cell>
          <cell r="I60" t="str">
            <v>Oi Total Fixo + Pós 50 + Banda Larga</v>
          </cell>
          <cell r="J60" t="str">
            <v>Oi Total Fixo + Pós 50 + Banda LargaAC</v>
          </cell>
          <cell r="K60" t="str">
            <v>Oi Total Fixo + Pós 50 + Banda LargaACN484.9</v>
          </cell>
          <cell r="L60" t="str">
            <v>Oi Total Conectado 50MG</v>
          </cell>
          <cell r="M60">
            <v>184.9</v>
          </cell>
          <cell r="N60">
            <v>84.9</v>
          </cell>
          <cell r="O60">
            <v>0</v>
          </cell>
          <cell r="P60">
            <v>69.98</v>
          </cell>
          <cell r="Q60">
            <v>15</v>
          </cell>
          <cell r="R60">
            <v>54.980000000000004</v>
          </cell>
          <cell r="S60">
            <v>14.92</v>
          </cell>
          <cell r="T60">
            <v>5.24</v>
          </cell>
          <cell r="U60">
            <v>9.68</v>
          </cell>
          <cell r="V60">
            <v>50.1</v>
          </cell>
          <cell r="W60">
            <v>49.9</v>
          </cell>
          <cell r="X60">
            <v>100</v>
          </cell>
          <cell r="Y60">
            <v>20.350000000000001</v>
          </cell>
          <cell r="Z60">
            <v>5.24</v>
          </cell>
          <cell r="AA60" t="b">
            <v>1</v>
          </cell>
          <cell r="AB60" t="b">
            <v>1</v>
          </cell>
        </row>
        <row r="61">
          <cell r="A61" t="str">
            <v>Oi Total Fixo + Pós 50 + Banda LargaN35GBMG</v>
          </cell>
          <cell r="B61" t="str">
            <v>ORIGINAL</v>
          </cell>
          <cell r="C61" t="str">
            <v>Oi Total Conectado 50</v>
          </cell>
          <cell r="D61">
            <v>5000</v>
          </cell>
          <cell r="E61" t="str">
            <v>5GB</v>
          </cell>
          <cell r="F61" t="str">
            <v>N3</v>
          </cell>
          <cell r="G61" t="str">
            <v>G1</v>
          </cell>
          <cell r="H61" t="str">
            <v>MG</v>
          </cell>
          <cell r="I61" t="str">
            <v>Oi Total Fixo + Pós 50 + Banda Larga</v>
          </cell>
          <cell r="J61" t="str">
            <v>Oi Total Fixo + Pós 50 + Banda LargaAC</v>
          </cell>
          <cell r="K61" t="str">
            <v>Oi Total Fixo + Pós 50 + Banda LargaACN394.9</v>
          </cell>
          <cell r="L61" t="str">
            <v>Oi Total Conectado 50MG</v>
          </cell>
          <cell r="M61">
            <v>194.9</v>
          </cell>
          <cell r="N61">
            <v>94.9</v>
          </cell>
          <cell r="O61">
            <v>0</v>
          </cell>
          <cell r="P61">
            <v>79.98</v>
          </cell>
          <cell r="Q61">
            <v>15</v>
          </cell>
          <cell r="R61">
            <v>64.98</v>
          </cell>
          <cell r="S61">
            <v>14.92</v>
          </cell>
          <cell r="T61">
            <v>5.24</v>
          </cell>
          <cell r="U61">
            <v>9.68</v>
          </cell>
          <cell r="V61">
            <v>50.1</v>
          </cell>
          <cell r="W61">
            <v>49.9</v>
          </cell>
          <cell r="X61">
            <v>100</v>
          </cell>
          <cell r="Y61">
            <v>20.350000000000001</v>
          </cell>
          <cell r="Z61">
            <v>5.24</v>
          </cell>
          <cell r="AA61" t="b">
            <v>1</v>
          </cell>
          <cell r="AB61" t="b">
            <v>1</v>
          </cell>
        </row>
        <row r="62">
          <cell r="A62" t="str">
            <v>Oi Total Fixo + Pós 50 + Banda LargaN410GBMG</v>
          </cell>
          <cell r="B62" t="str">
            <v>ORIGINAL</v>
          </cell>
          <cell r="C62" t="str">
            <v>Oi Total Conectado 50</v>
          </cell>
          <cell r="D62">
            <v>10000</v>
          </cell>
          <cell r="E62" t="str">
            <v>10GB</v>
          </cell>
          <cell r="F62" t="str">
            <v>N4</v>
          </cell>
          <cell r="G62" t="str">
            <v>G1</v>
          </cell>
          <cell r="H62" t="str">
            <v>MG</v>
          </cell>
          <cell r="I62" t="str">
            <v>Oi Total Fixo + Pós 50 + Banda Larga</v>
          </cell>
          <cell r="J62" t="str">
            <v>Oi Total Fixo + Pós 50 + Banda LargaAC</v>
          </cell>
          <cell r="K62" t="str">
            <v>Oi Total Fixo + Pós 50 + Banda LargaACN4114.9</v>
          </cell>
          <cell r="L62" t="str">
            <v>Oi Total Conectado 50MG</v>
          </cell>
          <cell r="M62">
            <v>214.9</v>
          </cell>
          <cell r="N62">
            <v>114.9</v>
          </cell>
          <cell r="O62">
            <v>0</v>
          </cell>
          <cell r="P62">
            <v>79.37</v>
          </cell>
          <cell r="Q62">
            <v>15</v>
          </cell>
          <cell r="R62">
            <v>64.37</v>
          </cell>
          <cell r="S62">
            <v>35.53</v>
          </cell>
          <cell r="T62">
            <v>5.24</v>
          </cell>
          <cell r="U62">
            <v>30.29</v>
          </cell>
          <cell r="V62">
            <v>50.1</v>
          </cell>
          <cell r="W62">
            <v>49.9</v>
          </cell>
          <cell r="X62">
            <v>100</v>
          </cell>
          <cell r="Y62">
            <v>20.350000000000001</v>
          </cell>
          <cell r="Z62">
            <v>5.24</v>
          </cell>
          <cell r="AA62" t="b">
            <v>1</v>
          </cell>
          <cell r="AB62" t="b">
            <v>1</v>
          </cell>
        </row>
        <row r="63">
          <cell r="A63" t="str">
            <v>Oi Total Fixo + Pós 50 + Banda LargaN310GBMG</v>
          </cell>
          <cell r="B63" t="str">
            <v>ORIGINAL</v>
          </cell>
          <cell r="C63" t="str">
            <v>Oi Total Conectado 50</v>
          </cell>
          <cell r="D63">
            <v>10000</v>
          </cell>
          <cell r="E63" t="str">
            <v>10GB</v>
          </cell>
          <cell r="F63" t="str">
            <v>N3</v>
          </cell>
          <cell r="G63" t="str">
            <v>G1</v>
          </cell>
          <cell r="H63" t="str">
            <v>MG</v>
          </cell>
          <cell r="I63" t="str">
            <v>Oi Total Fixo + Pós 50 + Banda Larga</v>
          </cell>
          <cell r="J63" t="str">
            <v>Oi Total Fixo + Pós 50 + Banda LargaAC</v>
          </cell>
          <cell r="K63" t="str">
            <v>Oi Total Fixo + Pós 50 + Banda LargaACN3124.9</v>
          </cell>
          <cell r="L63" t="str">
            <v>Oi Total Conectado 50MG</v>
          </cell>
          <cell r="M63">
            <v>224.9</v>
          </cell>
          <cell r="N63">
            <v>124.9</v>
          </cell>
          <cell r="O63">
            <v>0</v>
          </cell>
          <cell r="P63">
            <v>89.37</v>
          </cell>
          <cell r="Q63">
            <v>15</v>
          </cell>
          <cell r="R63">
            <v>74.37</v>
          </cell>
          <cell r="S63">
            <v>35.53</v>
          </cell>
          <cell r="T63">
            <v>5.24</v>
          </cell>
          <cell r="U63">
            <v>30.29</v>
          </cell>
          <cell r="V63">
            <v>50.1</v>
          </cell>
          <cell r="W63">
            <v>49.9</v>
          </cell>
          <cell r="X63">
            <v>100</v>
          </cell>
          <cell r="Y63">
            <v>20.350000000000001</v>
          </cell>
          <cell r="Z63">
            <v>5.24</v>
          </cell>
          <cell r="AA63" t="b">
            <v>1</v>
          </cell>
          <cell r="AB63" t="b">
            <v>1</v>
          </cell>
        </row>
        <row r="64">
          <cell r="A64" t="str">
            <v>Oi Total Fixo + Pós 500 + Banda LargaN2MG</v>
          </cell>
          <cell r="B64" t="str">
            <v>ORIGINAL</v>
          </cell>
          <cell r="C64" t="str">
            <v>Oi Total Conectado 500</v>
          </cell>
          <cell r="D64"/>
          <cell r="E64" t="str">
            <v>s/dados</v>
          </cell>
          <cell r="F64" t="str">
            <v>N2</v>
          </cell>
          <cell r="G64" t="str">
            <v>G1</v>
          </cell>
          <cell r="H64" t="str">
            <v>MG</v>
          </cell>
          <cell r="I64" t="str">
            <v>Oi Total Fixo + Pós 500 + Banda Larga</v>
          </cell>
          <cell r="J64" t="str">
            <v>Oi Total Fixo + Pós 500 + Banda LargaAC</v>
          </cell>
          <cell r="K64" t="str">
            <v>Oi Total Fixo + Pós 500 + Banda LargaACN299.9</v>
          </cell>
          <cell r="L64" t="str">
            <v>Oi Total Conectado 500MG</v>
          </cell>
          <cell r="M64">
            <v>199.9</v>
          </cell>
          <cell r="N64">
            <v>99.9</v>
          </cell>
          <cell r="O64">
            <v>0</v>
          </cell>
          <cell r="P64">
            <v>99.9</v>
          </cell>
          <cell r="Q64">
            <v>15</v>
          </cell>
          <cell r="R64">
            <v>84.9</v>
          </cell>
          <cell r="S64">
            <v>0</v>
          </cell>
          <cell r="T64">
            <v>0</v>
          </cell>
          <cell r="U64">
            <v>0</v>
          </cell>
          <cell r="V64">
            <v>50.1</v>
          </cell>
          <cell r="W64">
            <v>49.9</v>
          </cell>
          <cell r="X64">
            <v>100</v>
          </cell>
          <cell r="Y64">
            <v>0</v>
          </cell>
          <cell r="Z64">
            <v>0</v>
          </cell>
          <cell r="AA64" t="b">
            <v>1</v>
          </cell>
          <cell r="AB64" t="b">
            <v>1</v>
          </cell>
        </row>
        <row r="65">
          <cell r="A65" t="str">
            <v>Oi Total Fixo + Pós 500 + Banda LargaN21GBMG</v>
          </cell>
          <cell r="B65" t="str">
            <v>ORIGINAL</v>
          </cell>
          <cell r="C65" t="str">
            <v>Oi Total Conectado 500</v>
          </cell>
          <cell r="D65">
            <v>1000</v>
          </cell>
          <cell r="E65" t="str">
            <v>1GB</v>
          </cell>
          <cell r="F65" t="str">
            <v>N2</v>
          </cell>
          <cell r="G65" t="str">
            <v>G1</v>
          </cell>
          <cell r="H65" t="str">
            <v>MG</v>
          </cell>
          <cell r="I65" t="str">
            <v>Oi Total Fixo + Pós 500 + Banda Larga</v>
          </cell>
          <cell r="J65" t="str">
            <v>Oi Total Fixo + Pós 500 + Banda LargaAC</v>
          </cell>
          <cell r="K65" t="str">
            <v>Oi Total Fixo + Pós 500 + Banda LargaACN299.9</v>
          </cell>
          <cell r="L65" t="str">
            <v>Oi Total Conectado 500MG</v>
          </cell>
          <cell r="M65">
            <v>199.9</v>
          </cell>
          <cell r="N65">
            <v>99.9</v>
          </cell>
          <cell r="O65">
            <v>0</v>
          </cell>
          <cell r="P65">
            <v>91.160000000000011</v>
          </cell>
          <cell r="Q65">
            <v>15</v>
          </cell>
          <cell r="R65">
            <v>76.160000000000011</v>
          </cell>
          <cell r="S65">
            <v>8.74</v>
          </cell>
          <cell r="T65">
            <v>3.61</v>
          </cell>
          <cell r="U65">
            <v>5.13</v>
          </cell>
          <cell r="V65">
            <v>50.1</v>
          </cell>
          <cell r="W65">
            <v>49.9</v>
          </cell>
          <cell r="X65">
            <v>100</v>
          </cell>
          <cell r="Y65">
            <v>14</v>
          </cell>
          <cell r="Z65">
            <v>3.61</v>
          </cell>
          <cell r="AA65" t="b">
            <v>1</v>
          </cell>
          <cell r="AB65" t="b">
            <v>1</v>
          </cell>
        </row>
        <row r="66">
          <cell r="A66" t="str">
            <v>Oi Total Fixo + Pós 500 + Banda LargaN22GBMG</v>
          </cell>
          <cell r="B66" t="str">
            <v>ORIGINAL</v>
          </cell>
          <cell r="C66" t="str">
            <v>Oi Total Conectado 500</v>
          </cell>
          <cell r="D66">
            <v>2000</v>
          </cell>
          <cell r="E66" t="str">
            <v>2GB</v>
          </cell>
          <cell r="F66" t="str">
            <v>N2</v>
          </cell>
          <cell r="G66" t="str">
            <v>G1</v>
          </cell>
          <cell r="H66" t="str">
            <v>MG</v>
          </cell>
          <cell r="I66" t="str">
            <v>Oi Total Fixo + Pós 500 + Banda Larga</v>
          </cell>
          <cell r="J66" t="str">
            <v>Oi Total Fixo + Pós 500 + Banda LargaAC</v>
          </cell>
          <cell r="K66" t="str">
            <v>Oi Total Fixo + Pós 500 + Banda LargaACN2109.9</v>
          </cell>
          <cell r="L66" t="str">
            <v>Oi Total Conectado 500MG</v>
          </cell>
          <cell r="M66">
            <v>209.9</v>
          </cell>
          <cell r="N66">
            <v>109.9</v>
          </cell>
          <cell r="O66">
            <v>0</v>
          </cell>
          <cell r="P66">
            <v>100.13000000000001</v>
          </cell>
          <cell r="Q66">
            <v>15</v>
          </cell>
          <cell r="R66">
            <v>85.13000000000001</v>
          </cell>
          <cell r="S66">
            <v>9.77</v>
          </cell>
          <cell r="T66">
            <v>3.61</v>
          </cell>
          <cell r="U66">
            <v>6.16</v>
          </cell>
          <cell r="V66">
            <v>50.1</v>
          </cell>
          <cell r="W66">
            <v>49.9</v>
          </cell>
          <cell r="X66">
            <v>100</v>
          </cell>
          <cell r="Y66">
            <v>14</v>
          </cell>
          <cell r="Z66">
            <v>3.61</v>
          </cell>
          <cell r="AA66" t="b">
            <v>1</v>
          </cell>
          <cell r="AB66" t="b">
            <v>1</v>
          </cell>
        </row>
        <row r="67">
          <cell r="A67" t="str">
            <v>Oi Total Fixo + Pós 500 + Banda LargaN23GBMG</v>
          </cell>
          <cell r="B67" t="str">
            <v>ORIGINAL</v>
          </cell>
          <cell r="C67" t="str">
            <v>Oi Total Conectado 500</v>
          </cell>
          <cell r="D67">
            <v>3000</v>
          </cell>
          <cell r="E67" t="str">
            <v>3GB</v>
          </cell>
          <cell r="F67" t="str">
            <v>N2</v>
          </cell>
          <cell r="G67" t="str">
            <v>G1</v>
          </cell>
          <cell r="H67" t="str">
            <v>MG</v>
          </cell>
          <cell r="I67" t="str">
            <v>Oi Total Fixo + Pós 500 + Banda Larga</v>
          </cell>
          <cell r="J67" t="str">
            <v>Oi Total Fixo + Pós 500 + Banda LargaAC</v>
          </cell>
          <cell r="K67" t="str">
            <v>Oi Total Fixo + Pós 500 + Banda LargaACN2119.9</v>
          </cell>
          <cell r="L67" t="str">
            <v>Oi Total Conectado 500MG</v>
          </cell>
          <cell r="M67">
            <v>219.9</v>
          </cell>
          <cell r="N67">
            <v>119.9</v>
          </cell>
          <cell r="O67">
            <v>0</v>
          </cell>
          <cell r="P67">
            <v>107.55000000000001</v>
          </cell>
          <cell r="Q67">
            <v>15</v>
          </cell>
          <cell r="R67">
            <v>92.550000000000011</v>
          </cell>
          <cell r="S67">
            <v>12.35</v>
          </cell>
          <cell r="T67">
            <v>3.61</v>
          </cell>
          <cell r="U67">
            <v>8.74</v>
          </cell>
          <cell r="V67">
            <v>50.1</v>
          </cell>
          <cell r="W67">
            <v>49.9</v>
          </cell>
          <cell r="X67">
            <v>100</v>
          </cell>
          <cell r="Y67">
            <v>14</v>
          </cell>
          <cell r="Z67">
            <v>3.61</v>
          </cell>
          <cell r="AA67" t="b">
            <v>1</v>
          </cell>
          <cell r="AB67" t="b">
            <v>1</v>
          </cell>
        </row>
        <row r="68">
          <cell r="A68" t="str">
            <v>Oi Total Fixo + Pós 500 + Banda LargaN25GBMG</v>
          </cell>
          <cell r="B68" t="str">
            <v>ORIGINAL</v>
          </cell>
          <cell r="C68" t="str">
            <v>Oi Total Conectado 500</v>
          </cell>
          <cell r="D68">
            <v>5000</v>
          </cell>
          <cell r="E68" t="str">
            <v>5GB</v>
          </cell>
          <cell r="F68" t="str">
            <v>N2</v>
          </cell>
          <cell r="G68" t="str">
            <v>G1</v>
          </cell>
          <cell r="H68" t="str">
            <v>MG</v>
          </cell>
          <cell r="I68" t="str">
            <v>Oi Total Fixo + Pós 500 + Banda Larga</v>
          </cell>
          <cell r="J68" t="str">
            <v>Oi Total Fixo + Pós 500 + Banda LargaAC</v>
          </cell>
          <cell r="K68" t="str">
            <v>Oi Total Fixo + Pós 500 + Banda LargaACN2134.9</v>
          </cell>
          <cell r="L68" t="str">
            <v>Oi Total Conectado 500MG</v>
          </cell>
          <cell r="M68">
            <v>234.9</v>
          </cell>
          <cell r="N68">
            <v>134.9</v>
          </cell>
          <cell r="O68">
            <v>0</v>
          </cell>
          <cell r="P68">
            <v>119.98</v>
          </cell>
          <cell r="Q68">
            <v>15</v>
          </cell>
          <cell r="R68">
            <v>104.98</v>
          </cell>
          <cell r="S68">
            <v>14.92</v>
          </cell>
          <cell r="T68">
            <v>5.24</v>
          </cell>
          <cell r="U68">
            <v>9.68</v>
          </cell>
          <cell r="V68">
            <v>50.1</v>
          </cell>
          <cell r="W68">
            <v>49.9</v>
          </cell>
          <cell r="X68">
            <v>100</v>
          </cell>
          <cell r="Y68">
            <v>20.350000000000001</v>
          </cell>
          <cell r="Z68">
            <v>5.24</v>
          </cell>
          <cell r="AA68" t="b">
            <v>1</v>
          </cell>
          <cell r="AB68" t="b">
            <v>1</v>
          </cell>
        </row>
        <row r="69">
          <cell r="A69" t="str">
            <v>Oi Total Fixo + Pós 500 + Banda LargaN210GBMG</v>
          </cell>
          <cell r="B69" t="str">
            <v>ORIGINAL</v>
          </cell>
          <cell r="C69" t="str">
            <v>Oi Total Conectado 500</v>
          </cell>
          <cell r="D69">
            <v>10000</v>
          </cell>
          <cell r="E69" t="str">
            <v>10GB</v>
          </cell>
          <cell r="F69" t="str">
            <v>N2</v>
          </cell>
          <cell r="G69" t="str">
            <v>G1</v>
          </cell>
          <cell r="H69" t="str">
            <v>MG</v>
          </cell>
          <cell r="I69" t="str">
            <v>Oi Total Fixo + Pós 500 + Banda Larga</v>
          </cell>
          <cell r="J69" t="str">
            <v>Oi Total Fixo + Pós 500 + Banda LargaAC</v>
          </cell>
          <cell r="K69" t="str">
            <v>Oi Total Fixo + Pós 500 + Banda LargaACN2164.9</v>
          </cell>
          <cell r="L69" t="str">
            <v>Oi Total Conectado 500MG</v>
          </cell>
          <cell r="M69">
            <v>264.89999999999998</v>
          </cell>
          <cell r="N69">
            <v>164.89999999999998</v>
          </cell>
          <cell r="O69">
            <v>0</v>
          </cell>
          <cell r="P69">
            <v>129.36999999999998</v>
          </cell>
          <cell r="Q69">
            <v>15</v>
          </cell>
          <cell r="R69">
            <v>114.36999999999998</v>
          </cell>
          <cell r="S69">
            <v>35.53</v>
          </cell>
          <cell r="T69">
            <v>5.24</v>
          </cell>
          <cell r="U69">
            <v>30.29</v>
          </cell>
          <cell r="V69">
            <v>50.1</v>
          </cell>
          <cell r="W69">
            <v>49.9</v>
          </cell>
          <cell r="X69">
            <v>100</v>
          </cell>
          <cell r="Y69">
            <v>20.350000000000001</v>
          </cell>
          <cell r="Z69">
            <v>5.24</v>
          </cell>
          <cell r="AA69" t="b">
            <v>1</v>
          </cell>
          <cell r="AB69" t="b">
            <v>1</v>
          </cell>
        </row>
        <row r="70">
          <cell r="A70" t="str">
            <v>Oi Total Fixo + Pós 800 + Banda LargaN2MG</v>
          </cell>
          <cell r="B70" t="str">
            <v>ORIGINAL</v>
          </cell>
          <cell r="C70" t="str">
            <v>Oi Total Conectado 800</v>
          </cell>
          <cell r="D70"/>
          <cell r="E70" t="str">
            <v>s/dados</v>
          </cell>
          <cell r="F70" t="str">
            <v>N2</v>
          </cell>
          <cell r="G70" t="str">
            <v>G1</v>
          </cell>
          <cell r="H70" t="str">
            <v>MG</v>
          </cell>
          <cell r="I70" t="str">
            <v>Oi Total Fixo + Pós 800 + Banda Larga</v>
          </cell>
          <cell r="J70" t="str">
            <v>Oi Total Fixo + Pós 800 + Banda LargaAC</v>
          </cell>
          <cell r="K70" t="str">
            <v>Oi Total Fixo + Pós 800 + Banda LargaACN2124.9</v>
          </cell>
          <cell r="L70" t="str">
            <v>Oi Total Conectado 800MG</v>
          </cell>
          <cell r="M70">
            <v>224.9</v>
          </cell>
          <cell r="N70">
            <v>124.9</v>
          </cell>
          <cell r="O70">
            <v>0</v>
          </cell>
          <cell r="P70">
            <v>124.9</v>
          </cell>
          <cell r="Q70">
            <v>15</v>
          </cell>
          <cell r="R70">
            <v>109.9</v>
          </cell>
          <cell r="S70">
            <v>0</v>
          </cell>
          <cell r="T70">
            <v>0</v>
          </cell>
          <cell r="U70">
            <v>0</v>
          </cell>
          <cell r="V70">
            <v>50.1</v>
          </cell>
          <cell r="W70">
            <v>49.9</v>
          </cell>
          <cell r="X70">
            <v>100</v>
          </cell>
          <cell r="Y70">
            <v>0</v>
          </cell>
          <cell r="Z70">
            <v>0</v>
          </cell>
          <cell r="AA70" t="b">
            <v>1</v>
          </cell>
          <cell r="AB70" t="b">
            <v>1</v>
          </cell>
        </row>
        <row r="71">
          <cell r="A71" t="str">
            <v>Oi Total Fixo + Pós 800 + Banda LargaN21GBMG</v>
          </cell>
          <cell r="B71" t="str">
            <v>ORIGINAL</v>
          </cell>
          <cell r="C71" t="str">
            <v>Oi Total Conectado 800</v>
          </cell>
          <cell r="D71">
            <v>1000</v>
          </cell>
          <cell r="E71" t="str">
            <v>1GB</v>
          </cell>
          <cell r="F71" t="str">
            <v>N2</v>
          </cell>
          <cell r="G71" t="str">
            <v>G1</v>
          </cell>
          <cell r="H71" t="str">
            <v>MG</v>
          </cell>
          <cell r="I71" t="str">
            <v>Oi Total Fixo + Pós 800 + Banda Larga</v>
          </cell>
          <cell r="J71" t="str">
            <v>Oi Total Fixo + Pós 800 + Banda LargaAC</v>
          </cell>
          <cell r="K71" t="str">
            <v>Oi Total Fixo + Pós 800 + Banda LargaACN2124.9</v>
          </cell>
          <cell r="L71" t="str">
            <v>Oi Total Conectado 800MG</v>
          </cell>
          <cell r="M71">
            <v>224.9</v>
          </cell>
          <cell r="N71">
            <v>124.9</v>
          </cell>
          <cell r="O71">
            <v>0</v>
          </cell>
          <cell r="P71">
            <v>116.16000000000001</v>
          </cell>
          <cell r="Q71">
            <v>15</v>
          </cell>
          <cell r="R71">
            <v>101.16000000000001</v>
          </cell>
          <cell r="S71">
            <v>8.74</v>
          </cell>
          <cell r="T71">
            <v>3.61</v>
          </cell>
          <cell r="U71">
            <v>5.13</v>
          </cell>
          <cell r="V71">
            <v>50.1</v>
          </cell>
          <cell r="W71">
            <v>49.9</v>
          </cell>
          <cell r="X71">
            <v>100</v>
          </cell>
          <cell r="Y71">
            <v>14</v>
          </cell>
          <cell r="Z71">
            <v>3.61</v>
          </cell>
          <cell r="AA71" t="b">
            <v>1</v>
          </cell>
          <cell r="AB71" t="b">
            <v>1</v>
          </cell>
        </row>
        <row r="72">
          <cell r="A72" t="str">
            <v>Oi Total Fixo + Pós 800 + Banda LargaN22GBMG</v>
          </cell>
          <cell r="B72" t="str">
            <v>ORIGINAL</v>
          </cell>
          <cell r="C72" t="str">
            <v>Oi Total Conectado 800</v>
          </cell>
          <cell r="D72">
            <v>2000</v>
          </cell>
          <cell r="E72" t="str">
            <v>2GB</v>
          </cell>
          <cell r="F72" t="str">
            <v>N2</v>
          </cell>
          <cell r="G72" t="str">
            <v>G1</v>
          </cell>
          <cell r="H72" t="str">
            <v>MG</v>
          </cell>
          <cell r="I72" t="str">
            <v>Oi Total Fixo + Pós 800 + Banda Larga</v>
          </cell>
          <cell r="J72" t="str">
            <v>Oi Total Fixo + Pós 800 + Banda LargaAC</v>
          </cell>
          <cell r="K72" t="str">
            <v>Oi Total Fixo + Pós 800 + Banda LargaACN2134.9</v>
          </cell>
          <cell r="L72" t="str">
            <v>Oi Total Conectado 800MG</v>
          </cell>
          <cell r="M72">
            <v>234.9</v>
          </cell>
          <cell r="N72">
            <v>134.9</v>
          </cell>
          <cell r="O72">
            <v>0</v>
          </cell>
          <cell r="P72">
            <v>125.13000000000001</v>
          </cell>
          <cell r="Q72">
            <v>15</v>
          </cell>
          <cell r="R72">
            <v>110.13000000000001</v>
          </cell>
          <cell r="S72">
            <v>9.77</v>
          </cell>
          <cell r="T72">
            <v>3.61</v>
          </cell>
          <cell r="U72">
            <v>6.16</v>
          </cell>
          <cell r="V72">
            <v>50.1</v>
          </cell>
          <cell r="W72">
            <v>49.9</v>
          </cell>
          <cell r="X72">
            <v>100</v>
          </cell>
          <cell r="Y72">
            <v>14</v>
          </cell>
          <cell r="Z72">
            <v>3.61</v>
          </cell>
          <cell r="AA72" t="b">
            <v>1</v>
          </cell>
          <cell r="AB72" t="b">
            <v>1</v>
          </cell>
        </row>
        <row r="73">
          <cell r="A73" t="str">
            <v>Oi Total Fixo + Pós 800 + Banda LargaN23GBMG</v>
          </cell>
          <cell r="B73" t="str">
            <v>ORIGINAL</v>
          </cell>
          <cell r="C73" t="str">
            <v>Oi Total Conectado 800</v>
          </cell>
          <cell r="D73">
            <v>3000</v>
          </cell>
          <cell r="E73" t="str">
            <v>3GB</v>
          </cell>
          <cell r="F73" t="str">
            <v>N2</v>
          </cell>
          <cell r="G73" t="str">
            <v>G1</v>
          </cell>
          <cell r="H73" t="str">
            <v>MG</v>
          </cell>
          <cell r="I73" t="str">
            <v>Oi Total Fixo + Pós 800 + Banda Larga</v>
          </cell>
          <cell r="J73" t="str">
            <v>Oi Total Fixo + Pós 800 + Banda LargaAC</v>
          </cell>
          <cell r="K73" t="str">
            <v>Oi Total Fixo + Pós 800 + Banda LargaACN2144.9</v>
          </cell>
          <cell r="L73" t="str">
            <v>Oi Total Conectado 800MG</v>
          </cell>
          <cell r="M73">
            <v>244.9</v>
          </cell>
          <cell r="N73">
            <v>144.9</v>
          </cell>
          <cell r="O73">
            <v>0</v>
          </cell>
          <cell r="P73">
            <v>132.55000000000001</v>
          </cell>
          <cell r="Q73">
            <v>15</v>
          </cell>
          <cell r="R73">
            <v>117.55000000000001</v>
          </cell>
          <cell r="S73">
            <v>12.35</v>
          </cell>
          <cell r="T73">
            <v>3.61</v>
          </cell>
          <cell r="U73">
            <v>8.74</v>
          </cell>
          <cell r="V73">
            <v>50.1</v>
          </cell>
          <cell r="W73">
            <v>49.9</v>
          </cell>
          <cell r="X73">
            <v>100</v>
          </cell>
          <cell r="Y73">
            <v>14</v>
          </cell>
          <cell r="Z73">
            <v>3.61</v>
          </cell>
          <cell r="AA73" t="b">
            <v>1</v>
          </cell>
          <cell r="AB73" t="b">
            <v>1</v>
          </cell>
        </row>
        <row r="74">
          <cell r="A74" t="str">
            <v>Oi Total Fixo + Pós 800 + Banda LargaN25GBMG</v>
          </cell>
          <cell r="B74" t="str">
            <v>ORIGINAL</v>
          </cell>
          <cell r="C74" t="str">
            <v>Oi Total Conectado 800</v>
          </cell>
          <cell r="D74">
            <v>5000</v>
          </cell>
          <cell r="E74" t="str">
            <v>5GB</v>
          </cell>
          <cell r="F74" t="str">
            <v>N2</v>
          </cell>
          <cell r="G74" t="str">
            <v>G1</v>
          </cell>
          <cell r="H74" t="str">
            <v>MG</v>
          </cell>
          <cell r="I74" t="str">
            <v>Oi Total Fixo + Pós 800 + Banda Larga</v>
          </cell>
          <cell r="J74" t="str">
            <v>Oi Total Fixo + Pós 800 + Banda LargaAC</v>
          </cell>
          <cell r="K74" t="str">
            <v>Oi Total Fixo + Pós 800 + Banda LargaACN2159.9</v>
          </cell>
          <cell r="L74" t="str">
            <v>Oi Total Conectado 800MG</v>
          </cell>
          <cell r="M74">
            <v>259.89999999999998</v>
          </cell>
          <cell r="N74">
            <v>159.89999999999998</v>
          </cell>
          <cell r="O74">
            <v>0</v>
          </cell>
          <cell r="P74">
            <v>144.97999999999999</v>
          </cell>
          <cell r="Q74">
            <v>15</v>
          </cell>
          <cell r="R74">
            <v>129.97999999999999</v>
          </cell>
          <cell r="S74">
            <v>14.92</v>
          </cell>
          <cell r="T74">
            <v>5.24</v>
          </cell>
          <cell r="U74">
            <v>9.68</v>
          </cell>
          <cell r="V74">
            <v>50.1</v>
          </cell>
          <cell r="W74">
            <v>49.9</v>
          </cell>
          <cell r="X74">
            <v>100</v>
          </cell>
          <cell r="Y74">
            <v>20.350000000000001</v>
          </cell>
          <cell r="Z74">
            <v>5.24</v>
          </cell>
          <cell r="AA74" t="b">
            <v>1</v>
          </cell>
          <cell r="AB74" t="b">
            <v>1</v>
          </cell>
        </row>
        <row r="75">
          <cell r="A75" t="str">
            <v>Oi Total Fixo + Pós 800 + Banda LargaN210GBMG</v>
          </cell>
          <cell r="B75" t="str">
            <v>ORIGINAL</v>
          </cell>
          <cell r="C75" t="str">
            <v>Oi Total Conectado 800</v>
          </cell>
          <cell r="D75">
            <v>10000</v>
          </cell>
          <cell r="E75" t="str">
            <v>10GB</v>
          </cell>
          <cell r="F75" t="str">
            <v>N2</v>
          </cell>
          <cell r="G75" t="str">
            <v>G1</v>
          </cell>
          <cell r="H75" t="str">
            <v>MG</v>
          </cell>
          <cell r="I75" t="str">
            <v>Oi Total Fixo + Pós 800 + Banda Larga</v>
          </cell>
          <cell r="J75" t="str">
            <v>Oi Total Fixo + Pós 800 + Banda LargaAC</v>
          </cell>
          <cell r="K75" t="str">
            <v>Oi Total Fixo + Pós 800 + Banda LargaACN2189.9</v>
          </cell>
          <cell r="L75" t="str">
            <v>Oi Total Conectado 800MG</v>
          </cell>
          <cell r="M75">
            <v>289.89999999999998</v>
          </cell>
          <cell r="N75">
            <v>189.89999999999998</v>
          </cell>
          <cell r="O75">
            <v>0</v>
          </cell>
          <cell r="P75">
            <v>154.36999999999998</v>
          </cell>
          <cell r="Q75">
            <v>15</v>
          </cell>
          <cell r="R75">
            <v>139.36999999999998</v>
          </cell>
          <cell r="S75">
            <v>35.53</v>
          </cell>
          <cell r="T75">
            <v>5.24</v>
          </cell>
          <cell r="U75">
            <v>30.29</v>
          </cell>
          <cell r="V75">
            <v>50.1</v>
          </cell>
          <cell r="W75">
            <v>49.9</v>
          </cell>
          <cell r="X75">
            <v>100</v>
          </cell>
          <cell r="Y75">
            <v>20.350000000000001</v>
          </cell>
          <cell r="Z75">
            <v>5.24</v>
          </cell>
          <cell r="AA75" t="b">
            <v>1</v>
          </cell>
          <cell r="AB75" t="b">
            <v>1</v>
          </cell>
        </row>
        <row r="76">
          <cell r="A76" t="str">
            <v>Oi Total Fixo + Pós 100 + Banda LargaN1MG</v>
          </cell>
          <cell r="B76" t="str">
            <v>REAJUSTE - 25/07</v>
          </cell>
          <cell r="C76" t="str">
            <v>Oi Total Conectado 100</v>
          </cell>
          <cell r="D76"/>
          <cell r="E76" t="str">
            <v>s/dados</v>
          </cell>
          <cell r="F76" t="str">
            <v>N1</v>
          </cell>
          <cell r="G76" t="str">
            <v>G1</v>
          </cell>
          <cell r="H76" t="str">
            <v>MG</v>
          </cell>
          <cell r="I76" t="str">
            <v>Oi Total Fixo + Pós 100 + Banda Larga</v>
          </cell>
          <cell r="J76" t="str">
            <v>Oi Total Fixo + Pós 100 + Banda LargaAC</v>
          </cell>
          <cell r="K76" t="str">
            <v>Oi Total Fixo + Pós 100 + Banda LargaACN179.9</v>
          </cell>
          <cell r="L76" t="str">
            <v>Oi Total Conectado 100MG</v>
          </cell>
          <cell r="M76">
            <v>179.9</v>
          </cell>
          <cell r="N76">
            <v>79.900000000000006</v>
          </cell>
          <cell r="O76">
            <v>0</v>
          </cell>
          <cell r="P76">
            <v>79.900000000000006</v>
          </cell>
          <cell r="Q76">
            <v>15</v>
          </cell>
          <cell r="R76">
            <v>64.900000000000006</v>
          </cell>
          <cell r="S76">
            <v>0</v>
          </cell>
          <cell r="T76">
            <v>0</v>
          </cell>
          <cell r="U76">
            <v>0</v>
          </cell>
          <cell r="V76">
            <v>50.1</v>
          </cell>
          <cell r="W76">
            <v>49.9</v>
          </cell>
          <cell r="X76">
            <v>100</v>
          </cell>
          <cell r="Y76">
            <v>0</v>
          </cell>
          <cell r="Z76">
            <v>0</v>
          </cell>
          <cell r="AA76" t="b">
            <v>1</v>
          </cell>
          <cell r="AB76" t="b">
            <v>1</v>
          </cell>
        </row>
        <row r="77">
          <cell r="A77" t="str">
            <v>Oi Total Fixo + Pós 100 + Banda LargaN21GBMG</v>
          </cell>
          <cell r="B77" t="str">
            <v>REAJUSTE - 25/07</v>
          </cell>
          <cell r="C77" t="str">
            <v>Oi Total Conectado 100</v>
          </cell>
          <cell r="D77">
            <v>1000</v>
          </cell>
          <cell r="E77" t="str">
            <v>1GB</v>
          </cell>
          <cell r="F77" t="str">
            <v>N2</v>
          </cell>
          <cell r="G77" t="str">
            <v>G1</v>
          </cell>
          <cell r="H77" t="str">
            <v>MG</v>
          </cell>
          <cell r="I77" t="str">
            <v>Oi Total Fixo + Pós 100 + Banda Larga</v>
          </cell>
          <cell r="J77" t="str">
            <v>Oi Total Fixo + Pós 100 + Banda LargaAC</v>
          </cell>
          <cell r="K77" t="str">
            <v>Oi Total Fixo + Pós 100 + Banda LargaACN268.9</v>
          </cell>
          <cell r="L77" t="str">
            <v>Oi Total Conectado 100MG</v>
          </cell>
          <cell r="M77">
            <v>168.9</v>
          </cell>
          <cell r="N77">
            <v>68.900000000000006</v>
          </cell>
          <cell r="O77">
            <v>0</v>
          </cell>
          <cell r="P77">
            <v>60.160000000000004</v>
          </cell>
          <cell r="Q77">
            <v>15</v>
          </cell>
          <cell r="R77">
            <v>45.160000000000004</v>
          </cell>
          <cell r="S77">
            <v>8.74</v>
          </cell>
          <cell r="T77">
            <v>3.61</v>
          </cell>
          <cell r="U77">
            <v>5.13</v>
          </cell>
          <cell r="V77">
            <v>50.1</v>
          </cell>
          <cell r="W77">
            <v>49.9</v>
          </cell>
          <cell r="X77">
            <v>100</v>
          </cell>
          <cell r="Y77">
            <v>14</v>
          </cell>
          <cell r="Z77">
            <v>3.61</v>
          </cell>
          <cell r="AA77" t="b">
            <v>1</v>
          </cell>
          <cell r="AB77" t="b">
            <v>1</v>
          </cell>
        </row>
        <row r="78">
          <cell r="A78" t="str">
            <v>Oi Total Fixo + Pós 100 + Banda LargaN11GBMG</v>
          </cell>
          <cell r="B78" t="str">
            <v>REAJUSTE - 25/07</v>
          </cell>
          <cell r="C78" t="str">
            <v>Oi Total Conectado 100</v>
          </cell>
          <cell r="D78">
            <v>1000</v>
          </cell>
          <cell r="E78" t="str">
            <v>1GB</v>
          </cell>
          <cell r="F78" t="str">
            <v>N1</v>
          </cell>
          <cell r="G78" t="str">
            <v>G1</v>
          </cell>
          <cell r="H78" t="str">
            <v>MG</v>
          </cell>
          <cell r="I78" t="str">
            <v>Oi Total Fixo + Pós 100 + Banda Larga</v>
          </cell>
          <cell r="J78" t="str">
            <v>Oi Total Fixo + Pós 100 + Banda LargaAC</v>
          </cell>
          <cell r="K78" t="str">
            <v>Oi Total Fixo + Pós 100 + Banda LargaACN179.9</v>
          </cell>
          <cell r="L78" t="str">
            <v>Oi Total Conectado 100MG</v>
          </cell>
          <cell r="M78">
            <v>179.9</v>
          </cell>
          <cell r="N78">
            <v>79.900000000000006</v>
          </cell>
          <cell r="O78">
            <v>0</v>
          </cell>
          <cell r="P78">
            <v>71.160000000000011</v>
          </cell>
          <cell r="Q78">
            <v>15</v>
          </cell>
          <cell r="R78">
            <v>56.160000000000011</v>
          </cell>
          <cell r="S78">
            <v>8.74</v>
          </cell>
          <cell r="T78">
            <v>3.61</v>
          </cell>
          <cell r="U78">
            <v>5.13</v>
          </cell>
          <cell r="V78">
            <v>50.1</v>
          </cell>
          <cell r="W78">
            <v>49.9</v>
          </cell>
          <cell r="X78">
            <v>100</v>
          </cell>
          <cell r="Y78">
            <v>14</v>
          </cell>
          <cell r="Z78">
            <v>3.61</v>
          </cell>
          <cell r="AA78" t="b">
            <v>1</v>
          </cell>
          <cell r="AB78" t="b">
            <v>1</v>
          </cell>
        </row>
        <row r="79">
          <cell r="A79" t="str">
            <v>Oi Total Fixo + Pós 100 + Banda LargaN22GBMG</v>
          </cell>
          <cell r="B79" t="str">
            <v>REAJUSTE - 25/07</v>
          </cell>
          <cell r="C79" t="str">
            <v>Oi Total Conectado 100</v>
          </cell>
          <cell r="D79">
            <v>2000</v>
          </cell>
          <cell r="E79" t="str">
            <v>2GB</v>
          </cell>
          <cell r="F79" t="str">
            <v>N2</v>
          </cell>
          <cell r="G79" t="str">
            <v>G1</v>
          </cell>
          <cell r="H79" t="str">
            <v>MG</v>
          </cell>
          <cell r="I79" t="str">
            <v>Oi Total Fixo + Pós 100 + Banda Larga</v>
          </cell>
          <cell r="J79" t="str">
            <v>Oi Total Fixo + Pós 100 + Banda LargaAC</v>
          </cell>
          <cell r="K79" t="str">
            <v>Oi Total Fixo + Pós 100 + Banda LargaACN279.9</v>
          </cell>
          <cell r="L79" t="str">
            <v>Oi Total Conectado 100MG</v>
          </cell>
          <cell r="M79">
            <v>179.9</v>
          </cell>
          <cell r="N79">
            <v>79.900000000000006</v>
          </cell>
          <cell r="O79">
            <v>0</v>
          </cell>
          <cell r="P79">
            <v>70.13000000000001</v>
          </cell>
          <cell r="Q79">
            <v>15</v>
          </cell>
          <cell r="R79">
            <v>55.13000000000001</v>
          </cell>
          <cell r="S79">
            <v>9.77</v>
          </cell>
          <cell r="T79">
            <v>3.61</v>
          </cell>
          <cell r="U79">
            <v>6.16</v>
          </cell>
          <cell r="V79">
            <v>50.1</v>
          </cell>
          <cell r="W79">
            <v>49.9</v>
          </cell>
          <cell r="X79">
            <v>100</v>
          </cell>
          <cell r="Y79">
            <v>14</v>
          </cell>
          <cell r="Z79">
            <v>3.61</v>
          </cell>
          <cell r="AA79" t="b">
            <v>1</v>
          </cell>
          <cell r="AB79" t="b">
            <v>1</v>
          </cell>
        </row>
        <row r="80">
          <cell r="A80" t="str">
            <v>Oi Total Fixo + Pós 100 + Banda LargaN12GBMG</v>
          </cell>
          <cell r="B80" t="str">
            <v>REAJUSTE - 25/07</v>
          </cell>
          <cell r="C80" t="str">
            <v>Oi Total Conectado 100</v>
          </cell>
          <cell r="D80">
            <v>2000</v>
          </cell>
          <cell r="E80" t="str">
            <v>2GB</v>
          </cell>
          <cell r="F80" t="str">
            <v>N1</v>
          </cell>
          <cell r="G80" t="str">
            <v>G1</v>
          </cell>
          <cell r="H80" t="str">
            <v>MG</v>
          </cell>
          <cell r="I80" t="str">
            <v>Oi Total Fixo + Pós 100 + Banda Larga</v>
          </cell>
          <cell r="J80" t="str">
            <v>Oi Total Fixo + Pós 100 + Banda LargaAC</v>
          </cell>
          <cell r="K80" t="str">
            <v>Oi Total Fixo + Pós 100 + Banda LargaACN190.9</v>
          </cell>
          <cell r="L80" t="str">
            <v>Oi Total Conectado 100MG</v>
          </cell>
          <cell r="M80">
            <v>190.9</v>
          </cell>
          <cell r="N80">
            <v>90.9</v>
          </cell>
          <cell r="O80">
            <v>0</v>
          </cell>
          <cell r="P80">
            <v>81.13000000000001</v>
          </cell>
          <cell r="Q80">
            <v>15</v>
          </cell>
          <cell r="R80">
            <v>66.13000000000001</v>
          </cell>
          <cell r="S80">
            <v>9.77</v>
          </cell>
          <cell r="T80">
            <v>3.61</v>
          </cell>
          <cell r="U80">
            <v>6.16</v>
          </cell>
          <cell r="V80">
            <v>50.1</v>
          </cell>
          <cell r="W80">
            <v>49.9</v>
          </cell>
          <cell r="X80">
            <v>100</v>
          </cell>
          <cell r="Y80">
            <v>14</v>
          </cell>
          <cell r="Z80">
            <v>3.61</v>
          </cell>
          <cell r="AA80" t="b">
            <v>1</v>
          </cell>
          <cell r="AB80" t="b">
            <v>1</v>
          </cell>
        </row>
        <row r="81">
          <cell r="A81" t="str">
            <v>Oi Total Fixo + Pós 100 + Banda LargaN23GBMG</v>
          </cell>
          <cell r="B81" t="str">
            <v>REAJUSTE - 25/07</v>
          </cell>
          <cell r="C81" t="str">
            <v>Oi Total Conectado 100</v>
          </cell>
          <cell r="D81">
            <v>3000</v>
          </cell>
          <cell r="E81" t="str">
            <v>3GB</v>
          </cell>
          <cell r="F81" t="str">
            <v>N2</v>
          </cell>
          <cell r="G81" t="str">
            <v>G1</v>
          </cell>
          <cell r="H81" t="str">
            <v>MG</v>
          </cell>
          <cell r="I81" t="str">
            <v>Oi Total Fixo + Pós 100 + Banda Larga</v>
          </cell>
          <cell r="J81" t="str">
            <v>Oi Total Fixo + Pós 100 + Banda LargaAC</v>
          </cell>
          <cell r="K81" t="str">
            <v>Oi Total Fixo + Pós 100 + Banda LargaACN290.9</v>
          </cell>
          <cell r="L81" t="str">
            <v>Oi Total Conectado 100MG</v>
          </cell>
          <cell r="M81">
            <v>190.9</v>
          </cell>
          <cell r="N81">
            <v>90.9</v>
          </cell>
          <cell r="O81">
            <v>0</v>
          </cell>
          <cell r="P81">
            <v>78.550000000000011</v>
          </cell>
          <cell r="Q81">
            <v>15</v>
          </cell>
          <cell r="R81">
            <v>63.550000000000011</v>
          </cell>
          <cell r="S81">
            <v>12.35</v>
          </cell>
          <cell r="T81">
            <v>3.61</v>
          </cell>
          <cell r="U81">
            <v>8.74</v>
          </cell>
          <cell r="V81">
            <v>50.1</v>
          </cell>
          <cell r="W81">
            <v>49.9</v>
          </cell>
          <cell r="X81">
            <v>100</v>
          </cell>
          <cell r="Y81">
            <v>14</v>
          </cell>
          <cell r="Z81">
            <v>3.61</v>
          </cell>
          <cell r="AA81" t="b">
            <v>1</v>
          </cell>
          <cell r="AB81" t="b">
            <v>1</v>
          </cell>
        </row>
        <row r="82">
          <cell r="A82" t="str">
            <v>Oi Total Fixo + Pós 100 + Banda LargaN13GBMG</v>
          </cell>
          <cell r="B82" t="str">
            <v>REAJUSTE - 25/07</v>
          </cell>
          <cell r="C82" t="str">
            <v>Oi Total Conectado 100</v>
          </cell>
          <cell r="D82">
            <v>3000</v>
          </cell>
          <cell r="E82" t="str">
            <v>3GB</v>
          </cell>
          <cell r="F82" t="str">
            <v>N1</v>
          </cell>
          <cell r="G82" t="str">
            <v>G1</v>
          </cell>
          <cell r="H82" t="str">
            <v>MG</v>
          </cell>
          <cell r="I82" t="str">
            <v>Oi Total Fixo + Pós 100 + Banda Larga</v>
          </cell>
          <cell r="J82" t="str">
            <v>Oi Total Fixo + Pós 100 + Banda LargaAC</v>
          </cell>
          <cell r="K82" t="str">
            <v>Oi Total Fixo + Pós 100 + Banda LargaACN1101.9</v>
          </cell>
          <cell r="L82" t="str">
            <v>Oi Total Conectado 100MG</v>
          </cell>
          <cell r="M82">
            <v>201.9</v>
          </cell>
          <cell r="N82">
            <v>101.9</v>
          </cell>
          <cell r="O82">
            <v>0</v>
          </cell>
          <cell r="P82">
            <v>89.550000000000011</v>
          </cell>
          <cell r="Q82">
            <v>15</v>
          </cell>
          <cell r="R82">
            <v>74.550000000000011</v>
          </cell>
          <cell r="S82">
            <v>12.35</v>
          </cell>
          <cell r="T82">
            <v>3.61</v>
          </cell>
          <cell r="U82">
            <v>8.74</v>
          </cell>
          <cell r="V82">
            <v>50.1</v>
          </cell>
          <cell r="W82">
            <v>49.9</v>
          </cell>
          <cell r="X82">
            <v>100</v>
          </cell>
          <cell r="Y82">
            <v>14</v>
          </cell>
          <cell r="Z82">
            <v>3.61</v>
          </cell>
          <cell r="AA82" t="b">
            <v>1</v>
          </cell>
          <cell r="AB82" t="b">
            <v>1</v>
          </cell>
        </row>
        <row r="83">
          <cell r="A83" t="str">
            <v>Oi Total Fixo + Pós 100 + Banda LargaN25GBMG</v>
          </cell>
          <cell r="B83" t="str">
            <v>REAJUSTE - 25/07</v>
          </cell>
          <cell r="C83" t="str">
            <v>Oi Total Conectado 100</v>
          </cell>
          <cell r="D83">
            <v>5000</v>
          </cell>
          <cell r="E83" t="str">
            <v>5GB</v>
          </cell>
          <cell r="F83" t="str">
            <v>N2</v>
          </cell>
          <cell r="G83" t="str">
            <v>G1</v>
          </cell>
          <cell r="H83" t="str">
            <v>MG</v>
          </cell>
          <cell r="I83" t="str">
            <v>Oi Total Fixo + Pós 100 + Banda Larga</v>
          </cell>
          <cell r="J83" t="str">
            <v>Oi Total Fixo + Pós 100 + Banda LargaAC</v>
          </cell>
          <cell r="K83" t="str">
            <v>Oi Total Fixo + Pós 100 + Banda LargaACN2106.9</v>
          </cell>
          <cell r="L83" t="str">
            <v>Oi Total Conectado 100MG</v>
          </cell>
          <cell r="M83">
            <v>206.9</v>
          </cell>
          <cell r="N83">
            <v>106.9</v>
          </cell>
          <cell r="O83">
            <v>0</v>
          </cell>
          <cell r="P83">
            <v>91.98</v>
          </cell>
          <cell r="Q83">
            <v>15</v>
          </cell>
          <cell r="R83">
            <v>76.98</v>
          </cell>
          <cell r="S83">
            <v>14.92</v>
          </cell>
          <cell r="T83">
            <v>5.24</v>
          </cell>
          <cell r="U83">
            <v>9.68</v>
          </cell>
          <cell r="V83">
            <v>50.1</v>
          </cell>
          <cell r="W83">
            <v>49.9</v>
          </cell>
          <cell r="X83">
            <v>100</v>
          </cell>
          <cell r="Y83">
            <v>20.350000000000001</v>
          </cell>
          <cell r="Z83">
            <v>5.24</v>
          </cell>
          <cell r="AA83" t="b">
            <v>1</v>
          </cell>
          <cell r="AB83" t="b">
            <v>1</v>
          </cell>
        </row>
        <row r="84">
          <cell r="A84" t="str">
            <v>Oi Total Fixo + Pós 100 + Banda LargaN15GBMG</v>
          </cell>
          <cell r="B84" t="str">
            <v>REAJUSTE - 25/07</v>
          </cell>
          <cell r="C84" t="str">
            <v>Oi Total Conectado 100</v>
          </cell>
          <cell r="D84">
            <v>5000</v>
          </cell>
          <cell r="E84" t="str">
            <v>5GB</v>
          </cell>
          <cell r="F84" t="str">
            <v>N1</v>
          </cell>
          <cell r="G84" t="str">
            <v>G1</v>
          </cell>
          <cell r="H84" t="str">
            <v>MG</v>
          </cell>
          <cell r="I84" t="str">
            <v>Oi Total Fixo + Pós 100 + Banda Larga</v>
          </cell>
          <cell r="J84" t="str">
            <v>Oi Total Fixo + Pós 100 + Banda LargaAC</v>
          </cell>
          <cell r="K84" t="str">
            <v>Oi Total Fixo + Pós 100 + Banda LargaACN1117.9</v>
          </cell>
          <cell r="L84" t="str">
            <v>Oi Total Conectado 100MG</v>
          </cell>
          <cell r="M84">
            <v>217.9</v>
          </cell>
          <cell r="N84">
            <v>117.9</v>
          </cell>
          <cell r="O84">
            <v>0</v>
          </cell>
          <cell r="P84">
            <v>102.98</v>
          </cell>
          <cell r="Q84">
            <v>15</v>
          </cell>
          <cell r="R84">
            <v>87.98</v>
          </cell>
          <cell r="S84">
            <v>14.92</v>
          </cell>
          <cell r="T84">
            <v>5.24</v>
          </cell>
          <cell r="U84">
            <v>9.68</v>
          </cell>
          <cell r="V84">
            <v>50.1</v>
          </cell>
          <cell r="W84">
            <v>49.9</v>
          </cell>
          <cell r="X84">
            <v>100</v>
          </cell>
          <cell r="Y84">
            <v>20.350000000000001</v>
          </cell>
          <cell r="Z84">
            <v>5.24</v>
          </cell>
          <cell r="AA84" t="b">
            <v>1</v>
          </cell>
          <cell r="AB84" t="b">
            <v>1</v>
          </cell>
        </row>
        <row r="85">
          <cell r="A85" t="str">
            <v>Oi Total Fixo + Pós 100 + Banda LargaN210GBMG</v>
          </cell>
          <cell r="B85" t="str">
            <v>REAJUSTE - 25/07</v>
          </cell>
          <cell r="C85" t="str">
            <v>Oi Total Conectado 100</v>
          </cell>
          <cell r="D85">
            <v>10000</v>
          </cell>
          <cell r="E85" t="str">
            <v>10GB</v>
          </cell>
          <cell r="F85" t="str">
            <v>N2</v>
          </cell>
          <cell r="G85" t="str">
            <v>G1</v>
          </cell>
          <cell r="H85" t="str">
            <v>MG</v>
          </cell>
          <cell r="I85" t="str">
            <v>Oi Total Fixo + Pós 100 + Banda Larga</v>
          </cell>
          <cell r="J85" t="str">
            <v>Oi Total Fixo + Pós 100 + Banda LargaAC</v>
          </cell>
          <cell r="K85" t="str">
            <v>Oi Total Fixo + Pós 100 + Banda LargaACN2139.9</v>
          </cell>
          <cell r="L85" t="str">
            <v>Oi Total Conectado 100MG</v>
          </cell>
          <cell r="M85">
            <v>239.9</v>
          </cell>
          <cell r="N85">
            <v>139.9</v>
          </cell>
          <cell r="O85">
            <v>0</v>
          </cell>
          <cell r="P85">
            <v>104.37</v>
          </cell>
          <cell r="Q85">
            <v>15</v>
          </cell>
          <cell r="R85">
            <v>89.37</v>
          </cell>
          <cell r="S85">
            <v>35.53</v>
          </cell>
          <cell r="T85">
            <v>5.24</v>
          </cell>
          <cell r="U85">
            <v>30.29</v>
          </cell>
          <cell r="V85">
            <v>50.1</v>
          </cell>
          <cell r="W85">
            <v>49.9</v>
          </cell>
          <cell r="X85">
            <v>100</v>
          </cell>
          <cell r="Y85">
            <v>20.350000000000001</v>
          </cell>
          <cell r="Z85">
            <v>5.24</v>
          </cell>
          <cell r="AA85" t="b">
            <v>1</v>
          </cell>
          <cell r="AB85" t="b">
            <v>1</v>
          </cell>
        </row>
        <row r="86">
          <cell r="A86" t="str">
            <v>Oi Total Fixo + Pós 100 + Banda LargaN110GBMG</v>
          </cell>
          <cell r="B86" t="str">
            <v>REAJUSTE - 25/07</v>
          </cell>
          <cell r="C86" t="str">
            <v>Oi Total Conectado 100</v>
          </cell>
          <cell r="D86">
            <v>10000</v>
          </cell>
          <cell r="E86" t="str">
            <v>10GB</v>
          </cell>
          <cell r="F86" t="str">
            <v>N1</v>
          </cell>
          <cell r="G86" t="str">
            <v>G1</v>
          </cell>
          <cell r="H86" t="str">
            <v>MG</v>
          </cell>
          <cell r="I86" t="str">
            <v>Oi Total Fixo + Pós 100 + Banda Larga</v>
          </cell>
          <cell r="J86" t="str">
            <v>Oi Total Fixo + Pós 100 + Banda LargaAC</v>
          </cell>
          <cell r="K86" t="str">
            <v>Oi Total Fixo + Pós 100 + Banda LargaACN1150.9</v>
          </cell>
          <cell r="L86" t="str">
            <v>Oi Total Conectado 100MG</v>
          </cell>
          <cell r="M86">
            <v>250.9</v>
          </cell>
          <cell r="N86">
            <v>150.9</v>
          </cell>
          <cell r="O86">
            <v>0</v>
          </cell>
          <cell r="P86">
            <v>115.37</v>
          </cell>
          <cell r="Q86">
            <v>15</v>
          </cell>
          <cell r="R86">
            <v>100.37</v>
          </cell>
          <cell r="S86">
            <v>35.53</v>
          </cell>
          <cell r="T86">
            <v>5.24</v>
          </cell>
          <cell r="U86">
            <v>30.29</v>
          </cell>
          <cell r="V86">
            <v>50.1</v>
          </cell>
          <cell r="W86">
            <v>49.9</v>
          </cell>
          <cell r="X86">
            <v>100</v>
          </cell>
          <cell r="Y86">
            <v>20.350000000000001</v>
          </cell>
          <cell r="Z86">
            <v>5.24</v>
          </cell>
          <cell r="AA86" t="b">
            <v>1</v>
          </cell>
          <cell r="AB86" t="b">
            <v>1</v>
          </cell>
        </row>
        <row r="87">
          <cell r="A87" t="str">
            <v>Oi Total Fixo + Pós 250 + Banda LargaN1MG</v>
          </cell>
          <cell r="B87" t="str">
            <v>REAJUSTE - 25/07</v>
          </cell>
          <cell r="C87" t="str">
            <v>Oi Total Conectado 250</v>
          </cell>
          <cell r="D87"/>
          <cell r="E87" t="str">
            <v>s/dados</v>
          </cell>
          <cell r="F87" t="str">
            <v>N1</v>
          </cell>
          <cell r="G87" t="str">
            <v>G1</v>
          </cell>
          <cell r="H87" t="str">
            <v>MG</v>
          </cell>
          <cell r="I87" t="str">
            <v>Oi Total Fixo + Pós 250 + Banda Larga</v>
          </cell>
          <cell r="J87" t="str">
            <v>Oi Total Fixo + Pós 250 + Banda LargaAC</v>
          </cell>
          <cell r="K87" t="str">
            <v>Oi Total Fixo + Pós 250 + Banda LargaACN196.9</v>
          </cell>
          <cell r="L87" t="str">
            <v>Oi Total Conectado 250MG</v>
          </cell>
          <cell r="M87">
            <v>196.9</v>
          </cell>
          <cell r="N87">
            <v>96.9</v>
          </cell>
          <cell r="O87">
            <v>0</v>
          </cell>
          <cell r="P87">
            <v>96.9</v>
          </cell>
          <cell r="Q87">
            <v>15</v>
          </cell>
          <cell r="R87">
            <v>81.900000000000006</v>
          </cell>
          <cell r="S87">
            <v>0</v>
          </cell>
          <cell r="T87">
            <v>0</v>
          </cell>
          <cell r="U87">
            <v>0</v>
          </cell>
          <cell r="V87">
            <v>50.1</v>
          </cell>
          <cell r="W87">
            <v>49.9</v>
          </cell>
          <cell r="X87">
            <v>100</v>
          </cell>
          <cell r="Y87">
            <v>0</v>
          </cell>
          <cell r="Z87">
            <v>0</v>
          </cell>
          <cell r="AA87" t="b">
            <v>1</v>
          </cell>
          <cell r="AB87" t="b">
            <v>1</v>
          </cell>
        </row>
        <row r="88">
          <cell r="A88" t="str">
            <v>Oi Total Fixo + Pós 250 + Banda LargaN21GBMG</v>
          </cell>
          <cell r="B88" t="str">
            <v>REAJUSTE - 25/07</v>
          </cell>
          <cell r="C88" t="str">
            <v>Oi Total Conectado 250</v>
          </cell>
          <cell r="D88">
            <v>1000</v>
          </cell>
          <cell r="E88" t="str">
            <v>1GB</v>
          </cell>
          <cell r="F88" t="str">
            <v>N2</v>
          </cell>
          <cell r="G88" t="str">
            <v>G1</v>
          </cell>
          <cell r="H88" t="str">
            <v>MG</v>
          </cell>
          <cell r="I88" t="str">
            <v>Oi Total Fixo + Pós 250 + Banda Larga</v>
          </cell>
          <cell r="J88" t="str">
            <v>Oi Total Fixo + Pós 250 + Banda LargaAC</v>
          </cell>
          <cell r="K88" t="str">
            <v>Oi Total Fixo + Pós 250 + Banda LargaACN285.9</v>
          </cell>
          <cell r="L88" t="str">
            <v>Oi Total Conectado 250MG</v>
          </cell>
          <cell r="M88">
            <v>185.9</v>
          </cell>
          <cell r="N88">
            <v>85.9</v>
          </cell>
          <cell r="O88">
            <v>0</v>
          </cell>
          <cell r="P88">
            <v>77.160000000000011</v>
          </cell>
          <cell r="Q88">
            <v>15</v>
          </cell>
          <cell r="R88">
            <v>62.160000000000011</v>
          </cell>
          <cell r="S88">
            <v>8.74</v>
          </cell>
          <cell r="T88">
            <v>3.61</v>
          </cell>
          <cell r="U88">
            <v>5.13</v>
          </cell>
          <cell r="V88">
            <v>50.1</v>
          </cell>
          <cell r="W88">
            <v>49.9</v>
          </cell>
          <cell r="X88">
            <v>100</v>
          </cell>
          <cell r="Y88">
            <v>14</v>
          </cell>
          <cell r="Z88">
            <v>3.61</v>
          </cell>
          <cell r="AA88" t="b">
            <v>1</v>
          </cell>
          <cell r="AB88" t="b">
            <v>1</v>
          </cell>
        </row>
        <row r="89">
          <cell r="A89" t="str">
            <v>Oi Total Fixo + Pós 250 + Banda LargaN11GBMG</v>
          </cell>
          <cell r="B89" t="str">
            <v>REAJUSTE - 25/07</v>
          </cell>
          <cell r="C89" t="str">
            <v>Oi Total Conectado 250</v>
          </cell>
          <cell r="D89">
            <v>1000</v>
          </cell>
          <cell r="E89" t="str">
            <v>1GB</v>
          </cell>
          <cell r="F89" t="str">
            <v>N1</v>
          </cell>
          <cell r="G89" t="str">
            <v>G1</v>
          </cell>
          <cell r="H89" t="str">
            <v>MG</v>
          </cell>
          <cell r="I89" t="str">
            <v>Oi Total Fixo + Pós 250 + Banda Larga</v>
          </cell>
          <cell r="J89" t="str">
            <v>Oi Total Fixo + Pós 250 + Banda LargaAC</v>
          </cell>
          <cell r="K89" t="str">
            <v>Oi Total Fixo + Pós 250 + Banda LargaACN196.9</v>
          </cell>
          <cell r="L89" t="str">
            <v>Oi Total Conectado 250MG</v>
          </cell>
          <cell r="M89">
            <v>196.9</v>
          </cell>
          <cell r="N89">
            <v>96.9</v>
          </cell>
          <cell r="O89">
            <v>0</v>
          </cell>
          <cell r="P89">
            <v>88.160000000000011</v>
          </cell>
          <cell r="Q89">
            <v>15</v>
          </cell>
          <cell r="R89">
            <v>73.160000000000011</v>
          </cell>
          <cell r="S89">
            <v>8.74</v>
          </cell>
          <cell r="T89">
            <v>3.61</v>
          </cell>
          <cell r="U89">
            <v>5.13</v>
          </cell>
          <cell r="V89">
            <v>50.1</v>
          </cell>
          <cell r="W89">
            <v>49.9</v>
          </cell>
          <cell r="X89">
            <v>100</v>
          </cell>
          <cell r="Y89">
            <v>14</v>
          </cell>
          <cell r="Z89">
            <v>3.61</v>
          </cell>
          <cell r="AA89" t="b">
            <v>1</v>
          </cell>
          <cell r="AB89" t="b">
            <v>1</v>
          </cell>
        </row>
        <row r="90">
          <cell r="A90" t="str">
            <v>Oi Total Fixo + Pós 250 + Banda LargaN22GBMG</v>
          </cell>
          <cell r="B90" t="str">
            <v>REAJUSTE - 25/07</v>
          </cell>
          <cell r="C90" t="str">
            <v>Oi Total Conectado 250</v>
          </cell>
          <cell r="D90">
            <v>2000</v>
          </cell>
          <cell r="E90" t="str">
            <v>2GB</v>
          </cell>
          <cell r="F90" t="str">
            <v>N2</v>
          </cell>
          <cell r="G90" t="str">
            <v>G1</v>
          </cell>
          <cell r="H90" t="str">
            <v>MG</v>
          </cell>
          <cell r="I90" t="str">
            <v>Oi Total Fixo + Pós 250 + Banda Larga</v>
          </cell>
          <cell r="J90" t="str">
            <v>Oi Total Fixo + Pós 250 + Banda LargaAC</v>
          </cell>
          <cell r="K90" t="str">
            <v>Oi Total Fixo + Pós 250 + Banda LargaACN296.9</v>
          </cell>
          <cell r="L90" t="str">
            <v>Oi Total Conectado 250MG</v>
          </cell>
          <cell r="M90">
            <v>196.9</v>
          </cell>
          <cell r="N90">
            <v>96.9</v>
          </cell>
          <cell r="O90">
            <v>0</v>
          </cell>
          <cell r="P90">
            <v>87.13000000000001</v>
          </cell>
          <cell r="Q90">
            <v>15</v>
          </cell>
          <cell r="R90">
            <v>72.13000000000001</v>
          </cell>
          <cell r="S90">
            <v>9.77</v>
          </cell>
          <cell r="T90">
            <v>3.61</v>
          </cell>
          <cell r="U90">
            <v>6.16</v>
          </cell>
          <cell r="V90">
            <v>50.1</v>
          </cell>
          <cell r="W90">
            <v>49.9</v>
          </cell>
          <cell r="X90">
            <v>100</v>
          </cell>
          <cell r="Y90">
            <v>14</v>
          </cell>
          <cell r="Z90">
            <v>3.61</v>
          </cell>
          <cell r="AA90" t="b">
            <v>1</v>
          </cell>
          <cell r="AB90" t="b">
            <v>1</v>
          </cell>
        </row>
        <row r="91">
          <cell r="A91" t="str">
            <v>Oi Total Fixo + Pós 250 + Banda LargaN12GBMG</v>
          </cell>
          <cell r="B91" t="str">
            <v>REAJUSTE - 25/07</v>
          </cell>
          <cell r="C91" t="str">
            <v>Oi Total Conectado 250</v>
          </cell>
          <cell r="D91">
            <v>2000</v>
          </cell>
          <cell r="E91" t="str">
            <v>2GB</v>
          </cell>
          <cell r="F91" t="str">
            <v>N1</v>
          </cell>
          <cell r="G91" t="str">
            <v>G1</v>
          </cell>
          <cell r="H91" t="str">
            <v>MG</v>
          </cell>
          <cell r="I91" t="str">
            <v>Oi Total Fixo + Pós 250 + Banda Larga</v>
          </cell>
          <cell r="J91" t="str">
            <v>Oi Total Fixo + Pós 250 + Banda LargaAC</v>
          </cell>
          <cell r="K91" t="str">
            <v>Oi Total Fixo + Pós 250 + Banda LargaACN1106.9</v>
          </cell>
          <cell r="L91" t="str">
            <v>Oi Total Conectado 250MG</v>
          </cell>
          <cell r="M91">
            <v>206.9</v>
          </cell>
          <cell r="N91">
            <v>106.9</v>
          </cell>
          <cell r="O91">
            <v>0</v>
          </cell>
          <cell r="P91">
            <v>97.13000000000001</v>
          </cell>
          <cell r="Q91">
            <v>15</v>
          </cell>
          <cell r="R91">
            <v>82.13000000000001</v>
          </cell>
          <cell r="S91">
            <v>9.77</v>
          </cell>
          <cell r="T91">
            <v>3.61</v>
          </cell>
          <cell r="U91">
            <v>6.16</v>
          </cell>
          <cell r="V91">
            <v>50.1</v>
          </cell>
          <cell r="W91">
            <v>49.9</v>
          </cell>
          <cell r="X91">
            <v>100</v>
          </cell>
          <cell r="Y91">
            <v>14</v>
          </cell>
          <cell r="Z91">
            <v>3.61</v>
          </cell>
          <cell r="AA91" t="b">
            <v>1</v>
          </cell>
          <cell r="AB91" t="b">
            <v>1</v>
          </cell>
        </row>
        <row r="92">
          <cell r="A92" t="str">
            <v>Oi Total Fixo + Pós 250 + Banda LargaN23GBMG</v>
          </cell>
          <cell r="B92" t="str">
            <v>REAJUSTE - 25/07</v>
          </cell>
          <cell r="C92" t="str">
            <v>Oi Total Conectado 250</v>
          </cell>
          <cell r="D92">
            <v>3000</v>
          </cell>
          <cell r="E92" t="str">
            <v>3GB</v>
          </cell>
          <cell r="F92" t="str">
            <v>N2</v>
          </cell>
          <cell r="G92" t="str">
            <v>G1</v>
          </cell>
          <cell r="H92" t="str">
            <v>MG</v>
          </cell>
          <cell r="I92" t="str">
            <v>Oi Total Fixo + Pós 250 + Banda Larga</v>
          </cell>
          <cell r="J92" t="str">
            <v>Oi Total Fixo + Pós 250 + Banda LargaAC</v>
          </cell>
          <cell r="K92" t="str">
            <v>Oi Total Fixo + Pós 250 + Banda LargaACN2106.9</v>
          </cell>
          <cell r="L92" t="str">
            <v>Oi Total Conectado 250MG</v>
          </cell>
          <cell r="M92">
            <v>206.9</v>
          </cell>
          <cell r="N92">
            <v>106.9</v>
          </cell>
          <cell r="O92">
            <v>0</v>
          </cell>
          <cell r="P92">
            <v>94.550000000000011</v>
          </cell>
          <cell r="Q92">
            <v>15</v>
          </cell>
          <cell r="R92">
            <v>79.550000000000011</v>
          </cell>
          <cell r="S92">
            <v>12.35</v>
          </cell>
          <cell r="T92">
            <v>3.61</v>
          </cell>
          <cell r="U92">
            <v>8.74</v>
          </cell>
          <cell r="V92">
            <v>50.1</v>
          </cell>
          <cell r="W92">
            <v>49.9</v>
          </cell>
          <cell r="X92">
            <v>100</v>
          </cell>
          <cell r="Y92">
            <v>14</v>
          </cell>
          <cell r="Z92">
            <v>3.61</v>
          </cell>
          <cell r="AA92" t="b">
            <v>1</v>
          </cell>
          <cell r="AB92" t="b">
            <v>1</v>
          </cell>
        </row>
        <row r="93">
          <cell r="A93" t="str">
            <v>Oi Total Fixo + Pós 250 + Banda LargaN13GBMG</v>
          </cell>
          <cell r="B93" t="str">
            <v>REAJUSTE - 25/07</v>
          </cell>
          <cell r="C93" t="str">
            <v>Oi Total Conectado 250</v>
          </cell>
          <cell r="D93">
            <v>3000</v>
          </cell>
          <cell r="E93" t="str">
            <v>3GB</v>
          </cell>
          <cell r="F93" t="str">
            <v>N1</v>
          </cell>
          <cell r="G93" t="str">
            <v>G1</v>
          </cell>
          <cell r="H93" t="str">
            <v>MG</v>
          </cell>
          <cell r="I93" t="str">
            <v>Oi Total Fixo + Pós 250 + Banda Larga</v>
          </cell>
          <cell r="J93" t="str">
            <v>Oi Total Fixo + Pós 250 + Banda LargaAC</v>
          </cell>
          <cell r="K93" t="str">
            <v>Oi Total Fixo + Pós 250 + Banda LargaACN1117.9</v>
          </cell>
          <cell r="L93" t="str">
            <v>Oi Total Conectado 250MG</v>
          </cell>
          <cell r="M93">
            <v>217.9</v>
          </cell>
          <cell r="N93">
            <v>117.9</v>
          </cell>
          <cell r="O93">
            <v>0</v>
          </cell>
          <cell r="P93">
            <v>105.55000000000001</v>
          </cell>
          <cell r="Q93">
            <v>15</v>
          </cell>
          <cell r="R93">
            <v>90.550000000000011</v>
          </cell>
          <cell r="S93">
            <v>12.35</v>
          </cell>
          <cell r="T93">
            <v>3.61</v>
          </cell>
          <cell r="U93">
            <v>8.74</v>
          </cell>
          <cell r="V93">
            <v>50.1</v>
          </cell>
          <cell r="W93">
            <v>49.9</v>
          </cell>
          <cell r="X93">
            <v>100</v>
          </cell>
          <cell r="Y93">
            <v>14</v>
          </cell>
          <cell r="Z93">
            <v>3.61</v>
          </cell>
          <cell r="AA93" t="b">
            <v>1</v>
          </cell>
          <cell r="AB93" t="b">
            <v>1</v>
          </cell>
        </row>
        <row r="94">
          <cell r="A94" t="str">
            <v>Oi Total Fixo + Pós 250 + Banda LargaN25GBMG</v>
          </cell>
          <cell r="B94" t="str">
            <v>REAJUSTE - 25/07</v>
          </cell>
          <cell r="C94" t="str">
            <v>Oi Total Conectado 250</v>
          </cell>
          <cell r="D94">
            <v>5000</v>
          </cell>
          <cell r="E94" t="str">
            <v>5GB</v>
          </cell>
          <cell r="F94" t="str">
            <v>N2</v>
          </cell>
          <cell r="G94" t="str">
            <v>G1</v>
          </cell>
          <cell r="H94" t="str">
            <v>MG</v>
          </cell>
          <cell r="I94" t="str">
            <v>Oi Total Fixo + Pós 250 + Banda Larga</v>
          </cell>
          <cell r="J94" t="str">
            <v>Oi Total Fixo + Pós 250 + Banda LargaAC</v>
          </cell>
          <cell r="K94" t="str">
            <v>Oi Total Fixo + Pós 250 + Banda LargaACN2123.9</v>
          </cell>
          <cell r="L94" t="str">
            <v>Oi Total Conectado 250MG</v>
          </cell>
          <cell r="M94">
            <v>223.9</v>
          </cell>
          <cell r="N94">
            <v>123.9</v>
          </cell>
          <cell r="O94">
            <v>0</v>
          </cell>
          <cell r="P94">
            <v>108.98</v>
          </cell>
          <cell r="Q94">
            <v>15</v>
          </cell>
          <cell r="R94">
            <v>93.98</v>
          </cell>
          <cell r="S94">
            <v>14.92</v>
          </cell>
          <cell r="T94">
            <v>5.24</v>
          </cell>
          <cell r="U94">
            <v>9.68</v>
          </cell>
          <cell r="V94">
            <v>50.1</v>
          </cell>
          <cell r="W94">
            <v>49.9</v>
          </cell>
          <cell r="X94">
            <v>100</v>
          </cell>
          <cell r="Y94">
            <v>20.350000000000001</v>
          </cell>
          <cell r="Z94">
            <v>5.24</v>
          </cell>
          <cell r="AA94" t="b">
            <v>1</v>
          </cell>
          <cell r="AB94" t="b">
            <v>1</v>
          </cell>
        </row>
        <row r="95">
          <cell r="A95" t="str">
            <v>Oi Total Fixo + Pós 250 + Banda LargaN15GBMG</v>
          </cell>
          <cell r="B95" t="str">
            <v>REAJUSTE - 25/07</v>
          </cell>
          <cell r="C95" t="str">
            <v>Oi Total Conectado 250</v>
          </cell>
          <cell r="D95">
            <v>5000</v>
          </cell>
          <cell r="E95" t="str">
            <v>5GB</v>
          </cell>
          <cell r="F95" t="str">
            <v>N1</v>
          </cell>
          <cell r="G95" t="str">
            <v>G1</v>
          </cell>
          <cell r="H95" t="str">
            <v>MG</v>
          </cell>
          <cell r="I95" t="str">
            <v>Oi Total Fixo + Pós 250 + Banda Larga</v>
          </cell>
          <cell r="J95" t="str">
            <v>Oi Total Fixo + Pós 250 + Banda LargaAC</v>
          </cell>
          <cell r="K95" t="str">
            <v>Oi Total Fixo + Pós 250 + Banda LargaACN1134.9</v>
          </cell>
          <cell r="L95" t="str">
            <v>Oi Total Conectado 250MG</v>
          </cell>
          <cell r="M95">
            <v>234.9</v>
          </cell>
          <cell r="N95">
            <v>134.9</v>
          </cell>
          <cell r="O95">
            <v>0</v>
          </cell>
          <cell r="P95">
            <v>119.98</v>
          </cell>
          <cell r="Q95">
            <v>15</v>
          </cell>
          <cell r="R95">
            <v>104.98</v>
          </cell>
          <cell r="S95">
            <v>14.92</v>
          </cell>
          <cell r="T95">
            <v>5.24</v>
          </cell>
          <cell r="U95">
            <v>9.68</v>
          </cell>
          <cell r="V95">
            <v>50.1</v>
          </cell>
          <cell r="W95">
            <v>49.9</v>
          </cell>
          <cell r="X95">
            <v>100</v>
          </cell>
          <cell r="Y95">
            <v>20.350000000000001</v>
          </cell>
          <cell r="Z95">
            <v>5.24</v>
          </cell>
          <cell r="AA95" t="b">
            <v>1</v>
          </cell>
          <cell r="AB95" t="b">
            <v>1</v>
          </cell>
        </row>
        <row r="96">
          <cell r="A96" t="str">
            <v>Oi Total Fixo + Pós 250 + Banda LargaN210GBMG</v>
          </cell>
          <cell r="B96" t="str">
            <v>REAJUSTE - 25/07</v>
          </cell>
          <cell r="C96" t="str">
            <v>Oi Total Conectado 250</v>
          </cell>
          <cell r="D96">
            <v>10000</v>
          </cell>
          <cell r="E96" t="str">
            <v>10GB</v>
          </cell>
          <cell r="F96" t="str">
            <v>N2</v>
          </cell>
          <cell r="G96" t="str">
            <v>G1</v>
          </cell>
          <cell r="H96" t="str">
            <v>MG</v>
          </cell>
          <cell r="I96" t="str">
            <v>Oi Total Fixo + Pós 250 + Banda Larga</v>
          </cell>
          <cell r="J96" t="str">
            <v>Oi Total Fixo + Pós 250 + Banda LargaAC</v>
          </cell>
          <cell r="K96" t="str">
            <v>Oi Total Fixo + Pós 250 + Banda LargaACN2156.9</v>
          </cell>
          <cell r="L96" t="str">
            <v>Oi Total Conectado 250MG</v>
          </cell>
          <cell r="M96">
            <v>256.89999999999998</v>
          </cell>
          <cell r="N96">
            <v>156.89999999999998</v>
          </cell>
          <cell r="O96">
            <v>0</v>
          </cell>
          <cell r="P96">
            <v>121.36999999999998</v>
          </cell>
          <cell r="Q96">
            <v>15</v>
          </cell>
          <cell r="R96">
            <v>106.36999999999998</v>
          </cell>
          <cell r="S96">
            <v>35.53</v>
          </cell>
          <cell r="T96">
            <v>5.24</v>
          </cell>
          <cell r="U96">
            <v>30.29</v>
          </cell>
          <cell r="V96">
            <v>50.1</v>
          </cell>
          <cell r="W96">
            <v>49.9</v>
          </cell>
          <cell r="X96">
            <v>100</v>
          </cell>
          <cell r="Y96">
            <v>20.350000000000001</v>
          </cell>
          <cell r="Z96">
            <v>5.24</v>
          </cell>
          <cell r="AA96" t="b">
            <v>1</v>
          </cell>
          <cell r="AB96" t="b">
            <v>1</v>
          </cell>
        </row>
        <row r="97">
          <cell r="A97" t="str">
            <v>Oi Total Fixo + Pós 250 + Banda LargaN110GBMG</v>
          </cell>
          <cell r="B97" t="str">
            <v>REAJUSTE - 25/07</v>
          </cell>
          <cell r="C97" t="str">
            <v>Oi Total Conectado 250</v>
          </cell>
          <cell r="D97">
            <v>10000</v>
          </cell>
          <cell r="E97" t="str">
            <v>10GB</v>
          </cell>
          <cell r="F97" t="str">
            <v>N1</v>
          </cell>
          <cell r="G97" t="str">
            <v>G1</v>
          </cell>
          <cell r="H97" t="str">
            <v>MG</v>
          </cell>
          <cell r="I97" t="str">
            <v>Oi Total Fixo + Pós 250 + Banda Larga</v>
          </cell>
          <cell r="J97" t="str">
            <v>Oi Total Fixo + Pós 250 + Banda LargaAC</v>
          </cell>
          <cell r="K97" t="str">
            <v>Oi Total Fixo + Pós 250 + Banda LargaACN1166.9</v>
          </cell>
          <cell r="L97" t="str">
            <v>Oi Total Conectado 250MG</v>
          </cell>
          <cell r="M97">
            <v>266.89999999999998</v>
          </cell>
          <cell r="N97">
            <v>166.89999999999998</v>
          </cell>
          <cell r="O97">
            <v>0</v>
          </cell>
          <cell r="P97">
            <v>131.36999999999998</v>
          </cell>
          <cell r="Q97">
            <v>15</v>
          </cell>
          <cell r="R97">
            <v>116.36999999999998</v>
          </cell>
          <cell r="S97">
            <v>35.53</v>
          </cell>
          <cell r="T97">
            <v>5.24</v>
          </cell>
          <cell r="U97">
            <v>30.29</v>
          </cell>
          <cell r="V97">
            <v>50.1</v>
          </cell>
          <cell r="W97">
            <v>49.9</v>
          </cell>
          <cell r="X97">
            <v>100</v>
          </cell>
          <cell r="Y97">
            <v>20.350000000000001</v>
          </cell>
          <cell r="Z97">
            <v>5.24</v>
          </cell>
          <cell r="AA97" t="b">
            <v>1</v>
          </cell>
          <cell r="AB97" t="b">
            <v>1</v>
          </cell>
        </row>
        <row r="98">
          <cell r="A98" t="str">
            <v>Oi Total Fixo + Pós Conectado Mais + Banda LargaN1MG</v>
          </cell>
          <cell r="B98" t="str">
            <v>REAJUSTE - 25/07</v>
          </cell>
          <cell r="C98" t="str">
            <v>Oi Total Conectado Top</v>
          </cell>
          <cell r="D98"/>
          <cell r="E98" t="str">
            <v>s/dados</v>
          </cell>
          <cell r="F98" t="str">
            <v>N1</v>
          </cell>
          <cell r="G98" t="str">
            <v>G1</v>
          </cell>
          <cell r="H98" t="str">
            <v>MG</v>
          </cell>
          <cell r="I98" t="str">
            <v>Oi Total Fixo + Pós Conectado Mais + Banda Larga</v>
          </cell>
          <cell r="J98" t="str">
            <v>Oi Total Fixo + Pós Conectado Mais + Banda LargaAC</v>
          </cell>
          <cell r="K98" t="str">
            <v>Oi Total Fixo + Pós Conectado Mais + Banda LargaACN1101.9</v>
          </cell>
          <cell r="L98" t="str">
            <v>Oi Total Conectado TopMG</v>
          </cell>
          <cell r="M98">
            <v>201.9</v>
          </cell>
          <cell r="N98">
            <v>101.9</v>
          </cell>
          <cell r="O98">
            <v>0</v>
          </cell>
          <cell r="P98">
            <v>101.9</v>
          </cell>
          <cell r="Q98">
            <v>15</v>
          </cell>
          <cell r="R98">
            <v>86.9</v>
          </cell>
          <cell r="S98">
            <v>0</v>
          </cell>
          <cell r="T98">
            <v>0</v>
          </cell>
          <cell r="U98">
            <v>0</v>
          </cell>
          <cell r="V98">
            <v>50.1</v>
          </cell>
          <cell r="W98">
            <v>49.9</v>
          </cell>
          <cell r="X98">
            <v>100</v>
          </cell>
          <cell r="Y98">
            <v>0</v>
          </cell>
          <cell r="Z98">
            <v>0</v>
          </cell>
          <cell r="AA98" t="b">
            <v>1</v>
          </cell>
          <cell r="AB98" t="b">
            <v>1</v>
          </cell>
        </row>
        <row r="99">
          <cell r="A99" t="str">
            <v>Oi Total Fixo + Pós Conectado Mais + Banda LargaN110GBMG</v>
          </cell>
          <cell r="B99" t="str">
            <v>REAJUSTE - 25/07</v>
          </cell>
          <cell r="C99" t="str">
            <v>Oi Total Conectado Top</v>
          </cell>
          <cell r="D99">
            <v>10000</v>
          </cell>
          <cell r="E99" t="str">
            <v>10GB</v>
          </cell>
          <cell r="F99" t="str">
            <v>N1</v>
          </cell>
          <cell r="G99" t="str">
            <v>G1</v>
          </cell>
          <cell r="H99" t="str">
            <v>MG</v>
          </cell>
          <cell r="I99" t="str">
            <v>Oi Total Fixo + Pós Conectado Mais + Banda Larga</v>
          </cell>
          <cell r="J99" t="str">
            <v>Oi Total Fixo + Pós Conectado Mais + Banda LargaAC</v>
          </cell>
          <cell r="K99" t="str">
            <v>Oi Total Fixo + Pós Conectado Mais + Banda LargaACN1172.9</v>
          </cell>
          <cell r="L99" t="str">
            <v>Oi Total Conectado TopMG</v>
          </cell>
          <cell r="M99">
            <v>272.89999999999998</v>
          </cell>
          <cell r="N99">
            <v>172.89999999999998</v>
          </cell>
          <cell r="O99">
            <v>0</v>
          </cell>
          <cell r="P99">
            <v>137.36999999999998</v>
          </cell>
          <cell r="Q99">
            <v>15</v>
          </cell>
          <cell r="R99">
            <v>122.36999999999998</v>
          </cell>
          <cell r="S99">
            <v>35.53</v>
          </cell>
          <cell r="T99">
            <v>5.24</v>
          </cell>
          <cell r="U99">
            <v>30.29</v>
          </cell>
          <cell r="V99">
            <v>50.1</v>
          </cell>
          <cell r="W99">
            <v>49.9</v>
          </cell>
          <cell r="X99">
            <v>100</v>
          </cell>
          <cell r="Y99">
            <v>20.350000000000001</v>
          </cell>
          <cell r="Z99">
            <v>5.24</v>
          </cell>
          <cell r="AA99" t="b">
            <v>1</v>
          </cell>
          <cell r="AB99" t="b">
            <v>1</v>
          </cell>
        </row>
        <row r="100">
          <cell r="A100" t="str">
            <v>Oi Total Fixo + Pós 50 + Banda LargaN1MG</v>
          </cell>
          <cell r="B100" t="str">
            <v>REAJUSTE - 25/07</v>
          </cell>
          <cell r="C100" t="str">
            <v>Oi Total Conectado 50</v>
          </cell>
          <cell r="D100"/>
          <cell r="E100" t="str">
            <v>s/dados</v>
          </cell>
          <cell r="F100" t="str">
            <v>N1</v>
          </cell>
          <cell r="G100" t="str">
            <v>G1</v>
          </cell>
          <cell r="H100" t="str">
            <v>MG</v>
          </cell>
          <cell r="I100" t="str">
            <v>Oi Total Fixo + Pós 50 + Banda Larga</v>
          </cell>
          <cell r="J100" t="str">
            <v>Oi Total Fixo + Pós 50 + Banda LargaAC</v>
          </cell>
          <cell r="K100" t="str">
            <v>Oi Total Fixo + Pós 50 + Banda LargaACN174.9</v>
          </cell>
          <cell r="L100" t="str">
            <v>Oi Total Conectado 50MG</v>
          </cell>
          <cell r="M100">
            <v>174.9</v>
          </cell>
          <cell r="N100">
            <v>74.900000000000006</v>
          </cell>
          <cell r="O100">
            <v>0</v>
          </cell>
          <cell r="P100">
            <v>74.900000000000006</v>
          </cell>
          <cell r="Q100">
            <v>15</v>
          </cell>
          <cell r="R100">
            <v>59.900000000000006</v>
          </cell>
          <cell r="S100">
            <v>0</v>
          </cell>
          <cell r="T100">
            <v>0</v>
          </cell>
          <cell r="U100">
            <v>0</v>
          </cell>
          <cell r="V100">
            <v>50.1</v>
          </cell>
          <cell r="W100">
            <v>49.9</v>
          </cell>
          <cell r="X100">
            <v>100</v>
          </cell>
          <cell r="Y100">
            <v>0</v>
          </cell>
          <cell r="Z100">
            <v>0</v>
          </cell>
          <cell r="AA100" t="b">
            <v>1</v>
          </cell>
          <cell r="AB100" t="b">
            <v>1</v>
          </cell>
        </row>
        <row r="101">
          <cell r="A101" t="str">
            <v>Oi Total Fixo + Pós 50 + Banda LargaN21GBMG</v>
          </cell>
          <cell r="B101" t="str">
            <v>REAJUSTE - 25/07</v>
          </cell>
          <cell r="C101" t="str">
            <v>Oi Total Conectado 50</v>
          </cell>
          <cell r="D101">
            <v>1000</v>
          </cell>
          <cell r="E101" t="str">
            <v>1GB</v>
          </cell>
          <cell r="F101" t="str">
            <v>N2</v>
          </cell>
          <cell r="G101" t="str">
            <v>G1</v>
          </cell>
          <cell r="H101" t="str">
            <v>MG</v>
          </cell>
          <cell r="I101" t="str">
            <v>Oi Total Fixo + Pós 50 + Banda Larga</v>
          </cell>
          <cell r="J101" t="str">
            <v>Oi Total Fixo + Pós 50 + Banda LargaAC</v>
          </cell>
          <cell r="K101" t="str">
            <v>Oi Total Fixo + Pós 50 + Banda LargaACN263.9</v>
          </cell>
          <cell r="L101" t="str">
            <v>Oi Total Conectado 50MG</v>
          </cell>
          <cell r="M101">
            <v>163.9</v>
          </cell>
          <cell r="N101">
            <v>63.900000000000006</v>
          </cell>
          <cell r="O101">
            <v>0</v>
          </cell>
          <cell r="P101">
            <v>55.160000000000004</v>
          </cell>
          <cell r="Q101">
            <v>15</v>
          </cell>
          <cell r="R101">
            <v>40.160000000000004</v>
          </cell>
          <cell r="S101">
            <v>8.74</v>
          </cell>
          <cell r="T101">
            <v>3.61</v>
          </cell>
          <cell r="U101">
            <v>5.13</v>
          </cell>
          <cell r="V101">
            <v>50.1</v>
          </cell>
          <cell r="W101">
            <v>49.9</v>
          </cell>
          <cell r="X101">
            <v>100</v>
          </cell>
          <cell r="Y101">
            <v>14</v>
          </cell>
          <cell r="Z101">
            <v>3.61</v>
          </cell>
          <cell r="AA101" t="b">
            <v>1</v>
          </cell>
          <cell r="AB101" t="b">
            <v>1</v>
          </cell>
        </row>
        <row r="102">
          <cell r="A102" t="str">
            <v>Oi Total Fixo + Pós 50 + Banda LargaN11GBMG</v>
          </cell>
          <cell r="B102" t="str">
            <v>REAJUSTE - 25/07</v>
          </cell>
          <cell r="C102" t="str">
            <v>Oi Total Conectado 50</v>
          </cell>
          <cell r="D102">
            <v>1000</v>
          </cell>
          <cell r="E102" t="str">
            <v>1GB</v>
          </cell>
          <cell r="F102" t="str">
            <v>N1</v>
          </cell>
          <cell r="G102" t="str">
            <v>G1</v>
          </cell>
          <cell r="H102" t="str">
            <v>MG</v>
          </cell>
          <cell r="I102" t="str">
            <v>Oi Total Fixo + Pós 50 + Banda Larga</v>
          </cell>
          <cell r="J102" t="str">
            <v>Oi Total Fixo + Pós 50 + Banda LargaAC</v>
          </cell>
          <cell r="K102" t="str">
            <v>Oi Total Fixo + Pós 50 + Banda LargaACN174.9</v>
          </cell>
          <cell r="L102" t="str">
            <v>Oi Total Conectado 50MG</v>
          </cell>
          <cell r="M102">
            <v>174.9</v>
          </cell>
          <cell r="N102">
            <v>74.900000000000006</v>
          </cell>
          <cell r="O102">
            <v>0</v>
          </cell>
          <cell r="P102">
            <v>66.160000000000011</v>
          </cell>
          <cell r="Q102">
            <v>15</v>
          </cell>
          <cell r="R102">
            <v>51.160000000000011</v>
          </cell>
          <cell r="S102">
            <v>8.74</v>
          </cell>
          <cell r="T102">
            <v>3.61</v>
          </cell>
          <cell r="U102">
            <v>5.13</v>
          </cell>
          <cell r="V102">
            <v>50.1</v>
          </cell>
          <cell r="W102">
            <v>49.9</v>
          </cell>
          <cell r="X102">
            <v>100</v>
          </cell>
          <cell r="Y102">
            <v>14</v>
          </cell>
          <cell r="Z102">
            <v>3.61</v>
          </cell>
          <cell r="AA102" t="b">
            <v>1</v>
          </cell>
          <cell r="AB102" t="b">
            <v>1</v>
          </cell>
        </row>
        <row r="103">
          <cell r="A103" t="str">
            <v>Oi Total Fixo + Pós 50 + Banda LargaN22GBMG</v>
          </cell>
          <cell r="B103" t="str">
            <v>REAJUSTE - 25/07</v>
          </cell>
          <cell r="C103" t="str">
            <v>Oi Total Conectado 50</v>
          </cell>
          <cell r="D103">
            <v>2000</v>
          </cell>
          <cell r="E103" t="str">
            <v>2GB</v>
          </cell>
          <cell r="F103" t="str">
            <v>N2</v>
          </cell>
          <cell r="G103" t="str">
            <v>G1</v>
          </cell>
          <cell r="H103" t="str">
            <v>MG</v>
          </cell>
          <cell r="I103" t="str">
            <v>Oi Total Fixo + Pós 50 + Banda Larga</v>
          </cell>
          <cell r="J103" t="str">
            <v>Oi Total Fixo + Pós 50 + Banda LargaAC</v>
          </cell>
          <cell r="K103" t="str">
            <v>Oi Total Fixo + Pós 50 + Banda LargaACN274.9</v>
          </cell>
          <cell r="L103" t="str">
            <v>Oi Total Conectado 50MG</v>
          </cell>
          <cell r="M103">
            <v>174.9</v>
          </cell>
          <cell r="N103">
            <v>74.900000000000006</v>
          </cell>
          <cell r="O103">
            <v>0</v>
          </cell>
          <cell r="P103">
            <v>65.13000000000001</v>
          </cell>
          <cell r="Q103">
            <v>15</v>
          </cell>
          <cell r="R103">
            <v>50.13000000000001</v>
          </cell>
          <cell r="S103">
            <v>9.77</v>
          </cell>
          <cell r="T103">
            <v>3.61</v>
          </cell>
          <cell r="U103">
            <v>6.16</v>
          </cell>
          <cell r="V103">
            <v>50.1</v>
          </cell>
          <cell r="W103">
            <v>49.9</v>
          </cell>
          <cell r="X103">
            <v>100</v>
          </cell>
          <cell r="Y103">
            <v>14</v>
          </cell>
          <cell r="Z103">
            <v>3.61</v>
          </cell>
          <cell r="AA103" t="b">
            <v>1</v>
          </cell>
          <cell r="AB103" t="b">
            <v>1</v>
          </cell>
        </row>
        <row r="104">
          <cell r="A104" t="str">
            <v>Oi Total Fixo + Pós 50 + Banda LargaN12GBMG</v>
          </cell>
          <cell r="B104" t="str">
            <v>REAJUSTE - 25/07</v>
          </cell>
          <cell r="C104" t="str">
            <v>Oi Total Conectado 50</v>
          </cell>
          <cell r="D104">
            <v>2000</v>
          </cell>
          <cell r="E104" t="str">
            <v>2GB</v>
          </cell>
          <cell r="F104" t="str">
            <v>N1</v>
          </cell>
          <cell r="G104" t="str">
            <v>G1</v>
          </cell>
          <cell r="H104" t="str">
            <v>MG</v>
          </cell>
          <cell r="I104" t="str">
            <v>Oi Total Fixo + Pós 50 + Banda Larga</v>
          </cell>
          <cell r="J104" t="str">
            <v>Oi Total Fixo + Pós 50 + Banda LargaAC</v>
          </cell>
          <cell r="K104" t="str">
            <v>Oi Total Fixo + Pós 50 + Banda LargaACN185.9</v>
          </cell>
          <cell r="L104" t="str">
            <v>Oi Total Conectado 50MG</v>
          </cell>
          <cell r="M104">
            <v>185.9</v>
          </cell>
          <cell r="N104">
            <v>85.9</v>
          </cell>
          <cell r="O104">
            <v>0</v>
          </cell>
          <cell r="P104">
            <v>76.13000000000001</v>
          </cell>
          <cell r="Q104">
            <v>15</v>
          </cell>
          <cell r="R104">
            <v>61.13000000000001</v>
          </cell>
          <cell r="S104">
            <v>9.77</v>
          </cell>
          <cell r="T104">
            <v>3.61</v>
          </cell>
          <cell r="U104">
            <v>6.16</v>
          </cell>
          <cell r="V104">
            <v>50.1</v>
          </cell>
          <cell r="W104">
            <v>49.9</v>
          </cell>
          <cell r="X104">
            <v>100</v>
          </cell>
          <cell r="Y104">
            <v>14</v>
          </cell>
          <cell r="Z104">
            <v>3.61</v>
          </cell>
          <cell r="AA104" t="b">
            <v>1</v>
          </cell>
          <cell r="AB104" t="b">
            <v>1</v>
          </cell>
        </row>
        <row r="105">
          <cell r="A105" t="str">
            <v>Oi Total Fixo + Pós 50 + Banda LargaN23GBMG</v>
          </cell>
          <cell r="B105" t="str">
            <v>REAJUSTE - 25/07</v>
          </cell>
          <cell r="C105" t="str">
            <v>Oi Total Conectado 50</v>
          </cell>
          <cell r="D105">
            <v>3000</v>
          </cell>
          <cell r="E105" t="str">
            <v>3GB</v>
          </cell>
          <cell r="F105" t="str">
            <v>N2</v>
          </cell>
          <cell r="G105" t="str">
            <v>G1</v>
          </cell>
          <cell r="H105" t="str">
            <v>MG</v>
          </cell>
          <cell r="I105" t="str">
            <v>Oi Total Fixo + Pós 50 + Banda Larga</v>
          </cell>
          <cell r="J105" t="str">
            <v>Oi Total Fixo + Pós 50 + Banda LargaAC</v>
          </cell>
          <cell r="K105" t="str">
            <v>Oi Total Fixo + Pós 50 + Banda LargaACN285.9</v>
          </cell>
          <cell r="L105" t="str">
            <v>Oi Total Conectado 50MG</v>
          </cell>
          <cell r="M105">
            <v>185.9</v>
          </cell>
          <cell r="N105">
            <v>85.9</v>
          </cell>
          <cell r="O105">
            <v>0</v>
          </cell>
          <cell r="P105">
            <v>73.550000000000011</v>
          </cell>
          <cell r="Q105">
            <v>15</v>
          </cell>
          <cell r="R105">
            <v>58.550000000000011</v>
          </cell>
          <cell r="S105">
            <v>12.35</v>
          </cell>
          <cell r="T105">
            <v>3.61</v>
          </cell>
          <cell r="U105">
            <v>8.74</v>
          </cell>
          <cell r="V105">
            <v>50.1</v>
          </cell>
          <cell r="W105">
            <v>49.9</v>
          </cell>
          <cell r="X105">
            <v>100</v>
          </cell>
          <cell r="Y105">
            <v>14</v>
          </cell>
          <cell r="Z105">
            <v>3.61</v>
          </cell>
          <cell r="AA105" t="b">
            <v>1</v>
          </cell>
          <cell r="AB105" t="b">
            <v>1</v>
          </cell>
        </row>
        <row r="106">
          <cell r="A106" t="str">
            <v>Oi Total Fixo + Pós 50 + Banda LargaN13GBMG</v>
          </cell>
          <cell r="B106" t="str">
            <v>REAJUSTE - 25/07</v>
          </cell>
          <cell r="C106" t="str">
            <v>Oi Total Conectado 50</v>
          </cell>
          <cell r="D106">
            <v>3000</v>
          </cell>
          <cell r="E106" t="str">
            <v>3GB</v>
          </cell>
          <cell r="F106" t="str">
            <v>N1</v>
          </cell>
          <cell r="G106" t="str">
            <v>G1</v>
          </cell>
          <cell r="H106" t="str">
            <v>MG</v>
          </cell>
          <cell r="I106" t="str">
            <v>Oi Total Fixo + Pós 50 + Banda Larga</v>
          </cell>
          <cell r="J106" t="str">
            <v>Oi Total Fixo + Pós 50 + Banda LargaAC</v>
          </cell>
          <cell r="K106" t="str">
            <v>Oi Total Fixo + Pós 50 + Banda LargaACN196.9</v>
          </cell>
          <cell r="L106" t="str">
            <v>Oi Total Conectado 50MG</v>
          </cell>
          <cell r="M106">
            <v>196.9</v>
          </cell>
          <cell r="N106">
            <v>96.9</v>
          </cell>
          <cell r="O106">
            <v>0</v>
          </cell>
          <cell r="P106">
            <v>84.550000000000011</v>
          </cell>
          <cell r="Q106">
            <v>15</v>
          </cell>
          <cell r="R106">
            <v>69.550000000000011</v>
          </cell>
          <cell r="S106">
            <v>12.35</v>
          </cell>
          <cell r="T106">
            <v>3.61</v>
          </cell>
          <cell r="U106">
            <v>8.74</v>
          </cell>
          <cell r="V106">
            <v>50.1</v>
          </cell>
          <cell r="W106">
            <v>49.9</v>
          </cell>
          <cell r="X106">
            <v>100</v>
          </cell>
          <cell r="Y106">
            <v>14</v>
          </cell>
          <cell r="Z106">
            <v>3.61</v>
          </cell>
          <cell r="AA106" t="b">
            <v>1</v>
          </cell>
          <cell r="AB106" t="b">
            <v>1</v>
          </cell>
        </row>
        <row r="107">
          <cell r="A107" t="str">
            <v>Oi Total Fixo + Pós 50 + Banda LargaN25GBMG</v>
          </cell>
          <cell r="B107" t="str">
            <v>REAJUSTE - 25/07</v>
          </cell>
          <cell r="C107" t="str">
            <v>Oi Total Conectado 50</v>
          </cell>
          <cell r="D107">
            <v>5000</v>
          </cell>
          <cell r="E107" t="str">
            <v>5GB</v>
          </cell>
          <cell r="F107" t="str">
            <v>N2</v>
          </cell>
          <cell r="G107" t="str">
            <v>G1</v>
          </cell>
          <cell r="H107" t="str">
            <v>MG</v>
          </cell>
          <cell r="I107" t="str">
            <v>Oi Total Fixo + Pós 50 + Banda Larga</v>
          </cell>
          <cell r="J107" t="str">
            <v>Oi Total Fixo + Pós 50 + Banda LargaAC</v>
          </cell>
          <cell r="K107" t="str">
            <v>Oi Total Fixo + Pós 50 + Banda LargaACN2101.9</v>
          </cell>
          <cell r="L107" t="str">
            <v>Oi Total Conectado 50MG</v>
          </cell>
          <cell r="M107">
            <v>201.9</v>
          </cell>
          <cell r="N107">
            <v>101.9</v>
          </cell>
          <cell r="O107">
            <v>0</v>
          </cell>
          <cell r="P107">
            <v>86.98</v>
          </cell>
          <cell r="Q107">
            <v>15</v>
          </cell>
          <cell r="R107">
            <v>71.98</v>
          </cell>
          <cell r="S107">
            <v>14.92</v>
          </cell>
          <cell r="T107">
            <v>5.24</v>
          </cell>
          <cell r="U107">
            <v>9.68</v>
          </cell>
          <cell r="V107">
            <v>50.1</v>
          </cell>
          <cell r="W107">
            <v>49.9</v>
          </cell>
          <cell r="X107">
            <v>100</v>
          </cell>
          <cell r="Y107">
            <v>20.350000000000001</v>
          </cell>
          <cell r="Z107">
            <v>5.24</v>
          </cell>
          <cell r="AA107" t="b">
            <v>1</v>
          </cell>
          <cell r="AB107" t="b">
            <v>1</v>
          </cell>
        </row>
        <row r="108">
          <cell r="A108" t="str">
            <v>Oi Total Fixo + Pós 50 + Banda LargaN15GBMG</v>
          </cell>
          <cell r="B108" t="str">
            <v>REAJUSTE - 25/07</v>
          </cell>
          <cell r="C108" t="str">
            <v>Oi Total Conectado 50</v>
          </cell>
          <cell r="D108">
            <v>5000</v>
          </cell>
          <cell r="E108" t="str">
            <v>5GB</v>
          </cell>
          <cell r="F108" t="str">
            <v>N1</v>
          </cell>
          <cell r="G108" t="str">
            <v>G1</v>
          </cell>
          <cell r="H108" t="str">
            <v>MG</v>
          </cell>
          <cell r="I108" t="str">
            <v>Oi Total Fixo + Pós 50 + Banda Larga</v>
          </cell>
          <cell r="J108" t="str">
            <v>Oi Total Fixo + Pós 50 + Banda LargaAC</v>
          </cell>
          <cell r="K108" t="str">
            <v>Oi Total Fixo + Pós 50 + Banda LargaACN1112.9</v>
          </cell>
          <cell r="L108" t="str">
            <v>Oi Total Conectado 50MG</v>
          </cell>
          <cell r="M108">
            <v>212.9</v>
          </cell>
          <cell r="N108">
            <v>112.9</v>
          </cell>
          <cell r="O108">
            <v>0</v>
          </cell>
          <cell r="P108">
            <v>97.98</v>
          </cell>
          <cell r="Q108">
            <v>15</v>
          </cell>
          <cell r="R108">
            <v>82.98</v>
          </cell>
          <cell r="S108">
            <v>14.92</v>
          </cell>
          <cell r="T108">
            <v>5.24</v>
          </cell>
          <cell r="U108">
            <v>9.68</v>
          </cell>
          <cell r="V108">
            <v>50.1</v>
          </cell>
          <cell r="W108">
            <v>49.9</v>
          </cell>
          <cell r="X108">
            <v>100</v>
          </cell>
          <cell r="Y108">
            <v>20.350000000000001</v>
          </cell>
          <cell r="Z108">
            <v>5.24</v>
          </cell>
          <cell r="AA108" t="b">
            <v>1</v>
          </cell>
          <cell r="AB108" t="b">
            <v>1</v>
          </cell>
        </row>
        <row r="109">
          <cell r="A109" t="str">
            <v>Oi Total Fixo + Pós 50 + Banda LargaN210GBMG</v>
          </cell>
          <cell r="B109" t="str">
            <v>REAJUSTE - 25/07</v>
          </cell>
          <cell r="C109" t="str">
            <v>Oi Total Conectado 50</v>
          </cell>
          <cell r="D109">
            <v>10000</v>
          </cell>
          <cell r="E109" t="str">
            <v>10GB</v>
          </cell>
          <cell r="F109" t="str">
            <v>N2</v>
          </cell>
          <cell r="G109" t="str">
            <v>G1</v>
          </cell>
          <cell r="H109" t="str">
            <v>MG</v>
          </cell>
          <cell r="I109" t="str">
            <v>Oi Total Fixo + Pós 50 + Banda Larga</v>
          </cell>
          <cell r="J109" t="str">
            <v>Oi Total Fixo + Pós 50 + Banda LargaAC</v>
          </cell>
          <cell r="K109" t="str">
            <v>Oi Total Fixo + Pós 50 + Banda LargaACN2134.9</v>
          </cell>
          <cell r="L109" t="str">
            <v>Oi Total Conectado 50MG</v>
          </cell>
          <cell r="M109">
            <v>234.9</v>
          </cell>
          <cell r="N109">
            <v>134.9</v>
          </cell>
          <cell r="O109">
            <v>0</v>
          </cell>
          <cell r="P109">
            <v>99.37</v>
          </cell>
          <cell r="Q109">
            <v>15</v>
          </cell>
          <cell r="R109">
            <v>84.37</v>
          </cell>
          <cell r="S109">
            <v>35.53</v>
          </cell>
          <cell r="T109">
            <v>5.24</v>
          </cell>
          <cell r="U109">
            <v>30.29</v>
          </cell>
          <cell r="V109">
            <v>50.1</v>
          </cell>
          <cell r="W109">
            <v>49.9</v>
          </cell>
          <cell r="X109">
            <v>100</v>
          </cell>
          <cell r="Y109">
            <v>20.350000000000001</v>
          </cell>
          <cell r="Z109">
            <v>5.24</v>
          </cell>
          <cell r="AA109" t="b">
            <v>1</v>
          </cell>
          <cell r="AB109" t="b">
            <v>1</v>
          </cell>
        </row>
        <row r="110">
          <cell r="A110" t="str">
            <v>Oi Total Fixo + Pós 50 + Banda LargaN110GBMG</v>
          </cell>
          <cell r="B110" t="str">
            <v>REAJUSTE - 25/07</v>
          </cell>
          <cell r="C110" t="str">
            <v>Oi Total Conectado 50</v>
          </cell>
          <cell r="D110">
            <v>10000</v>
          </cell>
          <cell r="E110" t="str">
            <v>10GB</v>
          </cell>
          <cell r="F110" t="str">
            <v>N1</v>
          </cell>
          <cell r="G110" t="str">
            <v>G1</v>
          </cell>
          <cell r="H110" t="str">
            <v>MG</v>
          </cell>
          <cell r="I110" t="str">
            <v>Oi Total Fixo + Pós 50 + Banda Larga</v>
          </cell>
          <cell r="J110" t="str">
            <v>Oi Total Fixo + Pós 50 + Banda LargaAC</v>
          </cell>
          <cell r="K110" t="str">
            <v>Oi Total Fixo + Pós 50 + Banda LargaACN1145.9</v>
          </cell>
          <cell r="L110" t="str">
            <v>Oi Total Conectado 50MG</v>
          </cell>
          <cell r="M110">
            <v>245.9</v>
          </cell>
          <cell r="N110">
            <v>145.9</v>
          </cell>
          <cell r="O110">
            <v>0</v>
          </cell>
          <cell r="P110">
            <v>110.37</v>
          </cell>
          <cell r="Q110">
            <v>15</v>
          </cell>
          <cell r="R110">
            <v>95.37</v>
          </cell>
          <cell r="S110">
            <v>35.53</v>
          </cell>
          <cell r="T110">
            <v>5.24</v>
          </cell>
          <cell r="U110">
            <v>30.29</v>
          </cell>
          <cell r="V110">
            <v>50.1</v>
          </cell>
          <cell r="W110">
            <v>49.9</v>
          </cell>
          <cell r="X110">
            <v>100</v>
          </cell>
          <cell r="Y110">
            <v>20.350000000000001</v>
          </cell>
          <cell r="Z110">
            <v>5.24</v>
          </cell>
          <cell r="AA110" t="b">
            <v>1</v>
          </cell>
          <cell r="AB110" t="b">
            <v>1</v>
          </cell>
        </row>
        <row r="111">
          <cell r="A111" t="str">
            <v>Oi Total Fixo + Pós 500 + Banda LargaN1MG</v>
          </cell>
          <cell r="B111" t="str">
            <v>REAJUSTE - 25/07</v>
          </cell>
          <cell r="C111" t="str">
            <v>Oi Total Conectado 500</v>
          </cell>
          <cell r="D111"/>
          <cell r="E111" t="str">
            <v>s/dados</v>
          </cell>
          <cell r="F111" t="str">
            <v>N1</v>
          </cell>
          <cell r="G111" t="str">
            <v>G1</v>
          </cell>
          <cell r="H111" t="str">
            <v>MG</v>
          </cell>
          <cell r="I111" t="str">
            <v>Oi Total Fixo + Pós 500 + Banda Larga</v>
          </cell>
          <cell r="J111" t="str">
            <v>Oi Total Fixo + Pós 500 + Banda LargaAC</v>
          </cell>
          <cell r="K111" t="str">
            <v>Oi Total Fixo + Pós 500 + Banda LargaACN1117.9</v>
          </cell>
          <cell r="L111" t="str">
            <v>Oi Total Conectado 500MG</v>
          </cell>
          <cell r="M111">
            <v>217.9</v>
          </cell>
          <cell r="N111">
            <v>117.9</v>
          </cell>
          <cell r="O111">
            <v>0</v>
          </cell>
          <cell r="P111">
            <v>117.9</v>
          </cell>
          <cell r="Q111">
            <v>15</v>
          </cell>
          <cell r="R111">
            <v>102.9</v>
          </cell>
          <cell r="S111">
            <v>0</v>
          </cell>
          <cell r="T111">
            <v>0</v>
          </cell>
          <cell r="U111">
            <v>0</v>
          </cell>
          <cell r="V111">
            <v>50.1</v>
          </cell>
          <cell r="W111">
            <v>49.9</v>
          </cell>
          <cell r="X111">
            <v>100</v>
          </cell>
          <cell r="Y111">
            <v>0</v>
          </cell>
          <cell r="Z111">
            <v>0</v>
          </cell>
          <cell r="AA111" t="b">
            <v>1</v>
          </cell>
          <cell r="AB111" t="b">
            <v>1</v>
          </cell>
        </row>
        <row r="112">
          <cell r="A112" t="str">
            <v>Oi Total Fixo + Pós 500 + Banda LargaN11GBMG</v>
          </cell>
          <cell r="B112" t="str">
            <v>REAJUSTE - 25/07</v>
          </cell>
          <cell r="C112" t="str">
            <v>Oi Total Conectado 500</v>
          </cell>
          <cell r="D112">
            <v>1000</v>
          </cell>
          <cell r="E112" t="str">
            <v>1GB</v>
          </cell>
          <cell r="F112" t="str">
            <v>N1</v>
          </cell>
          <cell r="G112" t="str">
            <v>G1</v>
          </cell>
          <cell r="H112" t="str">
            <v>MG</v>
          </cell>
          <cell r="I112" t="str">
            <v>Oi Total Fixo + Pós 500 + Banda Larga</v>
          </cell>
          <cell r="J112" t="str">
            <v>Oi Total Fixo + Pós 500 + Banda LargaAC</v>
          </cell>
          <cell r="K112" t="str">
            <v>Oi Total Fixo + Pós 500 + Banda LargaACN1117.9</v>
          </cell>
          <cell r="L112" t="str">
            <v>Oi Total Conectado 500MG</v>
          </cell>
          <cell r="M112">
            <v>217.9</v>
          </cell>
          <cell r="N112">
            <v>117.9</v>
          </cell>
          <cell r="O112">
            <v>0</v>
          </cell>
          <cell r="P112">
            <v>109.16000000000001</v>
          </cell>
          <cell r="Q112">
            <v>15</v>
          </cell>
          <cell r="R112">
            <v>94.160000000000011</v>
          </cell>
          <cell r="S112">
            <v>8.74</v>
          </cell>
          <cell r="T112">
            <v>3.61</v>
          </cell>
          <cell r="U112">
            <v>5.13</v>
          </cell>
          <cell r="V112">
            <v>50.1</v>
          </cell>
          <cell r="W112">
            <v>49.9</v>
          </cell>
          <cell r="X112">
            <v>100</v>
          </cell>
          <cell r="Y112">
            <v>14</v>
          </cell>
          <cell r="Z112">
            <v>3.61</v>
          </cell>
          <cell r="AA112" t="b">
            <v>1</v>
          </cell>
          <cell r="AB112" t="b">
            <v>1</v>
          </cell>
        </row>
        <row r="113">
          <cell r="A113" t="str">
            <v>Oi Total Fixo + Pós 500 + Banda LargaN12GBMG</v>
          </cell>
          <cell r="B113" t="str">
            <v>REAJUSTE - 25/07</v>
          </cell>
          <cell r="C113" t="str">
            <v>Oi Total Conectado 500</v>
          </cell>
          <cell r="D113">
            <v>2000</v>
          </cell>
          <cell r="E113" t="str">
            <v>2GB</v>
          </cell>
          <cell r="F113" t="str">
            <v>N1</v>
          </cell>
          <cell r="G113" t="str">
            <v>G1</v>
          </cell>
          <cell r="H113" t="str">
            <v>MG</v>
          </cell>
          <cell r="I113" t="str">
            <v>Oi Total Fixo + Pós 500 + Banda Larga</v>
          </cell>
          <cell r="J113" t="str">
            <v>Oi Total Fixo + Pós 500 + Banda LargaAC</v>
          </cell>
          <cell r="K113" t="str">
            <v>Oi Total Fixo + Pós 500 + Banda LargaACN1128.9</v>
          </cell>
          <cell r="L113" t="str">
            <v>Oi Total Conectado 500MG</v>
          </cell>
          <cell r="M113">
            <v>228.9</v>
          </cell>
          <cell r="N113">
            <v>128.9</v>
          </cell>
          <cell r="O113">
            <v>0</v>
          </cell>
          <cell r="P113">
            <v>119.13000000000001</v>
          </cell>
          <cell r="Q113">
            <v>15</v>
          </cell>
          <cell r="R113">
            <v>104.13000000000001</v>
          </cell>
          <cell r="S113">
            <v>9.77</v>
          </cell>
          <cell r="T113">
            <v>3.61</v>
          </cell>
          <cell r="U113">
            <v>6.16</v>
          </cell>
          <cell r="V113">
            <v>50.1</v>
          </cell>
          <cell r="W113">
            <v>49.9</v>
          </cell>
          <cell r="X113">
            <v>100</v>
          </cell>
          <cell r="Y113">
            <v>14</v>
          </cell>
          <cell r="Z113">
            <v>3.61</v>
          </cell>
          <cell r="AA113" t="b">
            <v>1</v>
          </cell>
          <cell r="AB113" t="b">
            <v>1</v>
          </cell>
        </row>
        <row r="114">
          <cell r="A114" t="str">
            <v>Oi Total Fixo + Pós 500 + Banda LargaN13GBMG</v>
          </cell>
          <cell r="B114" t="str">
            <v>REAJUSTE - 25/07</v>
          </cell>
          <cell r="C114" t="str">
            <v>Oi Total Conectado 500</v>
          </cell>
          <cell r="D114">
            <v>3000</v>
          </cell>
          <cell r="E114" t="str">
            <v>3GB</v>
          </cell>
          <cell r="F114" t="str">
            <v>N1</v>
          </cell>
          <cell r="G114" t="str">
            <v>G1</v>
          </cell>
          <cell r="H114" t="str">
            <v>MG</v>
          </cell>
          <cell r="I114" t="str">
            <v>Oi Total Fixo + Pós 500 + Banda Larga</v>
          </cell>
          <cell r="J114" t="str">
            <v>Oi Total Fixo + Pós 500 + Banda LargaAC</v>
          </cell>
          <cell r="K114" t="str">
            <v>Oi Total Fixo + Pós 500 + Banda LargaACN1139.9</v>
          </cell>
          <cell r="L114" t="str">
            <v>Oi Total Conectado 500MG</v>
          </cell>
          <cell r="M114">
            <v>239.9</v>
          </cell>
          <cell r="N114">
            <v>139.9</v>
          </cell>
          <cell r="O114">
            <v>0</v>
          </cell>
          <cell r="P114">
            <v>127.55000000000001</v>
          </cell>
          <cell r="Q114">
            <v>15</v>
          </cell>
          <cell r="R114">
            <v>112.55000000000001</v>
          </cell>
          <cell r="S114">
            <v>12.35</v>
          </cell>
          <cell r="T114">
            <v>3.61</v>
          </cell>
          <cell r="U114">
            <v>8.74</v>
          </cell>
          <cell r="V114">
            <v>50.1</v>
          </cell>
          <cell r="W114">
            <v>49.9</v>
          </cell>
          <cell r="X114">
            <v>100</v>
          </cell>
          <cell r="Y114">
            <v>14</v>
          </cell>
          <cell r="Z114">
            <v>3.61</v>
          </cell>
          <cell r="AA114" t="b">
            <v>1</v>
          </cell>
          <cell r="AB114" t="b">
            <v>1</v>
          </cell>
        </row>
        <row r="115">
          <cell r="A115" t="str">
            <v>Oi Total Fixo + Pós 500 + Banda LargaN15GBMG</v>
          </cell>
          <cell r="B115" t="str">
            <v>REAJUSTE - 25/07</v>
          </cell>
          <cell r="C115" t="str">
            <v>Oi Total Conectado 500</v>
          </cell>
          <cell r="D115">
            <v>5000</v>
          </cell>
          <cell r="E115" t="str">
            <v>5GB</v>
          </cell>
          <cell r="F115" t="str">
            <v>N1</v>
          </cell>
          <cell r="G115" t="str">
            <v>G1</v>
          </cell>
          <cell r="H115" t="str">
            <v>MG</v>
          </cell>
          <cell r="I115" t="str">
            <v>Oi Total Fixo + Pós 500 + Banda Larga</v>
          </cell>
          <cell r="J115" t="str">
            <v>Oi Total Fixo + Pós 500 + Banda LargaAC</v>
          </cell>
          <cell r="K115" t="str">
            <v>Oi Total Fixo + Pós 500 + Banda LargaACN1156.9</v>
          </cell>
          <cell r="L115" t="str">
            <v>Oi Total Conectado 500MG</v>
          </cell>
          <cell r="M115">
            <v>256.89999999999998</v>
          </cell>
          <cell r="N115">
            <v>156.89999999999998</v>
          </cell>
          <cell r="O115">
            <v>0</v>
          </cell>
          <cell r="P115">
            <v>141.97999999999999</v>
          </cell>
          <cell r="Q115">
            <v>15</v>
          </cell>
          <cell r="R115">
            <v>126.97999999999999</v>
          </cell>
          <cell r="S115">
            <v>14.92</v>
          </cell>
          <cell r="T115">
            <v>5.24</v>
          </cell>
          <cell r="U115">
            <v>9.68</v>
          </cell>
          <cell r="V115">
            <v>50.1</v>
          </cell>
          <cell r="W115">
            <v>49.9</v>
          </cell>
          <cell r="X115">
            <v>100</v>
          </cell>
          <cell r="Y115">
            <v>20.350000000000001</v>
          </cell>
          <cell r="Z115">
            <v>5.24</v>
          </cell>
          <cell r="AA115" t="b">
            <v>1</v>
          </cell>
          <cell r="AB115" t="b">
            <v>1</v>
          </cell>
        </row>
        <row r="116">
          <cell r="A116" t="str">
            <v>Oi Total Fixo + Pós 500 + Banda LargaN110GBMG</v>
          </cell>
          <cell r="B116" t="str">
            <v>REAJUSTE - 25/07</v>
          </cell>
          <cell r="C116" t="str">
            <v>Oi Total Conectado 500</v>
          </cell>
          <cell r="D116">
            <v>10000</v>
          </cell>
          <cell r="E116" t="str">
            <v>10GB</v>
          </cell>
          <cell r="F116" t="str">
            <v>N1</v>
          </cell>
          <cell r="G116" t="str">
            <v>G1</v>
          </cell>
          <cell r="H116" t="str">
            <v>MG</v>
          </cell>
          <cell r="I116" t="str">
            <v>Oi Total Fixo + Pós 500 + Banda Larga</v>
          </cell>
          <cell r="J116" t="str">
            <v>Oi Total Fixo + Pós 500 + Banda LargaAC</v>
          </cell>
          <cell r="K116" t="str">
            <v>Oi Total Fixo + Pós 500 + Banda LargaACN1188.9</v>
          </cell>
          <cell r="L116" t="str">
            <v>Oi Total Conectado 500MG</v>
          </cell>
          <cell r="M116">
            <v>288.89999999999998</v>
          </cell>
          <cell r="N116">
            <v>188.89999999999998</v>
          </cell>
          <cell r="O116">
            <v>0</v>
          </cell>
          <cell r="P116">
            <v>153.36999999999998</v>
          </cell>
          <cell r="Q116">
            <v>15</v>
          </cell>
          <cell r="R116">
            <v>138.36999999999998</v>
          </cell>
          <cell r="S116">
            <v>35.53</v>
          </cell>
          <cell r="T116">
            <v>5.24</v>
          </cell>
          <cell r="U116">
            <v>30.29</v>
          </cell>
          <cell r="V116">
            <v>50.1</v>
          </cell>
          <cell r="W116">
            <v>49.9</v>
          </cell>
          <cell r="X116">
            <v>100</v>
          </cell>
          <cell r="Y116">
            <v>20.350000000000001</v>
          </cell>
          <cell r="Z116">
            <v>5.24</v>
          </cell>
          <cell r="AA116" t="b">
            <v>1</v>
          </cell>
          <cell r="AB116" t="b">
            <v>1</v>
          </cell>
        </row>
        <row r="117">
          <cell r="A117" t="str">
            <v>Oi Total Fixo + Pós 800 + Banda LargaN1MG</v>
          </cell>
          <cell r="B117" t="str">
            <v>REAJUSTE - 25/07</v>
          </cell>
          <cell r="C117" t="str">
            <v>Oi Total Conectado 800</v>
          </cell>
          <cell r="D117"/>
          <cell r="E117" t="str">
            <v>s/dados</v>
          </cell>
          <cell r="F117" t="str">
            <v>N1</v>
          </cell>
          <cell r="G117" t="str">
            <v>G1</v>
          </cell>
          <cell r="H117" t="str">
            <v>MG</v>
          </cell>
          <cell r="I117" t="str">
            <v>Oi Total Fixo + Pós 800 + Banda Larga</v>
          </cell>
          <cell r="J117" t="str">
            <v>Oi Total Fixo + Pós 800 + Banda LargaAC</v>
          </cell>
          <cell r="K117" t="str">
            <v>Oi Total Fixo + Pós 800 + Banda LargaACN1145.9</v>
          </cell>
          <cell r="L117" t="str">
            <v>Oi Total Conectado 800MG</v>
          </cell>
          <cell r="M117">
            <v>245.9</v>
          </cell>
          <cell r="N117">
            <v>145.9</v>
          </cell>
          <cell r="O117">
            <v>0</v>
          </cell>
          <cell r="P117">
            <v>145.9</v>
          </cell>
          <cell r="Q117">
            <v>15</v>
          </cell>
          <cell r="R117">
            <v>130.9</v>
          </cell>
          <cell r="S117">
            <v>0</v>
          </cell>
          <cell r="T117">
            <v>0</v>
          </cell>
          <cell r="U117">
            <v>0</v>
          </cell>
          <cell r="V117">
            <v>50.1</v>
          </cell>
          <cell r="W117">
            <v>49.9</v>
          </cell>
          <cell r="X117">
            <v>100</v>
          </cell>
          <cell r="Y117">
            <v>0</v>
          </cell>
          <cell r="Z117">
            <v>0</v>
          </cell>
          <cell r="AA117" t="b">
            <v>1</v>
          </cell>
          <cell r="AB117" t="b">
            <v>1</v>
          </cell>
        </row>
        <row r="118">
          <cell r="A118" t="str">
            <v>Oi Total Fixo + Pós 800 + Banda LargaN11GBMG</v>
          </cell>
          <cell r="B118" t="str">
            <v>REAJUSTE - 25/07</v>
          </cell>
          <cell r="C118" t="str">
            <v>Oi Total Conectado 800</v>
          </cell>
          <cell r="D118">
            <v>1000</v>
          </cell>
          <cell r="E118" t="str">
            <v>1GB</v>
          </cell>
          <cell r="F118" t="str">
            <v>N1</v>
          </cell>
          <cell r="G118" t="str">
            <v>G1</v>
          </cell>
          <cell r="H118" t="str">
            <v>MG</v>
          </cell>
          <cell r="I118" t="str">
            <v>Oi Total Fixo + Pós 800 + Banda Larga</v>
          </cell>
          <cell r="J118" t="str">
            <v>Oi Total Fixo + Pós 800 + Banda LargaAC</v>
          </cell>
          <cell r="K118" t="str">
            <v>Oi Total Fixo + Pós 800 + Banda LargaACN1145.9</v>
          </cell>
          <cell r="L118" t="str">
            <v>Oi Total Conectado 800MG</v>
          </cell>
          <cell r="M118">
            <v>245.9</v>
          </cell>
          <cell r="N118">
            <v>145.9</v>
          </cell>
          <cell r="O118">
            <v>0</v>
          </cell>
          <cell r="P118">
            <v>137.16</v>
          </cell>
          <cell r="Q118">
            <v>15</v>
          </cell>
          <cell r="R118">
            <v>122.16</v>
          </cell>
          <cell r="S118">
            <v>8.74</v>
          </cell>
          <cell r="T118">
            <v>3.61</v>
          </cell>
          <cell r="U118">
            <v>5.13</v>
          </cell>
          <cell r="V118">
            <v>50.1</v>
          </cell>
          <cell r="W118">
            <v>49.9</v>
          </cell>
          <cell r="X118">
            <v>100</v>
          </cell>
          <cell r="Y118">
            <v>14</v>
          </cell>
          <cell r="Z118">
            <v>3.61</v>
          </cell>
          <cell r="AA118" t="b">
            <v>1</v>
          </cell>
          <cell r="AB118" t="b">
            <v>1</v>
          </cell>
        </row>
        <row r="119">
          <cell r="A119" t="str">
            <v>Oi Total Fixo + Pós 800 + Banda LargaN12GBMG</v>
          </cell>
          <cell r="B119" t="str">
            <v>REAJUSTE - 25/07</v>
          </cell>
          <cell r="C119" t="str">
            <v>Oi Total Conectado 800</v>
          </cell>
          <cell r="D119">
            <v>2000</v>
          </cell>
          <cell r="E119" t="str">
            <v>2GB</v>
          </cell>
          <cell r="F119" t="str">
            <v>N1</v>
          </cell>
          <cell r="G119" t="str">
            <v>G1</v>
          </cell>
          <cell r="H119" t="str">
            <v>MG</v>
          </cell>
          <cell r="I119" t="str">
            <v>Oi Total Fixo + Pós 800 + Banda Larga</v>
          </cell>
          <cell r="J119" t="str">
            <v>Oi Total Fixo + Pós 800 + Banda LargaAC</v>
          </cell>
          <cell r="K119" t="str">
            <v>Oi Total Fixo + Pós 800 + Banda LargaACN1156.9</v>
          </cell>
          <cell r="L119" t="str">
            <v>Oi Total Conectado 800MG</v>
          </cell>
          <cell r="M119">
            <v>256.89999999999998</v>
          </cell>
          <cell r="N119">
            <v>156.89999999999998</v>
          </cell>
          <cell r="O119">
            <v>0</v>
          </cell>
          <cell r="P119">
            <v>147.12999999999997</v>
          </cell>
          <cell r="Q119">
            <v>15</v>
          </cell>
          <cell r="R119">
            <v>132.12999999999997</v>
          </cell>
          <cell r="S119">
            <v>9.77</v>
          </cell>
          <cell r="T119">
            <v>3.61</v>
          </cell>
          <cell r="U119">
            <v>6.16</v>
          </cell>
          <cell r="V119">
            <v>50.1</v>
          </cell>
          <cell r="W119">
            <v>49.9</v>
          </cell>
          <cell r="X119">
            <v>100</v>
          </cell>
          <cell r="Y119">
            <v>14</v>
          </cell>
          <cell r="Z119">
            <v>3.61</v>
          </cell>
          <cell r="AA119" t="b">
            <v>1</v>
          </cell>
          <cell r="AB119" t="b">
            <v>1</v>
          </cell>
        </row>
        <row r="120">
          <cell r="A120" t="str">
            <v>Oi Total Fixo + Pós 800 + Banda LargaN13GBMG</v>
          </cell>
          <cell r="B120" t="str">
            <v>REAJUSTE - 25/07</v>
          </cell>
          <cell r="C120" t="str">
            <v>Oi Total Conectado 800</v>
          </cell>
          <cell r="D120">
            <v>3000</v>
          </cell>
          <cell r="E120" t="str">
            <v>3GB</v>
          </cell>
          <cell r="F120" t="str">
            <v>N1</v>
          </cell>
          <cell r="G120" t="str">
            <v>G1</v>
          </cell>
          <cell r="H120" t="str">
            <v>MG</v>
          </cell>
          <cell r="I120" t="str">
            <v>Oi Total Fixo + Pós 800 + Banda Larga</v>
          </cell>
          <cell r="J120" t="str">
            <v>Oi Total Fixo + Pós 800 + Banda LargaAC</v>
          </cell>
          <cell r="K120" t="str">
            <v>Oi Total Fixo + Pós 800 + Banda LargaACN1166.9</v>
          </cell>
          <cell r="L120" t="str">
            <v>Oi Total Conectado 800MG</v>
          </cell>
          <cell r="M120">
            <v>266.89999999999998</v>
          </cell>
          <cell r="N120">
            <v>166.89999999999998</v>
          </cell>
          <cell r="O120">
            <v>0</v>
          </cell>
          <cell r="P120">
            <v>154.54999999999998</v>
          </cell>
          <cell r="Q120">
            <v>15</v>
          </cell>
          <cell r="R120">
            <v>139.54999999999998</v>
          </cell>
          <cell r="S120">
            <v>12.35</v>
          </cell>
          <cell r="T120">
            <v>3.61</v>
          </cell>
          <cell r="U120">
            <v>8.74</v>
          </cell>
          <cell r="V120">
            <v>50.1</v>
          </cell>
          <cell r="W120">
            <v>49.9</v>
          </cell>
          <cell r="X120">
            <v>100</v>
          </cell>
          <cell r="Y120">
            <v>14</v>
          </cell>
          <cell r="Z120">
            <v>3.61</v>
          </cell>
          <cell r="AA120" t="b">
            <v>1</v>
          </cell>
          <cell r="AB120" t="b">
            <v>1</v>
          </cell>
        </row>
        <row r="121">
          <cell r="A121" t="str">
            <v>Oi Total Fixo + Pós 800 + Banda LargaN15GBMG</v>
          </cell>
          <cell r="B121" t="str">
            <v>REAJUSTE - 25/07</v>
          </cell>
          <cell r="C121" t="str">
            <v>Oi Total Conectado 800</v>
          </cell>
          <cell r="D121">
            <v>5000</v>
          </cell>
          <cell r="E121" t="str">
            <v>5GB</v>
          </cell>
          <cell r="F121" t="str">
            <v>N1</v>
          </cell>
          <cell r="G121" t="str">
            <v>G1</v>
          </cell>
          <cell r="H121" t="str">
            <v>MG</v>
          </cell>
          <cell r="I121" t="str">
            <v>Oi Total Fixo + Pós 800 + Banda Larga</v>
          </cell>
          <cell r="J121" t="str">
            <v>Oi Total Fixo + Pós 800 + Banda LargaAC</v>
          </cell>
          <cell r="K121" t="str">
            <v>Oi Total Fixo + Pós 800 + Banda LargaACN1183.9</v>
          </cell>
          <cell r="L121" t="str">
            <v>Oi Total Conectado 800MG</v>
          </cell>
          <cell r="M121">
            <v>283.89999999999998</v>
          </cell>
          <cell r="N121">
            <v>183.89999999999998</v>
          </cell>
          <cell r="O121">
            <v>0</v>
          </cell>
          <cell r="P121">
            <v>168.98</v>
          </cell>
          <cell r="Q121">
            <v>15</v>
          </cell>
          <cell r="R121">
            <v>153.97999999999999</v>
          </cell>
          <cell r="S121">
            <v>14.92</v>
          </cell>
          <cell r="T121">
            <v>5.24</v>
          </cell>
          <cell r="U121">
            <v>9.68</v>
          </cell>
          <cell r="V121">
            <v>50.1</v>
          </cell>
          <cell r="W121">
            <v>49.9</v>
          </cell>
          <cell r="X121">
            <v>100</v>
          </cell>
          <cell r="Y121">
            <v>20.350000000000001</v>
          </cell>
          <cell r="Z121">
            <v>5.24</v>
          </cell>
          <cell r="AA121" t="b">
            <v>1</v>
          </cell>
          <cell r="AB121" t="b">
            <v>1</v>
          </cell>
        </row>
        <row r="122">
          <cell r="A122" t="str">
            <v>Oi Total Fixo + Pós 800 + Banda LargaN110GBMG</v>
          </cell>
          <cell r="B122" t="str">
            <v>REAJUSTE - 25/07</v>
          </cell>
          <cell r="C122" t="str">
            <v>Oi Total Conectado 800</v>
          </cell>
          <cell r="D122">
            <v>10000</v>
          </cell>
          <cell r="E122" t="str">
            <v>10GB</v>
          </cell>
          <cell r="F122" t="str">
            <v>N1</v>
          </cell>
          <cell r="G122" t="str">
            <v>G1</v>
          </cell>
          <cell r="H122" t="str">
            <v>MG</v>
          </cell>
          <cell r="I122" t="str">
            <v>Oi Total Fixo + Pós 800 + Banda Larga</v>
          </cell>
          <cell r="J122" t="str">
            <v>Oi Total Fixo + Pós 800 + Banda LargaAC</v>
          </cell>
          <cell r="K122" t="str">
            <v>Oi Total Fixo + Pós 800 + Banda LargaACN1215.9</v>
          </cell>
          <cell r="L122" t="str">
            <v>Oi Total Conectado 800MG</v>
          </cell>
          <cell r="M122">
            <v>315.89999999999998</v>
          </cell>
          <cell r="N122">
            <v>215.89999999999998</v>
          </cell>
          <cell r="O122">
            <v>0</v>
          </cell>
          <cell r="P122">
            <v>180.36999999999998</v>
          </cell>
          <cell r="Q122">
            <v>15</v>
          </cell>
          <cell r="R122">
            <v>165.36999999999998</v>
          </cell>
          <cell r="S122">
            <v>35.53</v>
          </cell>
          <cell r="T122">
            <v>5.24</v>
          </cell>
          <cell r="U122">
            <v>30.29</v>
          </cell>
          <cell r="V122">
            <v>50.1</v>
          </cell>
          <cell r="W122">
            <v>49.9</v>
          </cell>
          <cell r="X122">
            <v>100</v>
          </cell>
          <cell r="Y122">
            <v>20.350000000000001</v>
          </cell>
          <cell r="Z122">
            <v>5.24</v>
          </cell>
          <cell r="AA122" t="b">
            <v>1</v>
          </cell>
          <cell r="AB122" t="b">
            <v>1</v>
          </cell>
        </row>
        <row r="123">
          <cell r="A123" t="str">
            <v>Oi Total Fixo + Pós Conectado 1.000 + Banda LargaN1MG</v>
          </cell>
          <cell r="B123" t="str">
            <v>REAJUSTE - 25/07</v>
          </cell>
          <cell r="C123" t="str">
            <v>Oi Total Conectado Avançado</v>
          </cell>
          <cell r="D123"/>
          <cell r="E123" t="str">
            <v>s/dados</v>
          </cell>
          <cell r="F123" t="str">
            <v>N1</v>
          </cell>
          <cell r="G123" t="str">
            <v>G1</v>
          </cell>
          <cell r="H123" t="str">
            <v>MG</v>
          </cell>
          <cell r="I123" t="str">
            <v>Oi Total Fixo + Pós Conectado 1.000 + Banda Larga</v>
          </cell>
          <cell r="J123" t="str">
            <v>Oi Total Fixo + Pós Conectado 1.000 + Banda LargaAC</v>
          </cell>
          <cell r="K123" t="str">
            <v>Oi Total Fixo + Pós Conectado 1.000 + Banda LargaACN179.9</v>
          </cell>
          <cell r="L123" t="str">
            <v>Oi Total Conectado AvançadoMG</v>
          </cell>
          <cell r="M123">
            <v>179.9</v>
          </cell>
          <cell r="N123">
            <v>79.900000000000006</v>
          </cell>
          <cell r="O123">
            <v>0</v>
          </cell>
          <cell r="P123">
            <v>79.900000000000006</v>
          </cell>
          <cell r="Q123">
            <v>15</v>
          </cell>
          <cell r="R123">
            <v>64.900000000000006</v>
          </cell>
          <cell r="S123">
            <v>0</v>
          </cell>
          <cell r="T123">
            <v>0</v>
          </cell>
          <cell r="U123">
            <v>0</v>
          </cell>
          <cell r="V123">
            <v>50.1</v>
          </cell>
          <cell r="W123">
            <v>49.9</v>
          </cell>
          <cell r="X123">
            <v>100</v>
          </cell>
          <cell r="Y123">
            <v>0</v>
          </cell>
          <cell r="Z123">
            <v>0</v>
          </cell>
          <cell r="AA123" t="b">
            <v>1</v>
          </cell>
          <cell r="AB123" t="b">
            <v>1</v>
          </cell>
        </row>
        <row r="124">
          <cell r="A124" t="str">
            <v>Oi Total Fixo + Pós Conectado 1.000 + Banda LargaN21GBMG</v>
          </cell>
          <cell r="B124" t="str">
            <v>REAJUSTE - 25/07</v>
          </cell>
          <cell r="C124" t="str">
            <v>Oi Total Conectado Avançado</v>
          </cell>
          <cell r="D124">
            <v>1000</v>
          </cell>
          <cell r="E124" t="str">
            <v>1GB</v>
          </cell>
          <cell r="F124" t="str">
            <v>N2</v>
          </cell>
          <cell r="G124" t="str">
            <v>G1</v>
          </cell>
          <cell r="H124" t="str">
            <v>MG</v>
          </cell>
          <cell r="I124" t="str">
            <v>Oi Total Fixo + Pós Conectado 1.000 + Banda Larga</v>
          </cell>
          <cell r="J124" t="str">
            <v>Oi Total Fixo + Pós Conectado 1.000 + Banda LargaAC</v>
          </cell>
          <cell r="K124" t="str">
            <v>Oi Total Fixo + Pós Conectado 1.000 + Banda LargaACN268.9</v>
          </cell>
          <cell r="L124" t="str">
            <v>Oi Total Conectado AvançadoMG</v>
          </cell>
          <cell r="M124">
            <v>168.9</v>
          </cell>
          <cell r="N124">
            <v>68.900000000000006</v>
          </cell>
          <cell r="O124">
            <v>0</v>
          </cell>
          <cell r="P124">
            <v>60.160000000000004</v>
          </cell>
          <cell r="Q124">
            <v>15</v>
          </cell>
          <cell r="R124">
            <v>45.160000000000004</v>
          </cell>
          <cell r="S124">
            <v>8.74</v>
          </cell>
          <cell r="T124">
            <v>3.61</v>
          </cell>
          <cell r="U124">
            <v>5.13</v>
          </cell>
          <cell r="V124">
            <v>50.1</v>
          </cell>
          <cell r="W124">
            <v>49.9</v>
          </cell>
          <cell r="X124">
            <v>100</v>
          </cell>
          <cell r="Y124">
            <v>14</v>
          </cell>
          <cell r="Z124">
            <v>3.61</v>
          </cell>
          <cell r="AA124" t="b">
            <v>1</v>
          </cell>
          <cell r="AB124" t="b">
            <v>1</v>
          </cell>
        </row>
        <row r="125">
          <cell r="A125" t="str">
            <v>Oi Total Fixo + Pós Conectado 1.000 + Banda LargaN11GBMG</v>
          </cell>
          <cell r="B125" t="str">
            <v>REAJUSTE - 25/07</v>
          </cell>
          <cell r="C125" t="str">
            <v>Oi Total Conectado Avançado</v>
          </cell>
          <cell r="D125">
            <v>1000</v>
          </cell>
          <cell r="E125" t="str">
            <v>1GB</v>
          </cell>
          <cell r="F125" t="str">
            <v>N1</v>
          </cell>
          <cell r="G125" t="str">
            <v>G1</v>
          </cell>
          <cell r="H125" t="str">
            <v>MG</v>
          </cell>
          <cell r="I125" t="str">
            <v>Oi Total Fixo + Pós Conectado 1.000 + Banda Larga</v>
          </cell>
          <cell r="J125" t="str">
            <v>Oi Total Fixo + Pós Conectado 1.000 + Banda LargaAC</v>
          </cell>
          <cell r="K125" t="str">
            <v>Oi Total Fixo + Pós Conectado 1.000 + Banda LargaACN179.9</v>
          </cell>
          <cell r="L125" t="str">
            <v>Oi Total Conectado AvançadoMG</v>
          </cell>
          <cell r="M125">
            <v>179.9</v>
          </cell>
          <cell r="N125">
            <v>79.900000000000006</v>
          </cell>
          <cell r="O125">
            <v>0</v>
          </cell>
          <cell r="P125">
            <v>71.160000000000011</v>
          </cell>
          <cell r="Q125">
            <v>15</v>
          </cell>
          <cell r="R125">
            <v>56.160000000000011</v>
          </cell>
          <cell r="S125">
            <v>8.74</v>
          </cell>
          <cell r="T125">
            <v>3.61</v>
          </cell>
          <cell r="U125">
            <v>5.13</v>
          </cell>
          <cell r="V125">
            <v>50.1</v>
          </cell>
          <cell r="W125">
            <v>49.9</v>
          </cell>
          <cell r="X125">
            <v>100</v>
          </cell>
          <cell r="Y125">
            <v>14</v>
          </cell>
          <cell r="Z125">
            <v>3.61</v>
          </cell>
          <cell r="AA125" t="b">
            <v>1</v>
          </cell>
          <cell r="AB125" t="b">
            <v>1</v>
          </cell>
        </row>
        <row r="126">
          <cell r="A126" t="str">
            <v>Oi Total Fixo + Pós Conectado 1.000 + Banda LargaN22GBMG</v>
          </cell>
          <cell r="B126" t="str">
            <v>REAJUSTE - 25/07</v>
          </cell>
          <cell r="C126" t="str">
            <v>Oi Total Conectado Avançado</v>
          </cell>
          <cell r="D126">
            <v>2000</v>
          </cell>
          <cell r="E126" t="str">
            <v>2GB</v>
          </cell>
          <cell r="F126" t="str">
            <v>N2</v>
          </cell>
          <cell r="G126" t="str">
            <v>G1</v>
          </cell>
          <cell r="H126" t="str">
            <v>MG</v>
          </cell>
          <cell r="I126" t="str">
            <v>Oi Total Fixo + Pós Conectado 1.000 + Banda Larga</v>
          </cell>
          <cell r="J126" t="str">
            <v>Oi Total Fixo + Pós Conectado 1.000 + Banda LargaAC</v>
          </cell>
          <cell r="K126" t="str">
            <v>Oi Total Fixo + Pós Conectado 1.000 + Banda LargaACN279.9</v>
          </cell>
          <cell r="L126" t="str">
            <v>Oi Total Conectado AvançadoMG</v>
          </cell>
          <cell r="M126">
            <v>179.9</v>
          </cell>
          <cell r="N126">
            <v>79.900000000000006</v>
          </cell>
          <cell r="O126">
            <v>0</v>
          </cell>
          <cell r="P126">
            <v>70.13000000000001</v>
          </cell>
          <cell r="Q126">
            <v>15</v>
          </cell>
          <cell r="R126">
            <v>55.13000000000001</v>
          </cell>
          <cell r="S126">
            <v>9.77</v>
          </cell>
          <cell r="T126">
            <v>3.61</v>
          </cell>
          <cell r="U126">
            <v>6.16</v>
          </cell>
          <cell r="V126">
            <v>50.1</v>
          </cell>
          <cell r="W126">
            <v>49.9</v>
          </cell>
          <cell r="X126">
            <v>100</v>
          </cell>
          <cell r="Y126">
            <v>14</v>
          </cell>
          <cell r="Z126">
            <v>3.61</v>
          </cell>
          <cell r="AA126" t="b">
            <v>1</v>
          </cell>
          <cell r="AB126" t="b">
            <v>1</v>
          </cell>
        </row>
        <row r="127">
          <cell r="A127" t="str">
            <v>Oi Total Fixo + Pós Conectado 1.000 + Banda LargaN12GBMG</v>
          </cell>
          <cell r="B127" t="str">
            <v>REAJUSTE - 25/07</v>
          </cell>
          <cell r="C127" t="str">
            <v>Oi Total Conectado Avançado</v>
          </cell>
          <cell r="D127">
            <v>2000</v>
          </cell>
          <cell r="E127" t="str">
            <v>2GB</v>
          </cell>
          <cell r="F127" t="str">
            <v>N1</v>
          </cell>
          <cell r="G127" t="str">
            <v>G1</v>
          </cell>
          <cell r="H127" t="str">
            <v>MG</v>
          </cell>
          <cell r="I127" t="str">
            <v>Oi Total Fixo + Pós Conectado 1.000 + Banda Larga</v>
          </cell>
          <cell r="J127" t="str">
            <v>Oi Total Fixo + Pós Conectado 1.000 + Banda LargaAC</v>
          </cell>
          <cell r="K127" t="str">
            <v>Oi Total Fixo + Pós Conectado 1.000 + Banda LargaACN190.9</v>
          </cell>
          <cell r="L127" t="str">
            <v>Oi Total Conectado AvançadoMG</v>
          </cell>
          <cell r="M127">
            <v>190.9</v>
          </cell>
          <cell r="N127">
            <v>90.9</v>
          </cell>
          <cell r="O127">
            <v>0</v>
          </cell>
          <cell r="P127">
            <v>81.13000000000001</v>
          </cell>
          <cell r="Q127">
            <v>15</v>
          </cell>
          <cell r="R127">
            <v>66.13000000000001</v>
          </cell>
          <cell r="S127">
            <v>9.77</v>
          </cell>
          <cell r="T127">
            <v>3.61</v>
          </cell>
          <cell r="U127">
            <v>6.16</v>
          </cell>
          <cell r="V127">
            <v>50.1</v>
          </cell>
          <cell r="W127">
            <v>49.9</v>
          </cell>
          <cell r="X127">
            <v>100</v>
          </cell>
          <cell r="Y127">
            <v>14</v>
          </cell>
          <cell r="Z127">
            <v>3.61</v>
          </cell>
          <cell r="AA127" t="b">
            <v>1</v>
          </cell>
          <cell r="AB127" t="b">
            <v>1</v>
          </cell>
        </row>
        <row r="128">
          <cell r="A128" t="str">
            <v>Oi Total Fixo + Pós Conectado 1.000 + Banda LargaN23GBMG</v>
          </cell>
          <cell r="B128" t="str">
            <v>REAJUSTE - 25/07</v>
          </cell>
          <cell r="C128" t="str">
            <v>Oi Total Conectado Avançado</v>
          </cell>
          <cell r="D128">
            <v>3000</v>
          </cell>
          <cell r="E128" t="str">
            <v>3GB</v>
          </cell>
          <cell r="F128" t="str">
            <v>N2</v>
          </cell>
          <cell r="G128" t="str">
            <v>G1</v>
          </cell>
          <cell r="H128" t="str">
            <v>MG</v>
          </cell>
          <cell r="I128" t="str">
            <v>Oi Total Fixo + Pós Conectado 1.000 + Banda Larga</v>
          </cell>
          <cell r="J128" t="str">
            <v>Oi Total Fixo + Pós Conectado 1.000 + Banda LargaAC</v>
          </cell>
          <cell r="K128" t="str">
            <v>Oi Total Fixo + Pós Conectado 1.000 + Banda LargaACN290.9</v>
          </cell>
          <cell r="L128" t="str">
            <v>Oi Total Conectado AvançadoMG</v>
          </cell>
          <cell r="M128">
            <v>190.9</v>
          </cell>
          <cell r="N128">
            <v>90.9</v>
          </cell>
          <cell r="O128">
            <v>0</v>
          </cell>
          <cell r="P128">
            <v>78.550000000000011</v>
          </cell>
          <cell r="Q128">
            <v>15</v>
          </cell>
          <cell r="R128">
            <v>63.550000000000011</v>
          </cell>
          <cell r="S128">
            <v>12.35</v>
          </cell>
          <cell r="T128">
            <v>3.61</v>
          </cell>
          <cell r="U128">
            <v>8.74</v>
          </cell>
          <cell r="V128">
            <v>50.1</v>
          </cell>
          <cell r="W128">
            <v>49.9</v>
          </cell>
          <cell r="X128">
            <v>100</v>
          </cell>
          <cell r="Y128">
            <v>14</v>
          </cell>
          <cell r="Z128">
            <v>3.61</v>
          </cell>
          <cell r="AA128" t="b">
            <v>1</v>
          </cell>
          <cell r="AB128" t="b">
            <v>1</v>
          </cell>
        </row>
        <row r="129">
          <cell r="A129" t="str">
            <v>Oi Total Fixo + Pós Conectado 1.000 + Banda LargaN13GBMG</v>
          </cell>
          <cell r="B129" t="str">
            <v>REAJUSTE - 25/07</v>
          </cell>
          <cell r="C129" t="str">
            <v>Oi Total Conectado Avançado</v>
          </cell>
          <cell r="D129">
            <v>3000</v>
          </cell>
          <cell r="E129" t="str">
            <v>3GB</v>
          </cell>
          <cell r="F129" t="str">
            <v>N1</v>
          </cell>
          <cell r="G129" t="str">
            <v>G1</v>
          </cell>
          <cell r="H129" t="str">
            <v>MG</v>
          </cell>
          <cell r="I129" t="str">
            <v>Oi Total Fixo + Pós Conectado 1.000 + Banda Larga</v>
          </cell>
          <cell r="J129" t="str">
            <v>Oi Total Fixo + Pós Conectado 1.000 + Banda LargaAC</v>
          </cell>
          <cell r="K129" t="str">
            <v>Oi Total Fixo + Pós Conectado 1.000 + Banda LargaACN1101.9</v>
          </cell>
          <cell r="L129" t="str">
            <v>Oi Total Conectado AvançadoMG</v>
          </cell>
          <cell r="M129">
            <v>201.9</v>
          </cell>
          <cell r="N129">
            <v>101.9</v>
          </cell>
          <cell r="O129">
            <v>0</v>
          </cell>
          <cell r="P129">
            <v>89.550000000000011</v>
          </cell>
          <cell r="Q129">
            <v>15</v>
          </cell>
          <cell r="R129">
            <v>74.550000000000011</v>
          </cell>
          <cell r="S129">
            <v>12.35</v>
          </cell>
          <cell r="T129">
            <v>3.61</v>
          </cell>
          <cell r="U129">
            <v>8.74</v>
          </cell>
          <cell r="V129">
            <v>50.1</v>
          </cell>
          <cell r="W129">
            <v>49.9</v>
          </cell>
          <cell r="X129">
            <v>100</v>
          </cell>
          <cell r="Y129">
            <v>14</v>
          </cell>
          <cell r="Z129">
            <v>3.61</v>
          </cell>
          <cell r="AA129" t="b">
            <v>1</v>
          </cell>
          <cell r="AB129" t="b">
            <v>1</v>
          </cell>
        </row>
        <row r="130">
          <cell r="A130" t="str">
            <v>Oi Total Fixo + Pós Conectado 1.000 + Banda LargaN25GBMG</v>
          </cell>
          <cell r="B130" t="str">
            <v>REAJUSTE - 25/07</v>
          </cell>
          <cell r="C130" t="str">
            <v>Oi Total Conectado Avançado</v>
          </cell>
          <cell r="D130">
            <v>5000</v>
          </cell>
          <cell r="E130" t="str">
            <v>5GB</v>
          </cell>
          <cell r="F130" t="str">
            <v>N2</v>
          </cell>
          <cell r="G130" t="str">
            <v>G1</v>
          </cell>
          <cell r="H130" t="str">
            <v>MG</v>
          </cell>
          <cell r="I130" t="str">
            <v>Oi Total Fixo + Pós Conectado 1.000 + Banda Larga</v>
          </cell>
          <cell r="J130" t="str">
            <v>Oi Total Fixo + Pós Conectado 1.000 + Banda LargaAC</v>
          </cell>
          <cell r="K130" t="str">
            <v>Oi Total Fixo + Pós Conectado 1.000 + Banda LargaACN2106.9</v>
          </cell>
          <cell r="L130" t="str">
            <v>Oi Total Conectado AvançadoMG</v>
          </cell>
          <cell r="M130">
            <v>206.9</v>
          </cell>
          <cell r="N130">
            <v>106.9</v>
          </cell>
          <cell r="O130">
            <v>0</v>
          </cell>
          <cell r="P130">
            <v>91.98</v>
          </cell>
          <cell r="Q130">
            <v>15</v>
          </cell>
          <cell r="R130">
            <v>76.98</v>
          </cell>
          <cell r="S130">
            <v>14.92</v>
          </cell>
          <cell r="T130">
            <v>5.24</v>
          </cell>
          <cell r="U130">
            <v>9.68</v>
          </cell>
          <cell r="V130">
            <v>50.1</v>
          </cell>
          <cell r="W130">
            <v>49.9</v>
          </cell>
          <cell r="X130">
            <v>100</v>
          </cell>
          <cell r="Y130">
            <v>20.350000000000001</v>
          </cell>
          <cell r="Z130">
            <v>5.24</v>
          </cell>
          <cell r="AA130" t="b">
            <v>1</v>
          </cell>
          <cell r="AB130" t="b">
            <v>1</v>
          </cell>
        </row>
        <row r="131">
          <cell r="A131" t="str">
            <v>Oi Total Fixo + Pós Conectado 1.000 + Banda LargaN15GBMG</v>
          </cell>
          <cell r="B131" t="str">
            <v>REAJUSTE - 25/07</v>
          </cell>
          <cell r="C131" t="str">
            <v>Oi Total Conectado Avançado</v>
          </cell>
          <cell r="D131">
            <v>5000</v>
          </cell>
          <cell r="E131" t="str">
            <v>5GB</v>
          </cell>
          <cell r="F131" t="str">
            <v>N1</v>
          </cell>
          <cell r="G131" t="str">
            <v>G1</v>
          </cell>
          <cell r="H131" t="str">
            <v>MG</v>
          </cell>
          <cell r="I131" t="str">
            <v>Oi Total Fixo + Pós Conectado 1.000 + Banda Larga</v>
          </cell>
          <cell r="J131" t="str">
            <v>Oi Total Fixo + Pós Conectado 1.000 + Banda LargaAC</v>
          </cell>
          <cell r="K131" t="str">
            <v>Oi Total Fixo + Pós Conectado 1.000 + Banda LargaACN1117.9</v>
          </cell>
          <cell r="L131" t="str">
            <v>Oi Total Conectado AvançadoMG</v>
          </cell>
          <cell r="M131">
            <v>217.9</v>
          </cell>
          <cell r="N131">
            <v>117.9</v>
          </cell>
          <cell r="O131">
            <v>0</v>
          </cell>
          <cell r="P131">
            <v>102.98</v>
          </cell>
          <cell r="Q131">
            <v>15</v>
          </cell>
          <cell r="R131">
            <v>87.98</v>
          </cell>
          <cell r="S131">
            <v>14.92</v>
          </cell>
          <cell r="T131">
            <v>5.24</v>
          </cell>
          <cell r="U131">
            <v>9.68</v>
          </cell>
          <cell r="V131">
            <v>50.1</v>
          </cell>
          <cell r="W131">
            <v>49.9</v>
          </cell>
          <cell r="X131">
            <v>100</v>
          </cell>
          <cell r="Y131">
            <v>20.350000000000001</v>
          </cell>
          <cell r="Z131">
            <v>5.24</v>
          </cell>
          <cell r="AA131" t="b">
            <v>1</v>
          </cell>
          <cell r="AB131" t="b">
            <v>1</v>
          </cell>
        </row>
        <row r="132">
          <cell r="A132" t="str">
            <v>Oi Total Fixo + Pós Conectado 1.000 + Banda LargaN210GBMG</v>
          </cell>
          <cell r="B132" t="str">
            <v>REAJUSTE - 25/07</v>
          </cell>
          <cell r="C132" t="str">
            <v>Oi Total Conectado Avançado</v>
          </cell>
          <cell r="D132">
            <v>10000</v>
          </cell>
          <cell r="E132" t="str">
            <v>10GB</v>
          </cell>
          <cell r="F132" t="str">
            <v>N2</v>
          </cell>
          <cell r="G132" t="str">
            <v>G1</v>
          </cell>
          <cell r="H132" t="str">
            <v>MG</v>
          </cell>
          <cell r="I132" t="str">
            <v>Oi Total Fixo + Pós Conectado 1.000 + Banda Larga</v>
          </cell>
          <cell r="J132" t="str">
            <v>Oi Total Fixo + Pós Conectado 1.000 + Banda LargaAC</v>
          </cell>
          <cell r="K132" t="str">
            <v>Oi Total Fixo + Pós Conectado 1.000 + Banda LargaACN2139.9</v>
          </cell>
          <cell r="L132" t="str">
            <v>Oi Total Conectado AvançadoMG</v>
          </cell>
          <cell r="M132">
            <v>239.9</v>
          </cell>
          <cell r="N132">
            <v>139.9</v>
          </cell>
          <cell r="O132">
            <v>0</v>
          </cell>
          <cell r="P132">
            <v>104.37</v>
          </cell>
          <cell r="Q132">
            <v>15</v>
          </cell>
          <cell r="R132">
            <v>89.37</v>
          </cell>
          <cell r="S132">
            <v>35.53</v>
          </cell>
          <cell r="T132">
            <v>5.24</v>
          </cell>
          <cell r="U132">
            <v>30.29</v>
          </cell>
          <cell r="V132">
            <v>50.1</v>
          </cell>
          <cell r="W132">
            <v>49.9</v>
          </cell>
          <cell r="X132">
            <v>100</v>
          </cell>
          <cell r="Y132">
            <v>20.350000000000001</v>
          </cell>
          <cell r="Z132">
            <v>5.24</v>
          </cell>
          <cell r="AA132" t="b">
            <v>1</v>
          </cell>
          <cell r="AB132" t="b">
            <v>1</v>
          </cell>
        </row>
        <row r="133">
          <cell r="A133" t="str">
            <v>Oi Total Fixo + Pós Conectado 1.000 + Banda LargaN110GBMG</v>
          </cell>
          <cell r="B133" t="str">
            <v>REAJUSTE - 25/07</v>
          </cell>
          <cell r="C133" t="str">
            <v>Oi Total Conectado Avançado</v>
          </cell>
          <cell r="D133">
            <v>10000</v>
          </cell>
          <cell r="E133" t="str">
            <v>10GB</v>
          </cell>
          <cell r="F133" t="str">
            <v>N1</v>
          </cell>
          <cell r="G133" t="str">
            <v>G1</v>
          </cell>
          <cell r="H133" t="str">
            <v>MG</v>
          </cell>
          <cell r="I133" t="str">
            <v>Oi Total Fixo + Pós Conectado 1.000 + Banda Larga</v>
          </cell>
          <cell r="J133" t="str">
            <v>Oi Total Fixo + Pós Conectado 1.000 + Banda LargaAC</v>
          </cell>
          <cell r="K133" t="str">
            <v>Oi Total Fixo + Pós Conectado 1.000 + Banda LargaACN1150.9</v>
          </cell>
          <cell r="L133" t="str">
            <v>Oi Total Conectado AvançadoMG</v>
          </cell>
          <cell r="M133">
            <v>250.9</v>
          </cell>
          <cell r="N133">
            <v>150.9</v>
          </cell>
          <cell r="O133">
            <v>0</v>
          </cell>
          <cell r="P133">
            <v>115.37</v>
          </cell>
          <cell r="Q133">
            <v>15</v>
          </cell>
          <cell r="R133">
            <v>100.37</v>
          </cell>
          <cell r="S133">
            <v>35.53</v>
          </cell>
          <cell r="T133">
            <v>5.24</v>
          </cell>
          <cell r="U133">
            <v>30.29</v>
          </cell>
          <cell r="V133">
            <v>50.1</v>
          </cell>
          <cell r="W133">
            <v>49.9</v>
          </cell>
          <cell r="X133">
            <v>100</v>
          </cell>
          <cell r="Y133">
            <v>20.350000000000001</v>
          </cell>
          <cell r="Z133">
            <v>5.24</v>
          </cell>
          <cell r="AA133" t="b">
            <v>1</v>
          </cell>
          <cell r="AB133" t="b">
            <v>1</v>
          </cell>
        </row>
        <row r="134">
          <cell r="A134" t="str">
            <v>Oi Total Fixo + Pós Conectado 500 + Banda LargaN1MG</v>
          </cell>
          <cell r="B134" t="str">
            <v>REAJUSTE - 25/07</v>
          </cell>
          <cell r="C134" t="str">
            <v>Oi Total Conectado Básico</v>
          </cell>
          <cell r="D134"/>
          <cell r="E134" t="str">
            <v>s/dados</v>
          </cell>
          <cell r="F134" t="str">
            <v>N1</v>
          </cell>
          <cell r="G134" t="str">
            <v>G1</v>
          </cell>
          <cell r="H134" t="str">
            <v>MG</v>
          </cell>
          <cell r="I134" t="str">
            <v>Oi Total Fixo + Pós Conectado 500 + Banda Larga</v>
          </cell>
          <cell r="J134" t="str">
            <v>Oi Total Fixo + Pós Conectado 500 + Banda LargaAC</v>
          </cell>
          <cell r="K134" t="str">
            <v>Oi Total Fixo + Pós Conectado 500 + Banda LargaACN174.9</v>
          </cell>
          <cell r="L134" t="str">
            <v>Oi Total Conectado BásicoMG</v>
          </cell>
          <cell r="M134">
            <v>174.9</v>
          </cell>
          <cell r="N134">
            <v>74.900000000000006</v>
          </cell>
          <cell r="O134">
            <v>0</v>
          </cell>
          <cell r="P134">
            <v>74.900000000000006</v>
          </cell>
          <cell r="Q134">
            <v>15</v>
          </cell>
          <cell r="R134">
            <v>59.900000000000006</v>
          </cell>
          <cell r="S134">
            <v>0</v>
          </cell>
          <cell r="T134">
            <v>0</v>
          </cell>
          <cell r="U134">
            <v>0</v>
          </cell>
          <cell r="V134">
            <v>50.1</v>
          </cell>
          <cell r="W134">
            <v>49.9</v>
          </cell>
          <cell r="X134">
            <v>100</v>
          </cell>
          <cell r="Y134">
            <v>0</v>
          </cell>
          <cell r="Z134">
            <v>0</v>
          </cell>
          <cell r="AA134" t="b">
            <v>1</v>
          </cell>
          <cell r="AB134" t="b">
            <v>1</v>
          </cell>
        </row>
        <row r="135">
          <cell r="A135" t="str">
            <v>Oi Total Fixo + Pós Conectado 500 + Banda LargaN21GBMG</v>
          </cell>
          <cell r="B135" t="str">
            <v>REAJUSTE - 25/07</v>
          </cell>
          <cell r="C135" t="str">
            <v>Oi Total Conectado Básico</v>
          </cell>
          <cell r="D135">
            <v>1000</v>
          </cell>
          <cell r="E135" t="str">
            <v>1GB</v>
          </cell>
          <cell r="F135" t="str">
            <v>N2</v>
          </cell>
          <cell r="G135" t="str">
            <v>G1</v>
          </cell>
          <cell r="H135" t="str">
            <v>MG</v>
          </cell>
          <cell r="I135" t="str">
            <v>Oi Total Fixo + Pós Conectado 500 + Banda Larga</v>
          </cell>
          <cell r="J135" t="str">
            <v>Oi Total Fixo + Pós Conectado 500 + Banda LargaAC</v>
          </cell>
          <cell r="K135" t="str">
            <v>Oi Total Fixo + Pós Conectado 500 + Banda LargaACN263.9</v>
          </cell>
          <cell r="L135" t="str">
            <v>Oi Total Conectado BásicoMG</v>
          </cell>
          <cell r="M135">
            <v>163.9</v>
          </cell>
          <cell r="N135">
            <v>63.900000000000006</v>
          </cell>
          <cell r="O135">
            <v>0</v>
          </cell>
          <cell r="P135">
            <v>55.160000000000004</v>
          </cell>
          <cell r="Q135">
            <v>15</v>
          </cell>
          <cell r="R135">
            <v>40.160000000000004</v>
          </cell>
          <cell r="S135">
            <v>8.74</v>
          </cell>
          <cell r="T135">
            <v>3.61</v>
          </cell>
          <cell r="U135">
            <v>5.13</v>
          </cell>
          <cell r="V135">
            <v>50.1</v>
          </cell>
          <cell r="W135">
            <v>49.9</v>
          </cell>
          <cell r="X135">
            <v>100</v>
          </cell>
          <cell r="Y135">
            <v>0</v>
          </cell>
          <cell r="Z135">
            <v>3.61</v>
          </cell>
          <cell r="AA135" t="b">
            <v>1</v>
          </cell>
          <cell r="AB135" t="b">
            <v>1</v>
          </cell>
        </row>
        <row r="136">
          <cell r="A136" t="str">
            <v>Oi Total Fixo + Pós Conectado 500 + Banda LargaN11GBMG</v>
          </cell>
          <cell r="B136" t="str">
            <v>REAJUSTE - 25/07</v>
          </cell>
          <cell r="C136" t="str">
            <v>Oi Total Conectado Básico</v>
          </cell>
          <cell r="D136">
            <v>1000</v>
          </cell>
          <cell r="E136" t="str">
            <v>1GB</v>
          </cell>
          <cell r="F136" t="str">
            <v>N1</v>
          </cell>
          <cell r="G136" t="str">
            <v>G1</v>
          </cell>
          <cell r="H136" t="str">
            <v>MG</v>
          </cell>
          <cell r="I136" t="str">
            <v>Oi Total Fixo + Pós Conectado 500 + Banda Larga</v>
          </cell>
          <cell r="J136" t="str">
            <v>Oi Total Fixo + Pós Conectado 500 + Banda LargaAC</v>
          </cell>
          <cell r="K136" t="str">
            <v>Oi Total Fixo + Pós Conectado 500 + Banda LargaACN174.9</v>
          </cell>
          <cell r="L136" t="str">
            <v>Oi Total Conectado BásicoMG</v>
          </cell>
          <cell r="M136">
            <v>174.9</v>
          </cell>
          <cell r="N136">
            <v>74.900000000000006</v>
          </cell>
          <cell r="O136">
            <v>0</v>
          </cell>
          <cell r="P136">
            <v>66.160000000000011</v>
          </cell>
          <cell r="Q136">
            <v>15</v>
          </cell>
          <cell r="R136">
            <v>51.160000000000011</v>
          </cell>
          <cell r="S136">
            <v>8.74</v>
          </cell>
          <cell r="T136">
            <v>3.61</v>
          </cell>
          <cell r="U136">
            <v>5.13</v>
          </cell>
          <cell r="V136">
            <v>50.1</v>
          </cell>
          <cell r="W136">
            <v>49.9</v>
          </cell>
          <cell r="X136">
            <v>100</v>
          </cell>
          <cell r="Y136">
            <v>0</v>
          </cell>
          <cell r="Z136">
            <v>3.61</v>
          </cell>
          <cell r="AA136" t="b">
            <v>1</v>
          </cell>
          <cell r="AB136" t="b">
            <v>1</v>
          </cell>
        </row>
        <row r="137">
          <cell r="A137" t="str">
            <v>Oi Total Fixo + Pós Conectado 500 + Banda LargaN22GBMG</v>
          </cell>
          <cell r="B137" t="str">
            <v>REAJUSTE - 25/07</v>
          </cell>
          <cell r="C137" t="str">
            <v>Oi Total Conectado Básico</v>
          </cell>
          <cell r="D137">
            <v>2000</v>
          </cell>
          <cell r="E137" t="str">
            <v>2GB</v>
          </cell>
          <cell r="F137" t="str">
            <v>N2</v>
          </cell>
          <cell r="G137" t="str">
            <v>G1</v>
          </cell>
          <cell r="H137" t="str">
            <v>MG</v>
          </cell>
          <cell r="I137" t="str">
            <v>Oi Total Fixo + Pós Conectado 500 + Banda Larga</v>
          </cell>
          <cell r="J137" t="str">
            <v>Oi Total Fixo + Pós Conectado 500 + Banda LargaAC</v>
          </cell>
          <cell r="K137" t="str">
            <v>Oi Total Fixo + Pós Conectado 500 + Banda LargaACN274.9</v>
          </cell>
          <cell r="L137" t="str">
            <v>Oi Total Conectado BásicoMG</v>
          </cell>
          <cell r="M137">
            <v>174.9</v>
          </cell>
          <cell r="N137">
            <v>74.900000000000006</v>
          </cell>
          <cell r="O137">
            <v>0</v>
          </cell>
          <cell r="P137">
            <v>65.13000000000001</v>
          </cell>
          <cell r="Q137">
            <v>15</v>
          </cell>
          <cell r="R137">
            <v>50.13000000000001</v>
          </cell>
          <cell r="S137">
            <v>9.77</v>
          </cell>
          <cell r="T137">
            <v>3.61</v>
          </cell>
          <cell r="U137">
            <v>6.16</v>
          </cell>
          <cell r="V137">
            <v>50.1</v>
          </cell>
          <cell r="W137">
            <v>49.9</v>
          </cell>
          <cell r="X137">
            <v>100</v>
          </cell>
          <cell r="Y137">
            <v>0</v>
          </cell>
          <cell r="Z137">
            <v>3.61</v>
          </cell>
          <cell r="AA137" t="b">
            <v>1</v>
          </cell>
          <cell r="AB137" t="b">
            <v>1</v>
          </cell>
        </row>
        <row r="138">
          <cell r="A138" t="str">
            <v>Oi Total Fixo + Pós Conectado 500 + Banda LargaN12GBMG</v>
          </cell>
          <cell r="B138" t="str">
            <v>REAJUSTE - 25/07</v>
          </cell>
          <cell r="C138" t="str">
            <v>Oi Total Conectado Básico</v>
          </cell>
          <cell r="D138">
            <v>2000</v>
          </cell>
          <cell r="E138" t="str">
            <v>2GB</v>
          </cell>
          <cell r="F138" t="str">
            <v>N1</v>
          </cell>
          <cell r="G138" t="str">
            <v>G1</v>
          </cell>
          <cell r="H138" t="str">
            <v>MG</v>
          </cell>
          <cell r="I138" t="str">
            <v>Oi Total Fixo + Pós Conectado 500 + Banda Larga</v>
          </cell>
          <cell r="J138" t="str">
            <v>Oi Total Fixo + Pós Conectado 500 + Banda LargaAC</v>
          </cell>
          <cell r="K138" t="str">
            <v>Oi Total Fixo + Pós Conectado 500 + Banda LargaACN185.9</v>
          </cell>
          <cell r="L138" t="str">
            <v>Oi Total Conectado BásicoMG</v>
          </cell>
          <cell r="M138">
            <v>185.9</v>
          </cell>
          <cell r="N138">
            <v>85.9</v>
          </cell>
          <cell r="O138">
            <v>0</v>
          </cell>
          <cell r="P138">
            <v>76.13000000000001</v>
          </cell>
          <cell r="Q138">
            <v>15</v>
          </cell>
          <cell r="R138">
            <v>61.13000000000001</v>
          </cell>
          <cell r="S138">
            <v>9.77</v>
          </cell>
          <cell r="T138">
            <v>3.61</v>
          </cell>
          <cell r="U138">
            <v>6.16</v>
          </cell>
          <cell r="V138">
            <v>50.1</v>
          </cell>
          <cell r="W138">
            <v>49.9</v>
          </cell>
          <cell r="X138">
            <v>100</v>
          </cell>
          <cell r="Y138">
            <v>0</v>
          </cell>
          <cell r="Z138">
            <v>3.61</v>
          </cell>
          <cell r="AA138" t="b">
            <v>1</v>
          </cell>
          <cell r="AB138" t="b">
            <v>1</v>
          </cell>
        </row>
        <row r="139">
          <cell r="A139" t="str">
            <v>Oi Total Fixo + Pós Conectado 500 + Banda LargaN23GBMG</v>
          </cell>
          <cell r="B139" t="str">
            <v>REAJUSTE - 25/07</v>
          </cell>
          <cell r="C139" t="str">
            <v>Oi Total Conectado Básico</v>
          </cell>
          <cell r="D139">
            <v>3000</v>
          </cell>
          <cell r="E139" t="str">
            <v>3GB</v>
          </cell>
          <cell r="F139" t="str">
            <v>N2</v>
          </cell>
          <cell r="G139" t="str">
            <v>G1</v>
          </cell>
          <cell r="H139" t="str">
            <v>MG</v>
          </cell>
          <cell r="I139" t="str">
            <v>Oi Total Fixo + Pós Conectado 500 + Banda Larga</v>
          </cell>
          <cell r="J139" t="str">
            <v>Oi Total Fixo + Pós Conectado 500 + Banda LargaAC</v>
          </cell>
          <cell r="K139" t="str">
            <v>Oi Total Fixo + Pós Conectado 500 + Banda LargaACN285.9</v>
          </cell>
          <cell r="L139" t="str">
            <v>Oi Total Conectado BásicoMG</v>
          </cell>
          <cell r="M139">
            <v>185.9</v>
          </cell>
          <cell r="N139">
            <v>85.9</v>
          </cell>
          <cell r="O139">
            <v>0</v>
          </cell>
          <cell r="P139">
            <v>73.550000000000011</v>
          </cell>
          <cell r="Q139">
            <v>15</v>
          </cell>
          <cell r="R139">
            <v>58.550000000000011</v>
          </cell>
          <cell r="S139">
            <v>12.35</v>
          </cell>
          <cell r="T139">
            <v>3.61</v>
          </cell>
          <cell r="U139">
            <v>8.74</v>
          </cell>
          <cell r="V139">
            <v>50.1</v>
          </cell>
          <cell r="W139">
            <v>49.9</v>
          </cell>
          <cell r="X139">
            <v>100</v>
          </cell>
          <cell r="Y139">
            <v>0</v>
          </cell>
          <cell r="Z139">
            <v>3.61</v>
          </cell>
          <cell r="AA139" t="b">
            <v>1</v>
          </cell>
          <cell r="AB139" t="b">
            <v>1</v>
          </cell>
        </row>
        <row r="140">
          <cell r="A140" t="str">
            <v>Oi Total Fixo + Pós Conectado 500 + Banda LargaN13GBMG</v>
          </cell>
          <cell r="B140" t="str">
            <v>REAJUSTE - 25/07</v>
          </cell>
          <cell r="C140" t="str">
            <v>Oi Total Conectado Básico</v>
          </cell>
          <cell r="D140">
            <v>3000</v>
          </cell>
          <cell r="E140" t="str">
            <v>3GB</v>
          </cell>
          <cell r="F140" t="str">
            <v>N1</v>
          </cell>
          <cell r="G140" t="str">
            <v>G1</v>
          </cell>
          <cell r="H140" t="str">
            <v>MG</v>
          </cell>
          <cell r="I140" t="str">
            <v>Oi Total Fixo + Pós Conectado 500 + Banda Larga</v>
          </cell>
          <cell r="J140" t="str">
            <v>Oi Total Fixo + Pós Conectado 500 + Banda LargaAC</v>
          </cell>
          <cell r="K140" t="str">
            <v>Oi Total Fixo + Pós Conectado 500 + Banda LargaACN196.9</v>
          </cell>
          <cell r="L140" t="str">
            <v>Oi Total Conectado BásicoMG</v>
          </cell>
          <cell r="M140">
            <v>196.9</v>
          </cell>
          <cell r="N140">
            <v>96.9</v>
          </cell>
          <cell r="O140">
            <v>0</v>
          </cell>
          <cell r="P140">
            <v>84.550000000000011</v>
          </cell>
          <cell r="Q140">
            <v>15</v>
          </cell>
          <cell r="R140">
            <v>69.550000000000011</v>
          </cell>
          <cell r="S140">
            <v>12.35</v>
          </cell>
          <cell r="T140">
            <v>3.61</v>
          </cell>
          <cell r="U140">
            <v>8.74</v>
          </cell>
          <cell r="V140">
            <v>50.1</v>
          </cell>
          <cell r="W140">
            <v>49.9</v>
          </cell>
          <cell r="X140">
            <v>100</v>
          </cell>
          <cell r="Y140">
            <v>0</v>
          </cell>
          <cell r="Z140">
            <v>3.61</v>
          </cell>
          <cell r="AA140" t="b">
            <v>1</v>
          </cell>
          <cell r="AB140" t="b">
            <v>1</v>
          </cell>
        </row>
        <row r="141">
          <cell r="A141" t="str">
            <v>Oi Total Fixo + Pós Conectado 500 + Banda LargaN25GBMG</v>
          </cell>
          <cell r="B141" t="str">
            <v>REAJUSTE - 25/07</v>
          </cell>
          <cell r="C141" t="str">
            <v>Oi Total Conectado Básico</v>
          </cell>
          <cell r="D141">
            <v>5000</v>
          </cell>
          <cell r="E141" t="str">
            <v>5GB</v>
          </cell>
          <cell r="F141" t="str">
            <v>N2</v>
          </cell>
          <cell r="G141" t="str">
            <v>G1</v>
          </cell>
          <cell r="H141" t="str">
            <v>MG</v>
          </cell>
          <cell r="I141" t="str">
            <v>Oi Total Fixo + Pós Conectado 500 + Banda Larga</v>
          </cell>
          <cell r="J141" t="str">
            <v>Oi Total Fixo + Pós Conectado 500 + Banda LargaAC</v>
          </cell>
          <cell r="K141" t="str">
            <v>Oi Total Fixo + Pós Conectado 500 + Banda LargaACN2101.9</v>
          </cell>
          <cell r="L141" t="str">
            <v>Oi Total Conectado BásicoMG</v>
          </cell>
          <cell r="M141">
            <v>201.9</v>
          </cell>
          <cell r="N141">
            <v>101.9</v>
          </cell>
          <cell r="O141">
            <v>0</v>
          </cell>
          <cell r="P141">
            <v>86.98</v>
          </cell>
          <cell r="Q141">
            <v>15</v>
          </cell>
          <cell r="R141">
            <v>71.98</v>
          </cell>
          <cell r="S141">
            <v>14.92</v>
          </cell>
          <cell r="T141">
            <v>5.24</v>
          </cell>
          <cell r="U141">
            <v>9.68</v>
          </cell>
          <cell r="V141">
            <v>50.1</v>
          </cell>
          <cell r="W141">
            <v>49.9</v>
          </cell>
          <cell r="X141">
            <v>100</v>
          </cell>
          <cell r="Y141">
            <v>0</v>
          </cell>
          <cell r="Z141">
            <v>5.24</v>
          </cell>
          <cell r="AA141" t="b">
            <v>1</v>
          </cell>
          <cell r="AB141" t="b">
            <v>1</v>
          </cell>
        </row>
        <row r="142">
          <cell r="A142" t="str">
            <v>Oi Total Fixo + Pós Conectado 500 + Banda LargaN15GBMG</v>
          </cell>
          <cell r="B142" t="str">
            <v>REAJUSTE - 25/07</v>
          </cell>
          <cell r="C142" t="str">
            <v>Oi Total Conectado Básico</v>
          </cell>
          <cell r="D142">
            <v>5000</v>
          </cell>
          <cell r="E142" t="str">
            <v>5GB</v>
          </cell>
          <cell r="F142" t="str">
            <v>N1</v>
          </cell>
          <cell r="G142" t="str">
            <v>G1</v>
          </cell>
          <cell r="H142" t="str">
            <v>MG</v>
          </cell>
          <cell r="I142" t="str">
            <v>Oi Total Fixo + Pós Conectado 500 + Banda Larga</v>
          </cell>
          <cell r="J142" t="str">
            <v>Oi Total Fixo + Pós Conectado 500 + Banda LargaAC</v>
          </cell>
          <cell r="K142" t="str">
            <v>Oi Total Fixo + Pós Conectado 500 + Banda LargaACN1112.9</v>
          </cell>
          <cell r="L142" t="str">
            <v>Oi Total Conectado BásicoMG</v>
          </cell>
          <cell r="M142">
            <v>212.9</v>
          </cell>
          <cell r="N142">
            <v>112.9</v>
          </cell>
          <cell r="O142">
            <v>0</v>
          </cell>
          <cell r="P142">
            <v>97.98</v>
          </cell>
          <cell r="Q142">
            <v>15</v>
          </cell>
          <cell r="R142">
            <v>82.98</v>
          </cell>
          <cell r="S142">
            <v>14.92</v>
          </cell>
          <cell r="T142">
            <v>5.24</v>
          </cell>
          <cell r="U142">
            <v>9.68</v>
          </cell>
          <cell r="V142">
            <v>50.1</v>
          </cell>
          <cell r="W142">
            <v>49.9</v>
          </cell>
          <cell r="X142">
            <v>100</v>
          </cell>
          <cell r="Y142">
            <v>0</v>
          </cell>
          <cell r="Z142">
            <v>5.24</v>
          </cell>
          <cell r="AA142" t="b">
            <v>1</v>
          </cell>
          <cell r="AB142" t="b">
            <v>1</v>
          </cell>
        </row>
        <row r="143">
          <cell r="A143" t="str">
            <v>Oi Total Fixo + Pós Conectado 500 + Banda LargaN210GBMG</v>
          </cell>
          <cell r="B143" t="str">
            <v>REAJUSTE - 25/07</v>
          </cell>
          <cell r="C143" t="str">
            <v>Oi Total Conectado Básico</v>
          </cell>
          <cell r="D143">
            <v>10000</v>
          </cell>
          <cell r="E143" t="str">
            <v>10GB</v>
          </cell>
          <cell r="F143" t="str">
            <v>N2</v>
          </cell>
          <cell r="G143" t="str">
            <v>G1</v>
          </cell>
          <cell r="H143" t="str">
            <v>MG</v>
          </cell>
          <cell r="I143" t="str">
            <v>Oi Total Fixo + Pós Conectado 500 + Banda Larga</v>
          </cell>
          <cell r="J143" t="str">
            <v>Oi Total Fixo + Pós Conectado 500 + Banda LargaAC</v>
          </cell>
          <cell r="K143" t="str">
            <v>Oi Total Fixo + Pós Conectado 500 + Banda LargaACN2134.9</v>
          </cell>
          <cell r="L143" t="str">
            <v>Oi Total Conectado BásicoMG</v>
          </cell>
          <cell r="M143">
            <v>234.9</v>
          </cell>
          <cell r="N143">
            <v>134.9</v>
          </cell>
          <cell r="O143">
            <v>0</v>
          </cell>
          <cell r="P143">
            <v>99.37</v>
          </cell>
          <cell r="Q143">
            <v>15</v>
          </cell>
          <cell r="R143">
            <v>84.37</v>
          </cell>
          <cell r="S143">
            <v>35.53</v>
          </cell>
          <cell r="T143">
            <v>5.24</v>
          </cell>
          <cell r="U143">
            <v>30.29</v>
          </cell>
          <cell r="V143">
            <v>50.1</v>
          </cell>
          <cell r="W143">
            <v>49.9</v>
          </cell>
          <cell r="X143">
            <v>100</v>
          </cell>
          <cell r="Y143">
            <v>0</v>
          </cell>
          <cell r="Z143">
            <v>5.24</v>
          </cell>
          <cell r="AA143" t="b">
            <v>1</v>
          </cell>
          <cell r="AB143" t="b">
            <v>1</v>
          </cell>
        </row>
        <row r="144">
          <cell r="A144" t="str">
            <v>Oi Total Fixo + Pós Conectado 500 + Banda LargaN110GBMG</v>
          </cell>
          <cell r="B144" t="str">
            <v>REAJUSTE - 25/07</v>
          </cell>
          <cell r="C144" t="str">
            <v>Oi Total Conectado Básico</v>
          </cell>
          <cell r="D144">
            <v>10000</v>
          </cell>
          <cell r="E144" t="str">
            <v>10GB</v>
          </cell>
          <cell r="F144" t="str">
            <v>N1</v>
          </cell>
          <cell r="G144" t="str">
            <v>G1</v>
          </cell>
          <cell r="H144" t="str">
            <v>MG</v>
          </cell>
          <cell r="I144" t="str">
            <v>Oi Total Fixo + Pós Conectado 500 + Banda Larga</v>
          </cell>
          <cell r="J144" t="str">
            <v>Oi Total Fixo + Pós Conectado 500 + Banda LargaAC</v>
          </cell>
          <cell r="K144" t="str">
            <v>Oi Total Fixo + Pós Conectado 500 + Banda LargaACN1145.9</v>
          </cell>
          <cell r="L144" t="str">
            <v>Oi Total Conectado BásicoMG</v>
          </cell>
          <cell r="M144">
            <v>245.9</v>
          </cell>
          <cell r="N144">
            <v>145.9</v>
          </cell>
          <cell r="O144">
            <v>0</v>
          </cell>
          <cell r="P144">
            <v>110.37</v>
          </cell>
          <cell r="Q144">
            <v>15</v>
          </cell>
          <cell r="R144">
            <v>95.37</v>
          </cell>
          <cell r="S144">
            <v>35.53</v>
          </cell>
          <cell r="T144">
            <v>5.24</v>
          </cell>
          <cell r="U144">
            <v>30.29</v>
          </cell>
          <cell r="V144">
            <v>50.1</v>
          </cell>
          <cell r="W144">
            <v>49.9</v>
          </cell>
          <cell r="X144">
            <v>100</v>
          </cell>
          <cell r="Y144">
            <v>0</v>
          </cell>
          <cell r="Z144">
            <v>5.24</v>
          </cell>
          <cell r="AA144" t="b">
            <v>1</v>
          </cell>
          <cell r="AB144" t="b">
            <v>1</v>
          </cell>
        </row>
        <row r="145">
          <cell r="A145" t="str">
            <v>Oi Total Fixo + Pós Conectado Mais + Banda LargaN11GBMG</v>
          </cell>
          <cell r="B145" t="str">
            <v>REAJUSTE - 25/07</v>
          </cell>
          <cell r="C145" t="str">
            <v>Oi Total Conectado Top</v>
          </cell>
          <cell r="D145">
            <v>1000</v>
          </cell>
          <cell r="E145" t="str">
            <v>1GB</v>
          </cell>
          <cell r="F145" t="str">
            <v>N1</v>
          </cell>
          <cell r="G145" t="str">
            <v>G1</v>
          </cell>
          <cell r="H145" t="str">
            <v>MG</v>
          </cell>
          <cell r="I145" t="str">
            <v>Oi Total Fixo + Pós Conectado Mais + Banda Larga</v>
          </cell>
          <cell r="J145" t="str">
            <v>Oi Total Fixo + Pós Conectado Mais + Banda LargaAC</v>
          </cell>
          <cell r="K145" t="str">
            <v>Oi Total Fixo + Pós Conectado Mais + Banda LargaACN1101.9</v>
          </cell>
          <cell r="L145" t="str">
            <v>Oi Total Conectado TopMG</v>
          </cell>
          <cell r="M145">
            <v>201.9</v>
          </cell>
          <cell r="N145">
            <v>101.9</v>
          </cell>
          <cell r="O145">
            <v>0</v>
          </cell>
          <cell r="P145">
            <v>93.160000000000011</v>
          </cell>
          <cell r="Q145">
            <v>15</v>
          </cell>
          <cell r="R145">
            <v>78.160000000000011</v>
          </cell>
          <cell r="S145">
            <v>8.74</v>
          </cell>
          <cell r="T145">
            <v>3.61</v>
          </cell>
          <cell r="U145">
            <v>5.13</v>
          </cell>
          <cell r="V145">
            <v>50.1</v>
          </cell>
          <cell r="W145">
            <v>49.9</v>
          </cell>
          <cell r="X145">
            <v>100</v>
          </cell>
          <cell r="Y145">
            <v>0</v>
          </cell>
          <cell r="Z145">
            <v>3.61</v>
          </cell>
          <cell r="AA145" t="b">
            <v>1</v>
          </cell>
          <cell r="AB145" t="b">
            <v>1</v>
          </cell>
        </row>
        <row r="146">
          <cell r="A146" t="str">
            <v>Oi Total Fixo + Pós Conectado Mais + Banda LargaN12GBMG</v>
          </cell>
          <cell r="B146" t="str">
            <v>REAJUSTE - 25/07</v>
          </cell>
          <cell r="C146" t="str">
            <v>Oi Total Conectado Top</v>
          </cell>
          <cell r="D146">
            <v>2000</v>
          </cell>
          <cell r="E146" t="str">
            <v>2GB</v>
          </cell>
          <cell r="F146" t="str">
            <v>N1</v>
          </cell>
          <cell r="G146" t="str">
            <v>G1</v>
          </cell>
          <cell r="H146" t="str">
            <v>MG</v>
          </cell>
          <cell r="I146" t="str">
            <v>Oi Total Fixo + Pós Conectado Mais + Banda Larga</v>
          </cell>
          <cell r="J146" t="str">
            <v>Oi Total Fixo + Pós Conectado Mais + Banda LargaAC</v>
          </cell>
          <cell r="K146" t="str">
            <v>Oi Total Fixo + Pós Conectado Mais + Banda LargaACN1112.9</v>
          </cell>
          <cell r="L146" t="str">
            <v>Oi Total Conectado TopMG</v>
          </cell>
          <cell r="M146">
            <v>212.9</v>
          </cell>
          <cell r="N146">
            <v>112.9</v>
          </cell>
          <cell r="O146">
            <v>0</v>
          </cell>
          <cell r="P146">
            <v>103.13000000000001</v>
          </cell>
          <cell r="Q146">
            <v>15</v>
          </cell>
          <cell r="R146">
            <v>88.13000000000001</v>
          </cell>
          <cell r="S146">
            <v>9.77</v>
          </cell>
          <cell r="T146">
            <v>3.61</v>
          </cell>
          <cell r="U146">
            <v>6.16</v>
          </cell>
          <cell r="V146">
            <v>50.1</v>
          </cell>
          <cell r="W146">
            <v>49.9</v>
          </cell>
          <cell r="X146">
            <v>100</v>
          </cell>
          <cell r="Y146">
            <v>0</v>
          </cell>
          <cell r="Z146">
            <v>3.61</v>
          </cell>
          <cell r="AA146" t="b">
            <v>1</v>
          </cell>
          <cell r="AB146" t="b">
            <v>1</v>
          </cell>
        </row>
        <row r="147">
          <cell r="A147" t="str">
            <v>Oi Total Fixo + Pós Conectado Mais + Banda LargaN13GBMG</v>
          </cell>
          <cell r="B147" t="str">
            <v>REAJUSTE - 25/07</v>
          </cell>
          <cell r="C147" t="str">
            <v>Oi Total Conectado Top</v>
          </cell>
          <cell r="D147">
            <v>3000</v>
          </cell>
          <cell r="E147" t="str">
            <v>3GB</v>
          </cell>
          <cell r="F147" t="str">
            <v>N1</v>
          </cell>
          <cell r="G147" t="str">
            <v>G1</v>
          </cell>
          <cell r="H147" t="str">
            <v>MG</v>
          </cell>
          <cell r="I147" t="str">
            <v>Oi Total Fixo + Pós Conectado Mais + Banda Larga</v>
          </cell>
          <cell r="J147" t="str">
            <v>Oi Total Fixo + Pós Conectado Mais + Banda LargaAC</v>
          </cell>
          <cell r="K147" t="str">
            <v>Oi Total Fixo + Pós Conectado Mais + Banda LargaACN1123.9</v>
          </cell>
          <cell r="L147" t="str">
            <v>Oi Total Conectado TopMG</v>
          </cell>
          <cell r="M147">
            <v>223.9</v>
          </cell>
          <cell r="N147">
            <v>123.9</v>
          </cell>
          <cell r="O147">
            <v>0</v>
          </cell>
          <cell r="P147">
            <v>111.55000000000001</v>
          </cell>
          <cell r="Q147">
            <v>15</v>
          </cell>
          <cell r="R147">
            <v>96.550000000000011</v>
          </cell>
          <cell r="S147">
            <v>12.35</v>
          </cell>
          <cell r="T147">
            <v>3.61</v>
          </cell>
          <cell r="U147">
            <v>8.74</v>
          </cell>
          <cell r="V147">
            <v>50.1</v>
          </cell>
          <cell r="W147">
            <v>49.9</v>
          </cell>
          <cell r="X147">
            <v>100</v>
          </cell>
          <cell r="Y147">
            <v>0</v>
          </cell>
          <cell r="Z147">
            <v>3.61</v>
          </cell>
          <cell r="AA147" t="b">
            <v>1</v>
          </cell>
          <cell r="AB147" t="b">
            <v>1</v>
          </cell>
        </row>
        <row r="148">
          <cell r="A148" t="str">
            <v>Oi Total Fixo + Pós Conectado Mais + Banda LargaN15GBMG</v>
          </cell>
          <cell r="B148" t="str">
            <v>REAJUSTE - 25/07</v>
          </cell>
          <cell r="C148" t="str">
            <v>Oi Total Conectado Top</v>
          </cell>
          <cell r="D148">
            <v>5000</v>
          </cell>
          <cell r="E148" t="str">
            <v>5GB</v>
          </cell>
          <cell r="F148" t="str">
            <v>N1</v>
          </cell>
          <cell r="G148" t="str">
            <v>G1</v>
          </cell>
          <cell r="H148" t="str">
            <v>MG</v>
          </cell>
          <cell r="I148" t="str">
            <v>Oi Total Fixo + Pós Conectado Mais + Banda Larga</v>
          </cell>
          <cell r="J148" t="str">
            <v>Oi Total Fixo + Pós Conectado Mais + Banda LargaAC</v>
          </cell>
          <cell r="K148" t="str">
            <v>Oi Total Fixo + Pós Conectado Mais + Banda LargaACN1139.9</v>
          </cell>
          <cell r="L148" t="str">
            <v>Oi Total Conectado TopMG</v>
          </cell>
          <cell r="M148">
            <v>239.9</v>
          </cell>
          <cell r="N148">
            <v>139.9</v>
          </cell>
          <cell r="O148">
            <v>0</v>
          </cell>
          <cell r="P148">
            <v>124.98</v>
          </cell>
          <cell r="Q148">
            <v>15</v>
          </cell>
          <cell r="R148">
            <v>109.98</v>
          </cell>
          <cell r="S148">
            <v>14.92</v>
          </cell>
          <cell r="T148">
            <v>5.24</v>
          </cell>
          <cell r="U148">
            <v>9.68</v>
          </cell>
          <cell r="V148">
            <v>50.1</v>
          </cell>
          <cell r="W148">
            <v>49.9</v>
          </cell>
          <cell r="X148">
            <v>100</v>
          </cell>
          <cell r="Y148">
            <v>0</v>
          </cell>
          <cell r="Z148">
            <v>5.24</v>
          </cell>
          <cell r="AA148" t="b">
            <v>1</v>
          </cell>
          <cell r="AB148" t="b">
            <v>1</v>
          </cell>
        </row>
        <row r="157">
          <cell r="A157"/>
        </row>
      </sheetData>
      <sheetData sheetId="8"/>
      <sheetData sheetId="9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</row>
        <row r="1095">
          <cell r="A1095" t="e">
            <v>#VALUE!</v>
          </cell>
          <cell r="B1095" t="str">
            <v>Plano Oi Completo Mais</v>
          </cell>
          <cell r="C1095" t="str">
            <v>Template desconto FLAT Plano Principal Oi TV nível conta</v>
          </cell>
          <cell r="D1095" t="e">
            <v>#VALUE!</v>
          </cell>
          <cell r="E1095" t="str">
            <v>MKT-1-9948577061</v>
          </cell>
        </row>
        <row r="1096">
          <cell r="A1096" t="e">
            <v>#VALUE!</v>
          </cell>
          <cell r="B1096" t="str">
            <v>Plano Oi Completo Mais</v>
          </cell>
          <cell r="C1096" t="str">
            <v>Template desconto FLAT Plano Principal Oi TV nível conta</v>
          </cell>
          <cell r="D1096" t="e">
            <v>#VALUE!</v>
          </cell>
          <cell r="E1096" t="str">
            <v>MKT-1-9949098142</v>
          </cell>
        </row>
        <row r="1097">
          <cell r="A1097" t="e">
            <v>#VALUE!</v>
          </cell>
          <cell r="B1097" t="str">
            <v>Plano Oi Completo Mais</v>
          </cell>
          <cell r="C1097" t="str">
            <v>Template desconto FLAT Plano Principal Oi TV nível conta</v>
          </cell>
          <cell r="D1097" t="e">
            <v>#VALUE!</v>
          </cell>
          <cell r="E1097" t="str">
            <v>MKT-1-9949098397</v>
          </cell>
        </row>
        <row r="1098">
          <cell r="A1098" t="e">
            <v>#VALUE!</v>
          </cell>
          <cell r="B1098" t="str">
            <v>Plano Oi Completo Mais</v>
          </cell>
          <cell r="C1098" t="str">
            <v>Template desconto FLAT Plano Principal Oi TV nível conta</v>
          </cell>
          <cell r="D1098" t="e">
            <v>#VALUE!</v>
          </cell>
          <cell r="E1098" t="str">
            <v>MKT-1-9949098652</v>
          </cell>
        </row>
        <row r="1099">
          <cell r="A1099" t="e">
            <v>#VALUE!</v>
          </cell>
          <cell r="B1099" t="str">
            <v>Plano Oi Completo Mais</v>
          </cell>
          <cell r="C1099" t="str">
            <v>Template desconto FLAT Plano Principal Oi TV nível conta</v>
          </cell>
          <cell r="D1099" t="e">
            <v>#VALUE!</v>
          </cell>
          <cell r="E1099" t="str">
            <v>MKT-1-9949098967</v>
          </cell>
        </row>
        <row r="1100">
          <cell r="A1100" t="e">
            <v>#VALUE!</v>
          </cell>
          <cell r="B1100" t="str">
            <v>Plano Oi Completo Mais</v>
          </cell>
          <cell r="C1100" t="str">
            <v>Template desconto FLAT Plano Principal Oi TV nível conta</v>
          </cell>
          <cell r="D1100" t="e">
            <v>#VALUE!</v>
          </cell>
          <cell r="E1100" t="str">
            <v>MKT-1-9949123222</v>
          </cell>
        </row>
        <row r="1101">
          <cell r="A1101" t="e">
            <v>#VALUE!</v>
          </cell>
          <cell r="B1101" t="str">
            <v>Plano Oi Completo Mais</v>
          </cell>
          <cell r="C1101" t="str">
            <v>Template desconto FLAT Plano Principal Oi TV nível conta</v>
          </cell>
          <cell r="D1101" t="e">
            <v>#VALUE!</v>
          </cell>
          <cell r="E1101" t="str">
            <v>MKT-1-9949123477</v>
          </cell>
        </row>
        <row r="1102">
          <cell r="A1102" t="e">
            <v>#VALUE!</v>
          </cell>
          <cell r="B1102" t="str">
            <v>Plano Oi Completo Mais</v>
          </cell>
          <cell r="C1102" t="str">
            <v>Template desconto FLAT Plano Principal Oi TV nível conta</v>
          </cell>
          <cell r="D1102" t="e">
            <v>#VALUE!</v>
          </cell>
          <cell r="E1102" t="str">
            <v>MKT-1-9949147632</v>
          </cell>
        </row>
        <row r="1103">
          <cell r="A1103" t="e">
            <v>#VALUE!</v>
          </cell>
          <cell r="B1103" t="str">
            <v>Plano Oi Completo Mais</v>
          </cell>
          <cell r="C1103" t="str">
            <v>Template desconto FLAT Plano Principal Oi TV nível conta</v>
          </cell>
          <cell r="D1103" t="e">
            <v>#VALUE!</v>
          </cell>
          <cell r="E1103" t="str">
            <v>MKT-1-9949176987</v>
          </cell>
        </row>
        <row r="1104">
          <cell r="A1104" t="e">
            <v>#VALUE!</v>
          </cell>
          <cell r="B1104" t="str">
            <v>Plano Oi Completo Mais</v>
          </cell>
          <cell r="C1104" t="str">
            <v>Template desconto FLAT Plano Principal Oi TV nível conta</v>
          </cell>
          <cell r="D1104" t="e">
            <v>#VALUE!</v>
          </cell>
          <cell r="E1104" t="str">
            <v>MKT-1-9949200542</v>
          </cell>
        </row>
        <row r="1105">
          <cell r="A1105" t="e">
            <v>#VALUE!</v>
          </cell>
          <cell r="B1105" t="str">
            <v>Plano Oi Completo Mais</v>
          </cell>
          <cell r="C1105" t="str">
            <v>Template desconto FLAT Plano Principal Oi TV nível conta</v>
          </cell>
          <cell r="D1105" t="e">
            <v>#VALUE!</v>
          </cell>
          <cell r="E1105" t="str">
            <v>MKT-1-9949264797</v>
          </cell>
        </row>
        <row r="1106">
          <cell r="A1106" t="e">
            <v>#VALUE!</v>
          </cell>
          <cell r="B1106" t="str">
            <v>Plano Oi Completo Mais</v>
          </cell>
          <cell r="C1106" t="str">
            <v>Template desconto FLAT Plano Principal Oi TV nível conta</v>
          </cell>
          <cell r="D1106" t="e">
            <v>#VALUE!</v>
          </cell>
          <cell r="E1106" t="str">
            <v>MKT-1-9949281152</v>
          </cell>
        </row>
        <row r="1107">
          <cell r="A1107" t="e">
            <v>#VALUE!</v>
          </cell>
          <cell r="B1107" t="str">
            <v>Plano Oi Completo Mais</v>
          </cell>
          <cell r="C1107" t="str">
            <v>Template desconto FLAT Plano Principal Oi TV nível conta</v>
          </cell>
          <cell r="D1107" t="e">
            <v>#VALUE!</v>
          </cell>
          <cell r="E1107" t="str">
            <v>MKT-1-9949299317</v>
          </cell>
        </row>
        <row r="1108">
          <cell r="A1108" t="e">
            <v>#VALUE!</v>
          </cell>
          <cell r="B1108" t="str">
            <v>Plano Oi Completo Mais</v>
          </cell>
          <cell r="C1108" t="str">
            <v>Template desconto FLAT Plano Principal Oi TV nível conta</v>
          </cell>
          <cell r="D1108" t="e">
            <v>#VALUE!</v>
          </cell>
          <cell r="E1108" t="str">
            <v>MKT-1-9949301012</v>
          </cell>
        </row>
        <row r="1109">
          <cell r="A1109" t="e">
            <v>#VALUE!</v>
          </cell>
          <cell r="B1109" t="str">
            <v>Plano Oi Completo Mais</v>
          </cell>
          <cell r="C1109" t="str">
            <v>Template desconto FLAT Plano Principal Oi TV nível conta</v>
          </cell>
          <cell r="D1109" t="e">
            <v>#VALUE!</v>
          </cell>
          <cell r="E1109" t="str">
            <v>MKT-1-9949304327</v>
          </cell>
        </row>
        <row r="1110">
          <cell r="A1110" t="e">
            <v>#VALUE!</v>
          </cell>
          <cell r="B1110" t="str">
            <v>Plano Oi Completo Mais</v>
          </cell>
          <cell r="C1110" t="str">
            <v>Template desconto FLAT Plano Principal Oi TV nível conta</v>
          </cell>
          <cell r="D1110" t="e">
            <v>#VALUE!</v>
          </cell>
          <cell r="E1110" t="str">
            <v>MKT-1-9949328682</v>
          </cell>
        </row>
        <row r="1111">
          <cell r="A1111" t="e">
            <v>#VALUE!</v>
          </cell>
          <cell r="B1111" t="str">
            <v>Plano Oi Completo Mais</v>
          </cell>
          <cell r="C1111" t="str">
            <v>Template desconto FLAT Plano Principal Oi TV nível conta</v>
          </cell>
          <cell r="D1111" t="e">
            <v>#VALUE!</v>
          </cell>
          <cell r="E1111" t="str">
            <v>MKT-1-9949347637</v>
          </cell>
        </row>
        <row r="1112">
          <cell r="A1112" t="e">
            <v>#VALUE!</v>
          </cell>
          <cell r="B1112" t="str">
            <v>Plano Oi Completo Mais</v>
          </cell>
          <cell r="C1112" t="str">
            <v>Template desconto FLAT Plano Principal Oi TV nível conta</v>
          </cell>
          <cell r="D1112" t="e">
            <v>#VALUE!</v>
          </cell>
          <cell r="E1112" t="str">
            <v>MKT-1-9949363632</v>
          </cell>
        </row>
        <row r="1113">
          <cell r="A1113" t="e">
            <v>#VALUE!</v>
          </cell>
          <cell r="B1113" t="str">
            <v>Plano Oi Completo Mais</v>
          </cell>
          <cell r="C1113" t="str">
            <v>Template desconto FLAT Plano Principal Oi TV nível conta</v>
          </cell>
          <cell r="D1113" t="e">
            <v>#VALUE!</v>
          </cell>
          <cell r="E1113" t="str">
            <v>MKT-1-9949412477</v>
          </cell>
        </row>
        <row r="1114">
          <cell r="A1114" t="e">
            <v>#VALUE!</v>
          </cell>
          <cell r="B1114" t="str">
            <v>Plano Oi Completo Mais</v>
          </cell>
          <cell r="C1114" t="str">
            <v>Template desconto FLAT Plano Principal Oi TV nível conta</v>
          </cell>
          <cell r="D1114" t="e">
            <v>#VALUE!</v>
          </cell>
          <cell r="E1114" t="str">
            <v>MKT-1-9949462092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</row>
        <row r="1120">
          <cell r="A1120" t="e">
            <v>#VALUE!</v>
          </cell>
          <cell r="B1120" t="str">
            <v>Oi Internet pra Celular 10GB</v>
          </cell>
          <cell r="C1120" t="str">
            <v>Template Flat Instância Dados</v>
          </cell>
          <cell r="D1120" t="e">
            <v>#VALUE!</v>
          </cell>
          <cell r="E1120" t="str">
            <v>MKT-1-10026870851</v>
          </cell>
        </row>
        <row r="1121">
          <cell r="A1121" t="e">
            <v>#VALUE!</v>
          </cell>
          <cell r="B1121" t="str">
            <v>Oi Internet pra Celular 10GB</v>
          </cell>
          <cell r="C1121" t="str">
            <v>Template Flat Instância Dados</v>
          </cell>
          <cell r="D1121" t="e">
            <v>#VALUE!</v>
          </cell>
          <cell r="E1121" t="str">
            <v>MKT-1-10026929038</v>
          </cell>
        </row>
        <row r="1122">
          <cell r="A1122" t="e">
            <v>#VALUE!</v>
          </cell>
          <cell r="B1122" t="str">
            <v>Oi Internet pra Celular 5GB</v>
          </cell>
          <cell r="C1122" t="str">
            <v>Template Flat Instância Dados</v>
          </cell>
          <cell r="D1122" t="e">
            <v>#VALUE!</v>
          </cell>
          <cell r="E1122" t="str">
            <v>MKT-1-10026936331</v>
          </cell>
        </row>
        <row r="1123">
          <cell r="A1123" t="e">
            <v>#VALUE!</v>
          </cell>
          <cell r="B1123" t="str">
            <v>Oi Internet pra Celular 5GB</v>
          </cell>
          <cell r="C1123" t="str">
            <v>Template Flat Instância Dados</v>
          </cell>
          <cell r="D1123" t="e">
            <v>#VALUE!</v>
          </cell>
          <cell r="E1123" t="str">
            <v>MKT-1-10026957881</v>
          </cell>
        </row>
        <row r="1124">
          <cell r="A1124" t="e">
            <v>#VALUE!</v>
          </cell>
          <cell r="B1124" t="str">
            <v>Oi Internet pra Celular 5GB</v>
          </cell>
          <cell r="C1124" t="str">
            <v>Template Flat Instância Dados</v>
          </cell>
          <cell r="D1124" t="e">
            <v>#VALUE!</v>
          </cell>
          <cell r="E1124" t="str">
            <v>MKT-1-10026973411</v>
          </cell>
        </row>
        <row r="1125">
          <cell r="A1125" t="e">
            <v>#VALUE!</v>
          </cell>
          <cell r="B1125" t="str">
            <v>Oi Internet pra Celular 5GB</v>
          </cell>
          <cell r="C1125" t="str">
            <v>Template Flat Instância Dados</v>
          </cell>
          <cell r="D1125" t="e">
            <v>#VALUE!</v>
          </cell>
          <cell r="E1125" t="str">
            <v>MKT-1-10026973791</v>
          </cell>
        </row>
        <row r="1126">
          <cell r="A1126" t="e">
            <v>#VALUE!</v>
          </cell>
          <cell r="B1126" t="str">
            <v>Oi Internet pra Celular 3GB</v>
          </cell>
          <cell r="C1126" t="str">
            <v>Template Flat Instância Dados</v>
          </cell>
          <cell r="D1126" t="e">
            <v>#VALUE!</v>
          </cell>
          <cell r="E1126" t="str">
            <v>MKT-1-10026974171</v>
          </cell>
        </row>
        <row r="1127">
          <cell r="A1127" t="e">
            <v>#VALUE!</v>
          </cell>
          <cell r="B1127" t="str">
            <v>Plano Oi Completo 1.000</v>
          </cell>
          <cell r="C1127" t="str">
            <v>Template desconto FLAT Plano Principal Oi TV nível conta</v>
          </cell>
          <cell r="D1127" t="e">
            <v>#VALUE!</v>
          </cell>
          <cell r="E1127" t="str">
            <v>MKT-1-10027248104</v>
          </cell>
        </row>
        <row r="1128">
          <cell r="A1128" t="e">
            <v>#VALUE!</v>
          </cell>
          <cell r="B1128" t="str">
            <v>Plano Oi Completo 1.000</v>
          </cell>
          <cell r="C1128" t="str">
            <v>Template desconto FLAT Plano Principal Oi TV nível conta</v>
          </cell>
          <cell r="D1128" t="e">
            <v>#VALUE!</v>
          </cell>
          <cell r="E1128" t="str">
            <v>MKT-1-10027280381</v>
          </cell>
        </row>
        <row r="1129">
          <cell r="A1129" t="e">
            <v>#VALUE!</v>
          </cell>
          <cell r="B1129" t="str">
            <v>Plano Oi Completo 1.000</v>
          </cell>
          <cell r="C1129" t="str">
            <v>Template desconto FLAT Plano Principal Oi TV nível conta</v>
          </cell>
          <cell r="D1129" t="e">
            <v>#VALUE!</v>
          </cell>
          <cell r="E1129" t="str">
            <v>MKT-1-10027807931</v>
          </cell>
        </row>
        <row r="1130">
          <cell r="A1130" t="e">
            <v>#VALUE!</v>
          </cell>
          <cell r="B1130" t="str">
            <v>Plano Oi Completo 1.000</v>
          </cell>
          <cell r="C1130" t="str">
            <v>Template desconto FLAT Plano Principal Oi TV nível conta</v>
          </cell>
          <cell r="D1130" t="e">
            <v>#VALUE!</v>
          </cell>
          <cell r="E1130" t="str">
            <v>MKT-1-10028039652</v>
          </cell>
        </row>
        <row r="1131">
          <cell r="A1131" t="e">
            <v>#VALUE!</v>
          </cell>
          <cell r="B1131" t="str">
            <v>Plano Oi Completo XSmall</v>
          </cell>
          <cell r="C1131" t="str">
            <v>Template desconto FLAT Plano Principal Oi TV nível conta</v>
          </cell>
          <cell r="D1131" t="e">
            <v>#VALUE!</v>
          </cell>
          <cell r="E1131" t="str">
            <v>MKT-1-10029270831</v>
          </cell>
        </row>
        <row r="1132">
          <cell r="A1132" t="e">
            <v>#VALUE!</v>
          </cell>
          <cell r="B1132" t="str">
            <v>Plano Oi Completo Small</v>
          </cell>
          <cell r="C1132" t="str">
            <v>Template desconto FLAT Plano Principal Oi TV nível conta</v>
          </cell>
          <cell r="D1132" t="e">
            <v>#VALUE!</v>
          </cell>
          <cell r="E1132" t="str">
            <v>MKT-1-10029271101</v>
          </cell>
        </row>
        <row r="1133">
          <cell r="A1133" t="e">
            <v>#VALUE!</v>
          </cell>
          <cell r="B1133" t="str">
            <v>Plano Oi Completo XSmall</v>
          </cell>
          <cell r="C1133" t="str">
            <v>Template desconto FLAT Plano Principal Oi TV nível conta</v>
          </cell>
          <cell r="D1133" t="e">
            <v>#VALUE!</v>
          </cell>
          <cell r="E1133" t="str">
            <v>MKT-1-10029278791</v>
          </cell>
        </row>
        <row r="1134">
          <cell r="A1134" t="e">
            <v>#VALUE!</v>
          </cell>
          <cell r="B1134" t="str">
            <v>Plano Oi Completo XSmall</v>
          </cell>
          <cell r="C1134" t="str">
            <v>Template desconto FLAT Plano Principal Oi TV nível conta</v>
          </cell>
          <cell r="D1134" t="e">
            <v>#VALUE!</v>
          </cell>
          <cell r="E1134" t="str">
            <v>MKT-1-10029279061</v>
          </cell>
        </row>
        <row r="1135">
          <cell r="A1135" t="e">
            <v>#VALUE!</v>
          </cell>
          <cell r="B1135" t="str">
            <v>Plano Oi Completo XSmall</v>
          </cell>
          <cell r="C1135" t="str">
            <v>Template desconto FLAT Plano Principal Oi TV nível conta</v>
          </cell>
          <cell r="D1135" t="e">
            <v>#VALUE!</v>
          </cell>
          <cell r="E1135" t="str">
            <v>MKT-1-10029315481</v>
          </cell>
        </row>
        <row r="1136">
          <cell r="A1136" t="e">
            <v>#VALUE!</v>
          </cell>
          <cell r="B1136" t="str">
            <v>Plano Oi Completo Small</v>
          </cell>
          <cell r="C1136" t="str">
            <v>Template desconto FLAT Plano Principal Oi TV nível conta</v>
          </cell>
          <cell r="D1136" t="e">
            <v>#VALUE!</v>
          </cell>
          <cell r="E1136" t="str">
            <v>MKT-1-10029315751</v>
          </cell>
        </row>
        <row r="1137">
          <cell r="A1137" t="e">
            <v>#VALUE!</v>
          </cell>
          <cell r="B1137" t="str">
            <v>Plano Oi Completo XSmall</v>
          </cell>
          <cell r="C1137" t="str">
            <v>Template desconto FLAT Plano Principal Oi TV nível conta</v>
          </cell>
          <cell r="D1137" t="e">
            <v>#VALUE!</v>
          </cell>
          <cell r="E1137" t="str">
            <v>MKT-1-10029319491</v>
          </cell>
        </row>
        <row r="1138">
          <cell r="A1138" t="e">
            <v>#VALUE!</v>
          </cell>
          <cell r="B1138" t="str">
            <v>Plano Oi Completo Small</v>
          </cell>
          <cell r="C1138" t="str">
            <v>Template desconto FLAT Plano Principal Oi TV nível conta</v>
          </cell>
          <cell r="D1138" t="e">
            <v>#VALUE!</v>
          </cell>
          <cell r="E1138" t="str">
            <v>MKT-1-10029319761</v>
          </cell>
        </row>
        <row r="1139">
          <cell r="A1139" t="e">
            <v>#VALUE!</v>
          </cell>
          <cell r="B1139" t="str">
            <v>Plano Oi Completo Medium</v>
          </cell>
          <cell r="C1139" t="str">
            <v>Template desconto FLAT Plano Principal Oi TV nível conta</v>
          </cell>
          <cell r="D1139" t="e">
            <v>#VALUE!</v>
          </cell>
          <cell r="E1139" t="str">
            <v>MKT-1-10029320031</v>
          </cell>
        </row>
        <row r="1140">
          <cell r="A1140" t="e">
            <v>#VALUE!</v>
          </cell>
          <cell r="B1140" t="str">
            <v>Plano Oi Completo XSmall</v>
          </cell>
          <cell r="C1140" t="str">
            <v>Template desconto FLAT Plano Principal Oi TV nível conta</v>
          </cell>
          <cell r="D1140" t="e">
            <v>#VALUE!</v>
          </cell>
          <cell r="E1140" t="str">
            <v>MKT-1-10029326331</v>
          </cell>
        </row>
        <row r="1141">
          <cell r="A1141" t="e">
            <v>#VALUE!</v>
          </cell>
          <cell r="B1141" t="str">
            <v>Plano Oi Completo XSmall</v>
          </cell>
          <cell r="C1141" t="str">
            <v>Template desconto FLAT Plano Principal Oi TV nível conta</v>
          </cell>
          <cell r="D1141" t="e">
            <v>#VALUE!</v>
          </cell>
          <cell r="E1141" t="str">
            <v>MKT-1-10029326601</v>
          </cell>
        </row>
        <row r="1142">
          <cell r="A1142" t="e">
            <v>#VALUE!</v>
          </cell>
          <cell r="B1142" t="str">
            <v>Plano Oi Completo XSmall</v>
          </cell>
          <cell r="C1142" t="str">
            <v>Template desconto FLAT Plano Principal Oi TV nível conta</v>
          </cell>
          <cell r="D1142" t="e">
            <v>#VALUE!</v>
          </cell>
          <cell r="E1142" t="str">
            <v>MKT-1-10029326871</v>
          </cell>
        </row>
        <row r="1143">
          <cell r="A1143" t="e">
            <v>#VALUE!</v>
          </cell>
          <cell r="B1143" t="str">
            <v>Plano Oi Completo XSmall</v>
          </cell>
          <cell r="C1143" t="str">
            <v>Template desconto FLAT Plano Principal Oi TV nível conta</v>
          </cell>
          <cell r="D1143" t="e">
            <v>#VALUE!</v>
          </cell>
          <cell r="E1143" t="str">
            <v>MKT-1-10029327141</v>
          </cell>
        </row>
        <row r="1144">
          <cell r="A1144" t="e">
            <v>#VALUE!</v>
          </cell>
          <cell r="B1144" t="str">
            <v>Plano Oi Completo Small</v>
          </cell>
          <cell r="C1144" t="str">
            <v>Template desconto FLAT Plano Principal Oi TV nível conta</v>
          </cell>
          <cell r="D1144" t="e">
            <v>#VALUE!</v>
          </cell>
          <cell r="E1144" t="str">
            <v>MKT-1-10029412411</v>
          </cell>
        </row>
        <row r="1145">
          <cell r="A1145" t="e">
            <v>#VALUE!</v>
          </cell>
          <cell r="B1145" t="str">
            <v>Plano Oi Completo Medium</v>
          </cell>
          <cell r="C1145" t="str">
            <v>Template desconto FLAT Plano Principal Oi TV nível conta</v>
          </cell>
          <cell r="D1145" t="e">
            <v>#VALUE!</v>
          </cell>
          <cell r="E1145" t="str">
            <v>MKT-1-10029526301</v>
          </cell>
        </row>
        <row r="1146">
          <cell r="A1146" t="e">
            <v>#VALUE!</v>
          </cell>
          <cell r="B1146" t="str">
            <v>Plano Oi Completo Medium</v>
          </cell>
          <cell r="C1146" t="str">
            <v>Template desconto FLAT Plano Principal Oi TV nível conta</v>
          </cell>
          <cell r="D1146" t="e">
            <v>#VALUE!</v>
          </cell>
          <cell r="E1146" t="str">
            <v>MKT-1-10029526571</v>
          </cell>
        </row>
        <row r="1147">
          <cell r="A1147" t="e">
            <v>#VALUE!</v>
          </cell>
          <cell r="B1147" t="str">
            <v>Plano Oi Completo Medium</v>
          </cell>
          <cell r="C1147" t="str">
            <v>Template desconto FLAT Plano Principal Oi TV nível conta</v>
          </cell>
          <cell r="D1147" t="e">
            <v>#VALUE!</v>
          </cell>
          <cell r="E1147" t="str">
            <v>MKT-1-10029526911</v>
          </cell>
        </row>
        <row r="1148">
          <cell r="A1148" t="e">
            <v>#VALUE!</v>
          </cell>
          <cell r="B1148" t="str">
            <v>Plano Oi Completo Medium</v>
          </cell>
          <cell r="C1148" t="str">
            <v>Template desconto FLAT Plano Principal Oi TV nível conta</v>
          </cell>
          <cell r="D1148" t="e">
            <v>#VALUE!</v>
          </cell>
          <cell r="E1148" t="str">
            <v>MKT-1-10029527181</v>
          </cell>
        </row>
        <row r="1149">
          <cell r="A1149" t="e">
            <v>#VALUE!</v>
          </cell>
          <cell r="B1149" t="str">
            <v>Plano Oi Completo Medium</v>
          </cell>
          <cell r="C1149" t="str">
            <v>Template desconto FLAT Plano Principal Oi TV nível conta</v>
          </cell>
          <cell r="D1149" t="e">
            <v>#VALUE!</v>
          </cell>
          <cell r="E1149" t="str">
            <v>MKT-1-10029703891</v>
          </cell>
        </row>
        <row r="1150">
          <cell r="A1150" t="e">
            <v>#VALUE!</v>
          </cell>
          <cell r="B1150" t="str">
            <v>Plano Oi Completo Medium</v>
          </cell>
          <cell r="C1150" t="str">
            <v>Template desconto FLAT Plano Principal Oi TV nível conta</v>
          </cell>
          <cell r="D1150" t="e">
            <v>#VALUE!</v>
          </cell>
          <cell r="E1150" t="str">
            <v>MKT-1-10029769451</v>
          </cell>
        </row>
        <row r="1151">
          <cell r="A1151" t="e">
            <v>#VALUE!</v>
          </cell>
          <cell r="B1151" t="str">
            <v>Plano Oi Completo Medium</v>
          </cell>
          <cell r="C1151" t="str">
            <v>Template desconto FLAT Plano Principal Oi TV nível conta</v>
          </cell>
          <cell r="D1151" t="e">
            <v>#VALUE!</v>
          </cell>
          <cell r="E1151" t="str">
            <v>MKT-1-10029769721</v>
          </cell>
        </row>
        <row r="1152">
          <cell r="A1152" t="e">
            <v>#VALUE!</v>
          </cell>
          <cell r="B1152" t="str">
            <v>Plano Oi Completo Medium</v>
          </cell>
          <cell r="C1152" t="str">
            <v>Template desconto FLAT Plano Principal Oi TV nível conta</v>
          </cell>
          <cell r="D1152" t="e">
            <v>#VALUE!</v>
          </cell>
          <cell r="E1152" t="str">
            <v>MKT-1-10029769991</v>
          </cell>
        </row>
        <row r="1153">
          <cell r="A1153" t="e">
            <v>#VALUE!</v>
          </cell>
          <cell r="B1153" t="str">
            <v>Plano Oi Completo Medium</v>
          </cell>
          <cell r="C1153" t="str">
            <v>Template desconto FLAT Plano Principal Oi TV nível conta</v>
          </cell>
          <cell r="D1153" t="e">
            <v>#VALUE!</v>
          </cell>
          <cell r="E1153" t="str">
            <v>MKT-1-10029770261</v>
          </cell>
        </row>
        <row r="1154">
          <cell r="A1154" t="e">
            <v>#VALUE!</v>
          </cell>
          <cell r="B1154" t="str">
            <v>Plano Oi Completo Medium</v>
          </cell>
          <cell r="C1154" t="str">
            <v>Template desconto FLAT Plano Principal Oi TV nível conta</v>
          </cell>
          <cell r="D1154" t="e">
            <v>#VALUE!</v>
          </cell>
          <cell r="E1154" t="str">
            <v>MKT-1-10029771391</v>
          </cell>
        </row>
        <row r="1155">
          <cell r="A1155" t="e">
            <v>#VALUE!</v>
          </cell>
          <cell r="B1155" t="str">
            <v>Plano Oi Completo Large</v>
          </cell>
          <cell r="C1155" t="str">
            <v>Template desconto FLAT Plano Principal Oi TV nível conta</v>
          </cell>
          <cell r="D1155" t="e">
            <v>#VALUE!</v>
          </cell>
          <cell r="E1155" t="str">
            <v>MKT-1-10029831181</v>
          </cell>
        </row>
        <row r="1156">
          <cell r="A1156" t="e">
            <v>#VALUE!</v>
          </cell>
          <cell r="B1156" t="str">
            <v>Plano Oi Completo Large</v>
          </cell>
          <cell r="C1156" t="str">
            <v>Template desconto FLAT Plano Principal Oi TV nível conta</v>
          </cell>
          <cell r="D1156" t="e">
            <v>#VALUE!</v>
          </cell>
          <cell r="E1156" t="str">
            <v>MKT-1-10029922751</v>
          </cell>
        </row>
        <row r="1157">
          <cell r="A1157" t="e">
            <v>#VALUE!</v>
          </cell>
          <cell r="B1157" t="str">
            <v>Plano Oi Completo Large</v>
          </cell>
          <cell r="C1157" t="str">
            <v>Template desconto FLAT Plano Principal Oi TV nível conta</v>
          </cell>
          <cell r="D1157" t="e">
            <v>#VALUE!</v>
          </cell>
          <cell r="E1157" t="str">
            <v>MKT-1-10029923151</v>
          </cell>
        </row>
        <row r="1158">
          <cell r="A1158" t="e">
            <v>#VALUE!</v>
          </cell>
          <cell r="B1158" t="str">
            <v>Plano Oi Completo Large</v>
          </cell>
          <cell r="C1158" t="str">
            <v>Template desconto FLAT Plano Principal Oi TV nível conta</v>
          </cell>
          <cell r="D1158" t="e">
            <v>#VALUE!</v>
          </cell>
          <cell r="E1158" t="str">
            <v>MKT-1-10029928131</v>
          </cell>
        </row>
        <row r="1159">
          <cell r="A1159" t="e">
            <v>#VALUE!</v>
          </cell>
          <cell r="B1159" t="str">
            <v>Plano Oi Completo Large</v>
          </cell>
          <cell r="C1159" t="str">
            <v>Template desconto FLAT Plano Principal Oi TV nível conta</v>
          </cell>
          <cell r="D1159" t="e">
            <v>#VALUE!</v>
          </cell>
          <cell r="E1159" t="str">
            <v>MKT-1-10031791401</v>
          </cell>
        </row>
        <row r="1160">
          <cell r="A1160" t="e">
            <v>#VALUE!</v>
          </cell>
          <cell r="B1160" t="str">
            <v>Plano Oi Completo Large</v>
          </cell>
          <cell r="C1160" t="str">
            <v>Template desconto FLAT Plano Principal Oi TV nível conta</v>
          </cell>
          <cell r="D1160" t="e">
            <v>#VALUE!</v>
          </cell>
          <cell r="E1160" t="str">
            <v>MKT-1-10031791671</v>
          </cell>
        </row>
        <row r="1161">
          <cell r="A1161" t="e">
            <v>#VALUE!</v>
          </cell>
          <cell r="B1161" t="str">
            <v>Plano Oi Completo Large</v>
          </cell>
          <cell r="C1161" t="str">
            <v>Template desconto FLAT Plano Principal Oi TV nível conta</v>
          </cell>
          <cell r="D1161" t="e">
            <v>#VALUE!</v>
          </cell>
          <cell r="E1161" t="str">
            <v>MKT-1-10031791941</v>
          </cell>
        </row>
        <row r="1162">
          <cell r="A1162" t="e">
            <v>#VALUE!</v>
          </cell>
          <cell r="B1162" t="str">
            <v>Plano Oi Completo XLarge</v>
          </cell>
          <cell r="C1162" t="str">
            <v>Template desconto FLAT Plano Principal Oi TV nível conta</v>
          </cell>
          <cell r="D1162" t="e">
            <v>#VALUE!</v>
          </cell>
          <cell r="E1162" t="str">
            <v>MKT-1-10031792211</v>
          </cell>
        </row>
        <row r="1163">
          <cell r="A1163" t="e">
            <v>#VALUE!</v>
          </cell>
          <cell r="B1163" t="str">
            <v>Plano Oi Completo Large</v>
          </cell>
          <cell r="C1163" t="str">
            <v>Template desconto FLAT Plano Principal Oi TV nível conta</v>
          </cell>
          <cell r="D1163" t="e">
            <v>#VALUE!</v>
          </cell>
          <cell r="E1163" t="str">
            <v>MKT-1-10031800551</v>
          </cell>
        </row>
        <row r="1164">
          <cell r="A1164" t="e">
            <v>#VALUE!</v>
          </cell>
          <cell r="B1164" t="str">
            <v>Plano Oi Completo Large</v>
          </cell>
          <cell r="C1164" t="str">
            <v>Template desconto FLAT Plano Principal Oi TV nível conta</v>
          </cell>
          <cell r="D1164" t="e">
            <v>#VALUE!</v>
          </cell>
          <cell r="E1164" t="str">
            <v>MKT-1-10031813321</v>
          </cell>
        </row>
        <row r="1165">
          <cell r="A1165" t="e">
            <v>#VALUE!</v>
          </cell>
          <cell r="B1165" t="str">
            <v>Plano Oi Completo Large</v>
          </cell>
          <cell r="C1165" t="str">
            <v>Template desconto FLAT Plano Principal Oi TV nível conta</v>
          </cell>
          <cell r="D1165" t="e">
            <v>#VALUE!</v>
          </cell>
          <cell r="E1165" t="str">
            <v>MKT-1-10031838311</v>
          </cell>
        </row>
        <row r="1166">
          <cell r="A1166" t="e">
            <v>#VALUE!</v>
          </cell>
          <cell r="B1166" t="str">
            <v>Plano Oi Completo Large</v>
          </cell>
          <cell r="C1166" t="str">
            <v>Template desconto FLAT Plano Principal Oi TV nível conta</v>
          </cell>
          <cell r="D1166" t="e">
            <v>#VALUE!</v>
          </cell>
          <cell r="E1166" t="str">
            <v>MKT-1-10031838611</v>
          </cell>
        </row>
        <row r="1167">
          <cell r="A1167" t="e">
            <v>#VALUE!</v>
          </cell>
          <cell r="B1167" t="str">
            <v>Plano Oi Completo XLarge</v>
          </cell>
          <cell r="C1167" t="str">
            <v>Template desconto FLAT Plano Principal Oi TV nível conta</v>
          </cell>
          <cell r="D1167" t="e">
            <v>#VALUE!</v>
          </cell>
          <cell r="E1167" t="str">
            <v>MKT-1-10031838901</v>
          </cell>
        </row>
        <row r="1168">
          <cell r="A1168" t="e">
            <v>#VALUE!</v>
          </cell>
          <cell r="B1168" t="str">
            <v>Plano Oi Completo XLarge</v>
          </cell>
          <cell r="C1168" t="str">
            <v>Template desconto FLAT Plano Principal Oi TV nível conta</v>
          </cell>
          <cell r="D1168" t="e">
            <v>#VALUE!</v>
          </cell>
          <cell r="E1168" t="str">
            <v>MKT-1-10031858741</v>
          </cell>
        </row>
        <row r="1169">
          <cell r="A1169" t="e">
            <v>#VALUE!</v>
          </cell>
          <cell r="B1169" t="str">
            <v>Plano Oi Completo XLarge</v>
          </cell>
          <cell r="C1169" t="str">
            <v>Template desconto FLAT Plano Principal Oi TV nível conta</v>
          </cell>
          <cell r="D1169" t="e">
            <v>#VALUE!</v>
          </cell>
          <cell r="E1169" t="str">
            <v>MKT-1-10031859011</v>
          </cell>
        </row>
        <row r="1170">
          <cell r="A1170" t="e">
            <v>#VALUE!</v>
          </cell>
          <cell r="B1170" t="str">
            <v>Plano Oi Completo 500</v>
          </cell>
          <cell r="C1170" t="str">
            <v>Template desconto FLAT Plano Principal Oi TV nível conta</v>
          </cell>
          <cell r="D1170" t="e">
            <v>#VALUE!</v>
          </cell>
          <cell r="E1170" t="str">
            <v>MKT-1-10031859281</v>
          </cell>
        </row>
        <row r="1171">
          <cell r="A1171" t="e">
            <v>#VALUE!</v>
          </cell>
          <cell r="B1171" t="str">
            <v>Plano Oi Completo XLarge</v>
          </cell>
          <cell r="C1171" t="str">
            <v>Template desconto FLAT Plano Principal Oi TV nível conta</v>
          </cell>
          <cell r="D1171" t="e">
            <v>#VALUE!</v>
          </cell>
          <cell r="E1171" t="str">
            <v>MKT-1-10031864481</v>
          </cell>
        </row>
        <row r="1172">
          <cell r="A1172" t="e">
            <v>#VALUE!</v>
          </cell>
          <cell r="B1172" t="str">
            <v>Plano Oi Completo XLarge</v>
          </cell>
          <cell r="C1172" t="str">
            <v>Template desconto FLAT Plano Principal Oi TV nível conta</v>
          </cell>
          <cell r="D1172" t="e">
            <v>#VALUE!</v>
          </cell>
          <cell r="E1172" t="str">
            <v>MKT-1-10031864751</v>
          </cell>
        </row>
        <row r="1173">
          <cell r="A1173" t="e">
            <v>#VALUE!</v>
          </cell>
          <cell r="B1173" t="str">
            <v>Plano Oi Completo XLarge</v>
          </cell>
          <cell r="C1173" t="str">
            <v>Template desconto FLAT Plano Principal Oi TV nível conta</v>
          </cell>
          <cell r="D1173" t="e">
            <v>#VALUE!</v>
          </cell>
          <cell r="E1173" t="str">
            <v>MKT-1-10031865251</v>
          </cell>
        </row>
        <row r="1174">
          <cell r="A1174" t="e">
            <v>#VALUE!</v>
          </cell>
          <cell r="B1174" t="str">
            <v>Plano Oi Completo XLarge</v>
          </cell>
          <cell r="C1174" t="str">
            <v>Template desconto FLAT Plano Principal Oi TV nível conta</v>
          </cell>
          <cell r="D1174" t="e">
            <v>#VALUE!</v>
          </cell>
          <cell r="E1174" t="str">
            <v>MKT-1-10031879521</v>
          </cell>
        </row>
        <row r="1175">
          <cell r="A1175" t="e">
            <v>#VALUE!</v>
          </cell>
          <cell r="B1175" t="str">
            <v>Plano Oi Completo 500</v>
          </cell>
          <cell r="C1175" t="str">
            <v>Template desconto FLAT Plano Principal Oi TV nível conta</v>
          </cell>
          <cell r="D1175" t="e">
            <v>#VALUE!</v>
          </cell>
          <cell r="E1175" t="str">
            <v>MKT-1-10031879801</v>
          </cell>
        </row>
        <row r="1176">
          <cell r="A1176" t="e">
            <v>#VALUE!</v>
          </cell>
          <cell r="B1176" t="str">
            <v>Plano Oi Completo 500</v>
          </cell>
          <cell r="C1176" t="str">
            <v>Template desconto FLAT Plano Principal Oi TV nível conta</v>
          </cell>
          <cell r="D1176" t="e">
            <v>#VALUE!</v>
          </cell>
          <cell r="E1176" t="str">
            <v>MKT-1-10031880071</v>
          </cell>
        </row>
        <row r="1177">
          <cell r="A1177" t="e">
            <v>#VALUE!</v>
          </cell>
          <cell r="B1177" t="str">
            <v>Plano Oi Completo XLarge</v>
          </cell>
          <cell r="C1177" t="str">
            <v>Template desconto FLAT Plano Principal Oi TV nível conta</v>
          </cell>
          <cell r="D1177" t="e">
            <v>#VALUE!</v>
          </cell>
          <cell r="E1177" t="str">
            <v>MKT-1-10031884061</v>
          </cell>
        </row>
        <row r="1178">
          <cell r="A1178" t="e">
            <v>#VALUE!</v>
          </cell>
          <cell r="B1178" t="str">
            <v>Plano Oi Completo XLarge</v>
          </cell>
          <cell r="C1178" t="str">
            <v>Template desconto FLAT Plano Principal Oi TV nível conta</v>
          </cell>
          <cell r="D1178" t="e">
            <v>#VALUE!</v>
          </cell>
          <cell r="E1178" t="str">
            <v>MKT-1-10031915481</v>
          </cell>
        </row>
        <row r="1179">
          <cell r="A1179" t="e">
            <v>#VALUE!</v>
          </cell>
          <cell r="B1179" t="str">
            <v>Plano Oi Completo 500</v>
          </cell>
          <cell r="C1179" t="str">
            <v>Template desconto FLAT Plano Principal Oi TV nível conta</v>
          </cell>
          <cell r="D1179" t="e">
            <v>#VALUE!</v>
          </cell>
          <cell r="E1179" t="str">
            <v>MKT-1-10031915841</v>
          </cell>
        </row>
        <row r="1180">
          <cell r="A1180" t="e">
            <v>#VALUE!</v>
          </cell>
          <cell r="B1180" t="str">
            <v>Plano Oi Completo 500</v>
          </cell>
          <cell r="C1180" t="str">
            <v>Template desconto FLAT Plano Principal Oi TV nível conta</v>
          </cell>
          <cell r="D1180" t="e">
            <v>#VALUE!</v>
          </cell>
          <cell r="E1180" t="str">
            <v>MKT-1-10031925551</v>
          </cell>
        </row>
        <row r="1181">
          <cell r="A1181" t="e">
            <v>#VALUE!</v>
          </cell>
          <cell r="B1181" t="str">
            <v>Plano Oi Completo 500</v>
          </cell>
          <cell r="C1181" t="str">
            <v>Template desconto FLAT Plano Principal Oi TV nível conta</v>
          </cell>
          <cell r="D1181" t="e">
            <v>#VALUE!</v>
          </cell>
          <cell r="E1181" t="str">
            <v>MKT-1-10031939141</v>
          </cell>
        </row>
        <row r="1182">
          <cell r="A1182" t="e">
            <v>#VALUE!</v>
          </cell>
          <cell r="B1182" t="str">
            <v>Plano Oi Completo 500</v>
          </cell>
          <cell r="C1182" t="str">
            <v>Template desconto FLAT Plano Principal Oi TV nível conta</v>
          </cell>
          <cell r="D1182" t="e">
            <v>#VALUE!</v>
          </cell>
          <cell r="E1182" t="str">
            <v>MKT-1-10031961551</v>
          </cell>
        </row>
        <row r="1183">
          <cell r="A1183" t="e">
            <v>#VALUE!</v>
          </cell>
          <cell r="B1183" t="str">
            <v>Plano Oi Completo 500</v>
          </cell>
          <cell r="C1183" t="str">
            <v>Template desconto FLAT Plano Principal Oi TV nível conta</v>
          </cell>
          <cell r="D1183" t="e">
            <v>#VALUE!</v>
          </cell>
          <cell r="E1183" t="str">
            <v>MKT-1-10031961891</v>
          </cell>
        </row>
        <row r="1184">
          <cell r="A1184" t="e">
            <v>#VALUE!</v>
          </cell>
          <cell r="B1184" t="str">
            <v>Plano Oi Completo 500</v>
          </cell>
          <cell r="C1184" t="str">
            <v>Template desconto FLAT Plano Principal Oi TV nível conta</v>
          </cell>
          <cell r="D1184" t="e">
            <v>#VALUE!</v>
          </cell>
          <cell r="E1184" t="str">
            <v>MKT-1-10031962251</v>
          </cell>
        </row>
        <row r="1185">
          <cell r="A1185" t="e">
            <v>#VALUE!</v>
          </cell>
          <cell r="B1185" t="str">
            <v>Plano Oi Completo 500</v>
          </cell>
          <cell r="C1185" t="str">
            <v>Template desconto FLAT Plano Principal Oi TV nível conta</v>
          </cell>
          <cell r="D1185" t="e">
            <v>#VALUE!</v>
          </cell>
          <cell r="E1185" t="str">
            <v>MKT-1-10031971521</v>
          </cell>
        </row>
        <row r="1186">
          <cell r="A1186" t="e">
            <v>#VALUE!</v>
          </cell>
          <cell r="B1186" t="str">
            <v>Plano Oi Completo 500</v>
          </cell>
          <cell r="C1186" t="str">
            <v>Template desconto FLAT Plano Principal Oi TV nível conta</v>
          </cell>
          <cell r="D1186" t="e">
            <v>#VALUE!</v>
          </cell>
          <cell r="E1186" t="str">
            <v>MKT-1-10031971791</v>
          </cell>
        </row>
        <row r="1187">
          <cell r="A1187" t="e">
            <v>#VALUE!</v>
          </cell>
          <cell r="B1187" t="str">
            <v>Plano Oi Completo Mais</v>
          </cell>
          <cell r="C1187" t="str">
            <v>Template desconto FLAT Plano Principal Oi TV nível conta</v>
          </cell>
          <cell r="D1187" t="e">
            <v>#VALUE!</v>
          </cell>
          <cell r="E1187" t="str">
            <v>MKT-1-10031989341</v>
          </cell>
        </row>
        <row r="1188">
          <cell r="A1188" t="e">
            <v>#VALUE!</v>
          </cell>
          <cell r="B1188" t="str">
            <v>Plano Oi Completo XSmall</v>
          </cell>
          <cell r="C1188" t="str">
            <v>Template desconto FLAT Plano Principal Oi TV nível conta</v>
          </cell>
          <cell r="D1188" t="e">
            <v>#VALUE!</v>
          </cell>
          <cell r="E1188" t="str">
            <v>MKT-1-10031989611</v>
          </cell>
        </row>
        <row r="1189">
          <cell r="A1189" t="e">
            <v>#VALUE!</v>
          </cell>
          <cell r="B1189" t="str">
            <v>Plano Oi Completo XLarge</v>
          </cell>
          <cell r="C1189" t="str">
            <v>Template desconto FLAT Plano Principal Oi TV nível conta</v>
          </cell>
          <cell r="D1189" t="e">
            <v>#VALUE!</v>
          </cell>
          <cell r="E1189" t="str">
            <v>MKT-1-10031989881</v>
          </cell>
        </row>
        <row r="1190">
          <cell r="A1190" t="e">
            <v>#VALUE!</v>
          </cell>
          <cell r="B1190" t="str">
            <v>Plano Oi Completo XSmall</v>
          </cell>
          <cell r="C1190" t="str">
            <v>Template desconto FLAT Plano Principal Oi TV nível conta</v>
          </cell>
          <cell r="D1190" t="e">
            <v>#VALUE!</v>
          </cell>
          <cell r="E1190" t="str">
            <v>MKT-1-10038525531</v>
          </cell>
        </row>
        <row r="1191">
          <cell r="A1191" t="e">
            <v>#VALUE!</v>
          </cell>
          <cell r="B1191" t="str">
            <v>Plano Oi Completo Medium</v>
          </cell>
          <cell r="C1191" t="str">
            <v>Template desconto FLAT Plano Principal Oi TV nível conta</v>
          </cell>
          <cell r="D1191" t="e">
            <v>#VALUE!</v>
          </cell>
          <cell r="E1191" t="str">
            <v>MKT-1-10042252961</v>
          </cell>
        </row>
        <row r="1192">
          <cell r="A1192" t="e">
            <v>#VALUE!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 t="e">
            <v>#VALUE!</v>
          </cell>
          <cell r="E1192" t="str">
            <v>MKT-1-10027970111</v>
          </cell>
        </row>
        <row r="1193">
          <cell r="A1193" t="e">
            <v>#VALUE!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 t="e">
            <v>#VALUE!</v>
          </cell>
          <cell r="E1193" t="str">
            <v>MKT-1-10028040151</v>
          </cell>
        </row>
        <row r="1194">
          <cell r="A1194" t="e">
            <v>#VALUE!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 t="e">
            <v>#VALUE!</v>
          </cell>
          <cell r="E1194" t="str">
            <v>MKT-1-10029090291</v>
          </cell>
        </row>
        <row r="1195">
          <cell r="A1195" t="e">
            <v>#VALUE!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 t="e">
            <v>#VALUE!</v>
          </cell>
          <cell r="E1195" t="str">
            <v>MKT-1-10029174081</v>
          </cell>
        </row>
        <row r="1196">
          <cell r="A1196" t="e">
            <v>#VALUE!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 t="e">
            <v>#VALUE!</v>
          </cell>
          <cell r="E1196" t="str">
            <v>MKT-1-10029174291</v>
          </cell>
        </row>
        <row r="1197">
          <cell r="A1197" t="e">
            <v>#VALUE!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 t="e">
            <v>#VALUE!</v>
          </cell>
          <cell r="E1197" t="str">
            <v>MKT-1-10029211501</v>
          </cell>
        </row>
        <row r="1198">
          <cell r="A1198" t="e">
            <v>#VALUE!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 t="e">
            <v>#VALUE!</v>
          </cell>
          <cell r="E1198" t="str">
            <v>MKT-1-10029221321</v>
          </cell>
        </row>
        <row r="1199">
          <cell r="A1199" t="e">
            <v>#VALUE!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 t="e">
            <v>#VALUE!</v>
          </cell>
          <cell r="E1199" t="str">
            <v>MKT-1-10029221531</v>
          </cell>
        </row>
        <row r="1200">
          <cell r="A1200" t="e">
            <v>#VALUE!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 t="e">
            <v>#VALUE!</v>
          </cell>
          <cell r="E1200" t="str">
            <v>MKT-1-10029221741</v>
          </cell>
        </row>
        <row r="1201">
          <cell r="A1201" t="e">
            <v>#VALUE!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 t="e">
            <v>#VALUE!</v>
          </cell>
          <cell r="E1201" t="str">
            <v>MKT-1-10029221951</v>
          </cell>
        </row>
        <row r="1202">
          <cell r="A1202" t="e">
            <v>#VALUE!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 t="e">
            <v>#VALUE!</v>
          </cell>
          <cell r="E1202" t="str">
            <v>MKT-1-10029222161</v>
          </cell>
        </row>
        <row r="1203">
          <cell r="A1203" t="e">
            <v>#VALUE!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 t="e">
            <v>#VALUE!</v>
          </cell>
          <cell r="E1203" t="str">
            <v>MKT-1-10029230361</v>
          </cell>
        </row>
        <row r="1204">
          <cell r="A1204" t="e">
            <v>#VALUE!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 t="e">
            <v>#VALUE!</v>
          </cell>
          <cell r="E1204" t="str">
            <v>MKT-1-10029230571</v>
          </cell>
        </row>
        <row r="1205">
          <cell r="A1205" t="e">
            <v>#VALUE!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 t="e">
            <v>#VALUE!</v>
          </cell>
          <cell r="E1205" t="str">
            <v>MKT-1-10029230781</v>
          </cell>
        </row>
        <row r="1206">
          <cell r="A1206" t="e">
            <v>#VALUE!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 t="e">
            <v>#VALUE!</v>
          </cell>
          <cell r="E1206" t="str">
            <v>MKT-1-10029230991</v>
          </cell>
        </row>
        <row r="1207">
          <cell r="A1207" t="e">
            <v>#VALUE!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 t="e">
            <v>#VALUE!</v>
          </cell>
          <cell r="E1207" t="str">
            <v>MKT-1-10029231206</v>
          </cell>
        </row>
        <row r="1208">
          <cell r="A1208" t="e">
            <v>#VALUE!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 t="e">
            <v>#VALUE!</v>
          </cell>
          <cell r="E1208" t="str">
            <v>MKT-1-10029270411</v>
          </cell>
        </row>
        <row r="1209">
          <cell r="A1209" t="e">
            <v>#VALUE!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 t="e">
            <v>#VALUE!</v>
          </cell>
          <cell r="E1209" t="str">
            <v>MKT-1-10029270621</v>
          </cell>
        </row>
        <row r="1210">
          <cell r="A1210" t="e">
            <v>#VALUE!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 t="e">
            <v>#VALUE!</v>
          </cell>
          <cell r="E1210" t="str">
            <v>MKT-1-10029278371</v>
          </cell>
        </row>
        <row r="1211">
          <cell r="A1211" t="e">
            <v>#VALUE!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 t="e">
            <v>#VALUE!</v>
          </cell>
          <cell r="E1211" t="str">
            <v>MKT-1-10029278581</v>
          </cell>
        </row>
        <row r="1212">
          <cell r="A1212" t="e">
            <v>#VALUE!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 t="e">
            <v>#VALUE!</v>
          </cell>
          <cell r="E1212" t="str">
            <v>MKT-1-10029280491</v>
          </cell>
        </row>
        <row r="1213">
          <cell r="A1213" t="e">
            <v>#VALUE!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 t="e">
            <v>#VALUE!</v>
          </cell>
          <cell r="E1213" t="str">
            <v>MKT-1-10029850761</v>
          </cell>
        </row>
        <row r="1214">
          <cell r="A1214" t="e">
            <v>#VALUE!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 t="e">
            <v>#VALUE!</v>
          </cell>
          <cell r="E1214" t="str">
            <v>MKT-1-10031990161</v>
          </cell>
        </row>
        <row r="1215">
          <cell r="A1215" t="e">
            <v>#VALUE!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 t="e">
            <v>#VALUE!</v>
          </cell>
          <cell r="E1215" t="str">
            <v>MKT-1-10032051381</v>
          </cell>
        </row>
        <row r="1216">
          <cell r="A1216" t="e">
            <v>#VALUE!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 t="e">
            <v>#VALUE!</v>
          </cell>
          <cell r="E1216" t="str">
            <v>MKT-1-10032051591</v>
          </cell>
        </row>
        <row r="1217">
          <cell r="A1217" t="e">
            <v>#VALUE!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 t="e">
            <v>#VALUE!</v>
          </cell>
          <cell r="E1217" t="str">
            <v>MKT-1-10032051801</v>
          </cell>
        </row>
        <row r="1218">
          <cell r="A1218" t="e">
            <v>#VALUE!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 t="e">
            <v>#VALUE!</v>
          </cell>
          <cell r="E1218" t="str">
            <v>MKT-1-10032052011</v>
          </cell>
        </row>
        <row r="1219">
          <cell r="A1219" t="e">
            <v>#VALUE!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 t="e">
            <v>#VALUE!</v>
          </cell>
          <cell r="E1219" t="str">
            <v>MKT-1-10032055351</v>
          </cell>
        </row>
        <row r="1220">
          <cell r="A1220" t="e">
            <v>#VALUE!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 t="e">
            <v>#VALUE!</v>
          </cell>
          <cell r="E1220" t="str">
            <v>MKT-1-10032055561</v>
          </cell>
        </row>
        <row r="1221">
          <cell r="A1221" t="e">
            <v>#VALUE!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 t="e">
            <v>#VALUE!</v>
          </cell>
          <cell r="E1221" t="str">
            <v>MKT-1-10032055771</v>
          </cell>
        </row>
        <row r="1222">
          <cell r="A1222" t="e">
            <v>#VALUE!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 t="e">
            <v>#VALUE!</v>
          </cell>
          <cell r="E1222" t="str">
            <v>MKT-1-10032055981</v>
          </cell>
        </row>
        <row r="1223">
          <cell r="A1223" t="e">
            <v>#VALUE!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 t="e">
            <v>#VALUE!</v>
          </cell>
          <cell r="E1223" t="str">
            <v>MKT-1-10032056211</v>
          </cell>
        </row>
        <row r="1224">
          <cell r="A1224" t="e">
            <v>#VALUE!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 t="e">
            <v>#VALUE!</v>
          </cell>
          <cell r="E1224" t="str">
            <v>MKT-1-10032119641</v>
          </cell>
        </row>
        <row r="1225">
          <cell r="A1225" t="e">
            <v>#VALUE!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 t="e">
            <v>#VALUE!</v>
          </cell>
          <cell r="E1225" t="str">
            <v>MKT-1-10032119851</v>
          </cell>
        </row>
        <row r="1226">
          <cell r="A1226" t="e">
            <v>#VALUE!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 t="e">
            <v>#VALUE!</v>
          </cell>
          <cell r="E1226" t="str">
            <v>MKT-1-10032120191</v>
          </cell>
        </row>
        <row r="1227">
          <cell r="A1227" t="e">
            <v>#VALUE!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 t="e">
            <v>#VALUE!</v>
          </cell>
          <cell r="E1227" t="str">
            <v>MKT-1-10032167441</v>
          </cell>
        </row>
        <row r="1228">
          <cell r="A1228" t="e">
            <v>#VALUE!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 t="e">
            <v>#VALUE!</v>
          </cell>
          <cell r="E1228" t="str">
            <v>MKT-1-10032167651</v>
          </cell>
        </row>
        <row r="1229">
          <cell r="A1229" t="e">
            <v>#VALUE!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 t="e">
            <v>#VALUE!</v>
          </cell>
          <cell r="E1229" t="str">
            <v>MKT-1-10032167861</v>
          </cell>
        </row>
        <row r="1230">
          <cell r="A1230" t="e">
            <v>#VALUE!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 t="e">
            <v>#VALUE!</v>
          </cell>
          <cell r="E1230" t="str">
            <v>MKT-1-10032168071</v>
          </cell>
        </row>
        <row r="1231">
          <cell r="A1231" t="e">
            <v>#VALUE!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 t="e">
            <v>#VALUE!</v>
          </cell>
          <cell r="E1231" t="str">
            <v>MKT-1-10032168281</v>
          </cell>
        </row>
        <row r="1232">
          <cell r="A1232" t="e">
            <v>#VALUE!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 t="e">
            <v>#VALUE!</v>
          </cell>
          <cell r="E1232" t="str">
            <v>MKT-1-10032248471</v>
          </cell>
        </row>
        <row r="1233">
          <cell r="A1233" t="e">
            <v>#VALUE!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 t="e">
            <v>#VALUE!</v>
          </cell>
          <cell r="E1233" t="str">
            <v>MKT-1-10032248681</v>
          </cell>
        </row>
        <row r="1234">
          <cell r="A1234" t="e">
            <v>#VALUE!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 t="e">
            <v>#VALUE!</v>
          </cell>
          <cell r="E1234" t="str">
            <v>MKT-1-10032248891</v>
          </cell>
        </row>
        <row r="1235">
          <cell r="A1235" t="e">
            <v>#VALUE!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 t="e">
            <v>#VALUE!</v>
          </cell>
          <cell r="E1235" t="str">
            <v>MKT-1-10032249101</v>
          </cell>
        </row>
        <row r="1236">
          <cell r="A1236" t="e">
            <v>#VALUE!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 t="e">
            <v>#VALUE!</v>
          </cell>
          <cell r="E1236" t="str">
            <v>MKT-1-10033063401</v>
          </cell>
        </row>
        <row r="1237">
          <cell r="A1237" t="e">
            <v>#VALUE!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 t="e">
            <v>#VALUE!</v>
          </cell>
          <cell r="E1237" t="str">
            <v>MKT-1-10033078311</v>
          </cell>
        </row>
        <row r="1238">
          <cell r="A1238" t="e">
            <v>#VALUE!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 t="e">
            <v>#VALUE!</v>
          </cell>
          <cell r="E1238" t="str">
            <v>MKT-1-10033078521</v>
          </cell>
        </row>
        <row r="1239">
          <cell r="A1239" t="e">
            <v>#VALUE!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 t="e">
            <v>#VALUE!</v>
          </cell>
          <cell r="E1239" t="str">
            <v>MKT-1-10033113780</v>
          </cell>
        </row>
        <row r="1240">
          <cell r="A1240" t="e">
            <v>#VALUE!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 t="e">
            <v>#VALUE!</v>
          </cell>
          <cell r="E1240" t="str">
            <v>MKT-1-10033113981</v>
          </cell>
        </row>
        <row r="1241">
          <cell r="A1241" t="e">
            <v>#VALUE!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 t="e">
            <v>#VALUE!</v>
          </cell>
          <cell r="E1241" t="str">
            <v>MKT-1-10033114191</v>
          </cell>
        </row>
        <row r="1242">
          <cell r="A1242" t="e">
            <v>#VALUE!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 t="e">
            <v>#VALUE!</v>
          </cell>
          <cell r="E1242" t="str">
            <v>MKT-1-10033167881</v>
          </cell>
        </row>
        <row r="1243">
          <cell r="A1243" t="e">
            <v>#VALUE!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 t="e">
            <v>#VALUE!</v>
          </cell>
          <cell r="E1243" t="str">
            <v>MKT-1-10033171401</v>
          </cell>
        </row>
        <row r="1244">
          <cell r="A1244" t="e">
            <v>#VALUE!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 t="e">
            <v>#VALUE!</v>
          </cell>
          <cell r="E1244" t="str">
            <v>MKT-1-10033171611</v>
          </cell>
        </row>
        <row r="1245">
          <cell r="A1245" t="e">
            <v>#VALUE!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 t="e">
            <v>#VALUE!</v>
          </cell>
          <cell r="E1245" t="str">
            <v>MKT-1-10033171821</v>
          </cell>
        </row>
        <row r="1246">
          <cell r="A1246" t="e">
            <v>#VALUE!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 t="e">
            <v>#VALUE!</v>
          </cell>
          <cell r="E1246" t="str">
            <v>MKT-1-10033172031</v>
          </cell>
        </row>
        <row r="1247">
          <cell r="A1247" t="e">
            <v>#VALUE!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 t="e">
            <v>#VALUE!</v>
          </cell>
          <cell r="E1247" t="str">
            <v>MKT-1-10033172241</v>
          </cell>
        </row>
        <row r="1248">
          <cell r="A1248" t="e">
            <v>#VALUE!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 t="e">
            <v>#VALUE!</v>
          </cell>
          <cell r="E1248" t="str">
            <v>MKT-1-10033196451</v>
          </cell>
        </row>
        <row r="1249">
          <cell r="A1249" t="e">
            <v>#VALUE!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 t="e">
            <v>#VALUE!</v>
          </cell>
          <cell r="E1249" t="str">
            <v>MKT-1-10033196661</v>
          </cell>
        </row>
        <row r="1250">
          <cell r="A1250" t="e">
            <v>#VALUE!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 t="e">
            <v>#VALUE!</v>
          </cell>
          <cell r="E1250" t="str">
            <v>MKT-1-10033196871</v>
          </cell>
        </row>
        <row r="1251">
          <cell r="A1251" t="e">
            <v>#VALUE!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 t="e">
            <v>#VALUE!</v>
          </cell>
          <cell r="E1251" t="str">
            <v>MKT-1-10033197081</v>
          </cell>
        </row>
        <row r="1252">
          <cell r="A1252" t="e">
            <v>#VALUE!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 t="e">
            <v>#VALUE!</v>
          </cell>
          <cell r="E1252" t="str">
            <v>MKT-1-10033203491</v>
          </cell>
        </row>
        <row r="1253">
          <cell r="A1253" t="e">
            <v>#VALUE!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 t="e">
            <v>#VALUE!</v>
          </cell>
          <cell r="E1253" t="str">
            <v>MKT-1-10033203701</v>
          </cell>
        </row>
        <row r="1254">
          <cell r="A1254" t="e">
            <v>#VALUE!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 t="e">
            <v>#VALUE!</v>
          </cell>
          <cell r="E1254" t="str">
            <v>MKT-1-10033203911</v>
          </cell>
        </row>
        <row r="1255">
          <cell r="A1255" t="e">
            <v>#VALUE!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 t="e">
            <v>#VALUE!</v>
          </cell>
          <cell r="E1255" t="str">
            <v>MKT-1-10033204121</v>
          </cell>
        </row>
        <row r="1256">
          <cell r="A1256" t="e">
            <v>#VALUE!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 t="e">
            <v>#VALUE!</v>
          </cell>
          <cell r="E1256" t="str">
            <v>MKT-1-10033218331</v>
          </cell>
        </row>
        <row r="1257">
          <cell r="A1257" t="e">
            <v>#VALUE!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 t="e">
            <v>#VALUE!</v>
          </cell>
          <cell r="E1257" t="str">
            <v>MKT-1-10033494431</v>
          </cell>
        </row>
        <row r="1258">
          <cell r="A1258" t="e">
            <v>#VALUE!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 t="e">
            <v>#VALUE!</v>
          </cell>
          <cell r="E1258" t="str">
            <v>MKT-1-10033504761</v>
          </cell>
        </row>
        <row r="1259">
          <cell r="A1259" t="e">
            <v>#VALUE!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 t="e">
            <v>#VALUE!</v>
          </cell>
          <cell r="E1259" t="str">
            <v>MKT-1-10044408309</v>
          </cell>
        </row>
        <row r="1260">
          <cell r="A1260" t="e">
            <v>#VALUE!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 t="e">
            <v>#VALUE!</v>
          </cell>
          <cell r="E1260" t="str">
            <v>MKT-1-10044457701</v>
          </cell>
        </row>
        <row r="1261">
          <cell r="A1261" t="e">
            <v>#VALUE!</v>
          </cell>
          <cell r="B1261" t="str">
            <v>Oi Internet pra Celular 1GB</v>
          </cell>
          <cell r="C1261" t="str">
            <v>Template Flat Instância Dados</v>
          </cell>
          <cell r="D1261" t="e">
            <v>#VALUE!</v>
          </cell>
          <cell r="E1261" t="str">
            <v>MKT-1-10037996881</v>
          </cell>
        </row>
        <row r="1262">
          <cell r="A1262" t="e">
            <v>#VALUE!</v>
          </cell>
          <cell r="B1262" t="str">
            <v>Oi Internet pra Celular 2GB</v>
          </cell>
          <cell r="C1262" t="str">
            <v>Template Flat Instância Dados</v>
          </cell>
          <cell r="D1262" t="e">
            <v>#VALUE!</v>
          </cell>
          <cell r="E1262" t="str">
            <v>MKT-1-10038291211</v>
          </cell>
        </row>
        <row r="1263">
          <cell r="A1263" t="e">
            <v>#VALUE!</v>
          </cell>
          <cell r="B1263" t="str">
            <v>Oi Internet pra Celular 5GB</v>
          </cell>
          <cell r="C1263" t="str">
            <v>Template Flat Instância Dados</v>
          </cell>
          <cell r="D1263" t="e">
            <v>#VALUE!</v>
          </cell>
          <cell r="E1263" t="str">
            <v>MKT-1-10038357701</v>
          </cell>
        </row>
        <row r="1264">
          <cell r="A1264" t="e">
            <v>#VALUE!</v>
          </cell>
          <cell r="B1264" t="str">
            <v>Oi Internet pra Celular 10GB</v>
          </cell>
          <cell r="C1264" t="str">
            <v>Template Flat Instância Dados</v>
          </cell>
          <cell r="D1264" t="e">
            <v>#VALUE!</v>
          </cell>
          <cell r="E1264" t="str">
            <v>MKT-1-10038358081</v>
          </cell>
        </row>
        <row r="1265">
          <cell r="A1265" t="e">
            <v>#VALUE!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 t="e">
            <v>#VALUE!</v>
          </cell>
          <cell r="E1265" t="str">
            <v>MKT-1-10029850761</v>
          </cell>
        </row>
        <row r="1266">
          <cell r="A1266" t="e">
            <v>#VALUE!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 t="e">
            <v>#VALUE!</v>
          </cell>
          <cell r="E1266" t="str">
            <v>MKT-1-10031990161</v>
          </cell>
        </row>
        <row r="1267">
          <cell r="A1267" t="e">
            <v>#VALUE!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 t="e">
            <v>#VALUE!</v>
          </cell>
          <cell r="E1267" t="str">
            <v>MKT-1-10032051381</v>
          </cell>
        </row>
        <row r="1268">
          <cell r="A1268" t="e">
            <v>#VALUE!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 t="e">
            <v>#VALUE!</v>
          </cell>
          <cell r="E1268" t="str">
            <v>MKT-1-10032051591</v>
          </cell>
        </row>
        <row r="1269">
          <cell r="A1269" t="e">
            <v>#VALUE!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 t="e">
            <v>#VALUE!</v>
          </cell>
          <cell r="E1269" t="str">
            <v>MKT-1-10032051801</v>
          </cell>
        </row>
        <row r="1270">
          <cell r="A1270" t="e">
            <v>#VALUE!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 t="e">
            <v>#VALUE!</v>
          </cell>
          <cell r="E1270" t="str">
            <v>MKT-1-10032052011</v>
          </cell>
        </row>
        <row r="1271">
          <cell r="A1271" t="e">
            <v>#VALUE!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 t="e">
            <v>#VALUE!</v>
          </cell>
          <cell r="E1271" t="str">
            <v>MKT-1-10032055351</v>
          </cell>
        </row>
        <row r="1272">
          <cell r="A1272" t="e">
            <v>#VALUE!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 t="e">
            <v>#VALUE!</v>
          </cell>
          <cell r="E1272" t="str">
            <v>MKT-1-10032055561</v>
          </cell>
        </row>
        <row r="1273">
          <cell r="A1273" t="e">
            <v>#VALUE!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 t="e">
            <v>#VALUE!</v>
          </cell>
          <cell r="E1273" t="str">
            <v>MKT-1-10032055771</v>
          </cell>
        </row>
        <row r="1274">
          <cell r="A1274" t="e">
            <v>#VALUE!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 t="e">
            <v>#VALUE!</v>
          </cell>
          <cell r="E1274" t="str">
            <v>MKT-1-10032055981</v>
          </cell>
        </row>
        <row r="1275">
          <cell r="A1275" t="e">
            <v>#VALUE!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 t="e">
            <v>#VALUE!</v>
          </cell>
          <cell r="E1275" t="str">
            <v>MKT-1-10032056211</v>
          </cell>
        </row>
        <row r="1276">
          <cell r="A1276" t="e">
            <v>#VALUE!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 t="e">
            <v>#VALUE!</v>
          </cell>
          <cell r="E1276" t="str">
            <v>MKT-1-10032119641</v>
          </cell>
        </row>
        <row r="1277">
          <cell r="A1277" t="e">
            <v>#VALUE!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 t="e">
            <v>#VALUE!</v>
          </cell>
          <cell r="E1277" t="str">
            <v>MKT-1-10032119851</v>
          </cell>
        </row>
        <row r="1278">
          <cell r="A1278" t="e">
            <v>#VALUE!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 t="e">
            <v>#VALUE!</v>
          </cell>
          <cell r="E1278" t="str">
            <v>MKT-1-10032120191</v>
          </cell>
        </row>
        <row r="1279">
          <cell r="A1279" t="e">
            <v>#VALUE!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 t="e">
            <v>#VALUE!</v>
          </cell>
          <cell r="E1279" t="str">
            <v>MKT-1-10032167441</v>
          </cell>
        </row>
        <row r="1280">
          <cell r="A1280" t="e">
            <v>#VALUE!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 t="e">
            <v>#VALUE!</v>
          </cell>
          <cell r="E1280" t="str">
            <v>MKT-1-10032167651</v>
          </cell>
        </row>
        <row r="1281">
          <cell r="A1281" t="e">
            <v>#VALUE!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 t="e">
            <v>#VALUE!</v>
          </cell>
          <cell r="E1281" t="str">
            <v>MKT-1-10032167861</v>
          </cell>
        </row>
        <row r="1282">
          <cell r="A1282" t="e">
            <v>#VALUE!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 t="e">
            <v>#VALUE!</v>
          </cell>
          <cell r="E1282" t="str">
            <v>MKT-1-10032168071</v>
          </cell>
        </row>
        <row r="1283">
          <cell r="A1283" t="e">
            <v>#VALUE!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 t="e">
            <v>#VALUE!</v>
          </cell>
          <cell r="E1283" t="str">
            <v>MKT-1-10032168281</v>
          </cell>
        </row>
        <row r="1284">
          <cell r="A1284" t="e">
            <v>#VALUE!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 t="e">
            <v>#VALUE!</v>
          </cell>
          <cell r="E1284" t="str">
            <v>MKT-1-10032248471</v>
          </cell>
        </row>
        <row r="1285">
          <cell r="A1285" t="e">
            <v>#VALUE!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 t="e">
            <v>#VALUE!</v>
          </cell>
          <cell r="E1285" t="str">
            <v>MKT-1-10032248681</v>
          </cell>
        </row>
        <row r="1286">
          <cell r="A1286" t="e">
            <v>#VALUE!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 t="e">
            <v>#VALUE!</v>
          </cell>
          <cell r="E1286" t="str">
            <v>MKT-1-10032248891</v>
          </cell>
        </row>
        <row r="1287">
          <cell r="A1287" t="e">
            <v>#VALUE!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 t="e">
            <v>#VALUE!</v>
          </cell>
          <cell r="E1287" t="str">
            <v>MKT-1-10032249101</v>
          </cell>
        </row>
        <row r="1288">
          <cell r="A1288" t="e">
            <v>#VALUE!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 t="e">
            <v>#VALUE!</v>
          </cell>
          <cell r="E1288" t="str">
            <v>MKT-1-10033063401</v>
          </cell>
        </row>
        <row r="1289">
          <cell r="A1289" t="e">
            <v>#VALUE!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 t="e">
            <v>#VALUE!</v>
          </cell>
          <cell r="E1289" t="str">
            <v>MKT-1-10033078311</v>
          </cell>
        </row>
        <row r="1290">
          <cell r="A1290" t="e">
            <v>#VALUE!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 t="e">
            <v>#VALUE!</v>
          </cell>
          <cell r="E1290" t="str">
            <v>MKT-1-10033078521</v>
          </cell>
        </row>
        <row r="1291">
          <cell r="A1291" t="e">
            <v>#VALUE!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 t="e">
            <v>#VALUE!</v>
          </cell>
          <cell r="E1291" t="str">
            <v>MKT-1-10033113780</v>
          </cell>
        </row>
        <row r="1292">
          <cell r="A1292" t="e">
            <v>#VALUE!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 t="e">
            <v>#VALUE!</v>
          </cell>
          <cell r="E1292" t="str">
            <v>MKT-1-10033113981</v>
          </cell>
        </row>
        <row r="1293">
          <cell r="A1293" t="e">
            <v>#VALUE!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 t="e">
            <v>#VALUE!</v>
          </cell>
          <cell r="E1293" t="str">
            <v>MKT-1-10033114191</v>
          </cell>
        </row>
        <row r="1294">
          <cell r="A1294" t="e">
            <v>#VALUE!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 t="e">
            <v>#VALUE!</v>
          </cell>
          <cell r="E1294" t="str">
            <v>MKT-1-10033167881</v>
          </cell>
        </row>
        <row r="1295">
          <cell r="A1295" t="e">
            <v>#VALUE!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 t="e">
            <v>#VALUE!</v>
          </cell>
          <cell r="E1295" t="str">
            <v>MKT-1-10033171401</v>
          </cell>
        </row>
        <row r="1296">
          <cell r="A1296" t="e">
            <v>#VALUE!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 t="e">
            <v>#VALUE!</v>
          </cell>
          <cell r="E1296" t="str">
            <v>MKT-1-10033171611</v>
          </cell>
        </row>
        <row r="1297">
          <cell r="A1297" t="e">
            <v>#VALUE!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 t="e">
            <v>#VALUE!</v>
          </cell>
          <cell r="E1297" t="str">
            <v>MKT-1-10033171821</v>
          </cell>
        </row>
        <row r="1298">
          <cell r="A1298" t="e">
            <v>#VALUE!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 t="e">
            <v>#VALUE!</v>
          </cell>
          <cell r="E1298" t="str">
            <v>MKT-1-10033172031</v>
          </cell>
        </row>
        <row r="1299">
          <cell r="A1299" t="e">
            <v>#VALUE!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 t="e">
            <v>#VALUE!</v>
          </cell>
          <cell r="E1299" t="str">
            <v>MKT-1-10033172241</v>
          </cell>
        </row>
        <row r="1300">
          <cell r="A1300" t="e">
            <v>#VALUE!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 t="e">
            <v>#VALUE!</v>
          </cell>
          <cell r="E1300" t="str">
            <v>MKT-1-10033196451</v>
          </cell>
        </row>
        <row r="1301">
          <cell r="A1301" t="e">
            <v>#VALUE!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 t="e">
            <v>#VALUE!</v>
          </cell>
          <cell r="E1301" t="str">
            <v>MKT-1-10033203491</v>
          </cell>
        </row>
        <row r="1302">
          <cell r="A1302" t="e">
            <v>#VALUE!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 t="e">
            <v>#VALUE!</v>
          </cell>
          <cell r="E1302" t="str">
            <v>MKT-1-10033203701</v>
          </cell>
        </row>
        <row r="1303">
          <cell r="A1303" t="e">
            <v>#VALUE!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 t="e">
            <v>#VALUE!</v>
          </cell>
          <cell r="E1303" t="str">
            <v>MKT-1-10033218541</v>
          </cell>
        </row>
        <row r="1304">
          <cell r="A1304" t="e">
            <v>#VALUE!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 t="e">
            <v>#VALUE!</v>
          </cell>
          <cell r="E1304" t="str">
            <v>MKT-1-10033218811</v>
          </cell>
        </row>
        <row r="1305">
          <cell r="A1305" t="e">
            <v>#VALUE!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 t="e">
            <v>#VALUE!</v>
          </cell>
          <cell r="E1305" t="str">
            <v>MKT-1-10033219021</v>
          </cell>
        </row>
        <row r="1306">
          <cell r="A1306" t="e">
            <v>#VALUE!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 t="e">
            <v>#VALUE!</v>
          </cell>
          <cell r="E1306" t="str">
            <v>MKT-1-10033219231</v>
          </cell>
        </row>
        <row r="1307">
          <cell r="A1307" t="e">
            <v>#VALUE!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 t="e">
            <v>#VALUE!</v>
          </cell>
          <cell r="E1307" t="str">
            <v>MKT-1-10033314911</v>
          </cell>
        </row>
        <row r="1308">
          <cell r="A1308" t="e">
            <v>#VALUE!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 t="e">
            <v>#VALUE!</v>
          </cell>
          <cell r="E1308" t="str">
            <v>MKT-1-10033322031</v>
          </cell>
        </row>
        <row r="1309">
          <cell r="A1309" t="e">
            <v>#VALUE!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 t="e">
            <v>#VALUE!</v>
          </cell>
          <cell r="E1309" t="str">
            <v>MKT-1-10033334561</v>
          </cell>
        </row>
        <row r="1310">
          <cell r="A1310" t="e">
            <v>#VALUE!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 t="e">
            <v>#VALUE!</v>
          </cell>
          <cell r="E1310" t="str">
            <v>MKT-1-10033334771</v>
          </cell>
        </row>
        <row r="1311">
          <cell r="A1311" t="e">
            <v>#VALUE!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 t="e">
            <v>#VALUE!</v>
          </cell>
          <cell r="E1311" t="str">
            <v>MKT-1-10033335021</v>
          </cell>
        </row>
        <row r="1312">
          <cell r="A1312" t="e">
            <v>#VALUE!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 t="e">
            <v>#VALUE!</v>
          </cell>
          <cell r="E1312" t="str">
            <v>MKT-1-10033338311</v>
          </cell>
        </row>
        <row r="1313">
          <cell r="A1313" t="e">
            <v>#VALUE!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 t="e">
            <v>#VALUE!</v>
          </cell>
          <cell r="E1313" t="str">
            <v>MKT-1-10033338781</v>
          </cell>
        </row>
        <row r="1314">
          <cell r="A1314" t="e">
            <v>#VALUE!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 t="e">
            <v>#VALUE!</v>
          </cell>
          <cell r="E1314" t="str">
            <v>MKT-1-10033355541</v>
          </cell>
        </row>
        <row r="1315">
          <cell r="A1315" t="e">
            <v>#VALUE!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 t="e">
            <v>#VALUE!</v>
          </cell>
          <cell r="E1315" t="str">
            <v>MKT-1-10033355881</v>
          </cell>
        </row>
        <row r="1316">
          <cell r="A1316" t="e">
            <v>#VALUE!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 t="e">
            <v>#VALUE!</v>
          </cell>
          <cell r="E1316" t="str">
            <v>MKT-1-10033356171</v>
          </cell>
        </row>
        <row r="1317">
          <cell r="A1317" t="e">
            <v>#VALUE!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 t="e">
            <v>#VALUE!</v>
          </cell>
          <cell r="E1317" t="str">
            <v>MKT-1-10033417281</v>
          </cell>
        </row>
        <row r="1318">
          <cell r="A1318" t="e">
            <v>#VALUE!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 t="e">
            <v>#VALUE!</v>
          </cell>
          <cell r="E1318" t="str">
            <v>MKT-1-10033420451</v>
          </cell>
        </row>
        <row r="1319">
          <cell r="A1319" t="e">
            <v>#VALUE!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 t="e">
            <v>#VALUE!</v>
          </cell>
          <cell r="E1319" t="str">
            <v>MKT-1-10033420671</v>
          </cell>
        </row>
        <row r="1320">
          <cell r="A1320" t="e">
            <v>#VALUE!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 t="e">
            <v>#VALUE!</v>
          </cell>
          <cell r="E1320" t="str">
            <v>MKT-1-10033443451</v>
          </cell>
        </row>
        <row r="1321">
          <cell r="A1321" t="e">
            <v>#VALUE!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 t="e">
            <v>#VALUE!</v>
          </cell>
          <cell r="E1321" t="str">
            <v>MKT-1-10033443661</v>
          </cell>
        </row>
        <row r="1322">
          <cell r="A1322" t="e">
            <v>#VALUE!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 t="e">
            <v>#VALUE!</v>
          </cell>
          <cell r="E1322" t="str">
            <v>MKT-1-10033443871</v>
          </cell>
        </row>
        <row r="1323">
          <cell r="A1323" t="e">
            <v>#VALUE!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 t="e">
            <v>#VALUE!</v>
          </cell>
          <cell r="E1323" t="str">
            <v>MKT-1-10033444081</v>
          </cell>
        </row>
        <row r="1324">
          <cell r="A1324" t="e">
            <v>#VALUE!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 t="e">
            <v>#VALUE!</v>
          </cell>
          <cell r="E1324" t="str">
            <v>MKT-1-10033444291</v>
          </cell>
        </row>
        <row r="1325">
          <cell r="A1325" t="e">
            <v>#VALUE!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 t="e">
            <v>#VALUE!</v>
          </cell>
          <cell r="E1325" t="str">
            <v>MKT-1-10033460561</v>
          </cell>
        </row>
        <row r="1326">
          <cell r="A1326" t="e">
            <v>#VALUE!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 t="e">
            <v>#VALUE!</v>
          </cell>
          <cell r="E1326" t="str">
            <v>MKT-1-10033461241</v>
          </cell>
        </row>
        <row r="1327">
          <cell r="A1327" t="e">
            <v>#VALUE!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 t="e">
            <v>#VALUE!</v>
          </cell>
          <cell r="E1327" t="str">
            <v>MKT-1-10033466501</v>
          </cell>
        </row>
        <row r="1328">
          <cell r="A1328" t="e">
            <v>#VALUE!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 t="e">
            <v>#VALUE!</v>
          </cell>
          <cell r="E1328" t="str">
            <v>MKT-1-10033466711</v>
          </cell>
        </row>
        <row r="1329">
          <cell r="A1329" t="e">
            <v>#VALUE!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 t="e">
            <v>#VALUE!</v>
          </cell>
          <cell r="E1329" t="str">
            <v>MKT-1-10033466921</v>
          </cell>
        </row>
        <row r="1330">
          <cell r="A1330" t="e">
            <v>#VALUE!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 t="e">
            <v>#VALUE!</v>
          </cell>
          <cell r="E1330" t="str">
            <v>MKT-1-10033467131</v>
          </cell>
        </row>
        <row r="1331">
          <cell r="A1331" t="e">
            <v>#VALUE!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 t="e">
            <v>#VALUE!</v>
          </cell>
          <cell r="E1331" t="str">
            <v>MKT-1-10033477551</v>
          </cell>
        </row>
        <row r="1332">
          <cell r="A1332" t="e">
            <v>#VALUE!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 t="e">
            <v>#VALUE!</v>
          </cell>
          <cell r="E1332" t="str">
            <v>MKT-1-10033494431</v>
          </cell>
        </row>
        <row r="1333">
          <cell r="A1333" t="e">
            <v>#VALUE!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 t="e">
            <v>#VALUE!</v>
          </cell>
          <cell r="E1333" t="str">
            <v>MKT-1-10033494831</v>
          </cell>
        </row>
        <row r="1334">
          <cell r="A1334" t="e">
            <v>#VALUE!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 t="e">
            <v>#VALUE!</v>
          </cell>
          <cell r="E1334" t="str">
            <v>MKT-1-10033504761</v>
          </cell>
        </row>
        <row r="1335">
          <cell r="A1335" t="e">
            <v>#VALUE!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 t="e">
            <v>#VALUE!</v>
          </cell>
          <cell r="E1335" t="str">
            <v>MKT-1-10033505161</v>
          </cell>
        </row>
        <row r="1336">
          <cell r="A1336" t="e">
            <v>#VALUE!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 t="e">
            <v>#VALUE!</v>
          </cell>
          <cell r="E1336" t="str">
            <v>MKT-1-10033507341</v>
          </cell>
        </row>
        <row r="1337">
          <cell r="A1337" t="e">
            <v>#VALUE!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 t="e">
            <v>#VALUE!</v>
          </cell>
          <cell r="E1337" t="str">
            <v>MKT-1-10033507601</v>
          </cell>
        </row>
        <row r="1338">
          <cell r="A1338" t="e">
            <v>#VALUE!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 t="e">
            <v>#VALUE!</v>
          </cell>
          <cell r="E1338" t="str">
            <v>MKT-1-10033507815</v>
          </cell>
        </row>
        <row r="1339">
          <cell r="A1339" t="e">
            <v>#VALUE!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 t="e">
            <v>#VALUE!</v>
          </cell>
          <cell r="E1339" t="str">
            <v>MKT-1-10033508021</v>
          </cell>
        </row>
        <row r="1340">
          <cell r="A1340" t="e">
            <v>#VALUE!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 t="e">
            <v>#VALUE!</v>
          </cell>
          <cell r="E1340" t="str">
            <v>MKT-1-10033508236</v>
          </cell>
        </row>
        <row r="1341">
          <cell r="A1341" t="e">
            <v>#VALUE!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 t="e">
            <v>#VALUE!</v>
          </cell>
          <cell r="E1341" t="str">
            <v>MKT-1-10033517571</v>
          </cell>
        </row>
        <row r="1342">
          <cell r="A1342" t="e">
            <v>#VALUE!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 t="e">
            <v>#VALUE!</v>
          </cell>
          <cell r="E1342" t="str">
            <v>MKT-1-10033518121</v>
          </cell>
        </row>
        <row r="1343">
          <cell r="A1343" t="e">
            <v>#VALUE!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 t="e">
            <v>#VALUE!</v>
          </cell>
          <cell r="E1343" t="str">
            <v>MKT-1-10033574341</v>
          </cell>
        </row>
        <row r="1344">
          <cell r="A1344" t="e">
            <v>#VALUE!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 t="e">
            <v>#VALUE!</v>
          </cell>
          <cell r="E1344" t="str">
            <v>MKT-1-10033574551</v>
          </cell>
        </row>
        <row r="1345">
          <cell r="A1345" t="e">
            <v>#VALUE!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 t="e">
            <v>#VALUE!</v>
          </cell>
          <cell r="E1345" t="str">
            <v>MKT-1-10033574771</v>
          </cell>
        </row>
        <row r="1346">
          <cell r="A1346" t="e">
            <v>#VALUE!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 t="e">
            <v>#VALUE!</v>
          </cell>
          <cell r="E1346" t="str">
            <v>MKT-1-10033574981</v>
          </cell>
        </row>
        <row r="1347">
          <cell r="A1347" t="e">
            <v>#VALUE!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 t="e">
            <v>#VALUE!</v>
          </cell>
          <cell r="E1347" t="str">
            <v>MKT-1-10033575191</v>
          </cell>
        </row>
        <row r="1348">
          <cell r="A1348" t="e">
            <v>#VALUE!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 t="e">
            <v>#VALUE!</v>
          </cell>
          <cell r="E1348" t="str">
            <v>MKT-1-10033622401</v>
          </cell>
        </row>
        <row r="1349">
          <cell r="A1349" t="e">
            <v>#VALUE!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 t="e">
            <v>#VALUE!</v>
          </cell>
          <cell r="E1349" t="str">
            <v>MKT-1-10033622611</v>
          </cell>
        </row>
        <row r="1350">
          <cell r="A1350" t="e">
            <v>#VALUE!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 t="e">
            <v>#VALUE!</v>
          </cell>
          <cell r="E1350" t="str">
            <v>MKT-1-10033622821</v>
          </cell>
        </row>
        <row r="1351">
          <cell r="A1351" t="e">
            <v>#VALUE!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 t="e">
            <v>#VALUE!</v>
          </cell>
          <cell r="E1351" t="str">
            <v>MKT-1-10033623031</v>
          </cell>
        </row>
        <row r="1352">
          <cell r="A1352" t="e">
            <v>#VALUE!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 t="e">
            <v>#VALUE!</v>
          </cell>
          <cell r="E1352" t="str">
            <v>MKT-1-10033623241</v>
          </cell>
        </row>
        <row r="1353">
          <cell r="A1353" t="e">
            <v>#VALUE!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 t="e">
            <v>#VALUE!</v>
          </cell>
          <cell r="E1353" t="str">
            <v>MKT-1-10033627441</v>
          </cell>
        </row>
        <row r="1354">
          <cell r="A1354" t="e">
            <v>#VALUE!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 t="e">
            <v>#VALUE!</v>
          </cell>
          <cell r="E1354" t="str">
            <v>MKT-1-10033627656</v>
          </cell>
        </row>
        <row r="1355">
          <cell r="A1355" t="e">
            <v>#VALUE!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 t="e">
            <v>#VALUE!</v>
          </cell>
          <cell r="E1355" t="str">
            <v>MKT-1-10033627861</v>
          </cell>
        </row>
        <row r="1356">
          <cell r="A1356" t="e">
            <v>#VALUE!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 t="e">
            <v>#VALUE!</v>
          </cell>
          <cell r="E1356" t="str">
            <v>MKT-1-10033628071</v>
          </cell>
        </row>
        <row r="1357">
          <cell r="A1357" t="e">
            <v>#VALUE!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 t="e">
            <v>#VALUE!</v>
          </cell>
          <cell r="E1357" t="str">
            <v>MKT-1-10033628281</v>
          </cell>
        </row>
        <row r="1358">
          <cell r="A1358" t="e">
            <v>#VALUE!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 t="e">
            <v>#VALUE!</v>
          </cell>
          <cell r="E1358" t="str">
            <v>MKT-1-10033650451</v>
          </cell>
        </row>
        <row r="1359">
          <cell r="A1359" t="e">
            <v>#VALUE!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 t="e">
            <v>#VALUE!</v>
          </cell>
          <cell r="E1359" t="str">
            <v>MKT-1-10033650661</v>
          </cell>
        </row>
        <row r="1360">
          <cell r="A1360" t="e">
            <v>#VALUE!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 t="e">
            <v>#VALUE!</v>
          </cell>
          <cell r="E1360" t="str">
            <v>MKT-1-10033651031</v>
          </cell>
        </row>
        <row r="1361">
          <cell r="A1361" t="e">
            <v>#VALUE!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 t="e">
            <v>#VALUE!</v>
          </cell>
          <cell r="E1361" t="str">
            <v>MKT-1-10033651246</v>
          </cell>
        </row>
        <row r="1362">
          <cell r="A1362" t="e">
            <v>#VALUE!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 t="e">
            <v>#VALUE!</v>
          </cell>
          <cell r="E1362" t="str">
            <v>MKT-1-10033656491</v>
          </cell>
        </row>
        <row r="1363">
          <cell r="A1363" t="e">
            <v>#VALUE!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 t="e">
            <v>#VALUE!</v>
          </cell>
          <cell r="E1363" t="str">
            <v>MKT-1-10033656701</v>
          </cell>
        </row>
        <row r="1364">
          <cell r="A1364" t="e">
            <v>#VALUE!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 t="e">
            <v>#VALUE!</v>
          </cell>
          <cell r="E1364" t="str">
            <v>MKT-1-10033656916</v>
          </cell>
        </row>
        <row r="1365">
          <cell r="A1365" t="e">
            <v>#VALUE!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 t="e">
            <v>#VALUE!</v>
          </cell>
          <cell r="E1365" t="str">
            <v>MKT-1-10033696451</v>
          </cell>
        </row>
        <row r="1366">
          <cell r="A1366" t="e">
            <v>#VALUE!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 t="e">
            <v>#VALUE!</v>
          </cell>
          <cell r="E1366" t="str">
            <v>MKT-1-10033894301</v>
          </cell>
        </row>
        <row r="1367">
          <cell r="A1367" t="e">
            <v>#VALUE!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 t="e">
            <v>#VALUE!</v>
          </cell>
          <cell r="E1367" t="str">
            <v>MKT-1-10033914351</v>
          </cell>
        </row>
        <row r="1368">
          <cell r="A1368" t="e">
            <v>#VALUE!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 t="e">
            <v>#VALUE!</v>
          </cell>
          <cell r="E1368" t="str">
            <v>MKT-1-10033939301</v>
          </cell>
        </row>
        <row r="1369">
          <cell r="A1369" t="e">
            <v>#VALUE!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 t="e">
            <v>#VALUE!</v>
          </cell>
          <cell r="E1369" t="str">
            <v>MKT-1-10033945321</v>
          </cell>
        </row>
        <row r="1370">
          <cell r="A1370" t="e">
            <v>#VALUE!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 t="e">
            <v>#VALUE!</v>
          </cell>
          <cell r="E1370" t="str">
            <v>MKT-1-10033945531</v>
          </cell>
        </row>
        <row r="1371">
          <cell r="A1371" t="e">
            <v>#VALUE!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 t="e">
            <v>#VALUE!</v>
          </cell>
          <cell r="E1371" t="str">
            <v>MKT-1-10033945741</v>
          </cell>
        </row>
        <row r="1372">
          <cell r="A1372" t="e">
            <v>#VALUE!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 t="e">
            <v>#VALUE!</v>
          </cell>
          <cell r="E1372" t="str">
            <v>MKT-1-10033945951</v>
          </cell>
        </row>
        <row r="1373">
          <cell r="A1373" t="e">
            <v>#VALUE!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 t="e">
            <v>#VALUE!</v>
          </cell>
          <cell r="E1373" t="str">
            <v>MKT-1-10033946251</v>
          </cell>
        </row>
        <row r="1374">
          <cell r="A1374" t="e">
            <v>#VALUE!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 t="e">
            <v>#VALUE!</v>
          </cell>
          <cell r="E1374" t="str">
            <v>MKT-1-10033946361</v>
          </cell>
        </row>
        <row r="1375">
          <cell r="A1375" t="e">
            <v>#VALUE!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 t="e">
            <v>#VALUE!</v>
          </cell>
          <cell r="E1375" t="str">
            <v>MKT-1-10033946661</v>
          </cell>
        </row>
        <row r="1376">
          <cell r="A1376" t="e">
            <v>#VALUE!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 t="e">
            <v>#VALUE!</v>
          </cell>
          <cell r="E1376" t="str">
            <v>MKT-1-10033946871</v>
          </cell>
        </row>
        <row r="1377">
          <cell r="A1377" t="e">
            <v>#VALUE!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 t="e">
            <v>#VALUE!</v>
          </cell>
          <cell r="E1377" t="str">
            <v>MKT-1-10033947081</v>
          </cell>
        </row>
        <row r="1378">
          <cell r="A1378" t="e">
            <v>#VALUE!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 t="e">
            <v>#VALUE!</v>
          </cell>
          <cell r="E1378" t="str">
            <v>MKT-1-10034053461</v>
          </cell>
        </row>
        <row r="1379">
          <cell r="A1379" t="e">
            <v>#VALUE!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 t="e">
            <v>#VALUE!</v>
          </cell>
          <cell r="E1379" t="str">
            <v>MKT-1-10042956652</v>
          </cell>
        </row>
        <row r="1380">
          <cell r="A1380" t="e">
            <v>#VALUE!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 t="e">
            <v>#VALUE!</v>
          </cell>
          <cell r="E1380" t="str">
            <v>MKT-1-10042956961</v>
          </cell>
        </row>
        <row r="1381">
          <cell r="A1381" t="e">
            <v>#VALUE!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 t="e">
            <v>#VALUE!</v>
          </cell>
          <cell r="E1381" t="str">
            <v>MKT-1-10043964101</v>
          </cell>
        </row>
        <row r="1382">
          <cell r="A1382" t="e">
            <v>#VALUE!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 t="e">
            <v>#VALUE!</v>
          </cell>
          <cell r="E1382" t="str">
            <v>MKT-1-10044311341</v>
          </cell>
        </row>
        <row r="1383">
          <cell r="A1383" t="e">
            <v>#VALUE!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 t="e">
            <v>#VALUE!</v>
          </cell>
          <cell r="E1383" t="str">
            <v>MKT-1-10044311751</v>
          </cell>
        </row>
        <row r="1384">
          <cell r="A1384" t="e">
            <v>#VALUE!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 t="e">
            <v>#VALUE!</v>
          </cell>
          <cell r="E1384" t="str">
            <v>MKT-1-10044311991</v>
          </cell>
        </row>
        <row r="1385">
          <cell r="A1385" t="e">
            <v>#VALUE!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 t="e">
            <v>#VALUE!</v>
          </cell>
          <cell r="E1385" t="str">
            <v>MKT-1-10044312211</v>
          </cell>
        </row>
        <row r="1386">
          <cell r="A1386" t="e">
            <v>#VALUE!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 t="e">
            <v>#VALUE!</v>
          </cell>
          <cell r="E1386" t="str">
            <v>MKT-1-10044341761</v>
          </cell>
        </row>
        <row r="1387">
          <cell r="A1387" t="e">
            <v>#VALUE!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 t="e">
            <v>#VALUE!</v>
          </cell>
          <cell r="E1387" t="str">
            <v>MKT-1-10044342251</v>
          </cell>
        </row>
        <row r="1388">
          <cell r="A1388" t="e">
            <v>#VALUE!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 t="e">
            <v>#VALUE!</v>
          </cell>
          <cell r="E1388" t="str">
            <v>MKT-1-10044408309</v>
          </cell>
        </row>
        <row r="1389">
          <cell r="A1389" t="e">
            <v>#VALUE!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 t="e">
            <v>#VALUE!</v>
          </cell>
          <cell r="E1389" t="str">
            <v>MKT-1-10044408311</v>
          </cell>
        </row>
        <row r="1390">
          <cell r="A1390" t="e">
            <v>#VALUE!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 t="e">
            <v>#VALUE!</v>
          </cell>
          <cell r="E1390" t="str">
            <v>MKT-1-10044408521</v>
          </cell>
        </row>
        <row r="1391">
          <cell r="A1391" t="e">
            <v>#VALUE!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 t="e">
            <v>#VALUE!</v>
          </cell>
          <cell r="E1391" t="str">
            <v>MKT-1-10044457431</v>
          </cell>
        </row>
        <row r="1392">
          <cell r="A1392" t="e">
            <v>#VALUE!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 t="e">
            <v>#VALUE!</v>
          </cell>
          <cell r="E1392" t="str">
            <v>MKT-1-10044457701</v>
          </cell>
        </row>
        <row r="1393">
          <cell r="A1393" t="e">
            <v>#VALUE!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 t="e">
            <v>#VALUE!</v>
          </cell>
          <cell r="E1393" t="str">
            <v>MKT-1-10044508511</v>
          </cell>
        </row>
        <row r="1394">
          <cell r="A1394" t="e">
            <v>#VALUE!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 t="e">
            <v>#VALUE!</v>
          </cell>
          <cell r="E1394" t="str">
            <v>MKT-1-10044508721</v>
          </cell>
        </row>
        <row r="1395">
          <cell r="A1395" t="e">
            <v>#VALUE!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 t="e">
            <v>#VALUE!</v>
          </cell>
          <cell r="E1395" t="str">
            <v>MKT-1-10044578621</v>
          </cell>
        </row>
        <row r="1396">
          <cell r="A1396" t="e">
            <v>#VALUE!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 t="e">
            <v>#VALUE!</v>
          </cell>
          <cell r="E1396" t="str">
            <v>MKT-1-10045405621</v>
          </cell>
        </row>
        <row r="1397">
          <cell r="A1397" t="e">
            <v>#VALUE!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 t="e">
            <v>#VALUE!</v>
          </cell>
          <cell r="E1397" t="str">
            <v>MKT-1-10045584781</v>
          </cell>
        </row>
        <row r="1398">
          <cell r="A1398" t="e">
            <v>#VALUE!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 t="e">
            <v>#VALUE!</v>
          </cell>
          <cell r="E1398" t="str">
            <v>MKT-1-10046291091</v>
          </cell>
        </row>
        <row r="1399">
          <cell r="A1399" t="e">
            <v>#VALUE!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 t="e">
            <v>#VALUE!</v>
          </cell>
          <cell r="E1399" t="str">
            <v>MKT-1-10046333071</v>
          </cell>
        </row>
        <row r="1400">
          <cell r="A1400" t="e">
            <v>#VALUE!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 t="e">
            <v>#VALUE!</v>
          </cell>
          <cell r="E1400" t="str">
            <v>MKT-1-10046333281</v>
          </cell>
        </row>
        <row r="1401">
          <cell r="A1401" t="e">
            <v>#VALUE!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 t="e">
            <v>#VALUE!</v>
          </cell>
          <cell r="E1401" t="str">
            <v>MKT-1-10046378311</v>
          </cell>
        </row>
        <row r="1402">
          <cell r="A1402" t="e">
            <v>#VALUE!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 t="e">
            <v>#VALUE!</v>
          </cell>
          <cell r="E1402" t="str">
            <v>MKT-1-10046378701</v>
          </cell>
        </row>
        <row r="1403">
          <cell r="A1403" t="e">
            <v>#VALUE!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 t="e">
            <v>#VALUE!</v>
          </cell>
          <cell r="E1403" t="str">
            <v>MKT-1-10046378941</v>
          </cell>
        </row>
        <row r="1404">
          <cell r="A1404" t="e">
            <v>#VALUE!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 t="e">
            <v>#VALUE!</v>
          </cell>
          <cell r="E1404" t="str">
            <v>MKT-1-10046379152</v>
          </cell>
        </row>
        <row r="1405">
          <cell r="A1405" t="e">
            <v>#VALUE!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 t="e">
            <v>#VALUE!</v>
          </cell>
          <cell r="E1405" t="str">
            <v>MKT-1-10046650301</v>
          </cell>
        </row>
        <row r="1406">
          <cell r="A1406" t="e">
            <v>#VALUE!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 t="e">
            <v>#VALUE!</v>
          </cell>
          <cell r="E1406" t="str">
            <v>MKT-1-10046650511</v>
          </cell>
        </row>
        <row r="1407">
          <cell r="A1407" t="e">
            <v>#VALUE!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 t="e">
            <v>#VALUE!</v>
          </cell>
          <cell r="E1407" t="str">
            <v>MKT-1-10046656491</v>
          </cell>
        </row>
        <row r="1408">
          <cell r="A1408" t="e">
            <v>#VALUE!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 t="e">
            <v>#VALUE!</v>
          </cell>
          <cell r="E1408" t="str">
            <v>MKT-1-10046656701</v>
          </cell>
        </row>
        <row r="1409">
          <cell r="A1409" t="e">
            <v>#VALUE!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 t="e">
            <v>#VALUE!</v>
          </cell>
          <cell r="E1409" t="str">
            <v>MKT-1-10046657071</v>
          </cell>
        </row>
        <row r="1410">
          <cell r="A1410" t="e">
            <v>#VALUE!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 t="e">
            <v>#VALUE!</v>
          </cell>
          <cell r="E1410" t="str">
            <v>MKT-1-10046657291</v>
          </cell>
        </row>
      </sheetData>
      <sheetData sheetId="12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  <sheetData sheetId="1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Plan6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0">
        <row r="1">
          <cell r="A1" t="str">
            <v>CHAVE</v>
          </cell>
          <cell r="B1" t="str">
            <v>PLANO</v>
          </cell>
          <cell r="C1" t="str">
            <v>TEMPLATE</v>
          </cell>
          <cell r="D1" t="str">
            <v>DESCONTO</v>
          </cell>
          <cell r="E1" t="str">
            <v>CODIGO</v>
          </cell>
          <cell r="F1" t="str">
            <v>NOME BENEFICIO</v>
          </cell>
          <cell r="G1" t="str">
            <v>FORMULA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  <cell r="G171">
            <v>9.1999999999999993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  <cell r="G172">
            <v>9.1999999999999993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  <cell r="G173">
            <v>24.78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  <cell r="G174">
            <v>23.94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  <cell r="G175">
            <v>9.1999999999999993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  <cell r="G176">
            <v>21.15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  <cell r="G177">
            <v>20.56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  <cell r="G178">
            <v>42.89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  <cell r="G179">
            <v>51.34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  <cell r="G180">
            <v>44.85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  <cell r="G181">
            <v>51.34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  <cell r="G182">
            <v>17.100000000000001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  <cell r="G183">
            <v>22.83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  <cell r="G184">
            <v>20.8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  <cell r="G185">
            <v>20.32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  <cell r="G186">
            <v>18.93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  <cell r="G187">
            <v>14.35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  <cell r="G188">
            <v>13.41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  <cell r="G189">
            <v>27.42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  <cell r="G190">
            <v>26.44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  <cell r="G191">
            <v>11.64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  <cell r="G192">
            <v>23.59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  <cell r="G193">
            <v>22.87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  <cell r="G194">
            <v>19.11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  <cell r="G195">
            <v>18.350000000000001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  <cell r="G196">
            <v>16.62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  <cell r="G197">
            <v>48.1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  <cell r="G198">
            <v>16.239999999999998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  <cell r="G199">
            <v>23.06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  <cell r="G200">
            <v>29.69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  <cell r="G201">
            <v>26.64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  <cell r="G202">
            <v>25.92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  <cell r="G203">
            <v>30.32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  <cell r="G204">
            <v>17.46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  <cell r="G205">
            <v>29.97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  <cell r="G206">
            <v>28.85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  <cell r="G207">
            <v>13.98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  <cell r="G208">
            <v>25.94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  <cell r="G209">
            <v>55.51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  <cell r="G210">
            <v>45.89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  <cell r="G211">
            <v>25.1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  <cell r="G212">
            <v>21.05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  <cell r="G213">
            <v>41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  <cell r="G214">
            <v>36.26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  <cell r="G215">
            <v>35.159999999999997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  <cell r="G216">
            <v>9.1999999999999993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  <cell r="G217">
            <v>9.1999999999999993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  <cell r="G218">
            <v>53.62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  <cell r="G219">
            <v>44.1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  <cell r="G220">
            <v>41.07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  <cell r="G221">
            <v>24.78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  <cell r="G222">
            <v>23.94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  <cell r="G223">
            <v>33.06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  <cell r="G224">
            <v>9.1999999999999993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  <cell r="G225">
            <v>21.15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  <cell r="G226">
            <v>20.56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  <cell r="G227">
            <v>17.100000000000001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  <cell r="G228">
            <v>33.06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  <cell r="G229">
            <v>19.3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  <cell r="G230">
            <v>33.06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  <cell r="G231">
            <v>38.4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  <cell r="G232">
            <v>34.450000000000003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  <cell r="G233">
            <v>34.450000000000003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  <cell r="G234">
            <v>21.59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  <cell r="G235">
            <v>21.59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  <cell r="G236">
            <v>32.56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  <cell r="G237">
            <v>32.56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  <cell r="G238">
            <v>31.3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  <cell r="G239">
            <v>31.3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  <cell r="G240">
            <v>16.37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  <cell r="G241">
            <v>16.37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  <cell r="G242">
            <v>28.33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  <cell r="G243">
            <v>28.33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  <cell r="G244">
            <v>27.37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  <cell r="G245">
            <v>27.37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  <cell r="G246">
            <v>23.02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  <cell r="G247">
            <v>23.02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  <cell r="G248">
            <v>43.27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  <cell r="G249">
            <v>43.27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  <cell r="G250">
            <v>38.19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  <cell r="G251">
            <v>38.19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  <cell r="G252">
            <v>37.01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  <cell r="G253">
            <v>37.01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  <cell r="G254">
            <v>33.53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  <cell r="G255">
            <v>33.53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  <cell r="G256">
            <v>45.99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  <cell r="G257">
            <v>45.99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  <cell r="G258">
            <v>45.99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  <cell r="G259">
            <v>42.89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  <cell r="G260">
            <v>42.89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  <cell r="G261">
            <v>42.89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  <cell r="G262">
            <v>43.27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  <cell r="G263">
            <v>9.1999999999999993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  <cell r="G264">
            <v>9.1999999999999993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  <cell r="G265">
            <v>24.78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  <cell r="G266">
            <v>24.78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  <cell r="G267">
            <v>23.94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  <cell r="G268">
            <v>23.94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  <cell r="G269">
            <v>33.909999999999997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  <cell r="G270">
            <v>9.1999999999999993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  <cell r="G271">
            <v>9.1999999999999993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  <cell r="G272">
            <v>33.909999999999997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  <cell r="G273">
            <v>21.15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  <cell r="G274">
            <v>21.15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  <cell r="G275">
            <v>20.56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  <cell r="G276">
            <v>43.23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  <cell r="G277">
            <v>20.56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  <cell r="G278">
            <v>46.24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  <cell r="G279">
            <v>17.100000000000001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  <cell r="G280">
            <v>17.100000000000001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  <cell r="G281">
            <v>15.69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  <cell r="G282">
            <v>43.95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  <cell r="G283">
            <v>24.35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  <cell r="G284">
            <v>50.04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  <cell r="G285">
            <v>21.59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  <cell r="G286">
            <v>25.73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  <cell r="G287">
            <v>47.77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  <cell r="G288">
            <v>33.99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  <cell r="G289">
            <v>35.159999999999997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  <cell r="G290">
            <v>37.75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  <cell r="G291">
            <v>42.95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  <cell r="G292">
            <v>40.76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  <cell r="G293">
            <v>38.78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  <cell r="G294">
            <v>44.1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  <cell r="G295">
            <v>41.77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  <cell r="G296">
            <v>41.07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  <cell r="G297">
            <v>38.619999999999997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  <cell r="G298">
            <v>38.67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  <cell r="G299">
            <v>41.12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  <cell r="G300">
            <v>46.03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  <cell r="G301">
            <v>25.94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  <cell r="G302">
            <v>28.33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  <cell r="G303">
            <v>33.11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  <cell r="G304">
            <v>36.46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  <cell r="G305">
            <v>39.49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  <cell r="G306">
            <v>45.55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  <cell r="G307">
            <v>33.76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  <cell r="G308">
            <v>45.49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  <cell r="G309">
            <v>42.46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  <cell r="G310">
            <v>36.21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  <cell r="G311">
            <v>37.159999999999997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  <cell r="G312">
            <v>39.49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  <cell r="G313">
            <v>37.840000000000003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  <cell r="G314">
            <v>44.14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  <cell r="G315">
            <v>34.869999999999997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  <cell r="G316">
            <v>36.85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  <cell r="G317">
            <v>33.06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  <cell r="G318">
            <v>40.799999999999997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  <cell r="G319">
            <v>43.27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  <cell r="G320">
            <v>30.67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  <cell r="G321">
            <v>45.54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  <cell r="G322">
            <v>50.9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  <cell r="G323">
            <v>50.08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  <cell r="G324">
            <v>40.130000000000003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  <cell r="G325">
            <v>45.99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  <cell r="G326">
            <v>43.53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  <cell r="G327">
            <v>48.09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  <cell r="G328">
            <v>40.299999999999997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  <cell r="G329">
            <v>42.57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  <cell r="G330">
            <v>42.17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  <cell r="G331">
            <v>40.020000000000003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  <cell r="G332">
            <v>24.25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  <cell r="G333">
            <v>29.77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  <cell r="G334">
            <v>33.909999999999997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  <cell r="G335">
            <v>50.17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  <cell r="G336">
            <v>72.72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  <cell r="G337">
            <v>39.5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  <cell r="G338">
            <v>19.3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  <cell r="G339">
            <v>17.46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  <cell r="G340">
            <v>40.35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  <cell r="G341">
            <v>29.97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  <cell r="G342">
            <v>28.85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  <cell r="G343">
            <v>23.55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  <cell r="G344">
            <v>13.98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  <cell r="G345">
            <v>35.5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  <cell r="G346">
            <v>34.18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  <cell r="G347">
            <v>25.1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  <cell r="G348">
            <v>28.95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  <cell r="G349">
            <v>21.05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  <cell r="G350">
            <v>27.37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  <cell r="G351">
            <v>32.5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  <cell r="G352">
            <v>23.18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  <cell r="G353">
            <v>41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  <cell r="G354">
            <v>29.69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  <cell r="G355">
            <v>43.99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  <cell r="G356">
            <v>36.26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  <cell r="G357">
            <v>44.89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  <cell r="G358">
            <v>38.4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  <cell r="G359">
            <v>39.5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  <cell r="G360">
            <v>33.99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  <cell r="G361">
            <v>40.35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  <cell r="G362">
            <v>38.67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  <cell r="G363">
            <v>23.55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  <cell r="G364">
            <v>35.5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  <cell r="G365">
            <v>34.18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  <cell r="G366">
            <v>28.95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  <cell r="G367">
            <v>39.49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  <cell r="G368">
            <v>27.37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  <cell r="G369">
            <v>33.76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  <cell r="G370">
            <v>32.5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  <cell r="G371">
            <v>23.18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  <cell r="G372">
            <v>36.85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  <cell r="G373">
            <v>50.08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  <cell r="G374">
            <v>43.99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  <cell r="G375">
            <v>42.57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  <cell r="G376">
            <v>44.89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  <cell r="G377">
            <v>38.21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  <cell r="G378">
            <v>38.21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  <cell r="G379">
            <v>38.21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  <cell r="G380">
            <v>39.04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  <cell r="G381">
            <v>39.04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  <cell r="G382">
            <v>39.04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  <cell r="G383">
            <v>42.22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  <cell r="G384">
            <v>42.22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  <cell r="G385">
            <v>42.22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  <cell r="G386">
            <v>48.64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  <cell r="G387">
            <v>48.64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  <cell r="G388">
            <v>48.64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  <cell r="G389">
            <v>53.77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  <cell r="G390">
            <v>53.77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  <cell r="G391">
            <v>53.77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  <cell r="G392">
            <v>64.44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  <cell r="G393">
            <v>64.44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  <cell r="G394">
            <v>64.44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  <cell r="G395">
            <v>73.33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  <cell r="G396">
            <v>73.33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  <cell r="G397">
            <v>73.33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  <cell r="G398">
            <v>69.77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  <cell r="G399">
            <v>69.77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  <cell r="G400">
            <v>69.77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  <cell r="G401">
            <v>12.42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  <cell r="G402">
            <v>12.42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  <cell r="G403">
            <v>12.42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  <cell r="G404">
            <v>13.6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  <cell r="G405">
            <v>13.6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  <cell r="G406">
            <v>13.6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  <cell r="G407">
            <v>19.96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  <cell r="G408">
            <v>19.96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  <cell r="G409">
            <v>19.96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  <cell r="G410">
            <v>28.85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  <cell r="G411">
            <v>28.85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  <cell r="G412">
            <v>28.85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  <cell r="G413">
            <v>35.96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  <cell r="G414">
            <v>35.96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  <cell r="G415">
            <v>35.96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  <cell r="G416">
            <v>52.56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  <cell r="G417">
            <v>52.56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  <cell r="G418">
            <v>52.56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  <cell r="G419">
            <v>64.42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  <cell r="G420">
            <v>64.42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  <cell r="G421">
            <v>64.42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  <cell r="G422">
            <v>60.86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  <cell r="G423">
            <v>60.86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  <cell r="G424">
            <v>60.86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  <cell r="G425">
            <v>53.68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  <cell r="G426">
            <v>53.68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  <cell r="G427">
            <v>53.68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  <cell r="G428">
            <v>53.68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  <cell r="G429">
            <v>53.68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  <cell r="G430">
            <v>54.31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  <cell r="G431">
            <v>54.31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  <cell r="G432">
            <v>54.31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  <cell r="G433">
            <v>54.31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  <cell r="G434">
            <v>54.31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  <cell r="G435">
            <v>55.57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  <cell r="G436">
            <v>55.57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  <cell r="G437">
            <v>55.57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  <cell r="G438">
            <v>55.57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  <cell r="G439">
            <v>55.57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  <cell r="G440">
            <v>60.51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  <cell r="G441">
            <v>60.51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  <cell r="G442">
            <v>60.51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  <cell r="G443">
            <v>60.51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  <cell r="G444">
            <v>60.51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  <cell r="G445">
            <v>64.459999999999994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  <cell r="G446">
            <v>64.459999999999994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  <cell r="G447">
            <v>64.459999999999994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  <cell r="G448">
            <v>64.459999999999994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  <cell r="G449">
            <v>64.459999999999994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  <cell r="G450">
            <v>71.56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  <cell r="G451">
            <v>71.56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  <cell r="G452">
            <v>71.56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  <cell r="G453">
            <v>71.56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  <cell r="G454">
            <v>71.56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  <cell r="G455">
            <v>78.67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  <cell r="G456">
            <v>78.67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  <cell r="G457">
            <v>78.67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  <cell r="G458">
            <v>78.67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  <cell r="G459">
            <v>78.67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  <cell r="G460">
            <v>75.11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  <cell r="G461">
            <v>75.11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  <cell r="G462">
            <v>75.11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  <cell r="G463">
            <v>75.11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  <cell r="G464">
            <v>75.11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  <cell r="G465">
            <v>17.57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  <cell r="G466">
            <v>17.57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  <cell r="G467">
            <v>17.57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  <cell r="G468">
            <v>17.57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  <cell r="G469">
            <v>17.57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  <cell r="G470">
            <v>18.690000000000001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  <cell r="G471">
            <v>18.690000000000001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  <cell r="G472">
            <v>18.690000000000001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  <cell r="G473">
            <v>18.690000000000001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  <cell r="G474">
            <v>18.690000000000001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  <cell r="G475">
            <v>24.41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  <cell r="G476">
            <v>24.41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  <cell r="G477">
            <v>24.41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  <cell r="G478">
            <v>24.41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  <cell r="G479">
            <v>24.41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  <cell r="G480">
            <v>32.81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  <cell r="G481">
            <v>32.81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  <cell r="G482">
            <v>32.81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  <cell r="G483">
            <v>32.81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  <cell r="G484">
            <v>32.81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  <cell r="G485">
            <v>39.53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  <cell r="G486">
            <v>39.53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  <cell r="G487">
            <v>39.53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  <cell r="G488">
            <v>54.94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  <cell r="G489">
            <v>54.94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  <cell r="G490">
            <v>54.94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  <cell r="G491">
            <v>66.209999999999994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  <cell r="G492">
            <v>66.209999999999994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  <cell r="G493">
            <v>66.209999999999994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  <cell r="G494">
            <v>62.64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  <cell r="G495">
            <v>62.64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  <cell r="G496">
            <v>62.64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  <cell r="G497">
            <v>94.7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  <cell r="G498">
            <v>94.7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  <cell r="G499">
            <v>94.7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  <cell r="G500">
            <v>46.7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  <cell r="G501">
            <v>46.7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  <cell r="G502">
            <v>46.7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  <cell r="G503">
            <v>54.31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  <cell r="G504">
            <v>54.31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  <cell r="G505">
            <v>54.31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  <cell r="G506">
            <v>55.57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  <cell r="G507">
            <v>55.57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  <cell r="G508">
            <v>55.57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  <cell r="G509">
            <v>60.51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  <cell r="G510">
            <v>60.51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  <cell r="G511">
            <v>60.51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  <cell r="G512">
            <v>64.459999999999994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  <cell r="G513">
            <v>64.459999999999994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  <cell r="G514">
            <v>64.459999999999994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  <cell r="G515">
            <v>71.56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  <cell r="G516">
            <v>71.56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  <cell r="G517">
            <v>71.56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  <cell r="G518">
            <v>78.67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  <cell r="G519">
            <v>78.67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  <cell r="G520">
            <v>78.67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  <cell r="G521">
            <v>75.11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  <cell r="G522">
            <v>75.11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  <cell r="G523">
            <v>75.11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  <cell r="G524">
            <v>17.57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  <cell r="G525">
            <v>17.57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  <cell r="G526">
            <v>17.57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  <cell r="G527">
            <v>18.690000000000001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  <cell r="G528">
            <v>18.690000000000001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  <cell r="G529">
            <v>18.690000000000001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  <cell r="G530">
            <v>24.41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  <cell r="G531">
            <v>24.41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  <cell r="G532">
            <v>24.41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  <cell r="G533">
            <v>32.81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  <cell r="G534">
            <v>32.81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  <cell r="G535">
            <v>32.81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  <cell r="G536">
            <v>39.53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  <cell r="G537">
            <v>39.53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  <cell r="G538">
            <v>54.94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  <cell r="G539">
            <v>66.209999999999994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  <cell r="G540">
            <v>66.209999999999994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  <cell r="G541">
            <v>62.64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  <cell r="G542">
            <v>62.64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  <cell r="G543">
            <v>48.52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  <cell r="G544">
            <v>48.52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  <cell r="G545">
            <v>48.52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  <cell r="G546">
            <v>53.68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  <cell r="G547">
            <v>53.68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  <cell r="G548">
            <v>58.84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  <cell r="G549">
            <v>58.84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  <cell r="G550">
            <v>49.22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  <cell r="G551">
            <v>49.22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  <cell r="G552">
            <v>49.22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  <cell r="G553">
            <v>59.4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  <cell r="G554">
            <v>59.4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  <cell r="G555">
            <v>46.67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  <cell r="G556">
            <v>46.67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  <cell r="G557">
            <v>46.67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  <cell r="G558">
            <v>51.12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  <cell r="G559">
            <v>51.12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  <cell r="G560">
            <v>52.59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  <cell r="G561">
            <v>52.59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  <cell r="G562">
            <v>52.59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  <cell r="G563">
            <v>56.55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  <cell r="G564">
            <v>56.55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  <cell r="G565">
            <v>57.34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  <cell r="G566">
            <v>57.34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  <cell r="G567">
            <v>57.34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  <cell r="G568">
            <v>60.9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  <cell r="G569">
            <v>60.9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  <cell r="G570">
            <v>66.81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  <cell r="G571">
            <v>66.81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  <cell r="G572">
            <v>66.81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  <cell r="G573">
            <v>69.19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  <cell r="G574">
            <v>69.19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  <cell r="G575">
            <v>76.89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  <cell r="G576">
            <v>76.89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  <cell r="G577">
            <v>71.55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  <cell r="G578">
            <v>71.55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  <cell r="G579">
            <v>71.55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  <cell r="G580">
            <v>73.33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  <cell r="G581">
            <v>73.33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  <cell r="G582">
            <v>48.52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  <cell r="G583">
            <v>48.52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  <cell r="G584">
            <v>48.52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  <cell r="G585">
            <v>48.52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  <cell r="G586">
            <v>48.52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  <cell r="G587">
            <v>49.22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  <cell r="G588">
            <v>49.22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  <cell r="G589">
            <v>49.22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  <cell r="G590">
            <v>49.22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  <cell r="G591">
            <v>49.22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  <cell r="G592">
            <v>46.67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  <cell r="G593">
            <v>46.67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  <cell r="G594">
            <v>46.67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  <cell r="G595">
            <v>46.67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  <cell r="G596">
            <v>46.67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  <cell r="G597">
            <v>52.59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  <cell r="G598">
            <v>52.59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  <cell r="G599">
            <v>52.59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  <cell r="G600">
            <v>52.59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  <cell r="G601">
            <v>52.59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  <cell r="G602">
            <v>57.34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  <cell r="G603">
            <v>57.34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  <cell r="G604">
            <v>57.34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  <cell r="G605">
            <v>57.34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  <cell r="G606">
            <v>57.34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  <cell r="G607">
            <v>66.81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  <cell r="G608">
            <v>66.81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  <cell r="G609">
            <v>66.81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  <cell r="G610">
            <v>66.81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  <cell r="G611">
            <v>66.81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  <cell r="G612">
            <v>75.11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  <cell r="G613">
            <v>71.55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  <cell r="G614">
            <v>71.55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  <cell r="G615">
            <v>71.55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  <cell r="G616">
            <v>71.55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  <cell r="G617">
            <v>71.55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  <cell r="G618">
            <v>48.52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  <cell r="G619">
            <v>49.22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  <cell r="G620">
            <v>46.67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  <cell r="G621">
            <v>52.59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  <cell r="G622">
            <v>57.34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  <cell r="G623">
            <v>66.81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  <cell r="G624">
            <v>75.11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  <cell r="G625">
            <v>71.55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  <cell r="F626" t="str">
            <v>0T3T_REJ17_PCS-2PFBL3_FLAT_FIXO_GT_66.91%</v>
          </cell>
          <cell r="G626">
            <v>66.91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  <cell r="F627" t="str">
            <v>0T3T_REJ17_PCS-2PFBL1_FLAT_FIXO_GT_66.91%</v>
          </cell>
          <cell r="G627">
            <v>66.91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  <cell r="F628" t="str">
            <v>0T3T_REJ17_PCS-2PFBL2_FLAT_FIXO_GT_66.91%</v>
          </cell>
          <cell r="G628">
            <v>66.91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  <cell r="F629" t="str">
            <v>0T3T_REJ17_PCS-2PFBL3_FLAT_FIXO_GT_60.32%</v>
          </cell>
          <cell r="G629">
            <v>60.32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  <cell r="F630" t="str">
            <v>0T3T_REJ17_PCS-2PFBL1_FLAT_FIXO_GT_60.32%</v>
          </cell>
          <cell r="G630">
            <v>60.32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  <cell r="F631" t="str">
            <v>0T3T_REJ17_PCS-2PFBL2_FLAT_FIXO_GT_60.32%</v>
          </cell>
          <cell r="G631">
            <v>60.32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  <cell r="F632" t="str">
            <v>0T3T_REJ17_PCS-2PFBL3_FLAT_FIXO_GT_47.13%</v>
          </cell>
          <cell r="G632">
            <v>47.13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  <cell r="F633" t="str">
            <v>0T3T_REJ17_PCS-2PFBL1_FLAT_FIXO_GT_47.13%</v>
          </cell>
          <cell r="G633">
            <v>47.13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  <cell r="F634" t="str">
            <v>0T3T_REJ17_PCS-2PFBL2_FLAT_FIXO_GT_47.13%</v>
          </cell>
          <cell r="G634">
            <v>47.13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  <cell r="F635" t="str">
            <v>0T3T_REJ17_PCS-2PFBL3_FLAT_FIXO_GT_33.94%</v>
          </cell>
          <cell r="G635">
            <v>33.94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  <cell r="F636" t="str">
            <v>0T3T_REJ17_PCS-2PFBL1_FLAT_FIXO_GT_33.94%</v>
          </cell>
          <cell r="G636">
            <v>33.94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  <cell r="F637" t="str">
            <v>0T3T_REJ17_PCS-2PFBL2_FLAT_FIXO_GT_33.94%</v>
          </cell>
          <cell r="G637">
            <v>33.94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  <cell r="F638" t="str">
            <v>0T3T_REJ17_PCS-2PFBL3_FLAT_FIXO_GT_53.72%</v>
          </cell>
          <cell r="G638">
            <v>53.72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  <cell r="F639" t="str">
            <v>0T3T_REJ17_PCS-2PFBL1_FLAT_FIXO_GT_53.72%</v>
          </cell>
          <cell r="G639">
            <v>53.72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  <cell r="F640" t="str">
            <v>0T3T_REJ17_PCS-2PFBL2_FLAT_FIXO_GT_53.72%</v>
          </cell>
          <cell r="G640">
            <v>53.72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  <cell r="F641" t="str">
            <v>0T3T_REJ17_PCS-2PFBL3_FLAT_FIXO_GT_40.54%</v>
          </cell>
          <cell r="G641">
            <v>40.54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  <cell r="F642" t="str">
            <v>0T3T_REJ17_PCS-2PFBL1_FLAT_FIXO_GT_40.54%</v>
          </cell>
          <cell r="G642">
            <v>40.54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  <cell r="F643" t="str">
            <v>0T3T_REJ17_PCS-3PHipi_FLAT_FIXO_GT_40.54%</v>
          </cell>
          <cell r="G643">
            <v>40.54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  <cell r="F644" t="str">
            <v>0T3T_REJ17_PCS-2PFBL2_FLAT_FIXO_GT_40.54%</v>
          </cell>
          <cell r="G644">
            <v>40.54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  <cell r="F645" t="str">
            <v>0T3T_REJ17_PCS-3PMepi_FLAT_FIXO_GT_40.54%</v>
          </cell>
          <cell r="G645">
            <v>40.54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  <cell r="F646" t="str">
            <v>0T3T_REJ17_PCS-3PLowpi_FLAT_FIXO_GT_40.54%</v>
          </cell>
          <cell r="G646">
            <v>40.54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  <cell r="F647" t="str">
            <v>0T3T_REJ17_PCS-3PHipi_FLAT_FIXO_GT_53.72%</v>
          </cell>
          <cell r="G647">
            <v>53.72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  <cell r="F648" t="str">
            <v>0T3T_REJ17_PCS-2PFBL3_FLAT_FIXO_GT_27.35%</v>
          </cell>
          <cell r="G648">
            <v>27.35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  <cell r="F649" t="str">
            <v>0T3T_REJ17_PCS-3PMepi_FLAT_FIXO_GT_53.72%</v>
          </cell>
          <cell r="G649">
            <v>53.72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  <cell r="F650" t="str">
            <v>0T3T_REJ17_PCS-3PLowpi_FLAT_FIXO_GT_53.72%</v>
          </cell>
          <cell r="G650">
            <v>53.72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  <cell r="F651" t="str">
            <v>0T3T_REJ17_PCS-3PHipi_FLAT_FIXO_GT_47.13%</v>
          </cell>
          <cell r="G651">
            <v>47.13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  <cell r="F652" t="str">
            <v>0T3T_REJ17_PCS-2PFBL1_FLAT_FIXO_GT_27.35%</v>
          </cell>
          <cell r="G652">
            <v>27.35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  <cell r="F653" t="str">
            <v>0T3T_REJ17_PCS-3PMepi_FLAT_FIXO_GT_47.13%</v>
          </cell>
          <cell r="G653">
            <v>47.13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  <cell r="F654" t="str">
            <v>0T3T_REJ17_PCS-3PLowpi_FLAT_FIXO_GT_47.13%</v>
          </cell>
          <cell r="G654">
            <v>47.13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  <cell r="F655" t="str">
            <v>0T3T_REJ17_PCS-3PHipi_FLAT_FIXO_GT_60.32%</v>
          </cell>
          <cell r="G655">
            <v>60.32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  <cell r="F656" t="str">
            <v>0T3T_REJ17_PCS-3PMepi_FLAT_FIXO_GT_60.32%</v>
          </cell>
          <cell r="G656">
            <v>60.32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  <cell r="F657" t="str">
            <v>0T3T_REJ17_PCS-2PFBL2_FLAT_FIXO_GT_27.35%</v>
          </cell>
          <cell r="G657">
            <v>27.35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  <cell r="F658" t="str">
            <v>0T3T_REJ17_PCS-3PLowpi_FLAT_FIXO_GT_60.32%</v>
          </cell>
          <cell r="G658">
            <v>60.32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  <cell r="F659" t="str">
            <v>0T3T_REJ17_PCS-3PHipi_FLAT_FIXO_GT_66.91%</v>
          </cell>
          <cell r="G659">
            <v>66.91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  <cell r="F660" t="str">
            <v>0T3T_REJ17_CFG-2Plowpi_FLAT_FIXO_GT_66.91%</v>
          </cell>
          <cell r="G660">
            <v>66.91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  <cell r="F661" t="str">
            <v>0T3T_REJ17_PCS-3PMepi_FLAT_FIXO_GT_66.91%</v>
          </cell>
          <cell r="G661">
            <v>66.91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  <cell r="F662" t="str">
            <v>0T3T_REJ17_PCS-3PLowpi_FLAT_FIXO_GT_66.91%</v>
          </cell>
          <cell r="G662">
            <v>66.91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  <cell r="F663" t="str">
            <v>0T3T_REJ17_PCS-2PHipi_FLAT_FIXO_GT_40.54%</v>
          </cell>
          <cell r="G663">
            <v>40.54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  <cell r="F664" t="str">
            <v>0T3T_REJ17_PCS-2PMepi_FLAT_FIXO_GT_40.54%</v>
          </cell>
          <cell r="G664">
            <v>40.54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  <cell r="F665" t="str">
            <v>0T3T_REJ17_CFG-2Plowpi_FLAT_FIXO_GT_40.54%</v>
          </cell>
          <cell r="G665">
            <v>40.54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  <cell r="F666" t="str">
            <v>0T3T_REJ17_PCS-2PHipi_FLAT_FIXO_GT_53.72%</v>
          </cell>
          <cell r="G666">
            <v>53.72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  <cell r="F667" t="str">
            <v>0T3T_REJ17_PCS-2PMepi_FLAT_FIXO_GT_53.72%</v>
          </cell>
          <cell r="G667">
            <v>53.72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  <cell r="F668" t="str">
            <v>0T3T_REJ17_CFG-2Plowpi_FLAT_FIXO_GT_53.72%</v>
          </cell>
          <cell r="G668">
            <v>53.72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  <cell r="F669" t="str">
            <v>0T3T_REJ17_PCS-2PHipi_FLAT_FIXO_GT_47.13%</v>
          </cell>
          <cell r="G669">
            <v>47.13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  <cell r="F670" t="str">
            <v>0T3T_REJ17_PCS-2PMepi_FLAT_FIXO_GT_47.13%</v>
          </cell>
          <cell r="G670">
            <v>47.13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  <cell r="F671" t="str">
            <v>0T3T_REJ17_CFG-2Plowpi_FLAT_FIXO_GT_47.13%</v>
          </cell>
          <cell r="G671">
            <v>47.13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  <cell r="F672" t="str">
            <v>0T3T_REJ17_PCS-2PMepi_FLAT_FIXO_GT_66.91%</v>
          </cell>
          <cell r="G672">
            <v>66.91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  <cell r="F673" t="str">
            <v>0T3T_REJ17_PCS-2PHipi_FLAT_FIXO_GT_60.32%</v>
          </cell>
          <cell r="G673">
            <v>60.32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  <cell r="F674" t="str">
            <v>0T3T_REJ17_PCS-2PMepi_FLAT_FIXO_GT_60.32%</v>
          </cell>
          <cell r="G674">
            <v>60.32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  <cell r="F675" t="str">
            <v>0T3T_REJ17_CFG-2Plowpi_FLAT_FIXO_GT_60.32%</v>
          </cell>
          <cell r="G675">
            <v>60.32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  <cell r="F676" t="str">
            <v>0T3T_REJ17_PCS-2PHipi_FLAT_FIXO_GT_66.91%</v>
          </cell>
          <cell r="G676">
            <v>66.91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  <cell r="F677" t="str">
            <v>0T3T_REJ17_PCS-2PFBL2_FLAT_BL_64.46%</v>
          </cell>
          <cell r="G677">
            <v>64.459999999999994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  <cell r="F678" t="str">
            <v>0T3T_REJ17_PCS-2PFBL1_FLAT_BL_64.46%</v>
          </cell>
          <cell r="G678">
            <v>64.459999999999994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  <cell r="F679" t="str">
            <v>0T3T_REJ17_PCS-2PFBL3_FLAT_BL_52.59%</v>
          </cell>
          <cell r="G679">
            <v>52.59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  <cell r="F680" t="str">
            <v>0T3T_REJ17_PCS-2PFBL3_FLAT_BL_64.46%</v>
          </cell>
          <cell r="G680">
            <v>64.459999999999994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  <cell r="F681" t="str">
            <v>0T3T_REJ17_PCS-2PFBL1_FLAT_BL_57.34%</v>
          </cell>
          <cell r="G681">
            <v>57.34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  <cell r="F682" t="str">
            <v>0T3T_REJ17_PCS-2PFBL2_FLAT_BL_57.34%</v>
          </cell>
          <cell r="G682">
            <v>57.34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  <cell r="F683" t="str">
            <v>0T3T_REJ17_PCS-2PFBL3_FLAT_BL_57.34%</v>
          </cell>
          <cell r="G683">
            <v>57.34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  <cell r="F684" t="str">
            <v>0T3T_REJ17_PCS-2PFBL1_FLAT_BL_71.56%</v>
          </cell>
          <cell r="G684">
            <v>71.56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  <cell r="F685" t="str">
            <v>0T3T_REJ17_PCS-2PFBL2_FLAT_BL_71.56%</v>
          </cell>
          <cell r="G685">
            <v>71.56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  <cell r="F686" t="str">
            <v>0T3T_REJ17_PCS-2PFBL3_FLAT_BL_71.56%</v>
          </cell>
          <cell r="G686">
            <v>71.56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  <cell r="F687" t="str">
            <v>0T3T_REJ17_PCS-2PFBL1_FLAT_BL_66.81%</v>
          </cell>
          <cell r="G687">
            <v>66.81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  <cell r="F688" t="str">
            <v>0T3T_REJ17_PCS-2PFBL2_FLAT_BL_52.59%</v>
          </cell>
          <cell r="G688">
            <v>52.59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  <cell r="F689" t="str">
            <v>0T3T_REJ17_PCS-2PFBL1_FLAT_BL_52.59%</v>
          </cell>
          <cell r="G689">
            <v>52.59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  <cell r="F690" t="str">
            <v>0T3T_REJ17_PCS-2PFBL3_FLAT_BL_60.51%</v>
          </cell>
          <cell r="G690">
            <v>60.51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  <cell r="F691" t="str">
            <v>0T3T_REJ17_PCS-2PFBL2_FLAT_BL_60.51%</v>
          </cell>
          <cell r="G691">
            <v>60.51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  <cell r="F692" t="str">
            <v>0T3T_REJ17_PCS-2PFBL1_FLAT_BL_60.51%</v>
          </cell>
          <cell r="G692">
            <v>60.51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  <cell r="F693" t="str">
            <v>0T3T_REJ17_PCS-2PFBL2_FLAT_BL_66.81%</v>
          </cell>
          <cell r="G693">
            <v>66.81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  <cell r="F694" t="str">
            <v>0T3T_REJ17_PCS-2PFBL3_FLAT_BL_66.81%</v>
          </cell>
          <cell r="G694">
            <v>66.81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  <cell r="F695" t="str">
            <v>0T3T_REJ17_PCS-2PFBL1_FLAT_BL_78.67%</v>
          </cell>
          <cell r="G695">
            <v>78.67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  <cell r="F696" t="str">
            <v>0T3T_REJ17_PCS-2PFBL2_FLAT_BL_78.67%</v>
          </cell>
          <cell r="G696">
            <v>78.67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  <cell r="F697" t="str">
            <v>0T3T_REJ17_PCS-2PFBL3_FLAT_BL_78.67%</v>
          </cell>
          <cell r="G697">
            <v>78.67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  <cell r="F698" t="str">
            <v>0T3T_REJ17_PCS-2PFBL1_FLAT_BL_75.11%</v>
          </cell>
          <cell r="G698">
            <v>75.11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  <cell r="F699" t="str">
            <v>0T3T_REJ17_PCS-2PFBL2_FLAT_BL_75.11%</v>
          </cell>
          <cell r="G699">
            <v>75.11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  <cell r="F700" t="str">
            <v>0T3T_REJ17_PCS-2PFBL3_FLAT_BL_75.11%</v>
          </cell>
          <cell r="G700">
            <v>75.11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  <cell r="F701" t="str">
            <v>0T3T_REJ17_PCS-2PFBL1_FLAT_BL_71.55%</v>
          </cell>
          <cell r="G701">
            <v>71.55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  <cell r="F702" t="str">
            <v>0T3T_REJ17_PCS-2PFBL2_FLAT_BL_71.55%</v>
          </cell>
          <cell r="G702">
            <v>71.55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  <cell r="F703" t="str">
            <v>0T3T_REJ17_PCS-2PFBL3_FLAT_BL_71.55%</v>
          </cell>
          <cell r="G703">
            <v>71.55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  <cell r="F704" t="str">
            <v>0T3T_REJ17_PCS-3PLowpi_FLAT_BL_64.00%</v>
          </cell>
          <cell r="G704">
            <v>64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  <cell r="F705" t="str">
            <v>0T3T_REJ17_PCS-3PMepi_FLAT_BL_64.00%</v>
          </cell>
          <cell r="G705">
            <v>64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  <cell r="F706" t="str">
            <v>0T3T_REJ17_PCS-3PHipi_FLAT_BL_64.00%</v>
          </cell>
          <cell r="G706">
            <v>64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  <cell r="F707" t="str">
            <v>0T3T_REJ17_PCS-3PLowpi_FLAT_BL_53.68%</v>
          </cell>
          <cell r="G707">
            <v>53.68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  <cell r="F708" t="str">
            <v>0T3T_REJ17_PCS-3PLowpi_FLAT_BL_64.49%</v>
          </cell>
          <cell r="G708">
            <v>64.489999999999995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  <cell r="F709" t="str">
            <v>0T3T_REJ17_PCS-3PMepi_FLAT_BL_64.49%</v>
          </cell>
          <cell r="G709">
            <v>64.489999999999995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  <cell r="F710" t="str">
            <v>0T3T_REJ17_PCS-3PHipi_FLAT_BL_64.49%</v>
          </cell>
          <cell r="G710">
            <v>64.489999999999995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  <cell r="F711" t="str">
            <v>0T3T_REJ17_PCS-3PLowpi_FLAT_BL_64.48%</v>
          </cell>
          <cell r="G711">
            <v>64.48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  <cell r="F712" t="str">
            <v>0T3T_REJ17_PCS-3PMepi_FLAT_BL_64.48%</v>
          </cell>
          <cell r="G712">
            <v>64.48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  <cell r="F713" t="str">
            <v>0T3T_REJ17_PCS-3PHipi_FLAT_BL_64.48%</v>
          </cell>
          <cell r="G713">
            <v>64.48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  <cell r="F714" t="str">
            <v>0T3T_REJ17_PCS-3PLowpi_FLAT_BL_68.42%</v>
          </cell>
          <cell r="G714">
            <v>68.42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  <cell r="F715" t="str">
            <v>0T3T_REJ17_PCS-3PMepi_FLAT_BL_68.42%</v>
          </cell>
          <cell r="G715">
            <v>68.42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  <cell r="F716" t="str">
            <v>0T3T_REJ17_PCS-3PHipi_FLAT_BL_68.42%</v>
          </cell>
          <cell r="G716">
            <v>68.42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  <cell r="F717" t="str">
            <v>0T3T_REJ17_PCS-3PLowpi_FLAT_BL_71.58%</v>
          </cell>
          <cell r="G717">
            <v>71.58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  <cell r="F718" t="str">
            <v>0T3T_REJ17_PCS-3PMepi_FLAT_BL_71.58%</v>
          </cell>
          <cell r="G718">
            <v>71.58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  <cell r="F719" t="str">
            <v>0T3T_REJ17_PCS-3PHipi_FLAT_BL_71.58%</v>
          </cell>
          <cell r="G719">
            <v>71.58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  <cell r="F720" t="str">
            <v>0T3T_REJ17_PCS-3PLowpi_FLAT_BL_76.31%</v>
          </cell>
          <cell r="G720">
            <v>76.31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  <cell r="F721" t="str">
            <v>0T3T_REJ17_PCS-3PMepi_FLAT_BL_76.31%</v>
          </cell>
          <cell r="G721">
            <v>76.31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  <cell r="F722" t="str">
            <v>0T3T_REJ17_PCS-3PHipi_FLAT_BL_76.31%</v>
          </cell>
          <cell r="G722">
            <v>76.31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  <cell r="F723" t="str">
            <v>0T3T_REJ17_PCS-3PLowpi_FLAT_BL_82.23%</v>
          </cell>
          <cell r="G723">
            <v>82.23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  <cell r="F724" t="str">
            <v>0T3T_REJ17_PCS-3PMepi_FLAT_BL_82.23%</v>
          </cell>
          <cell r="G724">
            <v>82.23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  <cell r="F725" t="str">
            <v>0T3T_REJ17_PCS-2PFBL3_FLAT_BL_46.67%</v>
          </cell>
          <cell r="G725">
            <v>46.67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  <cell r="F726" t="str">
            <v>0T3T_REJ17_PCS-3PHipi_FLAT_BL_82.23%</v>
          </cell>
          <cell r="G726">
            <v>82.23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  <cell r="F727" t="str">
            <v>0T3T_REJ17_PCS-2PFBL2_FLAT_BL_46.67%</v>
          </cell>
          <cell r="G727">
            <v>46.67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  <cell r="F728" t="str">
            <v>0T3T_REJ17_PCS-2PFBL1_FLAT_BL_46.67%</v>
          </cell>
          <cell r="G728">
            <v>46.67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  <cell r="F729" t="str">
            <v>0T3T_REJ17_PCS-2PFBL3_FLAT_BL_55.57%</v>
          </cell>
          <cell r="G729">
            <v>55.57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  <cell r="F730" t="str">
            <v>0T3T_REJ17_PCS-2PFBL2_FLAT_BL_55.57%</v>
          </cell>
          <cell r="G730">
            <v>55.57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  <cell r="F731" t="str">
            <v>0T3T_REJ17_PCS-2PFBL1_FLAT_BL_55.57%</v>
          </cell>
          <cell r="G731">
            <v>55.57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  <cell r="F732" t="str">
            <v>0T3T_REJ17_PCS-2PFBL3_FLAT_BL_44.13%</v>
          </cell>
          <cell r="G732">
            <v>44.13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  <cell r="F733" t="str">
            <v>0T3T_REJ17_PCS-2PFBL2_FLAT_BL_44.13%</v>
          </cell>
          <cell r="G733">
            <v>44.13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  <cell r="F734" t="str">
            <v>0T3T_REJ17_PCS-2PFBL1_FLAT_BL_44.13%</v>
          </cell>
          <cell r="G734">
            <v>44.13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  <cell r="F735" t="str">
            <v>0T3T_REJ17_PCS-2PFBL3_FLAT_BL_54.31%</v>
          </cell>
          <cell r="G735">
            <v>54.31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  <cell r="F736" t="str">
            <v>0T3T_REJ17_PCS-2PFBL2_FLAT_BL_54.31%</v>
          </cell>
          <cell r="G736">
            <v>54.31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  <cell r="F737" t="str">
            <v>0T3T_REJ17_PCS-2PFBL1_FLAT_BL_54.31%</v>
          </cell>
          <cell r="G737">
            <v>54.31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  <cell r="F738" t="str">
            <v>0T3T_REJ17_PCS-2PFBL3_FLAT_BL_43.37%</v>
          </cell>
          <cell r="G738">
            <v>43.37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  <cell r="F739" t="str">
            <v>0T3T_REJ17_PCS-2PFBL2_FLAT_BL_43.37%</v>
          </cell>
          <cell r="G739">
            <v>43.37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  <cell r="F740" t="str">
            <v>0T3T_REJ17_PCS-2PFBL1_FLAT_BL_43.37%</v>
          </cell>
          <cell r="G740">
            <v>43.37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  <cell r="F741" t="str">
            <v>0T3T_REJ17_PCS-2PFBL3_FLAT_BL_53.68%</v>
          </cell>
          <cell r="G741">
            <v>53.68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  <cell r="F742" t="str">
            <v>0T3T_REJ17_PCS-2PFBL2_FLAT_BL_53.68%</v>
          </cell>
          <cell r="G742">
            <v>53.68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  <cell r="F743" t="str">
            <v>0T3T_REJ17_PCS-2PFBL1_FLAT_BL_53.68%</v>
          </cell>
          <cell r="G743">
            <v>53.68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  <cell r="F744" t="str">
            <v>0T3T_REJ17_PCS-3PMepi_DET_BL_14.22%</v>
          </cell>
          <cell r="G744">
            <v>14.22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  <cell r="F745" t="str">
            <v>0T3T_REJ17_PCS-3PHipi_DET_BL_14.22%</v>
          </cell>
          <cell r="G745">
            <v>14.22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  <cell r="F746" t="str">
            <v>0T3T_REJ17_PCS-3PMepi_DET_BL_10.67%</v>
          </cell>
          <cell r="G746">
            <v>10.67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  <cell r="F747" t="str">
            <v>0T3T_REJ17_PCS-3PHipi_DET_BL_10.67%</v>
          </cell>
          <cell r="G747">
            <v>10.67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  <cell r="F748" t="str">
            <v>0T3T_REJ17_PCS-3PHipi_FLAT_BL_54.64%</v>
          </cell>
          <cell r="G748">
            <v>54.64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  <cell r="F749" t="str">
            <v>0T3T_REJ17_PCS-3PHipi_FLAT_BL_54.94%</v>
          </cell>
          <cell r="G749">
            <v>54.94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  <cell r="F750" t="str">
            <v>0T3T_REJ17_PCS-4P2pi_FLAT_BL_64.48%</v>
          </cell>
          <cell r="G750">
            <v>64.48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  <cell r="F751" t="str">
            <v>0T3T_REJ17_PCS-4P3pi_FLAT_BL_64.48%</v>
          </cell>
          <cell r="G751">
            <v>64.48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  <cell r="F752" t="str">
            <v>0T3T_REJ17_PCS-4P8pi_FLAT_BL_64.48%</v>
          </cell>
          <cell r="G752">
            <v>64.48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  <cell r="F753" t="str">
            <v>0T3T_REJ17_PCS-4P10pi_FLAT_BL_64.48%</v>
          </cell>
          <cell r="G753">
            <v>64.48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  <cell r="F754" t="str">
            <v>0T3T_REJ17_PCS-4P9pi_FLAT_BL_64.48%</v>
          </cell>
          <cell r="G754">
            <v>64.48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  <cell r="F755" t="str">
            <v>0T3T_REJ17_PCS-4P2pi_FLAT_BL_68.42%</v>
          </cell>
          <cell r="G755">
            <v>68.42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  <cell r="F756" t="str">
            <v>0T3T_REJ17_PCS-4P3pi_FLAT_BL_68.42%</v>
          </cell>
          <cell r="G756">
            <v>68.42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  <cell r="F757" t="str">
            <v>0T3T_REJ17_PCS-4P8pi_FLAT_BL_68.42%</v>
          </cell>
          <cell r="G757">
            <v>68.42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  <cell r="F758" t="str">
            <v>0T3T_REJ17_PCS-4P10pi_FLAT_BL_68.42%</v>
          </cell>
          <cell r="G758">
            <v>68.42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  <cell r="F759" t="str">
            <v>0T3T_REJ17_PCS-4P9pi_FLAT_BL_68.42%</v>
          </cell>
          <cell r="G759">
            <v>68.42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  <cell r="F760" t="str">
            <v>0T3T_REJ17_PCS-4P3pi_FLAT_BL_71.58%</v>
          </cell>
          <cell r="G760">
            <v>71.58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  <cell r="F761" t="str">
            <v>0T3T_REJ17_PCS-4P10pi_FLAT_BL_71.58%</v>
          </cell>
          <cell r="G761">
            <v>71.58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  <cell r="F762" t="str">
            <v>0T3T_REJ17_PCS-4P9pi_FLAT_BL_71.58%</v>
          </cell>
          <cell r="G762">
            <v>71.58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  <cell r="F763" t="str">
            <v>0T3T_REJ17_PCS-4P3pi_FLAT_BL_76.31%</v>
          </cell>
          <cell r="G763">
            <v>76.31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  <cell r="F764" t="str">
            <v>0T3T_REJ17_PCS-4P10pi_FLAT_BL_76.31%</v>
          </cell>
          <cell r="G764">
            <v>76.31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  <cell r="F765" t="str">
            <v>0T3T_REJ17_PCS-4P9pi_FLAT_BL_76.31%</v>
          </cell>
          <cell r="G765">
            <v>76.31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  <cell r="F766" t="str">
            <v>0T3T_REJ17_PCS-4P3pi_FLAT_BL_82.23%</v>
          </cell>
          <cell r="G766">
            <v>82.23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  <cell r="F767" t="str">
            <v>0T3T_REJ17_PCS-4P10pi_FLAT_BL_82.23%</v>
          </cell>
          <cell r="G767">
            <v>82.23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  <cell r="F768" t="str">
            <v>0T3T_REJ17_PCS-4P9pi_FLAT_BL_82.23%</v>
          </cell>
          <cell r="G768">
            <v>82.23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  <cell r="F769" t="str">
            <v>0T3T_REJ17_PCS-3PLowpi_FLAT_FIXO_GT_33.94%</v>
          </cell>
          <cell r="G769">
            <v>33.94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  <cell r="F770" t="str">
            <v>0T3T_REJ17_PCS-3PMepi_FLAT_FIXO_GT_33.94%</v>
          </cell>
          <cell r="G770">
            <v>33.94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  <cell r="F771" t="str">
            <v>0T3T_REJ17_PCS-3PHipi_FLAT_FIXO_GT_33.94%</v>
          </cell>
          <cell r="G771">
            <v>33.94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  <cell r="F772" t="str">
            <v>0T3T_REJ17_PCS-3PLowpi_FLAT_FIXO_GT_27.35%</v>
          </cell>
          <cell r="G772">
            <v>27.35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  <cell r="F773" t="str">
            <v>0T3T_REJ17_PCS-3PMepi_FLAT_FIXO_GT_27.35%</v>
          </cell>
          <cell r="G773">
            <v>27.35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  <cell r="F774" t="str">
            <v>0T3T_REJ17_PCS-3PHipi_FLAT_FIXO_GT_27.35%</v>
          </cell>
          <cell r="G774">
            <v>27.35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  <cell r="F775" t="str">
            <v>0T3T_REJ17_PCS-4P6pi_FLAT_FIXO_GT_33.94%</v>
          </cell>
          <cell r="G775">
            <v>33.94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  <cell r="F776" t="str">
            <v>0T3T_REJ17_PCS-4P8pi_FLAT_FIXO_GT_40.54%</v>
          </cell>
          <cell r="G776">
            <v>40.54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  <cell r="F777" t="str">
            <v>0T3T_REJ17_PCS-4P10pi_FLAT_FIXO_GT_40.54%</v>
          </cell>
          <cell r="G777">
            <v>40.54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  <cell r="F778" t="str">
            <v>0T3T_REJ17_PCS-4P9pi_FLAT_FIXO_GT_40.54%</v>
          </cell>
          <cell r="G778">
            <v>40.54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  <cell r="F779" t="str">
            <v>0T3T_REJ17_PCS-4P2pi_FLAT_FIXO_GT_40.54%</v>
          </cell>
          <cell r="G779">
            <v>40.54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  <cell r="F780" t="str">
            <v>0T3T_REJ17_PCS-4P3pi_FLAT_FIXO_GT_40.54%</v>
          </cell>
          <cell r="G780">
            <v>40.54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  <cell r="F781" t="str">
            <v>0T3T_REJ17_PCS-4P4pi_FLAT_FIXO_GT_40.54%</v>
          </cell>
          <cell r="G781">
            <v>40.54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  <cell r="F782" t="str">
            <v>0T3T_REJ17_PCS-4P5pi_FLAT_FIXO_GT_40.54%</v>
          </cell>
          <cell r="G782">
            <v>40.54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  <cell r="F783" t="str">
            <v>0T3T_REJ17_PCS-4P6pi_FLAT_FIXO_GT_40.54%</v>
          </cell>
          <cell r="G783">
            <v>40.54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  <cell r="F784" t="str">
            <v>0T3T_REJ17_PCS-4P8pi_FLAT_FIXO_GT_33.94%</v>
          </cell>
          <cell r="G784">
            <v>33.94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  <cell r="F785" t="str">
            <v>0T3T_REJ17_PCS-4P10pi_FLAT_FIXO_GT_33.94%</v>
          </cell>
          <cell r="G785">
            <v>33.94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  <cell r="F786" t="str">
            <v>0T3T_REJ17_PCS-4P9pi_FLAT_FIXO_GT_33.94%</v>
          </cell>
          <cell r="G786">
            <v>33.94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  <cell r="F787" t="str">
            <v>0T3T_REJ17_PCS-4P2pi_FLAT_FIXO_GT_33.94%</v>
          </cell>
          <cell r="G787">
            <v>33.94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  <cell r="F788" t="str">
            <v>0T3T_REJ17_PCS-4P3pi_FLAT_FIXO_GT_33.94%</v>
          </cell>
          <cell r="G788">
            <v>33.94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  <cell r="F789" t="str">
            <v>0T3T_REJ17_PCS-4P4pi_FLAT_FIXO_GT_33.94%</v>
          </cell>
          <cell r="G789">
            <v>33.94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  <cell r="F790" t="str">
            <v>0T3T_REJ17_PCS-4P5pi_FLAT_FIXO_GT_33.94%</v>
          </cell>
          <cell r="G790">
            <v>33.94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  <cell r="F791" t="str">
            <v>0T3T_REJ17_PCS-4P4pi_FLAT_BL_53.68%</v>
          </cell>
          <cell r="G791">
            <v>53.68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  <cell r="F792" t="str">
            <v>0T3T_REJ17_PCS-4P4pi_FLAT_BL_54.31%</v>
          </cell>
          <cell r="G792">
            <v>54.31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  <cell r="F793" t="str">
            <v>0T3T_REJ17_PCS-4P4pi_FLAT_BL_55.57%</v>
          </cell>
          <cell r="G793">
            <v>55.57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  <cell r="F794" t="str">
            <v>0T3T_REJ17_PCS-4P4pi_FLAT_BL_60.51%</v>
          </cell>
          <cell r="G794">
            <v>60.51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  <cell r="F795" t="str">
            <v>0T3T_REJ17_PCS-4P4pi_FLAT_BL_64.46%</v>
          </cell>
          <cell r="G795">
            <v>64.459999999999994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  <cell r="F796" t="str">
            <v>0T3T_REJ17_PCS-4P4pi_FLAT_BL_71.56%</v>
          </cell>
          <cell r="G796">
            <v>71.56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  <cell r="F797" t="str">
            <v>0T3T_REJ17_PCS-4P4pi_FLAT_BL_78.67%</v>
          </cell>
          <cell r="G797">
            <v>78.67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  <cell r="F798" t="str">
            <v>0T3T_REJ17_PCS-4P5pi_FLAT_BL_53.68%</v>
          </cell>
          <cell r="G798">
            <v>53.68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  <cell r="F799" t="str">
            <v>0T3T_REJ17_PCS-4P5pi_FLAT_BL_54.31%</v>
          </cell>
          <cell r="G799">
            <v>54.31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  <cell r="F800" t="str">
            <v>0T3T_REJ17_PCS-4P5pi_FLAT_BL_55.57%</v>
          </cell>
          <cell r="G800">
            <v>55.57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  <cell r="F801" t="str">
            <v>0T3T_REJ17_PCS-4P5pi_FLAT_BL_60.51%</v>
          </cell>
          <cell r="G801">
            <v>60.51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  <cell r="F802" t="str">
            <v>0T3T_REJ17_PCS-4P5pi_FLAT_BL_64.46%</v>
          </cell>
          <cell r="G802">
            <v>64.459999999999994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  <cell r="F803" t="str">
            <v>0T3T_REJ17_PCS-4P5pi_FLAT_BL_71.56%</v>
          </cell>
          <cell r="G803">
            <v>71.56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  <cell r="F804" t="str">
            <v>0T3T_REJ17_PCS-4P5pi_FLAT_BL_78.67%</v>
          </cell>
          <cell r="G804">
            <v>78.67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  <cell r="F805" t="str">
            <v>0T3T_REJ17_PCS-4P6pi_FLAT_BL_53.68%</v>
          </cell>
          <cell r="G805">
            <v>53.68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  <cell r="F806" t="str">
            <v>0T3T_REJ17_PCS-4P6pi_FLAT_BL_54.31%</v>
          </cell>
          <cell r="G806">
            <v>54.31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  <cell r="F807" t="str">
            <v>0T3T_REJ17_PCS-4P6pi_FLAT_BL_55.57%</v>
          </cell>
          <cell r="G807">
            <v>55.57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  <cell r="F808" t="str">
            <v>0T3T_REJ17_PCS-4P6pi_FLAT_BL_64.46%</v>
          </cell>
          <cell r="G808">
            <v>64.459999999999994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  <cell r="F809" t="str">
            <v>0T3T_REJ17_PCS-4P6pi_FLAT_BL_71.56%</v>
          </cell>
          <cell r="G809">
            <v>71.56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  <cell r="F810" t="str">
            <v>0T3T_REJ17_PCS-4P6pi_FLAT_BL_78.67%</v>
          </cell>
          <cell r="G810">
            <v>78.67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  <cell r="F811" t="str">
            <v>0T3T_REJ17_PCS-4P6pi_FLAT_BL_75.11%</v>
          </cell>
          <cell r="G811">
            <v>75.11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  <cell r="F812" t="str">
            <v>0T3T_REJ17_PCS-4P6pi_FLAT_BL_60.51%.</v>
          </cell>
          <cell r="G812">
            <v>60.51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  <cell r="F813" t="str">
            <v>0T3T_REJ17_PCS-4P2pi_FLAT_TV_29.86%</v>
          </cell>
          <cell r="G813">
            <v>29.86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  <cell r="F814" t="str">
            <v>0T3T_REJ17_PCS-4P2pi_FLAT_TV_37.75%</v>
          </cell>
          <cell r="G814">
            <v>37.75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  <cell r="F815" t="str">
            <v>0T3T_REJ17_PCS-4P2pi_FLAT_TV_36.21%</v>
          </cell>
          <cell r="G815">
            <v>36.21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  <cell r="F816" t="str">
            <v>0T3T_REJ17_PCS-4P2pi_FLAT_TV_21.15%</v>
          </cell>
          <cell r="G816">
            <v>21.15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  <cell r="F817" t="str">
            <v>0T3T_REJ17_PCS-4P2pi_FLAT_TV_33.11%</v>
          </cell>
          <cell r="G817">
            <v>33.11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  <cell r="F818" t="str">
            <v>0T3T_REJ17_PCS-4P2pi_FLAT_TV_31.91%</v>
          </cell>
          <cell r="G818">
            <v>31.91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  <cell r="F819" t="str">
            <v>0T3T_REJ17_PCS-4P2pi_FLAT_TV_26.97%</v>
          </cell>
          <cell r="G819">
            <v>26.97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  <cell r="F820" t="str">
            <v>0T3T_REJ17_PCS-4P2pi_FLAT_TV_30.40%</v>
          </cell>
          <cell r="G820">
            <v>30.4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  <cell r="F821" t="str">
            <v>0T3T_REJ17_PCS-4P2pi_FLAT_TV_26.39%</v>
          </cell>
          <cell r="G821">
            <v>26.39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  <cell r="F822" t="str">
            <v>0T3T_REJ17_PCS-4P2pi_FLAT_TV_25.51%</v>
          </cell>
          <cell r="G822">
            <v>25.51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  <cell r="F823" t="str">
            <v>0T3T_REJ17_PCS-4P2pi_FLAT_TV_23.02%</v>
          </cell>
          <cell r="G823">
            <v>23.02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  <cell r="F824" t="str">
            <v>0T3T_REJ17_PCS-4P3pi_FLAT_TV_34.45%</v>
          </cell>
          <cell r="G824">
            <v>34.450000000000003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  <cell r="F825" t="str">
            <v>0T3T_REJ17_PCS-4P3pi_FLAT_TV_29.86%</v>
          </cell>
          <cell r="G825">
            <v>29.86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  <cell r="F826" t="str">
            <v>0T3T_REJ17_PCS-4P3pi_FLAT_TV_37.75%</v>
          </cell>
          <cell r="G826">
            <v>37.75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  <cell r="F827" t="str">
            <v>0T3T_REJ17_PCS-4P3pi_FLAT_TV_36.21%</v>
          </cell>
          <cell r="G827">
            <v>36.21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  <cell r="F828" t="str">
            <v>0T3T_REJ17_PCS-4P3pi_FLAT_TV_33.11%</v>
          </cell>
          <cell r="G828">
            <v>33.11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  <cell r="F829" t="str">
            <v>0T3T_REJ17_PCS-4P3pi_FLAT_TV_31.91%</v>
          </cell>
          <cell r="G829">
            <v>31.91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  <cell r="F830" t="str">
            <v>0T3T_REJ17_PCS-4P3pi_FLAT_TV_26.97%</v>
          </cell>
          <cell r="G830">
            <v>26.97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  <cell r="F831" t="str">
            <v>0T3T_REJ17_PCS-4P3pi_FLAT_TV_30.40%</v>
          </cell>
          <cell r="G831">
            <v>30.4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  <cell r="F832" t="str">
            <v>0T3T_REJ17_PCS-4P3pi_FLAT_TV_26.39%</v>
          </cell>
          <cell r="G832">
            <v>26.39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  <cell r="F833" t="str">
            <v>0T3T_REJ17_PCS-4P3pi_FLAT_TV_25.51%</v>
          </cell>
          <cell r="G833">
            <v>25.51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  <cell r="F834" t="str">
            <v>0T3T_REJ17_PCS-4P4pi_FLAT_TV_34.45%</v>
          </cell>
          <cell r="G834">
            <v>34.450000000000003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  <cell r="F835" t="str">
            <v>0T3T_REJ17_PCS-4P4pi_FLAT_TV_29.86%</v>
          </cell>
          <cell r="G835">
            <v>29.86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  <cell r="F836" t="str">
            <v>0T3T_REJ17_PCS-4P4pi_FLAT_TV_37.75%</v>
          </cell>
          <cell r="G836">
            <v>37.75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  <cell r="F837" t="str">
            <v>0T3T_REJ17_PCS-4P4pi_FLAT_TV_36.21%</v>
          </cell>
          <cell r="G837">
            <v>36.21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  <cell r="F838" t="str">
            <v>0T3T_REJ17_PCS-4P4pi_FLAT_TV_21.15%</v>
          </cell>
          <cell r="G838">
            <v>21.15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  <cell r="F839" t="str">
            <v>0T3T_REJ17_PCS-4P4pi_FLAT_TV_33.11%</v>
          </cell>
          <cell r="G839">
            <v>33.11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  <cell r="F840" t="str">
            <v>0T3T_REJ17_PCS-4P4pi_FLAT_TV_31.91%</v>
          </cell>
          <cell r="G840">
            <v>31.91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  <cell r="F841" t="str">
            <v>0T3T_REJ17_PCS-4P4pi_FLAT_TV_26.97%</v>
          </cell>
          <cell r="G841">
            <v>26.97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  <cell r="F842" t="str">
            <v>0T3T_REJ17_PCS-4P4pi_FLAT_TV_30.40%</v>
          </cell>
          <cell r="G842">
            <v>30.4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  <cell r="F843" t="str">
            <v>0T3T_REJ17_PCS-4P4pi_FLAT_TV_26.39%</v>
          </cell>
          <cell r="G843">
            <v>26.39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  <cell r="F844" t="str">
            <v>0T3T_REJ17_PCS-4P4pi_FLAT_TV_25.51%</v>
          </cell>
          <cell r="G844">
            <v>25.51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  <cell r="F845" t="str">
            <v>0T3T_REJ17_PCS-4P4pi_FLAT_TV_23.02%</v>
          </cell>
          <cell r="G845">
            <v>23.02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  <cell r="F846" t="str">
            <v>0T3T_REJ17_PCS-4P5pi_FLAT_TV_34.45%</v>
          </cell>
          <cell r="G846">
            <v>34.450000000000003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  <cell r="F847" t="str">
            <v>0T3T_REJ17_PCS-4P5pi_FLAT_TV_29.86%</v>
          </cell>
          <cell r="G847">
            <v>29.86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  <cell r="F848" t="str">
            <v>0T3T_REJ17_PCS-4P5pi_FLAT_TV_37.75%</v>
          </cell>
          <cell r="G848">
            <v>37.75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  <cell r="F849" t="str">
            <v>0T3T_REJ17_PCS-4P5pi_FLAT_TV_36.21%</v>
          </cell>
          <cell r="G849">
            <v>36.21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  <cell r="F850" t="str">
            <v>0T3T_REJ17_PCS-4P5pi_FLAT_TV_21.15%</v>
          </cell>
          <cell r="G850">
            <v>21.15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  <cell r="F851" t="str">
            <v>0T3T_REJ17_PCS-4P5pi_FLAT_TV_33.11%</v>
          </cell>
          <cell r="G851">
            <v>33.11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  <cell r="F852" t="str">
            <v>0T3T_REJ17_PCS-4P5pi_FLAT_TV_31.91%</v>
          </cell>
          <cell r="G852">
            <v>31.91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  <cell r="F853" t="str">
            <v>0T3T_REJ17_PCS-4P5pi_FLAT_TV_26.97%</v>
          </cell>
          <cell r="G853">
            <v>26.97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  <cell r="F854" t="str">
            <v>0T3T_REJ17_PCS-4P5pi_FLAT_TV_30.40%</v>
          </cell>
          <cell r="G854">
            <v>30.4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  <cell r="F855" t="str">
            <v>0T3T_REJ17_PCS-4P5pi_FLAT_TV_26.39%</v>
          </cell>
          <cell r="G855">
            <v>26.39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  <cell r="F856" t="str">
            <v>0T3T_REJ17_PCS-4P5pi_FLAT_TV_25.51%</v>
          </cell>
          <cell r="G856">
            <v>25.51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  <cell r="F857" t="str">
            <v>0T3T_REJ17_PCS-4P5pi_FLAT_TV_23.02%</v>
          </cell>
          <cell r="G857">
            <v>23.02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  <cell r="F858" t="str">
            <v>0T3T_REJ17_PCS-4P6pi_FLAT_TV_34.45%</v>
          </cell>
          <cell r="G858">
            <v>34.450000000000003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  <cell r="F859" t="str">
            <v>0T3T_REJ17_PCS-4P6pi_FLAT_TV_29.86%</v>
          </cell>
          <cell r="G859">
            <v>29.86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  <cell r="F860" t="str">
            <v>0T3T_REJ17_PCS-4P6pi_FLAT_TV_37.75%</v>
          </cell>
          <cell r="G860">
            <v>37.75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  <cell r="F861" t="str">
            <v>0T3T_REJ17_PCS-4P6pi_FLAT_TV_36.21%</v>
          </cell>
          <cell r="G861">
            <v>36.21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  <cell r="F862" t="str">
            <v>0T3T_REJ17_PCS-4P6pi_FLAT_TV_21.15%</v>
          </cell>
          <cell r="G862">
            <v>21.15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  <cell r="F863" t="str">
            <v>0T3T_REJ17_PCS-4P6pi_FLAT_TV_33.11%</v>
          </cell>
          <cell r="G863">
            <v>33.11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  <cell r="F864" t="str">
            <v>0T3T_REJ17_PCS-4P6pi_FLAT_TV_31.91%</v>
          </cell>
          <cell r="G864">
            <v>31.91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  <cell r="F865" t="str">
            <v>0T3T_REJ17_PCS-4P6pi_FLAT_TV_26.97%</v>
          </cell>
          <cell r="G865">
            <v>26.97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  <cell r="F866" t="str">
            <v>0T3T_REJ17_PCS-4P6pi_FLAT_TV_30.40%</v>
          </cell>
          <cell r="G866">
            <v>30.4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  <cell r="F867" t="str">
            <v>0T3T_REJ17_PCS-4P6pi_FLAT_TV_26.39%</v>
          </cell>
          <cell r="G867">
            <v>26.39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  <cell r="F868" t="str">
            <v>0T3T_REJ17_PCS-4P6pi_FLAT_TV_25.51%</v>
          </cell>
          <cell r="G868">
            <v>25.51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  <cell r="F869" t="str">
            <v>0T3T_REJ17_PCS-4P6pi_FLAT_TV_23.02%</v>
          </cell>
          <cell r="G869">
            <v>23.02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  <cell r="F870" t="str">
            <v>0T3T_REJ17_INTCEL-500M_100.00%</v>
          </cell>
          <cell r="G870">
            <v>100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  <cell r="F871" t="str">
            <v>0T3T_REJ17_INTCEL-1G_92.19%</v>
          </cell>
          <cell r="G871">
            <v>92.19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  <cell r="F872" t="str">
            <v>0T3T_REJ17_INTCEL-1G_86.69%</v>
          </cell>
          <cell r="G872">
            <v>86.69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  <cell r="F873" t="str">
            <v>0T3T_REJ17_INTCEL-10G_74.20%</v>
          </cell>
          <cell r="G873">
            <v>74.2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  <cell r="F874" t="str">
            <v>0T3T_REJ17_INTCEL-10G_81.90%</v>
          </cell>
          <cell r="G874">
            <v>81.900000000000006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  <cell r="F875" t="str">
            <v>0T3T_REJ17_INTCEL-2G_83.77%</v>
          </cell>
          <cell r="G875">
            <v>83.77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  <cell r="F876" t="str">
            <v>0T3T_REJ17_INTCEL-2G_74.26%</v>
          </cell>
          <cell r="G876">
            <v>74.260000000000005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  <cell r="F877" t="str">
            <v>0T3T_REJ17_INTCEL-3G_91.10%</v>
          </cell>
          <cell r="G877">
            <v>91.1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  <cell r="F878" t="str">
            <v>0T3T_REJ17_INTCEL-3G_87.42%</v>
          </cell>
          <cell r="G878">
            <v>87.42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  <cell r="F879" t="str">
            <v>0T3T_REJ17_INTCEL-5G_93.19%</v>
          </cell>
          <cell r="G879">
            <v>93.19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  <cell r="F880" t="str">
            <v>0T3T_REJ17_INTCEL-5G_89.50%</v>
          </cell>
          <cell r="G880">
            <v>89.5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  <cell r="F881" t="str">
            <v>0T3T_REJ17_PCS-4P10pi_FLAT_TV_34.45%</v>
          </cell>
          <cell r="G881">
            <v>34.450000000000003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  <cell r="F882" t="str">
            <v>0T3T_REJ17_PCS-4P9pi_FLAT_TV_34.45%</v>
          </cell>
          <cell r="G882">
            <v>34.450000000000003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  <cell r="F883" t="str">
            <v>0T3T_REJ17_PCS-4P8pi_FLAT_TV_29.86%</v>
          </cell>
          <cell r="G883">
            <v>29.86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  <cell r="F884" t="str">
            <v>0T3T_REJ17_PCS-4P10pi_FLAT_TV_29.86%</v>
          </cell>
          <cell r="G884">
            <v>29.86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  <cell r="F885" t="str">
            <v>0T3T_REJ17_PCS-4P9pi_FLAT_TV_29.86%</v>
          </cell>
          <cell r="G885">
            <v>29.86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  <cell r="F886" t="str">
            <v>0T3T_REJ17_PCS-4P8pi_FLAT_TV_37.75%</v>
          </cell>
          <cell r="G886">
            <v>37.75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  <cell r="F887" t="str">
            <v>0T3T_REJ17_PCS-4P10pi_FLAT_TV_37.75%</v>
          </cell>
          <cell r="G887">
            <v>37.75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  <cell r="F888" t="str">
            <v>0T3T_REJ17_PCS-4P9pi_FLAT_TV_37.75%</v>
          </cell>
          <cell r="G888">
            <v>37.75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  <cell r="F889" t="str">
            <v>0T3T_REJ17_PCS-4P8pi_FLAT_TV_36.21%</v>
          </cell>
          <cell r="G889">
            <v>36.21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  <cell r="F890" t="str">
            <v>0T3T_REJ17_PCS-4P10pi_FLAT_TV_36.21%</v>
          </cell>
          <cell r="G890">
            <v>36.21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  <cell r="F891" t="str">
            <v>0T3T_REJ17_PCS-4P9pi_FLAT_TV_36.21%</v>
          </cell>
          <cell r="G891">
            <v>36.21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  <cell r="F892" t="str">
            <v>0T3T_REJ17_PCS-4P8pi_FLAT_TV_21.15%</v>
          </cell>
          <cell r="G892">
            <v>21.15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  <cell r="F893" t="str">
            <v>0T3T_REJ17_PCS-4P9pi_FLAT_TV_21.15%</v>
          </cell>
          <cell r="G893">
            <v>21.15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  <cell r="F894" t="str">
            <v>0T3T_REJ17_PCS-4P8pi_FLAT_TV_40.43%</v>
          </cell>
          <cell r="G894">
            <v>40.43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  <cell r="F895" t="str">
            <v>0T3T_REJ17_PCS-4P10pi_FLAT_TV_40.43%</v>
          </cell>
          <cell r="G895">
            <v>40.43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  <cell r="F896" t="str">
            <v>0T3T_REJ17_PCS-4P9pi_FLAT_TV_40.43%</v>
          </cell>
          <cell r="G896">
            <v>40.43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  <cell r="F897" t="str">
            <v>0T3T_REJ17_PCS-4P8pi_FLAT_TV_33.11%</v>
          </cell>
          <cell r="G897">
            <v>33.11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  <cell r="F898" t="str">
            <v>0T3T_REJ17_PCS-4P10pi_FLAT_TV_33.11%</v>
          </cell>
          <cell r="G898">
            <v>33.11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  <cell r="F899" t="str">
            <v>0T3T_REJ17_PCS-4P9pi_FLAT_TV_33.11%</v>
          </cell>
          <cell r="G899">
            <v>33.11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  <cell r="F900" t="str">
            <v>0T3T_REJ17_PCS-4P8pi_FLAT_TV_31.91%</v>
          </cell>
          <cell r="G900">
            <v>31.91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  <cell r="F901" t="str">
            <v>0T3T_REJ17_PCS-4P10pi_FLAT_TV_31.91%</v>
          </cell>
          <cell r="G901">
            <v>31.91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  <cell r="F902" t="str">
            <v>0T3T_REJ17_PCS-4P9pi_FLAT_TV_31.91%</v>
          </cell>
          <cell r="G902">
            <v>31.91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  <cell r="F903" t="str">
            <v>0T3T_REJ17_PCS-4P8pi_FLAT_TV_26.97%</v>
          </cell>
          <cell r="G903">
            <v>26.97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  <cell r="F904" t="str">
            <v>0T3T_REJ17_PCS-4P10pi_FLAT_TV_26.97%</v>
          </cell>
          <cell r="G904">
            <v>26.97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  <cell r="F905" t="str">
            <v>0T3T_REJ17_PCS-4P9pi_FLAT_TV_26.97%</v>
          </cell>
          <cell r="G905">
            <v>26.97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  <cell r="F906" t="str">
            <v>0T3T_REJ17_PCS-4P8pi_FLAT_TV_30.40%</v>
          </cell>
          <cell r="G906">
            <v>30.4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  <cell r="F907" t="str">
            <v>0T3T_REJ17_PCS-4P10pi_FLAT_TV_30.40%</v>
          </cell>
          <cell r="G907">
            <v>30.4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  <cell r="F908" t="str">
            <v>0T3T_REJ17_PCS-4P9pi_FLAT_TV_30.40%</v>
          </cell>
          <cell r="G908">
            <v>30.4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  <cell r="F909" t="str">
            <v>0T3T_REJ17_PCS-4P8pi_FLAT_TV_26.39%</v>
          </cell>
          <cell r="G909">
            <v>26.39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  <cell r="F910" t="str">
            <v>0T3T_REJ17_PCS-4P10pi_FLAT_TV_26.39%</v>
          </cell>
          <cell r="G910">
            <v>26.39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  <cell r="F911" t="str">
            <v>0T3T_REJ17_PCS-4P9pi_FLAT_TV_26.39%</v>
          </cell>
          <cell r="G911">
            <v>26.39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  <cell r="F912" t="str">
            <v>0T3T_REJ17_PCS-4P8pi_FLAT_TV_21.51%</v>
          </cell>
          <cell r="G912">
            <v>21.51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  <cell r="F913" t="str">
            <v>0T3T_REJ17_PCS-4P10pi_FLAT_TV_21.51%</v>
          </cell>
          <cell r="G913">
            <v>21.51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  <cell r="F914" t="str">
            <v>0T3T_REJ17_PCS-4P9pi_FLAT_TV_21.51%</v>
          </cell>
          <cell r="G914">
            <v>21.51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  <cell r="F915" t="str">
            <v>0T3T_REJ17_PCS-4P8pi_FLAT_TV_23.02%</v>
          </cell>
          <cell r="G915">
            <v>23.02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  <cell r="F916" t="str">
            <v>0T3T_REJ17_PCS-4P9pi_FLAT_TV_23.02%.</v>
          </cell>
          <cell r="G916">
            <v>23.02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  <cell r="F917" t="str">
            <v>0T3T_REJ17_PCS-4P2pi_FLAT_TV_40.43%</v>
          </cell>
          <cell r="G917">
            <v>40.43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  <cell r="F918" t="str">
            <v>0T3T_REJ17_PCS-4P3pi_FLAT_TV_40.43%</v>
          </cell>
          <cell r="G918">
            <v>40.43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  <cell r="F919" t="str">
            <v>0T3T_REJ17_PCS-4P4pi_FLAT_TV_40.43%</v>
          </cell>
          <cell r="G919">
            <v>40.43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  <cell r="F920" t="str">
            <v>0T3T_REJ17_PCS-4P5pi_FLAT_TV_40.43%</v>
          </cell>
          <cell r="G920">
            <v>40.43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  <cell r="F921" t="str">
            <v>0T3T_REJ17_PCS-4P6pi_FLAT_TV_40.43%</v>
          </cell>
          <cell r="G921">
            <v>40.43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  <cell r="F922" t="str">
            <v>0T3T_REJ17_PCS-4P8pi_FLAT_MÓVEL_GT_72.32%</v>
          </cell>
          <cell r="G922">
            <v>72.319999999999993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  <cell r="F923" t="str">
            <v>0T3T_REJ17_PCS-4P8pi_FLAT_MÓVEL_GT_79.31%</v>
          </cell>
          <cell r="G923">
            <v>79.31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  <cell r="F924" t="str">
            <v>0T3T_REJ17_PCS-4P8pi_FLAT_MÓVEL_GT_74.69%</v>
          </cell>
          <cell r="G924">
            <v>74.69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  <cell r="F925" t="str">
            <v>0T3T_REJ17_PCS-4P8pi_FLAT_MÓVEL_GT_75.17%</v>
          </cell>
          <cell r="G925">
            <v>75.17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  <cell r="F926" t="str">
            <v>0T3T_REJ17_PCS-4P8pi_FLAT_MÓVEL_GT_70.54%</v>
          </cell>
          <cell r="G926">
            <v>70.540000000000006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  <cell r="F927" t="str">
            <v>0T3T_REJ17_PCS-4P8pi_FLAT_MÓVEL_GT_71.74%</v>
          </cell>
          <cell r="G927">
            <v>71.739999999999995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  <cell r="F928" t="str">
            <v>0T3T_REJ17_PCS-4P8pi_FLAT_MÓVEL_GT_65.24%</v>
          </cell>
          <cell r="G928">
            <v>65.239999999999995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  <cell r="F929" t="str">
            <v>0T3T_REJ17_PCS-4P8pi_FLAT_MÓVEL_GT_60.62%</v>
          </cell>
          <cell r="G929">
            <v>60.62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  <cell r="F930" t="str">
            <v>0T3T_REJ17_PCS-4P8pi_FLAT_MÓVEL_GT_70.30%</v>
          </cell>
          <cell r="G930">
            <v>70.3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  <cell r="F931" t="str">
            <v>0T3T_REJ17_PCS-4P8pi_FLAT_MÓVEL_GT_65.68%</v>
          </cell>
          <cell r="G931">
            <v>65.680000000000007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  <cell r="F932" t="str">
            <v>0T3T_REJ17_PCS-4P10pi_FLAT_MÓVEL_GT_76.89%</v>
          </cell>
          <cell r="G932">
            <v>76.89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  <cell r="F933" t="str">
            <v>0T3T_REJ17_PCS-4P10pi_FLAT_MÓVEL_GT_82.28%</v>
          </cell>
          <cell r="G933">
            <v>82.28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  <cell r="F934" t="str">
            <v>0T3T_REJ17_PCS-4P10pi_FLAT_MÓVEL_GT_78.72%</v>
          </cell>
          <cell r="G934">
            <v>78.72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  <cell r="F935" t="str">
            <v>0T3T_REJ17_PCS-4P10pi_FLAT_MÓVEL_GT_79.08%</v>
          </cell>
          <cell r="G935">
            <v>79.08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  <cell r="F936" t="str">
            <v>0T3T_REJ17_PCS-4P10pi_FLAT_MÓVEL_GT_75.52%</v>
          </cell>
          <cell r="G936">
            <v>75.52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  <cell r="F937" t="str">
            <v>0T3T_REJ17_PCS-4P10pi_FLAT_MÓVEL_GT_76.44%</v>
          </cell>
          <cell r="G937">
            <v>76.44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  <cell r="F938" t="str">
            <v>0T3T_REJ17_PCS-4P10pi_FLAT_MÓVEL_GT_72.88%</v>
          </cell>
          <cell r="G938">
            <v>72.88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  <cell r="F939" t="str">
            <v>0T3T_REJ17_PCS-4P10pi_FLAT_MÓVEL_GT_71.43%</v>
          </cell>
          <cell r="G939">
            <v>71.430000000000007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  <cell r="F940" t="str">
            <v>0T3T_REJ17_PCS-4P10pi_FLAT_MÓVEL_GT_75.34%</v>
          </cell>
          <cell r="G940">
            <v>75.34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  <cell r="F941" t="str">
            <v>0T3T_REJ17_PCS-4P9pi_FLAT_MÓVEL_GT_75.41%</v>
          </cell>
          <cell r="G941">
            <v>75.41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  <cell r="F942" t="str">
            <v>0T3T_REJ17_PCS-4P9pi_FLAT_MÓVEL_GT_76.89%</v>
          </cell>
          <cell r="G942">
            <v>76.89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  <cell r="F943" t="str">
            <v>0T3T_REJ17_PCS-4P9pi_FLAT_MÓVEL_GT_74.30%</v>
          </cell>
          <cell r="G943">
            <v>74.3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  <cell r="F944" t="str">
            <v>0T3T_REJ17_PCS-4P9pi_FLAT_MÓVEL_GT_72.15%</v>
          </cell>
          <cell r="G944">
            <v>72.150000000000006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  <cell r="F945" t="str">
            <v>0T3T_REJ17_PCS-4P9pi_FLAT_MÓVEL_GT_68.07%</v>
          </cell>
          <cell r="G945">
            <v>68.069999999999993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  <cell r="F946" t="str">
            <v>0T3T_REJ17_PCS-4P9pi_FLAT_MÓVEL_GT_71.25%</v>
          </cell>
          <cell r="G946">
            <v>71.25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  <cell r="F947" t="str">
            <v>0T3T_REJ17_PCS-4P8pi_FLAT_MÓVEL_GT_67.12%</v>
          </cell>
          <cell r="G947">
            <v>67.12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  <cell r="F948" t="str">
            <v>0T3T_REJ17_PCS-4P10pi_FLAT_MÓVEL_GT_67.87%</v>
          </cell>
          <cell r="G948">
            <v>67.87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  <cell r="F949" t="str">
            <v>0T3T_REJ17_PCS-4P10pi_FLAT_MÓVEL_GT_71.78%</v>
          </cell>
          <cell r="G949">
            <v>71.78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  <cell r="F950" t="str">
            <v>0T3T_REJ17_PCS-4P2pi_FLAT_MÓVEL_GT_31.59%</v>
          </cell>
          <cell r="G950">
            <v>31.59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  <cell r="F951" t="str">
            <v>0T3T_REJ17_PCS-4P2pi_FLAT_MÓVEL_GT_48.87%</v>
          </cell>
          <cell r="G951">
            <v>48.87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  <cell r="F952" t="str">
            <v>0T3T_REJ17_PCS-4P2pi_FLAT_MÓVEL_GT_37.45%</v>
          </cell>
          <cell r="G952">
            <v>37.450000000000003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  <cell r="F953" t="str">
            <v>0T3T_REJ17_PCS-4P2pi_FLAT_MÓVEL_GT_38.63%</v>
          </cell>
          <cell r="G953">
            <v>38.630000000000003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  <cell r="F954" t="str">
            <v>0T3T_REJ17_PCS-4P2pi_FLAT_MÓVEL_GT_27.21%</v>
          </cell>
          <cell r="G954">
            <v>27.21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  <cell r="F955" t="str">
            <v>0T3T_REJ17_PCS-4P2pi_FLAT_MÓVEL_GT_30.16%</v>
          </cell>
          <cell r="G955">
            <v>30.16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  <cell r="F956" t="str">
            <v>0T3T_REJ17_PCS-4P2pi_FLAT_MÓVEL_GT_18.74%</v>
          </cell>
          <cell r="G956">
            <v>18.739999999999998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  <cell r="F957" t="str">
            <v>0T3T_REJ17_PCS-4P2pi_FLAT_MÓVEL_GT_02.68%</v>
          </cell>
          <cell r="G957">
            <v>2.68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  <cell r="F958" t="str">
            <v>0T3T_REJ17_PCS-4P2pi_FLAT_MÓVEL_GT_14.10%</v>
          </cell>
          <cell r="G958">
            <v>14.1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  <cell r="F959" t="str">
            <v>0T3T_REJ17_PCS-4P2pi_FLAT_MÓVEL_GT_15.19%</v>
          </cell>
          <cell r="G959">
            <v>15.19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  <cell r="F960" t="str">
            <v>0T3T_REJ17_PCS-4P2pi_FLAT_MÓVEL_GT_26.62%</v>
          </cell>
          <cell r="G960">
            <v>26.62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  <cell r="F961" t="str">
            <v>0T3T_REJ17_PCS-4P3pi_FLAT_MÓVEL_GT_49.33%</v>
          </cell>
          <cell r="G961">
            <v>49.33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  <cell r="F962" t="str">
            <v>0T3T_REJ17_PCS-4P3pi_FLAT_MÓVEL_GT_61.14%</v>
          </cell>
          <cell r="G962">
            <v>61.14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  <cell r="F963" t="str">
            <v>0T3T_REJ17_PCS-4P3pi_FLAT_MÓVEL_GT_53.34%</v>
          </cell>
          <cell r="G963">
            <v>53.34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  <cell r="F964" t="str">
            <v>0T3T_REJ17_PCS-4P3pi_FLAT_MÓVEL_GT_54.14%</v>
          </cell>
          <cell r="G964">
            <v>54.14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  <cell r="F965" t="str">
            <v>0T3T_REJ17_PCS-4P3pi_FLAT_MÓVEL_GT_46.33%</v>
          </cell>
          <cell r="G965">
            <v>46.33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  <cell r="F966" t="str">
            <v>0T3T_REJ17_PCS-4P3pi_FLAT_MÓVEL_GT_48.35%</v>
          </cell>
          <cell r="G966">
            <v>48.35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  <cell r="F967" t="str">
            <v>0T3T_REJ17_PCS-4P3pi_FLAT_MÓVEL_GT_40.54%</v>
          </cell>
          <cell r="G967">
            <v>40.54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  <cell r="F968" t="str">
            <v>0T3T_REJ17_PCS-4P3pi_FLAT_MÓVEL_GT_29.56%</v>
          </cell>
          <cell r="G968">
            <v>29.56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  <cell r="F969" t="str">
            <v>0T3T_REJ17_PCS-4P3pi_FLAT_MÓVEL_GT_37.37%</v>
          </cell>
          <cell r="G969">
            <v>37.369999999999997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  <cell r="F970" t="str">
            <v>0T3T_REJ17_PCS-4P3pi_FLAT_MÓVEL_GT_38.12%</v>
          </cell>
          <cell r="G970">
            <v>38.119999999999997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  <cell r="F971" t="str">
            <v>0T3T_REJ17_PCS-4P3pi_FLAT_MÓVEL_GT_45.93%</v>
          </cell>
          <cell r="G971">
            <v>45.93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  <cell r="F972" t="str">
            <v>0T3T_REJ17_PCS-4P4pi_FLAT_MÓVEL_GT_62.57%</v>
          </cell>
          <cell r="G972">
            <v>62.57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  <cell r="F973" t="str">
            <v>0T3T_REJ17_PCS-4P4pi_FLAT_MÓVEL_GT_69.66%</v>
          </cell>
          <cell r="G973">
            <v>69.66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  <cell r="F974" t="str">
            <v>0T3T_REJ17_PCS-4P4pi_FLAT_MÓVEL_GT_64.98%</v>
          </cell>
          <cell r="G974">
            <v>64.98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  <cell r="F975" t="str">
            <v>0T3T_REJ17_PCS-4P4pi_FLAT_MÓVEL_GT_65.46%</v>
          </cell>
          <cell r="G975">
            <v>65.459999999999994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  <cell r="F976" t="str">
            <v>0T3T_REJ17_PCS-4P4pi_FLAT_MÓVEL_GT_60.77%</v>
          </cell>
          <cell r="G976">
            <v>60.77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  <cell r="F977" t="str">
            <v>0T3T_REJ17_PCS-4P4pi_FLAT_MÓVEL_GT_61.98%</v>
          </cell>
          <cell r="G977">
            <v>61.98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  <cell r="F978" t="str">
            <v>0T3T_REJ17_PCS-4P4pi_FLAT_MÓVEL_GT_57.30%</v>
          </cell>
          <cell r="G978">
            <v>57.3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  <cell r="F979" t="str">
            <v>0T3T_REJ17_PCS-4P4pi_FLAT_MÓVEL_GT_50.71%</v>
          </cell>
          <cell r="G979">
            <v>50.71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  <cell r="F980" t="str">
            <v>0T3T_REJ17_PCS-4P4pi_FLAT_MÓVEL_GT_55.40%</v>
          </cell>
          <cell r="G980">
            <v>55.4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  <cell r="F981" t="str">
            <v>0T3T_REJ17_PCS-4P4pi_FLAT_MÓVEL_GT_55.84%</v>
          </cell>
          <cell r="G981">
            <v>55.84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  <cell r="F982" t="str">
            <v>0T3T_REJ17_PCS-4P4pi_FLAT_MÓVEL_GT_60.53%</v>
          </cell>
          <cell r="G982">
            <v>60.53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  <cell r="F983" t="str">
            <v>0T3T_REJ17_PCS-4P5pi_FLAT_MÓVEL_GT_69.79%</v>
          </cell>
          <cell r="G983">
            <v>69.790000000000006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  <cell r="F984" t="str">
            <v>0T3T_REJ17_PCS-4P5pi_FLAT_MÓVEL_GT_71.34%</v>
          </cell>
          <cell r="G984">
            <v>71.34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  <cell r="F985" t="str">
            <v>0T3T_REJ17_PCS-4P5pi_FLAT_MÓVEL_GT_68.62%</v>
          </cell>
          <cell r="G985">
            <v>68.62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  <cell r="F986" t="str">
            <v>0T3T_REJ17_PCS-4P5pi_FLAT_MÓVEL_GT_66.38%</v>
          </cell>
          <cell r="G986">
            <v>66.38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  <cell r="F987" t="str">
            <v>0T3T_REJ17_PCS-4P5pi_FLAT_MÓVEL_GT_62.13%</v>
          </cell>
          <cell r="G987">
            <v>62.13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  <cell r="F988" t="str">
            <v>0T3T_REJ17_PCS-4P5pi_FLAT_MÓVEL_GT_65.44%</v>
          </cell>
          <cell r="G988">
            <v>65.44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  <cell r="F989" t="str">
            <v>0T3T_REJ17_PCS-4P6pi_FLAT_MÓVEL_GT_73.95%</v>
          </cell>
          <cell r="G989">
            <v>73.95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  <cell r="F990" t="str">
            <v>0T3T_REJ17_PCS-4P6pi_FLAT_MÓVEL_GT_75.02%</v>
          </cell>
          <cell r="G990">
            <v>75.02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  <cell r="F991" t="str">
            <v>0T3T_REJ17_PCS-4P6pi_FLAT_MÓVEL_GT_73.15%</v>
          </cell>
          <cell r="G991">
            <v>73.150000000000006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  <cell r="F992" t="str">
            <v>0T3T_REJ17_PCS-4P6pi_FLAT_MÓVEL_GT_71.61%</v>
          </cell>
          <cell r="G992">
            <v>71.61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  <cell r="F993" t="str">
            <v>0T3T_REJ17_PCS-4P6pi_FLAT_MÓVEL_GT_68.67%</v>
          </cell>
          <cell r="G993">
            <v>68.67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  <cell r="F994" t="str">
            <v>0T3T_REJ17_PCS-4P6pi_FLAT_MÓVEL_GT_70.96%</v>
          </cell>
          <cell r="G994">
            <v>70.959999999999994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  <cell r="F995" t="str">
            <v>0T3T_REJ17_PCS-4P8pi_FLAT_MÓVEL_GT_76.94%</v>
          </cell>
          <cell r="G995">
            <v>76.94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  <cell r="F996" t="str">
            <v>0T3T_REJ17_PCS-4P8pi_FLAT_MÓVEL_GT_76.36%</v>
          </cell>
          <cell r="G996">
            <v>76.36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  <cell r="F997" t="str">
            <v>0T3T_REJ17_PCS-4P8pi_FLAT_MÓVEL_GT_72.21%</v>
          </cell>
          <cell r="G997">
            <v>72.209999999999994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  <cell r="F998" t="str">
            <v>0T3T_REJ17_PCS-4P8pi_FLAT_MÓVEL_GT_68.78%</v>
          </cell>
          <cell r="G998">
            <v>68.78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  <cell r="F999" t="str">
            <v>0T3T_REJ17_PCS-4P8pi_FLAT_MÓVEL_GT_63.04%</v>
          </cell>
          <cell r="G999">
            <v>63.04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  <cell r="F1000" t="str">
            <v>0T3T_REJ17_PCS-4P8pi_FLAT_MÓVEL_GT_58.70%</v>
          </cell>
          <cell r="G1000">
            <v>58.7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  <cell r="F1001" t="str">
            <v>0T3T_REJ17_PCS-4P10pi_FLAT_MÓVEL_GT_80.00%</v>
          </cell>
          <cell r="G1001">
            <v>80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  <cell r="F1002" t="str">
            <v>0T3T_REJ17_PCS-4P10pi_FLAT_MÓVEL_GT_76.81%</v>
          </cell>
          <cell r="G1002">
            <v>76.81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  <cell r="F1003" t="str">
            <v>0T3T_REJ17_PCS-4P10pi_FLAT_MÓVEL_GT_74.17%</v>
          </cell>
          <cell r="G1003">
            <v>74.17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  <cell r="F1004" t="str">
            <v>0T3T_REJ17_PCS-4P10pi_FLAT_MÓVEL_GT_69.74%</v>
          </cell>
          <cell r="G1004">
            <v>69.739999999999995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  <cell r="F1005" t="str">
            <v>0T3T_REJ17_PCS-4P10pi_FLAT_MÓVEL_GT_66.39%</v>
          </cell>
          <cell r="G1005">
            <v>66.39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  <cell r="F1006" t="str">
            <v>0T3T_REJ17_PCS-4P9pi_FLAT_MÓVEL_GT_77.94%</v>
          </cell>
          <cell r="G1006">
            <v>77.94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  <cell r="F1007" t="str">
            <v>0T3T_REJ17_PCS-4P9pi_FLAT_MÓVEL_GT_75.34%</v>
          </cell>
          <cell r="G1007">
            <v>75.34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  <cell r="F1008" t="str">
            <v>0T3T_REJ17_PCS-4P9pi_FLAT_MÓVEL_GT_73.19%</v>
          </cell>
          <cell r="G1008">
            <v>73.19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  <cell r="F1009" t="str">
            <v>0T3T_REJ17_PCS-4P9pi_FLAT_MÓVEL_GT_66.87%</v>
          </cell>
          <cell r="G1009">
            <v>66.87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  <cell r="F1010" t="str">
            <v>0T3T_REJ17_PCS-4P9pi_FLAT_MÓVEL_GT_69.59%</v>
          </cell>
          <cell r="G1010">
            <v>69.59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  <cell r="F1011" t="str">
            <v>0T3T_REJ17_PCS-4P8pi_FLAT_TV_25.51%</v>
          </cell>
          <cell r="G1011">
            <v>25.51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  <cell r="F1012" t="str">
            <v>0T3T_REJ17_PCS-4P10pi_FLAT_TV_25.51%</v>
          </cell>
          <cell r="G1012">
            <v>25.51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  <cell r="F1013" t="str">
            <v>0T3T_REJ17_PCS-4P9pi_FLAT_TV_25.51%</v>
          </cell>
          <cell r="G1013">
            <v>25.51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  <cell r="F1014" t="str">
            <v>0T3T_REJ17_INTCEL-3G_51.20%</v>
          </cell>
          <cell r="G1014">
            <v>51.2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  <cell r="F1015" t="str">
            <v>0T3T_REJ17_INTCEL-10G_46.51%</v>
          </cell>
          <cell r="G1015">
            <v>46.51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  <cell r="F1016" t="str">
            <v>0T3T_REJ17_INTCEL-3G_59.35%</v>
          </cell>
          <cell r="G1016">
            <v>59.35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  <cell r="F1017" t="str">
            <v>0T3T_REJ17_INTCEL-5G_50.83%</v>
          </cell>
          <cell r="G1017">
            <v>50.83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  <cell r="F1018" t="str">
            <v>0T3T_REJ17_INTCEL-3G_60.26%</v>
          </cell>
          <cell r="G1018">
            <v>60.26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  <cell r="F1019" t="str">
            <v>0T3T_REJ17_INTCEL-10G_50.59%</v>
          </cell>
          <cell r="G1019">
            <v>50.59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  <cell r="F1020" t="str">
            <v>0T3T_REJ17_INTCEL-5G_08.62%</v>
          </cell>
          <cell r="G1020">
            <v>8.6199999999999992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  <cell r="F1021" t="str">
            <v>0T3T_REJ17_PCS-4P8pi_FLAT_MÓVEL_GT_85.21%</v>
          </cell>
          <cell r="G1021">
            <v>85.21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  <cell r="F1022" t="str">
            <v>0T3T_REJ17_PCS-4P8pi_FLAT_MÓVEL_GT_74.12%</v>
          </cell>
          <cell r="G1022">
            <v>74.12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  <cell r="F1023" t="str">
            <v>0T3T_REJ17_PCS-4P8pi_FLAT_MÓVEL_GT_87.99%</v>
          </cell>
          <cell r="G1023">
            <v>87.99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  <cell r="F1024" t="str">
            <v>0T3T_REJ17_PCS-4P9pi_FLAT_MÓVEL_GT_76.83%</v>
          </cell>
          <cell r="G1024">
            <v>76.83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  <cell r="F1025" t="str">
            <v>0T3T_REJ17_PCS-4P9pi_FLAT_MÓVEL_GT_75.38%</v>
          </cell>
          <cell r="G1025">
            <v>75.38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  <cell r="F1026" t="str">
            <v>0T3T_REJ17_PCS-4P9pi_FLAT_MÓVEL_GT_79.43%</v>
          </cell>
          <cell r="G1026">
            <v>79.430000000000007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  <cell r="F1027" t="str">
            <v>0T3T_REJ17_PCS-4P9pi_FLAT_MÓVEL_GT_78.28%</v>
          </cell>
          <cell r="G1027">
            <v>78.28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  <cell r="F1028" t="str">
            <v>0T3T_REJ17_PCS-4P9pi_FLAT_MÓVEL_GT_77.41%</v>
          </cell>
          <cell r="G1028">
            <v>77.41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  <cell r="F1029" t="str">
            <v>0T3T_REJ17_PCS-4P9pi_FLAT_MÓVEL_GT_86.68%</v>
          </cell>
          <cell r="G1029">
            <v>86.68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  <cell r="F1030" t="str">
            <v>0T3T_REJ17_PCS-4P2pi_FLAT_MÓVEL_GT_63.46%</v>
          </cell>
          <cell r="G1030">
            <v>63.46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  <cell r="F1031" t="str">
            <v>0T3T_REJ17_PCS-4P2pi_FLAT_MÓVEL_GT_70.31%</v>
          </cell>
          <cell r="G1031">
            <v>70.31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  <cell r="F1032" t="str">
            <v>0T3T_REJ17_PCS-4P2pi_FLAT_MÓVEL_GT_36.05%</v>
          </cell>
          <cell r="G1032">
            <v>36.049999999999997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  <cell r="F1033" t="str">
            <v>0T3T_REJ17_PCS-4P9pi_FLAT_TV_23.02%.</v>
          </cell>
          <cell r="G1033">
            <v>23.02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  <cell r="F1034" t="str">
            <v>0T3T_REJ17_PCS-4P9pi_FLAT_TV_21.15%</v>
          </cell>
          <cell r="G1034">
            <v>21.15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  <cell r="F1035" t="str">
            <v>0T3T_REJ17_PCS-4P9pi_FLAT_TV_21.59%</v>
          </cell>
          <cell r="G1035">
            <v>21.59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  <cell r="F1036" t="str">
            <v>0T3T_REJ17_PCS-4P9pi_FLAT_TV_32.56%</v>
          </cell>
          <cell r="G1036">
            <v>32.56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  <cell r="F1037" t="str">
            <v>0T3T_REJ17_PCS-4P9pi_FLAT_TV_31.30%</v>
          </cell>
          <cell r="G1037">
            <v>31.3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  <cell r="F1038" t="str">
            <v>0T3T_REJ17_PCS-4P9pi_FLAT_TV_16.37%</v>
          </cell>
          <cell r="G1038">
            <v>16.37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  <cell r="F1039" t="str">
            <v>0T3T_REJ17_PCS-4P9pi_FLAT_TV_28.33%</v>
          </cell>
          <cell r="G1039">
            <v>28.33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  <cell r="F1040" t="str">
            <v>0T3T_REJ17_PCS-4P9pi_FLAT_TV_27.37%</v>
          </cell>
          <cell r="G1040">
            <v>27.37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  <cell r="F1041" t="str">
            <v>0T3T_REJ17_PCS-4P9pi_FLAT_TV_38.19%</v>
          </cell>
          <cell r="G1041">
            <v>38.19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  <cell r="F1042" t="str">
            <v>0T3T_REJ17_PCS-4P9pi_FLAT_TV_37.01%</v>
          </cell>
          <cell r="G1042">
            <v>37.01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  <cell r="F1043" t="str">
            <v>0T3T_REJ17_PCS-4P9pi_FLAT_TV_33.53%</v>
          </cell>
          <cell r="G1043">
            <v>33.53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  <cell r="F1044" t="str">
            <v>0T3T_REJ17_PCS-4P9pi_FLAT_TV_09.20%</v>
          </cell>
          <cell r="G1044">
            <v>9.1999999999999993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  <cell r="F1045" t="str">
            <v>0T3T_REJ17_PCS-4P9pi_FLAT_TV_24.78%</v>
          </cell>
          <cell r="G1045">
            <v>24.78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  <cell r="F1046" t="str">
            <v>0T3T_REJ17_PCS-4P9pi_FLAT_TV_23.94%</v>
          </cell>
          <cell r="G1046">
            <v>23.94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  <cell r="F1047" t="str">
            <v>0T3T_REJ17_PCS-4P9pi_FLAT_TV_20.56%</v>
          </cell>
          <cell r="G1047">
            <v>20.56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  <cell r="F1048" t="str">
            <v>0T3T_REJ17_PCS-4P9pi_FLAT_TV_17.10%</v>
          </cell>
          <cell r="G1048">
            <v>17.100000000000001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  <cell r="F1049" t="str">
            <v>0T3T_PAI17_INTCEL-1G_54.48%</v>
          </cell>
          <cell r="G1049">
            <v>54.48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  <cell r="F1050" t="str">
            <v>0T3T_PAI17_INTCEL-2G_02.50%</v>
          </cell>
          <cell r="G1050">
            <v>2.5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  <cell r="F1051" t="str">
            <v>0T3T_PAI17_INTCEL-3G_49.16%</v>
          </cell>
          <cell r="G1051">
            <v>49.16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  <cell r="F1052" t="str">
            <v>0T3T_PAI17_INTCEL-5G_43.79%</v>
          </cell>
          <cell r="G1052">
            <v>43.79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  <cell r="F1053" t="str">
            <v>0T3T_PAI17_INTCEL-5G_58.49%</v>
          </cell>
          <cell r="G1053">
            <v>58.49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  <cell r="F1054" t="str">
            <v>0T3T_PAI17_INTCEL-10G_23.64%</v>
          </cell>
          <cell r="G1054">
            <v>23.64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  <cell r="F1055" t="str">
            <v>0T3T_PAI17_INTCEL-10G_44.48%</v>
          </cell>
          <cell r="G1055">
            <v>44.48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  <cell r="F1056" t="str">
            <v>0T3T_PAI17_INTCEL-2G_00.13%</v>
          </cell>
          <cell r="G1056">
            <v>0.13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  <cell r="F1057" t="str">
            <v>0T3T_PAI17_INTCEL-5G_52.23%</v>
          </cell>
          <cell r="G1057">
            <v>52.23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  <cell r="F1058" t="str">
            <v>0T3T_PAI17_INTCEL-10G_39.94%</v>
          </cell>
          <cell r="G1058">
            <v>39.94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  <cell r="F1059" t="str">
            <v>0T3T_PAI17_PCS-4P9pi_FLAT_TV_51.72%</v>
          </cell>
          <cell r="G1059">
            <v>51.72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  <cell r="F1060" t="str">
            <v>0T3T_PAI17_PCS-4P9pi_FLAT_TV_44.89%</v>
          </cell>
          <cell r="G1060">
            <v>44.89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  <cell r="F1061" t="str">
            <v>0T3T_PAI17_PCS-4P9pi_FLAT_TV_22.73%</v>
          </cell>
          <cell r="G1061">
            <v>22.73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  <cell r="F1062" t="str">
            <v>0T3T_PAI17_PCS-3PMepi_FLAT_TV_21.32%</v>
          </cell>
          <cell r="G1062">
            <v>21.32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  <cell r="F1063" t="str">
            <v>0T3T_PAI17_PCS-3PHipi_FLAT_TV_19.02%</v>
          </cell>
          <cell r="G1063">
            <v>19.02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  <cell r="F1064" t="str">
            <v>0T3T_PAI17_PCS-3PHipi_FLAT_TV_36.21%</v>
          </cell>
          <cell r="G1064">
            <v>36.21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  <cell r="F1065" t="str">
            <v>0T3T_PAI17_PCS-3PHipi_FLAT_TV_18.52%</v>
          </cell>
          <cell r="G1065">
            <v>18.52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  <cell r="F1066" t="str">
            <v>0T3T_PAI17_PCS-3PMepi_FLAT_TV_31.91%</v>
          </cell>
          <cell r="G1066">
            <v>31.91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  <cell r="F1067" t="str">
            <v>0T3T_PAI17_PCS-3PHipi_FLAT_TV_28.53%</v>
          </cell>
          <cell r="G1067">
            <v>28.53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  <cell r="F1068" t="str">
            <v>0T3T_PAI17_PCS-3PHipi_FLAT_TV_42.06%</v>
          </cell>
          <cell r="G1068">
            <v>42.06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  <cell r="F1069" t="str">
            <v>0T3T_PAI17_PCS-3PHipi_FLAT_TV_27.74%</v>
          </cell>
          <cell r="G1069">
            <v>27.74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  <cell r="F1070" t="str">
            <v>0T3T_PAI17_PCS-3PMepi_FLAT_TV_00.11%</v>
          </cell>
          <cell r="G1070">
            <v>0.11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  <cell r="F1071" t="str">
            <v>0T3T_PAI17_PCS-3PHipi_FLAT_TV_01.84%</v>
          </cell>
          <cell r="G1071">
            <v>1.84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  <cell r="F1072" t="str">
            <v>0T3T_PAI17_PCS-3PHipi_FLAT_TV_02.21%</v>
          </cell>
          <cell r="G1072">
            <v>2.21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  <cell r="F1073" t="str">
            <v>0T3T_PAI17_PCS-3PHipi_FLAT_TV_01.47%</v>
          </cell>
          <cell r="G1073">
            <v>1.47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  <cell r="F1074" t="str">
            <v>0T3T_PAI17_PCS-3PHipi_FLAT_TV_15.00%</v>
          </cell>
          <cell r="G1074">
            <v>15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  <cell r="F1075" t="str">
            <v>0T3T_PAI17_PCS-3PHipi_FLAT_TV_01.78%</v>
          </cell>
          <cell r="G1075">
            <v>1.78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  <cell r="F1076" t="str">
            <v>0T3T_PAI17_PCS-4P2pi_FLAT_MÓVEL_GT_66.90%</v>
          </cell>
          <cell r="G1076">
            <v>66.900000000000006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  <cell r="F1077" t="str">
            <v>0T3T_PAI17_PCS-4P8pi_FLAT_MÓVEL_GT_86.61%</v>
          </cell>
          <cell r="G1077">
            <v>86.61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  <cell r="F1078" t="str">
            <v>0T3T_PAI17_PCS-4P9pi_FLAT_MÓVEL_GT_86.39%</v>
          </cell>
          <cell r="G1078">
            <v>86.39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  <cell r="F1079" t="str">
            <v>0T3T_PAI17_PCS-4P9pi_FLAT_MÓVEL_GT_83.49%</v>
          </cell>
          <cell r="G1079">
            <v>83.49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  <cell r="F1080" t="str">
            <v>0T3T_PAI17_PCS-4P9pi_FLAT_MÓVEL_GT_80.59%.</v>
          </cell>
          <cell r="G1080">
            <v>80.59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  <cell r="F1081" t="str">
            <v>0T3T_PAI17_PCS-4P2pi_FLAT_MÓVEL_GT_31.61%</v>
          </cell>
          <cell r="G1081">
            <v>31.61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  <cell r="F1082" t="str">
            <v>0T3T_PAI17_PCS-4P8pi_FLAT_MÓVEL_GT_72.32%</v>
          </cell>
          <cell r="G1082">
            <v>72.319999999999993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  <cell r="F1083" t="str">
            <v>0T3T_PAI17_PCS-4P9pi_FLAT_MÓVEL_GT_77.73%</v>
          </cell>
          <cell r="G1083">
            <v>77.73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  <cell r="F1084" t="str">
            <v>0T3T_PAI17_PCS-4P9pi_FLAT_MÓVEL_GT_57.45%</v>
          </cell>
          <cell r="G1084">
            <v>57.45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  <cell r="F1085" t="str">
            <v>0T3T_PAI17_PCS-4P9pi_FLAT_MÓVEL_GT_51.65%</v>
          </cell>
          <cell r="G1085">
            <v>51.65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  <cell r="F1086" t="str">
            <v>0T3T_PAI17_PCS-4P2pi_FLAT_MÓVEL_GT_50.91%</v>
          </cell>
          <cell r="G1086">
            <v>50.91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  <cell r="F1087" t="str">
            <v>0T3T_PAI17_PCS-4P8pi_FLAT_MÓVEL_GT_80.13%</v>
          </cell>
          <cell r="G1087">
            <v>80.13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  <cell r="F1088" t="str">
            <v>0T3T_PAI17_PCS-4P9pi_FLAT_MÓVEL_GT_84.65%</v>
          </cell>
          <cell r="G1088">
            <v>84.65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  <cell r="F1089" t="str">
            <v>0T3T_PAI17_PCS-4P9pi_FLAT_MÓVEL_GT_81.75%</v>
          </cell>
          <cell r="G1089">
            <v>81.75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  <cell r="F1090" t="str">
            <v>0T3T_PAI17_PCS-4P9pi_FLAT_MÓVEL_GT_78.86%</v>
          </cell>
          <cell r="G1090">
            <v>78.86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  <cell r="F1091" t="str">
            <v>0T3T_PAI17_PCS-4P2pi_FLAT_MÓVEL_GT_39.49%</v>
          </cell>
          <cell r="G1091">
            <v>39.49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  <cell r="F1092" t="str">
            <v>0T3T_PAI17_PCS-4P8pi_FLAT_MÓVEL_GT_75.51%</v>
          </cell>
          <cell r="G1092">
            <v>75.510000000000005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  <cell r="F1093" t="str">
            <v>0T3T_PAI17_PCS-4P9pi_FLAT_MÓVEL_GT_61.47%</v>
          </cell>
          <cell r="G1093">
            <v>61.47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  <cell r="F1094" t="str">
            <v>0T3T_PAI17_PCS-4P9pi_FLAT_MÓVEL_GT_52.78%</v>
          </cell>
          <cell r="G1094">
            <v>52.78</v>
          </cell>
        </row>
        <row r="1095">
          <cell r="A1095" t="str">
            <v>Oi Total Fixo + Pós Conectado Mais + Banda Larga0.2434Template desconto FLAT Plano Principal Oi TV nível conta</v>
          </cell>
          <cell r="B1095" t="str">
            <v>Plano Oi Completo Mais</v>
          </cell>
          <cell r="C1095" t="str">
            <v>Template desconto FLAT Plano Principal Oi TV nível conta</v>
          </cell>
          <cell r="D1095">
            <v>0.24340000000000001</v>
          </cell>
          <cell r="E1095" t="str">
            <v>MKT-1-9948577061</v>
          </cell>
          <cell r="F1095" t="str">
            <v>0T3T_PAI17_PCS-4P9pi_FLAT_TV_24.34%</v>
          </cell>
          <cell r="G1095">
            <v>24.34</v>
          </cell>
        </row>
        <row r="1096">
          <cell r="A1096" t="str">
            <v>Oi Total Fixo + Pós Conectado Mais + Banda Larga0.2148Template desconto FLAT Plano Principal Oi TV nível conta</v>
          </cell>
          <cell r="B1096" t="str">
            <v>Plano Oi Completo Mais</v>
          </cell>
          <cell r="C1096" t="str">
            <v>Template desconto FLAT Plano Principal Oi TV nível conta</v>
          </cell>
          <cell r="D1096">
            <v>0.21479999999999999</v>
          </cell>
          <cell r="E1096" t="str">
            <v>MKT-1-9949098142</v>
          </cell>
          <cell r="F1096" t="str">
            <v>0T3T_PAI17_PCS-4P9pi_FLAT_TV_21.48%</v>
          </cell>
          <cell r="G1096">
            <v>21.48</v>
          </cell>
        </row>
        <row r="1097">
          <cell r="A1097" t="str">
            <v>Oi Total Fixo + Pós Conectado Mais + Banda Larga0.3867Template desconto FLAT Plano Principal Oi TV nível conta</v>
          </cell>
          <cell r="B1097" t="str">
            <v>Plano Oi Completo Mais</v>
          </cell>
          <cell r="C1097" t="str">
            <v>Template desconto FLAT Plano Principal Oi TV nível conta</v>
          </cell>
          <cell r="D1097">
            <v>0.38670000000000004</v>
          </cell>
          <cell r="E1097" t="str">
            <v>MKT-1-9949098397</v>
          </cell>
          <cell r="F1097" t="str">
            <v>0T3T_PAI17_PCS-4P9pi_FLAT_TV_38.67%</v>
          </cell>
          <cell r="G1097">
            <v>38.67</v>
          </cell>
        </row>
        <row r="1098">
          <cell r="A1098" t="str">
            <v>Oi Total Fixo + Pós Conectado Mais + Banda Larga0.2085Template desconto FLAT Plano Principal Oi TV nível conta</v>
          </cell>
          <cell r="B1098" t="str">
            <v>Plano Oi Completo Mais</v>
          </cell>
          <cell r="C1098" t="str">
            <v>Template desconto FLAT Plano Principal Oi TV nível conta</v>
          </cell>
          <cell r="D1098">
            <v>0.20850000000000002</v>
          </cell>
          <cell r="E1098" t="str">
            <v>MKT-1-9949098652</v>
          </cell>
          <cell r="F1098" t="str">
            <v>0T3T_PAI17_PCS-4P9pi_FLAT_TV_20.85%</v>
          </cell>
          <cell r="G1098">
            <v>20.85</v>
          </cell>
        </row>
        <row r="1099">
          <cell r="A1099" t="str">
            <v>Oi Total Fixo + Pós Conectado Mais + Banda Larga0.1907Template desconto FLAT Plano Principal Oi TV nível conta</v>
          </cell>
          <cell r="B1099" t="str">
            <v>Plano Oi Completo Mais</v>
          </cell>
          <cell r="C1099" t="str">
            <v>Template desconto FLAT Plano Principal Oi TV nível conta</v>
          </cell>
          <cell r="D1099">
            <v>0.19070000000000001</v>
          </cell>
          <cell r="E1099" t="str">
            <v>MKT-1-9949098967</v>
          </cell>
          <cell r="F1099" t="str">
            <v>0T3T_PAI17_PCS-4P9pi_FLAT_TV_19.07%</v>
          </cell>
          <cell r="G1099">
            <v>19.07</v>
          </cell>
        </row>
        <row r="1100">
          <cell r="A1100" t="str">
            <v>Oi Total Fixo + Pós Conectado Mais + Banda Larga0.329Template desconto FLAT Plano Principal Oi TV nível conta</v>
          </cell>
          <cell r="B1100" t="str">
            <v>Plano Oi Completo Mais</v>
          </cell>
          <cell r="C1100" t="str">
            <v>Template desconto FLAT Plano Principal Oi TV nível conta</v>
          </cell>
          <cell r="D1100">
            <v>0.32899999999999996</v>
          </cell>
          <cell r="E1100" t="str">
            <v>MKT-1-9949123222</v>
          </cell>
          <cell r="F1100" t="str">
            <v>0T3T_PAI17_PCS-4P9pi_FLAT_TV_32.90%</v>
          </cell>
          <cell r="G1100">
            <v>32.9</v>
          </cell>
        </row>
        <row r="1101">
          <cell r="A1101" t="str">
            <v>Oi Total Fixo + Pós Conectado Mais + Banda Larga0.3418Template desconto FLAT Plano Principal Oi TV nível conta</v>
          </cell>
          <cell r="B1101" t="str">
            <v>Plano Oi Completo Mais</v>
          </cell>
          <cell r="C1101" t="str">
            <v>Template desconto FLAT Plano Principal Oi TV nível conta</v>
          </cell>
          <cell r="D1101">
            <v>0.34179999999999999</v>
          </cell>
          <cell r="E1101" t="str">
            <v>MKT-1-9949123477</v>
          </cell>
          <cell r="F1101" t="str">
            <v>0T3T_PAI17_PCS-4P9pi_FLAT_TV_34.18%</v>
          </cell>
          <cell r="G1101">
            <v>34.18</v>
          </cell>
        </row>
        <row r="1102">
          <cell r="A1102" t="str">
            <v>Oi Total Fixo + Pós Conectado Mais + Banda Larga0.3046Template desconto FLAT Plano Principal Oi TV nível conta</v>
          </cell>
          <cell r="B1102" t="str">
            <v>Plano Oi Completo Mais</v>
          </cell>
          <cell r="C1102" t="str">
            <v>Template desconto FLAT Plano Principal Oi TV nível conta</v>
          </cell>
          <cell r="D1102">
            <v>0.30459999999999998</v>
          </cell>
          <cell r="E1102" t="str">
            <v>MKT-1-9949147632</v>
          </cell>
          <cell r="F1102" t="str">
            <v>0T3T_PAI17_PCS-4P9pi_FLAT_TV_30.46%</v>
          </cell>
          <cell r="G1102">
            <v>30.46</v>
          </cell>
        </row>
        <row r="1103">
          <cell r="A1103" t="str">
            <v>Oi Total Fixo + Pós Conectado Mais + Banda Larga0.4399Template desconto FLAT Plano Principal Oi TV nível conta</v>
          </cell>
          <cell r="B1103" t="str">
            <v>Plano Oi Completo Mais</v>
          </cell>
          <cell r="C1103" t="str">
            <v>Template desconto FLAT Plano Principal Oi TV nível conta</v>
          </cell>
          <cell r="D1103">
            <v>0.43990000000000001</v>
          </cell>
          <cell r="E1103" t="str">
            <v>MKT-1-9949176987</v>
          </cell>
          <cell r="F1103" t="str">
            <v>0T3T_PAI17_PCS-4P9pi_FLAT_TV_43.99%</v>
          </cell>
          <cell r="G1103">
            <v>43.99</v>
          </cell>
        </row>
        <row r="1104">
          <cell r="A1104" t="str">
            <v>Oi Total Fixo + Pós Conectado Mais + Banda Larga0.2959Template desconto FLAT Plano Principal Oi TV nível conta</v>
          </cell>
          <cell r="B1104" t="str">
            <v>Plano Oi Completo Mais</v>
          </cell>
          <cell r="C1104" t="str">
            <v>Template desconto FLAT Plano Principal Oi TV nível conta</v>
          </cell>
          <cell r="D1104">
            <v>0.2959</v>
          </cell>
          <cell r="E1104" t="str">
            <v>MKT-1-9949200542</v>
          </cell>
          <cell r="F1104" t="str">
            <v>0T3T_PAI17_PCS-4P9pi_FLAT_TV_29.59%</v>
          </cell>
          <cell r="G1104">
            <v>29.59</v>
          </cell>
        </row>
        <row r="1105">
          <cell r="A1105" t="str">
            <v>Oi Total Fixo + Pós Conectado Mais + Banda Larga0.2704Template desconto FLAT Plano Principal Oi TV nível conta</v>
          </cell>
          <cell r="B1105" t="str">
            <v>Plano Oi Completo Mais</v>
          </cell>
          <cell r="C1105" t="str">
            <v>Template desconto FLAT Plano Principal Oi TV nível conta</v>
          </cell>
          <cell r="D1105">
            <v>0.27039999999999997</v>
          </cell>
          <cell r="E1105" t="str">
            <v>MKT-1-9949264797</v>
          </cell>
          <cell r="F1105" t="str">
            <v>0T3T_PAI17_PCS-4P9pi_FLAT_TV_27.04%</v>
          </cell>
          <cell r="G1105">
            <v>27.04</v>
          </cell>
        </row>
        <row r="1106">
          <cell r="A1106" t="str">
            <v>Oi Total Fixo + Pós Conectado Mais + Banda Larga0.384Template desconto FLAT Plano Principal Oi TV nível conta</v>
          </cell>
          <cell r="B1106" t="str">
            <v>Plano Oi Completo Mais</v>
          </cell>
          <cell r="C1106" t="str">
            <v>Template desconto FLAT Plano Principal Oi TV nível conta</v>
          </cell>
          <cell r="D1106">
            <v>0.38400000000000001</v>
          </cell>
          <cell r="E1106" t="str">
            <v>MKT-1-9949281152</v>
          </cell>
          <cell r="F1106" t="str">
            <v>0T3T_PAI17_PCS-4P9pi_FLAT_TV_38.40%</v>
          </cell>
          <cell r="G1106">
            <v>38.4</v>
          </cell>
        </row>
        <row r="1107">
          <cell r="A1107" t="str">
            <v>Oi Total Fixo + Pós Conectado Mais + Banda Larga0.0011Template desconto FLAT Plano Principal Oi TV nível conta</v>
          </cell>
          <cell r="B1107" t="str">
            <v>Plano Oi Completo Mais</v>
          </cell>
          <cell r="C1107" t="str">
            <v>Template desconto FLAT Plano Principal Oi TV nível conta</v>
          </cell>
          <cell r="D1107">
            <v>1.1000000000000001E-3</v>
          </cell>
          <cell r="E1107" t="str">
            <v>MKT-1-9949299317</v>
          </cell>
          <cell r="F1107" t="str">
            <v>0T3T_PAI17_PCS-4P9pi_FLAT_TV_00.11%</v>
          </cell>
          <cell r="G1107">
            <v>0.11</v>
          </cell>
        </row>
        <row r="1108">
          <cell r="A1108" t="str">
            <v>Oi Total Fixo + Pós Conectado Mais + Banda Larga0.0184Template desconto FLAT Plano Principal Oi TV nível conta</v>
          </cell>
          <cell r="B1108" t="str">
            <v>Plano Oi Completo Mais</v>
          </cell>
          <cell r="C1108" t="str">
            <v>Template desconto FLAT Plano Principal Oi TV nível conta</v>
          </cell>
          <cell r="D1108">
            <v>1.84E-2</v>
          </cell>
          <cell r="E1108" t="str">
            <v>MKT-1-9949301012</v>
          </cell>
          <cell r="F1108" t="str">
            <v>0T3T_PAI17_PCS-4P9pi_FLAT_TV_01.84%</v>
          </cell>
          <cell r="G1108">
            <v>1.84</v>
          </cell>
        </row>
        <row r="1109">
          <cell r="A1109" t="str">
            <v>Oi Total Fixo + Pós Conectado Mais + Banda Larga0.0221Template desconto FLAT Plano Principal Oi TV nível conta</v>
          </cell>
          <cell r="B1109" t="str">
            <v>Plano Oi Completo Mais</v>
          </cell>
          <cell r="C1109" t="str">
            <v>Template desconto FLAT Plano Principal Oi TV nível conta</v>
          </cell>
          <cell r="D1109">
            <v>2.2099999999999998E-2</v>
          </cell>
          <cell r="E1109" t="str">
            <v>MKT-1-9949304327</v>
          </cell>
          <cell r="F1109" t="str">
            <v>0T3T_PAI17_PCS-4P9pi_FLAT_TV_02.21%</v>
          </cell>
          <cell r="G1109">
            <v>2.21</v>
          </cell>
        </row>
        <row r="1110">
          <cell r="A1110" t="str">
            <v>Oi Total Fixo + Pós Conectado Mais + Banda Larga0.0328Template desconto FLAT Plano Principal Oi TV nível conta</v>
          </cell>
          <cell r="B1110" t="str">
            <v>Plano Oi Completo Mais</v>
          </cell>
          <cell r="C1110" t="str">
            <v>Template desconto FLAT Plano Principal Oi TV nível conta</v>
          </cell>
          <cell r="D1110">
            <v>3.2799999999999996E-2</v>
          </cell>
          <cell r="E1110" t="str">
            <v>MKT-1-9949328682</v>
          </cell>
          <cell r="F1110" t="str">
            <v>0T3T_PAI17_PCS-4P9pi_FLAT_TV_03.28%</v>
          </cell>
          <cell r="G1110">
            <v>3.28</v>
          </cell>
        </row>
        <row r="1111">
          <cell r="A1111" t="str">
            <v>Oi Total Fixo + Pós Conectado Mais + Banda Larga0.1601Template desconto FLAT Plano Principal Oi TV nível conta</v>
          </cell>
          <cell r="B1111" t="str">
            <v>Plano Oi Completo Mais</v>
          </cell>
          <cell r="C1111" t="str">
            <v>Template desconto FLAT Plano Principal Oi TV nível conta</v>
          </cell>
          <cell r="D1111">
            <v>0.16010000000000002</v>
          </cell>
          <cell r="E1111" t="str">
            <v>MKT-1-9949347637</v>
          </cell>
          <cell r="F1111" t="str">
            <v>0T3T_PAI17_PCS-4P9pi_FLAT_TV_16.01%</v>
          </cell>
          <cell r="G1111">
            <v>16.010000000000002</v>
          </cell>
        </row>
        <row r="1112">
          <cell r="A1112" t="str">
            <v>Oi Total Fixo + Pós Conectado Mais + Banda Larga0.15Template desconto FLAT Plano Principal Oi TV nível conta</v>
          </cell>
          <cell r="B1112" t="str">
            <v>Plano Oi Completo Mais</v>
          </cell>
          <cell r="C1112" t="str">
            <v>Template desconto FLAT Plano Principal Oi TV nível conta</v>
          </cell>
          <cell r="D1112">
            <v>0.15</v>
          </cell>
          <cell r="E1112" t="str">
            <v>MKT-1-9949363632</v>
          </cell>
          <cell r="F1112" t="str">
            <v>0T3T_PAI17_PCS-4P9pi_FLAT_TV_15.00%</v>
          </cell>
          <cell r="G1112">
            <v>15</v>
          </cell>
        </row>
        <row r="1113">
          <cell r="A1113" t="str">
            <v>Oi Total Fixo + Pós Conectado Mais + Banda Larga0.1476Template desconto FLAT Plano Principal Oi TV nível conta</v>
          </cell>
          <cell r="B1113" t="str">
            <v>Plano Oi Completo Mais</v>
          </cell>
          <cell r="C1113" t="str">
            <v>Template desconto FLAT Plano Principal Oi TV nível conta</v>
          </cell>
          <cell r="D1113">
            <v>0.14760000000000001</v>
          </cell>
          <cell r="E1113" t="str">
            <v>MKT-1-9949412477</v>
          </cell>
          <cell r="F1113" t="str">
            <v>0T3T_PAI17_PCS-4P9pi_FLAT_TV_14.76%</v>
          </cell>
          <cell r="G1113">
            <v>14.76</v>
          </cell>
        </row>
        <row r="1114">
          <cell r="A1114" t="str">
            <v>Oi Total Fixo + Pós Conectado Mais + Banda Larga0.1407Template desconto FLAT Plano Principal Oi TV nível conta</v>
          </cell>
          <cell r="B1114" t="str">
            <v>Plano Oi Completo Mais</v>
          </cell>
          <cell r="C1114" t="str">
            <v>Template desconto FLAT Plano Principal Oi TV nível conta</v>
          </cell>
          <cell r="D1114">
            <v>0.14069999999999999</v>
          </cell>
          <cell r="E1114" t="str">
            <v>MKT-1-9949462092</v>
          </cell>
          <cell r="F1114" t="str">
            <v>0T3T_PAI17_PCS-4P9pi_FLAT_TV_14.07%</v>
          </cell>
          <cell r="G1114">
            <v>14.07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  <cell r="F1115" t="str">
            <v>0T0T_AGO17_SVA_DADOS_100.00%</v>
          </cell>
          <cell r="G1115">
            <v>100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  <cell r="F1116" t="str">
            <v>0T0T_AGO17_SVA_DADOS_74.21%</v>
          </cell>
          <cell r="G1116">
            <v>74.209999999999994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  <cell r="F1117" t="str">
            <v>0T0T_AGO17_SVA_DADOS_74.26%</v>
          </cell>
          <cell r="G1117">
            <v>74.260000000000005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  <cell r="F1118" t="str">
            <v>0T0T_AGO17_SVA_DADOS_74.22%</v>
          </cell>
          <cell r="G1118">
            <v>74.22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  <cell r="F1119" t="str">
            <v>0T0T_AGO17_SVA_DADOS_74.25%.</v>
          </cell>
          <cell r="G1119">
            <v>74.25</v>
          </cell>
        </row>
        <row r="1120">
          <cell r="A1120" t="str">
            <v>Oi Internet pra Celular 10GB0.6153Template Flat Instância Dados</v>
          </cell>
          <cell r="B1120" t="str">
            <v>Oi Internet pra Celular 10GB</v>
          </cell>
          <cell r="C1120" t="str">
            <v>Template Flat Instância Dados</v>
          </cell>
          <cell r="D1120">
            <v>0.61529999999999996</v>
          </cell>
          <cell r="E1120" t="str">
            <v>MKT-1-10026870851</v>
          </cell>
          <cell r="F1120" t="str">
            <v>0T3T_PAI17_INTCEL-10G_61.53%</v>
          </cell>
          <cell r="G1120">
            <v>61.53</v>
          </cell>
        </row>
        <row r="1121">
          <cell r="A1121" t="str">
            <v>Oi Internet pra Celular 10GB0.7171Template Flat Instância Dados</v>
          </cell>
          <cell r="B1121" t="str">
            <v>Oi Internet pra Celular 10GB</v>
          </cell>
          <cell r="C1121" t="str">
            <v>Template Flat Instância Dados</v>
          </cell>
          <cell r="D1121">
            <v>0.71709999999999996</v>
          </cell>
          <cell r="E1121" t="str">
            <v>MKT-1-10026929038</v>
          </cell>
          <cell r="F1121" t="str">
            <v>0T3T_PAI17_INTCEL-10G_71.71%</v>
          </cell>
          <cell r="G1121">
            <v>71.709999999999994</v>
          </cell>
        </row>
        <row r="1122">
          <cell r="A1122" t="str">
            <v>Oi Internet pra Celular 5GB0.7171Template Flat Instância Dados</v>
          </cell>
          <cell r="B1122" t="str">
            <v>Oi Internet pra Celular 5GB</v>
          </cell>
          <cell r="C1122" t="str">
            <v>Template Flat Instância Dados</v>
          </cell>
          <cell r="D1122">
            <v>0.71709999999999996</v>
          </cell>
          <cell r="E1122" t="str">
            <v>MKT-1-10026936331</v>
          </cell>
          <cell r="F1122" t="str">
            <v>0T3T_PAI17_INTCEL-5G_71.71%</v>
          </cell>
          <cell r="G1122">
            <v>71.709999999999994</v>
          </cell>
        </row>
        <row r="1123">
          <cell r="A1123" t="str">
            <v>Oi Internet pra Celular 5GB0.7543Template Flat Instância Dados</v>
          </cell>
          <cell r="B1123" t="str">
            <v>Oi Internet pra Celular 5GB</v>
          </cell>
          <cell r="C1123" t="str">
            <v>Template Flat Instância Dados</v>
          </cell>
          <cell r="D1123">
            <v>0.75430000000000008</v>
          </cell>
          <cell r="E1123" t="str">
            <v>MKT-1-10026957881</v>
          </cell>
          <cell r="F1123" t="str">
            <v>0T3T_PAI17_INTCEL-5G_75.43%</v>
          </cell>
          <cell r="G1123">
            <v>75.430000000000007</v>
          </cell>
        </row>
        <row r="1124">
          <cell r="A1124" t="str">
            <v>Oi Internet pra Celular 5GB0.6704Template Flat Instância Dados</v>
          </cell>
          <cell r="B1124" t="str">
            <v>Oi Internet pra Celular 5GB</v>
          </cell>
          <cell r="C1124" t="str">
            <v>Template Flat Instância Dados</v>
          </cell>
          <cell r="D1124">
            <v>0.67040000000000011</v>
          </cell>
          <cell r="E1124" t="str">
            <v>MKT-1-10026973411</v>
          </cell>
          <cell r="F1124" t="str">
            <v>0T3T_PAI17_INTCEL-5G_67.04%</v>
          </cell>
          <cell r="G1124">
            <v>67.040000000000006</v>
          </cell>
        </row>
        <row r="1125">
          <cell r="A1125" t="str">
            <v>Oi Internet pra Celular 5GB0.6153Template Flat Instância Dados</v>
          </cell>
          <cell r="B1125" t="str">
            <v>Oi Internet pra Celular 5GB</v>
          </cell>
          <cell r="C1125" t="str">
            <v>Template Flat Instância Dados</v>
          </cell>
          <cell r="D1125">
            <v>0.61529999999999996</v>
          </cell>
          <cell r="E1125" t="str">
            <v>MKT-1-10026973791</v>
          </cell>
          <cell r="F1125" t="str">
            <v>0T3T_PAI17_INTCEL-5G_61.53%</v>
          </cell>
          <cell r="G1125">
            <v>61.53</v>
          </cell>
        </row>
        <row r="1126">
          <cell r="A1126" t="str">
            <v>Oi Internet pra Celular 3GB0.6704Template Flat Instância Dados</v>
          </cell>
          <cell r="B1126" t="str">
            <v>Oi Internet pra Celular 3GB</v>
          </cell>
          <cell r="C1126" t="str">
            <v>Template Flat Instância Dados</v>
          </cell>
          <cell r="D1126">
            <v>0.67040000000000011</v>
          </cell>
          <cell r="E1126" t="str">
            <v>MKT-1-10026974171</v>
          </cell>
          <cell r="F1126" t="str">
            <v>0T3T_PAI17_INTCEL-3G_67.04%</v>
          </cell>
          <cell r="G1126">
            <v>67.040000000000006</v>
          </cell>
        </row>
        <row r="1127">
          <cell r="A1127" t="str">
            <v>Oi Total Fixo + Pós Conectado 1.000 + Banda Larga0.4781Template desconto FLAT Plano Principal Oi TV nível conta</v>
          </cell>
          <cell r="B1127" t="str">
            <v>Plano Oi Completo 1.000</v>
          </cell>
          <cell r="C1127" t="str">
            <v>Template desconto FLAT Plano Principal Oi TV nível conta</v>
          </cell>
          <cell r="D1127">
            <v>0.47810000000000002</v>
          </cell>
          <cell r="E1127" t="str">
            <v>MKT-1-10027248104</v>
          </cell>
          <cell r="F1127" t="str">
            <v>0T3T_PAI17_PCS-4P10pi_FLAT_TV_47.81%</v>
          </cell>
          <cell r="G1127">
            <v>47.81</v>
          </cell>
        </row>
        <row r="1128">
          <cell r="A1128" t="str">
            <v>Oi Total Fixo + Pós Conectado 1.000 + Banda Larga0.3867Template desconto FLAT Plano Principal Oi TV nível conta</v>
          </cell>
          <cell r="B1128" t="str">
            <v>Plano Oi Completo 1.000</v>
          </cell>
          <cell r="C1128" t="str">
            <v>Template desconto FLAT Plano Principal Oi TV nível conta</v>
          </cell>
          <cell r="D1128">
            <v>0.38670000000000004</v>
          </cell>
          <cell r="E1128" t="str">
            <v>MKT-1-10027280381</v>
          </cell>
          <cell r="F1128" t="str">
            <v>0T3T_PAI17_PCS-4P10pi_FLAT_TV_38.67%</v>
          </cell>
          <cell r="G1128">
            <v>38.67</v>
          </cell>
        </row>
        <row r="1129">
          <cell r="A1129" t="str">
            <v>Oi Total Fixo + Pós Conectado 1.000 + Banda Larga0.329Template desconto FLAT Plano Principal Oi TV nível conta</v>
          </cell>
          <cell r="B1129" t="str">
            <v>Plano Oi Completo 1.000</v>
          </cell>
          <cell r="C1129" t="str">
            <v>Template desconto FLAT Plano Principal Oi TV nível conta</v>
          </cell>
          <cell r="D1129">
            <v>0.32899999999999996</v>
          </cell>
          <cell r="E1129" t="str">
            <v>MKT-1-10027807931</v>
          </cell>
          <cell r="F1129" t="str">
            <v>0T3T_PAI17_PCS-4P10pi_FLAT_TV_32.90%</v>
          </cell>
          <cell r="G1129">
            <v>32.9</v>
          </cell>
        </row>
        <row r="1130">
          <cell r="A1130" t="str">
            <v>Oi Total Fixo + Pós Conectado 1.000 + Banda Larga0.4399Template desconto FLAT Plano Principal Oi TV nível conta</v>
          </cell>
          <cell r="B1130" t="str">
            <v>Plano Oi Completo 1.000</v>
          </cell>
          <cell r="C1130" t="str">
            <v>Template desconto FLAT Plano Principal Oi TV nível conta</v>
          </cell>
          <cell r="D1130">
            <v>0.43990000000000001</v>
          </cell>
          <cell r="E1130" t="str">
            <v>MKT-1-10028039652</v>
          </cell>
          <cell r="F1130" t="str">
            <v>0T3T_PAI17_PCS-4P10pi_FLAT_TV_43.99%</v>
          </cell>
          <cell r="G1130">
            <v>43.99</v>
          </cell>
        </row>
        <row r="1131">
          <cell r="A1131" t="str">
            <v>Oi Total Fixo + Pós 50 + Banda Larga0.4781Template desconto FLAT Plano Principal Oi TV nível conta</v>
          </cell>
          <cell r="B1131" t="str">
            <v>Plano Oi Completo XSmall</v>
          </cell>
          <cell r="C1131" t="str">
            <v>Template desconto FLAT Plano Principal Oi TV nível conta</v>
          </cell>
          <cell r="D1131">
            <v>0.47810000000000002</v>
          </cell>
          <cell r="E1131" t="str">
            <v>MKT-1-10029270831</v>
          </cell>
          <cell r="F1131" t="str">
            <v>0T3T_PAI17_PCS-4P2pi_FLAT_TV_47.81%</v>
          </cell>
          <cell r="G1131">
            <v>47.81</v>
          </cell>
        </row>
        <row r="1132">
          <cell r="A1132" t="str">
            <v>Oi Total Fixo + Pós 100 + Banda Larga0.329Template desconto FLAT Plano Principal Oi TV nível conta</v>
          </cell>
          <cell r="B1132" t="str">
            <v>Plano Oi Completo Small</v>
          </cell>
          <cell r="C1132" t="str">
            <v>Template desconto FLAT Plano Principal Oi TV nível conta</v>
          </cell>
          <cell r="D1132">
            <v>0.32899999999999996</v>
          </cell>
          <cell r="E1132" t="str">
            <v>MKT-1-10029271101</v>
          </cell>
          <cell r="F1132" t="str">
            <v>0T3T_PAI17_PCS-4P3pi_FLAT_TV_32.90%</v>
          </cell>
          <cell r="G1132">
            <v>32.9</v>
          </cell>
        </row>
        <row r="1133">
          <cell r="A1133" t="str">
            <v>Oi Total Fixo + Pós 50 + Banda Larga0.3256Template desconto FLAT Plano Principal Oi TV nível conta</v>
          </cell>
          <cell r="B1133" t="str">
            <v>Plano Oi Completo XSmall</v>
          </cell>
          <cell r="C1133" t="str">
            <v>Template desconto FLAT Plano Principal Oi TV nível conta</v>
          </cell>
          <cell r="D1133">
            <v>0.3256</v>
          </cell>
          <cell r="E1133" t="str">
            <v>MKT-1-10029278791</v>
          </cell>
          <cell r="F1133" t="str">
            <v>0T3T_PAI17_PCS-4P2pi_FLAT_TV_32.56%</v>
          </cell>
          <cell r="G1133">
            <v>32.56</v>
          </cell>
        </row>
        <row r="1134">
          <cell r="A1134" t="str">
            <v>Oi Total Fixo + Pós 50 + Banda Larga0.1637Template desconto FLAT Plano Principal Oi TV nível conta</v>
          </cell>
          <cell r="B1134" t="str">
            <v>Plano Oi Completo XSmall</v>
          </cell>
          <cell r="C1134" t="str">
            <v>Template desconto FLAT Plano Principal Oi TV nível conta</v>
          </cell>
          <cell r="D1134">
            <v>0.16370000000000001</v>
          </cell>
          <cell r="E1134" t="str">
            <v>MKT-1-10029279061</v>
          </cell>
          <cell r="F1134" t="str">
            <v>0T3T_PAI17_PCS-4P2pi_FLAT_TV_16.37%</v>
          </cell>
          <cell r="G1134">
            <v>16.37</v>
          </cell>
        </row>
        <row r="1135">
          <cell r="A1135" t="str">
            <v>Oi Total Fixo + Pós 50 + Banda Larga0.4399Template desconto FLAT Plano Principal Oi TV nível conta</v>
          </cell>
          <cell r="B1135" t="str">
            <v>Plano Oi Completo XSmall</v>
          </cell>
          <cell r="C1135" t="str">
            <v>Template desconto FLAT Plano Principal Oi TV nível conta</v>
          </cell>
          <cell r="D1135">
            <v>0.43990000000000001</v>
          </cell>
          <cell r="E1135" t="str">
            <v>MKT-1-10029315481</v>
          </cell>
          <cell r="F1135" t="str">
            <v>0T3T_PAI17_PCS-4P2pi_FLAT_TV_43.99%</v>
          </cell>
          <cell r="G1135">
            <v>43.99</v>
          </cell>
        </row>
        <row r="1136">
          <cell r="A1136" t="str">
            <v>Oi Total Fixo + Pós 100 + Banda Larga0.4399Template desconto FLAT Plano Principal Oi TV nível conta</v>
          </cell>
          <cell r="B1136" t="str">
            <v>Plano Oi Completo Small</v>
          </cell>
          <cell r="C1136" t="str">
            <v>Template desconto FLAT Plano Principal Oi TV nível conta</v>
          </cell>
          <cell r="D1136">
            <v>0.43990000000000001</v>
          </cell>
          <cell r="E1136" t="str">
            <v>MKT-1-10029315751</v>
          </cell>
          <cell r="F1136" t="str">
            <v>0T3T_PAI17_PCS-4P3pi_FLAT_TV_43.99%</v>
          </cell>
          <cell r="G1136">
            <v>43.99</v>
          </cell>
        </row>
        <row r="1137">
          <cell r="A1137" t="str">
            <v>Oi Total Fixo + Pós 50 + Banda Larga0.4327Template desconto FLAT Plano Principal Oi TV nível conta</v>
          </cell>
          <cell r="B1137" t="str">
            <v>Plano Oi Completo XSmall</v>
          </cell>
          <cell r="C1137" t="str">
            <v>Template desconto FLAT Plano Principal Oi TV nível conta</v>
          </cell>
          <cell r="D1137">
            <v>0.43270000000000003</v>
          </cell>
          <cell r="E1137" t="str">
            <v>MKT-1-10029319491</v>
          </cell>
          <cell r="F1137" t="str">
            <v>0T3T_PAI17_PCS-4P2pi_FLAT_TV_43.27%</v>
          </cell>
          <cell r="G1137">
            <v>43.27</v>
          </cell>
        </row>
        <row r="1138">
          <cell r="A1138" t="str">
            <v>Oi Total Fixo + Pós 100 + Banda Larga0.4781Template desconto FLAT Plano Principal Oi TV nível conta</v>
          </cell>
          <cell r="B1138" t="str">
            <v>Plano Oi Completo Small</v>
          </cell>
          <cell r="C1138" t="str">
            <v>Template desconto FLAT Plano Principal Oi TV nível conta</v>
          </cell>
          <cell r="D1138">
            <v>0.47810000000000002</v>
          </cell>
          <cell r="E1138" t="str">
            <v>MKT-1-10029319761</v>
          </cell>
          <cell r="F1138" t="str">
            <v>0T3T_PAI17_PCS-4P3pi_FLAT_TV_47.81%</v>
          </cell>
          <cell r="G1138">
            <v>47.81</v>
          </cell>
        </row>
        <row r="1139">
          <cell r="A1139" t="str">
            <v>Oi Total Fixo + Pós 250 + Banda Larga0.2159Template desconto FLAT Plano Principal Oi TV nível conta</v>
          </cell>
          <cell r="B1139" t="str">
            <v>Plano Oi Completo Medium</v>
          </cell>
          <cell r="C1139" t="str">
            <v>Template desconto FLAT Plano Principal Oi TV nível conta</v>
          </cell>
          <cell r="D1139">
            <v>0.21590000000000001</v>
          </cell>
          <cell r="E1139" t="str">
            <v>MKT-1-10029320031</v>
          </cell>
          <cell r="F1139" t="str">
            <v>0T3T_PAI17_PCS-4P4pi_FLAT_TV_21.59%</v>
          </cell>
          <cell r="G1139">
            <v>21.59</v>
          </cell>
        </row>
        <row r="1140">
          <cell r="A1140" t="str">
            <v>Oi Total Fixo + Pós 50 + Banda Larga0.2833Template desconto FLAT Plano Principal Oi TV nível conta</v>
          </cell>
          <cell r="B1140" t="str">
            <v>Plano Oi Completo XSmall</v>
          </cell>
          <cell r="C1140" t="str">
            <v>Template desconto FLAT Plano Principal Oi TV nível conta</v>
          </cell>
          <cell r="D1140">
            <v>0.2833</v>
          </cell>
          <cell r="E1140" t="str">
            <v>MKT-1-10029326331</v>
          </cell>
          <cell r="F1140" t="str">
            <v>0T3T_PAI17_PCS-4P2pi_FLAT_TV_28.33%</v>
          </cell>
          <cell r="G1140">
            <v>28.33</v>
          </cell>
        </row>
        <row r="1141">
          <cell r="A1141" t="str">
            <v>Oi Total Fixo + Pós 50 + Banda Larga0.2737Template desconto FLAT Plano Principal Oi TV nível conta</v>
          </cell>
          <cell r="B1141" t="str">
            <v>Plano Oi Completo XSmall</v>
          </cell>
          <cell r="C1141" t="str">
            <v>Template desconto FLAT Plano Principal Oi TV nível conta</v>
          </cell>
          <cell r="D1141">
            <v>0.2737</v>
          </cell>
          <cell r="E1141" t="str">
            <v>MKT-1-10029326601</v>
          </cell>
          <cell r="F1141" t="str">
            <v>0T3T_PAI17_PCS-4P2pi_FLAT_TV_27.37%</v>
          </cell>
          <cell r="G1141">
            <v>27.37</v>
          </cell>
        </row>
        <row r="1142">
          <cell r="A1142" t="str">
            <v>Oi Total Fixo + Pós 50 + Banda Larga0.3867Template desconto FLAT Plano Principal Oi TV nível conta</v>
          </cell>
          <cell r="B1142" t="str">
            <v>Plano Oi Completo XSmall</v>
          </cell>
          <cell r="C1142" t="str">
            <v>Template desconto FLAT Plano Principal Oi TV nível conta</v>
          </cell>
          <cell r="D1142">
            <v>0.38670000000000004</v>
          </cell>
          <cell r="E1142" t="str">
            <v>MKT-1-10029326871</v>
          </cell>
          <cell r="F1142" t="str">
            <v>0T3T_PAI17_PCS-4P2pi_FLAT_TV_38.67%</v>
          </cell>
          <cell r="G1142">
            <v>38.67</v>
          </cell>
        </row>
        <row r="1143">
          <cell r="A1143" t="str">
            <v>Oi Total Fixo + Pós 50 + Banda Larga0.329Template desconto FLAT Plano Principal Oi TV nível conta</v>
          </cell>
          <cell r="B1143" t="str">
            <v>Plano Oi Completo XSmall</v>
          </cell>
          <cell r="C1143" t="str">
            <v>Template desconto FLAT Plano Principal Oi TV nível conta</v>
          </cell>
          <cell r="D1143">
            <v>0.32899999999999996</v>
          </cell>
          <cell r="E1143" t="str">
            <v>MKT-1-10029327141</v>
          </cell>
          <cell r="F1143" t="str">
            <v>0T3T_PAI17_PCS-4P2pi_FLAT_TV_32.90%</v>
          </cell>
          <cell r="G1143">
            <v>32.9</v>
          </cell>
        </row>
        <row r="1144">
          <cell r="A1144" t="str">
            <v>Oi Total Fixo + Pós 100 + Banda Larga0.3867Template desconto FLAT Plano Principal Oi TV nível conta</v>
          </cell>
          <cell r="B1144" t="str">
            <v>Plano Oi Completo Small</v>
          </cell>
          <cell r="C1144" t="str">
            <v>Template desconto FLAT Plano Principal Oi TV nível conta</v>
          </cell>
          <cell r="D1144">
            <v>0.38670000000000004</v>
          </cell>
          <cell r="E1144" t="str">
            <v>MKT-1-10029412411</v>
          </cell>
          <cell r="F1144" t="str">
            <v>0T3T_PAI17_PCS-4P3pi_FLAT_TV_38.67%</v>
          </cell>
          <cell r="G1144">
            <v>38.67</v>
          </cell>
        </row>
        <row r="1145">
          <cell r="A1145" t="str">
            <v>Oi Total Fixo + Pós 250 + Banda Larga0.3256Template desconto FLAT Plano Principal Oi TV nível conta</v>
          </cell>
          <cell r="B1145" t="str">
            <v>Plano Oi Completo Medium</v>
          </cell>
          <cell r="C1145" t="str">
            <v>Template desconto FLAT Plano Principal Oi TV nível conta</v>
          </cell>
          <cell r="D1145">
            <v>0.3256</v>
          </cell>
          <cell r="E1145" t="str">
            <v>MKT-1-10029526301</v>
          </cell>
          <cell r="F1145" t="str">
            <v>0T3T_PAI17_PCS-4P4pi_FLAT_TV_32.56%</v>
          </cell>
          <cell r="G1145">
            <v>32.56</v>
          </cell>
        </row>
        <row r="1146">
          <cell r="A1146" t="str">
            <v>Oi Total Fixo + Pós 250 + Banda Larga0.313Template desconto FLAT Plano Principal Oi TV nível conta</v>
          </cell>
          <cell r="B1146" t="str">
            <v>Plano Oi Completo Medium</v>
          </cell>
          <cell r="C1146" t="str">
            <v>Template desconto FLAT Plano Principal Oi TV nível conta</v>
          </cell>
          <cell r="D1146">
            <v>0.313</v>
          </cell>
          <cell r="E1146" t="str">
            <v>MKT-1-10029526571</v>
          </cell>
          <cell r="F1146" t="str">
            <v>0T3T_PAI17_PCS-4P4pi_FLAT_TV_31.30%</v>
          </cell>
          <cell r="G1146">
            <v>31.3</v>
          </cell>
        </row>
        <row r="1147">
          <cell r="A1147" t="str">
            <v>Oi Total Fixo + Pós 250 + Banda Larga0.1637Template desconto FLAT Plano Principal Oi TV nível conta</v>
          </cell>
          <cell r="B1147" t="str">
            <v>Plano Oi Completo Medium</v>
          </cell>
          <cell r="C1147" t="str">
            <v>Template desconto FLAT Plano Principal Oi TV nível conta</v>
          </cell>
          <cell r="D1147">
            <v>0.16370000000000001</v>
          </cell>
          <cell r="E1147" t="str">
            <v>MKT-1-10029526911</v>
          </cell>
          <cell r="F1147" t="str">
            <v>0T3T_PAI17_PCS-4P4pi_FLAT_TV_16.37%</v>
          </cell>
          <cell r="G1147">
            <v>16.37</v>
          </cell>
        </row>
        <row r="1148">
          <cell r="A1148" t="str">
            <v>Oi Total Fixo + Pós 250 + Banda Larga0.2733Template desconto FLAT Plano Principal Oi TV nível conta</v>
          </cell>
          <cell r="B1148" t="str">
            <v>Plano Oi Completo Medium</v>
          </cell>
          <cell r="C1148" t="str">
            <v>Template desconto FLAT Plano Principal Oi TV nível conta</v>
          </cell>
          <cell r="D1148">
            <v>0.27329999999999999</v>
          </cell>
          <cell r="E1148" t="str">
            <v>MKT-1-10029527181</v>
          </cell>
          <cell r="F1148" t="str">
            <v>0T3T_PAI17_PCS-4P4pi_FLAT_TV_27.33%</v>
          </cell>
          <cell r="G1148">
            <v>27.33</v>
          </cell>
        </row>
        <row r="1149">
          <cell r="A1149" t="str">
            <v>Oi Total Fixo + Pós 250 + Banda Larga0.2833Template desconto FLAT Plano Principal Oi TV nível conta</v>
          </cell>
          <cell r="B1149" t="str">
            <v>Plano Oi Completo Medium</v>
          </cell>
          <cell r="C1149" t="str">
            <v>Template desconto FLAT Plano Principal Oi TV nível conta</v>
          </cell>
          <cell r="D1149">
            <v>0.2833</v>
          </cell>
          <cell r="E1149" t="str">
            <v>MKT-1-10029703891</v>
          </cell>
          <cell r="F1149" t="str">
            <v>0T3T_PAI17_PCS-4P4pi_FLAT_TV_28.33%</v>
          </cell>
          <cell r="G1149">
            <v>28.33</v>
          </cell>
        </row>
        <row r="1150">
          <cell r="A1150" t="str">
            <v>Oi Total Fixo + Pós 250 + Banda Larga0.3867Template desconto FLAT Plano Principal Oi TV nível conta</v>
          </cell>
          <cell r="B1150" t="str">
            <v>Plano Oi Completo Medium</v>
          </cell>
          <cell r="C1150" t="str">
            <v>Template desconto FLAT Plano Principal Oi TV nível conta</v>
          </cell>
          <cell r="D1150">
            <v>0.38670000000000004</v>
          </cell>
          <cell r="E1150" t="str">
            <v>MKT-1-10029769451</v>
          </cell>
          <cell r="F1150" t="str">
            <v>0T3T_PAI17_PCS-4P4pi_FLAT_TV_38.67%</v>
          </cell>
          <cell r="G1150">
            <v>38.67</v>
          </cell>
        </row>
        <row r="1151">
          <cell r="A1151" t="str">
            <v>Oi Total Fixo + Pós 250 + Banda Larga0.4399Template desconto FLAT Plano Principal Oi TV nível conta</v>
          </cell>
          <cell r="B1151" t="str">
            <v>Plano Oi Completo Medium</v>
          </cell>
          <cell r="C1151" t="str">
            <v>Template desconto FLAT Plano Principal Oi TV nível conta</v>
          </cell>
          <cell r="D1151">
            <v>0.43990000000000001</v>
          </cell>
          <cell r="E1151" t="str">
            <v>MKT-1-10029769721</v>
          </cell>
          <cell r="F1151" t="str">
            <v>0T3T_PAI17_PCS-4P4pi_FLAT_TV_43.99%</v>
          </cell>
          <cell r="G1151">
            <v>43.99</v>
          </cell>
        </row>
        <row r="1152">
          <cell r="A1152" t="str">
            <v>Oi Total Fixo + Pós 250 + Banda Larga0.4781Template desconto FLAT Plano Principal Oi TV nível conta</v>
          </cell>
          <cell r="B1152" t="str">
            <v>Plano Oi Completo Medium</v>
          </cell>
          <cell r="C1152" t="str">
            <v>Template desconto FLAT Plano Principal Oi TV nível conta</v>
          </cell>
          <cell r="D1152">
            <v>0.47810000000000002</v>
          </cell>
          <cell r="E1152" t="str">
            <v>MKT-1-10029769991</v>
          </cell>
          <cell r="F1152" t="str">
            <v>0T3T_PAI17_PCS-4P4pi_FLAT_TV_47.81%.</v>
          </cell>
          <cell r="G1152">
            <v>47.81</v>
          </cell>
        </row>
        <row r="1153">
          <cell r="A1153" t="str">
            <v>Oi Total Fixo + Pós 250 + Banda Larga0.4327Template desconto FLAT Plano Principal Oi TV nível conta</v>
          </cell>
          <cell r="B1153" t="str">
            <v>Plano Oi Completo Medium</v>
          </cell>
          <cell r="C1153" t="str">
            <v>Template desconto FLAT Plano Principal Oi TV nível conta</v>
          </cell>
          <cell r="D1153">
            <v>0.43270000000000003</v>
          </cell>
          <cell r="E1153" t="str">
            <v>MKT-1-10029770261</v>
          </cell>
          <cell r="F1153" t="str">
            <v>0T3T_PAI17_PCS-4P4pi_FLAT_TV_43.27%</v>
          </cell>
          <cell r="G1153">
            <v>43.27</v>
          </cell>
        </row>
        <row r="1154">
          <cell r="A1154" t="str">
            <v>Oi Total Fixo + Pós 250 + Banda Larga0.329Template desconto FLAT Plano Principal Oi TV nível conta</v>
          </cell>
          <cell r="B1154" t="str">
            <v>Plano Oi Completo Medium</v>
          </cell>
          <cell r="C1154" t="str">
            <v>Template desconto FLAT Plano Principal Oi TV nível conta</v>
          </cell>
          <cell r="D1154">
            <v>0.32899999999999996</v>
          </cell>
          <cell r="E1154" t="str">
            <v>MKT-1-10029771391</v>
          </cell>
          <cell r="F1154" t="str">
            <v>0T3T_PAI17_PCS-4P4pi_FLAT_TV_32.90%</v>
          </cell>
          <cell r="G1154">
            <v>32.9</v>
          </cell>
        </row>
        <row r="1155">
          <cell r="A1155" t="str">
            <v>Oi Total Fixo + Pós 500 + Banda Larga0.2159Template desconto FLAT Plano Principal Oi TV nível conta</v>
          </cell>
          <cell r="B1155" t="str">
            <v>Plano Oi Completo Large</v>
          </cell>
          <cell r="C1155" t="str">
            <v>Template desconto FLAT Plano Principal Oi TV nível conta</v>
          </cell>
          <cell r="D1155">
            <v>0.21590000000000001</v>
          </cell>
          <cell r="E1155" t="str">
            <v>MKT-1-10029831181</v>
          </cell>
          <cell r="F1155" t="str">
            <v>0T3T_PAI17_PCS-4P5pi_FLAT_TV_21.59%.</v>
          </cell>
          <cell r="G1155">
            <v>21.59</v>
          </cell>
        </row>
        <row r="1156">
          <cell r="A1156" t="str">
            <v>Oi Total Fixo + Pós 500 + Banda Larga0.3256Template desconto FLAT Plano Principal Oi TV nível conta</v>
          </cell>
          <cell r="B1156" t="str">
            <v>Plano Oi Completo Large</v>
          </cell>
          <cell r="C1156" t="str">
            <v>Template desconto FLAT Plano Principal Oi TV nível conta</v>
          </cell>
          <cell r="D1156">
            <v>0.3256</v>
          </cell>
          <cell r="E1156" t="str">
            <v>MKT-1-10029922751</v>
          </cell>
          <cell r="F1156" t="str">
            <v>0T3T_PAI17_PCS-4P5pi_FLAT_TV_32.56%.</v>
          </cell>
          <cell r="G1156">
            <v>32.56</v>
          </cell>
        </row>
        <row r="1157">
          <cell r="A1157" t="str">
            <v>Oi Total Fixo + Pós 500 + Banda Larga0.2833Template desconto FLAT Plano Principal Oi TV nível conta</v>
          </cell>
          <cell r="B1157" t="str">
            <v>Plano Oi Completo Large</v>
          </cell>
          <cell r="C1157" t="str">
            <v>Template desconto FLAT Plano Principal Oi TV nível conta</v>
          </cell>
          <cell r="D1157">
            <v>0.2833</v>
          </cell>
          <cell r="E1157" t="str">
            <v>MKT-1-10029923151</v>
          </cell>
          <cell r="F1157" t="str">
            <v>0T3T_PAI17_PCS-4P5pi_FLAT_TV_28.33%</v>
          </cell>
          <cell r="G1157">
            <v>28.33</v>
          </cell>
        </row>
        <row r="1158">
          <cell r="A1158" t="str">
            <v>Oi Total Fixo + Pós 500 + Banda Larga0.313Template desconto FLAT Plano Principal Oi TV nível conta</v>
          </cell>
          <cell r="B1158" t="str">
            <v>Plano Oi Completo Large</v>
          </cell>
          <cell r="C1158" t="str">
            <v>Template desconto FLAT Plano Principal Oi TV nível conta</v>
          </cell>
          <cell r="D1158">
            <v>0.313</v>
          </cell>
          <cell r="E1158" t="str">
            <v>MKT-1-10029928131</v>
          </cell>
          <cell r="F1158" t="str">
            <v>0T3T_PAI17_PCS-4P5pi_FLAT_TV_31.30%</v>
          </cell>
          <cell r="G1158">
            <v>31.3</v>
          </cell>
        </row>
        <row r="1159">
          <cell r="A1159" t="str">
            <v>Oi Total Fixo + Pós 500 + Banda Larga0.1637Template desconto FLAT Plano Principal Oi TV nível conta</v>
          </cell>
          <cell r="B1159" t="str">
            <v>Plano Oi Completo Large</v>
          </cell>
          <cell r="C1159" t="str">
            <v>Template desconto FLAT Plano Principal Oi TV nível conta</v>
          </cell>
          <cell r="D1159">
            <v>0.16370000000000001</v>
          </cell>
          <cell r="E1159" t="str">
            <v>MKT-1-10031791401</v>
          </cell>
          <cell r="F1159" t="str">
            <v>0T3T_PAI17_PCS-4P5pi_FLAT_TV_16.37%</v>
          </cell>
          <cell r="G1159">
            <v>16.37</v>
          </cell>
        </row>
        <row r="1160">
          <cell r="A1160" t="str">
            <v>Oi Total Fixo + Pós 500 + Banda Larga0.329Template desconto FLAT Plano Principal Oi TV nível conta</v>
          </cell>
          <cell r="B1160" t="str">
            <v>Plano Oi Completo Large</v>
          </cell>
          <cell r="C1160" t="str">
            <v>Template desconto FLAT Plano Principal Oi TV nível conta</v>
          </cell>
          <cell r="D1160">
            <v>0.32899999999999996</v>
          </cell>
          <cell r="E1160" t="str">
            <v>MKT-1-10031791671</v>
          </cell>
          <cell r="F1160" t="str">
            <v>0T3T_PAI17_PCS-4P5pi_FLAT_TV_32.90%</v>
          </cell>
          <cell r="G1160">
            <v>32.9</v>
          </cell>
        </row>
        <row r="1161">
          <cell r="A1161" t="str">
            <v>Oi Total Fixo + Pós 500 + Banda Larga0.4781Template desconto FLAT Plano Principal Oi TV nível conta</v>
          </cell>
          <cell r="B1161" t="str">
            <v>Plano Oi Completo Large</v>
          </cell>
          <cell r="C1161" t="str">
            <v>Template desconto FLAT Plano Principal Oi TV nível conta</v>
          </cell>
          <cell r="D1161">
            <v>0.47810000000000002</v>
          </cell>
          <cell r="E1161" t="str">
            <v>MKT-1-10031791941</v>
          </cell>
          <cell r="F1161" t="str">
            <v>0T3T_PAI17_PCS-4P5pi_FLAT_TV_47.81%</v>
          </cell>
          <cell r="G1161">
            <v>47.81</v>
          </cell>
        </row>
        <row r="1162">
          <cell r="A1162" t="str">
            <v>Oi Total Fixo + Pós 800 + Banda Larga0.3256Template desconto FLAT Plano Principal Oi TV nível conta</v>
          </cell>
          <cell r="B1162" t="str">
            <v>Plano Oi Completo XLarge</v>
          </cell>
          <cell r="C1162" t="str">
            <v>Template desconto FLAT Plano Principal Oi TV nível conta</v>
          </cell>
          <cell r="D1162">
            <v>0.3256</v>
          </cell>
          <cell r="E1162" t="str">
            <v>MKT-1-10031792211</v>
          </cell>
          <cell r="F1162" t="str">
            <v>0T3T_PAI17_PCS-4P6pi_FLAT_TV_32.56%.</v>
          </cell>
          <cell r="G1162">
            <v>32.56</v>
          </cell>
        </row>
        <row r="1163">
          <cell r="A1163" t="str">
            <v>Oi Total Fixo + Pós 500 + Banda Larga0.2737Template desconto FLAT Plano Principal Oi TV nível conta</v>
          </cell>
          <cell r="B1163" t="str">
            <v>Plano Oi Completo Large</v>
          </cell>
          <cell r="C1163" t="str">
            <v>Template desconto FLAT Plano Principal Oi TV nível conta</v>
          </cell>
          <cell r="D1163">
            <v>0.2737</v>
          </cell>
          <cell r="E1163" t="str">
            <v>MKT-1-10031800551</v>
          </cell>
          <cell r="F1163" t="str">
            <v>0T3T_PAI17_PCS-4P5pi_FLAT_TV_27.37%</v>
          </cell>
          <cell r="G1163">
            <v>27.37</v>
          </cell>
        </row>
        <row r="1164">
          <cell r="A1164" t="str">
            <v>Oi Total Fixo + Pós 500 + Banda Larga0.3867Template desconto FLAT Plano Principal Oi TV nível conta</v>
          </cell>
          <cell r="B1164" t="str">
            <v>Plano Oi Completo Large</v>
          </cell>
          <cell r="C1164" t="str">
            <v>Template desconto FLAT Plano Principal Oi TV nível conta</v>
          </cell>
          <cell r="D1164">
            <v>0.38670000000000004</v>
          </cell>
          <cell r="E1164" t="str">
            <v>MKT-1-10031813321</v>
          </cell>
          <cell r="F1164" t="str">
            <v>0T3T_PAI17_PCS-4P5pi_FLAT_TV_38.67%</v>
          </cell>
          <cell r="G1164">
            <v>38.67</v>
          </cell>
        </row>
        <row r="1165">
          <cell r="A1165" t="str">
            <v>Oi Total Fixo + Pós 500 + Banda Larga0.4399Template desconto FLAT Plano Principal Oi TV nível conta</v>
          </cell>
          <cell r="B1165" t="str">
            <v>Plano Oi Completo Large</v>
          </cell>
          <cell r="C1165" t="str">
            <v>Template desconto FLAT Plano Principal Oi TV nível conta</v>
          </cell>
          <cell r="D1165">
            <v>0.43990000000000001</v>
          </cell>
          <cell r="E1165" t="str">
            <v>MKT-1-10031838311</v>
          </cell>
          <cell r="F1165" t="str">
            <v>0T3T_PAI17_PCS-4P5pi_FLAT_TV_43.99%</v>
          </cell>
          <cell r="G1165">
            <v>43.99</v>
          </cell>
        </row>
        <row r="1166">
          <cell r="A1166" t="str">
            <v>Oi Total Fixo + Pós 500 + Banda Larga0.4327Template desconto FLAT Plano Principal Oi TV nível conta</v>
          </cell>
          <cell r="B1166" t="str">
            <v>Plano Oi Completo Large</v>
          </cell>
          <cell r="C1166" t="str">
            <v>Template desconto FLAT Plano Principal Oi TV nível conta</v>
          </cell>
          <cell r="D1166">
            <v>0.43270000000000003</v>
          </cell>
          <cell r="E1166" t="str">
            <v>MKT-1-10031838611</v>
          </cell>
          <cell r="F1166" t="str">
            <v>0T3T_PAI17_PCS-4P5pi_FLAT_TV_43.27%</v>
          </cell>
          <cell r="G1166">
            <v>43.27</v>
          </cell>
        </row>
        <row r="1167">
          <cell r="A1167" t="str">
            <v>Oi Total Fixo + Pós 800 + Banda Larga0.2159Template desconto FLAT Plano Principal Oi TV nível conta</v>
          </cell>
          <cell r="B1167" t="str">
            <v>Plano Oi Completo XLarge</v>
          </cell>
          <cell r="C1167" t="str">
            <v>Template desconto FLAT Plano Principal Oi TV nível conta</v>
          </cell>
          <cell r="D1167">
            <v>0.21590000000000001</v>
          </cell>
          <cell r="E1167" t="str">
            <v>MKT-1-10031838901</v>
          </cell>
          <cell r="F1167" t="str">
            <v>0T3T_PAI17_PCS-4P6pi_FLAT_TV_21.59%</v>
          </cell>
          <cell r="G1167">
            <v>21.59</v>
          </cell>
        </row>
        <row r="1168">
          <cell r="A1168" t="str">
            <v>Oi Total Fixo + Pós 800 + Banda Larga0.329Template desconto FLAT Plano Principal Oi TV nível conta</v>
          </cell>
          <cell r="B1168" t="str">
            <v>Plano Oi Completo XLarge</v>
          </cell>
          <cell r="C1168" t="str">
            <v>Template desconto FLAT Plano Principal Oi TV nível conta</v>
          </cell>
          <cell r="D1168">
            <v>0.32899999999999996</v>
          </cell>
          <cell r="E1168" t="str">
            <v>MKT-1-10031858741</v>
          </cell>
          <cell r="F1168" t="str">
            <v>0T3T_PAI17_PCS-4P6pi_FLAT_TV_32.90%</v>
          </cell>
          <cell r="G1168">
            <v>32.9</v>
          </cell>
        </row>
        <row r="1169">
          <cell r="A1169" t="str">
            <v>Oi Total Fixo + Pós 800 + Banda Larga0.4399Template desconto FLAT Plano Principal Oi TV nível conta</v>
          </cell>
          <cell r="B1169" t="str">
            <v>Plano Oi Completo XLarge</v>
          </cell>
          <cell r="C1169" t="str">
            <v>Template desconto FLAT Plano Principal Oi TV nível conta</v>
          </cell>
          <cell r="D1169">
            <v>0.43990000000000001</v>
          </cell>
          <cell r="E1169" t="str">
            <v>MKT-1-10031859011</v>
          </cell>
          <cell r="F1169" t="str">
            <v>0T3T_PAI17_PCS-4P6pi_FLAT_TV_43.99%</v>
          </cell>
          <cell r="G1169">
            <v>43.99</v>
          </cell>
        </row>
        <row r="1170">
          <cell r="A1170" t="str">
            <v>Oi Total Fixo + Pós Conectado 500 + Banda Larga0.2159Template desconto FLAT Plano Principal Oi TV nível conta</v>
          </cell>
          <cell r="B1170" t="str">
            <v>Plano Oi Completo 500</v>
          </cell>
          <cell r="C1170" t="str">
            <v>Template desconto FLAT Plano Principal Oi TV nível conta</v>
          </cell>
          <cell r="D1170">
            <v>0.21590000000000001</v>
          </cell>
          <cell r="E1170" t="str">
            <v>MKT-1-10031859281</v>
          </cell>
          <cell r="F1170" t="str">
            <v>0T3T_PAI17_PCS-4P8pi_FLAT_TV_21.59%</v>
          </cell>
          <cell r="G1170">
            <v>21.59</v>
          </cell>
        </row>
        <row r="1171">
          <cell r="A1171" t="str">
            <v>Oi Total Fixo + Pós 800 + Banda Larga0.313Template desconto FLAT Plano Principal Oi TV nível conta</v>
          </cell>
          <cell r="B1171" t="str">
            <v>Plano Oi Completo XLarge</v>
          </cell>
          <cell r="C1171" t="str">
            <v>Template desconto FLAT Plano Principal Oi TV nível conta</v>
          </cell>
          <cell r="D1171">
            <v>0.313</v>
          </cell>
          <cell r="E1171" t="str">
            <v>MKT-1-10031864481</v>
          </cell>
          <cell r="F1171" t="str">
            <v>0T3T_PAI17_PCS-4P6pi_FLAT_TV_31.30%</v>
          </cell>
          <cell r="G1171">
            <v>31.3</v>
          </cell>
        </row>
        <row r="1172">
          <cell r="A1172" t="str">
            <v>Oi Total Fixo + Pós 800 + Banda Larga0.1637Template desconto FLAT Plano Principal Oi TV nível conta</v>
          </cell>
          <cell r="B1172" t="str">
            <v>Plano Oi Completo XLarge</v>
          </cell>
          <cell r="C1172" t="str">
            <v>Template desconto FLAT Plano Principal Oi TV nível conta</v>
          </cell>
          <cell r="D1172">
            <v>0.16370000000000001</v>
          </cell>
          <cell r="E1172" t="str">
            <v>MKT-1-10031864751</v>
          </cell>
          <cell r="F1172" t="str">
            <v>0T3T_PAI17_PCS-4P6pi_FLAT_TV_16.37%</v>
          </cell>
          <cell r="G1172">
            <v>16.37</v>
          </cell>
        </row>
        <row r="1173">
          <cell r="A1173" t="str">
            <v>Oi Total Fixo + Pós 800 + Banda Larga0.2833Template desconto FLAT Plano Principal Oi TV nível conta</v>
          </cell>
          <cell r="B1173" t="str">
            <v>Plano Oi Completo XLarge</v>
          </cell>
          <cell r="C1173" t="str">
            <v>Template desconto FLAT Plano Principal Oi TV nível conta</v>
          </cell>
          <cell r="D1173">
            <v>0.2833</v>
          </cell>
          <cell r="E1173" t="str">
            <v>MKT-1-10031865251</v>
          </cell>
          <cell r="F1173" t="str">
            <v>0T3T_PAI17_PCS-4P6pi_FLAT_TV_28.33%.</v>
          </cell>
          <cell r="G1173">
            <v>28.33</v>
          </cell>
        </row>
        <row r="1174">
          <cell r="A1174" t="str">
            <v>Oi Total Fixo + Pós 800 + Banda Larga0.2737Template desconto FLAT Plano Principal Oi TV nível conta</v>
          </cell>
          <cell r="B1174" t="str">
            <v>Plano Oi Completo XLarge</v>
          </cell>
          <cell r="C1174" t="str">
            <v>Template desconto FLAT Plano Principal Oi TV nível conta</v>
          </cell>
          <cell r="D1174">
            <v>0.2737</v>
          </cell>
          <cell r="E1174" t="str">
            <v>MKT-1-10031879521</v>
          </cell>
          <cell r="F1174" t="str">
            <v>0T3T_PAI17_PCS-4P6pi_FLAT_TV_27.37%</v>
          </cell>
          <cell r="G1174">
            <v>27.37</v>
          </cell>
        </row>
        <row r="1175">
          <cell r="A1175" t="str">
            <v>Oi Total Fixo + Pós Conectado 500 + Banda Larga0.4781Template desconto FLAT Plano Principal Oi TV nível conta</v>
          </cell>
          <cell r="B1175" t="str">
            <v>Plano Oi Completo 500</v>
          </cell>
          <cell r="C1175" t="str">
            <v>Template desconto FLAT Plano Principal Oi TV nível conta</v>
          </cell>
          <cell r="D1175">
            <v>0.47810000000000002</v>
          </cell>
          <cell r="E1175" t="str">
            <v>MKT-1-10031879801</v>
          </cell>
          <cell r="F1175" t="str">
            <v>0T3T_PAI17_PCS-4P8pi_FLAT_TV_47.81%</v>
          </cell>
          <cell r="G1175">
            <v>47.81</v>
          </cell>
        </row>
        <row r="1176">
          <cell r="A1176" t="str">
            <v>Oi Total Fixo + Pós Conectado 500 + Banda Larga0.4327Template desconto FLAT Plano Principal Oi TV nível conta</v>
          </cell>
          <cell r="B1176" t="str">
            <v>Plano Oi Completo 500</v>
          </cell>
          <cell r="C1176" t="str">
            <v>Template desconto FLAT Plano Principal Oi TV nível conta</v>
          </cell>
          <cell r="D1176">
            <v>0.43270000000000003</v>
          </cell>
          <cell r="E1176" t="str">
            <v>MKT-1-10031880071</v>
          </cell>
          <cell r="F1176" t="str">
            <v>0T3T_PAI17_PCS-4P8pi_FLAT_TV_43.27%</v>
          </cell>
          <cell r="G1176">
            <v>43.27</v>
          </cell>
        </row>
        <row r="1177">
          <cell r="A1177" t="str">
            <v>Oi Total Fixo + Pós 800 + Banda Larga0.3867Template desconto FLAT Plano Principal Oi TV nível conta</v>
          </cell>
          <cell r="B1177" t="str">
            <v>Plano Oi Completo XLarge</v>
          </cell>
          <cell r="C1177" t="str">
            <v>Template desconto FLAT Plano Principal Oi TV nível conta</v>
          </cell>
          <cell r="D1177">
            <v>0.38670000000000004</v>
          </cell>
          <cell r="E1177" t="str">
            <v>MKT-1-10031884061</v>
          </cell>
          <cell r="F1177" t="str">
            <v>0T3T_PAI17_PCS-4P6pi_FLAT_TV_38.67%</v>
          </cell>
          <cell r="G1177">
            <v>38.67</v>
          </cell>
        </row>
        <row r="1178">
          <cell r="A1178" t="str">
            <v>Oi Total Fixo + Pós 800 + Banda Larga0.4781Template desconto FLAT Plano Principal Oi TV nível conta</v>
          </cell>
          <cell r="B1178" t="str">
            <v>Plano Oi Completo XLarge</v>
          </cell>
          <cell r="C1178" t="str">
            <v>Template desconto FLAT Plano Principal Oi TV nível conta</v>
          </cell>
          <cell r="D1178">
            <v>0.47810000000000002</v>
          </cell>
          <cell r="E1178" t="str">
            <v>MKT-1-10031915481</v>
          </cell>
          <cell r="F1178" t="str">
            <v>0T3T_PAI17_PCS-4P6pi_FLAT_TV_47.81%</v>
          </cell>
          <cell r="G1178">
            <v>47.81</v>
          </cell>
        </row>
        <row r="1179">
          <cell r="A1179" t="str">
            <v>Oi Total Fixo + Pós Conectado 500 + Banda Larga0.3256Template desconto FLAT Plano Principal Oi TV nível conta</v>
          </cell>
          <cell r="B1179" t="str">
            <v>Plano Oi Completo 500</v>
          </cell>
          <cell r="C1179" t="str">
            <v>Template desconto FLAT Plano Principal Oi TV nível conta</v>
          </cell>
          <cell r="D1179">
            <v>0.3256</v>
          </cell>
          <cell r="E1179" t="str">
            <v>MKT-1-10031915841</v>
          </cell>
          <cell r="F1179" t="str">
            <v>0T3T_PAI17_PCS-4P8pi_FLAT_TV_32.56%</v>
          </cell>
          <cell r="G1179">
            <v>32.56</v>
          </cell>
        </row>
        <row r="1180">
          <cell r="A1180" t="str">
            <v>Oi Total Fixo + Pós Conectado 500 + Banda Larga0.313Template desconto FLAT Plano Principal Oi TV nível conta</v>
          </cell>
          <cell r="B1180" t="str">
            <v>Plano Oi Completo 500</v>
          </cell>
          <cell r="C1180" t="str">
            <v>Template desconto FLAT Plano Principal Oi TV nível conta</v>
          </cell>
          <cell r="D1180">
            <v>0.313</v>
          </cell>
          <cell r="E1180" t="str">
            <v>MKT-1-10031925551</v>
          </cell>
          <cell r="F1180" t="str">
            <v>0T3T_PAI17_PCS-4P8pi_FLAT_TV_31.30%</v>
          </cell>
          <cell r="G1180">
            <v>31.3</v>
          </cell>
        </row>
        <row r="1181">
          <cell r="A1181" t="str">
            <v>Oi Total Fixo + Pós Conectado 500 + Banda Larga0.1637Template desconto FLAT Plano Principal Oi TV nível conta</v>
          </cell>
          <cell r="B1181" t="str">
            <v>Plano Oi Completo 500</v>
          </cell>
          <cell r="C1181" t="str">
            <v>Template desconto FLAT Plano Principal Oi TV nível conta</v>
          </cell>
          <cell r="D1181">
            <v>0.16370000000000001</v>
          </cell>
          <cell r="E1181" t="str">
            <v>MKT-1-10031939141</v>
          </cell>
          <cell r="F1181" t="str">
            <v>0T3T_PAI17_PCS-4P8pi_FLAT_TV_16.37%</v>
          </cell>
          <cell r="G1181">
            <v>16.37</v>
          </cell>
        </row>
        <row r="1182">
          <cell r="A1182" t="str">
            <v>Oi Total Fixo + Pós Conectado 500 + Banda Larga0.2833Template desconto FLAT Plano Principal Oi TV nível conta</v>
          </cell>
          <cell r="B1182" t="str">
            <v>Plano Oi Completo 500</v>
          </cell>
          <cell r="C1182" t="str">
            <v>Template desconto FLAT Plano Principal Oi TV nível conta</v>
          </cell>
          <cell r="D1182">
            <v>0.2833</v>
          </cell>
          <cell r="E1182" t="str">
            <v>MKT-1-10031961551</v>
          </cell>
          <cell r="F1182" t="str">
            <v>0T3T_PAI17_PCS-4P8pi_FLAT_TV_28.33%</v>
          </cell>
          <cell r="G1182">
            <v>28.33</v>
          </cell>
        </row>
        <row r="1183">
          <cell r="A1183" t="str">
            <v>Oi Total Fixo + Pós Conectado 500 + Banda Larga0.2737Template desconto FLAT Plano Principal Oi TV nível conta</v>
          </cell>
          <cell r="B1183" t="str">
            <v>Plano Oi Completo 500</v>
          </cell>
          <cell r="C1183" t="str">
            <v>Template desconto FLAT Plano Principal Oi TV nível conta</v>
          </cell>
          <cell r="D1183">
            <v>0.2737</v>
          </cell>
          <cell r="E1183" t="str">
            <v>MKT-1-10031961891</v>
          </cell>
          <cell r="F1183" t="str">
            <v>0T3T_PAI17_PCS-4P8pi_FLAT_TV_27.37%</v>
          </cell>
          <cell r="G1183">
            <v>27.37</v>
          </cell>
        </row>
        <row r="1184">
          <cell r="A1184" t="str">
            <v>Oi Total Fixo + Pós Conectado 500 + Banda Larga0.3867Template desconto FLAT Plano Principal Oi TV nível conta</v>
          </cell>
          <cell r="B1184" t="str">
            <v>Plano Oi Completo 500</v>
          </cell>
          <cell r="C1184" t="str">
            <v>Template desconto FLAT Plano Principal Oi TV nível conta</v>
          </cell>
          <cell r="D1184">
            <v>0.38670000000000004</v>
          </cell>
          <cell r="E1184" t="str">
            <v>MKT-1-10031962251</v>
          </cell>
          <cell r="F1184" t="str">
            <v>0T3T_PAI17_PCS-4P8pi_FLAT_TV_38.67%</v>
          </cell>
          <cell r="G1184">
            <v>38.67</v>
          </cell>
        </row>
        <row r="1185">
          <cell r="A1185" t="str">
            <v>Oi Total Fixo + Pós Conectado 500 + Banda Larga0.329Template desconto FLAT Plano Principal Oi TV nível conta</v>
          </cell>
          <cell r="B1185" t="str">
            <v>Plano Oi Completo 500</v>
          </cell>
          <cell r="C1185" t="str">
            <v>Template desconto FLAT Plano Principal Oi TV nível conta</v>
          </cell>
          <cell r="D1185">
            <v>0.32899999999999996</v>
          </cell>
          <cell r="E1185" t="str">
            <v>MKT-1-10031971521</v>
          </cell>
          <cell r="F1185" t="str">
            <v>0T3T_PAI17_PCS-4P8pi_FLAT_TV_32.90%</v>
          </cell>
          <cell r="G1185">
            <v>32.9</v>
          </cell>
        </row>
        <row r="1186">
          <cell r="A1186" t="str">
            <v>Oi Total Fixo + Pós Conectado 500 + Banda Larga0.4399Template desconto FLAT Plano Principal Oi TV nível conta</v>
          </cell>
          <cell r="B1186" t="str">
            <v>Plano Oi Completo 500</v>
          </cell>
          <cell r="C1186" t="str">
            <v>Template desconto FLAT Plano Principal Oi TV nível conta</v>
          </cell>
          <cell r="D1186">
            <v>0.43990000000000001</v>
          </cell>
          <cell r="E1186" t="str">
            <v>MKT-1-10031971791</v>
          </cell>
          <cell r="F1186" t="str">
            <v>0T3T_PAI17_PCS-4P8pi_FLAT_TV_43.99%</v>
          </cell>
          <cell r="G1186">
            <v>43.99</v>
          </cell>
        </row>
        <row r="1187">
          <cell r="A1187" t="str">
            <v>Oi Total Fixo + Pós Conectado Mais + Banda Larga0.4781Template desconto FLAT Plano Principal Oi TV nível conta</v>
          </cell>
          <cell r="B1187" t="str">
            <v>Plano Oi Completo Mais</v>
          </cell>
          <cell r="C1187" t="str">
            <v>Template desconto FLAT Plano Principal Oi TV nível conta</v>
          </cell>
          <cell r="D1187">
            <v>0.47810000000000002</v>
          </cell>
          <cell r="E1187" t="str">
            <v>MKT-1-10031989341</v>
          </cell>
          <cell r="F1187" t="str">
            <v>0T3T_PAI17_PCS-4P9pi_FLAT_TV_47.81%</v>
          </cell>
          <cell r="G1187">
            <v>47.81</v>
          </cell>
        </row>
        <row r="1188">
          <cell r="A1188" t="str">
            <v>Oi Total Fixo + Pós 50 + Banda Larga0.313Template desconto FLAT Plano Principal Oi TV nível conta</v>
          </cell>
          <cell r="B1188" t="str">
            <v>Plano Oi Completo XSmall</v>
          </cell>
          <cell r="C1188" t="str">
            <v>Template desconto FLAT Plano Principal Oi TV nível conta</v>
          </cell>
          <cell r="D1188">
            <v>0.313</v>
          </cell>
          <cell r="E1188" t="str">
            <v>MKT-1-10031989611</v>
          </cell>
          <cell r="F1188" t="str">
            <v>0T3T_PAI17_PCS-4P2pi_FLAT_TV_31.30%</v>
          </cell>
          <cell r="G1188">
            <v>31.3</v>
          </cell>
        </row>
        <row r="1189">
          <cell r="A1189" t="str">
            <v>Oi Total Fixo + Pós 800 + Banda Larga0.4327Template desconto FLAT Plano Principal Oi TV nível conta</v>
          </cell>
          <cell r="B1189" t="str">
            <v>Plano Oi Completo XLarge</v>
          </cell>
          <cell r="C1189" t="str">
            <v>Template desconto FLAT Plano Principal Oi TV nível conta</v>
          </cell>
          <cell r="D1189">
            <v>0.43270000000000003</v>
          </cell>
          <cell r="E1189" t="str">
            <v>MKT-1-10031989881</v>
          </cell>
          <cell r="F1189" t="str">
            <v>0T3T_PAI17_PCS-4P6pi_FLAT_TV_43.27%</v>
          </cell>
          <cell r="G1189">
            <v>43.27</v>
          </cell>
        </row>
        <row r="1190">
          <cell r="A1190" t="str">
            <v>Oi Total Fixo + Pós 50 + Banda Larga0.2159Template desconto FLAT Plano Principal Oi TV nível conta</v>
          </cell>
          <cell r="B1190" t="str">
            <v>Plano Oi Completo XSmall</v>
          </cell>
          <cell r="C1190" t="str">
            <v>Template desconto FLAT Plano Principal Oi TV nível conta</v>
          </cell>
          <cell r="D1190">
            <v>0.21590000000000001</v>
          </cell>
          <cell r="E1190" t="str">
            <v>MKT-1-10038525531</v>
          </cell>
          <cell r="F1190" t="str">
            <v>0T3T_PAI17_PCS-4P2pi_FLAT_TV_21.59%.</v>
          </cell>
          <cell r="G1190">
            <v>21.59</v>
          </cell>
        </row>
        <row r="1191">
          <cell r="A1191" t="str">
            <v>Oi Total Fixo + Pós 250 + Banda Larga0.2737Template desconto FLAT Plano Principal Oi TV nível conta</v>
          </cell>
          <cell r="B1191" t="str">
            <v>Plano Oi Completo Medium</v>
          </cell>
          <cell r="C1191" t="str">
            <v>Template desconto FLAT Plano Principal Oi TV nível conta</v>
          </cell>
          <cell r="D1191">
            <v>0.2737</v>
          </cell>
          <cell r="E1191" t="str">
            <v>MKT-1-10042252961</v>
          </cell>
          <cell r="F1191" t="str">
            <v>0T3T_PAI17_PCS-4P4pi_FLAT_TV_27.37%</v>
          </cell>
          <cell r="G1191">
            <v>27.37</v>
          </cell>
        </row>
        <row r="1192">
          <cell r="A1192" t="str">
            <v>Oi Total Fixo + Banda Larga 10.5386Template de desconto FLAT bundle - Fixo - Varejo - Ganho Tributário Cross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>
            <v>0.53859999999999997</v>
          </cell>
          <cell r="E1192" t="str">
            <v>MKT-1-10027970111</v>
          </cell>
          <cell r="F1192" t="str">
            <v>0T3T_REJ17_PCS-2PFBL1_FLAT_FIXO_GT_53.86%</v>
          </cell>
          <cell r="G1192">
            <v>53.86</v>
          </cell>
        </row>
        <row r="1193">
          <cell r="A1193" t="str">
            <v>Oi Total Fixo + Banda Larga 10.2089Template de desconto FLAT bundle - Fixo - Varejo - Ganho Tributário Cross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>
            <v>0.2089</v>
          </cell>
          <cell r="E1193" t="str">
            <v>MKT-1-10028040151</v>
          </cell>
          <cell r="F1193" t="str">
            <v>0T3T_REJ17_PCS-2PFBL1_FLAT_FIXO_GT_20.89%</v>
          </cell>
          <cell r="G1193">
            <v>20.89</v>
          </cell>
        </row>
        <row r="1194">
          <cell r="A1194" t="str">
            <v>Oi Total Fixo + Banda Larga 10.4067Template de desconto FLAT bundle - Fixo - Varejo - Ganho Tributário Cross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>
            <v>0.40670000000000001</v>
          </cell>
          <cell r="E1194" t="str">
            <v>MKT-1-10029090291</v>
          </cell>
          <cell r="F1194" t="str">
            <v>0T3T_REJ17_PCS-2PFBL1_FLAT_FIXO_GT_40.67%</v>
          </cell>
          <cell r="G1194">
            <v>40.67</v>
          </cell>
        </row>
        <row r="1195">
          <cell r="A1195" t="str">
            <v>Oi Total Fixo + Banda Larga 10.3408Template de desconto FLAT bundle - Fixo - Varejo - Ganho Tributário Cross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>
            <v>0.34079999999999999</v>
          </cell>
          <cell r="E1195" t="str">
            <v>MKT-1-10029174081</v>
          </cell>
          <cell r="F1195" t="str">
            <v>0T3T_REJ17_PCS-2PFBL1_FLAT_FIXO_GT_34.08%</v>
          </cell>
          <cell r="G1195">
            <v>34.08</v>
          </cell>
        </row>
        <row r="1196">
          <cell r="A1196" t="str">
            <v>Oi Total Fixo + Banda Larga 10.143Template de desconto FLAT bundle - Fixo - Varejo - Ganho Tributário Cross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>
            <v>0.14300000000000002</v>
          </cell>
          <cell r="E1196" t="str">
            <v>MKT-1-10029174291</v>
          </cell>
          <cell r="F1196" t="str">
            <v>0T3T_REJ17_PCS-2PFBL1_FLAT_FIXO_GT_14.30%</v>
          </cell>
          <cell r="G1196">
            <v>14.3</v>
          </cell>
        </row>
        <row r="1197">
          <cell r="A1197" t="str">
            <v>Oi Total Fixo + Banda Larga 10.0771Template de desconto FLAT bundle - Fixo - Varejo - Ganho Tributário Cross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>
            <v>7.7100000000000002E-2</v>
          </cell>
          <cell r="E1197" t="str">
            <v>MKT-1-10029211501</v>
          </cell>
          <cell r="F1197" t="str">
            <v>0T3T_REJ17_PCS-2PFBL1_FLAT_FIXO_GT_07.71%</v>
          </cell>
          <cell r="G1197">
            <v>7.71</v>
          </cell>
        </row>
        <row r="1198">
          <cell r="A1198" t="str">
            <v>Oi Total Fixo + Banda Larga 20.3408Template de desconto FLAT bundle - Fixo - Varejo - Ganho Tributário Cross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>
            <v>0.34079999999999999</v>
          </cell>
          <cell r="E1198" t="str">
            <v>MKT-1-10029221321</v>
          </cell>
          <cell r="F1198" t="str">
            <v>0T3T_REJ17_PCS-2PFBL2_FLAT_FIXO_GT_34.08%</v>
          </cell>
          <cell r="G1198">
            <v>34.08</v>
          </cell>
        </row>
        <row r="1199">
          <cell r="A1199" t="str">
            <v>Oi Total Fixo + Banda Larga 20.143Template de desconto FLAT bundle - Fixo - Varejo - Ganho Tributário Cross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>
            <v>0.14300000000000002</v>
          </cell>
          <cell r="E1199" t="str">
            <v>MKT-1-10029221531</v>
          </cell>
          <cell r="F1199" t="str">
            <v>0T3T_REJ17_PCS-2PFBL2_FLAT_FIXO_GT_14.30%</v>
          </cell>
          <cell r="G1199">
            <v>14.3</v>
          </cell>
        </row>
        <row r="1200">
          <cell r="A1200" t="str">
            <v>Oi Total Fixo + Banda Larga 20.0771Template de desconto FLAT bundle - Fixo - Varejo - Ganho Tributário Cross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>
            <v>7.7100000000000002E-2</v>
          </cell>
          <cell r="E1200" t="str">
            <v>MKT-1-10029221741</v>
          </cell>
          <cell r="F1200" t="str">
            <v>0T3T_REJ17_PCS-2PFBL2_FLAT_FIXO_GT_07.71%</v>
          </cell>
          <cell r="G1200">
            <v>7.71</v>
          </cell>
        </row>
        <row r="1201">
          <cell r="A1201" t="str">
            <v>Oi Total Fixo + Banda Larga 30.4067Template de desconto FLAT bundle - Fixo - Varejo - Ganho Tributário Cross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>
            <v>0.40670000000000001</v>
          </cell>
          <cell r="E1201" t="str">
            <v>MKT-1-10029221951</v>
          </cell>
          <cell r="F1201" t="str">
            <v>0T3T_REJ17_PCS-2PFBL3_FLAT_FIXO_GT_40.67%</v>
          </cell>
          <cell r="G1201">
            <v>40.67</v>
          </cell>
        </row>
        <row r="1202">
          <cell r="A1202" t="str">
            <v>Oi Total Fixo + Banda Larga 30.3408Template de desconto FLAT bundle - Fixo - Varejo - Ganho Tributário Cross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>
            <v>0.34079999999999999</v>
          </cell>
          <cell r="E1202" t="str">
            <v>MKT-1-10029222161</v>
          </cell>
          <cell r="F1202" t="str">
            <v>0T3T_REJ17_PCS-2PFBL3_FLAT_FIXO_GT_34.08%</v>
          </cell>
          <cell r="G1202">
            <v>34.08</v>
          </cell>
        </row>
        <row r="1203">
          <cell r="A1203" t="str">
            <v>Oi Total Fixo + Banda Larga 10.0111Template de desconto FLAT bundle - Fixo - Varejo - Ganho Tributário Cross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>
            <v>1.11E-2</v>
          </cell>
          <cell r="E1203" t="str">
            <v>MKT-1-10029230361</v>
          </cell>
          <cell r="F1203" t="str">
            <v>0T3T_REJ17_PCS-2PFBL1_FLAT_FIXO_GT_01.11%</v>
          </cell>
          <cell r="G1203">
            <v>1.1100000000000001</v>
          </cell>
        </row>
        <row r="1204">
          <cell r="A1204" t="str">
            <v>Oi Total Fixo + Banda Larga 20.4067Template de desconto FLAT bundle - Fixo - Varejo - Ganho Tributário Cross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>
            <v>0.40670000000000001</v>
          </cell>
          <cell r="E1204" t="str">
            <v>MKT-1-10029230571</v>
          </cell>
          <cell r="F1204" t="str">
            <v>0T3T_REJ17_PCS-2PFBL2_FLAT_FIXO_GT_40.67%</v>
          </cell>
          <cell r="G1204">
            <v>40.67</v>
          </cell>
        </row>
        <row r="1205">
          <cell r="A1205" t="str">
            <v>Oi Total Fixo + Banda Larga 20.5386Template de desconto FLAT bundle - Fixo - Varejo - Ganho Tributário Cross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>
            <v>0.53859999999999997</v>
          </cell>
          <cell r="E1205" t="str">
            <v>MKT-1-10029230781</v>
          </cell>
          <cell r="F1205" t="str">
            <v>0T3T_REJ17_PCS-2PFBL2_FLAT_FIXO_GT_53.86%</v>
          </cell>
          <cell r="G1205">
            <v>53.86</v>
          </cell>
        </row>
        <row r="1206">
          <cell r="A1206" t="str">
            <v>Oi Total Fixo + Banda Larga 20.2089Template de desconto FLAT bundle - Fixo - Varejo - Ganho Tributário Cross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>
            <v>0.2089</v>
          </cell>
          <cell r="E1206" t="str">
            <v>MKT-1-10029230991</v>
          </cell>
          <cell r="F1206" t="str">
            <v>0T3T_REJ17_PCS-2PFBL2_FLAT_FIXO_GT_20.89%</v>
          </cell>
          <cell r="G1206">
            <v>20.89</v>
          </cell>
        </row>
        <row r="1207">
          <cell r="A1207" t="str">
            <v>Oi Total Fixo + Banda Larga 20.0111Template de desconto FLAT bundle - Fixo - Varejo - Ganho Tributário Cross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>
            <v>1.11E-2</v>
          </cell>
          <cell r="E1207" t="str">
            <v>MKT-1-10029231206</v>
          </cell>
          <cell r="F1207" t="str">
            <v>0T3T_REJ17_PCS-2PFBL2_FLAT_FIXO_GT_01.11%</v>
          </cell>
          <cell r="G1207">
            <v>1.1100000000000001</v>
          </cell>
        </row>
        <row r="1208">
          <cell r="A1208" t="str">
            <v>Oi Total Fixo + Banda Larga 30.5386Template de desconto FLAT bundle - Fixo - Varejo - Ganho Tributário Cross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>
            <v>0.53859999999999997</v>
          </cell>
          <cell r="E1208" t="str">
            <v>MKT-1-10029270411</v>
          </cell>
          <cell r="F1208" t="str">
            <v>0T3T_REJ17_PCS-2PFBL3_FLAT_FIXO_GT_53.86%</v>
          </cell>
          <cell r="G1208">
            <v>53.86</v>
          </cell>
        </row>
        <row r="1209">
          <cell r="A1209" t="str">
            <v>Oi Total Fixo + Banda Larga 30.2089Template de desconto FLAT bundle - Fixo - Varejo - Ganho Tributário Cross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>
            <v>0.2089</v>
          </cell>
          <cell r="E1209" t="str">
            <v>MKT-1-10029270621</v>
          </cell>
          <cell r="F1209" t="str">
            <v>0T3T_REJ17_PCS-2PFBL3_FLAT_FIXO_GT_20.89%</v>
          </cell>
          <cell r="G1209">
            <v>20.89</v>
          </cell>
        </row>
        <row r="1210">
          <cell r="A1210" t="str">
            <v>Oi Total Fixo + Banda Larga 30.143Template de desconto FLAT bundle - Fixo - Varejo - Ganho Tributário Cross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>
            <v>0.14300000000000002</v>
          </cell>
          <cell r="E1210" t="str">
            <v>MKT-1-10029278371</v>
          </cell>
          <cell r="F1210" t="str">
            <v>0T3T_REJ17_PCS-2PFBL3_FLAT_FIXO_GT_14.30%</v>
          </cell>
          <cell r="G1210">
            <v>14.3</v>
          </cell>
        </row>
        <row r="1211">
          <cell r="A1211" t="str">
            <v>Oi Total Fixo + Banda Larga 30.0111Template de desconto FLAT bundle - Fixo - Varejo - Ganho Tributário Cross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>
            <v>1.11E-2</v>
          </cell>
          <cell r="E1211" t="str">
            <v>MKT-1-10029278581</v>
          </cell>
          <cell r="F1211" t="str">
            <v>0T3T_REJ17_PCS-2PFBL3_FLAT_FIXO_GT_01.11%</v>
          </cell>
          <cell r="G1211">
            <v>1.1100000000000001</v>
          </cell>
        </row>
        <row r="1212">
          <cell r="A1212" t="str">
            <v>Oi Total Fixo + Banda Larga 30.0771Template de desconto FLAT bundle - Fixo - Varejo - Ganho Tributário Cross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>
            <v>7.7100000000000002E-2</v>
          </cell>
          <cell r="E1212" t="str">
            <v>MKT-1-10029280491</v>
          </cell>
          <cell r="F1212" t="str">
            <v>0T3T_REJ17_PCS-2PFBL3_FLAT_FIXO_GT_07.71%</v>
          </cell>
          <cell r="G1212">
            <v>7.71</v>
          </cell>
        </row>
        <row r="1213">
          <cell r="A1213" t="str">
            <v>Oi Total Fixo + Pós 100 + Banda Larga0.4309Template de desconto percentual FLAT Móvel - Conta Total - Varejo - Ganho Tributário Cross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>
            <v>0.43090000000000006</v>
          </cell>
          <cell r="E1213" t="str">
            <v>MKT-1-10029850761</v>
          </cell>
          <cell r="F1213" t="str">
            <v>0T3T_PAI17_PCS-4P3pi_FLAT_MÓVEL_GT_43.09%</v>
          </cell>
          <cell r="G1213">
            <v>43.09</v>
          </cell>
        </row>
        <row r="1214">
          <cell r="A1214" t="str">
            <v>Oi Total Fixo + Pós Conectado 1.000 + Banda Larga0.7716Template de desconto percentual FLAT Móvel - Conta Total - Varejo - Ganho Tributário Cross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>
            <v>0.77159999999999995</v>
          </cell>
          <cell r="E1214" t="str">
            <v>MKT-1-10031990161</v>
          </cell>
          <cell r="F1214" t="str">
            <v>0T3T_PAI17_PCS-4P10pi_FLAT_MÓVEL_GT_77.16%</v>
          </cell>
          <cell r="G1214">
            <v>77.16</v>
          </cell>
        </row>
        <row r="1215">
          <cell r="A1215" t="str">
            <v>Oi Total Fixo + Pós Conectado 1.000 + Banda Larga0.6355Template de desconto percentual FLAT Móvel - Conta Total - Varejo - Ganho Tributário Cross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>
            <v>0.63549999999999995</v>
          </cell>
          <cell r="E1215" t="str">
            <v>MKT-1-10032051381</v>
          </cell>
          <cell r="F1215" t="str">
            <v>0T3T_PAI17_PCS-4P10pi_FLAT_MÓVEL_GT_63.55%</v>
          </cell>
          <cell r="G1215">
            <v>63.55</v>
          </cell>
        </row>
        <row r="1216">
          <cell r="A1216" t="str">
            <v>Oi Total Fixo + Pós 50 + Banda Larga0.3246Template de desconto percentual FLAT Móvel - Conta Total - Varejo - Ganho Tributário Cross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>
            <v>0.3246</v>
          </cell>
          <cell r="E1216" t="str">
            <v>MKT-1-10032051591</v>
          </cell>
          <cell r="F1216" t="str">
            <v>0T3T_PAI17_PCS-4P2pi_FLAT_MÓVEL_GT_32.46%</v>
          </cell>
          <cell r="G1216">
            <v>32.46</v>
          </cell>
        </row>
        <row r="1217">
          <cell r="A1217" t="str">
            <v>Oi Total Fixo + Pós 50 + Banda Larga0.1374Template de desconto percentual FLAT Móvel - Conta Total - Varejo - Ganho Tributário Cross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>
            <v>0.13739999999999999</v>
          </cell>
          <cell r="E1217" t="str">
            <v>MKT-1-10032051801</v>
          </cell>
          <cell r="F1217" t="str">
            <v>0T3T_PAI17_PCS-4P2pi_FLAT_MÓVEL_GT_13.74%</v>
          </cell>
          <cell r="G1217">
            <v>13.74</v>
          </cell>
        </row>
        <row r="1218">
          <cell r="A1218" t="str">
            <v>Oi Total Fixo + Pós 50 + Banda Larga0.2238Template de desconto percentual FLAT Móvel - Conta Total - Varejo - Ganho Tributário Cross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>
            <v>0.2238</v>
          </cell>
          <cell r="E1218" t="str">
            <v>MKT-1-10032052011</v>
          </cell>
          <cell r="F1218" t="str">
            <v>0T3T_PAI17_PCS-4P2pi_FLAT_MÓVEL_GT_22.38%</v>
          </cell>
          <cell r="G1218">
            <v>22.38</v>
          </cell>
        </row>
        <row r="1219">
          <cell r="A1219" t="str">
            <v>Oi Total Fixo + Pós Conectado 1.000 + Banda Larga0.7132Template de desconto percentual FLAT Móvel - Conta Total - Varejo - Ganho Tributário Cross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>
            <v>0.71319999999999995</v>
          </cell>
          <cell r="E1219" t="str">
            <v>MKT-1-10032055351</v>
          </cell>
          <cell r="F1219" t="str">
            <v>0T3T_PAI17_PCS-4P10pi_FLAT_MÓVEL_GT_71.32%</v>
          </cell>
          <cell r="G1219">
            <v>71.319999999999993</v>
          </cell>
        </row>
        <row r="1220">
          <cell r="A1220" t="str">
            <v>Oi Total Fixo + Pós Conectado 1.000 + Banda Larga0.6689Template de desconto percentual FLAT Móvel - Conta Total - Varejo - Ganho Tributário Cross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>
            <v>0.66890000000000005</v>
          </cell>
          <cell r="E1220" t="str">
            <v>MKT-1-10032055561</v>
          </cell>
          <cell r="F1220" t="str">
            <v>0T3T_PAI17_PCS-4P10pi_FLAT_MÓVEL_GT_66.89%</v>
          </cell>
          <cell r="G1220">
            <v>66.89</v>
          </cell>
        </row>
        <row r="1221">
          <cell r="A1221" t="str">
            <v>Oi Total Fixo + Pós 50 + Banda Larga0.2221Template de desconto percentual FLAT Móvel - Conta Total - Varejo - Ganho Tributário Cross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>
            <v>0.22210000000000002</v>
          </cell>
          <cell r="E1221" t="str">
            <v>MKT-1-10032055771</v>
          </cell>
          <cell r="F1221" t="str">
            <v>0T3T_PAI17_PCS-4P2pi_FLAT_MÓVEL_GT_22.21%</v>
          </cell>
          <cell r="G1221">
            <v>22.21</v>
          </cell>
        </row>
        <row r="1222">
          <cell r="A1222" t="str">
            <v>Oi Total Fixo + Pós 50 + Banda Larga0.0534Template de desconto percentual FLAT Móvel - Conta Total - Varejo - Ganho Tributário Cross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>
            <v>5.3399999999999996E-2</v>
          </cell>
          <cell r="E1222" t="str">
            <v>MKT-1-10032055981</v>
          </cell>
          <cell r="F1222" t="str">
            <v>0T3T_PAI17_PCS-4P2pi_FLAT_MÓVEL_GT_05.34%</v>
          </cell>
          <cell r="G1222">
            <v>5.34</v>
          </cell>
        </row>
        <row r="1223">
          <cell r="A1223" t="str">
            <v>Oi Total Fixo + Pós 100 + Banda Larga0.4291Template de desconto percentual FLAT Móvel - Conta Total - Varejo - Ganho Tributário Cross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>
            <v>0.42909999999999998</v>
          </cell>
          <cell r="E1223" t="str">
            <v>MKT-1-10032056211</v>
          </cell>
          <cell r="F1223" t="str">
            <v>0T3T_PAI17_PCS-4P3pi_FLAT_MÓVEL_GT_42.91%</v>
          </cell>
          <cell r="G1223">
            <v>42.91</v>
          </cell>
        </row>
        <row r="1224">
          <cell r="A1224" t="str">
            <v>Oi Total Fixo + Pós 100 + Banda Larga0.4992Template de desconto percentual FLAT Móvel - Conta Total - Varejo - Ganho Tributário Cross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>
            <v>0.49920000000000003</v>
          </cell>
          <cell r="E1224" t="str">
            <v>MKT-1-10032119641</v>
          </cell>
          <cell r="F1224" t="str">
            <v>0T3T_PAI17_PCS-4P3pi_FLAT_MÓVEL_GT_49.92%</v>
          </cell>
          <cell r="G1224">
            <v>49.92</v>
          </cell>
        </row>
        <row r="1225">
          <cell r="A1225" t="str">
            <v>Oi Total Fixo + Pós 100 + Banda Larga0.3712Template de desconto percentual FLAT Móvel - Conta Total - Varejo - Ganho Tributário Cross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>
            <v>0.37119999999999997</v>
          </cell>
          <cell r="E1225" t="str">
            <v>MKT-1-10032119851</v>
          </cell>
          <cell r="F1225" t="str">
            <v>0T3T_PAI17_PCS-4P3pi_FLAT_MÓVEL_GT_37.12%</v>
          </cell>
          <cell r="G1225">
            <v>37.119999999999997</v>
          </cell>
        </row>
        <row r="1226">
          <cell r="A1226" t="str">
            <v>Oi Total Fixo + Pós 100 + Banda Larga0.2741Template de desconto percentual FLAT Móvel - Conta Total - Varejo - Ganho Tributário Cross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>
            <v>0.27410000000000001</v>
          </cell>
          <cell r="E1226" t="str">
            <v>MKT-1-10032120191</v>
          </cell>
          <cell r="F1226" t="str">
            <v>0T3T_PAI17_PCS-4P3pi_FLAT_MÓVEL_GT_27.41%</v>
          </cell>
          <cell r="G1226">
            <v>27.41</v>
          </cell>
        </row>
        <row r="1227">
          <cell r="A1227" t="str">
            <v>Oi Total Fixo + Pós 500 + Banda Larga0.673Template de desconto percentual FLAT Móvel - Conta Total - Varejo - Ganho Tributário Cross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>
            <v>0.67299999999999993</v>
          </cell>
          <cell r="E1227" t="str">
            <v>MKT-1-10032167441</v>
          </cell>
          <cell r="F1227" t="str">
            <v>0T3T_PAI17_PCS-4P5pi_FLAT_MÓVEL_GT_67.30%</v>
          </cell>
          <cell r="G1227">
            <v>67.3</v>
          </cell>
        </row>
        <row r="1228">
          <cell r="A1228" t="str">
            <v>Oi Total Fixo + Pós 800 + Banda Larga0.7224Template de desconto percentual FLAT Móvel - Conta Total - Varejo - Ganho Tributário Cross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>
            <v>0.72239999999999993</v>
          </cell>
          <cell r="E1228" t="str">
            <v>MKT-1-10032167651</v>
          </cell>
          <cell r="F1228" t="str">
            <v>0T3T_PAI17_PCS-4P6pi_FLAT_MÓVEL_GT_72.24%</v>
          </cell>
          <cell r="G1228">
            <v>72.239999999999995</v>
          </cell>
        </row>
        <row r="1229">
          <cell r="A1229" t="str">
            <v>Oi Total Fixo + Pós 800 + Banda Larga0.681Template de desconto percentual FLAT Móvel - Conta Total - Varejo - Ganho Tributário Cross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>
            <v>0.68099999999999994</v>
          </cell>
          <cell r="E1229" t="str">
            <v>MKT-1-10032167861</v>
          </cell>
          <cell r="F1229" t="str">
            <v>0T3T_PAI17_PCS-4P6pi_FLAT_MÓVEL_GT_68.10%</v>
          </cell>
          <cell r="G1229">
            <v>68.099999999999994</v>
          </cell>
        </row>
        <row r="1230">
          <cell r="A1230" t="str">
            <v>Oi Total Fixo + Pós 800 + Banda Larga0.6614Template de desconto percentual FLAT Móvel - Conta Total - Varejo - Ganho Tributário Cross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>
            <v>0.66139999999999999</v>
          </cell>
          <cell r="E1230" t="str">
            <v>MKT-1-10032168071</v>
          </cell>
          <cell r="F1230" t="str">
            <v>0T3T_PAI17_PCS-4P6pi_FLAT_MÓVEL_GT_66.14%</v>
          </cell>
          <cell r="G1230">
            <v>66.14</v>
          </cell>
        </row>
        <row r="1231">
          <cell r="A1231" t="str">
            <v>Oi Total Fixo + Pós Conectado 500 + Banda Larga0.5935Template de desconto percentual FLAT Móvel - Conta Total - Varejo - Ganho Tributário Cross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>
            <v>0.59350000000000003</v>
          </cell>
          <cell r="E1231" t="str">
            <v>MKT-1-10032168281</v>
          </cell>
          <cell r="F1231" t="str">
            <v>0T3T_PAI17_PCS-4P8pi_FLAT_MÓVEL_GT_59.35%</v>
          </cell>
          <cell r="G1231">
            <v>59.35</v>
          </cell>
        </row>
        <row r="1232">
          <cell r="A1232" t="str">
            <v>Oi Total Fixo + Pós 100 + Banda Larga0.2008Template de desconto percentual FLAT Móvel - Conta Total - Varejo - Ganho Tributário Cross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>
            <v>0.20079999999999998</v>
          </cell>
          <cell r="E1232" t="str">
            <v>MKT-1-10032248471</v>
          </cell>
          <cell r="F1232" t="str">
            <v>0T3T_PAI17_PCS-4P3pi_FLAT_MÓVEL_GT_20.08%</v>
          </cell>
          <cell r="G1232">
            <v>20.079999999999998</v>
          </cell>
        </row>
        <row r="1233">
          <cell r="A1233" t="str">
            <v>Oi Total Fixo + Pós 250 + Banda Larga0.5883Template de desconto percentual FLAT Móvel - Conta Total - Varejo - Ganho Tributário Cross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>
            <v>0.58829999999999993</v>
          </cell>
          <cell r="E1233" t="str">
            <v>MKT-1-10032248681</v>
          </cell>
          <cell r="F1233" t="str">
            <v>0T3T_PAI17_PCS-4P4pi_FLAT_MÓVEL_GT_58.83%</v>
          </cell>
          <cell r="G1233">
            <v>58.83</v>
          </cell>
        </row>
        <row r="1234">
          <cell r="A1234" t="str">
            <v>Oi Total Fixo + Pós 250 + Banda Larga0.6292Template de desconto percentual FLAT Móvel - Conta Total - Varejo - Ganho Tributário Cross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>
            <v>0.62919999999999998</v>
          </cell>
          <cell r="E1234" t="str">
            <v>MKT-1-10032248891</v>
          </cell>
          <cell r="F1234" t="str">
            <v>0T3T_PAI17_PCS-4P4pi_FLAT_MÓVEL_GT_62.92%</v>
          </cell>
          <cell r="G1234">
            <v>62.92</v>
          </cell>
        </row>
        <row r="1235">
          <cell r="A1235" t="str">
            <v>Oi Total Fixo + Pós 250 + Banda Larga0.5524Template de desconto percentual FLAT Móvel - Conta Total - Varejo - Ganho Tributário Cross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>
            <v>0.5524</v>
          </cell>
          <cell r="E1235" t="str">
            <v>MKT-1-10032249101</v>
          </cell>
          <cell r="F1235" t="str">
            <v>0T3T_PAI17_PCS-4P4pi_FLAT_MÓVEL_GT_55.24%</v>
          </cell>
          <cell r="G1235">
            <v>55.24</v>
          </cell>
        </row>
        <row r="1236">
          <cell r="A1236" t="str">
            <v>Oi Total Fixo + Pós 250 + Banda Larga0.5872Template de desconto percentual FLAT Móvel - Conta Total - Varejo - Ganho Tributário Cross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>
            <v>0.58719999999999994</v>
          </cell>
          <cell r="E1236" t="str">
            <v>MKT-1-10033063401</v>
          </cell>
          <cell r="F1236" t="str">
            <v>0T3T_PAI17_PCS-4P4pi_FLAT_MÓVEL_GT_58.72%</v>
          </cell>
          <cell r="G1236">
            <v>58.72</v>
          </cell>
        </row>
        <row r="1237">
          <cell r="A1237" t="str">
            <v>Oi Total Fixo + Pós 250 + Banda Larga0.4942Template de desconto percentual FLAT Móvel - Conta Total - Varejo - Ganho Tributário Cross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>
            <v>0.49420000000000003</v>
          </cell>
          <cell r="E1237" t="str">
            <v>MKT-1-10033078311</v>
          </cell>
          <cell r="F1237" t="str">
            <v>0T3T_PAI17_PCS-4P4pi_FLAT_MÓVEL_GT_49.42%</v>
          </cell>
          <cell r="G1237">
            <v>49.42</v>
          </cell>
        </row>
        <row r="1238">
          <cell r="A1238" t="str">
            <v>Oi Total Fixo + Pós 250 + Banda Larga0.4502Template de desconto percentual FLAT Móvel - Conta Total - Varejo - Ganho Tributário Cross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>
            <v>0.45020000000000004</v>
          </cell>
          <cell r="E1238" t="str">
            <v>MKT-1-10033078521</v>
          </cell>
          <cell r="F1238" t="str">
            <v>0T3T_PAI17_PCS-4P4pi_FLAT_MÓVEL_GT_45.02%</v>
          </cell>
          <cell r="G1238">
            <v>45.02</v>
          </cell>
        </row>
        <row r="1239">
          <cell r="A1239" t="str">
            <v>Oi Total Fixo + Pós 500 + Banda Larga0.7001Template de desconto percentual FLAT Móvel - Conta Total - Varejo - Ganho Tributário Cross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>
            <v>0.70010000000000006</v>
          </cell>
          <cell r="E1239" t="str">
            <v>MKT-1-10033113780</v>
          </cell>
          <cell r="F1239" t="str">
            <v>0T3T_PAI17_PCS-4P5pi_FLAT_MÓVEL_GT_70.01%</v>
          </cell>
          <cell r="G1239">
            <v>70.010000000000005</v>
          </cell>
        </row>
        <row r="1240">
          <cell r="A1240" t="str">
            <v>Oi Total Fixo + Pós 500 + Banda Larga0.6505Template de desconto percentual FLAT Móvel - Conta Total - Varejo - Ganho Tributário Cross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>
            <v>0.65049999999999997</v>
          </cell>
          <cell r="E1240" t="str">
            <v>MKT-1-10033113981</v>
          </cell>
          <cell r="F1240" t="str">
            <v>0T3T_PAI17_PCS-4P5pi_FLAT_MÓVEL_GT_65.05%</v>
          </cell>
          <cell r="G1240">
            <v>65.05</v>
          </cell>
        </row>
        <row r="1241">
          <cell r="A1241" t="str">
            <v>Oi Total Fixo + Pós 500 + Banda Larga0.6129Template de desconto percentual FLAT Móvel - Conta Total - Varejo - Ganho Tributário Cross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>
            <v>0.6129</v>
          </cell>
          <cell r="E1241" t="str">
            <v>MKT-1-10033114191</v>
          </cell>
          <cell r="F1241" t="str">
            <v>0T3T_PAI17_PCS-4P5pi_FLAT_MÓVEL_GT_61.29%</v>
          </cell>
          <cell r="G1241">
            <v>61.29</v>
          </cell>
        </row>
        <row r="1242">
          <cell r="A1242" t="str">
            <v>Oi Total Fixo + Pós 800 + Banda Larga0.7229Template de desconto percentual FLAT Móvel - Conta Total - Varejo - Ganho Tributário Cross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>
            <v>0.7229000000000001</v>
          </cell>
          <cell r="E1242" t="str">
            <v>MKT-1-10033167881</v>
          </cell>
          <cell r="F1242" t="str">
            <v>0T3T_PAI17_PCS-4P6pi_FLAT_MÓVEL_GT_72.29%</v>
          </cell>
          <cell r="G1242">
            <v>72.290000000000006</v>
          </cell>
        </row>
        <row r="1243">
          <cell r="A1243" t="str">
            <v>Oi Total Fixo + Pós 500 + Banda Larga0.5845Template de desconto percentual FLAT Móvel - Conta Total - Varejo - Ganho Tributário Cross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>
            <v>0.58450000000000002</v>
          </cell>
          <cell r="E1243" t="str">
            <v>MKT-1-10033171401</v>
          </cell>
          <cell r="F1243" t="str">
            <v>0T3T_PAI17_PCS-4P5pi_FLAT_MÓVEL_GT_58.45%</v>
          </cell>
          <cell r="G1243">
            <v>58.45</v>
          </cell>
        </row>
        <row r="1244">
          <cell r="A1244" t="str">
            <v>Oi Total Fixo + Pós 800 + Banda Larga0.7411Template de desconto percentual FLAT Móvel - Conta Total - Varejo - Ganho Tributário Cross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>
            <v>0.74109999999999998</v>
          </cell>
          <cell r="E1244" t="str">
            <v>MKT-1-10033171611</v>
          </cell>
          <cell r="F1244" t="str">
            <v>0T3T_PAI17_PCS-4P6pi_FLAT_MÓVEL_GT_74.11%</v>
          </cell>
          <cell r="G1244">
            <v>74.11</v>
          </cell>
        </row>
        <row r="1245">
          <cell r="A1245" t="str">
            <v>Oi Total Fixo + Pós 800 + Banda Larga0.7069Template de desconto percentual FLAT Móvel - Conta Total - Varejo - Ganho Tributário Cross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>
            <v>0.70689999999999997</v>
          </cell>
          <cell r="E1245" t="str">
            <v>MKT-1-10033171821</v>
          </cell>
          <cell r="F1245" t="str">
            <v>0T3T_PAI17_PCS-4P6pi_FLAT_MÓVEL_GT_70.69%</v>
          </cell>
          <cell r="G1245">
            <v>70.69</v>
          </cell>
        </row>
        <row r="1246">
          <cell r="A1246" t="str">
            <v>Oi Total Fixo + Pós Conectado 500 + Banda Larga0.6863Template de desconto percentual FLAT Móvel - Conta Total - Varejo - Ganho Tributário Cross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>
            <v>0.68629999999999991</v>
          </cell>
          <cell r="E1246" t="str">
            <v>MKT-1-10033172031</v>
          </cell>
          <cell r="F1246" t="str">
            <v>0T3T_PAI17_PCS-4P8pi_FLAT_MÓVEL_GT_68.63%</v>
          </cell>
          <cell r="G1246">
            <v>68.63</v>
          </cell>
        </row>
        <row r="1247">
          <cell r="A1247" t="str">
            <v>Oi Total Fixo + Pós Conectado 500 + Banda Larga0.7267Template de desconto percentual FLAT Móvel - Conta Total - Varejo - Ganho Tributário Cross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>
            <v>0.72670000000000001</v>
          </cell>
          <cell r="E1247" t="str">
            <v>MKT-1-10033172241</v>
          </cell>
          <cell r="F1247" t="str">
            <v>0T3T_PAI17_PCS-4P8pi_FLAT_MÓVEL_GT_72.67%</v>
          </cell>
          <cell r="G1247">
            <v>72.67</v>
          </cell>
        </row>
        <row r="1248">
          <cell r="A1248" t="str">
            <v>Oi Total Fixo + Pós Conectado 500 + Banda Larga0.6852Template de desconto percentual FLAT Móvel - Conta Total - Varejo - Ganho Tributário Cross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>
            <v>0.68519999999999992</v>
          </cell>
          <cell r="E1248" t="str">
            <v>MKT-1-10033196451</v>
          </cell>
          <cell r="F1248" t="str">
            <v>0T3T_PAI17_PCS-4P8pi_FLAT_MÓVEL_GT_68.52%</v>
          </cell>
          <cell r="G1248">
            <v>68.52</v>
          </cell>
        </row>
        <row r="1249">
          <cell r="A1249" t="str">
            <v>Oi Total Fixo + Pós Conectado 1.000 + Banda Larga0.7309Template de desconto percentual FLAT Móvel - Conta Total - Varejo - Ganho Tributário Cross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>
            <v>0.73089999999999999</v>
          </cell>
          <cell r="E1249" t="str">
            <v>MKT-1-10033196661</v>
          </cell>
          <cell r="F1249" t="str">
            <v>0T3T_PAI17_PCS-4P10pi_FLAT_MÓVEL_GT_73.09%</v>
          </cell>
          <cell r="G1249">
            <v>73.09</v>
          </cell>
        </row>
        <row r="1250">
          <cell r="A1250" t="str">
            <v>Oi Total Fixo + Pós Conectado 1.000 + Banda Larga0.6727Template de desconto percentual FLAT Móvel - Conta Total - Varejo - Ganho Tributário Cross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>
            <v>0.67269999999999996</v>
          </cell>
          <cell r="E1250" t="str">
            <v>MKT-1-10033196871</v>
          </cell>
          <cell r="F1250" t="str">
            <v>0T3T_PAI17_PCS-4P10pi_FLAT_MÓVEL_GT_67.27%</v>
          </cell>
          <cell r="G1250">
            <v>67.27</v>
          </cell>
        </row>
        <row r="1251">
          <cell r="A1251" t="str">
            <v>Oi Total Fixo + Pós Conectado 1.000 + Banda Larga0.6455Template de desconto percentual FLAT Móvel - Conta Total - Varejo - Ganho Tributário Cross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>
            <v>0.64549999999999996</v>
          </cell>
          <cell r="E1251" t="str">
            <v>MKT-1-10033197081</v>
          </cell>
          <cell r="F1251" t="str">
            <v>0T3T_PAI17_PCS-4P10pi_FLAT_MÓVEL_GT_64.55%</v>
          </cell>
          <cell r="G1251">
            <v>64.55</v>
          </cell>
        </row>
        <row r="1252">
          <cell r="A1252" t="str">
            <v>Oi Total Fixo + Pós Conectado 500 + Banda Larga0.5501Template de desconto percentual FLAT Móvel - Conta Total - Varejo - Ganho Tributário Cross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>
            <v>0.55010000000000003</v>
          </cell>
          <cell r="E1252" t="str">
            <v>MKT-1-10033203491</v>
          </cell>
          <cell r="F1252" t="str">
            <v>0T3T_PAI17_PCS-4P8pi_FLAT_MÓVEL_GT_55.01%</v>
          </cell>
          <cell r="G1252">
            <v>55.01</v>
          </cell>
        </row>
        <row r="1253">
          <cell r="A1253" t="str">
            <v>Oi Total Fixo + Pós Conectado 500 + Banda Larga0.6509Template de desconto percentual FLAT Móvel - Conta Total - Varejo - Ganho Tributário Cross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>
            <v>0.65090000000000003</v>
          </cell>
          <cell r="E1253" t="str">
            <v>MKT-1-10033203701</v>
          </cell>
          <cell r="F1253" t="str">
            <v>0T3T_PAI17_PCS-4P8pi_FLAT_MÓVEL_GT_65.09%</v>
          </cell>
          <cell r="G1253">
            <v>65.09</v>
          </cell>
        </row>
        <row r="1254">
          <cell r="A1254" t="str">
            <v>Oi Total Fixo + Pós Conectado 1.000 + Banda Larga0.7562Template de desconto percentual FLAT Móvel - Conta Total - Varejo - Ganho Tributário Cross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>
            <v>0.75620000000000009</v>
          </cell>
          <cell r="E1254" t="str">
            <v>MKT-1-10033203911</v>
          </cell>
          <cell r="F1254" t="str">
            <v>0T3T_PAI17_PCS-4P10pi_FLAT_MÓVEL_GT_75.62%</v>
          </cell>
          <cell r="G1254">
            <v>75.62</v>
          </cell>
        </row>
        <row r="1255">
          <cell r="A1255" t="str">
            <v>Oi Total Fixo + Pós Conectado 1.000 + Banda Larga0.7302Template de desconto percentual FLAT Móvel - Conta Total - Varejo - Ganho Tributário Cross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>
            <v>0.73019999999999996</v>
          </cell>
          <cell r="E1255" t="str">
            <v>MKT-1-10033204121</v>
          </cell>
          <cell r="F1255" t="str">
            <v>0T3T_PAI17_PCS-4P10pi_FLAT_MÓVEL_GT_73.02%</v>
          </cell>
          <cell r="G1255">
            <v>73.02</v>
          </cell>
        </row>
        <row r="1256">
          <cell r="A1256" t="str">
            <v>Oi Total Fixo + Pós Conectado 1.000 + Banda Larga0.7087Template de desconto percentual FLAT Móvel - Conta Total - Varejo - Ganho Tributário Cross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>
            <v>0.7087</v>
          </cell>
          <cell r="E1256" t="str">
            <v>MKT-1-10033218331</v>
          </cell>
          <cell r="F1256" t="str">
            <v>0T3T_PAI17_PCS-4P10pi_FLAT_MÓVEL_GT_70.87%</v>
          </cell>
          <cell r="G1256">
            <v>70.87</v>
          </cell>
        </row>
        <row r="1257">
          <cell r="A1257" t="str">
            <v>Oi Total Fixo + Pós Conectado 1.000 + Banda Larga0.7404Template de desconto percentual FLAT Móvel - Conta Total - Varejo - Ganho Tributário Cross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>
            <v>0.74040000000000006</v>
          </cell>
          <cell r="E1257" t="str">
            <v>MKT-1-10033494431</v>
          </cell>
          <cell r="F1257" t="str">
            <v>0T3T_PAI17_PCS-4P10pi_FLAT_MÓVEL_GT_74.04%</v>
          </cell>
          <cell r="G1257">
            <v>74.040000000000006</v>
          </cell>
        </row>
        <row r="1258">
          <cell r="A1258" t="str">
            <v>Oi Total Fixo + Pós Conectado 1.000 + Banda Larga0.7396Template de desconto percentual FLAT Móvel - Conta Total - Varejo - Ganho Tributário Cross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>
            <v>0.73959999999999992</v>
          </cell>
          <cell r="E1258" t="str">
            <v>MKT-1-10033504761</v>
          </cell>
          <cell r="F1258" t="str">
            <v>0T3T_PAI17_PCS-4P10pi_FLAT_MÓVEL_GT_73.96%</v>
          </cell>
          <cell r="G1258">
            <v>73.959999999999994</v>
          </cell>
        </row>
        <row r="1259">
          <cell r="A1259" t="str">
            <v>Oi Total Fixo + Pós 50 + Banda Larga0.1166Template de desconto percentual FLAT Móvel - Conta Total - Varejo - Ganho Tributário Cross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>
            <v>0.1166</v>
          </cell>
          <cell r="E1259" t="str">
            <v>MKT-1-10044408309</v>
          </cell>
          <cell r="F1259" t="str">
            <v>0T3T_PAI17_PCS-4P2pi_FLAT_MÓVEL_GT_11.66%.</v>
          </cell>
          <cell r="G1259">
            <v>11.66</v>
          </cell>
        </row>
        <row r="1260">
          <cell r="A1260" t="str">
            <v>Oi Total Fixo + Pós 500 + Banda Larga0.6737Template de desconto percentual FLAT Móvel - Conta Total - Varejo - Ganho Tributário Cross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>
            <v>0.67370000000000008</v>
          </cell>
          <cell r="E1260" t="str">
            <v>MKT-1-10044457701</v>
          </cell>
          <cell r="F1260" t="str">
            <v>0T3T_PAI17_PCS-4P5pi_FLAT_MÓVEL_GT_67.37%..</v>
          </cell>
          <cell r="G1260">
            <v>67.37</v>
          </cell>
        </row>
        <row r="1261">
          <cell r="A1261" t="str">
            <v>Oi Internet pra Celular 1GB0.6209Template Flat Instância Dados</v>
          </cell>
          <cell r="B1261" t="str">
            <v>Oi Internet pra Celular 1GB</v>
          </cell>
          <cell r="C1261" t="str">
            <v>Template Flat Instância Dados</v>
          </cell>
          <cell r="D1261">
            <v>0.62090000000000001</v>
          </cell>
          <cell r="E1261" t="str">
            <v>MKT-1-10037996881</v>
          </cell>
          <cell r="F1261" t="str">
            <v>0T3T_PAI17_INTCEL-1G_62.09%</v>
          </cell>
          <cell r="G1261">
            <v>62.09</v>
          </cell>
        </row>
        <row r="1262">
          <cell r="A1262" t="str">
            <v>Oi Internet pra Celular 2GB0.0804Template Flat Instância Dados</v>
          </cell>
          <cell r="B1262" t="str">
            <v>Oi Internet pra Celular 2GB</v>
          </cell>
          <cell r="C1262" t="str">
            <v>Template Flat Instância Dados</v>
          </cell>
          <cell r="D1262">
            <v>8.0399999999999985E-2</v>
          </cell>
          <cell r="E1262" t="str">
            <v>MKT-1-10038291211</v>
          </cell>
          <cell r="F1262" t="str">
            <v>0T3T_PAI17_INTCEL-2G_08.04%</v>
          </cell>
          <cell r="G1262">
            <v>8.0399999999999991</v>
          </cell>
        </row>
        <row r="1263">
          <cell r="A1263" t="str">
            <v>Oi Internet pra Celular 5GB0.649Template Flat Instância Dados</v>
          </cell>
          <cell r="B1263" t="str">
            <v>Oi Internet pra Celular 5GB</v>
          </cell>
          <cell r="C1263" t="str">
            <v>Template Flat Instância Dados</v>
          </cell>
          <cell r="D1263">
            <v>0.64900000000000002</v>
          </cell>
          <cell r="E1263" t="str">
            <v>MKT-1-10038357701</v>
          </cell>
          <cell r="F1263" t="str">
            <v>0T3T_PAI17_INTCEL-5G_64.90%</v>
          </cell>
          <cell r="G1263">
            <v>64.900000000000006</v>
          </cell>
        </row>
        <row r="1264">
          <cell r="A1264" t="str">
            <v>Oi Internet pra Celular 10GB0.4147Template Flat Instância Dados</v>
          </cell>
          <cell r="B1264" t="str">
            <v>Oi Internet pra Celular 10GB</v>
          </cell>
          <cell r="C1264" t="str">
            <v>Template Flat Instância Dados</v>
          </cell>
          <cell r="D1264">
            <v>0.41470000000000001</v>
          </cell>
          <cell r="E1264" t="str">
            <v>MKT-1-10038358081</v>
          </cell>
          <cell r="F1264" t="str">
            <v>0T3T_PAI17_INTCEL-10G_41.47%</v>
          </cell>
          <cell r="G1264">
            <v>41.47</v>
          </cell>
        </row>
        <row r="1265">
          <cell r="A1265" t="str">
            <v>Oi Total Fixo + Pós 100 + Banda Larga0.4309Template de desconto percentual FLAT Móvel - Conta Total - Varejo - Ganho Tributário Cross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>
            <v>0.43090000000000006</v>
          </cell>
          <cell r="E1265" t="str">
            <v>MKT-1-10029850761</v>
          </cell>
          <cell r="F1265" t="str">
            <v>0T3T_PAI17_PCS-4P3pi_FLAT_MÓVEL_GT_43.09%</v>
          </cell>
          <cell r="G1265">
            <v>43.09</v>
          </cell>
        </row>
        <row r="1266">
          <cell r="A1266" t="str">
            <v>Oi Total Fixo + Pós Conectado 1.000 + Banda Larga0.7716Template de desconto percentual FLAT Móvel - Conta Total - Varejo - Ganho Tributário Cross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>
            <v>0.77159999999999995</v>
          </cell>
          <cell r="E1266" t="str">
            <v>MKT-1-10031990161</v>
          </cell>
          <cell r="F1266" t="str">
            <v>0T3T_PAI17_PCS-4P10pi_FLAT_MÓVEL_GT_77.16%</v>
          </cell>
          <cell r="G1266">
            <v>77.16</v>
          </cell>
        </row>
        <row r="1267">
          <cell r="A1267" t="str">
            <v>Oi Total Fixo + Pós Conectado 1.000 + Banda Larga0.6355Template de desconto percentual FLAT Móvel - Conta Total - Varejo - Ganho Tributário Cross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>
            <v>0.63549999999999995</v>
          </cell>
          <cell r="E1267" t="str">
            <v>MKT-1-10032051381</v>
          </cell>
          <cell r="F1267" t="str">
            <v>0T3T_PAI17_PCS-4P10pi_FLAT_MÓVEL_GT_63.55%</v>
          </cell>
          <cell r="G1267">
            <v>63.55</v>
          </cell>
        </row>
        <row r="1268">
          <cell r="A1268" t="str">
            <v>Oi Total Fixo + Pós 50 + Banda Larga0.3246Template de desconto percentual FLAT Móvel - Conta Total - Varejo - Ganho Tributário Cross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>
            <v>0.3246</v>
          </cell>
          <cell r="E1268" t="str">
            <v>MKT-1-10032051591</v>
          </cell>
          <cell r="F1268" t="str">
            <v>0T3T_PAI17_PCS-4P2pi_FLAT_MÓVEL_GT_32.46%</v>
          </cell>
          <cell r="G1268">
            <v>32.46</v>
          </cell>
        </row>
        <row r="1269">
          <cell r="A1269" t="str">
            <v>Oi Total Fixo + Pós 50 + Banda Larga0.1374Template de desconto percentual FLAT Móvel - Conta Total - Varejo - Ganho Tributário Cross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>
            <v>0.13739999999999999</v>
          </cell>
          <cell r="E1269" t="str">
            <v>MKT-1-10032051801</v>
          </cell>
          <cell r="F1269" t="str">
            <v>0T3T_PAI17_PCS-4P2pi_FLAT_MÓVEL_GT_13.74%</v>
          </cell>
          <cell r="G1269">
            <v>13.74</v>
          </cell>
        </row>
        <row r="1270">
          <cell r="A1270" t="str">
            <v>Oi Total Fixo + Pós 50 + Banda Larga0.2238Template de desconto percentual FLAT Móvel - Conta Total - Varejo - Ganho Tributário Cross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>
            <v>0.2238</v>
          </cell>
          <cell r="E1270" t="str">
            <v>MKT-1-10032052011</v>
          </cell>
          <cell r="F1270" t="str">
            <v>0T3T_PAI17_PCS-4P2pi_FLAT_MÓVEL_GT_22.38%</v>
          </cell>
          <cell r="G1270">
            <v>22.38</v>
          </cell>
        </row>
        <row r="1271">
          <cell r="A1271" t="str">
            <v>Oi Total Fixo + Pós Conectado 1.000 + Banda Larga0.7132Template de desconto percentual FLAT Móvel - Conta Total - Varejo - Ganho Tributário Cross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>
            <v>0.71319999999999995</v>
          </cell>
          <cell r="E1271" t="str">
            <v>MKT-1-10032055351</v>
          </cell>
          <cell r="F1271" t="str">
            <v>0T3T_PAI17_PCS-4P10pi_FLAT_MÓVEL_GT_71.32%</v>
          </cell>
          <cell r="G1271">
            <v>71.319999999999993</v>
          </cell>
        </row>
        <row r="1272">
          <cell r="A1272" t="str">
            <v>Oi Total Fixo + Pós Conectado 1.000 + Banda Larga0.6689Template de desconto percentual FLAT Móvel - Conta Total - Varejo - Ganho Tributário Cross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>
            <v>0.66890000000000005</v>
          </cell>
          <cell r="E1272" t="str">
            <v>MKT-1-10032055561</v>
          </cell>
          <cell r="F1272" t="str">
            <v>0T3T_PAI17_PCS-4P10pi_FLAT_MÓVEL_GT_66.89%</v>
          </cell>
          <cell r="G1272">
            <v>66.89</v>
          </cell>
        </row>
        <row r="1273">
          <cell r="A1273" t="str">
            <v>Oi Total Fixo + Pós 50 + Banda Larga0.2221Template de desconto percentual FLAT Móvel - Conta Total - Varejo - Ganho Tributário Cross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>
            <v>0.22210000000000002</v>
          </cell>
          <cell r="E1273" t="str">
            <v>MKT-1-10032055771</v>
          </cell>
          <cell r="F1273" t="str">
            <v>0T3T_PAI17_PCS-4P2pi_FLAT_MÓVEL_GT_22.21%</v>
          </cell>
          <cell r="G1273">
            <v>22.21</v>
          </cell>
        </row>
        <row r="1274">
          <cell r="A1274" t="str">
            <v>Oi Total Fixo + Pós 50 + Banda Larga0.0534Template de desconto percentual FLAT Móvel - Conta Total - Varejo - Ganho Tributário Cross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>
            <v>5.3399999999999996E-2</v>
          </cell>
          <cell r="E1274" t="str">
            <v>MKT-1-10032055981</v>
          </cell>
          <cell r="F1274" t="str">
            <v>0T3T_PAI17_PCS-4P2pi_FLAT_MÓVEL_GT_05.34%</v>
          </cell>
          <cell r="G1274">
            <v>5.34</v>
          </cell>
        </row>
        <row r="1275">
          <cell r="A1275" t="str">
            <v>Oi Total Fixo + Pós 100 + Banda Larga0.4291Template de desconto percentual FLAT Móvel - Conta Total - Varejo - Ganho Tributário Cross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>
            <v>0.42909999999999998</v>
          </cell>
          <cell r="E1275" t="str">
            <v>MKT-1-10032056211</v>
          </cell>
          <cell r="F1275" t="str">
            <v>0T3T_PAI17_PCS-4P3pi_FLAT_MÓVEL_GT_42.91%</v>
          </cell>
          <cell r="G1275">
            <v>42.91</v>
          </cell>
        </row>
        <row r="1276">
          <cell r="A1276" t="str">
            <v>Oi Total Fixo + Pós 100 + Banda Larga0.4992Template de desconto percentual FLAT Móvel - Conta Total - Varejo - Ganho Tributário Cross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>
            <v>0.49920000000000003</v>
          </cell>
          <cell r="E1276" t="str">
            <v>MKT-1-10032119641</v>
          </cell>
          <cell r="F1276" t="str">
            <v>0T3T_PAI17_PCS-4P3pi_FLAT_MÓVEL_GT_49.92%</v>
          </cell>
          <cell r="G1276">
            <v>49.92</v>
          </cell>
        </row>
        <row r="1277">
          <cell r="A1277" t="str">
            <v>Oi Total Fixo + Pós 100 + Banda Larga0.3712Template de desconto percentual FLAT Móvel - Conta Total - Varejo - Ganho Tributário Cross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>
            <v>0.37119999999999997</v>
          </cell>
          <cell r="E1277" t="str">
            <v>MKT-1-10032119851</v>
          </cell>
          <cell r="F1277" t="str">
            <v>0T3T_PAI17_PCS-4P3pi_FLAT_MÓVEL_GT_37.12%</v>
          </cell>
          <cell r="G1277">
            <v>37.119999999999997</v>
          </cell>
        </row>
        <row r="1278">
          <cell r="A1278" t="str">
            <v>Oi Total Fixo + Pós 100 + Banda Larga0.2741Template de desconto percentual FLAT Móvel - Conta Total - Varejo - Ganho Tributário Cross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>
            <v>0.27410000000000001</v>
          </cell>
          <cell r="E1278" t="str">
            <v>MKT-1-10032120191</v>
          </cell>
          <cell r="F1278" t="str">
            <v>0T3T_PAI17_PCS-4P3pi_FLAT_MÓVEL_GT_27.41%</v>
          </cell>
          <cell r="G1278">
            <v>27.41</v>
          </cell>
        </row>
        <row r="1279">
          <cell r="A1279" t="str">
            <v>Oi Total Fixo + Pós 500 + Banda Larga0.673Template de desconto percentual FLAT Móvel - Conta Total - Varejo - Ganho Tributário Cross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>
            <v>0.67299999999999993</v>
          </cell>
          <cell r="E1279" t="str">
            <v>MKT-1-10032167441</v>
          </cell>
          <cell r="F1279" t="str">
            <v>0T3T_PAI17_PCS-4P5pi_FLAT_MÓVEL_GT_67.30%</v>
          </cell>
          <cell r="G1279">
            <v>67.3</v>
          </cell>
        </row>
        <row r="1280">
          <cell r="A1280" t="str">
            <v>Oi Total Fixo + Pós 800 + Banda Larga0.7224Template de desconto percentual FLAT Móvel - Conta Total - Varejo - Ganho Tributário Cross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>
            <v>0.72239999999999993</v>
          </cell>
          <cell r="E1280" t="str">
            <v>MKT-1-10032167651</v>
          </cell>
          <cell r="F1280" t="str">
            <v>0T3T_PAI17_PCS-4P6pi_FLAT_MÓVEL_GT_72.24%</v>
          </cell>
          <cell r="G1280">
            <v>72.239999999999995</v>
          </cell>
        </row>
        <row r="1281">
          <cell r="A1281" t="str">
            <v>Oi Total Fixo + Pós 800 + Banda Larga0.681Template de desconto percentual FLAT Móvel - Conta Total - Varejo - Ganho Tributário Cross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>
            <v>0.68099999999999994</v>
          </cell>
          <cell r="E1281" t="str">
            <v>MKT-1-10032167861</v>
          </cell>
          <cell r="F1281" t="str">
            <v>0T3T_PAI17_PCS-4P6pi_FLAT_MÓVEL_GT_68.10%</v>
          </cell>
          <cell r="G1281">
            <v>68.099999999999994</v>
          </cell>
        </row>
        <row r="1282">
          <cell r="A1282" t="str">
            <v>Oi Total Fixo + Pós 800 + Banda Larga0.6614Template de desconto percentual FLAT Móvel - Conta Total - Varejo - Ganho Tributário Cross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>
            <v>0.66139999999999999</v>
          </cell>
          <cell r="E1282" t="str">
            <v>MKT-1-10032168071</v>
          </cell>
          <cell r="F1282" t="str">
            <v>0T3T_PAI17_PCS-4P6pi_FLAT_MÓVEL_GT_66.14%</v>
          </cell>
          <cell r="G1282">
            <v>66.14</v>
          </cell>
        </row>
        <row r="1283">
          <cell r="A1283" t="str">
            <v>Oi Total Fixo + Pós Conectado 500 + Banda Larga0.5935Template de desconto percentual FLAT Móvel - Conta Total - Varejo - Ganho Tributário Cross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>
            <v>0.59350000000000003</v>
          </cell>
          <cell r="E1283" t="str">
            <v>MKT-1-10032168281</v>
          </cell>
          <cell r="F1283" t="str">
            <v>0T3T_PAI17_PCS-4P8pi_FLAT_MÓVEL_GT_59.35%</v>
          </cell>
          <cell r="G1283">
            <v>59.35</v>
          </cell>
        </row>
        <row r="1284">
          <cell r="A1284" t="str">
            <v>Oi Total Fixo + Pós 100 + Banda Larga0.2008Template de desconto percentual FLAT Móvel - Conta Total - Varejo - Ganho Tributário Cross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>
            <v>0.20079999999999998</v>
          </cell>
          <cell r="E1284" t="str">
            <v>MKT-1-10032248471</v>
          </cell>
          <cell r="F1284" t="str">
            <v>0T3T_PAI17_PCS-4P3pi_FLAT_MÓVEL_GT_20.08%</v>
          </cell>
          <cell r="G1284">
            <v>20.079999999999998</v>
          </cell>
        </row>
        <row r="1285">
          <cell r="A1285" t="str">
            <v>Oi Total Fixo + Pós 250 + Banda Larga0.5883Template de desconto percentual FLAT Móvel - Conta Total - Varejo - Ganho Tributário Cross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>
            <v>0.58829999999999993</v>
          </cell>
          <cell r="E1285" t="str">
            <v>MKT-1-10032248681</v>
          </cell>
          <cell r="F1285" t="str">
            <v>0T3T_PAI17_PCS-4P4pi_FLAT_MÓVEL_GT_58.83%</v>
          </cell>
          <cell r="G1285">
            <v>58.83</v>
          </cell>
        </row>
        <row r="1286">
          <cell r="A1286" t="str">
            <v>Oi Total Fixo + Pós 250 + Banda Larga0.6292Template de desconto percentual FLAT Móvel - Conta Total - Varejo - Ganho Tributário Cross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>
            <v>0.62919999999999998</v>
          </cell>
          <cell r="E1286" t="str">
            <v>MKT-1-10032248891</v>
          </cell>
          <cell r="F1286" t="str">
            <v>0T3T_PAI17_PCS-4P4pi_FLAT_MÓVEL_GT_62.92%</v>
          </cell>
          <cell r="G1286">
            <v>62.92</v>
          </cell>
        </row>
        <row r="1287">
          <cell r="A1287" t="str">
            <v>Oi Total Fixo + Pós 250 + Banda Larga0.5524Template de desconto percentual FLAT Móvel - Conta Total - Varejo - Ganho Tributário Cross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>
            <v>0.5524</v>
          </cell>
          <cell r="E1287" t="str">
            <v>MKT-1-10032249101</v>
          </cell>
          <cell r="F1287" t="str">
            <v>0T3T_PAI17_PCS-4P4pi_FLAT_MÓVEL_GT_55.24%</v>
          </cell>
          <cell r="G1287">
            <v>55.24</v>
          </cell>
        </row>
        <row r="1288">
          <cell r="A1288" t="str">
            <v>Oi Total Fixo + Pós 250 + Banda Larga0.5872Template de desconto percentual FLAT Móvel - Conta Total - Varejo - Ganho Tributário Cross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>
            <v>0.58719999999999994</v>
          </cell>
          <cell r="E1288" t="str">
            <v>MKT-1-10033063401</v>
          </cell>
          <cell r="F1288" t="str">
            <v>0T3T_PAI17_PCS-4P4pi_FLAT_MÓVEL_GT_58.72%</v>
          </cell>
          <cell r="G1288">
            <v>58.72</v>
          </cell>
        </row>
        <row r="1289">
          <cell r="A1289" t="str">
            <v>Oi Total Fixo + Pós 250 + Banda Larga0.4942Template de desconto percentual FLAT Móvel - Conta Total - Varejo - Ganho Tributário Cross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>
            <v>0.49420000000000003</v>
          </cell>
          <cell r="E1289" t="str">
            <v>MKT-1-10033078311</v>
          </cell>
          <cell r="F1289" t="str">
            <v>0T3T_PAI17_PCS-4P4pi_FLAT_MÓVEL_GT_49.42%</v>
          </cell>
          <cell r="G1289">
            <v>49.42</v>
          </cell>
        </row>
        <row r="1290">
          <cell r="A1290" t="str">
            <v>Oi Total Fixo + Pós 250 + Banda Larga0.4502Template de desconto percentual FLAT Móvel - Conta Total - Varejo - Ganho Tributário Cross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>
            <v>0.45020000000000004</v>
          </cell>
          <cell r="E1290" t="str">
            <v>MKT-1-10033078521</v>
          </cell>
          <cell r="F1290" t="str">
            <v>0T3T_PAI17_PCS-4P4pi_FLAT_MÓVEL_GT_45.02%</v>
          </cell>
          <cell r="G1290">
            <v>45.02</v>
          </cell>
        </row>
        <row r="1291">
          <cell r="A1291" t="str">
            <v>Oi Total Fixo + Pós 500 + Banda Larga0.7001Template de desconto percentual FLAT Móvel - Conta Total - Varejo - Ganho Tributário Cross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>
            <v>0.70010000000000006</v>
          </cell>
          <cell r="E1291" t="str">
            <v>MKT-1-10033113780</v>
          </cell>
          <cell r="F1291" t="str">
            <v>0T3T_PAI17_PCS-4P5pi_FLAT_MÓVEL_GT_70.01%</v>
          </cell>
          <cell r="G1291">
            <v>70.010000000000005</v>
          </cell>
        </row>
        <row r="1292">
          <cell r="A1292" t="str">
            <v>Oi Total Fixo + Pós 500 + Banda Larga0.6505Template de desconto percentual FLAT Móvel - Conta Total - Varejo - Ganho Tributário Cross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>
            <v>0.65049999999999997</v>
          </cell>
          <cell r="E1292" t="str">
            <v>MKT-1-10033113981</v>
          </cell>
          <cell r="F1292" t="str">
            <v>0T3T_PAI17_PCS-4P5pi_FLAT_MÓVEL_GT_65.05%</v>
          </cell>
          <cell r="G1292">
            <v>65.05</v>
          </cell>
        </row>
        <row r="1293">
          <cell r="A1293" t="str">
            <v>Oi Total Fixo + Pós 500 + Banda Larga0.6129Template de desconto percentual FLAT Móvel - Conta Total - Varejo - Ganho Tributário Cross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>
            <v>0.6129</v>
          </cell>
          <cell r="E1293" t="str">
            <v>MKT-1-10033114191</v>
          </cell>
          <cell r="F1293" t="str">
            <v>0T3T_PAI17_PCS-4P5pi_FLAT_MÓVEL_GT_61.29%</v>
          </cell>
          <cell r="G1293">
            <v>61.29</v>
          </cell>
        </row>
        <row r="1294">
          <cell r="A1294" t="str">
            <v>Oi Total Fixo + Pós 800 + Banda Larga0.7229Template de desconto percentual FLAT Móvel - Conta Total - Varejo - Ganho Tributário Cross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>
            <v>0.7229000000000001</v>
          </cell>
          <cell r="E1294" t="str">
            <v>MKT-1-10033167881</v>
          </cell>
          <cell r="F1294" t="str">
            <v>0T3T_PAI17_PCS-4P6pi_FLAT_MÓVEL_GT_72.29%</v>
          </cell>
          <cell r="G1294">
            <v>72.290000000000006</v>
          </cell>
        </row>
        <row r="1295">
          <cell r="A1295" t="str">
            <v>Oi Total Fixo + Pós 500 + Banda Larga0.5845Template de desconto percentual FLAT Móvel - Conta Total - Varejo - Ganho Tributário Cross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>
            <v>0.58450000000000002</v>
          </cell>
          <cell r="E1295" t="str">
            <v>MKT-1-10033171401</v>
          </cell>
          <cell r="F1295" t="str">
            <v>0T3T_PAI17_PCS-4P5pi_FLAT_MÓVEL_GT_58.45%</v>
          </cell>
          <cell r="G1295">
            <v>58.45</v>
          </cell>
        </row>
        <row r="1296">
          <cell r="A1296" t="str">
            <v>Oi Total Fixo + Pós 800 + Banda Larga0.7411Template de desconto percentual FLAT Móvel - Conta Total - Varejo - Ganho Tributário Cross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>
            <v>0.74109999999999998</v>
          </cell>
          <cell r="E1296" t="str">
            <v>MKT-1-10033171611</v>
          </cell>
          <cell r="F1296" t="str">
            <v>0T3T_PAI17_PCS-4P6pi_FLAT_MÓVEL_GT_74.11%</v>
          </cell>
          <cell r="G1296">
            <v>74.11</v>
          </cell>
        </row>
        <row r="1297">
          <cell r="A1297" t="str">
            <v>Oi Total Fixo + Pós 800 + Banda Larga0.7069Template de desconto percentual FLAT Móvel - Conta Total - Varejo - Ganho Tributário Cross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>
            <v>0.70689999999999997</v>
          </cell>
          <cell r="E1297" t="str">
            <v>MKT-1-10033171821</v>
          </cell>
          <cell r="F1297" t="str">
            <v>0T3T_PAI17_PCS-4P6pi_FLAT_MÓVEL_GT_70.69%</v>
          </cell>
          <cell r="G1297">
            <v>70.69</v>
          </cell>
        </row>
        <row r="1298">
          <cell r="A1298" t="str">
            <v>Oi Total Fixo + Pós Conectado 500 + Banda Larga0.6863Template de desconto percentual FLAT Móvel - Conta Total - Varejo - Ganho Tributário Cross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>
            <v>0.68629999999999991</v>
          </cell>
          <cell r="E1298" t="str">
            <v>MKT-1-10033172031</v>
          </cell>
          <cell r="F1298" t="str">
            <v>0T3T_PAI17_PCS-4P8pi_FLAT_MÓVEL_GT_68.63%</v>
          </cell>
          <cell r="G1298">
            <v>68.63</v>
          </cell>
        </row>
        <row r="1299">
          <cell r="A1299" t="str">
            <v>Oi Total Fixo + Pós Conectado 500 + Banda Larga0.7267Template de desconto percentual FLAT Móvel - Conta Total - Varejo - Ganho Tributário Cross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>
            <v>0.72670000000000001</v>
          </cell>
          <cell r="E1299" t="str">
            <v>MKT-1-10033172241</v>
          </cell>
          <cell r="F1299" t="str">
            <v>0T3T_PAI17_PCS-4P8pi_FLAT_MÓVEL_GT_72.67%</v>
          </cell>
          <cell r="G1299">
            <v>72.67</v>
          </cell>
        </row>
        <row r="1300">
          <cell r="A1300" t="str">
            <v>Oi Total Fixo + Pós Conectado 500 + Banda Larga0.6852Template de desconto percentual FLAT Móvel - Conta Total - Varejo - Ganho Tributário Cross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>
            <v>0.68519999999999992</v>
          </cell>
          <cell r="E1300" t="str">
            <v>MKT-1-10033196451</v>
          </cell>
          <cell r="F1300" t="str">
            <v>0T3T_PAI17_PCS-4P8pi_FLAT_MÓVEL_GT_68.52%</v>
          </cell>
          <cell r="G1300">
            <v>68.52</v>
          </cell>
        </row>
        <row r="1301">
          <cell r="A1301" t="str">
            <v>Oi Total Fixo + Pós Conectado 500 + Banda Larga0.5501Template de desconto percentual FLAT Móvel - Conta Total - Varejo - Ganho Tributário Cross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>
            <v>0.55010000000000003</v>
          </cell>
          <cell r="E1301" t="str">
            <v>MKT-1-10033203491</v>
          </cell>
          <cell r="F1301" t="str">
            <v>0T3T_PAI17_PCS-4P8pi_FLAT_MÓVEL_GT_55.01%</v>
          </cell>
          <cell r="G1301">
            <v>55.01</v>
          </cell>
        </row>
        <row r="1302">
          <cell r="A1302" t="str">
            <v>Oi Total Fixo + Pós Conectado 500 + Banda Larga0.6509Template de desconto percentual FLAT Móvel - Conta Total - Varejo - Ganho Tributário Cross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>
            <v>0.65090000000000003</v>
          </cell>
          <cell r="E1302" t="str">
            <v>MKT-1-10033203701</v>
          </cell>
          <cell r="F1302" t="str">
            <v>0T3T_PAI17_PCS-4P8pi_FLAT_MÓVEL_GT_65.09%</v>
          </cell>
          <cell r="G1302">
            <v>65.09</v>
          </cell>
        </row>
        <row r="1303">
          <cell r="A1303" t="str">
            <v>Oi Total Fixo + Pós Conectado 500 + Banda Larga0.7729Template de desconto percentual FLAT Móvel - Conta Total - Varejo - Ganho Tributário Cross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>
            <v>0.77290000000000003</v>
          </cell>
          <cell r="E1303" t="str">
            <v>MKT-1-10033218541</v>
          </cell>
          <cell r="F1303" t="str">
            <v>0T3T_PAI17_PCS-4P8pi_FLAT_MÓVEL_GT_77.29%.</v>
          </cell>
          <cell r="G1303">
            <v>77.290000000000006</v>
          </cell>
        </row>
        <row r="1304">
          <cell r="A1304" t="str">
            <v>Oi Total Fixo + Pós Conectado 500 + Banda Larga0.6232Template de desconto percentual FLAT Móvel - Conta Total - Varejo - Ganho Tributário Cross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>
            <v>0.62319999999999998</v>
          </cell>
          <cell r="E1304" t="str">
            <v>MKT-1-10033218811</v>
          </cell>
          <cell r="F1304" t="str">
            <v>0T3T_PAI17_PCS-4P8pi_FLAT_MÓVEL_GT_62.32%</v>
          </cell>
          <cell r="G1304">
            <v>62.32</v>
          </cell>
        </row>
        <row r="1305">
          <cell r="A1305" t="str">
            <v>Oi Total Fixo + Pós Conectado 500 + Banda Larga0.5611Template de desconto percentual FLAT Móvel - Conta Total - Varejo - Ganho Tributário Cross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>
            <v>0.56110000000000004</v>
          </cell>
          <cell r="E1305" t="str">
            <v>MKT-1-10033219021</v>
          </cell>
          <cell r="F1305" t="str">
            <v>0T3T_PAI17_PCS-4P8pi_FLAT_MÓVEL_GT_56.11%</v>
          </cell>
          <cell r="G1305">
            <v>56.11</v>
          </cell>
        </row>
        <row r="1306">
          <cell r="A1306" t="str">
            <v>Oi Total Fixo + Pós Conectado 500 + Banda Larga0.5103Template de desconto percentual FLAT Móvel - Conta Total - Varejo - Ganho Tributário Cross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>
            <v>0.51029999999999998</v>
          </cell>
          <cell r="E1306" t="str">
            <v>MKT-1-10033219231</v>
          </cell>
          <cell r="F1306" t="str">
            <v>0T3T_PAI17_PCS-4P8pi_FLAT_MÓVEL_GT_51.03%</v>
          </cell>
          <cell r="G1306">
            <v>51.03</v>
          </cell>
        </row>
        <row r="1307">
          <cell r="A1307" t="str">
            <v>Oi Total Fixo + Pós Conectado 500 + Banda Larga0.7314Template de desconto percentual FLAT Móvel - Conta Total - Varejo - Ganho Tributário Cross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>
            <v>0.73140000000000005</v>
          </cell>
          <cell r="E1307" t="str">
            <v>MKT-1-10033314911</v>
          </cell>
          <cell r="F1307" t="str">
            <v>0T3T_PAI17_PCS-4P8pi_FLAT_MÓVEL_GT_73.14%</v>
          </cell>
          <cell r="G1307">
            <v>73.14</v>
          </cell>
        </row>
        <row r="1308">
          <cell r="A1308" t="str">
            <v>Oi Total Fixo + Pós Conectado 500 + Banda Larga0.6971Template de desconto percentual FLAT Móvel - Conta Total - Varejo - Ganho Tributário Cross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>
            <v>0.69709999999999994</v>
          </cell>
          <cell r="E1308" t="str">
            <v>MKT-1-10033322031</v>
          </cell>
          <cell r="F1308" t="str">
            <v>0T3T_PAI17_PCS-4P8pi_FLAT_MÓVEL_GT_69.71%</v>
          </cell>
          <cell r="G1308">
            <v>69.709999999999994</v>
          </cell>
        </row>
        <row r="1309">
          <cell r="A1309" t="str">
            <v>Oi Total Fixo + Pós Conectado 500 + Banda Larga0.6573Template de desconto percentual FLAT Móvel - Conta Total - Varejo - Ganho Tributário Cross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>
            <v>0.6573</v>
          </cell>
          <cell r="E1309" t="str">
            <v>MKT-1-10033334561</v>
          </cell>
          <cell r="F1309" t="str">
            <v>0T3T_PAI17_PCS-4P8pi_FLAT_MÓVEL_GT_65.73%</v>
          </cell>
          <cell r="G1309">
            <v>65.73</v>
          </cell>
        </row>
        <row r="1310">
          <cell r="A1310" t="str">
            <v>Oi Total Fixo + Pós Conectado 500 + Banda Larga0.6112Template de desconto percentual FLAT Móvel - Conta Total - Varejo - Ganho Tributário Cross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>
            <v>0.61119999999999997</v>
          </cell>
          <cell r="E1310" t="str">
            <v>MKT-1-10033334771</v>
          </cell>
          <cell r="F1310" t="str">
            <v>0T3T_PAI17_PCS-4P8pi_FLAT_MÓVEL_GT_61.12%</v>
          </cell>
          <cell r="G1310">
            <v>61.12</v>
          </cell>
        </row>
        <row r="1311">
          <cell r="A1311" t="str">
            <v>Oi Total Fixo + Pós Conectado 500 + Banda Larga0.5038Template de desconto percentual FLAT Móvel - Conta Total - Varejo - Ganho Tributário Cross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>
            <v>0.50380000000000003</v>
          </cell>
          <cell r="E1311" t="str">
            <v>MKT-1-10033335021</v>
          </cell>
          <cell r="F1311" t="str">
            <v>0T3T_PAI17_PCS-4P8pi_FLAT_MÓVEL_GT_50.38%</v>
          </cell>
          <cell r="G1311">
            <v>50.38</v>
          </cell>
        </row>
        <row r="1312">
          <cell r="A1312" t="str">
            <v>Oi Total Fixo + Pós Conectado 500 + Banda Larga0.6397Template de desconto percentual FLAT Móvel - Conta Total - Varejo - Ganho Tributário Cross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>
            <v>0.63969999999999994</v>
          </cell>
          <cell r="E1312" t="str">
            <v>MKT-1-10033338311</v>
          </cell>
          <cell r="F1312" t="str">
            <v>0T3T_PAI17_PCS-4P8pi_FLAT_MÓVEL_GT_63.97%</v>
          </cell>
          <cell r="G1312">
            <v>63.97</v>
          </cell>
        </row>
        <row r="1313">
          <cell r="A1313" t="str">
            <v>Oi Total Fixo + Pós Conectado 500 + Banda Larga0.5963Template de desconto percentual FLAT Móvel - Conta Total - Varejo - Ganho Tributário Cross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>
            <v>0.59630000000000005</v>
          </cell>
          <cell r="E1313" t="str">
            <v>MKT-1-10033338781</v>
          </cell>
          <cell r="F1313" t="str">
            <v>0T3T_PAI17_PCS-4P8pi_FLAT_MÓVEL_GT_59.63%</v>
          </cell>
          <cell r="G1313">
            <v>59.63</v>
          </cell>
        </row>
        <row r="1314">
          <cell r="A1314" t="str">
            <v>Oi Total Fixo + Pós Conectado 500 + Banda Larga0.6169Template de desconto percentual FLAT Móvel - Conta Total - Varejo - Ganho Tributário Cross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>
            <v>0.6169</v>
          </cell>
          <cell r="E1314" t="str">
            <v>MKT-1-10033355541</v>
          </cell>
          <cell r="F1314" t="str">
            <v>0T3T_PAI17_PCS-4P8pi_FLAT_MÓVEL_GT_61.69%</v>
          </cell>
          <cell r="G1314">
            <v>61.69</v>
          </cell>
        </row>
        <row r="1315">
          <cell r="A1315" t="str">
            <v>Oi Total Fixo + Pós Conectado 500 + Banda Larga0.7082Template de desconto percentual FLAT Móvel - Conta Total - Varejo - Ganho Tributário Cross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>
            <v>0.70819999999999994</v>
          </cell>
          <cell r="E1315" t="str">
            <v>MKT-1-10033355881</v>
          </cell>
          <cell r="F1315" t="str">
            <v>0T3T_PAI17_PCS-4P8pi_FLAT_MÓVEL_GT_70.82%</v>
          </cell>
          <cell r="G1315">
            <v>70.819999999999993</v>
          </cell>
        </row>
        <row r="1316">
          <cell r="A1316" t="str">
            <v>Oi Total Fixo + Pós Conectado 500 + Banda Larga0.6621Template de desconto percentual FLAT Móvel - Conta Total - Varejo - Ganho Tributário Cross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>
            <v>0.66209999999999991</v>
          </cell>
          <cell r="E1316" t="str">
            <v>MKT-1-10033356171</v>
          </cell>
          <cell r="F1316" t="str">
            <v>0T3T_PAI17_PCS-4P8pi_FLAT_MÓVEL_GT_66.21%</v>
          </cell>
          <cell r="G1316">
            <v>66.209999999999994</v>
          </cell>
        </row>
        <row r="1317">
          <cell r="A1317" t="str">
            <v>Oi Total Fixo + Pós Conectado Mais + Banda Larga0.7087Template de desconto percentual FLAT Móvel - Conta Total - Varejo - Ganho Tributário Cross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>
            <v>0.7087</v>
          </cell>
          <cell r="E1317" t="str">
            <v>MKT-1-10033417281</v>
          </cell>
          <cell r="F1317" t="str">
            <v>0T3T_PAI17_PCS-4P9pi_FLAT_MÓVEL_GT_70.87%</v>
          </cell>
          <cell r="G1317">
            <v>70.87</v>
          </cell>
        </row>
        <row r="1318">
          <cell r="A1318" t="str">
            <v>Oi Total Fixo + Pós Conectado 500 + Banda Larga0.5723Template de desconto percentual FLAT Móvel - Conta Total - Varejo - Ganho Tributário Cross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>
            <v>0.57229999999999992</v>
          </cell>
          <cell r="E1318" t="str">
            <v>MKT-1-10033420451</v>
          </cell>
          <cell r="F1318" t="str">
            <v>0T3T_PAI17_PCS-4P8pi_FLAT_MÓVEL_GT_57.23%</v>
          </cell>
          <cell r="G1318">
            <v>57.23</v>
          </cell>
        </row>
        <row r="1319">
          <cell r="A1319" t="str">
            <v>Oi Total Fixo + Pós Conectado Mais + Banda Larga0.6781Template de desconto percentual FLAT Móvel - Conta Total - Varejo - Ganho Tributário Cross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>
            <v>0.67810000000000004</v>
          </cell>
          <cell r="E1319" t="str">
            <v>MKT-1-10033420671</v>
          </cell>
          <cell r="F1319" t="str">
            <v>0T3T_PAI17_PCS-4P9pi_FLAT_MÓVEL_GT_67.81%</v>
          </cell>
          <cell r="G1319">
            <v>67.81</v>
          </cell>
        </row>
        <row r="1320">
          <cell r="A1320" t="str">
            <v>Oi Total Fixo + Pós Conectado 500 + Banda Larga0.453Template de desconto percentual FLAT Móvel - Conta Total - Varejo - Ganho Tributário Cross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>
            <v>0.45299999999999996</v>
          </cell>
          <cell r="E1320" t="str">
            <v>MKT-1-10033443451</v>
          </cell>
          <cell r="F1320" t="str">
            <v>0T3T_PAI17_PCS-4P8pi_FLAT_MÓVEL_GT_45.30%</v>
          </cell>
          <cell r="G1320">
            <v>45.3</v>
          </cell>
        </row>
        <row r="1321">
          <cell r="A1321" t="str">
            <v>Oi Total Fixo + Pós Conectado Mais + Banda Larga0.7309Template de desconto percentual FLAT Móvel - Conta Total - Varejo - Ganho Tributário Cross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>
            <v>0.73089999999999999</v>
          </cell>
          <cell r="E1321" t="str">
            <v>MKT-1-10033443661</v>
          </cell>
          <cell r="F1321" t="str">
            <v>0T3T_PAI17_PCS-4P9pi_FLAT_MÓVEL_GT_73.09%</v>
          </cell>
          <cell r="G1321">
            <v>73.09</v>
          </cell>
        </row>
        <row r="1322">
          <cell r="A1322" t="str">
            <v>Oi Total Fixo + Pós Conectado Mais + Banda Larga0.7562Template de desconto percentual FLAT Móvel - Conta Total - Varejo - Ganho Tributário Cross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>
            <v>0.75620000000000009</v>
          </cell>
          <cell r="E1322" t="str">
            <v>MKT-1-10033443871</v>
          </cell>
          <cell r="F1322" t="str">
            <v>0T3T_PAI17_PCS-4P9pi_FLAT_MÓVEL_GT_75.62%</v>
          </cell>
          <cell r="G1322">
            <v>75.62</v>
          </cell>
        </row>
        <row r="1323">
          <cell r="A1323" t="str">
            <v>Oi Total Fixo + Pós Conectado Mais + Banda Larga0.7302Template de desconto percentual FLAT Móvel - Conta Total - Varejo - Ganho Tributário Cross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>
            <v>0.73019999999999996</v>
          </cell>
          <cell r="E1323" t="str">
            <v>MKT-1-10033444081</v>
          </cell>
          <cell r="F1323" t="str">
            <v>0T3T_PAI17_PCS-4P9pi_FLAT_MÓVEL_GT_73.02%</v>
          </cell>
          <cell r="G1323">
            <v>73.02</v>
          </cell>
        </row>
        <row r="1324">
          <cell r="A1324" t="str">
            <v>Oi Total Fixo + Pós Conectado Mais + Banda Larga0.6455Template de desconto percentual FLAT Móvel - Conta Total - Varejo - Ganho Tributário Cross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>
            <v>0.64549999999999996</v>
          </cell>
          <cell r="E1324" t="str">
            <v>MKT-1-10033444291</v>
          </cell>
          <cell r="F1324" t="str">
            <v>0T3T_PAI17_PCS-4P9pi_FLAT_MÓVEL_GT_64.55%</v>
          </cell>
          <cell r="G1324">
            <v>64.55</v>
          </cell>
        </row>
        <row r="1325">
          <cell r="A1325" t="str">
            <v>Oi Total Fixo + Pós Conectado Mais + Banda Larga0.6727Template de desconto percentual FLAT Móvel - Conta Total - Varejo - Ganho Tributário Cross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>
            <v>0.67269999999999996</v>
          </cell>
          <cell r="E1325" t="str">
            <v>MKT-1-10033460561</v>
          </cell>
          <cell r="F1325" t="str">
            <v>0T3T_PAI17_PCS-4P9pi_FLAT_MÓVEL_GT_67.27%</v>
          </cell>
          <cell r="G1325">
            <v>67.27</v>
          </cell>
        </row>
        <row r="1326">
          <cell r="A1326" t="str">
            <v>Oi Total Fixo + Pós Conectado Mais + Banda Larga0.6537Template de desconto percentual FLAT Móvel - Conta Total - Varejo - Ganho Tributário Cross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>
            <v>0.65370000000000006</v>
          </cell>
          <cell r="E1326" t="str">
            <v>MKT-1-10033461241</v>
          </cell>
          <cell r="F1326" t="str">
            <v>0T3T_PAI17_PCS-4P9pi_FLAT_MÓVEL_GT_65.37%</v>
          </cell>
          <cell r="G1326">
            <v>65.37</v>
          </cell>
        </row>
        <row r="1327">
          <cell r="A1327" t="str">
            <v>Oi Total Fixo + Pós Conectado Mais + Banda Larga0.6817Template de desconto percentual FLAT Móvel - Conta Total - Varejo - Ganho Tributário Cross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>
            <v>0.68169999999999997</v>
          </cell>
          <cell r="E1327" t="str">
            <v>MKT-1-10033466501</v>
          </cell>
          <cell r="F1327" t="str">
            <v>0T3T_PAI17_PCS-4P9pi_FLAT_MÓVEL_GT_68.17%</v>
          </cell>
          <cell r="G1327">
            <v>68.17</v>
          </cell>
        </row>
        <row r="1328">
          <cell r="A1328" t="str">
            <v>Oi Total Fixo + Pós Conectado Mais + Banda Larga0.707Template de desconto percentual FLAT Móvel - Conta Total - Varejo - Ganho Tributário Cross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>
            <v>0.70700000000000007</v>
          </cell>
          <cell r="E1328" t="str">
            <v>MKT-1-10033466711</v>
          </cell>
          <cell r="F1328" t="str">
            <v>0T3T_PAI17_PCS-4P9pi_FLAT_MÓVEL_GT_70.70%</v>
          </cell>
          <cell r="G1328">
            <v>70.7</v>
          </cell>
        </row>
        <row r="1329">
          <cell r="A1329" t="str">
            <v>Oi Total Fixo + Pós Conectado Mais + Banda Larga0.5789Template de desconto percentual FLAT Móvel - Conta Total - Varejo - Ganho Tributário Cross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>
            <v>0.57889999999999997</v>
          </cell>
          <cell r="E1329" t="str">
            <v>MKT-1-10033466921</v>
          </cell>
          <cell r="F1329" t="str">
            <v>0T3T_PAI17_PCS-4P9pi_FLAT_MÓVEL_GT_57.89%</v>
          </cell>
          <cell r="G1329">
            <v>57.89</v>
          </cell>
        </row>
        <row r="1330">
          <cell r="A1330" t="str">
            <v>Oi Total Fixo + Pós Conectado 1.000 + Banda Larga0.7752Template de desconto percentual FLAT Móvel - Conta Total - Varejo - Ganho Tributário Cross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>
            <v>0.7752</v>
          </cell>
          <cell r="E1330" t="str">
            <v>MKT-1-10033467131</v>
          </cell>
          <cell r="F1330" t="str">
            <v>0T3T_PAI17_PCS-4P10pi_FLAT_MÓVEL_GT_77.52%</v>
          </cell>
          <cell r="G1330">
            <v>77.52</v>
          </cell>
        </row>
        <row r="1331">
          <cell r="A1331" t="str">
            <v>Oi Total Fixo + Pós Conectado Mais + Banda Larga0.6148Template de desconto percentual FLAT Móvel - Conta Total - Varejo - Ganho Tributário Cross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>
            <v>0.61480000000000001</v>
          </cell>
          <cell r="E1331" t="str">
            <v>MKT-1-10033477551</v>
          </cell>
          <cell r="F1331" t="str">
            <v>0T3T_PAI17_PCS-4P9pi_FLAT_MÓVEL_GT_61.48%</v>
          </cell>
          <cell r="G1331">
            <v>61.48</v>
          </cell>
        </row>
        <row r="1332">
          <cell r="A1332" t="str">
            <v>Oi Total Fixo + Pós Conectado 1.000 + Banda Larga0.7404Template de desconto percentual FLAT Móvel - Conta Total - Varejo - Ganho Tributário Cross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>
            <v>0.74040000000000006</v>
          </cell>
          <cell r="E1332" t="str">
            <v>MKT-1-10033494431</v>
          </cell>
          <cell r="F1332" t="str">
            <v>0T3T_PAI17_PCS-4P10pi_FLAT_MÓVEL_GT_74.04%</v>
          </cell>
          <cell r="G1332">
            <v>74.040000000000006</v>
          </cell>
        </row>
        <row r="1333">
          <cell r="A1333" t="str">
            <v>Oi Total Fixo + Pós Conectado 1.000 + Banda Larga0.8072Template de desconto percentual FLAT Móvel - Conta Total - Varejo - Ganho Tributário Cross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>
            <v>0.80720000000000003</v>
          </cell>
          <cell r="E1333" t="str">
            <v>MKT-1-10033494831</v>
          </cell>
          <cell r="F1333" t="str">
            <v>0T3T_PAI17_PCS-4P10pi_FLAT_MÓVEL_GT_80.72%</v>
          </cell>
          <cell r="G1333">
            <v>80.72</v>
          </cell>
        </row>
        <row r="1334">
          <cell r="A1334" t="str">
            <v>Oi Total Fixo + Pós Conectado 1.000 + Banda Larga0.7396Template de desconto percentual FLAT Móvel - Conta Total - Varejo - Ganho Tributário Cross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>
            <v>0.73959999999999992</v>
          </cell>
          <cell r="E1334" t="str">
            <v>MKT-1-10033504761</v>
          </cell>
          <cell r="F1334" t="str">
            <v>0T3T_PAI17_PCS-4P10pi_FLAT_MÓVEL_GT_73.96%</v>
          </cell>
          <cell r="G1334">
            <v>73.959999999999994</v>
          </cell>
        </row>
        <row r="1335">
          <cell r="A1335" t="str">
            <v>Oi Total Fixo + Pós Conectado 1.000 + Banda Larga0.7488Template de desconto percentual FLAT Móvel - Conta Total - Varejo - Ganho Tributário Cross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>
            <v>0.74879999999999991</v>
          </cell>
          <cell r="E1335" t="str">
            <v>MKT-1-10033505161</v>
          </cell>
          <cell r="F1335" t="str">
            <v>0T3T_PAI17_PCS-4P10pi_FLAT_MÓVEL_GT_74.88%</v>
          </cell>
          <cell r="G1335">
            <v>74.88</v>
          </cell>
        </row>
        <row r="1336">
          <cell r="A1336" t="str">
            <v>Oi Total Fixo + Pós Conectado 1.000 + Banda Larga0.6711Template de desconto percentual FLAT Móvel - Conta Total - Varejo - Ganho Tributário Cross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>
            <v>0.67110000000000003</v>
          </cell>
          <cell r="E1336" t="str">
            <v>MKT-1-10033507341</v>
          </cell>
          <cell r="F1336" t="str">
            <v>0T3T_PAI17_PCS-4P10pi_FLAT_MÓVEL_GT_67.11%</v>
          </cell>
          <cell r="G1336">
            <v>67.11</v>
          </cell>
        </row>
        <row r="1337">
          <cell r="A1337" t="str">
            <v>Oi Total Fixo + Pós Conectado 1.000 + Banda Larga0.7573Template de desconto percentual FLAT Móvel - Conta Total - Varejo - Ganho Tributário Cross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>
            <v>0.75730000000000008</v>
          </cell>
          <cell r="E1337" t="str">
            <v>MKT-1-10033507601</v>
          </cell>
          <cell r="F1337" t="str">
            <v>0T3T_PAI17_PCS-4P10pi_FLAT_MÓVEL_GT_75.73%</v>
          </cell>
          <cell r="G1337">
            <v>75.73</v>
          </cell>
        </row>
        <row r="1338">
          <cell r="A1338" t="str">
            <v>Oi Total Fixo + Pós Conectado 1.000 + Banda Larga0.7181Template de desconto percentual FLAT Móvel - Conta Total - Varejo - Ganho Tributário Cross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>
            <v>0.71810000000000007</v>
          </cell>
          <cell r="E1338" t="str">
            <v>MKT-1-10033507815</v>
          </cell>
          <cell r="F1338" t="str">
            <v>0T3T_PAI17_PCS-4P10pi_FLAT_MÓVEL_GT_71.81%</v>
          </cell>
          <cell r="G1338">
            <v>71.81</v>
          </cell>
        </row>
        <row r="1339">
          <cell r="A1339" t="str">
            <v>Oi Total Fixo + Pós Conectado 1.000 + Banda Larga0.7218Template de desconto percentual FLAT Móvel - Conta Total - Varejo - Ganho Tributário Cross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>
            <v>0.72180000000000011</v>
          </cell>
          <cell r="E1339" t="str">
            <v>MKT-1-10033508021</v>
          </cell>
          <cell r="F1339" t="str">
            <v>0T3T_PAI17_PCS-4P10pi_FLAT_MÓVEL_GT_72.18%</v>
          </cell>
          <cell r="G1339">
            <v>72.180000000000007</v>
          </cell>
        </row>
        <row r="1340">
          <cell r="A1340" t="str">
            <v>Oi Total Fixo + Pós Conectado 1.000 + Banda Larga0.5607Template de desconto percentual FLAT Móvel - Conta Total - Varejo - Ganho Tributário Cross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>
            <v>0.56069999999999998</v>
          </cell>
          <cell r="E1340" t="str">
            <v>MKT-1-10033508236</v>
          </cell>
          <cell r="F1340" t="str">
            <v>0T3T_PAI17_PCS-4P10pi_FLAT_MÓVEL_GT_56.07%</v>
          </cell>
          <cell r="G1340">
            <v>56.07</v>
          </cell>
        </row>
        <row r="1341">
          <cell r="A1341" t="str">
            <v>Oi Total Fixo + Pós Conectado 1.000 + Banda Larga0.7045Template de desconto percentual FLAT Móvel - Conta Total - Varejo - Ganho Tributário Cross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>
            <v>0.70450000000000002</v>
          </cell>
          <cell r="E1341" t="str">
            <v>MKT-1-10033517571</v>
          </cell>
          <cell r="F1341" t="str">
            <v>0T3T_PAI17_PCS-4P10pi_FLAT_MÓVEL_GT_70.45%</v>
          </cell>
          <cell r="G1341">
            <v>70.45</v>
          </cell>
        </row>
        <row r="1342">
          <cell r="A1342" t="str">
            <v>Oi Total Fixo + Pós Conectado 1.000 + Banda Larga0.687Template de desconto percentual FLAT Móvel - Conta Total - Varejo - Ganho Tributário Cross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>
            <v>0.68700000000000006</v>
          </cell>
          <cell r="E1342" t="str">
            <v>MKT-1-10033518121</v>
          </cell>
          <cell r="F1342" t="str">
            <v>0T3T_PAI17_PCS-4P10pi_FLAT_MÓVEL_GT_68.70%</v>
          </cell>
          <cell r="G1342">
            <v>68.7</v>
          </cell>
        </row>
        <row r="1343">
          <cell r="A1343" t="str">
            <v>Oi Total Fixo + Pós Conectado 1.000 + Banda Larga0.6826Template de desconto percentual FLAT Móvel - Conta Total - Varejo - Ganho Tributário Cross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>
            <v>0.6826000000000001</v>
          </cell>
          <cell r="E1343" t="str">
            <v>MKT-1-10033574341</v>
          </cell>
          <cell r="F1343" t="str">
            <v>0T3T_PAI17_PCS-4P10pi_FLAT_MÓVEL_GT_68.26%</v>
          </cell>
          <cell r="G1343">
            <v>68.260000000000005</v>
          </cell>
        </row>
        <row r="1344">
          <cell r="A1344" t="str">
            <v>Oi Total Fixo + Pós Conectado 1.000 + Banda Larga0.6918Template de desconto percentual FLAT Móvel - Conta Total - Varejo - Ganho Tributário Cross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>
            <v>0.69180000000000008</v>
          </cell>
          <cell r="E1344" t="str">
            <v>MKT-1-10033574551</v>
          </cell>
          <cell r="F1344" t="str">
            <v>0T3T_PAI17_PCS-4P10pi_FLAT_MÓVEL_GT_69.18%</v>
          </cell>
          <cell r="G1344">
            <v>69.180000000000007</v>
          </cell>
        </row>
        <row r="1345">
          <cell r="A1345" t="str">
            <v>Oi Total Fixo + Pós Conectado 1.000 + Banda Larga0.6526Template de desconto percentual FLAT Móvel - Conta Total - Varejo - Ganho Tributário Cross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>
            <v>0.65260000000000007</v>
          </cell>
          <cell r="E1345" t="str">
            <v>MKT-1-10033574771</v>
          </cell>
          <cell r="F1345" t="str">
            <v>0T3T_PAI17_PCS-4P10pi_FLAT_MÓVEL_GT_65.26%</v>
          </cell>
          <cell r="G1345">
            <v>65.260000000000005</v>
          </cell>
        </row>
        <row r="1346">
          <cell r="A1346" t="str">
            <v>Oi Total Fixo + Pós Conectado 1.000 + Banda Larga0.644Template de desconto percentual FLAT Móvel - Conta Total - Varejo - Ganho Tributário Cross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>
            <v>0.64400000000000002</v>
          </cell>
          <cell r="E1346" t="str">
            <v>MKT-1-10033574981</v>
          </cell>
          <cell r="F1346" t="str">
            <v>0T3T_PAI17_PCS-4P10pi_FLAT_MÓVEL_GT_64.40%</v>
          </cell>
          <cell r="G1346">
            <v>64.400000000000006</v>
          </cell>
        </row>
        <row r="1347">
          <cell r="A1347" t="str">
            <v>Oi Total Fixo + Pós Conectado 1.000 + Banda Larga0.5999Template de desconto percentual FLAT Móvel - Conta Total - Varejo - Ganho Tributário Cross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>
            <v>0.59989999999999999</v>
          </cell>
          <cell r="E1347" t="str">
            <v>MKT-1-10033575191</v>
          </cell>
          <cell r="F1347" t="str">
            <v>0T3T_PAI17_PCS-4P10pi_FLAT_MÓVEL_GT_59.99%</v>
          </cell>
          <cell r="G1347">
            <v>59.99</v>
          </cell>
        </row>
        <row r="1348">
          <cell r="A1348" t="str">
            <v>Oi Total Fixo + Pós Conectado 1.000 + Banda Larga0.6048Template de desconto percentual FLAT Móvel - Conta Total - Varejo - Ganho Tributário Cross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>
            <v>0.6048</v>
          </cell>
          <cell r="E1348" t="str">
            <v>MKT-1-10033622401</v>
          </cell>
          <cell r="F1348" t="str">
            <v>0T3T_PAI17_PCS-4P10pi_FLAT_MÓVEL_GT_60.48%</v>
          </cell>
          <cell r="G1348">
            <v>60.48</v>
          </cell>
        </row>
        <row r="1349">
          <cell r="A1349" t="str">
            <v>Oi Total Fixo + Pós 50 + Banda Larga0.4388Template de desconto percentual FLAT Móvel - Conta Total - Varejo - Ganho Tributário Cross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>
            <v>0.43880000000000002</v>
          </cell>
          <cell r="E1349" t="str">
            <v>MKT-1-10033622611</v>
          </cell>
          <cell r="F1349" t="str">
            <v>0T3T_PAI17_PCS-4P2pi_FLAT_MÓVEL_GT_43.88%</v>
          </cell>
          <cell r="G1349">
            <v>43.88</v>
          </cell>
        </row>
        <row r="1350">
          <cell r="A1350" t="str">
            <v>Oi Total Fixo + Pós 50 + Banda Larga0.3363Template de desconto percentual FLAT Móvel - Conta Total - Varejo - Ganho Tributário Cross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>
            <v>0.33630000000000004</v>
          </cell>
          <cell r="E1350" t="str">
            <v>MKT-1-10033622821</v>
          </cell>
          <cell r="F1350" t="str">
            <v>0T3T_PAI17_PCS-4P2pi_FLAT_MÓVEL_GT_33.63%</v>
          </cell>
          <cell r="G1350">
            <v>33.630000000000003</v>
          </cell>
        </row>
        <row r="1351">
          <cell r="A1351" t="str">
            <v>Oi Total Fixo + Pós 50 + Banda Larga0.2516Template de desconto percentual FLAT Móvel - Conta Total - Varejo - Ganho Tributário Cross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>
            <v>0.25159999999999999</v>
          </cell>
          <cell r="E1351" t="str">
            <v>MKT-1-10033623031</v>
          </cell>
          <cell r="F1351" t="str">
            <v>0T3T_PAI17_PCS-4P2pi_FLAT_MÓVEL_GT_25.16%</v>
          </cell>
          <cell r="G1351">
            <v>25.16</v>
          </cell>
        </row>
        <row r="1352">
          <cell r="A1352" t="str">
            <v>Oi Total Fixo + Pós 50 + Banda Larga0.1533Template de desconto percentual FLAT Móvel - Conta Total - Varejo - Ganho Tributário Cross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>
            <v>0.15329999999999999</v>
          </cell>
          <cell r="E1352" t="str">
            <v>MKT-1-10033623241</v>
          </cell>
          <cell r="F1352" t="str">
            <v>0T3T_PAI17_PCS-4P2pi_FLAT_MÓVEL_GT_15.33%</v>
          </cell>
          <cell r="G1352">
            <v>15.33</v>
          </cell>
        </row>
        <row r="1353">
          <cell r="A1353" t="str">
            <v>Oi Total Fixo + Pós 50 + Banda Larga0.1096Template de desconto percentual FLAT Móvel - Conta Total - Varejo - Ganho Tributário Cross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>
            <v>0.1096</v>
          </cell>
          <cell r="E1353" t="str">
            <v>MKT-1-10033627441</v>
          </cell>
          <cell r="F1353" t="str">
            <v>0T3T_PAI17_PCS-4P2pi_FLAT_MÓVEL_GT_10.96%</v>
          </cell>
          <cell r="G1353">
            <v>10.96</v>
          </cell>
        </row>
        <row r="1354">
          <cell r="A1354" t="str">
            <v>Oi Total Fixo + Pós 50 + Banda Larga0.2248Template de desconto percentual FLAT Móvel - Conta Total - Varejo - Ganho Tributário Cross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>
            <v>0.2248</v>
          </cell>
          <cell r="E1354" t="str">
            <v>MKT-1-10033627656</v>
          </cell>
          <cell r="F1354" t="str">
            <v>0T3T_PAI17_PCS-4P2pi_FLAT_MÓVEL_GT_22.48%</v>
          </cell>
          <cell r="G1354">
            <v>22.48</v>
          </cell>
        </row>
        <row r="1355">
          <cell r="A1355" t="str">
            <v>Oi Total Fixo + Pós 50 + Banda Larga0.2789Template de desconto percentual FLAT Móvel - Conta Total - Varejo - Ganho Tributário Cross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>
            <v>0.27889999999999998</v>
          </cell>
          <cell r="E1355" t="str">
            <v>MKT-1-10033627861</v>
          </cell>
          <cell r="F1355" t="str">
            <v>0T3T_PAI17_PCS-4P2pi_FLAT_MÓVEL_GT_27.89%</v>
          </cell>
          <cell r="G1355">
            <v>27.89</v>
          </cell>
        </row>
        <row r="1356">
          <cell r="A1356" t="str">
            <v>Oi Total Fixo + Pós 50 + Banda Larga0.165Template de desconto percentual FLAT Móvel - Conta Total - Varejo - Ganho Tributário Cross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>
            <v>0.16500000000000001</v>
          </cell>
          <cell r="E1356" t="str">
            <v>MKT-1-10033628071</v>
          </cell>
          <cell r="F1356" t="str">
            <v>0T3T_PAI17_PCS-4P2pi_FLAT_MÓVEL_GT_16.50%</v>
          </cell>
          <cell r="G1356">
            <v>16.5</v>
          </cell>
        </row>
        <row r="1357">
          <cell r="A1357" t="str">
            <v>Oi Total Fixo + Pós 50 + Banda Larga0.0394Template de desconto percentual FLAT Móvel - Conta Total - Varejo - Ganho Tributário Cross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>
            <v>3.9399999999999998E-2</v>
          </cell>
          <cell r="E1357" t="str">
            <v>MKT-1-10033628281</v>
          </cell>
          <cell r="F1357" t="str">
            <v>0T3T_PAI17_PCS-4P2pi_FLAT_MÓVEL_GT_03.94%</v>
          </cell>
          <cell r="G1357">
            <v>3.94</v>
          </cell>
        </row>
        <row r="1358">
          <cell r="A1358" t="str">
            <v>Oi Total Fixo + Pós 50 + Banda Larga0.1717Template de desconto percentual FLAT Móvel - Conta Total - Varejo - Ganho Tributário Cross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>
            <v>0.17170000000000002</v>
          </cell>
          <cell r="E1358" t="str">
            <v>MKT-1-10033650451</v>
          </cell>
          <cell r="F1358" t="str">
            <v>0T3T_PAI17_PCS-4P2pi_FLAT_MÓVEL_GT_17.17%</v>
          </cell>
          <cell r="G1358">
            <v>17.170000000000002</v>
          </cell>
        </row>
        <row r="1359">
          <cell r="A1359" t="str">
            <v>Oi Total Fixo + Pós 50 + Banda Larga0.1439Template de desconto percentual FLAT Móvel - Conta Total - Varejo - Ganho Tributário Cross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>
            <v>0.1439</v>
          </cell>
          <cell r="E1359" t="str">
            <v>MKT-1-10033650661</v>
          </cell>
          <cell r="F1359" t="str">
            <v>0T3T_PAI17_PCS-4P2pi_FLAT_MÓVEL_GT_14.39%</v>
          </cell>
          <cell r="G1359">
            <v>14.39</v>
          </cell>
        </row>
        <row r="1360">
          <cell r="A1360" t="str">
            <v>Oi Total Fixo + Pós 50 + Banda Larga0.0183Template de desconto percentual FLAT Móvel - Conta Total - Varejo - Ganho Tributário Cross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>
            <v>1.83E-2</v>
          </cell>
          <cell r="E1360" t="str">
            <v>MKT-1-10033651031</v>
          </cell>
          <cell r="F1360" t="str">
            <v>0T3T_PAI17_PCS-4P2pi_FLAT_MÓVEL_GT_01.83%.</v>
          </cell>
          <cell r="G1360">
            <v>1.83</v>
          </cell>
        </row>
        <row r="1361">
          <cell r="A1361" t="str">
            <v>Oi Total Fixo + Pós 50 + Banda Larga0.0024Template de desconto percentual FLAT Móvel - Conta Total - Varejo - Ganho Tributário Cross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>
            <v>2.3999999999999998E-3</v>
          </cell>
          <cell r="E1361" t="str">
            <v>MKT-1-10033651246</v>
          </cell>
          <cell r="F1361" t="str">
            <v>0T3T_PAI17_PCS-4P2pi_FLAT_MÓVEL_GT_00.24%</v>
          </cell>
          <cell r="G1361">
            <v>0.24</v>
          </cell>
        </row>
        <row r="1362">
          <cell r="A1362" t="str">
            <v>Oi Total Fixo + Pós 50 + Banda Larga0.0689Template de desconto percentual FLAT Móvel - Conta Total - Varejo - Ganho Tributário Cross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>
            <v>6.8900000000000003E-2</v>
          </cell>
          <cell r="E1362" t="str">
            <v>MKT-1-10033656491</v>
          </cell>
          <cell r="F1362" t="str">
            <v>0T3T_PAI17_PCS-4P2pi_FLAT_MÓVEL_GT_06.89%</v>
          </cell>
          <cell r="G1362">
            <v>6.89</v>
          </cell>
        </row>
        <row r="1363">
          <cell r="A1363" t="str">
            <v>Oi Total Fixo + Pós 50 + Banda Larga0.1052Template de desconto percentual FLAT Móvel - Conta Total - Varejo - Ganho Tributário Cross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>
            <v>0.1052</v>
          </cell>
          <cell r="E1363" t="str">
            <v>MKT-1-10033656701</v>
          </cell>
          <cell r="F1363" t="str">
            <v>0T3T_PAI17_PCS-4P2pi_FLAT_MÓVEL_GT_10.52%</v>
          </cell>
          <cell r="G1363">
            <v>10.52</v>
          </cell>
        </row>
        <row r="1364">
          <cell r="A1364" t="str">
            <v>Oi Total Fixo + Pós 100 + Banda Larga0.5072Template de desconto percentual FLAT Móvel - Conta Total - Varejo - Ganho Tributário Cross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>
            <v>0.50719999999999998</v>
          </cell>
          <cell r="E1364" t="str">
            <v>MKT-1-10033656916</v>
          </cell>
          <cell r="F1364" t="str">
            <v>0T3T_PAI17_PCS-4P3pi_FLAT_MÓVEL_GT_50.72%</v>
          </cell>
          <cell r="G1364">
            <v>50.72</v>
          </cell>
        </row>
        <row r="1365">
          <cell r="A1365" t="str">
            <v>Oi Total Fixo + Pós 100 + Banda Larga0.5773Template de desconto percentual FLAT Móvel - Conta Total - Varejo - Ganho Tributário Cross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>
            <v>0.57729999999999992</v>
          </cell>
          <cell r="E1365" t="str">
            <v>MKT-1-10033696451</v>
          </cell>
          <cell r="F1365" t="str">
            <v>0T3T_PAI17_PCS-4P3pi_FLAT_MÓVEL_GT_57.73%</v>
          </cell>
          <cell r="G1365">
            <v>57.73</v>
          </cell>
        </row>
        <row r="1366">
          <cell r="A1366" t="str">
            <v>Oi Total Fixo + Pós 100 + Banda Larga0.4493Template de desconto percentual FLAT Móvel - Conta Total - Varejo - Ganho Tributário Cross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>
            <v>0.44929999999999998</v>
          </cell>
          <cell r="E1366" t="str">
            <v>MKT-1-10033894301</v>
          </cell>
          <cell r="F1366" t="str">
            <v>0T3T_PAI17_PCS-4P3pi_FLAT_MÓVEL_GT_44.93%</v>
          </cell>
          <cell r="G1366">
            <v>44.93</v>
          </cell>
        </row>
        <row r="1367">
          <cell r="A1367" t="str">
            <v>Oi Total Fixo + Pós 100 + Banda Larga0.3522Template de desconto percentual FLAT Móvel - Conta Total - Varejo - Ganho Tributário Cross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>
            <v>0.35220000000000001</v>
          </cell>
          <cell r="E1367" t="str">
            <v>MKT-1-10033914351</v>
          </cell>
          <cell r="F1367" t="str">
            <v>0T3T_PAI17_PCS-4P3pi_FLAT_MÓVEL_GT_35.22%</v>
          </cell>
          <cell r="G1367">
            <v>35.22</v>
          </cell>
        </row>
        <row r="1368">
          <cell r="A1368" t="str">
            <v>Oi Total Fixo + Pós 100 + Banda Larga0.2789Template de desconto percentual FLAT Móvel - Conta Total - Varejo - Ganho Tributário Cross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>
            <v>0.27889999999999998</v>
          </cell>
          <cell r="E1368" t="str">
            <v>MKT-1-10033939301</v>
          </cell>
          <cell r="F1368" t="str">
            <v>0T3T_PAI17_PCS-4P3pi_FLAT_MÓVEL_GT_27.89%</v>
          </cell>
          <cell r="G1368">
            <v>27.89</v>
          </cell>
        </row>
        <row r="1369">
          <cell r="A1369" t="str">
            <v>Oi Total Fixo + Pós 100 + Banda Larga0.3138Template de desconto percentual FLAT Móvel - Conta Total - Varejo - Ganho Tributário Cross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>
            <v>0.31379999999999997</v>
          </cell>
          <cell r="E1369" t="str">
            <v>MKT-1-10033945321</v>
          </cell>
          <cell r="F1369" t="str">
            <v>0T3T_PAI17_PCS-4P3pi_FLAT_MÓVEL_GT_31.38%</v>
          </cell>
          <cell r="G1369">
            <v>31.38</v>
          </cell>
        </row>
        <row r="1370">
          <cell r="A1370" t="str">
            <v>Oi Total Fixo + Pós 100 + Banda Larga0.4679Template de desconto percentual FLAT Móvel - Conta Total - Varejo - Ganho Tributário Cross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>
            <v>0.46789999999999998</v>
          </cell>
          <cell r="E1370" t="str">
            <v>MKT-1-10033945531</v>
          </cell>
          <cell r="F1370" t="str">
            <v>0T3T_PAI17_PCS-4P3pi_FLAT_MÓVEL_GT_46.79%</v>
          </cell>
          <cell r="G1370">
            <v>46.79</v>
          </cell>
        </row>
        <row r="1371">
          <cell r="A1371" t="str">
            <v>Oi Total Fixo + Pós 100 + Banda Larga0.3901Template de desconto percentual FLAT Móvel - Conta Total - Varejo - Ganho Tributário Cross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>
            <v>0.3901</v>
          </cell>
          <cell r="E1371" t="str">
            <v>MKT-1-10033945741</v>
          </cell>
          <cell r="F1371" t="str">
            <v>0T3T_PAI17_PCS-4P3pi_FLAT_MÓVEL_GT_39.01%</v>
          </cell>
          <cell r="G1371">
            <v>39.01</v>
          </cell>
        </row>
        <row r="1372">
          <cell r="A1372" t="str">
            <v>Oi Total Fixo + Pós 100 + Banda Larga0.3042Template de desconto percentual FLAT Móvel - Conta Total - Varejo - Ganho Tributário Cross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>
            <v>0.30420000000000003</v>
          </cell>
          <cell r="E1372" t="str">
            <v>MKT-1-10033945951</v>
          </cell>
          <cell r="F1372" t="str">
            <v>0T3T_PAI17_PCS-4P3pi_FLAT_MÓVEL_GT_30.42%</v>
          </cell>
          <cell r="G1372">
            <v>30.42</v>
          </cell>
        </row>
        <row r="1373">
          <cell r="A1373" t="str">
            <v>Oi Total Fixo + Pós 100 + Banda Larga0.1336Template de desconto percentual FLAT Móvel - Conta Total - Varejo - Ganho Tributário Cross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>
            <v>0.1336</v>
          </cell>
          <cell r="E1373" t="str">
            <v>MKT-1-10033946251</v>
          </cell>
          <cell r="F1373" t="str">
            <v>0T3T_PAI17_PCS-4P3pi_FLAT_MÓVEL_GT_13.36%</v>
          </cell>
          <cell r="G1373">
            <v>13.36</v>
          </cell>
        </row>
        <row r="1374">
          <cell r="A1374" t="str">
            <v>Oi Total Fixo + Pós 100 + Banda Larga0.3821Template de desconto percentual FLAT Móvel - Conta Total - Varejo - Ganho Tributário Cross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>
            <v>0.3821</v>
          </cell>
          <cell r="E1374" t="str">
            <v>MKT-1-10033946361</v>
          </cell>
          <cell r="F1374" t="str">
            <v>0T3T_PAI17_PCS-4P3pi_FLAT_MÓVEL_GT_38.21%</v>
          </cell>
          <cell r="G1374">
            <v>38.21</v>
          </cell>
        </row>
        <row r="1375">
          <cell r="A1375" t="str">
            <v>Oi Total Fixo + Pós 100 + Banda Larga0.3244Template de desconto percentual FLAT Móvel - Conta Total - Varejo - Ganho Tributário Cross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>
            <v>0.32439999999999997</v>
          </cell>
          <cell r="E1375" t="str">
            <v>MKT-1-10033946661</v>
          </cell>
          <cell r="F1375" t="str">
            <v>0T3T_PAI17_PCS-4P3pi_FLAT_MÓVEL_GT_32.44%</v>
          </cell>
          <cell r="G1375">
            <v>32.44</v>
          </cell>
        </row>
        <row r="1376">
          <cell r="A1376" t="str">
            <v>Oi Total Fixo + Pós 100 + Banda Larga0.2385Template de desconto percentual FLAT Móvel - Conta Total - Varejo - Ganho Tributário Cross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>
            <v>0.23850000000000002</v>
          </cell>
          <cell r="E1376" t="str">
            <v>MKT-1-10033946871</v>
          </cell>
          <cell r="F1376" t="str">
            <v>0T3T_PAI17_PCS-4P3pi_FLAT_MÓVEL_GT_23.85%</v>
          </cell>
          <cell r="G1376">
            <v>23.85</v>
          </cell>
        </row>
        <row r="1377">
          <cell r="A1377" t="str">
            <v>Oi Total Fixo + Pós 100 + Banda Larga0.2195Template de desconto percentual FLAT Móvel - Conta Total - Varejo - Ganho Tributário Cross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>
            <v>0.2195</v>
          </cell>
          <cell r="E1377" t="str">
            <v>MKT-1-10033947081</v>
          </cell>
          <cell r="F1377" t="str">
            <v>0T3T_PAI17_PCS-4P3pi_FLAT_MÓVEL_GT_21.95%</v>
          </cell>
          <cell r="G1377">
            <v>21.95</v>
          </cell>
        </row>
        <row r="1378">
          <cell r="A1378" t="str">
            <v>Oi Total Fixo + Pós 100 + Banda Larga0.1227Template de desconto percentual FLAT Móvel - Conta Total - Varejo - Ganho Tributário Cross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>
            <v>0.12269999999999999</v>
          </cell>
          <cell r="E1378" t="str">
            <v>MKT-1-10034053461</v>
          </cell>
          <cell r="F1378" t="str">
            <v>0T3T_PAI17_PCS-4P3pi_FLAT_MÓVEL_GT_12.27%</v>
          </cell>
          <cell r="G1378">
            <v>12.27</v>
          </cell>
        </row>
        <row r="1379">
          <cell r="A1379" t="str">
            <v>Oi Total Fixo + Pós 100 + Banda Larga0.0369Template de desconto percentual FLAT Móvel - Conta Total - Varejo - Ganho Tributário Cross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>
            <v>3.6900000000000002E-2</v>
          </cell>
          <cell r="E1379" t="str">
            <v>MKT-1-10042956652</v>
          </cell>
          <cell r="F1379" t="str">
            <v>0T3T_PAI17_PCS-4P3pi_FLAT_MÓVEL_GT_03.69%</v>
          </cell>
          <cell r="G1379">
            <v>3.69</v>
          </cell>
        </row>
        <row r="1380">
          <cell r="A1380" t="str">
            <v>Oi Total Fixo + Pós 250 + Banda Larga0.5411Template de desconto percentual FLAT Móvel - Conta Total - Varejo - Ganho Tributário Cross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>
            <v>0.54110000000000003</v>
          </cell>
          <cell r="E1380" t="str">
            <v>MKT-1-10042956961</v>
          </cell>
          <cell r="F1380" t="str">
            <v>0T3T_PAI17_PCS-4P4pi_FLAT_MÓVEL_GT_54.11%</v>
          </cell>
          <cell r="G1380">
            <v>54.11</v>
          </cell>
        </row>
        <row r="1381">
          <cell r="A1381" t="str">
            <v>Oi Total Fixo + Pós 250 + Banda Larga0.5993Template de desconto percentual FLAT Móvel - Conta Total - Varejo - Ganho Tributário Cross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>
            <v>0.59929999999999994</v>
          </cell>
          <cell r="E1381" t="str">
            <v>MKT-1-10043964101</v>
          </cell>
          <cell r="F1381" t="str">
            <v>0T3T_PAI17_PCS-4P4pi_FLAT_MÓVEL_GT_59.93%</v>
          </cell>
          <cell r="G1381">
            <v>59.93</v>
          </cell>
        </row>
        <row r="1382">
          <cell r="A1382" t="str">
            <v>Oi Total Fixo + Pós 250 + Banda Larga0.6761Template de desconto percentual FLAT Móvel - Conta Total - Varejo - Ganho Tributário Cross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>
            <v>0.67610000000000003</v>
          </cell>
          <cell r="E1382" t="str">
            <v>MKT-1-10044311341</v>
          </cell>
          <cell r="F1382" t="str">
            <v>0T3T_PAI17_PCS-4P4pi_FLAT_MÓVEL_GT_67.61%</v>
          </cell>
          <cell r="G1382">
            <v>67.61</v>
          </cell>
        </row>
        <row r="1383">
          <cell r="A1383" t="str">
            <v>Oi Total Fixo + Pós 250 + Banda Larga0.6341Template de desconto percentual FLAT Móvel - Conta Total - Varejo - Ganho Tributário Cross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>
            <v>0.6341</v>
          </cell>
          <cell r="E1383" t="str">
            <v>MKT-1-10044311751</v>
          </cell>
          <cell r="F1383" t="str">
            <v>0T3T_PAI17_PCS-4P4pi_FLAT_MÓVEL_GT_63.41%</v>
          </cell>
          <cell r="G1383">
            <v>63.41</v>
          </cell>
        </row>
        <row r="1384">
          <cell r="A1384" t="str">
            <v>Oi Total Fixo + Pós 250 + Banda Larga0.5086Template de desconto percentual FLAT Móvel - Conta Total - Varejo - Ganho Tributário Cross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>
            <v>0.50859999999999994</v>
          </cell>
          <cell r="E1384" t="str">
            <v>MKT-1-10044311991</v>
          </cell>
          <cell r="F1384" t="str">
            <v>0T3T_PAI17_PCS-4P4pi_FLAT_MÓVEL_GT_50.86%</v>
          </cell>
          <cell r="G1384">
            <v>50.86</v>
          </cell>
        </row>
        <row r="1385">
          <cell r="A1385" t="str">
            <v>Oi Total Fixo + Pós 250 + Banda Larga0.6011Template de desconto percentual FLAT Móvel - Conta Total - Varejo - Ganho Tributário Cross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>
            <v>0.60109999999999997</v>
          </cell>
          <cell r="E1385" t="str">
            <v>MKT-1-10044312211</v>
          </cell>
          <cell r="F1385" t="str">
            <v>0T3T_PAI17_PCS-4P4pi_FLAT_MÓVEL_GT_60.11%</v>
          </cell>
          <cell r="G1385">
            <v>60.11</v>
          </cell>
        </row>
        <row r="1386">
          <cell r="A1386" t="str">
            <v>Oi Total Fixo + Pós 250 + Banda Larga0.4971Template de desconto percentual FLAT Móvel - Conta Total - Varejo - Ganho Tributário Cross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>
            <v>0.49709999999999999</v>
          </cell>
          <cell r="E1386" t="str">
            <v>MKT-1-10044341761</v>
          </cell>
          <cell r="F1386" t="str">
            <v>0T3T_PAI17_PCS-4P4pi_FLAT_MÓVEL_GT_49.71%</v>
          </cell>
          <cell r="G1386">
            <v>49.71</v>
          </cell>
        </row>
        <row r="1387">
          <cell r="A1387" t="str">
            <v>Oi Total Fixo + Pós 250 + Banda Larga0.5197Template de desconto percentual FLAT Móvel - Conta Total - Varejo - Ganho Tributário Cross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>
            <v>0.51969999999999994</v>
          </cell>
          <cell r="E1387" t="str">
            <v>MKT-1-10044342251</v>
          </cell>
          <cell r="F1387" t="str">
            <v>0T3T_PAI17_PCS-4P4pi_FLAT_MÓVEL_GT_51.97%</v>
          </cell>
          <cell r="G1387">
            <v>51.97</v>
          </cell>
        </row>
        <row r="1388">
          <cell r="A1388" t="str">
            <v>Oi Total Fixo + Pós 50 + Banda Larga0.1166Template de desconto percentual FLAT Móvel - Conta Total - Varejo - Ganho Tributário Cross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>
            <v>0.1166</v>
          </cell>
          <cell r="E1388" t="str">
            <v>MKT-1-10044408309</v>
          </cell>
          <cell r="F1388" t="str">
            <v>0T3T_PAI17_PCS-4P2pi_FLAT_MÓVEL_GT_11.66%.</v>
          </cell>
          <cell r="G1388">
            <v>11.66</v>
          </cell>
        </row>
        <row r="1389">
          <cell r="A1389" t="str">
            <v>Oi Total Fixo + Pós 250 + Banda Larga0.5496Template de desconto percentual FLAT Móvel - Conta Total - Varejo - Ganho Tributário Cross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>
            <v>0.54959999999999998</v>
          </cell>
          <cell r="E1389" t="str">
            <v>MKT-1-10044408311</v>
          </cell>
          <cell r="F1389" t="str">
            <v>0T3T_PAI17_PCS-4P4pi_FLAT_MÓVEL_GT_54.96%</v>
          </cell>
          <cell r="G1389">
            <v>54.96</v>
          </cell>
        </row>
        <row r="1390">
          <cell r="A1390" t="str">
            <v>Oi Total Fixo + Pós 250 + Banda Larga0.5544Template de desconto percentual FLAT Móvel - Conta Total - Varejo - Ganho Tributário Cross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>
            <v>0.5544</v>
          </cell>
          <cell r="E1390" t="str">
            <v>MKT-1-10044408521</v>
          </cell>
          <cell r="F1390" t="str">
            <v>0T3T_PAI17_PCS-4P4pi_FLAT_MÓVEL_GT_55.44%</v>
          </cell>
          <cell r="G1390">
            <v>55.44</v>
          </cell>
        </row>
        <row r="1391">
          <cell r="A1391" t="str">
            <v>Oi Total Fixo + Pós 250 + Banda Larga0.5076Template de desconto percentual FLAT Móvel - Conta Total - Varejo - Ganho Tributário Cross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>
            <v>0.50759999999999994</v>
          </cell>
          <cell r="E1391" t="str">
            <v>MKT-1-10044457431</v>
          </cell>
          <cell r="F1391" t="str">
            <v>0T3T_PAI17_PCS-4P4pi_FLAT_MÓVEL_GT_50.76%</v>
          </cell>
          <cell r="G1391">
            <v>50.76</v>
          </cell>
        </row>
        <row r="1392">
          <cell r="A1392" t="str">
            <v>Oi Total Fixo + Pós 500 + Banda Larga0.6737Template de desconto percentual FLAT Móvel - Conta Total - Varejo - Ganho Tributário Cross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>
            <v>0.67370000000000008</v>
          </cell>
          <cell r="E1392" t="str">
            <v>MKT-1-10044457701</v>
          </cell>
          <cell r="F1392" t="str">
            <v>0T3T_PAI17_PCS-4P5pi_FLAT_MÓVEL_GT_67.37%..</v>
          </cell>
          <cell r="G1392">
            <v>67.37</v>
          </cell>
        </row>
        <row r="1393">
          <cell r="A1393" t="str">
            <v>Oi Total Fixo + Pós 250 + Banda Larga0.4681Template de desconto percentual FLAT Móvel - Conta Total - Varejo - Ganho Tributário Cross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>
            <v>0.46810000000000002</v>
          </cell>
          <cell r="E1393" t="str">
            <v>MKT-1-10044508511</v>
          </cell>
          <cell r="F1393" t="str">
            <v>0T3T_PAI17_PCS-4P4pi_FLAT_MÓVEL_GT_46.81%</v>
          </cell>
          <cell r="G1393">
            <v>46.81</v>
          </cell>
        </row>
        <row r="1394">
          <cell r="A1394" t="str">
            <v>Oi Total Fixo + Pós 250 + Banda Larga0.452Template de desconto percentual FLAT Móvel - Conta Total - Varejo - Ganho Tributário Cross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>
            <v>0.45200000000000001</v>
          </cell>
          <cell r="E1394" t="str">
            <v>MKT-1-10044508721</v>
          </cell>
          <cell r="F1394" t="str">
            <v>0T3T_PAI17_PCS-4P4pi_FLAT_MÓVEL_GT_45.20%</v>
          </cell>
          <cell r="G1394">
            <v>45.2</v>
          </cell>
        </row>
        <row r="1395">
          <cell r="A1395" t="str">
            <v>Oi Total Fixo + Pós 250 + Banda Larga0.3472Template de desconto percentual FLAT Móvel - Conta Total - Varejo - Ganho Tributário Cross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>
            <v>0.34720000000000001</v>
          </cell>
          <cell r="E1395" t="str">
            <v>MKT-1-10044578621</v>
          </cell>
          <cell r="F1395" t="str">
            <v>0T3T_PAI17_PCS-4P4pi_FLAT_MÓVEL_GT_34.72%</v>
          </cell>
          <cell r="G1395">
            <v>34.72</v>
          </cell>
        </row>
        <row r="1396">
          <cell r="A1396" t="str">
            <v>Oi Total Fixo + Pós 250 + Banda Larga0.4005Template de desconto percentual FLAT Móvel - Conta Total - Varejo - Ganho Tributário Cross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>
            <v>0.40049999999999997</v>
          </cell>
          <cell r="E1396" t="str">
            <v>MKT-1-10045405621</v>
          </cell>
          <cell r="F1396" t="str">
            <v>0T3T_PAI17_PCS-4P4pi_FLAT_MÓVEL_GT_40.05%</v>
          </cell>
          <cell r="G1396">
            <v>40.049999999999997</v>
          </cell>
        </row>
        <row r="1397">
          <cell r="A1397" t="str">
            <v>Oi Total Fixo + Pós 250 + Banda Larga0.394Template de desconto percentual FLAT Móvel - Conta Total - Varejo - Ganho Tributário Cross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>
            <v>0.39399999999999996</v>
          </cell>
          <cell r="E1397" t="str">
            <v>MKT-1-10045584781</v>
          </cell>
          <cell r="F1397" t="str">
            <v>0T3T_PAI17_PCS-4P4pi_FLAT_MÓVEL_GT_39.40%</v>
          </cell>
          <cell r="G1397">
            <v>39.4</v>
          </cell>
        </row>
        <row r="1398">
          <cell r="A1398" t="str">
            <v>Oi Total Fixo + Pós 500 + Banda Larga0.6192Template de desconto percentual FLAT Móvel - Conta Total - Varejo - Ganho Tributário Cross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>
            <v>0.61919999999999997</v>
          </cell>
          <cell r="E1398" t="str">
            <v>MKT-1-10046291091</v>
          </cell>
          <cell r="F1398" t="str">
            <v>0T3T_PAI17_PCS-4P5pi_FLAT_MÓVEL_GT_61.92%</v>
          </cell>
          <cell r="G1398">
            <v>61.92</v>
          </cell>
        </row>
        <row r="1399">
          <cell r="A1399" t="str">
            <v>Oi Total Fixo + Pós 500 + Banda Larga0.6457Template de desconto percentual FLAT Móvel - Conta Total - Varejo - Ganho Tributário Cross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>
            <v>0.64569999999999994</v>
          </cell>
          <cell r="E1399" t="str">
            <v>MKT-1-10046333071</v>
          </cell>
          <cell r="F1399" t="str">
            <v>0T3T_PAI17_PCS-4P5pi_FLAT_MÓVEL_GT_64.57%</v>
          </cell>
          <cell r="G1399">
            <v>64.569999999999993</v>
          </cell>
        </row>
        <row r="1400">
          <cell r="A1400" t="str">
            <v>Oi Total Fixo + Pós 500 + Banda Larga0.59Template de desconto percentual FLAT Móvel - Conta Total - Varejo - Ganho Tributário Cross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>
            <v>0.59</v>
          </cell>
          <cell r="E1400" t="str">
            <v>MKT-1-10046333281</v>
          </cell>
          <cell r="F1400" t="str">
            <v>0T3T_PAI17_PCS-4P5pi_FLAT_MÓVEL_GT_59.00%</v>
          </cell>
          <cell r="G1400">
            <v>59</v>
          </cell>
        </row>
        <row r="1401">
          <cell r="A1401" t="str">
            <v>Oi Total Fixo + Pós 50 + Banda Larga0.2308Template de desconto percentual FLAT Móvel - Conta Total - Varejo - Ganho Tributário Cross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>
            <v>0.23079999999999998</v>
          </cell>
          <cell r="E1401" t="str">
            <v>MKT-1-10046378311</v>
          </cell>
          <cell r="F1401" t="str">
            <v>0T3T_PAI17_PCS-4P2pi_FLAT_MÓVEL_GT_23.08%</v>
          </cell>
          <cell r="G1401">
            <v>23.08</v>
          </cell>
        </row>
        <row r="1402">
          <cell r="A1402" t="str">
            <v>Oi Total Fixo + Pós 800 + Banda Larga0.6791Template de desconto percentual FLAT Móvel - Conta Total - Varejo - Ganho Tributário Cross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>
            <v>0.67909999999999993</v>
          </cell>
          <cell r="E1402" t="str">
            <v>MKT-1-10046378701</v>
          </cell>
          <cell r="F1402" t="str">
            <v>0T3T_PAI17_PCS-4P6pi_FLAT_MÓVEL_GT_67.91%</v>
          </cell>
          <cell r="G1402">
            <v>67.91</v>
          </cell>
        </row>
        <row r="1403">
          <cell r="A1403" t="str">
            <v>Oi Total Fixo + Pós 800 + Banda Larga0.661Template de desconto percentual FLAT Móvel - Conta Total - Varejo - Ganho Tributário Cross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>
            <v>0.66099999999999992</v>
          </cell>
          <cell r="E1403" t="str">
            <v>MKT-1-10046378941</v>
          </cell>
          <cell r="F1403" t="str">
            <v>0T3T_PAI17_PCS-4P6pi_FLAT_MÓVEL_GT_66.10%.</v>
          </cell>
          <cell r="G1403">
            <v>66.099999999999994</v>
          </cell>
        </row>
        <row r="1404">
          <cell r="A1404" t="str">
            <v>Oi Total Fixo + Pós 800 + Banda Larga0.6072Template de desconto percentual FLAT Móvel - Conta Total - Varejo - Ganho Tributário Cross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>
            <v>0.60719999999999996</v>
          </cell>
          <cell r="E1404" t="str">
            <v>MKT-1-10046379152</v>
          </cell>
          <cell r="F1404" t="str">
            <v>0T3T_PAI17_PCS-4P6pi_FLAT_MÓVEL_GT_60.72%.</v>
          </cell>
          <cell r="G1404">
            <v>60.72</v>
          </cell>
        </row>
        <row r="1405">
          <cell r="A1405" t="str">
            <v>Oi Total Fixo + Pós 500 + Banda Larga0.6155Template de desconto percentual FLAT Móvel - Conta Total - Varejo - Ganho Tributário Cross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>
            <v>0.61549999999999994</v>
          </cell>
          <cell r="E1405" t="str">
            <v>MKT-1-10046650301</v>
          </cell>
          <cell r="F1405" t="str">
            <v>0T3T_PAI17_PCS-4P5pi_FLAT_MÓVEL_GT_61.55%</v>
          </cell>
          <cell r="G1405">
            <v>61.55</v>
          </cell>
        </row>
        <row r="1406">
          <cell r="A1406" t="str">
            <v>Oi Total Fixo + Pós 500 + Banda Larga0.5464Template de desconto percentual FLAT Móvel - Conta Total - Varejo - Ganho Tributário Cross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>
            <v>0.5464</v>
          </cell>
          <cell r="E1406" t="str">
            <v>MKT-1-10046650511</v>
          </cell>
          <cell r="F1406" t="str">
            <v>0T3T_PAI17_PCS-4P5pi_FLAT_MÓVEL_GT_54.64%</v>
          </cell>
          <cell r="G1406">
            <v>54.64</v>
          </cell>
        </row>
        <row r="1407">
          <cell r="A1407" t="str">
            <v>Oi Total Fixo + Pós 500 + Banda Larga0.5119Template de desconto percentual FLAT Móvel - Conta Total - Varejo - Ganho Tributário Cross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>
            <v>0.51190000000000002</v>
          </cell>
          <cell r="E1407" t="str">
            <v>MKT-1-10046656491</v>
          </cell>
          <cell r="F1407" t="str">
            <v>0T3T_PAI17_PCS-4P5pi_FLAT_MÓVEL_GT_51.19%</v>
          </cell>
          <cell r="G1407">
            <v>51.19</v>
          </cell>
        </row>
        <row r="1408">
          <cell r="A1408" t="str">
            <v>Oi Total Fixo + Pós 800 + Banda Larga0.6765Template de desconto percentual FLAT Móvel - Conta Total - Varejo - Ganho Tributário Cross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>
            <v>0.6765000000000001</v>
          </cell>
          <cell r="E1408" t="str">
            <v>MKT-1-10046656701</v>
          </cell>
          <cell r="F1408" t="str">
            <v>0T3T_PAI17_PCS-4P6pi_FLAT_MÓVEL_GT_67.65%</v>
          </cell>
          <cell r="G1408">
            <v>67.650000000000006</v>
          </cell>
        </row>
        <row r="1409">
          <cell r="A1409" t="str">
            <v>Oi Total Fixo + Pós 800 + Banda Larga0.6973Template de desconto percentual FLAT Móvel - Conta Total - Varejo - Ganho Tributário Cross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>
            <v>0.69730000000000003</v>
          </cell>
          <cell r="E1409" t="str">
            <v>MKT-1-10046657071</v>
          </cell>
          <cell r="F1409" t="str">
            <v>0T3T_PAI17_PCS-4P6pi_FLAT_MÓVEL_GT_69.73%</v>
          </cell>
          <cell r="G1409">
            <v>69.73</v>
          </cell>
        </row>
        <row r="1410">
          <cell r="A1410" t="str">
            <v>Oi Total Fixo + Pós 800 + Banda Larga0.6309Template de desconto percentual FLAT Móvel - Conta Total - Varejo - Ganho Tributário Cross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>
            <v>0.63090000000000002</v>
          </cell>
          <cell r="E1410" t="str">
            <v>MKT-1-10046657291</v>
          </cell>
          <cell r="F1410" t="str">
            <v>0T3T_PAI17_PCS-4P6pi_FLAT_MÓVEL_GT_63.09%</v>
          </cell>
          <cell r="G1410">
            <v>63.09</v>
          </cell>
        </row>
      </sheetData>
      <sheetData sheetId="11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A71"/>
  <sheetViews>
    <sheetView workbookViewId="0">
      <selection activeCell="AS7" sqref="AS7"/>
    </sheetView>
  </sheetViews>
  <sheetFormatPr defaultRowHeight="14.5" x14ac:dyDescent="0.35"/>
  <cols>
    <col min="1" max="1" width="11" style="114" bestFit="1" customWidth="1"/>
    <col min="2" max="2" width="16.81640625" style="114" bestFit="1" customWidth="1"/>
    <col min="3" max="3" width="17.36328125" style="114" customWidth="1"/>
    <col min="4" max="4" width="27.1796875" style="114" bestFit="1" customWidth="1"/>
    <col min="5" max="5" width="27.54296875" style="114" bestFit="1" customWidth="1"/>
    <col min="6" max="6" width="12.54296875" style="114" bestFit="1" customWidth="1"/>
    <col min="7" max="7" width="19" style="114" bestFit="1" customWidth="1"/>
    <col min="8" max="8" width="17.1796875" style="114" bestFit="1" customWidth="1"/>
    <col min="9" max="9" width="12.54296875" style="114" bestFit="1" customWidth="1"/>
    <col min="10" max="10" width="15.54296875" style="114" bestFit="1" customWidth="1"/>
    <col min="11" max="11" width="22.54296875" style="114" bestFit="1" customWidth="1"/>
    <col min="12" max="12" width="34.453125" style="114" bestFit="1" customWidth="1"/>
    <col min="13" max="13" width="27.6328125" style="114" bestFit="1" customWidth="1"/>
    <col min="14" max="14" width="26.453125" style="114" bestFit="1" customWidth="1"/>
    <col min="15" max="15" width="38.81640625" style="114" bestFit="1" customWidth="1"/>
    <col min="16" max="16" width="38.08984375" style="114" bestFit="1" customWidth="1"/>
    <col min="17" max="17" width="28.90625" style="114" bestFit="1" customWidth="1"/>
    <col min="18" max="18" width="24.453125" style="114" bestFit="1" customWidth="1"/>
    <col min="19" max="19" width="31.1796875" style="114" bestFit="1" customWidth="1"/>
    <col min="20" max="20" width="26.54296875" style="114" bestFit="1" customWidth="1"/>
    <col min="21" max="21" width="34.81640625" style="114" bestFit="1" customWidth="1"/>
    <col min="22" max="23" width="23.453125" style="114" bestFit="1" customWidth="1"/>
    <col min="24" max="24" width="23.81640625" style="114" bestFit="1" customWidth="1"/>
    <col min="25" max="25" width="22" style="114" bestFit="1" customWidth="1"/>
    <col min="26" max="26" width="32.54296875" style="114" bestFit="1" customWidth="1"/>
    <col min="27" max="27" width="32.81640625" style="114" bestFit="1" customWidth="1"/>
    <col min="28" max="28" width="23.453125" style="114" bestFit="1" customWidth="1"/>
    <col min="29" max="29" width="30" style="114" bestFit="1" customWidth="1"/>
    <col min="30" max="30" width="28.54296875" style="114" bestFit="1" customWidth="1"/>
    <col min="31" max="31" width="32.54296875" style="114" bestFit="1" customWidth="1"/>
    <col min="32" max="32" width="43.81640625" style="114" bestFit="1" customWidth="1"/>
    <col min="33" max="34" width="54.1796875" style="114" bestFit="1" customWidth="1"/>
    <col min="35" max="35" width="40.1796875" style="114" bestFit="1" customWidth="1"/>
    <col min="36" max="38" width="44.453125" style="114" bestFit="1" customWidth="1"/>
    <col min="39" max="39" width="36.36328125" style="114" bestFit="1" customWidth="1"/>
    <col min="40" max="40" width="14.54296875" style="114" customWidth="1"/>
    <col min="41" max="41" width="17.1796875" style="114" bestFit="1" customWidth="1"/>
    <col min="42" max="42" width="20.81640625" style="114" bestFit="1" customWidth="1"/>
    <col min="43" max="43" width="12.81640625" style="114" bestFit="1" customWidth="1"/>
    <col min="44" max="44" width="18" style="114" bestFit="1" customWidth="1"/>
    <col min="45" max="45" width="16.81640625" style="114" bestFit="1" customWidth="1"/>
    <col min="46" max="46" width="14" style="114" bestFit="1" customWidth="1"/>
    <col min="47" max="47" width="20.1796875" style="114" bestFit="1" customWidth="1"/>
    <col min="48" max="48" width="16.7265625" style="114" customWidth="1"/>
    <col min="49" max="49" width="13.6328125" style="114" customWidth="1"/>
    <col min="50" max="50" width="12.90625" style="114" bestFit="1" customWidth="1"/>
    <col min="51" max="51" width="17.90625" style="114" customWidth="1"/>
    <col min="52" max="52" width="8.7265625" style="114"/>
    <col min="53" max="53" width="41.1796875" style="114" hidden="1" customWidth="1"/>
    <col min="54" max="16384" width="8.7265625" style="114"/>
  </cols>
  <sheetData>
    <row r="2" spans="1:48" x14ac:dyDescent="0.35">
      <c r="A2" s="114">
        <v>1</v>
      </c>
      <c r="B2" s="114">
        <v>2</v>
      </c>
      <c r="C2" s="114">
        <v>3</v>
      </c>
      <c r="D2" s="114">
        <v>4</v>
      </c>
      <c r="E2" s="114">
        <v>5</v>
      </c>
      <c r="F2" s="114">
        <v>6</v>
      </c>
      <c r="G2" s="114">
        <v>7</v>
      </c>
      <c r="H2" s="114">
        <v>8</v>
      </c>
      <c r="I2" s="114">
        <v>9</v>
      </c>
      <c r="J2" s="114">
        <v>10</v>
      </c>
      <c r="K2" s="114">
        <v>11</v>
      </c>
      <c r="L2" s="114">
        <v>12</v>
      </c>
      <c r="M2" s="114">
        <v>13</v>
      </c>
      <c r="N2" s="114">
        <v>14</v>
      </c>
      <c r="O2" s="114">
        <v>15</v>
      </c>
      <c r="P2" s="114">
        <v>16</v>
      </c>
      <c r="Q2" s="114">
        <v>17</v>
      </c>
      <c r="R2" s="114">
        <v>18</v>
      </c>
      <c r="S2" s="114">
        <v>19</v>
      </c>
      <c r="T2" s="114">
        <v>20</v>
      </c>
      <c r="U2" s="114">
        <v>21</v>
      </c>
      <c r="V2" s="114">
        <v>22</v>
      </c>
      <c r="W2" s="114">
        <v>23</v>
      </c>
      <c r="X2" s="114">
        <v>24</v>
      </c>
      <c r="Y2" s="114">
        <v>25</v>
      </c>
      <c r="Z2" s="114">
        <v>26</v>
      </c>
      <c r="AA2" s="114">
        <v>27</v>
      </c>
      <c r="AB2" s="114">
        <v>28</v>
      </c>
      <c r="AC2" s="114">
        <v>29</v>
      </c>
      <c r="AD2" s="114">
        <v>30</v>
      </c>
      <c r="AE2" s="114">
        <v>31</v>
      </c>
      <c r="AF2" s="114">
        <v>32</v>
      </c>
      <c r="AG2" s="114">
        <v>33</v>
      </c>
      <c r="AH2" s="114">
        <v>34</v>
      </c>
      <c r="AI2" s="114">
        <v>35</v>
      </c>
      <c r="AJ2" s="114">
        <v>36</v>
      </c>
      <c r="AK2" s="114">
        <v>37</v>
      </c>
      <c r="AL2" s="114">
        <v>38</v>
      </c>
      <c r="AM2" s="114">
        <v>39</v>
      </c>
      <c r="AN2" s="114">
        <v>40</v>
      </c>
      <c r="AO2" s="114">
        <v>41</v>
      </c>
      <c r="AP2" s="114">
        <v>42</v>
      </c>
      <c r="AQ2" s="114">
        <v>43</v>
      </c>
      <c r="AR2" s="114">
        <v>44</v>
      </c>
      <c r="AS2" s="114">
        <v>45</v>
      </c>
      <c r="AT2" s="114">
        <v>46</v>
      </c>
      <c r="AU2" s="114">
        <v>47</v>
      </c>
      <c r="AV2" s="114">
        <v>48</v>
      </c>
    </row>
    <row r="3" spans="1:48" x14ac:dyDescent="0.35">
      <c r="A3" s="153" t="s">
        <v>0</v>
      </c>
      <c r="B3" s="154" t="s">
        <v>337</v>
      </c>
      <c r="C3" s="155" t="s">
        <v>1</v>
      </c>
      <c r="D3" s="155" t="s">
        <v>2</v>
      </c>
      <c r="E3" s="155" t="s">
        <v>3</v>
      </c>
      <c r="F3" s="155" t="s">
        <v>4</v>
      </c>
      <c r="G3" s="155" t="s">
        <v>5</v>
      </c>
      <c r="H3" s="155" t="s">
        <v>6</v>
      </c>
      <c r="I3" s="155" t="s">
        <v>7</v>
      </c>
      <c r="J3" s="155" t="s">
        <v>8</v>
      </c>
      <c r="K3" s="155" t="s">
        <v>9</v>
      </c>
      <c r="L3" s="155" t="s">
        <v>10</v>
      </c>
      <c r="M3" s="155" t="s">
        <v>11</v>
      </c>
      <c r="N3" s="155" t="s">
        <v>13</v>
      </c>
      <c r="O3" s="155" t="s">
        <v>14</v>
      </c>
      <c r="P3" s="155" t="s">
        <v>296</v>
      </c>
      <c r="Q3" s="156" t="s">
        <v>15</v>
      </c>
      <c r="R3" s="115" t="s">
        <v>338</v>
      </c>
      <c r="S3" s="115" t="s">
        <v>339</v>
      </c>
      <c r="T3" s="115" t="s">
        <v>340</v>
      </c>
      <c r="U3" s="115" t="s">
        <v>341</v>
      </c>
      <c r="V3" s="115" t="s">
        <v>342</v>
      </c>
      <c r="W3" s="115" t="s">
        <v>343</v>
      </c>
      <c r="X3" s="115" t="s">
        <v>344</v>
      </c>
      <c r="Y3" s="115" t="s">
        <v>345</v>
      </c>
      <c r="Z3" s="115" t="s">
        <v>346</v>
      </c>
      <c r="AA3" s="115" t="s">
        <v>347</v>
      </c>
      <c r="AB3" s="115" t="s">
        <v>348</v>
      </c>
      <c r="AC3" s="115" t="s">
        <v>12</v>
      </c>
      <c r="AD3" s="115" t="s">
        <v>16</v>
      </c>
      <c r="AE3" s="115" t="s">
        <v>17</v>
      </c>
      <c r="AF3" s="115" t="s">
        <v>18</v>
      </c>
      <c r="AG3" s="115" t="s">
        <v>349</v>
      </c>
      <c r="AH3" s="115" t="s">
        <v>350</v>
      </c>
      <c r="AI3" s="115" t="s">
        <v>19</v>
      </c>
      <c r="AJ3" s="115" t="s">
        <v>20</v>
      </c>
      <c r="AK3" s="115" t="s">
        <v>21</v>
      </c>
      <c r="AL3" s="115" t="s">
        <v>22</v>
      </c>
      <c r="AM3" s="115" t="s">
        <v>23</v>
      </c>
      <c r="AN3" s="115" t="s">
        <v>24</v>
      </c>
      <c r="AO3" s="115" t="s">
        <v>25</v>
      </c>
      <c r="AP3" s="115" t="s">
        <v>26</v>
      </c>
      <c r="AQ3" s="115" t="s">
        <v>27</v>
      </c>
      <c r="AR3" s="115" t="s">
        <v>57</v>
      </c>
      <c r="AS3" s="115" t="s">
        <v>351</v>
      </c>
      <c r="AT3" s="115" t="s">
        <v>28</v>
      </c>
      <c r="AU3" s="115" t="s">
        <v>58</v>
      </c>
      <c r="AV3" s="115" t="s">
        <v>352</v>
      </c>
    </row>
    <row r="4" spans="1:48" x14ac:dyDescent="0.35">
      <c r="A4" s="157" t="s">
        <v>29</v>
      </c>
      <c r="B4" s="158" t="s">
        <v>353</v>
      </c>
      <c r="C4" s="159" t="s">
        <v>1</v>
      </c>
      <c r="D4" s="159" t="s">
        <v>30</v>
      </c>
      <c r="E4" s="159" t="s">
        <v>31</v>
      </c>
      <c r="F4" s="159" t="s">
        <v>32</v>
      </c>
      <c r="G4" s="159" t="s">
        <v>33</v>
      </c>
      <c r="H4" s="159" t="s">
        <v>34</v>
      </c>
      <c r="I4" s="159" t="s">
        <v>7</v>
      </c>
      <c r="J4" s="159" t="s">
        <v>8</v>
      </c>
      <c r="K4" s="159" t="s">
        <v>35</v>
      </c>
      <c r="L4" s="159" t="s">
        <v>36</v>
      </c>
      <c r="M4" s="159" t="s">
        <v>37</v>
      </c>
      <c r="N4" s="159" t="s">
        <v>38</v>
      </c>
      <c r="O4" s="159" t="s">
        <v>39</v>
      </c>
      <c r="P4" s="160" t="s">
        <v>297</v>
      </c>
      <c r="Q4" s="161"/>
      <c r="R4" s="115" t="s">
        <v>354</v>
      </c>
      <c r="S4" s="115" t="s">
        <v>40</v>
      </c>
      <c r="T4" s="115" t="s">
        <v>41</v>
      </c>
      <c r="U4" s="115" t="s">
        <v>42</v>
      </c>
      <c r="V4" s="115" t="s">
        <v>43</v>
      </c>
      <c r="W4" s="115" t="s">
        <v>44</v>
      </c>
      <c r="X4" s="115" t="s">
        <v>45</v>
      </c>
      <c r="Y4" s="115" t="s">
        <v>46</v>
      </c>
      <c r="Z4" s="115" t="s">
        <v>47</v>
      </c>
      <c r="AA4" s="115" t="s">
        <v>48</v>
      </c>
      <c r="AB4" s="115" t="s">
        <v>49</v>
      </c>
      <c r="AC4" s="115" t="s">
        <v>12</v>
      </c>
      <c r="AD4" s="115" t="s">
        <v>50</v>
      </c>
      <c r="AE4" s="115" t="s">
        <v>51</v>
      </c>
      <c r="AF4" s="115" t="s">
        <v>18</v>
      </c>
      <c r="AG4" s="115" t="s">
        <v>355</v>
      </c>
      <c r="AH4" s="115" t="s">
        <v>356</v>
      </c>
      <c r="AI4" s="115" t="s">
        <v>19</v>
      </c>
      <c r="AJ4" s="115" t="s">
        <v>52</v>
      </c>
      <c r="AK4" s="115" t="s">
        <v>53</v>
      </c>
      <c r="AL4" s="115" t="s">
        <v>54</v>
      </c>
      <c r="AM4" s="115" t="s">
        <v>23</v>
      </c>
      <c r="AN4" s="115" t="s">
        <v>24</v>
      </c>
      <c r="AO4" s="115" t="s">
        <v>25</v>
      </c>
      <c r="AP4" s="115" t="s">
        <v>26</v>
      </c>
      <c r="AQ4" s="115" t="s">
        <v>55</v>
      </c>
      <c r="AR4" s="115" t="s">
        <v>59</v>
      </c>
      <c r="AS4" s="115" t="s">
        <v>56</v>
      </c>
      <c r="AT4" s="115" t="s">
        <v>28</v>
      </c>
      <c r="AU4" s="115" t="s">
        <v>58</v>
      </c>
      <c r="AV4" s="115" t="s">
        <v>357</v>
      </c>
    </row>
    <row r="5" spans="1:48" x14ac:dyDescent="0.35">
      <c r="A5" s="114" t="s">
        <v>303</v>
      </c>
      <c r="Q5" s="162"/>
    </row>
    <row r="9" spans="1:48" x14ac:dyDescent="0.35">
      <c r="Q9" s="163"/>
    </row>
    <row r="10" spans="1:48" x14ac:dyDescent="0.35">
      <c r="Q10" s="163"/>
    </row>
    <row r="14" spans="1:48" x14ac:dyDescent="0.35">
      <c r="Q14" s="163"/>
    </row>
    <row r="71" spans="2:17" x14ac:dyDescent="0.35">
      <c r="B71" s="163"/>
      <c r="Q71" s="163"/>
    </row>
  </sheetData>
  <autoFilter ref="A4:AY215" xr:uid="{00000000-0009-0000-0000-000000000000}"/>
  <sortState xmlns:xlrd2="http://schemas.microsoft.com/office/spreadsheetml/2017/richdata2" ref="A4:BA5">
    <sortCondition ref="BA4"/>
    <sortCondition ref="S4"/>
  </sortState>
  <dataConsolidate/>
  <dataValidations count="2">
    <dataValidation type="list" showInputMessage="1" error="Please select a valid value" promptTitle="select a value" sqref="Q3:Q4" xr:uid="{9631E02C-D40C-4916-A815-195A1DBF628B}">
      <formula1>ffff</formula1>
    </dataValidation>
    <dataValidation type="list" showInputMessage="1" error="Please select a valid value" promptTitle="select a value" sqref="Q5" xr:uid="{00000000-0002-0000-0000-000000000000}">
      <formula1>sssss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25400</xdr:colOff>
                    <xdr:row>0</xdr:row>
                    <xdr:rowOff>50800</xdr:rowOff>
                  </from>
                  <to>
                    <xdr:col>4</xdr:col>
                    <xdr:colOff>1670050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X26"/>
  <sheetViews>
    <sheetView workbookViewId="0">
      <selection activeCell="G6" sqref="G6"/>
    </sheetView>
  </sheetViews>
  <sheetFormatPr defaultRowHeight="14.5" x14ac:dyDescent="0.35"/>
  <sheetData>
    <row r="1" spans="1:206" ht="30.75" customHeight="1" thickBot="1" x14ac:dyDescent="0.4">
      <c r="A1" s="11" t="s">
        <v>61</v>
      </c>
      <c r="B1" s="107" t="s">
        <v>62</v>
      </c>
      <c r="C1" s="107" t="s">
        <v>63</v>
      </c>
      <c r="D1" s="107" t="s">
        <v>64</v>
      </c>
      <c r="E1" s="107" t="s">
        <v>65</v>
      </c>
      <c r="F1" s="120" t="s">
        <v>66</v>
      </c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 t="s">
        <v>67</v>
      </c>
      <c r="AS1" s="120"/>
      <c r="AT1" s="120"/>
      <c r="AU1" s="121" t="s">
        <v>68</v>
      </c>
      <c r="AV1" s="121"/>
      <c r="AW1" s="121" t="s">
        <v>69</v>
      </c>
      <c r="AX1" s="121"/>
      <c r="AY1" s="121"/>
      <c r="AZ1" s="121"/>
      <c r="BA1" s="121"/>
      <c r="BB1" s="121"/>
      <c r="BC1" s="121"/>
      <c r="BD1" s="121" t="s">
        <v>70</v>
      </c>
      <c r="BE1" s="121"/>
      <c r="BF1" s="121"/>
      <c r="BG1" s="122" t="s">
        <v>71</v>
      </c>
      <c r="BH1" s="123"/>
      <c r="BI1" s="124"/>
      <c r="BJ1" s="117" t="str">
        <f>"Preço Fixo
"&amp;DOLLAR([6]ARBOR!C2,2)</f>
        <v>Preço Fixo
$75.84</v>
      </c>
      <c r="BK1" s="118"/>
      <c r="BL1" s="118"/>
      <c r="BM1" s="118"/>
      <c r="BN1" s="119"/>
      <c r="BO1" s="117" t="s">
        <v>72</v>
      </c>
      <c r="BP1" s="118"/>
      <c r="BQ1" s="118"/>
      <c r="BR1" s="119"/>
      <c r="BS1" s="117" t="s">
        <v>73</v>
      </c>
      <c r="BT1" s="118"/>
      <c r="BU1" s="118"/>
      <c r="BV1" s="119"/>
      <c r="BW1" s="117" t="s">
        <v>74</v>
      </c>
      <c r="BX1" s="118"/>
      <c r="BY1" s="118"/>
      <c r="BZ1" s="119"/>
      <c r="CA1" s="117" t="s">
        <v>75</v>
      </c>
      <c r="CB1" s="118"/>
      <c r="CC1" s="118"/>
      <c r="CD1" s="119"/>
      <c r="CE1" s="117" t="s">
        <v>76</v>
      </c>
      <c r="CF1" s="118"/>
      <c r="CG1" s="118"/>
      <c r="CH1" s="119"/>
      <c r="CI1" s="117" t="s">
        <v>77</v>
      </c>
      <c r="CJ1" s="118"/>
      <c r="CK1" s="118"/>
      <c r="CL1" s="119"/>
      <c r="CM1" s="117" t="s">
        <v>78</v>
      </c>
      <c r="CN1" s="118"/>
      <c r="CO1" s="118"/>
      <c r="CP1" s="119"/>
      <c r="CQ1" s="117" t="s">
        <v>79</v>
      </c>
      <c r="CR1" s="118"/>
      <c r="CS1" s="118"/>
      <c r="CT1" s="118"/>
      <c r="CU1" s="118"/>
      <c r="CV1" s="118"/>
      <c r="CW1" s="118"/>
      <c r="CX1" s="119"/>
      <c r="CY1" s="117" t="s">
        <v>80</v>
      </c>
      <c r="CZ1" s="118"/>
      <c r="DA1" s="118"/>
      <c r="DB1" s="118"/>
      <c r="DC1" s="118"/>
      <c r="DD1" s="118"/>
      <c r="DE1" s="118"/>
      <c r="DF1" s="119"/>
      <c r="DG1" s="117" t="s">
        <v>81</v>
      </c>
      <c r="DH1" s="118"/>
      <c r="DI1" s="118"/>
      <c r="DJ1" s="118"/>
      <c r="DK1" s="118"/>
      <c r="DL1" s="118"/>
      <c r="DM1" s="118"/>
      <c r="DN1" s="119"/>
      <c r="DO1" s="128" t="s">
        <v>82</v>
      </c>
      <c r="DP1" s="129"/>
      <c r="DQ1" s="129"/>
      <c r="DR1" s="129"/>
      <c r="DS1" s="129"/>
      <c r="DT1" s="129"/>
      <c r="DU1" s="129"/>
      <c r="DV1" s="130"/>
      <c r="DW1" s="131" t="s">
        <v>83</v>
      </c>
      <c r="DX1" s="132"/>
      <c r="DY1" s="133"/>
      <c r="DZ1" s="134" t="s">
        <v>84</v>
      </c>
      <c r="EA1" s="135"/>
      <c r="EB1" s="135"/>
      <c r="EC1" s="135"/>
      <c r="ED1" s="135"/>
      <c r="EE1" s="135"/>
      <c r="EF1" s="136"/>
      <c r="EG1" s="137" t="s">
        <v>85</v>
      </c>
      <c r="EH1" s="138"/>
      <c r="EI1" s="138"/>
      <c r="EJ1" s="138"/>
      <c r="EK1" s="138"/>
      <c r="EL1" s="138"/>
      <c r="EM1" s="138"/>
      <c r="EN1" s="138"/>
      <c r="EO1" s="139" t="s">
        <v>86</v>
      </c>
      <c r="EP1" s="140"/>
      <c r="EQ1" s="140"/>
      <c r="ER1" s="140"/>
      <c r="ES1" s="140"/>
      <c r="ET1" s="141"/>
      <c r="EU1" s="142" t="s">
        <v>87</v>
      </c>
      <c r="EV1" s="143"/>
      <c r="EW1" s="125" t="str">
        <f>"Oi Internet pra Celular 300MB (PCS-813566)
"&amp;DOLLAR(VLOOKUP("PCS-813566",[6]ARBOR!$A:$C,3,0),2)</f>
        <v>Oi Internet pra Celular 300MB (PCS-813566)
$18.92</v>
      </c>
      <c r="EX1" s="126"/>
      <c r="EY1" s="127"/>
      <c r="EZ1" s="125" t="str">
        <f>"Oi Internet pra Celular 500MB (PCS-813564)
"&amp;DOLLAR(VLOOKUP("PCS-813564",[6]ARBOR!$A:$C,3,0),2)</f>
        <v>Oi Internet pra Celular 500MB (PCS-813564)
$28.44</v>
      </c>
      <c r="FA1" s="126"/>
      <c r="FB1" s="127"/>
      <c r="FC1" s="125" t="s">
        <v>88</v>
      </c>
      <c r="FD1" s="126"/>
      <c r="FE1" s="127"/>
      <c r="FF1" s="125" t="s">
        <v>89</v>
      </c>
      <c r="FG1" s="126"/>
      <c r="FH1" s="127"/>
      <c r="FI1" s="125" t="s">
        <v>90</v>
      </c>
      <c r="FJ1" s="126"/>
      <c r="FK1" s="127"/>
      <c r="FL1" s="125" t="s">
        <v>91</v>
      </c>
      <c r="FM1" s="126"/>
      <c r="FN1" s="127"/>
      <c r="FO1" s="125" t="s">
        <v>92</v>
      </c>
      <c r="FP1" s="126"/>
      <c r="FQ1" s="127"/>
      <c r="FR1" s="147" t="s">
        <v>93</v>
      </c>
      <c r="FS1" s="148"/>
      <c r="FT1" s="149" t="s">
        <v>94</v>
      </c>
      <c r="FU1" s="150"/>
      <c r="FV1" s="151" t="s">
        <v>95</v>
      </c>
      <c r="FW1" s="152"/>
      <c r="FX1" s="152"/>
      <c r="FY1" s="152"/>
      <c r="FZ1" s="152"/>
      <c r="GA1" s="152"/>
      <c r="GB1" s="124"/>
      <c r="GC1" s="151" t="s">
        <v>96</v>
      </c>
      <c r="GD1" s="152"/>
      <c r="GE1" s="124"/>
      <c r="GF1" s="151" t="s">
        <v>96</v>
      </c>
      <c r="GG1" s="152"/>
      <c r="GH1" s="124"/>
      <c r="GI1" s="106" t="s">
        <v>97</v>
      </c>
      <c r="GJ1" s="12" t="s">
        <v>98</v>
      </c>
      <c r="GK1" s="144" t="s">
        <v>99</v>
      </c>
      <c r="GL1" s="145"/>
      <c r="GM1" s="145"/>
      <c r="GN1" s="145"/>
      <c r="GO1" s="145"/>
      <c r="GP1" s="145"/>
      <c r="GQ1" s="145"/>
      <c r="GR1" s="145"/>
      <c r="GS1" s="145"/>
      <c r="GT1" s="145"/>
      <c r="GU1" s="146"/>
    </row>
    <row r="2" spans="1:206" ht="164.25" customHeight="1" thickBot="1" x14ac:dyDescent="0.4">
      <c r="A2" t="s">
        <v>100</v>
      </c>
      <c r="B2" s="13" t="s">
        <v>101</v>
      </c>
      <c r="C2" s="13" t="s">
        <v>102</v>
      </c>
      <c r="D2" s="13" t="s">
        <v>103</v>
      </c>
      <c r="E2" s="13" t="s">
        <v>104</v>
      </c>
      <c r="F2" s="14" t="s">
        <v>105</v>
      </c>
      <c r="G2" s="14" t="s">
        <v>106</v>
      </c>
      <c r="H2" s="14" t="s">
        <v>107</v>
      </c>
      <c r="I2" s="14" t="s">
        <v>108</v>
      </c>
      <c r="J2" s="14" t="s">
        <v>109</v>
      </c>
      <c r="K2" s="14" t="s">
        <v>110</v>
      </c>
      <c r="L2" s="14" t="s">
        <v>111</v>
      </c>
      <c r="M2" s="14" t="s">
        <v>112</v>
      </c>
      <c r="N2" s="14" t="s">
        <v>113</v>
      </c>
      <c r="O2" s="14" t="s">
        <v>114</v>
      </c>
      <c r="P2" s="14" t="s">
        <v>115</v>
      </c>
      <c r="Q2" s="14" t="s">
        <v>116</v>
      </c>
      <c r="R2" s="14" t="s">
        <v>117</v>
      </c>
      <c r="S2" s="14" t="s">
        <v>118</v>
      </c>
      <c r="T2" s="14" t="s">
        <v>119</v>
      </c>
      <c r="U2" s="14" t="s">
        <v>120</v>
      </c>
      <c r="V2" s="14" t="s">
        <v>121</v>
      </c>
      <c r="W2" s="14" t="s">
        <v>122</v>
      </c>
      <c r="X2" s="15" t="s">
        <v>123</v>
      </c>
      <c r="Y2" s="14" t="s">
        <v>124</v>
      </c>
      <c r="Z2" s="14" t="s">
        <v>125</v>
      </c>
      <c r="AA2" s="14" t="s">
        <v>126</v>
      </c>
      <c r="AB2" s="14" t="s">
        <v>127</v>
      </c>
      <c r="AC2" s="14" t="s">
        <v>128</v>
      </c>
      <c r="AD2" s="16" t="s">
        <v>129</v>
      </c>
      <c r="AE2" s="16" t="s">
        <v>130</v>
      </c>
      <c r="AF2" s="16" t="s">
        <v>131</v>
      </c>
      <c r="AG2" s="16" t="s">
        <v>132</v>
      </c>
      <c r="AH2" s="14" t="s">
        <v>133</v>
      </c>
      <c r="AI2" s="14" t="s">
        <v>134</v>
      </c>
      <c r="AJ2" s="14" t="s">
        <v>135</v>
      </c>
      <c r="AK2" s="14" t="s">
        <v>136</v>
      </c>
      <c r="AL2" s="14" t="s">
        <v>137</v>
      </c>
      <c r="AM2" s="14" t="s">
        <v>138</v>
      </c>
      <c r="AN2" s="14" t="s">
        <v>139</v>
      </c>
      <c r="AO2" s="15" t="s">
        <v>140</v>
      </c>
      <c r="AP2" s="15" t="s">
        <v>141</v>
      </c>
      <c r="AQ2" s="14" t="s">
        <v>142</v>
      </c>
      <c r="AR2" s="17" t="s">
        <v>143</v>
      </c>
      <c r="AS2" s="13" t="s">
        <v>144</v>
      </c>
      <c r="AT2" s="13" t="s">
        <v>145</v>
      </c>
      <c r="AU2" s="13" t="s">
        <v>146</v>
      </c>
      <c r="AV2" s="13" t="s">
        <v>147</v>
      </c>
      <c r="AW2" s="17" t="s">
        <v>148</v>
      </c>
      <c r="AX2" s="17" t="s">
        <v>149</v>
      </c>
      <c r="AY2" s="17" t="s">
        <v>150</v>
      </c>
      <c r="AZ2" s="17" t="s">
        <v>151</v>
      </c>
      <c r="BA2" s="17" t="s">
        <v>152</v>
      </c>
      <c r="BB2" s="17" t="s">
        <v>153</v>
      </c>
      <c r="BC2" s="17" t="s">
        <v>154</v>
      </c>
      <c r="BD2" s="18" t="s">
        <v>155</v>
      </c>
      <c r="BE2" s="19" t="s">
        <v>156</v>
      </c>
      <c r="BF2" s="19" t="s">
        <v>157</v>
      </c>
      <c r="BG2" s="17" t="s">
        <v>158</v>
      </c>
      <c r="BH2" s="20" t="s">
        <v>159</v>
      </c>
      <c r="BI2" s="17" t="s">
        <v>160</v>
      </c>
      <c r="BJ2" s="21" t="s">
        <v>161</v>
      </c>
      <c r="BK2" s="22" t="s">
        <v>162</v>
      </c>
      <c r="BL2" s="17" t="s">
        <v>163</v>
      </c>
      <c r="BM2" s="23" t="s">
        <v>164</v>
      </c>
      <c r="BN2" s="24" t="s">
        <v>165</v>
      </c>
      <c r="BO2" s="17" t="s">
        <v>166</v>
      </c>
      <c r="BP2" s="13" t="s">
        <v>161</v>
      </c>
      <c r="BQ2" s="13" t="s">
        <v>167</v>
      </c>
      <c r="BR2" s="17" t="s">
        <v>163</v>
      </c>
      <c r="BS2" s="17" t="s">
        <v>166</v>
      </c>
      <c r="BT2" s="13" t="s">
        <v>161</v>
      </c>
      <c r="BU2" s="13" t="s">
        <v>167</v>
      </c>
      <c r="BV2" s="17" t="s">
        <v>163</v>
      </c>
      <c r="BW2" s="17" t="s">
        <v>166</v>
      </c>
      <c r="BX2" s="13" t="s">
        <v>161</v>
      </c>
      <c r="BY2" s="13" t="s">
        <v>167</v>
      </c>
      <c r="BZ2" s="17" t="s">
        <v>163</v>
      </c>
      <c r="CA2" s="17" t="s">
        <v>166</v>
      </c>
      <c r="CB2" s="13" t="s">
        <v>161</v>
      </c>
      <c r="CC2" s="13" t="s">
        <v>167</v>
      </c>
      <c r="CD2" s="17" t="s">
        <v>163</v>
      </c>
      <c r="CE2" s="17" t="s">
        <v>166</v>
      </c>
      <c r="CF2" s="13" t="s">
        <v>161</v>
      </c>
      <c r="CG2" s="13" t="s">
        <v>167</v>
      </c>
      <c r="CH2" s="17" t="s">
        <v>163</v>
      </c>
      <c r="CI2" s="17" t="s">
        <v>166</v>
      </c>
      <c r="CJ2" s="13" t="s">
        <v>161</v>
      </c>
      <c r="CK2" s="13" t="s">
        <v>167</v>
      </c>
      <c r="CL2" s="17" t="s">
        <v>163</v>
      </c>
      <c r="CM2" s="17" t="s">
        <v>166</v>
      </c>
      <c r="CN2" s="13" t="s">
        <v>161</v>
      </c>
      <c r="CO2" s="13" t="s">
        <v>167</v>
      </c>
      <c r="CP2" s="17" t="s">
        <v>163</v>
      </c>
      <c r="CQ2" s="17" t="s">
        <v>166</v>
      </c>
      <c r="CR2" s="13" t="s">
        <v>161</v>
      </c>
      <c r="CS2" s="13" t="s">
        <v>167</v>
      </c>
      <c r="CT2" s="17" t="s">
        <v>163</v>
      </c>
      <c r="CU2" s="25" t="s">
        <v>161</v>
      </c>
      <c r="CV2" s="25" t="s">
        <v>168</v>
      </c>
      <c r="CW2" s="25" t="s">
        <v>167</v>
      </c>
      <c r="CX2" s="26" t="s">
        <v>163</v>
      </c>
      <c r="CY2" s="17" t="s">
        <v>166</v>
      </c>
      <c r="CZ2" s="13" t="s">
        <v>161</v>
      </c>
      <c r="DA2" s="13" t="s">
        <v>167</v>
      </c>
      <c r="DB2" s="17" t="s">
        <v>163</v>
      </c>
      <c r="DC2" s="25" t="s">
        <v>161</v>
      </c>
      <c r="DD2" s="25" t="s">
        <v>168</v>
      </c>
      <c r="DE2" s="25" t="s">
        <v>167</v>
      </c>
      <c r="DF2" s="26" t="s">
        <v>163</v>
      </c>
      <c r="DG2" s="17" t="s">
        <v>166</v>
      </c>
      <c r="DH2" s="13" t="s">
        <v>161</v>
      </c>
      <c r="DI2" s="13" t="s">
        <v>167</v>
      </c>
      <c r="DJ2" s="17" t="s">
        <v>163</v>
      </c>
      <c r="DK2" s="25" t="s">
        <v>161</v>
      </c>
      <c r="DL2" s="25" t="s">
        <v>168</v>
      </c>
      <c r="DM2" s="25" t="s">
        <v>167</v>
      </c>
      <c r="DN2" s="26" t="s">
        <v>163</v>
      </c>
      <c r="DO2" s="17" t="s">
        <v>166</v>
      </c>
      <c r="DP2" s="13" t="s">
        <v>161</v>
      </c>
      <c r="DQ2" s="13" t="s">
        <v>167</v>
      </c>
      <c r="DR2" s="17" t="s">
        <v>163</v>
      </c>
      <c r="DS2" s="25" t="s">
        <v>161</v>
      </c>
      <c r="DT2" s="25" t="s">
        <v>168</v>
      </c>
      <c r="DU2" s="25" t="s">
        <v>167</v>
      </c>
      <c r="DV2" s="26" t="s">
        <v>163</v>
      </c>
      <c r="DW2" s="27" t="s">
        <v>161</v>
      </c>
      <c r="DX2" s="27" t="s">
        <v>169</v>
      </c>
      <c r="DY2" s="17" t="s">
        <v>163</v>
      </c>
      <c r="DZ2" s="28" t="s">
        <v>170</v>
      </c>
      <c r="EA2" s="29" t="s">
        <v>167</v>
      </c>
      <c r="EB2" s="29" t="s">
        <v>163</v>
      </c>
      <c r="EC2" s="28" t="s">
        <v>171</v>
      </c>
      <c r="ED2" s="28" t="s">
        <v>172</v>
      </c>
      <c r="EE2" s="29" t="s">
        <v>167</v>
      </c>
      <c r="EF2" s="29" t="s">
        <v>163</v>
      </c>
      <c r="EG2" s="30" t="s">
        <v>173</v>
      </c>
      <c r="EH2" s="13" t="s">
        <v>174</v>
      </c>
      <c r="EI2" s="13" t="s">
        <v>175</v>
      </c>
      <c r="EJ2" s="17" t="s">
        <v>176</v>
      </c>
      <c r="EK2" s="17" t="s">
        <v>163</v>
      </c>
      <c r="EL2" s="13" t="s">
        <v>177</v>
      </c>
      <c r="EM2" s="13" t="s">
        <v>167</v>
      </c>
      <c r="EN2" s="17" t="s">
        <v>163</v>
      </c>
      <c r="EO2" s="13" t="s">
        <v>178</v>
      </c>
      <c r="EP2" s="31" t="s">
        <v>179</v>
      </c>
      <c r="EQ2" s="13" t="s">
        <v>180</v>
      </c>
      <c r="ER2" s="13" t="s">
        <v>181</v>
      </c>
      <c r="ES2" s="17" t="s">
        <v>176</v>
      </c>
      <c r="ET2" s="17" t="s">
        <v>163</v>
      </c>
      <c r="EU2" s="32" t="s">
        <v>182</v>
      </c>
      <c r="EV2" s="33" t="s">
        <v>183</v>
      </c>
      <c r="EW2" s="13" t="s">
        <v>161</v>
      </c>
      <c r="EX2" s="13" t="s">
        <v>184</v>
      </c>
      <c r="EY2" s="17" t="s">
        <v>163</v>
      </c>
      <c r="EZ2" s="13" t="s">
        <v>161</v>
      </c>
      <c r="FA2" s="13" t="s">
        <v>184</v>
      </c>
      <c r="FB2" s="17" t="s">
        <v>163</v>
      </c>
      <c r="FC2" s="13" t="s">
        <v>161</v>
      </c>
      <c r="FD2" s="13" t="s">
        <v>184</v>
      </c>
      <c r="FE2" s="17" t="s">
        <v>163</v>
      </c>
      <c r="FF2" s="13" t="s">
        <v>161</v>
      </c>
      <c r="FG2" s="13" t="s">
        <v>184</v>
      </c>
      <c r="FH2" s="17" t="s">
        <v>163</v>
      </c>
      <c r="FI2" s="13" t="s">
        <v>161</v>
      </c>
      <c r="FJ2" s="13" t="s">
        <v>184</v>
      </c>
      <c r="FK2" s="17" t="s">
        <v>163</v>
      </c>
      <c r="FL2" s="13" t="s">
        <v>161</v>
      </c>
      <c r="FM2" s="13" t="s">
        <v>184</v>
      </c>
      <c r="FN2" s="17" t="s">
        <v>163</v>
      </c>
      <c r="FO2" s="13" t="s">
        <v>161</v>
      </c>
      <c r="FP2" s="13" t="s">
        <v>184</v>
      </c>
      <c r="FQ2" s="17" t="s">
        <v>163</v>
      </c>
      <c r="FR2" s="13" t="s">
        <v>167</v>
      </c>
      <c r="FS2" s="17" t="s">
        <v>163</v>
      </c>
      <c r="FT2" s="34" t="s">
        <v>185</v>
      </c>
      <c r="FU2" s="17" t="s">
        <v>186</v>
      </c>
      <c r="FV2" s="13" t="s">
        <v>187</v>
      </c>
      <c r="FW2" s="34" t="s">
        <v>188</v>
      </c>
      <c r="FX2" s="13" t="s">
        <v>189</v>
      </c>
      <c r="FY2" s="35" t="s">
        <v>190</v>
      </c>
      <c r="FZ2" s="17" t="s">
        <v>191</v>
      </c>
      <c r="GA2" s="36" t="s">
        <v>192</v>
      </c>
      <c r="GB2" s="17" t="s">
        <v>193</v>
      </c>
      <c r="GC2" s="35" t="s">
        <v>194</v>
      </c>
      <c r="GD2" s="36" t="s">
        <v>195</v>
      </c>
      <c r="GE2" s="36" t="s">
        <v>163</v>
      </c>
      <c r="GF2" s="35" t="s">
        <v>194</v>
      </c>
      <c r="GG2" s="36" t="s">
        <v>195</v>
      </c>
      <c r="GH2" s="36" t="s">
        <v>163</v>
      </c>
      <c r="GI2" s="37" t="s">
        <v>196</v>
      </c>
      <c r="GJ2" s="38" t="s">
        <v>197</v>
      </c>
      <c r="GK2" s="39" t="s">
        <v>198</v>
      </c>
      <c r="GL2" s="40" t="s">
        <v>199</v>
      </c>
      <c r="GM2" s="40" t="s">
        <v>200</v>
      </c>
      <c r="GN2" s="41" t="s">
        <v>201</v>
      </c>
      <c r="GO2" s="41" t="s">
        <v>202</v>
      </c>
      <c r="GP2" s="41" t="s">
        <v>203</v>
      </c>
      <c r="GQ2" s="40" t="s">
        <v>204</v>
      </c>
      <c r="GR2" s="40" t="s">
        <v>205</v>
      </c>
      <c r="GS2" s="40"/>
      <c r="GT2" s="40" t="s">
        <v>206</v>
      </c>
      <c r="GU2" s="42" t="s">
        <v>207</v>
      </c>
      <c r="GV2" s="43" t="s">
        <v>208</v>
      </c>
      <c r="GW2" s="43" t="s">
        <v>209</v>
      </c>
      <c r="GX2" s="43" t="s">
        <v>210</v>
      </c>
    </row>
    <row r="3" spans="1:206" s="44" customFormat="1" x14ac:dyDescent="0.35">
      <c r="A3" s="44" t="str">
        <f t="shared" ref="A3:A26" si="0">CONCATENATE(BH3,GM3,EV3,GL3)</f>
        <v>Oi Total Fixo + Pós 800 + Banda LargaN1MG</v>
      </c>
      <c r="B3" s="45" t="s">
        <v>211</v>
      </c>
      <c r="C3" s="46" t="s">
        <v>127</v>
      </c>
      <c r="D3" s="46" t="s">
        <v>212</v>
      </c>
      <c r="E3" s="47" t="s">
        <v>213</v>
      </c>
      <c r="F3" s="48" t="s">
        <v>214</v>
      </c>
      <c r="G3" s="49"/>
      <c r="H3" s="49"/>
      <c r="I3" s="49"/>
      <c r="J3" s="49" t="s">
        <v>214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 t="s">
        <v>214</v>
      </c>
      <c r="AC3" s="49" t="s">
        <v>214</v>
      </c>
      <c r="AD3" s="49" t="s">
        <v>214</v>
      </c>
      <c r="AE3" s="49" t="s">
        <v>214</v>
      </c>
      <c r="AF3" s="49" t="s">
        <v>214</v>
      </c>
      <c r="AG3" s="49" t="s">
        <v>214</v>
      </c>
      <c r="AH3" s="50"/>
      <c r="AI3" s="49" t="s">
        <v>214</v>
      </c>
      <c r="AJ3" s="49" t="s">
        <v>214</v>
      </c>
      <c r="AK3" s="49" t="s">
        <v>214</v>
      </c>
      <c r="AL3" s="49" t="s">
        <v>214</v>
      </c>
      <c r="AM3" s="49" t="s">
        <v>214</v>
      </c>
      <c r="AN3" s="49" t="s">
        <v>214</v>
      </c>
      <c r="AO3" s="49" t="s">
        <v>214</v>
      </c>
      <c r="AP3" s="49"/>
      <c r="AQ3" s="51"/>
      <c r="AR3" s="52" t="s">
        <v>215</v>
      </c>
      <c r="AS3" s="46" t="s">
        <v>216</v>
      </c>
      <c r="AT3" s="53" t="s">
        <v>217</v>
      </c>
      <c r="AU3" s="54">
        <v>42972</v>
      </c>
      <c r="AV3" s="55">
        <v>43038</v>
      </c>
      <c r="AW3" s="56" t="s">
        <v>218</v>
      </c>
      <c r="AX3" s="57" t="s">
        <v>218</v>
      </c>
      <c r="AY3" s="58"/>
      <c r="AZ3" s="58" t="s">
        <v>219</v>
      </c>
      <c r="BA3" s="58">
        <v>20</v>
      </c>
      <c r="BB3" s="58">
        <v>10000</v>
      </c>
      <c r="BC3" s="59" t="s">
        <v>220</v>
      </c>
      <c r="BD3" s="60" t="s">
        <v>221</v>
      </c>
      <c r="BE3" s="58" t="s">
        <v>213</v>
      </c>
      <c r="BF3" s="51" t="s">
        <v>213</v>
      </c>
      <c r="BG3" s="45" t="s">
        <v>215</v>
      </c>
      <c r="BH3" s="61" t="s">
        <v>222</v>
      </c>
      <c r="BI3" s="62" t="str">
        <f>IF(ISERROR(VLOOKUP(BH3,[7]PLANOS!B:C,2,0)),"",VLOOKUP(BH3,[7]PLANOS!B:C,2,0))</f>
        <v>PCS-4P6pi</v>
      </c>
      <c r="BJ3" s="63">
        <v>50.1</v>
      </c>
      <c r="BK3" s="64">
        <f>IF(BJ3=0,"",IF(BJ3=VLOOKUP("FIXO",[7]ARBOR!$A:$C,3,0),0.0001,IF(BJ3&gt;VLOOKUP("FIXO",[7]ARBOR!$A:$C,3,0),"Maior que CAP!",IF((DOLLAR(BJ3+(VLOOKUP("FIXO",[7]ARBOR!$A:$C,3,0)*-TRUNC(BJ3/VLOOKUP("FIXO",[7]ARBOR!$A:$C,3,0)-1,4)),6))&lt;&gt;(DOLLAR(VLOOKUP("FIXO",[7]ARBOR!$A:$C,3,0),6)),-TRUNC(BJ3/VLOOKUP("FIXO",[7]ARBOR!$A:$C,3,0)-1,4)+0.0001,-TRUNC(BJ3/VLOOKUP("FIXO",[7]ARBOR!$A:$C,3,0)-1,4)))))</f>
        <v>0.33939999999999998</v>
      </c>
      <c r="BL3" s="65" t="str">
        <f>IF(ISERROR(IF(BK3="","",VLOOKUP(($BH3&amp;BK3&amp;"Template de desconto FLAT bundle - Fixo - Varejo - Ganho Tributário Cross"),[7]BENEFICIOS!$A:$E,5,0))),"Criar",IF(BK3="","",VLOOKUP(($BH3&amp;BK3&amp;"Template de desconto FLAT bundle - Fixo - Varejo - Ganho Tributário Cross"),[7]BENEFICIOS!$A:$E,5,0)))</f>
        <v>MKT-1-9856472058</v>
      </c>
      <c r="BM3" s="66"/>
      <c r="BN3" s="67"/>
      <c r="BO3" s="68" t="s">
        <v>161</v>
      </c>
      <c r="BP3" s="69">
        <v>44.9</v>
      </c>
      <c r="BQ3" s="64">
        <f>IF(BP3=0,"",IF(BP3=VLOOKUP("PCS-30874g",[7]ARBOR!$A:$C,3,0),0.0001,IF(BP3&gt;VLOOKUP("PCS-30874g",[7]ARBOR!$A:$C,3,0),"Maior que CAP!",IF((DOLLAR(BP3+(VLOOKUP("PCS-30874g",[7]ARBOR!$A:$C,3,0)*-TRUNC(BP3/VLOOKUP("PCS-30874g",[7]ARBOR!$A:$C,3,0)-1,4)),6))&lt;&gt;(DOLLAR(VLOOKUP("PCS-30874g",[7]ARBOR!$A:$C,3,0),6)),-TRUNC(BP3/VLOOKUP("PCS-30874g",[7]ARBOR!$A:$C,3,0)-1,4)+0.0001,-TRUNC(BP3/VLOOKUP("PCS-30874g",[7]ARBOR!$A:$C,3,0)-1,4)))))</f>
        <v>0.53679999999999994</v>
      </c>
      <c r="BR3" s="65" t="str">
        <f>IF(ISERROR(IF(BQ3="","",VLOOKUP(($BH3&amp;BQ3&amp;"Template de desconto FLAT bundle - Velox XDSL - Varejo"),[7]BENEFICIOS!$A:$E,5,0))),"Criar",IF(BQ3="","",VLOOKUP(($BH3&amp;BQ3&amp;"Template de desconto FLAT bundle - Velox XDSL - Varejo"),[7]BENEFICIOS!$A:$E,5,0)))</f>
        <v>MKT-1-9865126733</v>
      </c>
      <c r="BS3" s="68" t="s">
        <v>161</v>
      </c>
      <c r="BT3" s="69">
        <v>44.9</v>
      </c>
      <c r="BU3" s="64">
        <f>IF(BT3=0,"",IF(BT3=VLOOKUP("PCS-30577g",[7]ARBOR!$A:$C,3,0),0.0001,IF(BT3&gt;VLOOKUP("PCS-30577g",[7]ARBOR!$A:$C,3,0),"Maior que CAP!",IF((DOLLAR(BT3+(VLOOKUP("PCS-30577g",[7]ARBOR!$A:$C,3,0)*-TRUNC(BT3/VLOOKUP("PCS-30577g",[7]ARBOR!$A:$C,3,0)-1,4)),6))&lt;&gt;(DOLLAR(VLOOKUP("PCS-30577g",[7]ARBOR!$A:$C,3,0),6)),-TRUNC(BT3/VLOOKUP("PCS-30577g",[7]ARBOR!$A:$C,3,0)-1,4)+0.0001,-TRUNC(BT3/VLOOKUP("PCS-30577g",[7]ARBOR!$A:$C,3,0)-1,4)))))</f>
        <v>0.53679999999999994</v>
      </c>
      <c r="BV3" s="65" t="str">
        <f>IF(ISERROR(IF(BU3="","",VLOOKUP(($BH3&amp;BU3&amp;"Template de desconto FLAT bundle - Velox XDSL - Varejo"),[7]BENEFICIOS!$A:$E,5,0))),"Criar",IF(BU3="","",VLOOKUP(($BH3&amp;BU3&amp;"Template de desconto FLAT bundle - Velox XDSL - Varejo"),[7]BENEFICIOS!$A:$E,5,0)))</f>
        <v>MKT-1-9865126733</v>
      </c>
      <c r="BW3" s="68" t="s">
        <v>161</v>
      </c>
      <c r="BX3" s="69">
        <v>44.9</v>
      </c>
      <c r="BY3" s="64">
        <f>IF(BX3=0,"",IF(BX3=VLOOKUP("PCS-30604g",[7]ARBOR!$A:$C,3,0),0.0001,IF(BX3&gt;VLOOKUP("PCS-30604g",[7]ARBOR!$A:$C,3,0),"Maior que CAP!",IF((DOLLAR(BX3+(VLOOKUP("PCS-30604g",[7]ARBOR!$A:$C,3,0)*-TRUNC(BX3/VLOOKUP("PCS-30604g",[7]ARBOR!$A:$C,3,0)-1,4)),6))&lt;&gt;(DOLLAR(VLOOKUP("PCS-30604g",[7]ARBOR!$A:$C,3,0),6)),-TRUNC(BX3/VLOOKUP("PCS-30604g",[7]ARBOR!$A:$C,3,0)-1,4)+0.0001,-TRUNC(BX3/VLOOKUP("PCS-30604g",[7]ARBOR!$A:$C,3,0)-1,4)))))</f>
        <v>0.53679999999999994</v>
      </c>
      <c r="BZ3" s="65" t="str">
        <f>IF(ISERROR(IF(BY3="","",VLOOKUP(($BH3&amp;BY3&amp;"Template de desconto FLAT bundle - Velox XDSL - Varejo"),[7]BENEFICIOS!$A:$E,5,0))),"Criar",IF(BY3="","",VLOOKUP(($BH3&amp;BY3&amp;"Template de desconto FLAT bundle - Velox XDSL - Varejo"),[7]BENEFICIOS!$A:$E,5,0)))</f>
        <v>MKT-1-9865126733</v>
      </c>
      <c r="CA3" s="68" t="s">
        <v>161</v>
      </c>
      <c r="CB3" s="69">
        <v>44.9</v>
      </c>
      <c r="CC3" s="64">
        <f>IF(CB3=0,"",IF(CB3=VLOOKUP("PCS-30631g",[7]ARBOR!$A:$C,3,0),0.0001,IF(CB3&gt;VLOOKUP("PCS-30631g",[7]ARBOR!$A:$C,3,0),"Maior que CAP!",IF((DOLLAR(CB3+(VLOOKUP("PCS-30631g",[7]ARBOR!$A:$C,3,0)*-TRUNC(CB3/VLOOKUP("PCS-30631g",[7]ARBOR!$A:$C,3,0)-1,4)),6))&lt;&gt;(DOLLAR(VLOOKUP("PCS-30631g",[7]ARBOR!$A:$C,3,0),6)),-TRUNC(CB3/VLOOKUP("PCS-30631g",[7]ARBOR!$A:$C,3,0)-1,4)+0.0001,-TRUNC(CB3/VLOOKUP("PCS-30631g",[7]ARBOR!$A:$C,3,0)-1,4)))))</f>
        <v>0.54310000000000003</v>
      </c>
      <c r="CD3" s="65" t="str">
        <f>IF(ISERROR(IF(CC3="","",VLOOKUP(($BH3&amp;CC3&amp;"Template de desconto FLAT bundle - Velox XDSL - Varejo"),[7]BENEFICIOS!$A:$E,5,0))),"Criar",IF(CC3="","",VLOOKUP(($BH3&amp;CC3&amp;"Template de desconto FLAT bundle - Velox XDSL - Varejo"),[7]BENEFICIOS!$A:$E,5,0)))</f>
        <v>MKT-1-9865126826</v>
      </c>
      <c r="CE3" s="68"/>
      <c r="CF3" s="69"/>
      <c r="CG3" s="64" t="str">
        <f>IF(CF3=0,"",IF(CF3=VLOOKUP("PCS-30658g",[7]ARBOR!$A:$C,3,0),0.0001,IF(CF3&gt;VLOOKUP("PCS-30658g",[7]ARBOR!$A:$C,3,0),"Maior que CAP!",IF((DOLLAR(CF3+(VLOOKUP("PCS-30658g",[7]ARBOR!$A:$C,3,0)*-TRUNC(CF3/VLOOKUP("PCS-30658g",[7]ARBOR!$A:$C,3,0)-1,4)),6))&lt;&gt;(DOLLAR(VLOOKUP("PCS-30658g",[7]ARBOR!$A:$C,3,0),6)),-TRUNC(CF3/VLOOKUP("PCS-30658g",[7]ARBOR!$A:$C,3,0)-1,4)+0.0001,-TRUNC(CF3/VLOOKUP("PCS-30658g",[7]ARBOR!$A:$C,3,0)-1,4)))))</f>
        <v/>
      </c>
      <c r="CH3" s="65" t="str">
        <f>IF(ISERROR(IF(CG3="","",VLOOKUP(($BH3&amp;CG3&amp;"Template de desconto FLAT bundle - Velox XDSL - Varejo"),[7]BENEFICIOS!$A:$E,5,0))),"Criar",IF(CG3="","",VLOOKUP(($BH3&amp;CG3&amp;"Template de desconto FLAT bundle - Velox XDSL - Varejo"),[7]BENEFICIOS!$A:$E,5,0)))</f>
        <v/>
      </c>
      <c r="CI3" s="68"/>
      <c r="CJ3" s="69"/>
      <c r="CK3" s="64" t="str">
        <f>IF(CJ3=0,"",IF(CJ3=VLOOKUP("PCS-30685g",[7]ARBOR!$A:$C,3,0),0.0001,IF(CJ3&gt;VLOOKUP("PCS-30685g",[7]ARBOR!$A:$C,3,0),"Maior que CAP!",IF((DOLLAR(CJ3+(VLOOKUP("PCS-30685g",[7]ARBOR!$A:$C,3,0)*-TRUNC(CJ3/VLOOKUP("PCS-30685g",[7]ARBOR!$A:$C,3,0)-1,4)),6))&lt;&gt;(DOLLAR(VLOOKUP("PCS-30685g",[7]ARBOR!$A:$C,3,0),6)),-TRUNC(CJ3/VLOOKUP("PCS-30685g",[7]ARBOR!$A:$C,3,0)-1,4)+0.0001,-TRUNC(CJ3/VLOOKUP("PCS-30685g",[7]ARBOR!$A:$C,3,0)-1,4)))))</f>
        <v/>
      </c>
      <c r="CL3" s="65" t="str">
        <f>IF(ISERROR(IF(CK3="","",VLOOKUP(($BH3&amp;CK3&amp;"Template de desconto FLAT bundle - Velox XDSL - Varejo"),[7]BENEFICIOS!$A:$E,5,0))),"Criar",IF(CK3="","",VLOOKUP(($BH3&amp;CK3&amp;"Template de desconto FLAT bundle - Velox XDSL - Varejo"),[7]BENEFICIOS!$A:$E,5,0)))</f>
        <v/>
      </c>
      <c r="CM3" s="68"/>
      <c r="CN3" s="69"/>
      <c r="CO3" s="64" t="str">
        <f>IF(CN3=0,"",IF(CN3=VLOOKUP("PCS-30712g",[7]ARBOR!$A:$C,3,0),0.0001,IF(CN3&gt;VLOOKUP("PCS-30712g",[7]ARBOR!$A:$C,3,0),"Maior que CAP!",IF((DOLLAR(CN3+(VLOOKUP("PCS-30712g",[7]ARBOR!$A:$C,3,0)*-TRUNC(CN3/VLOOKUP("PCS-30712g",[7]ARBOR!$A:$C,3,0)-1,4)),6))&lt;&gt;(DOLLAR(VLOOKUP("PCS-30712g",[7]ARBOR!$A:$C,3,0),6)),-TRUNC(CN3/VLOOKUP("PCS-30712g",[7]ARBOR!$A:$C,3,0)-1,4)+0.0001,-TRUNC(CN3/VLOOKUP("PCS-30712g",[7]ARBOR!$A:$C,3,0)-1,4)))))</f>
        <v/>
      </c>
      <c r="CP3" s="65" t="str">
        <f>IF(ISERROR(IF(CO3="","",VLOOKUP(($BH3&amp;CO3&amp;"Template de desconto FLAT bundle - Velox XDSL - Varejo"),[7]BENEFICIOS!$A:$E,5,0))),"Criar",IF(CO3="","",VLOOKUP(($BH3&amp;CO3&amp;"Template de desconto FLAT bundle - Velox XDSL - Varejo"),[7]BENEFICIOS!$A:$E,5,0)))</f>
        <v/>
      </c>
      <c r="CQ3" s="68"/>
      <c r="CR3" s="69"/>
      <c r="CS3" s="64" t="str">
        <f>IF(CR3=0,"",IF(CR3=VLOOKUP("PCS-30739g",[7]ARBOR!$A:$C,3,0),0.0001,IF(CR3&gt;VLOOKUP("PCS-30739g",[7]ARBOR!$A:$C,3,0),"Maior que CAP!",IF((DOLLAR(CR3+(VLOOKUP("PCS-30739g",[7]ARBOR!$A:$C,3,0)*-TRUNC(CR3/VLOOKUP("PCS-30739g",[7]ARBOR!$A:$C,3,0)-1,4)),6))&lt;&gt;(DOLLAR(VLOOKUP("PCS-30739g",[7]ARBOR!$A:$C,3,0),6)),-TRUNC(CR3/VLOOKUP("PCS-30739g",[7]ARBOR!$A:$C,3,0)-1,4)+0.0001,-TRUNC(CR3/VLOOKUP("PCS-30739g",[7]ARBOR!$A:$C,3,0)-1,4)))))</f>
        <v/>
      </c>
      <c r="CT3" s="65" t="str">
        <f>IF(ISERROR(IF(CS3="","",VLOOKUP(($BH3&amp;CS3&amp;"Template de desconto FLAT bundle - Velox XDSL - Varejo"),[7]BENEFICIOS!$A:$E,5,0))),"Criar",IF(CS3="","",VLOOKUP(($BH3&amp;CS3&amp;"Template de desconto FLAT bundle - Velox XDSL - Varejo"),[7]BENEFICIOS!$A:$E,5,0)))</f>
        <v/>
      </c>
      <c r="CU3" s="69"/>
      <c r="CV3" s="70"/>
      <c r="CW3" s="64"/>
      <c r="CX3" s="65"/>
      <c r="CY3" s="68"/>
      <c r="CZ3" s="69"/>
      <c r="DA3" s="64" t="str">
        <f>IF(CZ3=0,"",IF(CZ3=VLOOKUP("PCS-30766g",[7]ARBOR!$A:$C,3,0),0.0001,IF(CZ3&gt;VLOOKUP("PCS-30766g",[7]ARBOR!$A:$C,3,0),"Maior que CAP!",IF((DOLLAR(CZ3+(VLOOKUP("PCS-30766g",[7]ARBOR!$A:$C,3,0)*-TRUNC(CZ3/VLOOKUP("PCS-30766g",[7]ARBOR!$A:$C,3,0)-1,4)),6))&lt;&gt;(DOLLAR(VLOOKUP("PCS-30766g",[7]ARBOR!$A:$C,3,0),6)),-TRUNC(CZ3/VLOOKUP("PCS-30766g",[7]ARBOR!$A:$C,3,0)-1,4)+0.0001,-TRUNC(CZ3/VLOOKUP("PCS-30766g",[7]ARBOR!$A:$C,3,0)-1,4)))))</f>
        <v/>
      </c>
      <c r="DB3" s="65" t="str">
        <f>IF(ISERROR(IF(DA3="","",VLOOKUP(($BH3&amp;DA3&amp;"Template de desconto FLAT bundle - Velox XDSL - Varejo"),[7]BENEFICIOS!$A:$E,5,0))),"Criar",IF(DA3="","",VLOOKUP(($BH3&amp;DA3&amp;"Template de desconto FLAT bundle - Velox XDSL - Varejo"),[7]BENEFICIOS!$A:$E,5,0)))</f>
        <v/>
      </c>
      <c r="DC3" s="69"/>
      <c r="DD3" s="70"/>
      <c r="DE3" s="64"/>
      <c r="DF3" s="65"/>
      <c r="DG3" s="68"/>
      <c r="DH3" s="69"/>
      <c r="DI3" s="64" t="str">
        <f>IF(DH3=0,"",IF(DH3=VLOOKUP("PCS-30793g",[7]ARBOR!$A:$C,3,0),0.0001,IF(DH3&gt;VLOOKUP("PCS-30793g",[7]ARBOR!$A:$C,3,0),"Maior que CAP!",IF((DOLLAR(DH3+(VLOOKUP("PCS-30793g",[7]ARBOR!$A:$C,3,0)*-TRUNC(DH3/VLOOKUP("PCS-30793g",[7]ARBOR!$A:$C,3,0)-1,4)),6))&lt;&gt;(DOLLAR(VLOOKUP("PCS-30793g",[7]ARBOR!$A:$C,3,0),6)),-TRUNC(DH3/VLOOKUP("PCS-30793g",[7]ARBOR!$A:$C,3,0)-1,4)+0.0001,-TRUNC(DH3/VLOOKUP("PCS-30793g",[7]ARBOR!$A:$C,3,0)-1,4)))))</f>
        <v/>
      </c>
      <c r="DJ3" s="65" t="str">
        <f>IF(ISERROR(IF(DI3="","",VLOOKUP(($BH3&amp;DI3&amp;"Template de desconto FLAT bundle - Velox XDSL - Varejo"),[7]BENEFICIOS!$A:$E,5,0))),"Criar",IF(DI3="","",VLOOKUP(($BH3&amp;DI3&amp;"Template de desconto FLAT bundle - Velox XDSL - Varejo"),[7]BENEFICIOS!$A:$E,5,0)))</f>
        <v/>
      </c>
      <c r="DK3" s="69"/>
      <c r="DL3" s="70"/>
      <c r="DM3" s="64"/>
      <c r="DN3" s="65"/>
      <c r="DO3" s="68"/>
      <c r="DP3" s="69"/>
      <c r="DQ3" s="64" t="str">
        <f>IF(DP3=0,"",IF(DP3=VLOOKUP("PCS-30820g",[7]ARBOR!$A:$C,3,0),0.0001,IF(DP3&gt;VLOOKUP("PCS-30820g",[7]ARBOR!$A:$C,3,0),"Maior que CAP!",IF((DOLLAR(DP3+(VLOOKUP("PCS-30820g",[7]ARBOR!$A:$C,3,0)*-TRUNC(DP3/VLOOKUP("PCS-30820g",[7]ARBOR!$A:$C,3,0)-1,4)),6))&lt;&gt;(DOLLAR(VLOOKUP("PCS-30820g",[7]ARBOR!$A:$C,3,0),6)),-TRUNC(DP3/VLOOKUP("PCS-30820g",[7]ARBOR!$A:$C,3,0)-1,4)+0.0001,-TRUNC(DP3/VLOOKUP("PCS-30820g",[7]ARBOR!$A:$C,3,0)-1,4)))))</f>
        <v/>
      </c>
      <c r="DR3" s="65" t="str">
        <f>IF(ISERROR(IF(DQ3="","",VLOOKUP(($BH3&amp;DQ3&amp;"Template de desconto FLAT bundle - Velox XDSL - Varejo"),[7]BENEFICIOS!$A:$E,5,0))),"Criar",IF(DQ3="","",VLOOKUP(($BH3&amp;DQ3&amp;"Template de desconto FLAT bundle - Velox XDSL - Varejo"),[7]BENEFICIOS!$A:$E,5,0)))</f>
        <v/>
      </c>
      <c r="DS3" s="69"/>
      <c r="DT3" s="70"/>
      <c r="DU3" s="64"/>
      <c r="DV3" s="65"/>
      <c r="DW3" s="71">
        <v>44.9</v>
      </c>
      <c r="DX3" s="64">
        <f>IF(DW3=0,"",IF(DW3=VLOOKUP("PCS-21448p2",[7]ARBOR!$A:$C,3,0),0.0001,IF(DW3&gt;VLOOKUP("PCS-21448p2",[7]ARBOR!$A:$C,3,0),"Maior que CAP!",IF((DOLLAR(DW3+(VLOOKUP("PCS-21448p2",[7]ARBOR!$A:$C,3,0)*-TRUNC(DW3/VLOOKUP("PCS-21448p2",[7]ARBOR!$A:$C,3,0)-1,4)),6))&lt;&gt;(DOLLAR(VLOOKUP("PCS-21448p2",[7]ARBOR!$A:$C,3,0),6)),-TRUNC(DW3/VLOOKUP("PCS-21448p2",[7]ARBOR!$A:$C,3,0)-1,4)+0.0001,-TRUNC(DW3/VLOOKUP("PCS-21448p2",[7]ARBOR!$A:$C,3,0)-1,4)))))</f>
        <v>0.64900000000000002</v>
      </c>
      <c r="DY3" s="65" t="str">
        <f>IF(ISERROR(IF(DX3="","",VLOOKUP(("Oi Conta Total Plug 10GB Downgrade"&amp;DX3&amp;"Template de desconto percentual BL Móvel - Internet Total - Varejo"),[7]BENEFICIOS!$A:$E,5,0))),"Criar",IF(DX3="","",VLOOKUP(("Oi Conta Total Plug 10GB Downgrade"&amp;DX3&amp;"Template de desconto percentual BL Móvel - Internet Total - Varejo"),[7]BENEFICIOS!$A:$E,5,0)))</f>
        <v>MKT-1-9825544790</v>
      </c>
      <c r="DZ3" s="71">
        <v>16.5</v>
      </c>
      <c r="EA3" s="72">
        <f>IF(DZ3=0,"",IF(DZ3=VLOOKUP("SVA",[7]ARBOR!$A:$C,3,0),0.0001,IF(DZ3&gt;VLOOKUP("SVA",[7]ARBOR!$A:$C,3,0),"Maior que CAP!",IF((DOLLAR(DZ3+(VLOOKUP("SVA",[7]ARBOR!$A:$C,3,0)*-TRUNC(DZ3/VLOOKUP("SVA",[7]ARBOR!$A:$C,3,0)-1,4)),6))&lt;&gt;(DOLLAR(VLOOKUP("SVA",[7]ARBOR!$A:$C,3,0),6)),-TRUNC(DZ3/VLOOKUP("SVA",[7]ARBOR!$A:$C,3,0)-1,4)+0.0001,-TRUNC(DZ3/VLOOKUP("SVA",[7]ARBOR!$A:$C,3,0)-1,4)))))</f>
        <v>0.2301</v>
      </c>
      <c r="EB3" s="65" t="s">
        <v>223</v>
      </c>
      <c r="EC3" s="69"/>
      <c r="ED3" s="73"/>
      <c r="EE3" s="74"/>
      <c r="EF3" s="65"/>
      <c r="EG3" s="75">
        <f>IF(BI3="","",VLOOKUP(BI3,[7]ARBOR!A:C,3,0))</f>
        <v>479.46</v>
      </c>
      <c r="EH3" s="69">
        <v>15</v>
      </c>
      <c r="EI3" s="76">
        <f>IF(EH3="","",1-(EH3/VLOOKUP(BI3&amp;"ASS",[7]ARBOR!A:C,3,0)))</f>
        <v>0.34725848563968664</v>
      </c>
      <c r="EJ3" s="77" t="s">
        <v>224</v>
      </c>
      <c r="EK3" s="78" t="s">
        <v>225</v>
      </c>
      <c r="EL3" s="69">
        <v>145.9</v>
      </c>
      <c r="EM3" s="64">
        <f>ROUND(IF(EL3=0,"",IF(EL3=EG3,0.0001,1-((EL3+(VLOOKUP(BI3&amp;"ASS",[7]ARBOR!A:C,3,0)-EH3))/EG3))),4)</f>
        <v>0.67910000000000004</v>
      </c>
      <c r="EN3" s="65" t="str">
        <f>IF(ISERROR(IF(EM3="","",VLOOKUP(($BH3&amp;EM3&amp;"Template de desconto percentual FLAT Móvel - Conta Total - Varejo - Ganho Tributário Cross"),[7]BENEFICIOS!$A:$E,5,0))),"Criar",IF(EM3="","",VLOOKUP(($BH3&amp;EM3&amp;"Template de desconto percentual FLAT Móvel - Conta Total - Varejo - Ganho Tributário Cross"),[7]BENEFICIOS!$A:$E,5,0)))</f>
        <v>Criar</v>
      </c>
      <c r="EO3" s="79"/>
      <c r="EP3" s="64"/>
      <c r="EQ3" s="72"/>
      <c r="ER3" s="72"/>
      <c r="ES3" s="64"/>
      <c r="ET3" s="80"/>
      <c r="EU3" s="81"/>
      <c r="EV3" s="81"/>
      <c r="EW3" s="82"/>
      <c r="EX3" s="83"/>
      <c r="EY3" s="84"/>
      <c r="EZ3" s="82"/>
      <c r="FA3" s="83"/>
      <c r="FB3" s="84"/>
      <c r="FC3" s="82">
        <v>0</v>
      </c>
      <c r="FD3" s="83" t="str">
        <f>IF(FC3=0,"",IF(FC3=VLOOKUP("PCS-10357",[7]ARBOR!$A:$C,3,0),0.0001,IF(FC3&gt;VLOOKUP("PCS-10357",[7]ARBOR!$A:$C,3,0),"Maior que CAP!",ROUND(-1*(FC3/VLOOKUP("PCS-10357",[7]ARBOR!$A:$C,3,0)-1),4))))</f>
        <v/>
      </c>
      <c r="FE3" s="84" t="str">
        <f>IF(ISERROR(IF(FD3="","",VLOOKUP(("Oi Internet Pra Celular 1GB"&amp;FD3&amp;"Template Flat Instância Dados"),[7]BENEFICIOS!$A:$E,5,0))),"Criar",IF(FD3="","",VLOOKUP(("Oi Internet Pra Celular 1GB"&amp;FD3&amp;"Template Flat Instância Dados"),[7]BENEFICIOS!$A:$E,5,0)))</f>
        <v/>
      </c>
      <c r="FF3" s="82"/>
      <c r="FG3" s="83" t="str">
        <f>IF(FF3=0,"",IF(FF3=VLOOKUP("PCS-813565",[7]ARBOR!$A:$C,3,0),0.0001,IF(FF3&gt;VLOOKUP("PCS-813565",[7]ARBOR!$A:$C,3,0),"Maior que CAP!",ROUND(-1*(FF3/VLOOKUP("PCS-813565",[7]ARBOR!$A:$C,3,0)-1),4))))</f>
        <v/>
      </c>
      <c r="FH3" s="84" t="str">
        <f>IF(ISERROR(IF(FG3="","",VLOOKUP(("Oi Internet Pra Celular 2GB"&amp;FG3&amp;"Template Flat Instância Dados"),[7]BENEFICIOS!$A:$E,5,0))),"Criar",IF(FG3="","",VLOOKUP(("Oi Internet Pra Celular 2GB"&amp;FG3&amp;"Template Flat Instância Dados"),[7]BENEFICIOS!$A:$E,5,0)))</f>
        <v/>
      </c>
      <c r="FI3" s="82"/>
      <c r="FJ3" s="83" t="str">
        <f>IF(FI3=0,"",IF(FI3=VLOOKUP("PCS-7171B",[7]ARBOR!$A:$C,3,0),0.0001,IF(FI3&gt;VLOOKUP("PCS-7171B",[7]ARBOR!$A:$C,3,0),"Maior que CAP!",ROUND(-1*(FI3/VLOOKUP("PCS-7171B",[7]ARBOR!$A:$C,3,0)-1),4))))</f>
        <v/>
      </c>
      <c r="FK3" s="84" t="str">
        <f>IF(ISERROR(IF(FJ3="","",VLOOKUP(("Oi Internet Pra Celular 3GB"&amp;FJ3&amp;"Template Flat Instância Dados"),[7]BENEFICIOS!$A:$E,5,0))),"Criar",IF(FJ3="","",VLOOKUP(("Oi Internet Pra Celular 3GB"&amp;FJ3&amp;"Template Flat Instância Dados"),[7]BENEFICIOS!$A:$E,5,0)))</f>
        <v/>
      </c>
      <c r="FL3" s="82"/>
      <c r="FM3" s="83" t="str">
        <f>IF(FL3=0,"",IF(FL3=VLOOKUP("PCS-51793o08",[7]ARBOR!$A:$C,3,0),0.0001,IF(FL3&gt;VLOOKUP("PCS-51793o08",[7]ARBOR!$A:$C,3,0),"Maior que CAP!",ROUND(-1*(FL3/VLOOKUP("PCS-51793o08",[7]ARBOR!$A:$C,3,0)-1),4))))</f>
        <v/>
      </c>
      <c r="FN3" s="84" t="str">
        <f>IF(ISERROR(IF(FM3="","",VLOOKUP(("Oi Internet Pra Celular 5GB"&amp;FM3&amp;"Template Flat Instância Dados"),[7]BENEFICIOS!$A:$E,5,0))),"Criar",IF(FM3="","",VLOOKUP(("Oi Internet Pra Celular 5GB"&amp;FM3&amp;"Template Flat Instância Dados"),[7]BENEFICIOS!$A:$E,5,0)))</f>
        <v/>
      </c>
      <c r="FO3" s="82"/>
      <c r="FP3" s="83" t="str">
        <f>IF(FO3=0,"",IF(FO3=VLOOKUP("PCS-7171A",[7]ARBOR!$A:$C,3,0),0.0001,IF(FO3&gt;VLOOKUP("PCS-7171A",[7]ARBOR!$A:$C,3,0),"Maior que CAP!",ROUND(-1*(FO3/VLOOKUP("PCS-7171A",[7]ARBOR!$A:$C,3,0)-1),4))))</f>
        <v/>
      </c>
      <c r="FQ3" s="84" t="str">
        <f>IF(ISERROR(IF(FP3="","",VLOOKUP(("Oi Internet Pra Celular 10GB"&amp;FP3&amp;"Template Flat Instância Dados"),[7]BENEFICIOS!$A:$E,5,0))),"Criar",IF(FP3="","",VLOOKUP(("Oi Internet Pra Celular 10GB"&amp;FP3&amp;"Template Flat Instância Dados"),[7]BENEFICIOS!$A:$E,5,0)))</f>
        <v/>
      </c>
      <c r="FR3" s="85"/>
      <c r="FS3" s="86"/>
      <c r="FT3" s="48"/>
      <c r="FU3" s="87"/>
      <c r="FV3" s="88" t="s">
        <v>221</v>
      </c>
      <c r="FW3" s="49" t="s">
        <v>226</v>
      </c>
      <c r="FX3" s="89">
        <v>999</v>
      </c>
      <c r="FY3" s="49">
        <v>12</v>
      </c>
      <c r="FZ3" s="90" t="s">
        <v>227</v>
      </c>
      <c r="GA3" s="91" t="str">
        <f t="shared" ref="GA3:GA26" si="1">IF(FW3="Benefício","PCS-Fk83324","")</f>
        <v>PCS-Fk83324</v>
      </c>
      <c r="GB3" s="92" t="str">
        <f t="shared" ref="GB3:GB26" si="2">IF(FV3="Sim","PCS-SBL553142","")</f>
        <v>PCS-SBL553142</v>
      </c>
      <c r="GC3" s="93" t="s">
        <v>228</v>
      </c>
      <c r="GD3" s="90" t="s">
        <v>229</v>
      </c>
      <c r="GE3" s="92" t="s">
        <v>230</v>
      </c>
      <c r="GF3" s="93" t="s">
        <v>231</v>
      </c>
      <c r="GG3" s="90" t="s">
        <v>232</v>
      </c>
      <c r="GH3" s="92" t="s">
        <v>233</v>
      </c>
      <c r="GI3" s="94" t="s">
        <v>234</v>
      </c>
      <c r="GJ3" s="95">
        <f>FC3+EL3+DW3+BJ3</f>
        <v>240.9</v>
      </c>
      <c r="GK3" s="96"/>
      <c r="GL3" s="97" t="s">
        <v>235</v>
      </c>
      <c r="GM3" s="98" t="s">
        <v>236</v>
      </c>
      <c r="GN3" s="97">
        <f>VLOOKUP($A3,'[7]TABELA COM TUDO'!$A:$AB,25,0)</f>
        <v>0</v>
      </c>
      <c r="GO3" s="99">
        <f>VLOOKUP($A3,'[7]TABELA COM TUDO'!$A:$AB,26,0)</f>
        <v>0</v>
      </c>
      <c r="GP3" s="100">
        <f t="shared" ref="GP3:GP4" si="3">IFERROR(TRUNC(GO3/GN3-1,4),100%)</f>
        <v>1</v>
      </c>
      <c r="GQ3" s="97">
        <f t="shared" ref="GQ3:GQ14" si="4">TRUNC(GN3*GP3,2)</f>
        <v>0</v>
      </c>
      <c r="GR3" s="97">
        <f t="shared" ref="GR3:GR14" si="5">GN3-GQ3</f>
        <v>0</v>
      </c>
      <c r="GS3" s="101"/>
      <c r="GT3" s="101"/>
      <c r="GU3" s="102" t="b">
        <f t="shared" ref="GU3:GU14" si="6">IF(GR3&lt;=GO3,TRUE,FALSE)</f>
        <v>1</v>
      </c>
      <c r="GV3" s="103">
        <f t="shared" ref="GV3:GV14" si="7">GR3-GO3</f>
        <v>0</v>
      </c>
      <c r="GW3" s="44" t="s">
        <v>237</v>
      </c>
      <c r="GX3" s="44" t="s">
        <v>238</v>
      </c>
    </row>
    <row r="4" spans="1:206" s="44" customFormat="1" x14ac:dyDescent="0.35">
      <c r="A4" s="44" t="str">
        <f t="shared" si="0"/>
        <v>Oi Total Fixo + Pós 800 + Banda LargaN1MG</v>
      </c>
      <c r="B4" s="45" t="s">
        <v>211</v>
      </c>
      <c r="C4" s="46" t="s">
        <v>127</v>
      </c>
      <c r="D4" s="46" t="s">
        <v>212</v>
      </c>
      <c r="E4" s="47" t="s">
        <v>213</v>
      </c>
      <c r="F4" s="48" t="s">
        <v>214</v>
      </c>
      <c r="G4" s="49"/>
      <c r="H4" s="49"/>
      <c r="I4" s="49"/>
      <c r="J4" s="49" t="s">
        <v>214</v>
      </c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 t="s">
        <v>214</v>
      </c>
      <c r="AC4" s="49" t="s">
        <v>214</v>
      </c>
      <c r="AD4" s="49" t="s">
        <v>214</v>
      </c>
      <c r="AE4" s="49" t="s">
        <v>214</v>
      </c>
      <c r="AF4" s="49" t="s">
        <v>214</v>
      </c>
      <c r="AG4" s="49" t="s">
        <v>214</v>
      </c>
      <c r="AH4" s="50"/>
      <c r="AI4" s="49" t="s">
        <v>214</v>
      </c>
      <c r="AJ4" s="49" t="s">
        <v>214</v>
      </c>
      <c r="AK4" s="49" t="s">
        <v>214</v>
      </c>
      <c r="AL4" s="49" t="s">
        <v>214</v>
      </c>
      <c r="AM4" s="49" t="s">
        <v>214</v>
      </c>
      <c r="AN4" s="49" t="s">
        <v>214</v>
      </c>
      <c r="AO4" s="49" t="s">
        <v>214</v>
      </c>
      <c r="AP4" s="49"/>
      <c r="AQ4" s="51"/>
      <c r="AR4" s="52" t="s">
        <v>239</v>
      </c>
      <c r="AS4" s="46" t="s">
        <v>216</v>
      </c>
      <c r="AT4" s="53" t="s">
        <v>217</v>
      </c>
      <c r="AU4" s="54">
        <v>42972</v>
      </c>
      <c r="AV4" s="55">
        <v>43038</v>
      </c>
      <c r="AW4" s="56" t="s">
        <v>218</v>
      </c>
      <c r="AX4" s="57" t="s">
        <v>218</v>
      </c>
      <c r="AY4" s="58"/>
      <c r="AZ4" s="58" t="s">
        <v>219</v>
      </c>
      <c r="BA4" s="58">
        <v>20</v>
      </c>
      <c r="BB4" s="58">
        <v>10000</v>
      </c>
      <c r="BC4" s="59" t="s">
        <v>220</v>
      </c>
      <c r="BD4" s="60" t="s">
        <v>221</v>
      </c>
      <c r="BE4" s="58" t="s">
        <v>213</v>
      </c>
      <c r="BF4" s="51" t="s">
        <v>213</v>
      </c>
      <c r="BG4" s="45" t="s">
        <v>239</v>
      </c>
      <c r="BH4" s="61" t="s">
        <v>222</v>
      </c>
      <c r="BI4" s="62" t="str">
        <f>IF(ISERROR(VLOOKUP(BH4,[7]PLANOS!B:C,2,0)),"",VLOOKUP(BH4,[7]PLANOS!B:C,2,0))</f>
        <v>PCS-4P6pi</v>
      </c>
      <c r="BJ4" s="63">
        <v>50.1</v>
      </c>
      <c r="BK4" s="64">
        <f>IF(BJ4=0,"",IF(BJ4=VLOOKUP("FIXO",[7]ARBOR!$A:$C,3,0),0.0001,IF(BJ4&gt;VLOOKUP("FIXO",[7]ARBOR!$A:$C,3,0),"Maior que CAP!",IF((DOLLAR(BJ4+(VLOOKUP("FIXO",[7]ARBOR!$A:$C,3,0)*-TRUNC(BJ4/VLOOKUP("FIXO",[7]ARBOR!$A:$C,3,0)-1,4)),6))&lt;&gt;(DOLLAR(VLOOKUP("FIXO",[7]ARBOR!$A:$C,3,0),6)),-TRUNC(BJ4/VLOOKUP("FIXO",[7]ARBOR!$A:$C,3,0)-1,4)+0.0001,-TRUNC(BJ4/VLOOKUP("FIXO",[7]ARBOR!$A:$C,3,0)-1,4)))))</f>
        <v>0.33939999999999998</v>
      </c>
      <c r="BL4" s="65" t="str">
        <f>IF(ISERROR(IF(BK4="","",VLOOKUP(($BH4&amp;BK4&amp;"Template de desconto FLAT bundle - Fixo - Varejo - Ganho Tributário Cross"),[7]BENEFICIOS!$A:$E,5,0))),"Criar",IF(BK4="","",VLOOKUP(($BH4&amp;BK4&amp;"Template de desconto FLAT bundle - Fixo - Varejo - Ganho Tributário Cross"),[7]BENEFICIOS!$A:$E,5,0)))</f>
        <v>MKT-1-9856472058</v>
      </c>
      <c r="BM4" s="66"/>
      <c r="BN4" s="67"/>
      <c r="BO4" s="104" t="s">
        <v>240</v>
      </c>
      <c r="BP4" s="69">
        <v>44.9</v>
      </c>
      <c r="BQ4" s="64">
        <f>IF(BP4=0,"",IF(BP4=VLOOKUP("PCS-30874g",[7]ARBOR!$A:$C,3,0),0.0001,IF(BP4&gt;VLOOKUP("PCS-30874g",[7]ARBOR!$A:$C,3,0),"Maior que CAP!",IF((DOLLAR(BP4+(VLOOKUP("PCS-30874g",[7]ARBOR!$A:$C,3,0)*-TRUNC(BP4/VLOOKUP("PCS-30874g",[7]ARBOR!$A:$C,3,0)-1,4)),6))&lt;&gt;(DOLLAR(VLOOKUP("PCS-30874g",[7]ARBOR!$A:$C,3,0),6)),-TRUNC(BP4/VLOOKUP("PCS-30874g",[7]ARBOR!$A:$C,3,0)-1,4)+0.0001,-TRUNC(BP4/VLOOKUP("PCS-30874g",[7]ARBOR!$A:$C,3,0)-1,4)))))</f>
        <v>0.53679999999999994</v>
      </c>
      <c r="BR4" s="65" t="str">
        <f>IF(ISERROR(IF(BQ4="","",VLOOKUP(($BH4&amp;BQ4&amp;"Template de desconto FLAT bundle - Velox XDSL - Varejo"),[7]BENEFICIOS!$A:$E,5,0))),"Criar",IF(BQ4="","",VLOOKUP(($BH4&amp;BQ4&amp;"Template de desconto FLAT bundle - Velox XDSL - Varejo"),[7]BENEFICIOS!$A:$E,5,0)))</f>
        <v>MKT-1-9865126733</v>
      </c>
      <c r="BS4" s="104" t="s">
        <v>240</v>
      </c>
      <c r="BT4" s="69">
        <v>44.9</v>
      </c>
      <c r="BU4" s="64">
        <f>IF(BT4=0,"",IF(BT4=VLOOKUP("PCS-30577g",[7]ARBOR!$A:$C,3,0),0.0001,IF(BT4&gt;VLOOKUP("PCS-30577g",[7]ARBOR!$A:$C,3,0),"Maior que CAP!",IF((DOLLAR(BT4+(VLOOKUP("PCS-30577g",[7]ARBOR!$A:$C,3,0)*-TRUNC(BT4/VLOOKUP("PCS-30577g",[7]ARBOR!$A:$C,3,0)-1,4)),6))&lt;&gt;(DOLLAR(VLOOKUP("PCS-30577g",[7]ARBOR!$A:$C,3,0),6)),-TRUNC(BT4/VLOOKUP("PCS-30577g",[7]ARBOR!$A:$C,3,0)-1,4)+0.0001,-TRUNC(BT4/VLOOKUP("PCS-30577g",[7]ARBOR!$A:$C,3,0)-1,4)))))</f>
        <v>0.53679999999999994</v>
      </c>
      <c r="BV4" s="65" t="str">
        <f>IF(ISERROR(IF(BU4="","",VLOOKUP(($BH4&amp;BU4&amp;"Template de desconto FLAT bundle - Velox XDSL - Varejo"),[7]BENEFICIOS!$A:$E,5,0))),"Criar",IF(BU4="","",VLOOKUP(($BH4&amp;BU4&amp;"Template de desconto FLAT bundle - Velox XDSL - Varejo"),[7]BENEFICIOS!$A:$E,5,0)))</f>
        <v>MKT-1-9865126733</v>
      </c>
      <c r="BW4" s="104" t="s">
        <v>240</v>
      </c>
      <c r="BX4" s="69">
        <v>44.9</v>
      </c>
      <c r="BY4" s="64">
        <f>IF(BX4=0,"",IF(BX4=VLOOKUP("PCS-30604g",[7]ARBOR!$A:$C,3,0),0.0001,IF(BX4&gt;VLOOKUP("PCS-30604g",[7]ARBOR!$A:$C,3,0),"Maior que CAP!",IF((DOLLAR(BX4+(VLOOKUP("PCS-30604g",[7]ARBOR!$A:$C,3,0)*-TRUNC(BX4/VLOOKUP("PCS-30604g",[7]ARBOR!$A:$C,3,0)-1,4)),6))&lt;&gt;(DOLLAR(VLOOKUP("PCS-30604g",[7]ARBOR!$A:$C,3,0),6)),-TRUNC(BX4/VLOOKUP("PCS-30604g",[7]ARBOR!$A:$C,3,0)-1,4)+0.0001,-TRUNC(BX4/VLOOKUP("PCS-30604g",[7]ARBOR!$A:$C,3,0)-1,4)))))</f>
        <v>0.53679999999999994</v>
      </c>
      <c r="BZ4" s="65" t="str">
        <f>IF(ISERROR(IF(BY4="","",VLOOKUP(($BH4&amp;BY4&amp;"Template de desconto FLAT bundle - Velox XDSL - Varejo"),[7]BENEFICIOS!$A:$E,5,0))),"Criar",IF(BY4="","",VLOOKUP(($BH4&amp;BY4&amp;"Template de desconto FLAT bundle - Velox XDSL - Varejo"),[7]BENEFICIOS!$A:$E,5,0)))</f>
        <v>MKT-1-9865126733</v>
      </c>
      <c r="CA4" s="104" t="s">
        <v>240</v>
      </c>
      <c r="CB4" s="69">
        <v>44.9</v>
      </c>
      <c r="CC4" s="64">
        <f>IF(CB4=0,"",IF(CB4=VLOOKUP("PCS-30631g",[7]ARBOR!$A:$C,3,0),0.0001,IF(CB4&gt;VLOOKUP("PCS-30631g",[7]ARBOR!$A:$C,3,0),"Maior que CAP!",IF((DOLLAR(CB4+(VLOOKUP("PCS-30631g",[7]ARBOR!$A:$C,3,0)*-TRUNC(CB4/VLOOKUP("PCS-30631g",[7]ARBOR!$A:$C,3,0)-1,4)),6))&lt;&gt;(DOLLAR(VLOOKUP("PCS-30631g",[7]ARBOR!$A:$C,3,0),6)),-TRUNC(CB4/VLOOKUP("PCS-30631g",[7]ARBOR!$A:$C,3,0)-1,4)+0.0001,-TRUNC(CB4/VLOOKUP("PCS-30631g",[7]ARBOR!$A:$C,3,0)-1,4)))))</f>
        <v>0.54310000000000003</v>
      </c>
      <c r="CD4" s="65" t="str">
        <f>IF(ISERROR(IF(CC4="","",VLOOKUP(($BH4&amp;CC4&amp;"Template de desconto FLAT bundle - Velox XDSL - Varejo"),[7]BENEFICIOS!$A:$E,5,0))),"Criar",IF(CC4="","",VLOOKUP(($BH4&amp;CC4&amp;"Template de desconto FLAT bundle - Velox XDSL - Varejo"),[7]BENEFICIOS!$A:$E,5,0)))</f>
        <v>MKT-1-9865126826</v>
      </c>
      <c r="CE4" s="68" t="s">
        <v>161</v>
      </c>
      <c r="CF4" s="69">
        <v>49.9</v>
      </c>
      <c r="CG4" s="64">
        <f>IF(CF4=0,"",IF(CF4=VLOOKUP("PCS-30658g",[7]ARBOR!$A:$C,3,0),0.0001,IF(CF4&gt;VLOOKUP("PCS-30658g",[7]ARBOR!$A:$C,3,0),"Maior que CAP!",IF((DOLLAR(CF4+(VLOOKUP("PCS-30658g",[7]ARBOR!$A:$C,3,0)*-TRUNC(CF4/VLOOKUP("PCS-30658g",[7]ARBOR!$A:$C,3,0)-1,4)),6))&lt;&gt;(DOLLAR(VLOOKUP("PCS-30658g",[7]ARBOR!$A:$C,3,0),6)),-TRUNC(CF4/VLOOKUP("PCS-30658g",[7]ARBOR!$A:$C,3,0)-1,4)+0.0001,-TRUNC(CF4/VLOOKUP("PCS-30658g",[7]ARBOR!$A:$C,3,0)-1,4)))))</f>
        <v>0.55569999999999997</v>
      </c>
      <c r="CH4" s="65" t="str">
        <f>IF(ISERROR(IF(CG4="","",VLOOKUP(($BH4&amp;CG4&amp;"Template de desconto FLAT bundle - Velox XDSL - Varejo"),[7]BENEFICIOS!$A:$E,5,0))),"Criar",IF(CG4="","",VLOOKUP(($BH4&amp;CG4&amp;"Template de desconto FLAT bundle - Velox XDSL - Varejo"),[7]BENEFICIOS!$A:$E,5,0)))</f>
        <v>MKT-1-9865126919</v>
      </c>
      <c r="CI4" s="68" t="s">
        <v>161</v>
      </c>
      <c r="CJ4" s="69">
        <v>49.9</v>
      </c>
      <c r="CK4" s="64">
        <f>IF(CJ4=0,"",IF(CJ4=VLOOKUP("PCS-30685g",[7]ARBOR!$A:$C,3,0),0.0001,IF(CJ4&gt;VLOOKUP("PCS-30685g",[7]ARBOR!$A:$C,3,0),"Maior que CAP!",IF((DOLLAR(CJ4+(VLOOKUP("PCS-30685g",[7]ARBOR!$A:$C,3,0)*-TRUNC(CJ4/VLOOKUP("PCS-30685g",[7]ARBOR!$A:$C,3,0)-1,4)),6))&lt;&gt;(DOLLAR(VLOOKUP("PCS-30685g",[7]ARBOR!$A:$C,3,0),6)),-TRUNC(CJ4/VLOOKUP("PCS-30685g",[7]ARBOR!$A:$C,3,0)-1,4)+0.0001,-TRUNC(CJ4/VLOOKUP("PCS-30685g",[7]ARBOR!$A:$C,3,0)-1,4)))))</f>
        <v>0.60509999999999997</v>
      </c>
      <c r="CL4" s="65" t="str">
        <f>IF(ISERROR(IF(CK4="","",VLOOKUP(($BH4&amp;CK4&amp;"Template de desconto FLAT bundle - Velox XDSL - Varejo"),[7]BENEFICIOS!$A:$E,5,0))),"Criar",IF(CK4="","",VLOOKUP(($BH4&amp;CK4&amp;"Template de desconto FLAT bundle - Velox XDSL - Varejo"),[7]BENEFICIOS!$A:$E,5,0)))</f>
        <v>MKT-1-9865694381</v>
      </c>
      <c r="CM4" s="68" t="s">
        <v>161</v>
      </c>
      <c r="CN4" s="69">
        <v>49.9</v>
      </c>
      <c r="CO4" s="64">
        <f>IF(CN4=0,"",IF(CN4=VLOOKUP("PCS-30712g",[7]ARBOR!$A:$C,3,0),0.0001,IF(CN4&gt;VLOOKUP("PCS-30712g",[7]ARBOR!$A:$C,3,0),"Maior que CAP!",IF((DOLLAR(CN4+(VLOOKUP("PCS-30712g",[7]ARBOR!$A:$C,3,0)*-TRUNC(CN4/VLOOKUP("PCS-30712g",[7]ARBOR!$A:$C,3,0)-1,4)),6))&lt;&gt;(DOLLAR(VLOOKUP("PCS-30712g",[7]ARBOR!$A:$C,3,0),6)),-TRUNC(CN4/VLOOKUP("PCS-30712g",[7]ARBOR!$A:$C,3,0)-1,4)+0.0001,-TRUNC(CN4/VLOOKUP("PCS-30712g",[7]ARBOR!$A:$C,3,0)-1,4)))))</f>
        <v>0.64459999999999995</v>
      </c>
      <c r="CP4" s="65" t="str">
        <f>IF(ISERROR(IF(CO4="","",VLOOKUP(($BH4&amp;CO4&amp;"Template de desconto FLAT bundle - Velox XDSL - Varejo"),[7]BENEFICIOS!$A:$E,5,0))),"Criar",IF(CO4="","",VLOOKUP(($BH4&amp;CO4&amp;"Template de desconto FLAT bundle - Velox XDSL - Varejo"),[7]BENEFICIOS!$A:$E,5,0)))</f>
        <v>MKT-1-9865191105</v>
      </c>
      <c r="CQ4" s="68" t="s">
        <v>161</v>
      </c>
      <c r="CR4" s="69">
        <v>59.9</v>
      </c>
      <c r="CS4" s="64">
        <f>IF(CR4=0,"",IF(CR4=VLOOKUP("PCS-30739g",[7]ARBOR!$A:$C,3,0),0.0001,IF(CR4&gt;VLOOKUP("PCS-30739g",[7]ARBOR!$A:$C,3,0),"Maior que CAP!",IF((DOLLAR(CR4+(VLOOKUP("PCS-30739g",[7]ARBOR!$A:$C,3,0)*-TRUNC(CR4/VLOOKUP("PCS-30739g",[7]ARBOR!$A:$C,3,0)-1,4)),6))&lt;&gt;(DOLLAR(VLOOKUP("PCS-30739g",[7]ARBOR!$A:$C,3,0),6)),-TRUNC(CR4/VLOOKUP("PCS-30739g",[7]ARBOR!$A:$C,3,0)-1,4)+0.0001,-TRUNC(CR4/VLOOKUP("PCS-30739g",[7]ARBOR!$A:$C,3,0)-1,4)))))</f>
        <v>0.71560000000000001</v>
      </c>
      <c r="CT4" s="65" t="str">
        <f>IF(ISERROR(IF(CS4="","",VLOOKUP(($BH4&amp;CS4&amp;"Template de desconto FLAT bundle - Velox XDSL - Varejo"),[7]BENEFICIOS!$A:$E,5,0))),"Criar",IF(CS4="","",VLOOKUP(($BH4&amp;CS4&amp;"Template de desconto FLAT bundle - Velox XDSL - Varejo"),[7]BENEFICIOS!$A:$E,5,0)))</f>
        <v>MKT-1-9865191198</v>
      </c>
      <c r="CU4" s="69"/>
      <c r="CV4" s="70"/>
      <c r="CW4" s="64"/>
      <c r="CX4" s="65"/>
      <c r="CY4" s="68" t="s">
        <v>161</v>
      </c>
      <c r="CZ4" s="69">
        <v>59.9</v>
      </c>
      <c r="DA4" s="64">
        <f>IF(CZ4=0,"",IF(CZ4=VLOOKUP("PCS-30766g",[7]ARBOR!$A:$C,3,0),0.0001,IF(CZ4&gt;VLOOKUP("PCS-30766g",[7]ARBOR!$A:$C,3,0),"Maior que CAP!",IF((DOLLAR(CZ4+(VLOOKUP("PCS-30766g",[7]ARBOR!$A:$C,3,0)*-TRUNC(CZ4/VLOOKUP("PCS-30766g",[7]ARBOR!$A:$C,3,0)-1,4)),6))&lt;&gt;(DOLLAR(VLOOKUP("PCS-30766g",[7]ARBOR!$A:$C,3,0),6)),-TRUNC(CZ4/VLOOKUP("PCS-30766g",[7]ARBOR!$A:$C,3,0)-1,4)+0.0001,-TRUNC(CZ4/VLOOKUP("PCS-30766g",[7]ARBOR!$A:$C,3,0)-1,4)))))</f>
        <v>0.78669999999999995</v>
      </c>
      <c r="DB4" s="65" t="str">
        <f>IF(ISERROR(IF(DA4="","",VLOOKUP(($BH4&amp;DA4&amp;"Template de desconto FLAT bundle - Velox XDSL - Varejo"),[7]BENEFICIOS!$A:$E,5,0))),"Criar",IF(DA4="","",VLOOKUP(($BH4&amp;DA4&amp;"Template de desconto FLAT bundle - Velox XDSL - Varejo"),[7]BENEFICIOS!$A:$E,5,0)))</f>
        <v>MKT-1-9865191291</v>
      </c>
      <c r="DC4" s="69"/>
      <c r="DD4" s="70"/>
      <c r="DE4" s="64"/>
      <c r="DF4" s="65"/>
      <c r="DG4" s="68" t="s">
        <v>240</v>
      </c>
      <c r="DH4" s="69">
        <v>69.900000000000006</v>
      </c>
      <c r="DI4" s="64">
        <f>IF(DH4=0,"",IF(DH4=VLOOKUP("PCS-30793g",[7]ARBOR!$A:$C,3,0),0.0001,IF(DH4&gt;VLOOKUP("PCS-30793g",[7]ARBOR!$A:$C,3,0),"Maior que CAP!",IF((DOLLAR(DH4+(VLOOKUP("PCS-30793g",[7]ARBOR!$A:$C,3,0)*-TRUNC(DH4/VLOOKUP("PCS-30793g",[7]ARBOR!$A:$C,3,0)-1,4)),6))&lt;&gt;(DOLLAR(VLOOKUP("PCS-30793g",[7]ARBOR!$A:$C,3,0),6)),-TRUNC(DH4/VLOOKUP("PCS-30793g",[7]ARBOR!$A:$C,3,0)-1,4)+0.0001,-TRUNC(DH4/VLOOKUP("PCS-30793g",[7]ARBOR!$A:$C,3,0)-1,4)))))</f>
        <v>0.75109999999999999</v>
      </c>
      <c r="DJ4" s="65" t="str">
        <f>IF(ISERROR(IF(DI4="","",VLOOKUP(($BH4&amp;DI4&amp;"Template de desconto FLAT bundle - Velox XDSL - Varejo"),[7]BENEFICIOS!$A:$E,5,0))),"Criar",IF(DI4="","",VLOOKUP(($BH4&amp;DI4&amp;"Template de desconto FLAT bundle - Velox XDSL - Varejo"),[7]BENEFICIOS!$A:$E,5,0)))</f>
        <v>MKT-1-9865191384</v>
      </c>
      <c r="DK4" s="69"/>
      <c r="DL4" s="70"/>
      <c r="DM4" s="64"/>
      <c r="DN4" s="65"/>
      <c r="DO4" s="68" t="s">
        <v>161</v>
      </c>
      <c r="DP4" s="69">
        <v>69.900000000000006</v>
      </c>
      <c r="DQ4" s="64">
        <f>IF(DP4=0,"",IF(DP4=VLOOKUP("PCS-30820g",[7]ARBOR!$A:$C,3,0),0.0001,IF(DP4&gt;VLOOKUP("PCS-30820g",[7]ARBOR!$A:$C,3,0),"Maior que CAP!",IF((DOLLAR(DP4+(VLOOKUP("PCS-30820g",[7]ARBOR!$A:$C,3,0)*-TRUNC(DP4/VLOOKUP("PCS-30820g",[7]ARBOR!$A:$C,3,0)-1,4)),6))&lt;&gt;(DOLLAR(VLOOKUP("PCS-30820g",[7]ARBOR!$A:$C,3,0),6)),-TRUNC(DP4/VLOOKUP("PCS-30820g",[7]ARBOR!$A:$C,3,0)-1,4)+0.0001,-TRUNC(DP4/VLOOKUP("PCS-30820g",[7]ARBOR!$A:$C,3,0)-1,4)))))</f>
        <v>0.75109999999999999</v>
      </c>
      <c r="DR4" s="65" t="str">
        <f>IF(ISERROR(IF(DQ4="","",VLOOKUP(($BH4&amp;DQ4&amp;"Template de desconto FLAT bundle - Velox XDSL - Varejo"),[7]BENEFICIOS!$A:$E,5,0))),"Criar",IF(DQ4="","",VLOOKUP(($BH4&amp;DQ4&amp;"Template de desconto FLAT bundle - Velox XDSL - Varejo"),[7]BENEFICIOS!$A:$E,5,0)))</f>
        <v>MKT-1-9865191384</v>
      </c>
      <c r="DS4" s="69"/>
      <c r="DT4" s="70"/>
      <c r="DU4" s="64"/>
      <c r="DV4" s="65"/>
      <c r="DW4" s="71"/>
      <c r="DX4" s="64" t="str">
        <f>IF(DW4=0,"",IF(DW4=VLOOKUP("PCS-21448p2",[7]ARBOR!$A:$C,3,0),0.0001,IF(DW4&gt;VLOOKUP("PCS-21448p2",[7]ARBOR!$A:$C,3,0),"Maior que CAP!",IF((DOLLAR(DW4+(VLOOKUP("PCS-21448p2",[7]ARBOR!$A:$C,3,0)*-TRUNC(DW4/VLOOKUP("PCS-21448p2",[7]ARBOR!$A:$C,3,0)-1,4)),6))&lt;&gt;(DOLLAR(VLOOKUP("PCS-21448p2",[7]ARBOR!$A:$C,3,0),6)),-TRUNC(DW4/VLOOKUP("PCS-21448p2",[7]ARBOR!$A:$C,3,0)-1,4)+0.0001,-TRUNC(DW4/VLOOKUP("PCS-21448p2",[7]ARBOR!$A:$C,3,0)-1,4)))))</f>
        <v/>
      </c>
      <c r="DY4" s="65" t="str">
        <f>IF(ISERROR(IF(DX4="","",VLOOKUP(("Oi Conta Total Plug 10GB Downgrade"&amp;DX4&amp;"Template de desconto percentual BL Móvel - Internet Total - Varejo"),[7]BENEFICIOS!$A:$E,5,0))),"Criar",IF(DX4="","",VLOOKUP(("Oi Conta Total Plug 10GB Downgrade"&amp;DX4&amp;"Template de desconto percentual BL Móvel - Internet Total - Varejo"),[7]BENEFICIOS!$A:$E,5,0)))</f>
        <v/>
      </c>
      <c r="DZ4" s="71">
        <v>19.899999999999999</v>
      </c>
      <c r="EA4" s="72">
        <f>IF(DZ4=0,"",IF(DZ4=VLOOKUP("SVA",[7]ARBOR!$A:$C,3,0),0.0001,IF(DZ4&gt;VLOOKUP("SVA",[7]ARBOR!$A:$C,3,0),"Maior que CAP!",IF((DOLLAR(DZ4+(VLOOKUP("SVA",[7]ARBOR!$A:$C,3,0)*-TRUNC(DZ4/VLOOKUP("SVA",[7]ARBOR!$A:$C,3,0)-1,4)),6))&lt;&gt;(DOLLAR(VLOOKUP("SVA",[7]ARBOR!$A:$C,3,0),6)),-TRUNC(DZ4/VLOOKUP("SVA",[7]ARBOR!$A:$C,3,0)-1,4)+0.0001,-TRUNC(DZ4/VLOOKUP("SVA",[7]ARBOR!$A:$C,3,0)-1,4)))))</f>
        <v>7.1400000000000005E-2</v>
      </c>
      <c r="EB4" s="65" t="s">
        <v>241</v>
      </c>
      <c r="EC4" s="69"/>
      <c r="ED4" s="73"/>
      <c r="EE4" s="74"/>
      <c r="EF4" s="65"/>
      <c r="EG4" s="75">
        <f>IF(BI4="","",VLOOKUP(BI4,[7]ARBOR!A:C,3,0))</f>
        <v>479.46</v>
      </c>
      <c r="EH4" s="69">
        <v>15</v>
      </c>
      <c r="EI4" s="76">
        <f>IF(EH4="","",1-(EH4/VLOOKUP(BI4&amp;"ASS",[7]ARBOR!A:C,3,0)))</f>
        <v>0.34725848563968664</v>
      </c>
      <c r="EJ4" s="77" t="s">
        <v>224</v>
      </c>
      <c r="EK4" s="78" t="s">
        <v>225</v>
      </c>
      <c r="EL4" s="69">
        <v>145.9</v>
      </c>
      <c r="EM4" s="64">
        <f>ROUND(IF(EL4=0,"",IF(EL4=EG4,0.0001,1-((EL4+(VLOOKUP(BI4&amp;"ASS",[7]ARBOR!A:C,3,0)-EH4))/EG4))),4)</f>
        <v>0.67910000000000004</v>
      </c>
      <c r="EN4" s="65" t="str">
        <f>IF(ISERROR(IF(EM4="","",VLOOKUP(($BH4&amp;EM4&amp;"Template de desconto percentual FLAT Móvel - Conta Total - Varejo - Ganho Tributário Cross"),[7]BENEFICIOS!$A:$E,5,0))),"Criar",IF(EM4="","",VLOOKUP(($BH4&amp;EM4&amp;"Template de desconto percentual FLAT Móvel - Conta Total - Varejo - Ganho Tributário Cross"),[7]BENEFICIOS!$A:$E,5,0)))</f>
        <v>Criar</v>
      </c>
      <c r="EO4" s="79"/>
      <c r="EP4" s="64"/>
      <c r="EQ4" s="72"/>
      <c r="ER4" s="72"/>
      <c r="ES4" s="64"/>
      <c r="ET4" s="80"/>
      <c r="EU4" s="81"/>
      <c r="EV4" s="81"/>
      <c r="EW4" s="82"/>
      <c r="EX4" s="83"/>
      <c r="EY4" s="84"/>
      <c r="EZ4" s="82"/>
      <c r="FA4" s="83"/>
      <c r="FB4" s="84"/>
      <c r="FC4" s="82">
        <v>0</v>
      </c>
      <c r="FD4" s="83" t="str">
        <f>IF(FC4=0,"",IF(FC4=VLOOKUP("PCS-10357",[7]ARBOR!$A:$C,3,0),0.0001,IF(FC4&gt;VLOOKUP("PCS-10357",[7]ARBOR!$A:$C,3,0),"Maior que CAP!",ROUND(-1*(FC4/VLOOKUP("PCS-10357",[7]ARBOR!$A:$C,3,0)-1),4))))</f>
        <v/>
      </c>
      <c r="FE4" s="84" t="str">
        <f>IF(ISERROR(IF(FD4="","",VLOOKUP(("Oi Internet Pra Celular 1GB"&amp;FD4&amp;"Template Flat Instância Dados"),[7]BENEFICIOS!$A:$E,5,0))),"Criar",IF(FD4="","",VLOOKUP(("Oi Internet Pra Celular 1GB"&amp;FD4&amp;"Template Flat Instância Dados"),[7]BENEFICIOS!$A:$E,5,0)))</f>
        <v/>
      </c>
      <c r="FF4" s="82"/>
      <c r="FG4" s="83" t="str">
        <f>IF(FF4=0,"",IF(FF4=VLOOKUP("PCS-813565",[7]ARBOR!$A:$C,3,0),0.0001,IF(FF4&gt;VLOOKUP("PCS-813565",[7]ARBOR!$A:$C,3,0),"Maior que CAP!",ROUND(-1*(FF4/VLOOKUP("PCS-813565",[7]ARBOR!$A:$C,3,0)-1),4))))</f>
        <v/>
      </c>
      <c r="FH4" s="84" t="str">
        <f>IF(ISERROR(IF(FG4="","",VLOOKUP(("Oi Internet Pra Celular 2GB"&amp;FG4&amp;"Template Flat Instância Dados"),[7]BENEFICIOS!$A:$E,5,0))),"Criar",IF(FG4="","",VLOOKUP(("Oi Internet Pra Celular 2GB"&amp;FG4&amp;"Template Flat Instância Dados"),[7]BENEFICIOS!$A:$E,5,0)))</f>
        <v/>
      </c>
      <c r="FI4" s="82"/>
      <c r="FJ4" s="83" t="str">
        <f>IF(FI4=0,"",IF(FI4=VLOOKUP("PCS-7171B",[7]ARBOR!$A:$C,3,0),0.0001,IF(FI4&gt;VLOOKUP("PCS-7171B",[7]ARBOR!$A:$C,3,0),"Maior que CAP!",ROUND(-1*(FI4/VLOOKUP("PCS-7171B",[7]ARBOR!$A:$C,3,0)-1),4))))</f>
        <v/>
      </c>
      <c r="FK4" s="84" t="str">
        <f>IF(ISERROR(IF(FJ4="","",VLOOKUP(("Oi Internet Pra Celular 3GB"&amp;FJ4&amp;"Template Flat Instância Dados"),[7]BENEFICIOS!$A:$E,5,0))),"Criar",IF(FJ4="","",VLOOKUP(("Oi Internet Pra Celular 3GB"&amp;FJ4&amp;"Template Flat Instância Dados"),[7]BENEFICIOS!$A:$E,5,0)))</f>
        <v/>
      </c>
      <c r="FL4" s="82"/>
      <c r="FM4" s="83" t="str">
        <f>IF(FL4=0,"",IF(FL4=VLOOKUP("PCS-51793o08",[7]ARBOR!$A:$C,3,0),0.0001,IF(FL4&gt;VLOOKUP("PCS-51793o08",[7]ARBOR!$A:$C,3,0),"Maior que CAP!",ROUND(-1*(FL4/VLOOKUP("PCS-51793o08",[7]ARBOR!$A:$C,3,0)-1),4))))</f>
        <v/>
      </c>
      <c r="FN4" s="84" t="str">
        <f>IF(ISERROR(IF(FM4="","",VLOOKUP(("Oi Internet Pra Celular 5GB"&amp;FM4&amp;"Template Flat Instância Dados"),[7]BENEFICIOS!$A:$E,5,0))),"Criar",IF(FM4="","",VLOOKUP(("Oi Internet Pra Celular 5GB"&amp;FM4&amp;"Template Flat Instância Dados"),[7]BENEFICIOS!$A:$E,5,0)))</f>
        <v/>
      </c>
      <c r="FO4" s="82"/>
      <c r="FP4" s="83" t="str">
        <f>IF(FO4=0,"",IF(FO4=VLOOKUP("PCS-7171A",[7]ARBOR!$A:$C,3,0),0.0001,IF(FO4&gt;VLOOKUP("PCS-7171A",[7]ARBOR!$A:$C,3,0),"Maior que CAP!",ROUND(-1*(FO4/VLOOKUP("PCS-7171A",[7]ARBOR!$A:$C,3,0)-1),4))))</f>
        <v/>
      </c>
      <c r="FQ4" s="84" t="str">
        <f>IF(ISERROR(IF(FP4="","",VLOOKUP(("Oi Internet Pra Celular 10GB"&amp;FP4&amp;"Template Flat Instância Dados"),[7]BENEFICIOS!$A:$E,5,0))),"Criar",IF(FP4="","",VLOOKUP(("Oi Internet Pra Celular 10GB"&amp;FP4&amp;"Template Flat Instância Dados"),[7]BENEFICIOS!$A:$E,5,0)))</f>
        <v/>
      </c>
      <c r="FR4" s="85"/>
      <c r="FS4" s="86"/>
      <c r="FT4" s="48"/>
      <c r="FU4" s="87"/>
      <c r="FV4" s="88" t="s">
        <v>221</v>
      </c>
      <c r="FW4" s="49" t="s">
        <v>226</v>
      </c>
      <c r="FX4" s="89">
        <v>999</v>
      </c>
      <c r="FY4" s="49">
        <v>12</v>
      </c>
      <c r="FZ4" s="90" t="s">
        <v>227</v>
      </c>
      <c r="GA4" s="91" t="str">
        <f t="shared" si="1"/>
        <v>PCS-Fk83324</v>
      </c>
      <c r="GB4" s="92" t="str">
        <f t="shared" si="2"/>
        <v>PCS-SBL553142</v>
      </c>
      <c r="GC4" s="93" t="s">
        <v>228</v>
      </c>
      <c r="GD4" s="90" t="s">
        <v>229</v>
      </c>
      <c r="GE4" s="92" t="s">
        <v>230</v>
      </c>
      <c r="GF4" s="93" t="s">
        <v>231</v>
      </c>
      <c r="GG4" s="90" t="s">
        <v>232</v>
      </c>
      <c r="GH4" s="92" t="s">
        <v>233</v>
      </c>
      <c r="GI4" s="94" t="s">
        <v>234</v>
      </c>
      <c r="GJ4" s="95">
        <f>FC4+EL4+CN4+BJ4</f>
        <v>245.9</v>
      </c>
      <c r="GK4" s="96"/>
      <c r="GL4" s="97" t="s">
        <v>235</v>
      </c>
      <c r="GM4" s="98" t="s">
        <v>236</v>
      </c>
      <c r="GN4" s="97">
        <f>VLOOKUP($A4,'[7]TABELA COM TUDO'!$A:$AB,25,0)</f>
        <v>0</v>
      </c>
      <c r="GO4" s="99">
        <f>VLOOKUP($A4,'[7]TABELA COM TUDO'!$A:$AB,26,0)</f>
        <v>0</v>
      </c>
      <c r="GP4" s="100">
        <f t="shared" si="3"/>
        <v>1</v>
      </c>
      <c r="GQ4" s="97">
        <f t="shared" si="4"/>
        <v>0</v>
      </c>
      <c r="GR4" s="97">
        <f t="shared" si="5"/>
        <v>0</v>
      </c>
      <c r="GS4" s="101"/>
      <c r="GT4" s="101"/>
      <c r="GU4" s="102" t="b">
        <f t="shared" si="6"/>
        <v>1</v>
      </c>
      <c r="GV4" s="103">
        <f t="shared" si="7"/>
        <v>0</v>
      </c>
      <c r="GW4" s="44" t="s">
        <v>242</v>
      </c>
      <c r="GX4" s="44" t="s">
        <v>238</v>
      </c>
    </row>
    <row r="5" spans="1:206" s="44" customFormat="1" x14ac:dyDescent="0.35">
      <c r="A5" s="44" t="str">
        <f t="shared" si="0"/>
        <v>Oi Total Fixo + Pós 800 + Banda LargaN11GBMG</v>
      </c>
      <c r="B5" s="45" t="s">
        <v>211</v>
      </c>
      <c r="C5" s="46" t="s">
        <v>127</v>
      </c>
      <c r="D5" s="46" t="s">
        <v>212</v>
      </c>
      <c r="E5" s="47" t="s">
        <v>213</v>
      </c>
      <c r="F5" s="48" t="s">
        <v>214</v>
      </c>
      <c r="G5" s="49"/>
      <c r="H5" s="49"/>
      <c r="I5" s="49"/>
      <c r="J5" s="49" t="s">
        <v>214</v>
      </c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 t="s">
        <v>214</v>
      </c>
      <c r="AC5" s="49" t="s">
        <v>214</v>
      </c>
      <c r="AD5" s="49" t="s">
        <v>214</v>
      </c>
      <c r="AE5" s="49" t="s">
        <v>214</v>
      </c>
      <c r="AF5" s="49" t="s">
        <v>214</v>
      </c>
      <c r="AG5" s="49" t="s">
        <v>214</v>
      </c>
      <c r="AH5" s="50"/>
      <c r="AI5" s="49" t="s">
        <v>214</v>
      </c>
      <c r="AJ5" s="49" t="s">
        <v>214</v>
      </c>
      <c r="AK5" s="49" t="s">
        <v>214</v>
      </c>
      <c r="AL5" s="49" t="s">
        <v>214</v>
      </c>
      <c r="AM5" s="49" t="s">
        <v>214</v>
      </c>
      <c r="AN5" s="49" t="s">
        <v>214</v>
      </c>
      <c r="AO5" s="49" t="s">
        <v>214</v>
      </c>
      <c r="AP5" s="49"/>
      <c r="AQ5" s="51"/>
      <c r="AR5" s="52" t="s">
        <v>243</v>
      </c>
      <c r="AS5" s="46" t="s">
        <v>216</v>
      </c>
      <c r="AT5" s="53" t="s">
        <v>217</v>
      </c>
      <c r="AU5" s="54">
        <v>42972</v>
      </c>
      <c r="AV5" s="55">
        <v>43038</v>
      </c>
      <c r="AW5" s="56" t="s">
        <v>218</v>
      </c>
      <c r="AX5" s="57" t="s">
        <v>218</v>
      </c>
      <c r="AY5" s="58"/>
      <c r="AZ5" s="58" t="s">
        <v>219</v>
      </c>
      <c r="BA5" s="58">
        <v>20</v>
      </c>
      <c r="BB5" s="58">
        <v>10000</v>
      </c>
      <c r="BC5" s="59" t="s">
        <v>220</v>
      </c>
      <c r="BD5" s="60" t="s">
        <v>221</v>
      </c>
      <c r="BE5" s="58" t="s">
        <v>213</v>
      </c>
      <c r="BF5" s="51" t="s">
        <v>213</v>
      </c>
      <c r="BG5" s="45" t="s">
        <v>243</v>
      </c>
      <c r="BH5" s="61" t="s">
        <v>222</v>
      </c>
      <c r="BI5" s="62" t="str">
        <f>IF(ISERROR(VLOOKUP(BH5,[7]PLANOS!B:C,2,0)),"",VLOOKUP(BH5,[7]PLANOS!B:C,2,0))</f>
        <v>PCS-4P6pi</v>
      </c>
      <c r="BJ5" s="63">
        <v>50.1</v>
      </c>
      <c r="BK5" s="64">
        <f>IF(BJ5=0,"",IF(BJ5=VLOOKUP("FIXO",[7]ARBOR!$A:$C,3,0),0.0001,IF(BJ5&gt;VLOOKUP("FIXO",[7]ARBOR!$A:$C,3,0),"Maior que CAP!",IF((DOLLAR(BJ5+(VLOOKUP("FIXO",[7]ARBOR!$A:$C,3,0)*-TRUNC(BJ5/VLOOKUP("FIXO",[7]ARBOR!$A:$C,3,0)-1,4)),6))&lt;&gt;(DOLLAR(VLOOKUP("FIXO",[7]ARBOR!$A:$C,3,0),6)),-TRUNC(BJ5/VLOOKUP("FIXO",[7]ARBOR!$A:$C,3,0)-1,4)+0.0001,-TRUNC(BJ5/VLOOKUP("FIXO",[7]ARBOR!$A:$C,3,0)-1,4)))))</f>
        <v>0.33939999999999998</v>
      </c>
      <c r="BL5" s="65" t="str">
        <f>IF(ISERROR(IF(BK5="","",VLOOKUP(($BH5&amp;BK5&amp;"Template de desconto FLAT bundle - Fixo - Varejo - Ganho Tributário Cross"),[7]BENEFICIOS!$A:$E,5,0))),"Criar",IF(BK5="","",VLOOKUP(($BH5&amp;BK5&amp;"Template de desconto FLAT bundle - Fixo - Varejo - Ganho Tributário Cross"),[7]BENEFICIOS!$A:$E,5,0)))</f>
        <v>MKT-1-9856472058</v>
      </c>
      <c r="BM5" s="66"/>
      <c r="BN5" s="67"/>
      <c r="BO5" s="68" t="s">
        <v>161</v>
      </c>
      <c r="BP5" s="69">
        <v>44.9</v>
      </c>
      <c r="BQ5" s="64">
        <f>IF(BP5=0,"",IF(BP5=VLOOKUP("PCS-30874g",[7]ARBOR!$A:$C,3,0),0.0001,IF(BP5&gt;VLOOKUP("PCS-30874g",[7]ARBOR!$A:$C,3,0),"Maior que CAP!",IF((DOLLAR(BP5+(VLOOKUP("PCS-30874g",[7]ARBOR!$A:$C,3,0)*-TRUNC(BP5/VLOOKUP("PCS-30874g",[7]ARBOR!$A:$C,3,0)-1,4)),6))&lt;&gt;(DOLLAR(VLOOKUP("PCS-30874g",[7]ARBOR!$A:$C,3,0),6)),-TRUNC(BP5/VLOOKUP("PCS-30874g",[7]ARBOR!$A:$C,3,0)-1,4)+0.0001,-TRUNC(BP5/VLOOKUP("PCS-30874g",[7]ARBOR!$A:$C,3,0)-1,4)))))</f>
        <v>0.53679999999999994</v>
      </c>
      <c r="BR5" s="65" t="str">
        <f>IF(ISERROR(IF(BQ5="","",VLOOKUP(($BH5&amp;BQ5&amp;"Template de desconto FLAT bundle - Velox XDSL - Varejo"),[7]BENEFICIOS!$A:$E,5,0))),"Criar",IF(BQ5="","",VLOOKUP(($BH5&amp;BQ5&amp;"Template de desconto FLAT bundle - Velox XDSL - Varejo"),[7]BENEFICIOS!$A:$E,5,0)))</f>
        <v>MKT-1-9865126733</v>
      </c>
      <c r="BS5" s="68" t="s">
        <v>161</v>
      </c>
      <c r="BT5" s="69">
        <v>44.9</v>
      </c>
      <c r="BU5" s="64">
        <f>IF(BT5=0,"",IF(BT5=VLOOKUP("PCS-30577g",[7]ARBOR!$A:$C,3,0),0.0001,IF(BT5&gt;VLOOKUP("PCS-30577g",[7]ARBOR!$A:$C,3,0),"Maior que CAP!",IF((DOLLAR(BT5+(VLOOKUP("PCS-30577g",[7]ARBOR!$A:$C,3,0)*-TRUNC(BT5/VLOOKUP("PCS-30577g",[7]ARBOR!$A:$C,3,0)-1,4)),6))&lt;&gt;(DOLLAR(VLOOKUP("PCS-30577g",[7]ARBOR!$A:$C,3,0),6)),-TRUNC(BT5/VLOOKUP("PCS-30577g",[7]ARBOR!$A:$C,3,0)-1,4)+0.0001,-TRUNC(BT5/VLOOKUP("PCS-30577g",[7]ARBOR!$A:$C,3,0)-1,4)))))</f>
        <v>0.53679999999999994</v>
      </c>
      <c r="BV5" s="65" t="str">
        <f>IF(ISERROR(IF(BU5="","",VLOOKUP(($BH5&amp;BU5&amp;"Template de desconto FLAT bundle - Velox XDSL - Varejo"),[7]BENEFICIOS!$A:$E,5,0))),"Criar",IF(BU5="","",VLOOKUP(($BH5&amp;BU5&amp;"Template de desconto FLAT bundle - Velox XDSL - Varejo"),[7]BENEFICIOS!$A:$E,5,0)))</f>
        <v>MKT-1-9865126733</v>
      </c>
      <c r="BW5" s="68" t="s">
        <v>161</v>
      </c>
      <c r="BX5" s="69">
        <v>44.9</v>
      </c>
      <c r="BY5" s="64">
        <f>IF(BX5=0,"",IF(BX5=VLOOKUP("PCS-30604g",[7]ARBOR!$A:$C,3,0),0.0001,IF(BX5&gt;VLOOKUP("PCS-30604g",[7]ARBOR!$A:$C,3,0),"Maior que CAP!",IF((DOLLAR(BX5+(VLOOKUP("PCS-30604g",[7]ARBOR!$A:$C,3,0)*-TRUNC(BX5/VLOOKUP("PCS-30604g",[7]ARBOR!$A:$C,3,0)-1,4)),6))&lt;&gt;(DOLLAR(VLOOKUP("PCS-30604g",[7]ARBOR!$A:$C,3,0),6)),-TRUNC(BX5/VLOOKUP("PCS-30604g",[7]ARBOR!$A:$C,3,0)-1,4)+0.0001,-TRUNC(BX5/VLOOKUP("PCS-30604g",[7]ARBOR!$A:$C,3,0)-1,4)))))</f>
        <v>0.53679999999999994</v>
      </c>
      <c r="BZ5" s="65" t="str">
        <f>IF(ISERROR(IF(BY5="","",VLOOKUP(($BH5&amp;BY5&amp;"Template de desconto FLAT bundle - Velox XDSL - Varejo"),[7]BENEFICIOS!$A:$E,5,0))),"Criar",IF(BY5="","",VLOOKUP(($BH5&amp;BY5&amp;"Template de desconto FLAT bundle - Velox XDSL - Varejo"),[7]BENEFICIOS!$A:$E,5,0)))</f>
        <v>MKT-1-9865126733</v>
      </c>
      <c r="CA5" s="68" t="s">
        <v>161</v>
      </c>
      <c r="CB5" s="69">
        <v>44.9</v>
      </c>
      <c r="CC5" s="64">
        <f>IF(CB5=0,"",IF(CB5=VLOOKUP("PCS-30631g",[7]ARBOR!$A:$C,3,0),0.0001,IF(CB5&gt;VLOOKUP("PCS-30631g",[7]ARBOR!$A:$C,3,0),"Maior que CAP!",IF((DOLLAR(CB5+(VLOOKUP("PCS-30631g",[7]ARBOR!$A:$C,3,0)*-TRUNC(CB5/VLOOKUP("PCS-30631g",[7]ARBOR!$A:$C,3,0)-1,4)),6))&lt;&gt;(DOLLAR(VLOOKUP("PCS-30631g",[7]ARBOR!$A:$C,3,0),6)),-TRUNC(CB5/VLOOKUP("PCS-30631g",[7]ARBOR!$A:$C,3,0)-1,4)+0.0001,-TRUNC(CB5/VLOOKUP("PCS-30631g",[7]ARBOR!$A:$C,3,0)-1,4)))))</f>
        <v>0.54310000000000003</v>
      </c>
      <c r="CD5" s="65" t="str">
        <f>IF(ISERROR(IF(CC5="","",VLOOKUP(($BH5&amp;CC5&amp;"Template de desconto FLAT bundle - Velox XDSL - Varejo"),[7]BENEFICIOS!$A:$E,5,0))),"Criar",IF(CC5="","",VLOOKUP(($BH5&amp;CC5&amp;"Template de desconto FLAT bundle - Velox XDSL - Varejo"),[7]BENEFICIOS!$A:$E,5,0)))</f>
        <v>MKT-1-9865126826</v>
      </c>
      <c r="CE5" s="68"/>
      <c r="CF5" s="69"/>
      <c r="CG5" s="64" t="str">
        <f>IF(CF5=0,"",IF(CF5=VLOOKUP("PCS-30658g",[7]ARBOR!$A:$C,3,0),0.0001,IF(CF5&gt;VLOOKUP("PCS-30658g",[7]ARBOR!$A:$C,3,0),"Maior que CAP!",IF((DOLLAR(CF5+(VLOOKUP("PCS-30658g",[7]ARBOR!$A:$C,3,0)*-TRUNC(CF5/VLOOKUP("PCS-30658g",[7]ARBOR!$A:$C,3,0)-1,4)),6))&lt;&gt;(DOLLAR(VLOOKUP("PCS-30658g",[7]ARBOR!$A:$C,3,0),6)),-TRUNC(CF5/VLOOKUP("PCS-30658g",[7]ARBOR!$A:$C,3,0)-1,4)+0.0001,-TRUNC(CF5/VLOOKUP("PCS-30658g",[7]ARBOR!$A:$C,3,0)-1,4)))))</f>
        <v/>
      </c>
      <c r="CH5" s="65" t="str">
        <f>IF(ISERROR(IF(CG5="","",VLOOKUP(($BH5&amp;CG5&amp;"Template de desconto FLAT bundle - Velox XDSL - Varejo"),[7]BENEFICIOS!$A:$E,5,0))),"Criar",IF(CG5="","",VLOOKUP(($BH5&amp;CG5&amp;"Template de desconto FLAT bundle - Velox XDSL - Varejo"),[7]BENEFICIOS!$A:$E,5,0)))</f>
        <v/>
      </c>
      <c r="CI5" s="68"/>
      <c r="CJ5" s="69"/>
      <c r="CK5" s="64" t="str">
        <f>IF(CJ5=0,"",IF(CJ5=VLOOKUP("PCS-30685g",[7]ARBOR!$A:$C,3,0),0.0001,IF(CJ5&gt;VLOOKUP("PCS-30685g",[7]ARBOR!$A:$C,3,0),"Maior que CAP!",IF((DOLLAR(CJ5+(VLOOKUP("PCS-30685g",[7]ARBOR!$A:$C,3,0)*-TRUNC(CJ5/VLOOKUP("PCS-30685g",[7]ARBOR!$A:$C,3,0)-1,4)),6))&lt;&gt;(DOLLAR(VLOOKUP("PCS-30685g",[7]ARBOR!$A:$C,3,0),6)),-TRUNC(CJ5/VLOOKUP("PCS-30685g",[7]ARBOR!$A:$C,3,0)-1,4)+0.0001,-TRUNC(CJ5/VLOOKUP("PCS-30685g",[7]ARBOR!$A:$C,3,0)-1,4)))))</f>
        <v/>
      </c>
      <c r="CL5" s="65" t="str">
        <f>IF(ISERROR(IF(CK5="","",VLOOKUP(($BH5&amp;CK5&amp;"Template de desconto FLAT bundle - Velox XDSL - Varejo"),[7]BENEFICIOS!$A:$E,5,0))),"Criar",IF(CK5="","",VLOOKUP(($BH5&amp;CK5&amp;"Template de desconto FLAT bundle - Velox XDSL - Varejo"),[7]BENEFICIOS!$A:$E,5,0)))</f>
        <v/>
      </c>
      <c r="CM5" s="68"/>
      <c r="CN5" s="69"/>
      <c r="CO5" s="64" t="str">
        <f>IF(CN5=0,"",IF(CN5=VLOOKUP("PCS-30712g",[7]ARBOR!$A:$C,3,0),0.0001,IF(CN5&gt;VLOOKUP("PCS-30712g",[7]ARBOR!$A:$C,3,0),"Maior que CAP!",IF((DOLLAR(CN5+(VLOOKUP("PCS-30712g",[7]ARBOR!$A:$C,3,0)*-TRUNC(CN5/VLOOKUP("PCS-30712g",[7]ARBOR!$A:$C,3,0)-1,4)),6))&lt;&gt;(DOLLAR(VLOOKUP("PCS-30712g",[7]ARBOR!$A:$C,3,0),6)),-TRUNC(CN5/VLOOKUP("PCS-30712g",[7]ARBOR!$A:$C,3,0)-1,4)+0.0001,-TRUNC(CN5/VLOOKUP("PCS-30712g",[7]ARBOR!$A:$C,3,0)-1,4)))))</f>
        <v/>
      </c>
      <c r="CP5" s="65" t="str">
        <f>IF(ISERROR(IF(CO5="","",VLOOKUP(($BH5&amp;CO5&amp;"Template de desconto FLAT bundle - Velox XDSL - Varejo"),[7]BENEFICIOS!$A:$E,5,0))),"Criar",IF(CO5="","",VLOOKUP(($BH5&amp;CO5&amp;"Template de desconto FLAT bundle - Velox XDSL - Varejo"),[7]BENEFICIOS!$A:$E,5,0)))</f>
        <v/>
      </c>
      <c r="CQ5" s="68"/>
      <c r="CR5" s="69"/>
      <c r="CS5" s="64" t="str">
        <f>IF(CR5=0,"",IF(CR5=VLOOKUP("PCS-30739g",[7]ARBOR!$A:$C,3,0),0.0001,IF(CR5&gt;VLOOKUP("PCS-30739g",[7]ARBOR!$A:$C,3,0),"Maior que CAP!",IF((DOLLAR(CR5+(VLOOKUP("PCS-30739g",[7]ARBOR!$A:$C,3,0)*-TRUNC(CR5/VLOOKUP("PCS-30739g",[7]ARBOR!$A:$C,3,0)-1,4)),6))&lt;&gt;(DOLLAR(VLOOKUP("PCS-30739g",[7]ARBOR!$A:$C,3,0),6)),-TRUNC(CR5/VLOOKUP("PCS-30739g",[7]ARBOR!$A:$C,3,0)-1,4)+0.0001,-TRUNC(CR5/VLOOKUP("PCS-30739g",[7]ARBOR!$A:$C,3,0)-1,4)))))</f>
        <v/>
      </c>
      <c r="CT5" s="65" t="str">
        <f>IF(ISERROR(IF(CS5="","",VLOOKUP(($BH5&amp;CS5&amp;"Template de desconto FLAT bundle - Velox XDSL - Varejo"),[7]BENEFICIOS!$A:$E,5,0))),"Criar",IF(CS5="","",VLOOKUP(($BH5&amp;CS5&amp;"Template de desconto FLAT bundle - Velox XDSL - Varejo"),[7]BENEFICIOS!$A:$E,5,0)))</f>
        <v/>
      </c>
      <c r="CU5" s="69"/>
      <c r="CV5" s="70"/>
      <c r="CW5" s="64"/>
      <c r="CX5" s="65"/>
      <c r="CY5" s="68"/>
      <c r="CZ5" s="69"/>
      <c r="DA5" s="64" t="str">
        <f>IF(CZ5=0,"",IF(CZ5=VLOOKUP("PCS-30766g",[7]ARBOR!$A:$C,3,0),0.0001,IF(CZ5&gt;VLOOKUP("PCS-30766g",[7]ARBOR!$A:$C,3,0),"Maior que CAP!",IF((DOLLAR(CZ5+(VLOOKUP("PCS-30766g",[7]ARBOR!$A:$C,3,0)*-TRUNC(CZ5/VLOOKUP("PCS-30766g",[7]ARBOR!$A:$C,3,0)-1,4)),6))&lt;&gt;(DOLLAR(VLOOKUP("PCS-30766g",[7]ARBOR!$A:$C,3,0),6)),-TRUNC(CZ5/VLOOKUP("PCS-30766g",[7]ARBOR!$A:$C,3,0)-1,4)+0.0001,-TRUNC(CZ5/VLOOKUP("PCS-30766g",[7]ARBOR!$A:$C,3,0)-1,4)))))</f>
        <v/>
      </c>
      <c r="DB5" s="65" t="str">
        <f>IF(ISERROR(IF(DA5="","",VLOOKUP(($BH5&amp;DA5&amp;"Template de desconto FLAT bundle - Velox XDSL - Varejo"),[7]BENEFICIOS!$A:$E,5,0))),"Criar",IF(DA5="","",VLOOKUP(($BH5&amp;DA5&amp;"Template de desconto FLAT bundle - Velox XDSL - Varejo"),[7]BENEFICIOS!$A:$E,5,0)))</f>
        <v/>
      </c>
      <c r="DC5" s="69"/>
      <c r="DD5" s="70"/>
      <c r="DE5" s="64"/>
      <c r="DF5" s="65"/>
      <c r="DG5" s="68"/>
      <c r="DH5" s="69"/>
      <c r="DI5" s="64" t="str">
        <f>IF(DH5=0,"",IF(DH5=VLOOKUP("PCS-30793g",[7]ARBOR!$A:$C,3,0),0.0001,IF(DH5&gt;VLOOKUP("PCS-30793g",[7]ARBOR!$A:$C,3,0),"Maior que CAP!",IF((DOLLAR(DH5+(VLOOKUP("PCS-30793g",[7]ARBOR!$A:$C,3,0)*-TRUNC(DH5/VLOOKUP("PCS-30793g",[7]ARBOR!$A:$C,3,0)-1,4)),6))&lt;&gt;(DOLLAR(VLOOKUP("PCS-30793g",[7]ARBOR!$A:$C,3,0),6)),-TRUNC(DH5/VLOOKUP("PCS-30793g",[7]ARBOR!$A:$C,3,0)-1,4)+0.0001,-TRUNC(DH5/VLOOKUP("PCS-30793g",[7]ARBOR!$A:$C,3,0)-1,4)))))</f>
        <v/>
      </c>
      <c r="DJ5" s="65" t="str">
        <f>IF(ISERROR(IF(DI5="","",VLOOKUP(($BH5&amp;DI5&amp;"Template de desconto FLAT bundle - Velox XDSL - Varejo"),[7]BENEFICIOS!$A:$E,5,0))),"Criar",IF(DI5="","",VLOOKUP(($BH5&amp;DI5&amp;"Template de desconto FLAT bundle - Velox XDSL - Varejo"),[7]BENEFICIOS!$A:$E,5,0)))</f>
        <v/>
      </c>
      <c r="DK5" s="69"/>
      <c r="DL5" s="70"/>
      <c r="DM5" s="64"/>
      <c r="DN5" s="65"/>
      <c r="DO5" s="68"/>
      <c r="DP5" s="69"/>
      <c r="DQ5" s="64" t="str">
        <f>IF(DP5=0,"",IF(DP5=VLOOKUP("PCS-30820g",[7]ARBOR!$A:$C,3,0),0.0001,IF(DP5&gt;VLOOKUP("PCS-30820g",[7]ARBOR!$A:$C,3,0),"Maior que CAP!",IF((DOLLAR(DP5+(VLOOKUP("PCS-30820g",[7]ARBOR!$A:$C,3,0)*-TRUNC(DP5/VLOOKUP("PCS-30820g",[7]ARBOR!$A:$C,3,0)-1,4)),6))&lt;&gt;(DOLLAR(VLOOKUP("PCS-30820g",[7]ARBOR!$A:$C,3,0),6)),-TRUNC(DP5/VLOOKUP("PCS-30820g",[7]ARBOR!$A:$C,3,0)-1,4)+0.0001,-TRUNC(DP5/VLOOKUP("PCS-30820g",[7]ARBOR!$A:$C,3,0)-1,4)))))</f>
        <v/>
      </c>
      <c r="DR5" s="65" t="str">
        <f>IF(ISERROR(IF(DQ5="","",VLOOKUP(($BH5&amp;DQ5&amp;"Template de desconto FLAT bundle - Velox XDSL - Varejo"),[7]BENEFICIOS!$A:$E,5,0))),"Criar",IF(DQ5="","",VLOOKUP(($BH5&amp;DQ5&amp;"Template de desconto FLAT bundle - Velox XDSL - Varejo"),[7]BENEFICIOS!$A:$E,5,0)))</f>
        <v/>
      </c>
      <c r="DS5" s="69"/>
      <c r="DT5" s="70"/>
      <c r="DU5" s="64"/>
      <c r="DV5" s="65"/>
      <c r="DW5" s="71">
        <v>44.9</v>
      </c>
      <c r="DX5" s="64">
        <f>IF(DW5=0,"",IF(DW5=VLOOKUP("PCS-21448p2",[7]ARBOR!$A:$C,3,0),0.0001,IF(DW5&gt;VLOOKUP("PCS-21448p2",[7]ARBOR!$A:$C,3,0),"Maior que CAP!",IF((DOLLAR(DW5+(VLOOKUP("PCS-21448p2",[7]ARBOR!$A:$C,3,0)*-TRUNC(DW5/VLOOKUP("PCS-21448p2",[7]ARBOR!$A:$C,3,0)-1,4)),6))&lt;&gt;(DOLLAR(VLOOKUP("PCS-21448p2",[7]ARBOR!$A:$C,3,0),6)),-TRUNC(DW5/VLOOKUP("PCS-21448p2",[7]ARBOR!$A:$C,3,0)-1,4)+0.0001,-TRUNC(DW5/VLOOKUP("PCS-21448p2",[7]ARBOR!$A:$C,3,0)-1,4)))))</f>
        <v>0.64900000000000002</v>
      </c>
      <c r="DY5" s="65" t="str">
        <f>IF(ISERROR(IF(DX5="","",VLOOKUP(("Oi Conta Total Plug 10GB Downgrade"&amp;DX5&amp;"Template de desconto percentual BL Móvel - Internet Total - Varejo"),[7]BENEFICIOS!$A:$E,5,0))),"Criar",IF(DX5="","",VLOOKUP(("Oi Conta Total Plug 10GB Downgrade"&amp;DX5&amp;"Template de desconto percentual BL Móvel - Internet Total - Varejo"),[7]BENEFICIOS!$A:$E,5,0)))</f>
        <v>MKT-1-9825544790</v>
      </c>
      <c r="DZ5" s="71">
        <v>16.5</v>
      </c>
      <c r="EA5" s="72">
        <f>IF(DZ5=0,"",IF(DZ5=VLOOKUP("SVA",[7]ARBOR!$A:$C,3,0),0.0001,IF(DZ5&gt;VLOOKUP("SVA",[7]ARBOR!$A:$C,3,0),"Maior que CAP!",IF((DOLLAR(DZ5+(VLOOKUP("SVA",[7]ARBOR!$A:$C,3,0)*-TRUNC(DZ5/VLOOKUP("SVA",[7]ARBOR!$A:$C,3,0)-1,4)),6))&lt;&gt;(DOLLAR(VLOOKUP("SVA",[7]ARBOR!$A:$C,3,0),6)),-TRUNC(DZ5/VLOOKUP("SVA",[7]ARBOR!$A:$C,3,0)-1,4)+0.0001,-TRUNC(DZ5/VLOOKUP("SVA",[7]ARBOR!$A:$C,3,0)-1,4)))))</f>
        <v>0.2301</v>
      </c>
      <c r="EB5" s="65" t="s">
        <v>223</v>
      </c>
      <c r="EC5" s="69"/>
      <c r="ED5" s="73"/>
      <c r="EE5" s="74"/>
      <c r="EF5" s="65"/>
      <c r="EG5" s="75">
        <f>IF(BI5="","",VLOOKUP(BI5,[7]ARBOR!A:C,3,0))</f>
        <v>479.46</v>
      </c>
      <c r="EH5" s="69">
        <v>15</v>
      </c>
      <c r="EI5" s="76">
        <f>IF(EH5="","",1-(EH5/VLOOKUP(BI5&amp;"ASS",[7]ARBOR!A:C,3,0)))</f>
        <v>0.34725848563968664</v>
      </c>
      <c r="EJ5" s="77" t="s">
        <v>224</v>
      </c>
      <c r="EK5" s="78" t="s">
        <v>225</v>
      </c>
      <c r="EL5" s="69">
        <v>137.16</v>
      </c>
      <c r="EM5" s="64">
        <f>ROUND(IF(EL5=0,"",IF(EL5=EG5,0.0001,1-((EL5+(VLOOKUP(BI5&amp;"ASS",[7]ARBOR!A:C,3,0)-EH5))/EG5))),4)</f>
        <v>0.69730000000000003</v>
      </c>
      <c r="EN5" s="65" t="str">
        <f>IF(ISERROR(IF(EM5="","",VLOOKUP(($BH5&amp;EM5&amp;"Template de desconto percentual FLAT Móvel - Conta Total - Varejo - Ganho Tributário Cross"),[7]BENEFICIOS!$A:$E,5,0))),"Criar",IF(EM5="","",VLOOKUP(($BH5&amp;EM5&amp;"Template de desconto percentual FLAT Móvel - Conta Total - Varejo - Ganho Tributário Cross"),[7]BENEFICIOS!$A:$E,5,0)))</f>
        <v>Criar</v>
      </c>
      <c r="EO5" s="79"/>
      <c r="EP5" s="64"/>
      <c r="EQ5" s="72"/>
      <c r="ER5" s="72"/>
      <c r="ES5" s="64"/>
      <c r="ET5" s="80"/>
      <c r="EU5" s="81" t="s">
        <v>244</v>
      </c>
      <c r="EV5" s="81" t="s">
        <v>245</v>
      </c>
      <c r="EW5" s="82"/>
      <c r="EX5" s="83"/>
      <c r="EY5" s="84"/>
      <c r="EZ5" s="82"/>
      <c r="FA5" s="83"/>
      <c r="FB5" s="84"/>
      <c r="FC5" s="82">
        <v>8.74</v>
      </c>
      <c r="FD5" s="83">
        <f>IF(FC5=0,"",IF(FC5=VLOOKUP("PCS-10357",[7]ARBOR!$A:$C,3,0),0.0001,IF(FC5&gt;VLOOKUP("PCS-10357",[7]ARBOR!$A:$C,3,0),"Maior que CAP!",ROUND(-1*(FC5/VLOOKUP("PCS-10357",[7]ARBOR!$A:$C,3,0)-1),4))))</f>
        <v>0.8669</v>
      </c>
      <c r="FE5" s="84" t="str">
        <f>IF(ISERROR(IF(FD5="","",VLOOKUP(("Oi Internet Pra Celular 1GB"&amp;FD5&amp;"Template Flat Instância Dados"),[7]BENEFICIOS!$A:$E,5,0))),"Criar",IF(FD5="","",VLOOKUP(("Oi Internet Pra Celular 1GB"&amp;FD5&amp;"Template Flat Instância Dados"),[7]BENEFICIOS!$A:$E,5,0)))</f>
        <v>MKT-1-9869952543</v>
      </c>
      <c r="FF5" s="82"/>
      <c r="FG5" s="83" t="str">
        <f>IF(FF5=0,"",IF(FF5=VLOOKUP("PCS-813565",[7]ARBOR!$A:$C,3,0),0.0001,IF(FF5&gt;VLOOKUP("PCS-813565",[7]ARBOR!$A:$C,3,0),"Maior que CAP!",ROUND(-1*(FF5/VLOOKUP("PCS-813565",[7]ARBOR!$A:$C,3,0)-1),4))))</f>
        <v/>
      </c>
      <c r="FH5" s="84" t="str">
        <f>IF(ISERROR(IF(FG5="","",VLOOKUP(("Oi Internet Pra Celular 2GB"&amp;FG5&amp;"Template Flat Instância Dados"),[7]BENEFICIOS!$A:$E,5,0))),"Criar",IF(FG5="","",VLOOKUP(("Oi Internet Pra Celular 2GB"&amp;FG5&amp;"Template Flat Instância Dados"),[7]BENEFICIOS!$A:$E,5,0)))</f>
        <v/>
      </c>
      <c r="FI5" s="82"/>
      <c r="FJ5" s="83" t="str">
        <f>IF(FI5=0,"",IF(FI5=VLOOKUP("PCS-7171B",[7]ARBOR!$A:$C,3,0),0.0001,IF(FI5&gt;VLOOKUP("PCS-7171B",[7]ARBOR!$A:$C,3,0),"Maior que CAP!",ROUND(-1*(FI5/VLOOKUP("PCS-7171B",[7]ARBOR!$A:$C,3,0)-1),4))))</f>
        <v/>
      </c>
      <c r="FK5" s="84" t="str">
        <f>IF(ISERROR(IF(FJ5="","",VLOOKUP(("Oi Internet Pra Celular 3GB"&amp;FJ5&amp;"Template Flat Instância Dados"),[7]BENEFICIOS!$A:$E,5,0))),"Criar",IF(FJ5="","",VLOOKUP(("Oi Internet Pra Celular 3GB"&amp;FJ5&amp;"Template Flat Instância Dados"),[7]BENEFICIOS!$A:$E,5,0)))</f>
        <v/>
      </c>
      <c r="FL5" s="82"/>
      <c r="FM5" s="83" t="str">
        <f>IF(FL5=0,"",IF(FL5=VLOOKUP("PCS-51793o08",[7]ARBOR!$A:$C,3,0),0.0001,IF(FL5&gt;VLOOKUP("PCS-51793o08",[7]ARBOR!$A:$C,3,0),"Maior que CAP!",ROUND(-1*(FL5/VLOOKUP("PCS-51793o08",[7]ARBOR!$A:$C,3,0)-1),4))))</f>
        <v/>
      </c>
      <c r="FN5" s="84" t="str">
        <f>IF(ISERROR(IF(FM5="","",VLOOKUP(("Oi Internet Pra Celular 5GB"&amp;FM5&amp;"Template Flat Instância Dados"),[7]BENEFICIOS!$A:$E,5,0))),"Criar",IF(FM5="","",VLOOKUP(("Oi Internet Pra Celular 5GB"&amp;FM5&amp;"Template Flat Instância Dados"),[7]BENEFICIOS!$A:$E,5,0)))</f>
        <v/>
      </c>
      <c r="FO5" s="82"/>
      <c r="FP5" s="83" t="str">
        <f>IF(FO5=0,"",IF(FO5=VLOOKUP("PCS-7171A",[7]ARBOR!$A:$C,3,0),0.0001,IF(FO5&gt;VLOOKUP("PCS-7171A",[7]ARBOR!$A:$C,3,0),"Maior que CAP!",ROUND(-1*(FO5/VLOOKUP("PCS-7171A",[7]ARBOR!$A:$C,3,0)-1),4))))</f>
        <v/>
      </c>
      <c r="FQ5" s="84" t="str">
        <f>IF(ISERROR(IF(FP5="","",VLOOKUP(("Oi Internet Pra Celular 10GB"&amp;FP5&amp;"Template Flat Instância Dados"),[7]BENEFICIOS!$A:$E,5,0))),"Criar",IF(FP5="","",VLOOKUP(("Oi Internet Pra Celular 10GB"&amp;FP5&amp;"Template Flat Instância Dados"),[7]BENEFICIOS!$A:$E,5,0)))</f>
        <v/>
      </c>
      <c r="FR5" s="85">
        <v>0.74219999999999997</v>
      </c>
      <c r="FS5" s="86" t="s">
        <v>246</v>
      </c>
      <c r="FT5" s="48"/>
      <c r="FU5" s="87"/>
      <c r="FV5" s="88" t="s">
        <v>221</v>
      </c>
      <c r="FW5" s="49" t="s">
        <v>226</v>
      </c>
      <c r="FX5" s="89">
        <v>999</v>
      </c>
      <c r="FY5" s="49">
        <v>12</v>
      </c>
      <c r="FZ5" s="90" t="s">
        <v>227</v>
      </c>
      <c r="GA5" s="91" t="str">
        <f t="shared" si="1"/>
        <v>PCS-Fk83324</v>
      </c>
      <c r="GB5" s="92" t="str">
        <f t="shared" si="2"/>
        <v>PCS-SBL553142</v>
      </c>
      <c r="GC5" s="93" t="s">
        <v>228</v>
      </c>
      <c r="GD5" s="90" t="s">
        <v>229</v>
      </c>
      <c r="GE5" s="92" t="s">
        <v>230</v>
      </c>
      <c r="GF5" s="93" t="s">
        <v>231</v>
      </c>
      <c r="GG5" s="90" t="s">
        <v>232</v>
      </c>
      <c r="GH5" s="92" t="s">
        <v>233</v>
      </c>
      <c r="GI5" s="94" t="s">
        <v>234</v>
      </c>
      <c r="GJ5" s="95">
        <f>FC5+EL5+DW5+BJ5</f>
        <v>240.9</v>
      </c>
      <c r="GK5" s="96"/>
      <c r="GL5" s="97" t="s">
        <v>235</v>
      </c>
      <c r="GM5" s="98" t="s">
        <v>236</v>
      </c>
      <c r="GN5" s="97">
        <f>VLOOKUP($A5,'[7]TABELA COM TUDO'!$A:$AB,25,0)</f>
        <v>14</v>
      </c>
      <c r="GO5" s="99">
        <f>VLOOKUP($A5,'[7]TABELA COM TUDO'!$A:$AB,26,0)</f>
        <v>3.61</v>
      </c>
      <c r="GP5" s="100">
        <f t="shared" ref="GP5:GP14" si="8">-IFERROR(TRUNC(GO5/GN5-1,4),100%)</f>
        <v>0.74209999999999998</v>
      </c>
      <c r="GQ5" s="97">
        <f t="shared" si="4"/>
        <v>10.38</v>
      </c>
      <c r="GR5" s="97">
        <f t="shared" si="5"/>
        <v>3.6199999999999992</v>
      </c>
      <c r="GS5" s="101"/>
      <c r="GT5" s="101"/>
      <c r="GU5" s="102" t="b">
        <f t="shared" si="6"/>
        <v>0</v>
      </c>
      <c r="GV5" s="103">
        <f t="shared" si="7"/>
        <v>9.9999999999993427E-3</v>
      </c>
      <c r="GW5" s="44" t="s">
        <v>247</v>
      </c>
      <c r="GX5" s="44" t="s">
        <v>238</v>
      </c>
    </row>
    <row r="6" spans="1:206" s="44" customFormat="1" x14ac:dyDescent="0.35">
      <c r="A6" s="44" t="str">
        <f t="shared" si="0"/>
        <v>Oi Total Fixo + Pós 800 + Banda LargaN11GBMG</v>
      </c>
      <c r="B6" s="45" t="s">
        <v>211</v>
      </c>
      <c r="C6" s="46" t="s">
        <v>127</v>
      </c>
      <c r="D6" s="46" t="s">
        <v>212</v>
      </c>
      <c r="E6" s="47" t="s">
        <v>213</v>
      </c>
      <c r="F6" s="48" t="s">
        <v>214</v>
      </c>
      <c r="G6" s="49"/>
      <c r="H6" s="49"/>
      <c r="I6" s="49"/>
      <c r="J6" s="49" t="s">
        <v>214</v>
      </c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 t="s">
        <v>214</v>
      </c>
      <c r="AC6" s="49" t="s">
        <v>214</v>
      </c>
      <c r="AD6" s="49" t="s">
        <v>214</v>
      </c>
      <c r="AE6" s="49" t="s">
        <v>214</v>
      </c>
      <c r="AF6" s="49" t="s">
        <v>214</v>
      </c>
      <c r="AG6" s="49" t="s">
        <v>214</v>
      </c>
      <c r="AH6" s="50"/>
      <c r="AI6" s="49" t="s">
        <v>214</v>
      </c>
      <c r="AJ6" s="49" t="s">
        <v>214</v>
      </c>
      <c r="AK6" s="49" t="s">
        <v>214</v>
      </c>
      <c r="AL6" s="49" t="s">
        <v>214</v>
      </c>
      <c r="AM6" s="49" t="s">
        <v>214</v>
      </c>
      <c r="AN6" s="49" t="s">
        <v>214</v>
      </c>
      <c r="AO6" s="49" t="s">
        <v>214</v>
      </c>
      <c r="AP6" s="49"/>
      <c r="AQ6" s="51"/>
      <c r="AR6" s="52" t="s">
        <v>248</v>
      </c>
      <c r="AS6" s="46" t="s">
        <v>216</v>
      </c>
      <c r="AT6" s="53" t="s">
        <v>217</v>
      </c>
      <c r="AU6" s="54">
        <v>42972</v>
      </c>
      <c r="AV6" s="55">
        <v>43038</v>
      </c>
      <c r="AW6" s="56" t="s">
        <v>218</v>
      </c>
      <c r="AX6" s="57" t="s">
        <v>218</v>
      </c>
      <c r="AY6" s="58"/>
      <c r="AZ6" s="58" t="s">
        <v>219</v>
      </c>
      <c r="BA6" s="58">
        <v>20</v>
      </c>
      <c r="BB6" s="58">
        <v>10000</v>
      </c>
      <c r="BC6" s="59" t="s">
        <v>220</v>
      </c>
      <c r="BD6" s="60" t="s">
        <v>221</v>
      </c>
      <c r="BE6" s="58" t="s">
        <v>213</v>
      </c>
      <c r="BF6" s="51" t="s">
        <v>213</v>
      </c>
      <c r="BG6" s="45" t="s">
        <v>248</v>
      </c>
      <c r="BH6" s="61" t="s">
        <v>222</v>
      </c>
      <c r="BI6" s="62" t="str">
        <f>IF(ISERROR(VLOOKUP(BH6,[7]PLANOS!B:C,2,0)),"",VLOOKUP(BH6,[7]PLANOS!B:C,2,0))</f>
        <v>PCS-4P6pi</v>
      </c>
      <c r="BJ6" s="63">
        <v>50.1</v>
      </c>
      <c r="BK6" s="64">
        <f>IF(BJ6=0,"",IF(BJ6=VLOOKUP("FIXO",[7]ARBOR!$A:$C,3,0),0.0001,IF(BJ6&gt;VLOOKUP("FIXO",[7]ARBOR!$A:$C,3,0),"Maior que CAP!",IF((DOLLAR(BJ6+(VLOOKUP("FIXO",[7]ARBOR!$A:$C,3,0)*-TRUNC(BJ6/VLOOKUP("FIXO",[7]ARBOR!$A:$C,3,0)-1,4)),6))&lt;&gt;(DOLLAR(VLOOKUP("FIXO",[7]ARBOR!$A:$C,3,0),6)),-TRUNC(BJ6/VLOOKUP("FIXO",[7]ARBOR!$A:$C,3,0)-1,4)+0.0001,-TRUNC(BJ6/VLOOKUP("FIXO",[7]ARBOR!$A:$C,3,0)-1,4)))))</f>
        <v>0.33939999999999998</v>
      </c>
      <c r="BL6" s="65" t="str">
        <f>IF(ISERROR(IF(BK6="","",VLOOKUP(($BH6&amp;BK6&amp;"Template de desconto FLAT bundle - Fixo - Varejo - Ganho Tributário Cross"),[7]BENEFICIOS!$A:$E,5,0))),"Criar",IF(BK6="","",VLOOKUP(($BH6&amp;BK6&amp;"Template de desconto FLAT bundle - Fixo - Varejo - Ganho Tributário Cross"),[7]BENEFICIOS!$A:$E,5,0)))</f>
        <v>MKT-1-9856472058</v>
      </c>
      <c r="BM6" s="66"/>
      <c r="BN6" s="67"/>
      <c r="BO6" s="104" t="s">
        <v>240</v>
      </c>
      <c r="BP6" s="69">
        <v>44.9</v>
      </c>
      <c r="BQ6" s="64">
        <f>IF(BP6=0,"",IF(BP6=VLOOKUP("PCS-30874g",[7]ARBOR!$A:$C,3,0),0.0001,IF(BP6&gt;VLOOKUP("PCS-30874g",[7]ARBOR!$A:$C,3,0),"Maior que CAP!",IF((DOLLAR(BP6+(VLOOKUP("PCS-30874g",[7]ARBOR!$A:$C,3,0)*-TRUNC(BP6/VLOOKUP("PCS-30874g",[7]ARBOR!$A:$C,3,0)-1,4)),6))&lt;&gt;(DOLLAR(VLOOKUP("PCS-30874g",[7]ARBOR!$A:$C,3,0),6)),-TRUNC(BP6/VLOOKUP("PCS-30874g",[7]ARBOR!$A:$C,3,0)-1,4)+0.0001,-TRUNC(BP6/VLOOKUP("PCS-30874g",[7]ARBOR!$A:$C,3,0)-1,4)))))</f>
        <v>0.53679999999999994</v>
      </c>
      <c r="BR6" s="65" t="str">
        <f>IF(ISERROR(IF(BQ6="","",VLOOKUP(($BH6&amp;BQ6&amp;"Template de desconto FLAT bundle - Velox XDSL - Varejo"),[7]BENEFICIOS!$A:$E,5,0))),"Criar",IF(BQ6="","",VLOOKUP(($BH6&amp;BQ6&amp;"Template de desconto FLAT bundle - Velox XDSL - Varejo"),[7]BENEFICIOS!$A:$E,5,0)))</f>
        <v>MKT-1-9865126733</v>
      </c>
      <c r="BS6" s="104" t="s">
        <v>240</v>
      </c>
      <c r="BT6" s="69">
        <v>44.9</v>
      </c>
      <c r="BU6" s="64">
        <f>IF(BT6=0,"",IF(BT6=VLOOKUP("PCS-30577g",[7]ARBOR!$A:$C,3,0),0.0001,IF(BT6&gt;VLOOKUP("PCS-30577g",[7]ARBOR!$A:$C,3,0),"Maior que CAP!",IF((DOLLAR(BT6+(VLOOKUP("PCS-30577g",[7]ARBOR!$A:$C,3,0)*-TRUNC(BT6/VLOOKUP("PCS-30577g",[7]ARBOR!$A:$C,3,0)-1,4)),6))&lt;&gt;(DOLLAR(VLOOKUP("PCS-30577g",[7]ARBOR!$A:$C,3,0),6)),-TRUNC(BT6/VLOOKUP("PCS-30577g",[7]ARBOR!$A:$C,3,0)-1,4)+0.0001,-TRUNC(BT6/VLOOKUP("PCS-30577g",[7]ARBOR!$A:$C,3,0)-1,4)))))</f>
        <v>0.53679999999999994</v>
      </c>
      <c r="BV6" s="65" t="str">
        <f>IF(ISERROR(IF(BU6="","",VLOOKUP(($BH6&amp;BU6&amp;"Template de desconto FLAT bundle - Velox XDSL - Varejo"),[7]BENEFICIOS!$A:$E,5,0))),"Criar",IF(BU6="","",VLOOKUP(($BH6&amp;BU6&amp;"Template de desconto FLAT bundle - Velox XDSL - Varejo"),[7]BENEFICIOS!$A:$E,5,0)))</f>
        <v>MKT-1-9865126733</v>
      </c>
      <c r="BW6" s="104" t="s">
        <v>240</v>
      </c>
      <c r="BX6" s="69">
        <v>44.9</v>
      </c>
      <c r="BY6" s="64">
        <f>IF(BX6=0,"",IF(BX6=VLOOKUP("PCS-30604g",[7]ARBOR!$A:$C,3,0),0.0001,IF(BX6&gt;VLOOKUP("PCS-30604g",[7]ARBOR!$A:$C,3,0),"Maior que CAP!",IF((DOLLAR(BX6+(VLOOKUP("PCS-30604g",[7]ARBOR!$A:$C,3,0)*-TRUNC(BX6/VLOOKUP("PCS-30604g",[7]ARBOR!$A:$C,3,0)-1,4)),6))&lt;&gt;(DOLLAR(VLOOKUP("PCS-30604g",[7]ARBOR!$A:$C,3,0),6)),-TRUNC(BX6/VLOOKUP("PCS-30604g",[7]ARBOR!$A:$C,3,0)-1,4)+0.0001,-TRUNC(BX6/VLOOKUP("PCS-30604g",[7]ARBOR!$A:$C,3,0)-1,4)))))</f>
        <v>0.53679999999999994</v>
      </c>
      <c r="BZ6" s="65" t="str">
        <f>IF(ISERROR(IF(BY6="","",VLOOKUP(($BH6&amp;BY6&amp;"Template de desconto FLAT bundle - Velox XDSL - Varejo"),[7]BENEFICIOS!$A:$E,5,0))),"Criar",IF(BY6="","",VLOOKUP(($BH6&amp;BY6&amp;"Template de desconto FLAT bundle - Velox XDSL - Varejo"),[7]BENEFICIOS!$A:$E,5,0)))</f>
        <v>MKT-1-9865126733</v>
      </c>
      <c r="CA6" s="104" t="s">
        <v>240</v>
      </c>
      <c r="CB6" s="69">
        <v>44.9</v>
      </c>
      <c r="CC6" s="64">
        <f>IF(CB6=0,"",IF(CB6=VLOOKUP("PCS-30631g",[7]ARBOR!$A:$C,3,0),0.0001,IF(CB6&gt;VLOOKUP("PCS-30631g",[7]ARBOR!$A:$C,3,0),"Maior que CAP!",IF((DOLLAR(CB6+(VLOOKUP("PCS-30631g",[7]ARBOR!$A:$C,3,0)*-TRUNC(CB6/VLOOKUP("PCS-30631g",[7]ARBOR!$A:$C,3,0)-1,4)),6))&lt;&gt;(DOLLAR(VLOOKUP("PCS-30631g",[7]ARBOR!$A:$C,3,0),6)),-TRUNC(CB6/VLOOKUP("PCS-30631g",[7]ARBOR!$A:$C,3,0)-1,4)+0.0001,-TRUNC(CB6/VLOOKUP("PCS-30631g",[7]ARBOR!$A:$C,3,0)-1,4)))))</f>
        <v>0.54310000000000003</v>
      </c>
      <c r="CD6" s="65" t="str">
        <f>IF(ISERROR(IF(CC6="","",VLOOKUP(($BH6&amp;CC6&amp;"Template de desconto FLAT bundle - Velox XDSL - Varejo"),[7]BENEFICIOS!$A:$E,5,0))),"Criar",IF(CC6="","",VLOOKUP(($BH6&amp;CC6&amp;"Template de desconto FLAT bundle - Velox XDSL - Varejo"),[7]BENEFICIOS!$A:$E,5,0)))</f>
        <v>MKT-1-9865126826</v>
      </c>
      <c r="CE6" s="68" t="s">
        <v>161</v>
      </c>
      <c r="CF6" s="69">
        <v>49.9</v>
      </c>
      <c r="CG6" s="64">
        <f>IF(CF6=0,"",IF(CF6=VLOOKUP("PCS-30658g",[7]ARBOR!$A:$C,3,0),0.0001,IF(CF6&gt;VLOOKUP("PCS-30658g",[7]ARBOR!$A:$C,3,0),"Maior que CAP!",IF((DOLLAR(CF6+(VLOOKUP("PCS-30658g",[7]ARBOR!$A:$C,3,0)*-TRUNC(CF6/VLOOKUP("PCS-30658g",[7]ARBOR!$A:$C,3,0)-1,4)),6))&lt;&gt;(DOLLAR(VLOOKUP("PCS-30658g",[7]ARBOR!$A:$C,3,0),6)),-TRUNC(CF6/VLOOKUP("PCS-30658g",[7]ARBOR!$A:$C,3,0)-1,4)+0.0001,-TRUNC(CF6/VLOOKUP("PCS-30658g",[7]ARBOR!$A:$C,3,0)-1,4)))))</f>
        <v>0.55569999999999997</v>
      </c>
      <c r="CH6" s="65" t="str">
        <f>IF(ISERROR(IF(CG6="","",VLOOKUP(($BH6&amp;CG6&amp;"Template de desconto FLAT bundle - Velox XDSL - Varejo"),[7]BENEFICIOS!$A:$E,5,0))),"Criar",IF(CG6="","",VLOOKUP(($BH6&amp;CG6&amp;"Template de desconto FLAT bundle - Velox XDSL - Varejo"),[7]BENEFICIOS!$A:$E,5,0)))</f>
        <v>MKT-1-9865126919</v>
      </c>
      <c r="CI6" s="68" t="s">
        <v>161</v>
      </c>
      <c r="CJ6" s="69">
        <v>49.9</v>
      </c>
      <c r="CK6" s="64">
        <f>IF(CJ6=0,"",IF(CJ6=VLOOKUP("PCS-30685g",[7]ARBOR!$A:$C,3,0),0.0001,IF(CJ6&gt;VLOOKUP("PCS-30685g",[7]ARBOR!$A:$C,3,0),"Maior que CAP!",IF((DOLLAR(CJ6+(VLOOKUP("PCS-30685g",[7]ARBOR!$A:$C,3,0)*-TRUNC(CJ6/VLOOKUP("PCS-30685g",[7]ARBOR!$A:$C,3,0)-1,4)),6))&lt;&gt;(DOLLAR(VLOOKUP("PCS-30685g",[7]ARBOR!$A:$C,3,0),6)),-TRUNC(CJ6/VLOOKUP("PCS-30685g",[7]ARBOR!$A:$C,3,0)-1,4)+0.0001,-TRUNC(CJ6/VLOOKUP("PCS-30685g",[7]ARBOR!$A:$C,3,0)-1,4)))))</f>
        <v>0.60509999999999997</v>
      </c>
      <c r="CL6" s="65" t="str">
        <f>IF(ISERROR(IF(CK6="","",VLOOKUP(($BH6&amp;CK6&amp;"Template de desconto FLAT bundle - Velox XDSL - Varejo"),[7]BENEFICIOS!$A:$E,5,0))),"Criar",IF(CK6="","",VLOOKUP(($BH6&amp;CK6&amp;"Template de desconto FLAT bundle - Velox XDSL - Varejo"),[7]BENEFICIOS!$A:$E,5,0)))</f>
        <v>MKT-1-9865694381</v>
      </c>
      <c r="CM6" s="68" t="s">
        <v>161</v>
      </c>
      <c r="CN6" s="69">
        <v>49.9</v>
      </c>
      <c r="CO6" s="64">
        <f>IF(CN6=0,"",IF(CN6=VLOOKUP("PCS-30712g",[7]ARBOR!$A:$C,3,0),0.0001,IF(CN6&gt;VLOOKUP("PCS-30712g",[7]ARBOR!$A:$C,3,0),"Maior que CAP!",IF((DOLLAR(CN6+(VLOOKUP("PCS-30712g",[7]ARBOR!$A:$C,3,0)*-TRUNC(CN6/VLOOKUP("PCS-30712g",[7]ARBOR!$A:$C,3,0)-1,4)),6))&lt;&gt;(DOLLAR(VLOOKUP("PCS-30712g",[7]ARBOR!$A:$C,3,0),6)),-TRUNC(CN6/VLOOKUP("PCS-30712g",[7]ARBOR!$A:$C,3,0)-1,4)+0.0001,-TRUNC(CN6/VLOOKUP("PCS-30712g",[7]ARBOR!$A:$C,3,0)-1,4)))))</f>
        <v>0.64459999999999995</v>
      </c>
      <c r="CP6" s="65" t="str">
        <f>IF(ISERROR(IF(CO6="","",VLOOKUP(($BH6&amp;CO6&amp;"Template de desconto FLAT bundle - Velox XDSL - Varejo"),[7]BENEFICIOS!$A:$E,5,0))),"Criar",IF(CO6="","",VLOOKUP(($BH6&amp;CO6&amp;"Template de desconto FLAT bundle - Velox XDSL - Varejo"),[7]BENEFICIOS!$A:$E,5,0)))</f>
        <v>MKT-1-9865191105</v>
      </c>
      <c r="CQ6" s="68" t="s">
        <v>161</v>
      </c>
      <c r="CR6" s="69">
        <v>59.9</v>
      </c>
      <c r="CS6" s="64">
        <f>IF(CR6=0,"",IF(CR6=VLOOKUP("PCS-30739g",[7]ARBOR!$A:$C,3,0),0.0001,IF(CR6&gt;VLOOKUP("PCS-30739g",[7]ARBOR!$A:$C,3,0),"Maior que CAP!",IF((DOLLAR(CR6+(VLOOKUP("PCS-30739g",[7]ARBOR!$A:$C,3,0)*-TRUNC(CR6/VLOOKUP("PCS-30739g",[7]ARBOR!$A:$C,3,0)-1,4)),6))&lt;&gt;(DOLLAR(VLOOKUP("PCS-30739g",[7]ARBOR!$A:$C,3,0),6)),-TRUNC(CR6/VLOOKUP("PCS-30739g",[7]ARBOR!$A:$C,3,0)-1,4)+0.0001,-TRUNC(CR6/VLOOKUP("PCS-30739g",[7]ARBOR!$A:$C,3,0)-1,4)))))</f>
        <v>0.71560000000000001</v>
      </c>
      <c r="CT6" s="65" t="str">
        <f>IF(ISERROR(IF(CS6="","",VLOOKUP(($BH6&amp;CS6&amp;"Template de desconto FLAT bundle - Velox XDSL - Varejo"),[7]BENEFICIOS!$A:$E,5,0))),"Criar",IF(CS6="","",VLOOKUP(($BH6&amp;CS6&amp;"Template de desconto FLAT bundle - Velox XDSL - Varejo"),[7]BENEFICIOS!$A:$E,5,0)))</f>
        <v>MKT-1-9865191198</v>
      </c>
      <c r="CU6" s="69"/>
      <c r="CV6" s="70"/>
      <c r="CW6" s="64"/>
      <c r="CX6" s="65"/>
      <c r="CY6" s="68" t="s">
        <v>161</v>
      </c>
      <c r="CZ6" s="69">
        <v>59.9</v>
      </c>
      <c r="DA6" s="64">
        <f>IF(CZ6=0,"",IF(CZ6=VLOOKUP("PCS-30766g",[7]ARBOR!$A:$C,3,0),0.0001,IF(CZ6&gt;VLOOKUP("PCS-30766g",[7]ARBOR!$A:$C,3,0),"Maior que CAP!",IF((DOLLAR(CZ6+(VLOOKUP("PCS-30766g",[7]ARBOR!$A:$C,3,0)*-TRUNC(CZ6/VLOOKUP("PCS-30766g",[7]ARBOR!$A:$C,3,0)-1,4)),6))&lt;&gt;(DOLLAR(VLOOKUP("PCS-30766g",[7]ARBOR!$A:$C,3,0),6)),-TRUNC(CZ6/VLOOKUP("PCS-30766g",[7]ARBOR!$A:$C,3,0)-1,4)+0.0001,-TRUNC(CZ6/VLOOKUP("PCS-30766g",[7]ARBOR!$A:$C,3,0)-1,4)))))</f>
        <v>0.78669999999999995</v>
      </c>
      <c r="DB6" s="65" t="str">
        <f>IF(ISERROR(IF(DA6="","",VLOOKUP(($BH6&amp;DA6&amp;"Template de desconto FLAT bundle - Velox XDSL - Varejo"),[7]BENEFICIOS!$A:$E,5,0))),"Criar",IF(DA6="","",VLOOKUP(($BH6&amp;DA6&amp;"Template de desconto FLAT bundle - Velox XDSL - Varejo"),[7]BENEFICIOS!$A:$E,5,0)))</f>
        <v>MKT-1-9865191291</v>
      </c>
      <c r="DC6" s="69"/>
      <c r="DD6" s="70"/>
      <c r="DE6" s="64"/>
      <c r="DF6" s="65"/>
      <c r="DG6" s="68" t="s">
        <v>240</v>
      </c>
      <c r="DH6" s="69">
        <v>69.900000000000006</v>
      </c>
      <c r="DI6" s="64">
        <f>IF(DH6=0,"",IF(DH6=VLOOKUP("PCS-30793g",[7]ARBOR!$A:$C,3,0),0.0001,IF(DH6&gt;VLOOKUP("PCS-30793g",[7]ARBOR!$A:$C,3,0),"Maior que CAP!",IF((DOLLAR(DH6+(VLOOKUP("PCS-30793g",[7]ARBOR!$A:$C,3,0)*-TRUNC(DH6/VLOOKUP("PCS-30793g",[7]ARBOR!$A:$C,3,0)-1,4)),6))&lt;&gt;(DOLLAR(VLOOKUP("PCS-30793g",[7]ARBOR!$A:$C,3,0),6)),-TRUNC(DH6/VLOOKUP("PCS-30793g",[7]ARBOR!$A:$C,3,0)-1,4)+0.0001,-TRUNC(DH6/VLOOKUP("PCS-30793g",[7]ARBOR!$A:$C,3,0)-1,4)))))</f>
        <v>0.75109999999999999</v>
      </c>
      <c r="DJ6" s="65" t="str">
        <f>IF(ISERROR(IF(DI6="","",VLOOKUP(($BH6&amp;DI6&amp;"Template de desconto FLAT bundle - Velox XDSL - Varejo"),[7]BENEFICIOS!$A:$E,5,0))),"Criar",IF(DI6="","",VLOOKUP(($BH6&amp;DI6&amp;"Template de desconto FLAT bundle - Velox XDSL - Varejo"),[7]BENEFICIOS!$A:$E,5,0)))</f>
        <v>MKT-1-9865191384</v>
      </c>
      <c r="DK6" s="69"/>
      <c r="DL6" s="70"/>
      <c r="DM6" s="64"/>
      <c r="DN6" s="65"/>
      <c r="DO6" s="68" t="s">
        <v>161</v>
      </c>
      <c r="DP6" s="69">
        <v>69.900000000000006</v>
      </c>
      <c r="DQ6" s="64">
        <f>IF(DP6=0,"",IF(DP6=VLOOKUP("PCS-30820g",[7]ARBOR!$A:$C,3,0),0.0001,IF(DP6&gt;VLOOKUP("PCS-30820g",[7]ARBOR!$A:$C,3,0),"Maior que CAP!",IF((DOLLAR(DP6+(VLOOKUP("PCS-30820g",[7]ARBOR!$A:$C,3,0)*-TRUNC(DP6/VLOOKUP("PCS-30820g",[7]ARBOR!$A:$C,3,0)-1,4)),6))&lt;&gt;(DOLLAR(VLOOKUP("PCS-30820g",[7]ARBOR!$A:$C,3,0),6)),-TRUNC(DP6/VLOOKUP("PCS-30820g",[7]ARBOR!$A:$C,3,0)-1,4)+0.0001,-TRUNC(DP6/VLOOKUP("PCS-30820g",[7]ARBOR!$A:$C,3,0)-1,4)))))</f>
        <v>0.75109999999999999</v>
      </c>
      <c r="DR6" s="65" t="str">
        <f>IF(ISERROR(IF(DQ6="","",VLOOKUP(($BH6&amp;DQ6&amp;"Template de desconto FLAT bundle - Velox XDSL - Varejo"),[7]BENEFICIOS!$A:$E,5,0))),"Criar",IF(DQ6="","",VLOOKUP(($BH6&amp;DQ6&amp;"Template de desconto FLAT bundle - Velox XDSL - Varejo"),[7]BENEFICIOS!$A:$E,5,0)))</f>
        <v>MKT-1-9865191384</v>
      </c>
      <c r="DS6" s="69"/>
      <c r="DT6" s="70"/>
      <c r="DU6" s="64"/>
      <c r="DV6" s="65"/>
      <c r="DW6" s="71"/>
      <c r="DX6" s="64" t="str">
        <f>IF(DW6=0,"",IF(DW6=VLOOKUP("PCS-21448p2",[7]ARBOR!$A:$C,3,0),0.0001,IF(DW6&gt;VLOOKUP("PCS-21448p2",[7]ARBOR!$A:$C,3,0),"Maior que CAP!",IF((DOLLAR(DW6+(VLOOKUP("PCS-21448p2",[7]ARBOR!$A:$C,3,0)*-TRUNC(DW6/VLOOKUP("PCS-21448p2",[7]ARBOR!$A:$C,3,0)-1,4)),6))&lt;&gt;(DOLLAR(VLOOKUP("PCS-21448p2",[7]ARBOR!$A:$C,3,0),6)),-TRUNC(DW6/VLOOKUP("PCS-21448p2",[7]ARBOR!$A:$C,3,0)-1,4)+0.0001,-TRUNC(DW6/VLOOKUP("PCS-21448p2",[7]ARBOR!$A:$C,3,0)-1,4)))))</f>
        <v/>
      </c>
      <c r="DY6" s="65" t="str">
        <f>IF(ISERROR(IF(DX6="","",VLOOKUP(("Oi Conta Total Plug 10GB Downgrade"&amp;DX6&amp;"Template de desconto percentual BL Móvel - Internet Total - Varejo"),[7]BENEFICIOS!$A:$E,5,0))),"Criar",IF(DX6="","",VLOOKUP(("Oi Conta Total Plug 10GB Downgrade"&amp;DX6&amp;"Template de desconto percentual BL Móvel - Internet Total - Varejo"),[7]BENEFICIOS!$A:$E,5,0)))</f>
        <v/>
      </c>
      <c r="DZ6" s="71">
        <v>19.899999999999999</v>
      </c>
      <c r="EA6" s="72">
        <f>IF(DZ6=0,"",IF(DZ6=VLOOKUP("SVA",[7]ARBOR!$A:$C,3,0),0.0001,IF(DZ6&gt;VLOOKUP("SVA",[7]ARBOR!$A:$C,3,0),"Maior que CAP!",IF((DOLLAR(DZ6+(VLOOKUP("SVA",[7]ARBOR!$A:$C,3,0)*-TRUNC(DZ6/VLOOKUP("SVA",[7]ARBOR!$A:$C,3,0)-1,4)),6))&lt;&gt;(DOLLAR(VLOOKUP("SVA",[7]ARBOR!$A:$C,3,0),6)),-TRUNC(DZ6/VLOOKUP("SVA",[7]ARBOR!$A:$C,3,0)-1,4)+0.0001,-TRUNC(DZ6/VLOOKUP("SVA",[7]ARBOR!$A:$C,3,0)-1,4)))))</f>
        <v>7.1400000000000005E-2</v>
      </c>
      <c r="EB6" s="65" t="s">
        <v>241</v>
      </c>
      <c r="EC6" s="69"/>
      <c r="ED6" s="73"/>
      <c r="EE6" s="74"/>
      <c r="EF6" s="65"/>
      <c r="EG6" s="75">
        <f>IF(BI6="","",VLOOKUP(BI6,[7]ARBOR!A:C,3,0))</f>
        <v>479.46</v>
      </c>
      <c r="EH6" s="69">
        <v>15</v>
      </c>
      <c r="EI6" s="76">
        <f>IF(EH6="","",1-(EH6/VLOOKUP(BI6&amp;"ASS",[7]ARBOR!A:C,3,0)))</f>
        <v>0.34725848563968664</v>
      </c>
      <c r="EJ6" s="77" t="s">
        <v>224</v>
      </c>
      <c r="EK6" s="78" t="s">
        <v>225</v>
      </c>
      <c r="EL6" s="69">
        <v>137.16</v>
      </c>
      <c r="EM6" s="64">
        <f>ROUND(IF(EL6=0,"",IF(EL6=EG6,0.0001,1-((EL6+(VLOOKUP(BI6&amp;"ASS",[7]ARBOR!A:C,3,0)-EH6))/EG6))),4)</f>
        <v>0.69730000000000003</v>
      </c>
      <c r="EN6" s="65" t="str">
        <f>IF(ISERROR(IF(EM6="","",VLOOKUP(($BH6&amp;EM6&amp;"Template de desconto percentual FLAT Móvel - Conta Total - Varejo - Ganho Tributário Cross"),[7]BENEFICIOS!$A:$E,5,0))),"Criar",IF(EM6="","",VLOOKUP(($BH6&amp;EM6&amp;"Template de desconto percentual FLAT Móvel - Conta Total - Varejo - Ganho Tributário Cross"),[7]BENEFICIOS!$A:$E,5,0)))</f>
        <v>Criar</v>
      </c>
      <c r="EO6" s="79"/>
      <c r="EP6" s="64"/>
      <c r="EQ6" s="72"/>
      <c r="ER6" s="72"/>
      <c r="ES6" s="64"/>
      <c r="ET6" s="80"/>
      <c r="EU6" s="81" t="s">
        <v>244</v>
      </c>
      <c r="EV6" s="81" t="s">
        <v>245</v>
      </c>
      <c r="EW6" s="82"/>
      <c r="EX6" s="83"/>
      <c r="EY6" s="84"/>
      <c r="EZ6" s="82"/>
      <c r="FA6" s="83"/>
      <c r="FB6" s="84"/>
      <c r="FC6" s="82">
        <v>8.74</v>
      </c>
      <c r="FD6" s="83">
        <f>IF(FC6=0,"",IF(FC6=VLOOKUP("PCS-10357",[7]ARBOR!$A:$C,3,0),0.0001,IF(FC6&gt;VLOOKUP("PCS-10357",[7]ARBOR!$A:$C,3,0),"Maior que CAP!",ROUND(-1*(FC6/VLOOKUP("PCS-10357",[7]ARBOR!$A:$C,3,0)-1),4))))</f>
        <v>0.8669</v>
      </c>
      <c r="FE6" s="84" t="str">
        <f>IF(ISERROR(IF(FD6="","",VLOOKUP(("Oi Internet Pra Celular 1GB"&amp;FD6&amp;"Template Flat Instância Dados"),[7]BENEFICIOS!$A:$E,5,0))),"Criar",IF(FD6="","",VLOOKUP(("Oi Internet Pra Celular 1GB"&amp;FD6&amp;"Template Flat Instância Dados"),[7]BENEFICIOS!$A:$E,5,0)))</f>
        <v>MKT-1-9869952543</v>
      </c>
      <c r="FF6" s="82"/>
      <c r="FG6" s="83" t="str">
        <f>IF(FF6=0,"",IF(FF6=VLOOKUP("PCS-813565",[7]ARBOR!$A:$C,3,0),0.0001,IF(FF6&gt;VLOOKUP("PCS-813565",[7]ARBOR!$A:$C,3,0),"Maior que CAP!",ROUND(-1*(FF6/VLOOKUP("PCS-813565",[7]ARBOR!$A:$C,3,0)-1),4))))</f>
        <v/>
      </c>
      <c r="FH6" s="84" t="str">
        <f>IF(ISERROR(IF(FG6="","",VLOOKUP(("Oi Internet Pra Celular 2GB"&amp;FG6&amp;"Template Flat Instância Dados"),[7]BENEFICIOS!$A:$E,5,0))),"Criar",IF(FG6="","",VLOOKUP(("Oi Internet Pra Celular 2GB"&amp;FG6&amp;"Template Flat Instância Dados"),[7]BENEFICIOS!$A:$E,5,0)))</f>
        <v/>
      </c>
      <c r="FI6" s="82"/>
      <c r="FJ6" s="83" t="str">
        <f>IF(FI6=0,"",IF(FI6=VLOOKUP("PCS-7171B",[7]ARBOR!$A:$C,3,0),0.0001,IF(FI6&gt;VLOOKUP("PCS-7171B",[7]ARBOR!$A:$C,3,0),"Maior que CAP!",ROUND(-1*(FI6/VLOOKUP("PCS-7171B",[7]ARBOR!$A:$C,3,0)-1),4))))</f>
        <v/>
      </c>
      <c r="FK6" s="84" t="str">
        <f>IF(ISERROR(IF(FJ6="","",VLOOKUP(("Oi Internet Pra Celular 3GB"&amp;FJ6&amp;"Template Flat Instância Dados"),[7]BENEFICIOS!$A:$E,5,0))),"Criar",IF(FJ6="","",VLOOKUP(("Oi Internet Pra Celular 3GB"&amp;FJ6&amp;"Template Flat Instância Dados"),[7]BENEFICIOS!$A:$E,5,0)))</f>
        <v/>
      </c>
      <c r="FL6" s="82"/>
      <c r="FM6" s="83" t="str">
        <f>IF(FL6=0,"",IF(FL6=VLOOKUP("PCS-51793o08",[7]ARBOR!$A:$C,3,0),0.0001,IF(FL6&gt;VLOOKUP("PCS-51793o08",[7]ARBOR!$A:$C,3,0),"Maior que CAP!",ROUND(-1*(FL6/VLOOKUP("PCS-51793o08",[7]ARBOR!$A:$C,3,0)-1),4))))</f>
        <v/>
      </c>
      <c r="FN6" s="84" t="str">
        <f>IF(ISERROR(IF(FM6="","",VLOOKUP(("Oi Internet Pra Celular 5GB"&amp;FM6&amp;"Template Flat Instância Dados"),[7]BENEFICIOS!$A:$E,5,0))),"Criar",IF(FM6="","",VLOOKUP(("Oi Internet Pra Celular 5GB"&amp;FM6&amp;"Template Flat Instância Dados"),[7]BENEFICIOS!$A:$E,5,0)))</f>
        <v/>
      </c>
      <c r="FO6" s="82"/>
      <c r="FP6" s="83" t="str">
        <f>IF(FO6=0,"",IF(FO6=VLOOKUP("PCS-7171A",[7]ARBOR!$A:$C,3,0),0.0001,IF(FO6&gt;VLOOKUP("PCS-7171A",[7]ARBOR!$A:$C,3,0),"Maior que CAP!",ROUND(-1*(FO6/VLOOKUP("PCS-7171A",[7]ARBOR!$A:$C,3,0)-1),4))))</f>
        <v/>
      </c>
      <c r="FQ6" s="84" t="str">
        <f>IF(ISERROR(IF(FP6="","",VLOOKUP(("Oi Internet Pra Celular 10GB"&amp;FP6&amp;"Template Flat Instância Dados"),[7]BENEFICIOS!$A:$E,5,0))),"Criar",IF(FP6="","",VLOOKUP(("Oi Internet Pra Celular 10GB"&amp;FP6&amp;"Template Flat Instância Dados"),[7]BENEFICIOS!$A:$E,5,0)))</f>
        <v/>
      </c>
      <c r="FR6" s="85">
        <v>0.74219999999999997</v>
      </c>
      <c r="FS6" s="86" t="s">
        <v>246</v>
      </c>
      <c r="FT6" s="48"/>
      <c r="FU6" s="87"/>
      <c r="FV6" s="88" t="s">
        <v>221</v>
      </c>
      <c r="FW6" s="49" t="s">
        <v>226</v>
      </c>
      <c r="FX6" s="89">
        <v>999</v>
      </c>
      <c r="FY6" s="49">
        <v>12</v>
      </c>
      <c r="FZ6" s="90" t="s">
        <v>227</v>
      </c>
      <c r="GA6" s="91" t="str">
        <f t="shared" si="1"/>
        <v>PCS-Fk83324</v>
      </c>
      <c r="GB6" s="92" t="str">
        <f t="shared" si="2"/>
        <v>PCS-SBL553142</v>
      </c>
      <c r="GC6" s="93" t="s">
        <v>228</v>
      </c>
      <c r="GD6" s="90" t="s">
        <v>229</v>
      </c>
      <c r="GE6" s="92" t="s">
        <v>230</v>
      </c>
      <c r="GF6" s="93" t="s">
        <v>231</v>
      </c>
      <c r="GG6" s="90" t="s">
        <v>232</v>
      </c>
      <c r="GH6" s="92" t="s">
        <v>233</v>
      </c>
      <c r="GI6" s="94" t="s">
        <v>234</v>
      </c>
      <c r="GJ6" s="95">
        <f>FC6+EL6+CN6+BJ6</f>
        <v>245.9</v>
      </c>
      <c r="GK6" s="96"/>
      <c r="GL6" s="97" t="s">
        <v>235</v>
      </c>
      <c r="GM6" s="98" t="s">
        <v>236</v>
      </c>
      <c r="GN6" s="97">
        <f>VLOOKUP($A6,'[7]TABELA COM TUDO'!$A:$AB,25,0)</f>
        <v>14</v>
      </c>
      <c r="GO6" s="99">
        <f>VLOOKUP($A6,'[7]TABELA COM TUDO'!$A:$AB,26,0)</f>
        <v>3.61</v>
      </c>
      <c r="GP6" s="100">
        <f t="shared" si="8"/>
        <v>0.74209999999999998</v>
      </c>
      <c r="GQ6" s="97">
        <f t="shared" si="4"/>
        <v>10.38</v>
      </c>
      <c r="GR6" s="97">
        <f t="shared" si="5"/>
        <v>3.6199999999999992</v>
      </c>
      <c r="GS6" s="101"/>
      <c r="GT6" s="101"/>
      <c r="GU6" s="102" t="b">
        <f t="shared" si="6"/>
        <v>0</v>
      </c>
      <c r="GV6" s="103">
        <f t="shared" si="7"/>
        <v>9.9999999999993427E-3</v>
      </c>
      <c r="GW6" s="44" t="s">
        <v>249</v>
      </c>
      <c r="GX6" s="44" t="s">
        <v>238</v>
      </c>
    </row>
    <row r="7" spans="1:206" s="44" customFormat="1" x14ac:dyDescent="0.35">
      <c r="A7" s="44" t="str">
        <f t="shared" si="0"/>
        <v>Oi Total Fixo + Pós 800 + Banda LargaN12GBMG</v>
      </c>
      <c r="B7" s="45" t="s">
        <v>211</v>
      </c>
      <c r="C7" s="46" t="s">
        <v>127</v>
      </c>
      <c r="D7" s="46" t="s">
        <v>212</v>
      </c>
      <c r="E7" s="47" t="s">
        <v>213</v>
      </c>
      <c r="F7" s="48" t="s">
        <v>214</v>
      </c>
      <c r="G7" s="49"/>
      <c r="H7" s="49"/>
      <c r="I7" s="49"/>
      <c r="J7" s="49" t="s">
        <v>214</v>
      </c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 t="s">
        <v>214</v>
      </c>
      <c r="AC7" s="49" t="s">
        <v>214</v>
      </c>
      <c r="AD7" s="49" t="s">
        <v>214</v>
      </c>
      <c r="AE7" s="49" t="s">
        <v>214</v>
      </c>
      <c r="AF7" s="49" t="s">
        <v>214</v>
      </c>
      <c r="AG7" s="49" t="s">
        <v>214</v>
      </c>
      <c r="AH7" s="50"/>
      <c r="AI7" s="49" t="s">
        <v>214</v>
      </c>
      <c r="AJ7" s="49" t="s">
        <v>214</v>
      </c>
      <c r="AK7" s="49" t="s">
        <v>214</v>
      </c>
      <c r="AL7" s="49" t="s">
        <v>214</v>
      </c>
      <c r="AM7" s="49" t="s">
        <v>214</v>
      </c>
      <c r="AN7" s="49" t="s">
        <v>214</v>
      </c>
      <c r="AO7" s="49" t="s">
        <v>214</v>
      </c>
      <c r="AP7" s="49"/>
      <c r="AQ7" s="51"/>
      <c r="AR7" s="52" t="s">
        <v>250</v>
      </c>
      <c r="AS7" s="46" t="s">
        <v>216</v>
      </c>
      <c r="AT7" s="53" t="s">
        <v>217</v>
      </c>
      <c r="AU7" s="54">
        <v>42972</v>
      </c>
      <c r="AV7" s="55">
        <v>43038</v>
      </c>
      <c r="AW7" s="56" t="s">
        <v>218</v>
      </c>
      <c r="AX7" s="57" t="s">
        <v>218</v>
      </c>
      <c r="AY7" s="58"/>
      <c r="AZ7" s="58" t="s">
        <v>219</v>
      </c>
      <c r="BA7" s="58">
        <v>20</v>
      </c>
      <c r="BB7" s="58">
        <v>10000</v>
      </c>
      <c r="BC7" s="59" t="s">
        <v>220</v>
      </c>
      <c r="BD7" s="60" t="s">
        <v>221</v>
      </c>
      <c r="BE7" s="58" t="s">
        <v>213</v>
      </c>
      <c r="BF7" s="51" t="s">
        <v>213</v>
      </c>
      <c r="BG7" s="45" t="s">
        <v>250</v>
      </c>
      <c r="BH7" s="61" t="s">
        <v>222</v>
      </c>
      <c r="BI7" s="62" t="str">
        <f>IF(ISERROR(VLOOKUP(BH7,[7]PLANOS!B:C,2,0)),"",VLOOKUP(BH7,[7]PLANOS!B:C,2,0))</f>
        <v>PCS-4P6pi</v>
      </c>
      <c r="BJ7" s="63">
        <v>50.1</v>
      </c>
      <c r="BK7" s="64">
        <f>IF(BJ7=0,"",IF(BJ7=VLOOKUP("FIXO",[7]ARBOR!$A:$C,3,0),0.0001,IF(BJ7&gt;VLOOKUP("FIXO",[7]ARBOR!$A:$C,3,0),"Maior que CAP!",IF((DOLLAR(BJ7+(VLOOKUP("FIXO",[7]ARBOR!$A:$C,3,0)*-TRUNC(BJ7/VLOOKUP("FIXO",[7]ARBOR!$A:$C,3,0)-1,4)),6))&lt;&gt;(DOLLAR(VLOOKUP("FIXO",[7]ARBOR!$A:$C,3,0),6)),-TRUNC(BJ7/VLOOKUP("FIXO",[7]ARBOR!$A:$C,3,0)-1,4)+0.0001,-TRUNC(BJ7/VLOOKUP("FIXO",[7]ARBOR!$A:$C,3,0)-1,4)))))</f>
        <v>0.33939999999999998</v>
      </c>
      <c r="BL7" s="65" t="str">
        <f>IF(ISERROR(IF(BK7="","",VLOOKUP(($BH7&amp;BK7&amp;"Template de desconto FLAT bundle - Fixo - Varejo - Ganho Tributário Cross"),[7]BENEFICIOS!$A:$E,5,0))),"Criar",IF(BK7="","",VLOOKUP(($BH7&amp;BK7&amp;"Template de desconto FLAT bundle - Fixo - Varejo - Ganho Tributário Cross"),[7]BENEFICIOS!$A:$E,5,0)))</f>
        <v>MKT-1-9856472058</v>
      </c>
      <c r="BM7" s="66"/>
      <c r="BN7" s="67"/>
      <c r="BO7" s="68" t="s">
        <v>161</v>
      </c>
      <c r="BP7" s="69">
        <v>44.9</v>
      </c>
      <c r="BQ7" s="64">
        <f>IF(BP7=0,"",IF(BP7=VLOOKUP("PCS-30874g",[7]ARBOR!$A:$C,3,0),0.0001,IF(BP7&gt;VLOOKUP("PCS-30874g",[7]ARBOR!$A:$C,3,0),"Maior que CAP!",IF((DOLLAR(BP7+(VLOOKUP("PCS-30874g",[7]ARBOR!$A:$C,3,0)*-TRUNC(BP7/VLOOKUP("PCS-30874g",[7]ARBOR!$A:$C,3,0)-1,4)),6))&lt;&gt;(DOLLAR(VLOOKUP("PCS-30874g",[7]ARBOR!$A:$C,3,0),6)),-TRUNC(BP7/VLOOKUP("PCS-30874g",[7]ARBOR!$A:$C,3,0)-1,4)+0.0001,-TRUNC(BP7/VLOOKUP("PCS-30874g",[7]ARBOR!$A:$C,3,0)-1,4)))))</f>
        <v>0.53679999999999994</v>
      </c>
      <c r="BR7" s="65" t="str">
        <f>IF(ISERROR(IF(BQ7="","",VLOOKUP(($BH7&amp;BQ7&amp;"Template de desconto FLAT bundle - Velox XDSL - Varejo"),[7]BENEFICIOS!$A:$E,5,0))),"Criar",IF(BQ7="","",VLOOKUP(($BH7&amp;BQ7&amp;"Template de desconto FLAT bundle - Velox XDSL - Varejo"),[7]BENEFICIOS!$A:$E,5,0)))</f>
        <v>MKT-1-9865126733</v>
      </c>
      <c r="BS7" s="68" t="s">
        <v>161</v>
      </c>
      <c r="BT7" s="69">
        <v>44.9</v>
      </c>
      <c r="BU7" s="64">
        <f>IF(BT7=0,"",IF(BT7=VLOOKUP("PCS-30577g",[7]ARBOR!$A:$C,3,0),0.0001,IF(BT7&gt;VLOOKUP("PCS-30577g",[7]ARBOR!$A:$C,3,0),"Maior que CAP!",IF((DOLLAR(BT7+(VLOOKUP("PCS-30577g",[7]ARBOR!$A:$C,3,0)*-TRUNC(BT7/VLOOKUP("PCS-30577g",[7]ARBOR!$A:$C,3,0)-1,4)),6))&lt;&gt;(DOLLAR(VLOOKUP("PCS-30577g",[7]ARBOR!$A:$C,3,0),6)),-TRUNC(BT7/VLOOKUP("PCS-30577g",[7]ARBOR!$A:$C,3,0)-1,4)+0.0001,-TRUNC(BT7/VLOOKUP("PCS-30577g",[7]ARBOR!$A:$C,3,0)-1,4)))))</f>
        <v>0.53679999999999994</v>
      </c>
      <c r="BV7" s="65" t="str">
        <f>IF(ISERROR(IF(BU7="","",VLOOKUP(($BH7&amp;BU7&amp;"Template de desconto FLAT bundle - Velox XDSL - Varejo"),[7]BENEFICIOS!$A:$E,5,0))),"Criar",IF(BU7="","",VLOOKUP(($BH7&amp;BU7&amp;"Template de desconto FLAT bundle - Velox XDSL - Varejo"),[7]BENEFICIOS!$A:$E,5,0)))</f>
        <v>MKT-1-9865126733</v>
      </c>
      <c r="BW7" s="68" t="s">
        <v>161</v>
      </c>
      <c r="BX7" s="69">
        <v>44.9</v>
      </c>
      <c r="BY7" s="64">
        <f>IF(BX7=0,"",IF(BX7=VLOOKUP("PCS-30604g",[7]ARBOR!$A:$C,3,0),0.0001,IF(BX7&gt;VLOOKUP("PCS-30604g",[7]ARBOR!$A:$C,3,0),"Maior que CAP!",IF((DOLLAR(BX7+(VLOOKUP("PCS-30604g",[7]ARBOR!$A:$C,3,0)*-TRUNC(BX7/VLOOKUP("PCS-30604g",[7]ARBOR!$A:$C,3,0)-1,4)),6))&lt;&gt;(DOLLAR(VLOOKUP("PCS-30604g",[7]ARBOR!$A:$C,3,0),6)),-TRUNC(BX7/VLOOKUP("PCS-30604g",[7]ARBOR!$A:$C,3,0)-1,4)+0.0001,-TRUNC(BX7/VLOOKUP("PCS-30604g",[7]ARBOR!$A:$C,3,0)-1,4)))))</f>
        <v>0.53679999999999994</v>
      </c>
      <c r="BZ7" s="65" t="str">
        <f>IF(ISERROR(IF(BY7="","",VLOOKUP(($BH7&amp;BY7&amp;"Template de desconto FLAT bundle - Velox XDSL - Varejo"),[7]BENEFICIOS!$A:$E,5,0))),"Criar",IF(BY7="","",VLOOKUP(($BH7&amp;BY7&amp;"Template de desconto FLAT bundle - Velox XDSL - Varejo"),[7]BENEFICIOS!$A:$E,5,0)))</f>
        <v>MKT-1-9865126733</v>
      </c>
      <c r="CA7" s="68" t="s">
        <v>161</v>
      </c>
      <c r="CB7" s="69">
        <v>44.9</v>
      </c>
      <c r="CC7" s="64">
        <f>IF(CB7=0,"",IF(CB7=VLOOKUP("PCS-30631g",[7]ARBOR!$A:$C,3,0),0.0001,IF(CB7&gt;VLOOKUP("PCS-30631g",[7]ARBOR!$A:$C,3,0),"Maior que CAP!",IF((DOLLAR(CB7+(VLOOKUP("PCS-30631g",[7]ARBOR!$A:$C,3,0)*-TRUNC(CB7/VLOOKUP("PCS-30631g",[7]ARBOR!$A:$C,3,0)-1,4)),6))&lt;&gt;(DOLLAR(VLOOKUP("PCS-30631g",[7]ARBOR!$A:$C,3,0),6)),-TRUNC(CB7/VLOOKUP("PCS-30631g",[7]ARBOR!$A:$C,3,0)-1,4)+0.0001,-TRUNC(CB7/VLOOKUP("PCS-30631g",[7]ARBOR!$A:$C,3,0)-1,4)))))</f>
        <v>0.54310000000000003</v>
      </c>
      <c r="CD7" s="65" t="str">
        <f>IF(ISERROR(IF(CC7="","",VLOOKUP(($BH7&amp;CC7&amp;"Template de desconto FLAT bundle - Velox XDSL - Varejo"),[7]BENEFICIOS!$A:$E,5,0))),"Criar",IF(CC7="","",VLOOKUP(($BH7&amp;CC7&amp;"Template de desconto FLAT bundle - Velox XDSL - Varejo"),[7]BENEFICIOS!$A:$E,5,0)))</f>
        <v>MKT-1-9865126826</v>
      </c>
      <c r="CE7" s="68"/>
      <c r="CF7" s="69"/>
      <c r="CG7" s="64" t="str">
        <f>IF(CF7=0,"",IF(CF7=VLOOKUP("PCS-30658g",[7]ARBOR!$A:$C,3,0),0.0001,IF(CF7&gt;VLOOKUP("PCS-30658g",[7]ARBOR!$A:$C,3,0),"Maior que CAP!",IF((DOLLAR(CF7+(VLOOKUP("PCS-30658g",[7]ARBOR!$A:$C,3,0)*-TRUNC(CF7/VLOOKUP("PCS-30658g",[7]ARBOR!$A:$C,3,0)-1,4)),6))&lt;&gt;(DOLLAR(VLOOKUP("PCS-30658g",[7]ARBOR!$A:$C,3,0),6)),-TRUNC(CF7/VLOOKUP("PCS-30658g",[7]ARBOR!$A:$C,3,0)-1,4)+0.0001,-TRUNC(CF7/VLOOKUP("PCS-30658g",[7]ARBOR!$A:$C,3,0)-1,4)))))</f>
        <v/>
      </c>
      <c r="CH7" s="65" t="str">
        <f>IF(ISERROR(IF(CG7="","",VLOOKUP(($BH7&amp;CG7&amp;"Template de desconto FLAT bundle - Velox XDSL - Varejo"),[7]BENEFICIOS!$A:$E,5,0))),"Criar",IF(CG7="","",VLOOKUP(($BH7&amp;CG7&amp;"Template de desconto FLAT bundle - Velox XDSL - Varejo"),[7]BENEFICIOS!$A:$E,5,0)))</f>
        <v/>
      </c>
      <c r="CI7" s="68"/>
      <c r="CJ7" s="69"/>
      <c r="CK7" s="64" t="str">
        <f>IF(CJ7=0,"",IF(CJ7=VLOOKUP("PCS-30685g",[7]ARBOR!$A:$C,3,0),0.0001,IF(CJ7&gt;VLOOKUP("PCS-30685g",[7]ARBOR!$A:$C,3,0),"Maior que CAP!",IF((DOLLAR(CJ7+(VLOOKUP("PCS-30685g",[7]ARBOR!$A:$C,3,0)*-TRUNC(CJ7/VLOOKUP("PCS-30685g",[7]ARBOR!$A:$C,3,0)-1,4)),6))&lt;&gt;(DOLLAR(VLOOKUP("PCS-30685g",[7]ARBOR!$A:$C,3,0),6)),-TRUNC(CJ7/VLOOKUP("PCS-30685g",[7]ARBOR!$A:$C,3,0)-1,4)+0.0001,-TRUNC(CJ7/VLOOKUP("PCS-30685g",[7]ARBOR!$A:$C,3,0)-1,4)))))</f>
        <v/>
      </c>
      <c r="CL7" s="65" t="str">
        <f>IF(ISERROR(IF(CK7="","",VLOOKUP(($BH7&amp;CK7&amp;"Template de desconto FLAT bundle - Velox XDSL - Varejo"),[7]BENEFICIOS!$A:$E,5,0))),"Criar",IF(CK7="","",VLOOKUP(($BH7&amp;CK7&amp;"Template de desconto FLAT bundle - Velox XDSL - Varejo"),[7]BENEFICIOS!$A:$E,5,0)))</f>
        <v/>
      </c>
      <c r="CM7" s="68"/>
      <c r="CN7" s="69"/>
      <c r="CO7" s="64" t="str">
        <f>IF(CN7=0,"",IF(CN7=VLOOKUP("PCS-30712g",[7]ARBOR!$A:$C,3,0),0.0001,IF(CN7&gt;VLOOKUP("PCS-30712g",[7]ARBOR!$A:$C,3,0),"Maior que CAP!",IF((DOLLAR(CN7+(VLOOKUP("PCS-30712g",[7]ARBOR!$A:$C,3,0)*-TRUNC(CN7/VLOOKUP("PCS-30712g",[7]ARBOR!$A:$C,3,0)-1,4)),6))&lt;&gt;(DOLLAR(VLOOKUP("PCS-30712g",[7]ARBOR!$A:$C,3,0),6)),-TRUNC(CN7/VLOOKUP("PCS-30712g",[7]ARBOR!$A:$C,3,0)-1,4)+0.0001,-TRUNC(CN7/VLOOKUP("PCS-30712g",[7]ARBOR!$A:$C,3,0)-1,4)))))</f>
        <v/>
      </c>
      <c r="CP7" s="65" t="str">
        <f>IF(ISERROR(IF(CO7="","",VLOOKUP(($BH7&amp;CO7&amp;"Template de desconto FLAT bundle - Velox XDSL - Varejo"),[7]BENEFICIOS!$A:$E,5,0))),"Criar",IF(CO7="","",VLOOKUP(($BH7&amp;CO7&amp;"Template de desconto FLAT bundle - Velox XDSL - Varejo"),[7]BENEFICIOS!$A:$E,5,0)))</f>
        <v/>
      </c>
      <c r="CQ7" s="68"/>
      <c r="CR7" s="69"/>
      <c r="CS7" s="64" t="str">
        <f>IF(CR7=0,"",IF(CR7=VLOOKUP("PCS-30739g",[7]ARBOR!$A:$C,3,0),0.0001,IF(CR7&gt;VLOOKUP("PCS-30739g",[7]ARBOR!$A:$C,3,0),"Maior que CAP!",IF((DOLLAR(CR7+(VLOOKUP("PCS-30739g",[7]ARBOR!$A:$C,3,0)*-TRUNC(CR7/VLOOKUP("PCS-30739g",[7]ARBOR!$A:$C,3,0)-1,4)),6))&lt;&gt;(DOLLAR(VLOOKUP("PCS-30739g",[7]ARBOR!$A:$C,3,0),6)),-TRUNC(CR7/VLOOKUP("PCS-30739g",[7]ARBOR!$A:$C,3,0)-1,4)+0.0001,-TRUNC(CR7/VLOOKUP("PCS-30739g",[7]ARBOR!$A:$C,3,0)-1,4)))))</f>
        <v/>
      </c>
      <c r="CT7" s="65" t="str">
        <f>IF(ISERROR(IF(CS7="","",VLOOKUP(($BH7&amp;CS7&amp;"Template de desconto FLAT bundle - Velox XDSL - Varejo"),[7]BENEFICIOS!$A:$E,5,0))),"Criar",IF(CS7="","",VLOOKUP(($BH7&amp;CS7&amp;"Template de desconto FLAT bundle - Velox XDSL - Varejo"),[7]BENEFICIOS!$A:$E,5,0)))</f>
        <v/>
      </c>
      <c r="CU7" s="69"/>
      <c r="CV7" s="70"/>
      <c r="CW7" s="64"/>
      <c r="CX7" s="65"/>
      <c r="CY7" s="68"/>
      <c r="CZ7" s="69"/>
      <c r="DA7" s="64" t="str">
        <f>IF(CZ7=0,"",IF(CZ7=VLOOKUP("PCS-30766g",[7]ARBOR!$A:$C,3,0),0.0001,IF(CZ7&gt;VLOOKUP("PCS-30766g",[7]ARBOR!$A:$C,3,0),"Maior que CAP!",IF((DOLLAR(CZ7+(VLOOKUP("PCS-30766g",[7]ARBOR!$A:$C,3,0)*-TRUNC(CZ7/VLOOKUP("PCS-30766g",[7]ARBOR!$A:$C,3,0)-1,4)),6))&lt;&gt;(DOLLAR(VLOOKUP("PCS-30766g",[7]ARBOR!$A:$C,3,0),6)),-TRUNC(CZ7/VLOOKUP("PCS-30766g",[7]ARBOR!$A:$C,3,0)-1,4)+0.0001,-TRUNC(CZ7/VLOOKUP("PCS-30766g",[7]ARBOR!$A:$C,3,0)-1,4)))))</f>
        <v/>
      </c>
      <c r="DB7" s="65" t="str">
        <f>IF(ISERROR(IF(DA7="","",VLOOKUP(($BH7&amp;DA7&amp;"Template de desconto FLAT bundle - Velox XDSL - Varejo"),[7]BENEFICIOS!$A:$E,5,0))),"Criar",IF(DA7="","",VLOOKUP(($BH7&amp;DA7&amp;"Template de desconto FLAT bundle - Velox XDSL - Varejo"),[7]BENEFICIOS!$A:$E,5,0)))</f>
        <v/>
      </c>
      <c r="DC7" s="69"/>
      <c r="DD7" s="70"/>
      <c r="DE7" s="64"/>
      <c r="DF7" s="65"/>
      <c r="DG7" s="68"/>
      <c r="DH7" s="69"/>
      <c r="DI7" s="64" t="str">
        <f>IF(DH7=0,"",IF(DH7=VLOOKUP("PCS-30793g",[7]ARBOR!$A:$C,3,0),0.0001,IF(DH7&gt;VLOOKUP("PCS-30793g",[7]ARBOR!$A:$C,3,0),"Maior que CAP!",IF((DOLLAR(DH7+(VLOOKUP("PCS-30793g",[7]ARBOR!$A:$C,3,0)*-TRUNC(DH7/VLOOKUP("PCS-30793g",[7]ARBOR!$A:$C,3,0)-1,4)),6))&lt;&gt;(DOLLAR(VLOOKUP("PCS-30793g",[7]ARBOR!$A:$C,3,0),6)),-TRUNC(DH7/VLOOKUP("PCS-30793g",[7]ARBOR!$A:$C,3,0)-1,4)+0.0001,-TRUNC(DH7/VLOOKUP("PCS-30793g",[7]ARBOR!$A:$C,3,0)-1,4)))))</f>
        <v/>
      </c>
      <c r="DJ7" s="65" t="str">
        <f>IF(ISERROR(IF(DI7="","",VLOOKUP(($BH7&amp;DI7&amp;"Template de desconto FLAT bundle - Velox XDSL - Varejo"),[7]BENEFICIOS!$A:$E,5,0))),"Criar",IF(DI7="","",VLOOKUP(($BH7&amp;DI7&amp;"Template de desconto FLAT bundle - Velox XDSL - Varejo"),[7]BENEFICIOS!$A:$E,5,0)))</f>
        <v/>
      </c>
      <c r="DK7" s="69"/>
      <c r="DL7" s="70"/>
      <c r="DM7" s="64"/>
      <c r="DN7" s="65"/>
      <c r="DO7" s="68"/>
      <c r="DP7" s="69"/>
      <c r="DQ7" s="64" t="str">
        <f>IF(DP7=0,"",IF(DP7=VLOOKUP("PCS-30820g",[7]ARBOR!$A:$C,3,0),0.0001,IF(DP7&gt;VLOOKUP("PCS-30820g",[7]ARBOR!$A:$C,3,0),"Maior que CAP!",IF((DOLLAR(DP7+(VLOOKUP("PCS-30820g",[7]ARBOR!$A:$C,3,0)*-TRUNC(DP7/VLOOKUP("PCS-30820g",[7]ARBOR!$A:$C,3,0)-1,4)),6))&lt;&gt;(DOLLAR(VLOOKUP("PCS-30820g",[7]ARBOR!$A:$C,3,0),6)),-TRUNC(DP7/VLOOKUP("PCS-30820g",[7]ARBOR!$A:$C,3,0)-1,4)+0.0001,-TRUNC(DP7/VLOOKUP("PCS-30820g",[7]ARBOR!$A:$C,3,0)-1,4)))))</f>
        <v/>
      </c>
      <c r="DR7" s="65" t="str">
        <f>IF(ISERROR(IF(DQ7="","",VLOOKUP(($BH7&amp;DQ7&amp;"Template de desconto FLAT bundle - Velox XDSL - Varejo"),[7]BENEFICIOS!$A:$E,5,0))),"Criar",IF(DQ7="","",VLOOKUP(($BH7&amp;DQ7&amp;"Template de desconto FLAT bundle - Velox XDSL - Varejo"),[7]BENEFICIOS!$A:$E,5,0)))</f>
        <v/>
      </c>
      <c r="DS7" s="69"/>
      <c r="DT7" s="70"/>
      <c r="DU7" s="64"/>
      <c r="DV7" s="65"/>
      <c r="DW7" s="71">
        <v>44.9</v>
      </c>
      <c r="DX7" s="64">
        <f>IF(DW7=0,"",IF(DW7=VLOOKUP("PCS-21448p2",[7]ARBOR!$A:$C,3,0),0.0001,IF(DW7&gt;VLOOKUP("PCS-21448p2",[7]ARBOR!$A:$C,3,0),"Maior que CAP!",IF((DOLLAR(DW7+(VLOOKUP("PCS-21448p2",[7]ARBOR!$A:$C,3,0)*-TRUNC(DW7/VLOOKUP("PCS-21448p2",[7]ARBOR!$A:$C,3,0)-1,4)),6))&lt;&gt;(DOLLAR(VLOOKUP("PCS-21448p2",[7]ARBOR!$A:$C,3,0),6)),-TRUNC(DW7/VLOOKUP("PCS-21448p2",[7]ARBOR!$A:$C,3,0)-1,4)+0.0001,-TRUNC(DW7/VLOOKUP("PCS-21448p2",[7]ARBOR!$A:$C,3,0)-1,4)))))</f>
        <v>0.64900000000000002</v>
      </c>
      <c r="DY7" s="65" t="str">
        <f>IF(ISERROR(IF(DX7="","",VLOOKUP(("Oi Conta Total Plug 10GB Downgrade"&amp;DX7&amp;"Template de desconto percentual BL Móvel - Internet Total - Varejo"),[7]BENEFICIOS!$A:$E,5,0))),"Criar",IF(DX7="","",VLOOKUP(("Oi Conta Total Plug 10GB Downgrade"&amp;DX7&amp;"Template de desconto percentual BL Móvel - Internet Total - Varejo"),[7]BENEFICIOS!$A:$E,5,0)))</f>
        <v>MKT-1-9825544790</v>
      </c>
      <c r="DZ7" s="71">
        <v>16.5</v>
      </c>
      <c r="EA7" s="72">
        <f>IF(DZ7=0,"",IF(DZ7=VLOOKUP("SVA",[7]ARBOR!$A:$C,3,0),0.0001,IF(DZ7&gt;VLOOKUP("SVA",[7]ARBOR!$A:$C,3,0),"Maior que CAP!",IF((DOLLAR(DZ7+(VLOOKUP("SVA",[7]ARBOR!$A:$C,3,0)*-TRUNC(DZ7/VLOOKUP("SVA",[7]ARBOR!$A:$C,3,0)-1,4)),6))&lt;&gt;(DOLLAR(VLOOKUP("SVA",[7]ARBOR!$A:$C,3,0),6)),-TRUNC(DZ7/VLOOKUP("SVA",[7]ARBOR!$A:$C,3,0)-1,4)+0.0001,-TRUNC(DZ7/VLOOKUP("SVA",[7]ARBOR!$A:$C,3,0)-1,4)))))</f>
        <v>0.2301</v>
      </c>
      <c r="EB7" s="65" t="s">
        <v>223</v>
      </c>
      <c r="EC7" s="69"/>
      <c r="ED7" s="73"/>
      <c r="EE7" s="74"/>
      <c r="EF7" s="65"/>
      <c r="EG7" s="75">
        <f>IF(BI7="","",VLOOKUP(BI7,[7]ARBOR!A:C,3,0))</f>
        <v>479.46</v>
      </c>
      <c r="EH7" s="69">
        <v>15</v>
      </c>
      <c r="EI7" s="76">
        <f>IF(EH7="","",1-(EH7/VLOOKUP(BI7&amp;"ASS",[7]ARBOR!A:C,3,0)))</f>
        <v>0.34725848563968664</v>
      </c>
      <c r="EJ7" s="77" t="s">
        <v>224</v>
      </c>
      <c r="EK7" s="78" t="s">
        <v>225</v>
      </c>
      <c r="EL7" s="69">
        <v>147.12999999999997</v>
      </c>
      <c r="EM7" s="64">
        <f>ROUND(IF(EL7=0,"",IF(EL7=EG7,0.0001,1-((EL7+(VLOOKUP(BI7&amp;"ASS",[7]ARBOR!A:C,3,0)-EH7))/EG7))),4)</f>
        <v>0.67649999999999999</v>
      </c>
      <c r="EN7" s="65" t="str">
        <f>IF(ISERROR(IF(EM7="","",VLOOKUP(($BH7&amp;EM7&amp;"Template de desconto percentual FLAT Móvel - Conta Total - Varejo - Ganho Tributário Cross"),[7]BENEFICIOS!$A:$E,5,0))),"Criar",IF(EM7="","",VLOOKUP(($BH7&amp;EM7&amp;"Template de desconto percentual FLAT Móvel - Conta Total - Varejo - Ganho Tributário Cross"),[7]BENEFICIOS!$A:$E,5,0)))</f>
        <v>Criar</v>
      </c>
      <c r="EO7" s="79"/>
      <c r="EP7" s="64"/>
      <c r="EQ7" s="72"/>
      <c r="ER7" s="72"/>
      <c r="ES7" s="64"/>
      <c r="ET7" s="80"/>
      <c r="EU7" s="81" t="s">
        <v>244</v>
      </c>
      <c r="EV7" s="81" t="s">
        <v>251</v>
      </c>
      <c r="EW7" s="82"/>
      <c r="EX7" s="83"/>
      <c r="EY7" s="84"/>
      <c r="EZ7" s="82"/>
      <c r="FA7" s="83"/>
      <c r="FB7" s="84"/>
      <c r="FC7" s="82"/>
      <c r="FD7" s="83" t="str">
        <f>IF(FC7=0,"",IF(FC7=VLOOKUP("PCS-10357",[7]ARBOR!$A:$C,3,0),0.0001,IF(FC7&gt;VLOOKUP("PCS-10357",[7]ARBOR!$A:$C,3,0),"Maior que CAP!",ROUND(-1*(FC7/VLOOKUP("PCS-10357",[7]ARBOR!$A:$C,3,0)-1),4))))</f>
        <v/>
      </c>
      <c r="FE7" s="84" t="str">
        <f>IF(ISERROR(IF(FD7="","",VLOOKUP(("Oi Internet Pra Celular 1GB"&amp;FD7&amp;"Template Flat Instância Dados"),[7]BENEFICIOS!$A:$E,5,0))),"Criar",IF(FD7="","",VLOOKUP(("Oi Internet Pra Celular 1GB"&amp;FD7&amp;"Template Flat Instância Dados"),[7]BENEFICIOS!$A:$E,5,0)))</f>
        <v/>
      </c>
      <c r="FF7" s="82">
        <v>9.77</v>
      </c>
      <c r="FG7" s="83">
        <f>IF(FF7=0,"",IF(FF7=VLOOKUP("PCS-813565",[7]ARBOR!$A:$C,3,0),0.0001,IF(FF7&gt;VLOOKUP("PCS-813565",[7]ARBOR!$A:$C,3,0),"Maior que CAP!",ROUND(-1*(FF7/VLOOKUP("PCS-813565",[7]ARBOR!$A:$C,3,0)-1),4))))</f>
        <v>0.74260000000000004</v>
      </c>
      <c r="FH7" s="84" t="str">
        <f>IF(ISERROR(IF(FG7="","",VLOOKUP(("Oi Internet Pra Celular 2GB"&amp;FG7&amp;"Template Flat Instância Dados"),[7]BENEFICIOS!$A:$E,5,0))),"Criar",IF(FG7="","",VLOOKUP(("Oi Internet Pra Celular 2GB"&amp;FG7&amp;"Template Flat Instância Dados"),[7]BENEFICIOS!$A:$E,5,0)))</f>
        <v>MKT-1-9870023571</v>
      </c>
      <c r="FI7" s="82"/>
      <c r="FJ7" s="83" t="str">
        <f>IF(FI7=0,"",IF(FI7=VLOOKUP("PCS-7171B",[7]ARBOR!$A:$C,3,0),0.0001,IF(FI7&gt;VLOOKUP("PCS-7171B",[7]ARBOR!$A:$C,3,0),"Maior que CAP!",ROUND(-1*(FI7/VLOOKUP("PCS-7171B",[7]ARBOR!$A:$C,3,0)-1),4))))</f>
        <v/>
      </c>
      <c r="FK7" s="84" t="str">
        <f>IF(ISERROR(IF(FJ7="","",VLOOKUP(("Oi Internet Pra Celular 3GB"&amp;FJ7&amp;"Template Flat Instância Dados"),[7]BENEFICIOS!$A:$E,5,0))),"Criar",IF(FJ7="","",VLOOKUP(("Oi Internet Pra Celular 3GB"&amp;FJ7&amp;"Template Flat Instância Dados"),[7]BENEFICIOS!$A:$E,5,0)))</f>
        <v/>
      </c>
      <c r="FL7" s="82"/>
      <c r="FM7" s="83" t="str">
        <f>IF(FL7=0,"",IF(FL7=VLOOKUP("PCS-51793o08",[7]ARBOR!$A:$C,3,0),0.0001,IF(FL7&gt;VLOOKUP("PCS-51793o08",[7]ARBOR!$A:$C,3,0),"Maior que CAP!",ROUND(-1*(FL7/VLOOKUP("PCS-51793o08",[7]ARBOR!$A:$C,3,0)-1),4))))</f>
        <v/>
      </c>
      <c r="FN7" s="84" t="str">
        <f>IF(ISERROR(IF(FM7="","",VLOOKUP(("Oi Internet Pra Celular 5GB"&amp;FM7&amp;"Template Flat Instância Dados"),[7]BENEFICIOS!$A:$E,5,0))),"Criar",IF(FM7="","",VLOOKUP(("Oi Internet Pra Celular 5GB"&amp;FM7&amp;"Template Flat Instância Dados"),[7]BENEFICIOS!$A:$E,5,0)))</f>
        <v/>
      </c>
      <c r="FO7" s="82"/>
      <c r="FP7" s="83" t="str">
        <f>IF(FO7=0,"",IF(FO7=VLOOKUP("PCS-7171A",[7]ARBOR!$A:$C,3,0),0.0001,IF(FO7&gt;VLOOKUP("PCS-7171A",[7]ARBOR!$A:$C,3,0),"Maior que CAP!",ROUND(-1*(FO7/VLOOKUP("PCS-7171A",[7]ARBOR!$A:$C,3,0)-1),4))))</f>
        <v/>
      </c>
      <c r="FQ7" s="84" t="str">
        <f>IF(ISERROR(IF(FP7="","",VLOOKUP(("Oi Internet Pra Celular 10GB"&amp;FP7&amp;"Template Flat Instância Dados"),[7]BENEFICIOS!$A:$E,5,0))),"Criar",IF(FP7="","",VLOOKUP(("Oi Internet Pra Celular 10GB"&amp;FP7&amp;"Template Flat Instância Dados"),[7]BENEFICIOS!$A:$E,5,0)))</f>
        <v/>
      </c>
      <c r="FR7" s="85">
        <v>0.74219999999999997</v>
      </c>
      <c r="FS7" s="86" t="s">
        <v>246</v>
      </c>
      <c r="FT7" s="48"/>
      <c r="FU7" s="87"/>
      <c r="FV7" s="88" t="s">
        <v>221</v>
      </c>
      <c r="FW7" s="49" t="s">
        <v>226</v>
      </c>
      <c r="FX7" s="89">
        <v>999</v>
      </c>
      <c r="FY7" s="49">
        <v>12</v>
      </c>
      <c r="FZ7" s="90" t="s">
        <v>227</v>
      </c>
      <c r="GA7" s="91" t="str">
        <f t="shared" si="1"/>
        <v>PCS-Fk83324</v>
      </c>
      <c r="GB7" s="92" t="str">
        <f t="shared" si="2"/>
        <v>PCS-SBL553142</v>
      </c>
      <c r="GC7" s="93" t="s">
        <v>228</v>
      </c>
      <c r="GD7" s="90" t="s">
        <v>229</v>
      </c>
      <c r="GE7" s="92" t="s">
        <v>230</v>
      </c>
      <c r="GF7" s="93" t="s">
        <v>231</v>
      </c>
      <c r="GG7" s="90" t="s">
        <v>232</v>
      </c>
      <c r="GH7" s="92" t="s">
        <v>233</v>
      </c>
      <c r="GI7" s="94" t="s">
        <v>234</v>
      </c>
      <c r="GJ7" s="95">
        <f>FF7+EL7+CB7+BJ7</f>
        <v>251.89999999999998</v>
      </c>
      <c r="GK7" s="96"/>
      <c r="GL7" s="97" t="s">
        <v>235</v>
      </c>
      <c r="GM7" s="98" t="s">
        <v>236</v>
      </c>
      <c r="GN7" s="97">
        <f>VLOOKUP($A7,'[7]TABELA COM TUDO'!$A:$AB,25,0)</f>
        <v>14</v>
      </c>
      <c r="GO7" s="99">
        <f>VLOOKUP($A7,'[7]TABELA COM TUDO'!$A:$AB,26,0)</f>
        <v>3.61</v>
      </c>
      <c r="GP7" s="100">
        <f t="shared" si="8"/>
        <v>0.74209999999999998</v>
      </c>
      <c r="GQ7" s="97">
        <f t="shared" si="4"/>
        <v>10.38</v>
      </c>
      <c r="GR7" s="97">
        <f t="shared" si="5"/>
        <v>3.6199999999999992</v>
      </c>
      <c r="GS7" s="101"/>
      <c r="GT7" s="101"/>
      <c r="GU7" s="102" t="b">
        <f t="shared" si="6"/>
        <v>0</v>
      </c>
      <c r="GV7" s="103">
        <f t="shared" si="7"/>
        <v>9.9999999999993427E-3</v>
      </c>
      <c r="GW7" s="44" t="s">
        <v>252</v>
      </c>
      <c r="GX7" s="44" t="s">
        <v>238</v>
      </c>
    </row>
    <row r="8" spans="1:206" s="44" customFormat="1" x14ac:dyDescent="0.35">
      <c r="A8" s="44" t="str">
        <f t="shared" si="0"/>
        <v>Oi Total Fixo + Pós 800 + Banda LargaN12GBMG</v>
      </c>
      <c r="B8" s="45" t="s">
        <v>211</v>
      </c>
      <c r="C8" s="46" t="s">
        <v>127</v>
      </c>
      <c r="D8" s="46" t="s">
        <v>212</v>
      </c>
      <c r="E8" s="47" t="s">
        <v>213</v>
      </c>
      <c r="F8" s="48" t="s">
        <v>214</v>
      </c>
      <c r="G8" s="49"/>
      <c r="H8" s="49"/>
      <c r="I8" s="49"/>
      <c r="J8" s="49" t="s">
        <v>214</v>
      </c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 t="s">
        <v>214</v>
      </c>
      <c r="AC8" s="49" t="s">
        <v>214</v>
      </c>
      <c r="AD8" s="49" t="s">
        <v>214</v>
      </c>
      <c r="AE8" s="49" t="s">
        <v>214</v>
      </c>
      <c r="AF8" s="49" t="s">
        <v>214</v>
      </c>
      <c r="AG8" s="49" t="s">
        <v>214</v>
      </c>
      <c r="AH8" s="50"/>
      <c r="AI8" s="49" t="s">
        <v>214</v>
      </c>
      <c r="AJ8" s="49" t="s">
        <v>214</v>
      </c>
      <c r="AK8" s="49" t="s">
        <v>214</v>
      </c>
      <c r="AL8" s="49" t="s">
        <v>214</v>
      </c>
      <c r="AM8" s="49" t="s">
        <v>214</v>
      </c>
      <c r="AN8" s="49" t="s">
        <v>214</v>
      </c>
      <c r="AO8" s="49" t="s">
        <v>214</v>
      </c>
      <c r="AP8" s="49"/>
      <c r="AQ8" s="51"/>
      <c r="AR8" s="52" t="s">
        <v>253</v>
      </c>
      <c r="AS8" s="46" t="s">
        <v>216</v>
      </c>
      <c r="AT8" s="53" t="s">
        <v>217</v>
      </c>
      <c r="AU8" s="54">
        <v>42972</v>
      </c>
      <c r="AV8" s="55">
        <v>43038</v>
      </c>
      <c r="AW8" s="56" t="s">
        <v>218</v>
      </c>
      <c r="AX8" s="57" t="s">
        <v>218</v>
      </c>
      <c r="AY8" s="58"/>
      <c r="AZ8" s="58" t="s">
        <v>219</v>
      </c>
      <c r="BA8" s="58">
        <v>20</v>
      </c>
      <c r="BB8" s="58">
        <v>10000</v>
      </c>
      <c r="BC8" s="59" t="s">
        <v>220</v>
      </c>
      <c r="BD8" s="60" t="s">
        <v>221</v>
      </c>
      <c r="BE8" s="58" t="s">
        <v>213</v>
      </c>
      <c r="BF8" s="51" t="s">
        <v>213</v>
      </c>
      <c r="BG8" s="45" t="s">
        <v>253</v>
      </c>
      <c r="BH8" s="61" t="s">
        <v>222</v>
      </c>
      <c r="BI8" s="62" t="str">
        <f>IF(ISERROR(VLOOKUP(BH8,[7]PLANOS!B:C,2,0)),"",VLOOKUP(BH8,[7]PLANOS!B:C,2,0))</f>
        <v>PCS-4P6pi</v>
      </c>
      <c r="BJ8" s="63">
        <v>50.1</v>
      </c>
      <c r="BK8" s="64">
        <f>IF(BJ8=0,"",IF(BJ8=VLOOKUP("FIXO",[7]ARBOR!$A:$C,3,0),0.0001,IF(BJ8&gt;VLOOKUP("FIXO",[7]ARBOR!$A:$C,3,0),"Maior que CAP!",IF((DOLLAR(BJ8+(VLOOKUP("FIXO",[7]ARBOR!$A:$C,3,0)*-TRUNC(BJ8/VLOOKUP("FIXO",[7]ARBOR!$A:$C,3,0)-1,4)),6))&lt;&gt;(DOLLAR(VLOOKUP("FIXO",[7]ARBOR!$A:$C,3,0),6)),-TRUNC(BJ8/VLOOKUP("FIXO",[7]ARBOR!$A:$C,3,0)-1,4)+0.0001,-TRUNC(BJ8/VLOOKUP("FIXO",[7]ARBOR!$A:$C,3,0)-1,4)))))</f>
        <v>0.33939999999999998</v>
      </c>
      <c r="BL8" s="65" t="str">
        <f>IF(ISERROR(IF(BK8="","",VLOOKUP(($BH8&amp;BK8&amp;"Template de desconto FLAT bundle - Fixo - Varejo - Ganho Tributário Cross"),[7]BENEFICIOS!$A:$E,5,0))),"Criar",IF(BK8="","",VLOOKUP(($BH8&amp;BK8&amp;"Template de desconto FLAT bundle - Fixo - Varejo - Ganho Tributário Cross"),[7]BENEFICIOS!$A:$E,5,0)))</f>
        <v>MKT-1-9856472058</v>
      </c>
      <c r="BM8" s="66"/>
      <c r="BN8" s="67"/>
      <c r="BO8" s="104" t="s">
        <v>240</v>
      </c>
      <c r="BP8" s="69">
        <v>44.9</v>
      </c>
      <c r="BQ8" s="64">
        <f>IF(BP8=0,"",IF(BP8=VLOOKUP("PCS-30874g",[7]ARBOR!$A:$C,3,0),0.0001,IF(BP8&gt;VLOOKUP("PCS-30874g",[7]ARBOR!$A:$C,3,0),"Maior que CAP!",IF((DOLLAR(BP8+(VLOOKUP("PCS-30874g",[7]ARBOR!$A:$C,3,0)*-TRUNC(BP8/VLOOKUP("PCS-30874g",[7]ARBOR!$A:$C,3,0)-1,4)),6))&lt;&gt;(DOLLAR(VLOOKUP("PCS-30874g",[7]ARBOR!$A:$C,3,0),6)),-TRUNC(BP8/VLOOKUP("PCS-30874g",[7]ARBOR!$A:$C,3,0)-1,4)+0.0001,-TRUNC(BP8/VLOOKUP("PCS-30874g",[7]ARBOR!$A:$C,3,0)-1,4)))))</f>
        <v>0.53679999999999994</v>
      </c>
      <c r="BR8" s="65" t="str">
        <f>IF(ISERROR(IF(BQ8="","",VLOOKUP(($BH8&amp;BQ8&amp;"Template de desconto FLAT bundle - Velox XDSL - Varejo"),[7]BENEFICIOS!$A:$E,5,0))),"Criar",IF(BQ8="","",VLOOKUP(($BH8&amp;BQ8&amp;"Template de desconto FLAT bundle - Velox XDSL - Varejo"),[7]BENEFICIOS!$A:$E,5,0)))</f>
        <v>MKT-1-9865126733</v>
      </c>
      <c r="BS8" s="104" t="s">
        <v>240</v>
      </c>
      <c r="BT8" s="69">
        <v>44.9</v>
      </c>
      <c r="BU8" s="64">
        <f>IF(BT8=0,"",IF(BT8=VLOOKUP("PCS-30577g",[7]ARBOR!$A:$C,3,0),0.0001,IF(BT8&gt;VLOOKUP("PCS-30577g",[7]ARBOR!$A:$C,3,0),"Maior que CAP!",IF((DOLLAR(BT8+(VLOOKUP("PCS-30577g",[7]ARBOR!$A:$C,3,0)*-TRUNC(BT8/VLOOKUP("PCS-30577g",[7]ARBOR!$A:$C,3,0)-1,4)),6))&lt;&gt;(DOLLAR(VLOOKUP("PCS-30577g",[7]ARBOR!$A:$C,3,0),6)),-TRUNC(BT8/VLOOKUP("PCS-30577g",[7]ARBOR!$A:$C,3,0)-1,4)+0.0001,-TRUNC(BT8/VLOOKUP("PCS-30577g",[7]ARBOR!$A:$C,3,0)-1,4)))))</f>
        <v>0.53679999999999994</v>
      </c>
      <c r="BV8" s="65" t="str">
        <f>IF(ISERROR(IF(BU8="","",VLOOKUP(($BH8&amp;BU8&amp;"Template de desconto FLAT bundle - Velox XDSL - Varejo"),[7]BENEFICIOS!$A:$E,5,0))),"Criar",IF(BU8="","",VLOOKUP(($BH8&amp;BU8&amp;"Template de desconto FLAT bundle - Velox XDSL - Varejo"),[7]BENEFICIOS!$A:$E,5,0)))</f>
        <v>MKT-1-9865126733</v>
      </c>
      <c r="BW8" s="104" t="s">
        <v>240</v>
      </c>
      <c r="BX8" s="69">
        <v>44.9</v>
      </c>
      <c r="BY8" s="64">
        <f>IF(BX8=0,"",IF(BX8=VLOOKUP("PCS-30604g",[7]ARBOR!$A:$C,3,0),0.0001,IF(BX8&gt;VLOOKUP("PCS-30604g",[7]ARBOR!$A:$C,3,0),"Maior que CAP!",IF((DOLLAR(BX8+(VLOOKUP("PCS-30604g",[7]ARBOR!$A:$C,3,0)*-TRUNC(BX8/VLOOKUP("PCS-30604g",[7]ARBOR!$A:$C,3,0)-1,4)),6))&lt;&gt;(DOLLAR(VLOOKUP("PCS-30604g",[7]ARBOR!$A:$C,3,0),6)),-TRUNC(BX8/VLOOKUP("PCS-30604g",[7]ARBOR!$A:$C,3,0)-1,4)+0.0001,-TRUNC(BX8/VLOOKUP("PCS-30604g",[7]ARBOR!$A:$C,3,0)-1,4)))))</f>
        <v>0.53679999999999994</v>
      </c>
      <c r="BZ8" s="65" t="str">
        <f>IF(ISERROR(IF(BY8="","",VLOOKUP(($BH8&amp;BY8&amp;"Template de desconto FLAT bundle - Velox XDSL - Varejo"),[7]BENEFICIOS!$A:$E,5,0))),"Criar",IF(BY8="","",VLOOKUP(($BH8&amp;BY8&amp;"Template de desconto FLAT bundle - Velox XDSL - Varejo"),[7]BENEFICIOS!$A:$E,5,0)))</f>
        <v>MKT-1-9865126733</v>
      </c>
      <c r="CA8" s="104" t="s">
        <v>240</v>
      </c>
      <c r="CB8" s="69">
        <v>44.9</v>
      </c>
      <c r="CC8" s="64">
        <f>IF(CB8=0,"",IF(CB8=VLOOKUP("PCS-30631g",[7]ARBOR!$A:$C,3,0),0.0001,IF(CB8&gt;VLOOKUP("PCS-30631g",[7]ARBOR!$A:$C,3,0),"Maior que CAP!",IF((DOLLAR(CB8+(VLOOKUP("PCS-30631g",[7]ARBOR!$A:$C,3,0)*-TRUNC(CB8/VLOOKUP("PCS-30631g",[7]ARBOR!$A:$C,3,0)-1,4)),6))&lt;&gt;(DOLLAR(VLOOKUP("PCS-30631g",[7]ARBOR!$A:$C,3,0),6)),-TRUNC(CB8/VLOOKUP("PCS-30631g",[7]ARBOR!$A:$C,3,0)-1,4)+0.0001,-TRUNC(CB8/VLOOKUP("PCS-30631g",[7]ARBOR!$A:$C,3,0)-1,4)))))</f>
        <v>0.54310000000000003</v>
      </c>
      <c r="CD8" s="65" t="str">
        <f>IF(ISERROR(IF(CC8="","",VLOOKUP(($BH8&amp;CC8&amp;"Template de desconto FLAT bundle - Velox XDSL - Varejo"),[7]BENEFICIOS!$A:$E,5,0))),"Criar",IF(CC8="","",VLOOKUP(($BH8&amp;CC8&amp;"Template de desconto FLAT bundle - Velox XDSL - Varejo"),[7]BENEFICIOS!$A:$E,5,0)))</f>
        <v>MKT-1-9865126826</v>
      </c>
      <c r="CE8" s="68" t="s">
        <v>161</v>
      </c>
      <c r="CF8" s="69">
        <v>49.9</v>
      </c>
      <c r="CG8" s="64">
        <f>IF(CF8=0,"",IF(CF8=VLOOKUP("PCS-30658g",[7]ARBOR!$A:$C,3,0),0.0001,IF(CF8&gt;VLOOKUP("PCS-30658g",[7]ARBOR!$A:$C,3,0),"Maior que CAP!",IF((DOLLAR(CF8+(VLOOKUP("PCS-30658g",[7]ARBOR!$A:$C,3,0)*-TRUNC(CF8/VLOOKUP("PCS-30658g",[7]ARBOR!$A:$C,3,0)-1,4)),6))&lt;&gt;(DOLLAR(VLOOKUP("PCS-30658g",[7]ARBOR!$A:$C,3,0),6)),-TRUNC(CF8/VLOOKUP("PCS-30658g",[7]ARBOR!$A:$C,3,0)-1,4)+0.0001,-TRUNC(CF8/VLOOKUP("PCS-30658g",[7]ARBOR!$A:$C,3,0)-1,4)))))</f>
        <v>0.55569999999999997</v>
      </c>
      <c r="CH8" s="65" t="str">
        <f>IF(ISERROR(IF(CG8="","",VLOOKUP(($BH8&amp;CG8&amp;"Template de desconto FLAT bundle - Velox XDSL - Varejo"),[7]BENEFICIOS!$A:$E,5,0))),"Criar",IF(CG8="","",VLOOKUP(($BH8&amp;CG8&amp;"Template de desconto FLAT bundle - Velox XDSL - Varejo"),[7]BENEFICIOS!$A:$E,5,0)))</f>
        <v>MKT-1-9865126919</v>
      </c>
      <c r="CI8" s="68" t="s">
        <v>161</v>
      </c>
      <c r="CJ8" s="69">
        <v>49.9</v>
      </c>
      <c r="CK8" s="64">
        <f>IF(CJ8=0,"",IF(CJ8=VLOOKUP("PCS-30685g",[7]ARBOR!$A:$C,3,0),0.0001,IF(CJ8&gt;VLOOKUP("PCS-30685g",[7]ARBOR!$A:$C,3,0),"Maior que CAP!",IF((DOLLAR(CJ8+(VLOOKUP("PCS-30685g",[7]ARBOR!$A:$C,3,0)*-TRUNC(CJ8/VLOOKUP("PCS-30685g",[7]ARBOR!$A:$C,3,0)-1,4)),6))&lt;&gt;(DOLLAR(VLOOKUP("PCS-30685g",[7]ARBOR!$A:$C,3,0),6)),-TRUNC(CJ8/VLOOKUP("PCS-30685g",[7]ARBOR!$A:$C,3,0)-1,4)+0.0001,-TRUNC(CJ8/VLOOKUP("PCS-30685g",[7]ARBOR!$A:$C,3,0)-1,4)))))</f>
        <v>0.60509999999999997</v>
      </c>
      <c r="CL8" s="65" t="str">
        <f>IF(ISERROR(IF(CK8="","",VLOOKUP(($BH8&amp;CK8&amp;"Template de desconto FLAT bundle - Velox XDSL - Varejo"),[7]BENEFICIOS!$A:$E,5,0))),"Criar",IF(CK8="","",VLOOKUP(($BH8&amp;CK8&amp;"Template de desconto FLAT bundle - Velox XDSL - Varejo"),[7]BENEFICIOS!$A:$E,5,0)))</f>
        <v>MKT-1-9865694381</v>
      </c>
      <c r="CM8" s="68" t="s">
        <v>161</v>
      </c>
      <c r="CN8" s="69">
        <v>49.9</v>
      </c>
      <c r="CO8" s="64">
        <f>IF(CN8=0,"",IF(CN8=VLOOKUP("PCS-30712g",[7]ARBOR!$A:$C,3,0),0.0001,IF(CN8&gt;VLOOKUP("PCS-30712g",[7]ARBOR!$A:$C,3,0),"Maior que CAP!",IF((DOLLAR(CN8+(VLOOKUP("PCS-30712g",[7]ARBOR!$A:$C,3,0)*-TRUNC(CN8/VLOOKUP("PCS-30712g",[7]ARBOR!$A:$C,3,0)-1,4)),6))&lt;&gt;(DOLLAR(VLOOKUP("PCS-30712g",[7]ARBOR!$A:$C,3,0),6)),-TRUNC(CN8/VLOOKUP("PCS-30712g",[7]ARBOR!$A:$C,3,0)-1,4)+0.0001,-TRUNC(CN8/VLOOKUP("PCS-30712g",[7]ARBOR!$A:$C,3,0)-1,4)))))</f>
        <v>0.64459999999999995</v>
      </c>
      <c r="CP8" s="65" t="str">
        <f>IF(ISERROR(IF(CO8="","",VLOOKUP(($BH8&amp;CO8&amp;"Template de desconto FLAT bundle - Velox XDSL - Varejo"),[7]BENEFICIOS!$A:$E,5,0))),"Criar",IF(CO8="","",VLOOKUP(($BH8&amp;CO8&amp;"Template de desconto FLAT bundle - Velox XDSL - Varejo"),[7]BENEFICIOS!$A:$E,5,0)))</f>
        <v>MKT-1-9865191105</v>
      </c>
      <c r="CQ8" s="68" t="s">
        <v>161</v>
      </c>
      <c r="CR8" s="69">
        <v>59.9</v>
      </c>
      <c r="CS8" s="64">
        <f>IF(CR8=0,"",IF(CR8=VLOOKUP("PCS-30739g",[7]ARBOR!$A:$C,3,0),0.0001,IF(CR8&gt;VLOOKUP("PCS-30739g",[7]ARBOR!$A:$C,3,0),"Maior que CAP!",IF((DOLLAR(CR8+(VLOOKUP("PCS-30739g",[7]ARBOR!$A:$C,3,0)*-TRUNC(CR8/VLOOKUP("PCS-30739g",[7]ARBOR!$A:$C,3,0)-1,4)),6))&lt;&gt;(DOLLAR(VLOOKUP("PCS-30739g",[7]ARBOR!$A:$C,3,0),6)),-TRUNC(CR8/VLOOKUP("PCS-30739g",[7]ARBOR!$A:$C,3,0)-1,4)+0.0001,-TRUNC(CR8/VLOOKUP("PCS-30739g",[7]ARBOR!$A:$C,3,0)-1,4)))))</f>
        <v>0.71560000000000001</v>
      </c>
      <c r="CT8" s="65" t="str">
        <f>IF(ISERROR(IF(CS8="","",VLOOKUP(($BH8&amp;CS8&amp;"Template de desconto FLAT bundle - Velox XDSL - Varejo"),[7]BENEFICIOS!$A:$E,5,0))),"Criar",IF(CS8="","",VLOOKUP(($BH8&amp;CS8&amp;"Template de desconto FLAT bundle - Velox XDSL - Varejo"),[7]BENEFICIOS!$A:$E,5,0)))</f>
        <v>MKT-1-9865191198</v>
      </c>
      <c r="CU8" s="69"/>
      <c r="CV8" s="70"/>
      <c r="CW8" s="64"/>
      <c r="CX8" s="65"/>
      <c r="CY8" s="68" t="s">
        <v>161</v>
      </c>
      <c r="CZ8" s="69">
        <v>59.9</v>
      </c>
      <c r="DA8" s="64">
        <f>IF(CZ8=0,"",IF(CZ8=VLOOKUP("PCS-30766g",[7]ARBOR!$A:$C,3,0),0.0001,IF(CZ8&gt;VLOOKUP("PCS-30766g",[7]ARBOR!$A:$C,3,0),"Maior que CAP!",IF((DOLLAR(CZ8+(VLOOKUP("PCS-30766g",[7]ARBOR!$A:$C,3,0)*-TRUNC(CZ8/VLOOKUP("PCS-30766g",[7]ARBOR!$A:$C,3,0)-1,4)),6))&lt;&gt;(DOLLAR(VLOOKUP("PCS-30766g",[7]ARBOR!$A:$C,3,0),6)),-TRUNC(CZ8/VLOOKUP("PCS-30766g",[7]ARBOR!$A:$C,3,0)-1,4)+0.0001,-TRUNC(CZ8/VLOOKUP("PCS-30766g",[7]ARBOR!$A:$C,3,0)-1,4)))))</f>
        <v>0.78669999999999995</v>
      </c>
      <c r="DB8" s="65" t="str">
        <f>IF(ISERROR(IF(DA8="","",VLOOKUP(($BH8&amp;DA8&amp;"Template de desconto FLAT bundle - Velox XDSL - Varejo"),[7]BENEFICIOS!$A:$E,5,0))),"Criar",IF(DA8="","",VLOOKUP(($BH8&amp;DA8&amp;"Template de desconto FLAT bundle - Velox XDSL - Varejo"),[7]BENEFICIOS!$A:$E,5,0)))</f>
        <v>MKT-1-9865191291</v>
      </c>
      <c r="DC8" s="69"/>
      <c r="DD8" s="70"/>
      <c r="DE8" s="64"/>
      <c r="DF8" s="65"/>
      <c r="DG8" s="68" t="s">
        <v>240</v>
      </c>
      <c r="DH8" s="69">
        <v>69.900000000000006</v>
      </c>
      <c r="DI8" s="64">
        <f>IF(DH8=0,"",IF(DH8=VLOOKUP("PCS-30793g",[7]ARBOR!$A:$C,3,0),0.0001,IF(DH8&gt;VLOOKUP("PCS-30793g",[7]ARBOR!$A:$C,3,0),"Maior que CAP!",IF((DOLLAR(DH8+(VLOOKUP("PCS-30793g",[7]ARBOR!$A:$C,3,0)*-TRUNC(DH8/VLOOKUP("PCS-30793g",[7]ARBOR!$A:$C,3,0)-1,4)),6))&lt;&gt;(DOLLAR(VLOOKUP("PCS-30793g",[7]ARBOR!$A:$C,3,0),6)),-TRUNC(DH8/VLOOKUP("PCS-30793g",[7]ARBOR!$A:$C,3,0)-1,4)+0.0001,-TRUNC(DH8/VLOOKUP("PCS-30793g",[7]ARBOR!$A:$C,3,0)-1,4)))))</f>
        <v>0.75109999999999999</v>
      </c>
      <c r="DJ8" s="65" t="str">
        <f>IF(ISERROR(IF(DI8="","",VLOOKUP(($BH8&amp;DI8&amp;"Template de desconto FLAT bundle - Velox XDSL - Varejo"),[7]BENEFICIOS!$A:$E,5,0))),"Criar",IF(DI8="","",VLOOKUP(($BH8&amp;DI8&amp;"Template de desconto FLAT bundle - Velox XDSL - Varejo"),[7]BENEFICIOS!$A:$E,5,0)))</f>
        <v>MKT-1-9865191384</v>
      </c>
      <c r="DK8" s="69"/>
      <c r="DL8" s="70"/>
      <c r="DM8" s="64"/>
      <c r="DN8" s="65"/>
      <c r="DO8" s="68" t="s">
        <v>161</v>
      </c>
      <c r="DP8" s="69">
        <v>69.900000000000006</v>
      </c>
      <c r="DQ8" s="64">
        <f>IF(DP8=0,"",IF(DP8=VLOOKUP("PCS-30820g",[7]ARBOR!$A:$C,3,0),0.0001,IF(DP8&gt;VLOOKUP("PCS-30820g",[7]ARBOR!$A:$C,3,0),"Maior que CAP!",IF((DOLLAR(DP8+(VLOOKUP("PCS-30820g",[7]ARBOR!$A:$C,3,0)*-TRUNC(DP8/VLOOKUP("PCS-30820g",[7]ARBOR!$A:$C,3,0)-1,4)),6))&lt;&gt;(DOLLAR(VLOOKUP("PCS-30820g",[7]ARBOR!$A:$C,3,0),6)),-TRUNC(DP8/VLOOKUP("PCS-30820g",[7]ARBOR!$A:$C,3,0)-1,4)+0.0001,-TRUNC(DP8/VLOOKUP("PCS-30820g",[7]ARBOR!$A:$C,3,0)-1,4)))))</f>
        <v>0.75109999999999999</v>
      </c>
      <c r="DR8" s="65" t="str">
        <f>IF(ISERROR(IF(DQ8="","",VLOOKUP(($BH8&amp;DQ8&amp;"Template de desconto FLAT bundle - Velox XDSL - Varejo"),[7]BENEFICIOS!$A:$E,5,0))),"Criar",IF(DQ8="","",VLOOKUP(($BH8&amp;DQ8&amp;"Template de desconto FLAT bundle - Velox XDSL - Varejo"),[7]BENEFICIOS!$A:$E,5,0)))</f>
        <v>MKT-1-9865191384</v>
      </c>
      <c r="DS8" s="69"/>
      <c r="DT8" s="70"/>
      <c r="DU8" s="64"/>
      <c r="DV8" s="65"/>
      <c r="DW8" s="71"/>
      <c r="DX8" s="64" t="str">
        <f>IF(DW8=0,"",IF(DW8=VLOOKUP("PCS-21448p2",[7]ARBOR!$A:$C,3,0),0.0001,IF(DW8&gt;VLOOKUP("PCS-21448p2",[7]ARBOR!$A:$C,3,0),"Maior que CAP!",IF((DOLLAR(DW8+(VLOOKUP("PCS-21448p2",[7]ARBOR!$A:$C,3,0)*-TRUNC(DW8/VLOOKUP("PCS-21448p2",[7]ARBOR!$A:$C,3,0)-1,4)),6))&lt;&gt;(DOLLAR(VLOOKUP("PCS-21448p2",[7]ARBOR!$A:$C,3,0),6)),-TRUNC(DW8/VLOOKUP("PCS-21448p2",[7]ARBOR!$A:$C,3,0)-1,4)+0.0001,-TRUNC(DW8/VLOOKUP("PCS-21448p2",[7]ARBOR!$A:$C,3,0)-1,4)))))</f>
        <v/>
      </c>
      <c r="DY8" s="65" t="str">
        <f>IF(ISERROR(IF(DX8="","",VLOOKUP(("Oi Conta Total Plug 10GB Downgrade"&amp;DX8&amp;"Template de desconto percentual BL Móvel - Internet Total - Varejo"),[7]BENEFICIOS!$A:$E,5,0))),"Criar",IF(DX8="","",VLOOKUP(("Oi Conta Total Plug 10GB Downgrade"&amp;DX8&amp;"Template de desconto percentual BL Móvel - Internet Total - Varejo"),[7]BENEFICIOS!$A:$E,5,0)))</f>
        <v/>
      </c>
      <c r="DZ8" s="71">
        <v>19.899999999999999</v>
      </c>
      <c r="EA8" s="72">
        <f>IF(DZ8=0,"",IF(DZ8=VLOOKUP("SVA",[7]ARBOR!$A:$C,3,0),0.0001,IF(DZ8&gt;VLOOKUP("SVA",[7]ARBOR!$A:$C,3,0),"Maior que CAP!",IF((DOLLAR(DZ8+(VLOOKUP("SVA",[7]ARBOR!$A:$C,3,0)*-TRUNC(DZ8/VLOOKUP("SVA",[7]ARBOR!$A:$C,3,0)-1,4)),6))&lt;&gt;(DOLLAR(VLOOKUP("SVA",[7]ARBOR!$A:$C,3,0),6)),-TRUNC(DZ8/VLOOKUP("SVA",[7]ARBOR!$A:$C,3,0)-1,4)+0.0001,-TRUNC(DZ8/VLOOKUP("SVA",[7]ARBOR!$A:$C,3,0)-1,4)))))</f>
        <v>7.1400000000000005E-2</v>
      </c>
      <c r="EB8" s="65" t="s">
        <v>241</v>
      </c>
      <c r="EC8" s="69"/>
      <c r="ED8" s="73"/>
      <c r="EE8" s="74"/>
      <c r="EF8" s="65"/>
      <c r="EG8" s="75">
        <f>IF(BI8="","",VLOOKUP(BI8,[7]ARBOR!A:C,3,0))</f>
        <v>479.46</v>
      </c>
      <c r="EH8" s="69">
        <v>15</v>
      </c>
      <c r="EI8" s="76">
        <f>IF(EH8="","",1-(EH8/VLOOKUP(BI8&amp;"ASS",[7]ARBOR!A:C,3,0)))</f>
        <v>0.34725848563968664</v>
      </c>
      <c r="EJ8" s="77" t="s">
        <v>224</v>
      </c>
      <c r="EK8" s="78" t="s">
        <v>225</v>
      </c>
      <c r="EL8" s="69">
        <v>147.12999999999997</v>
      </c>
      <c r="EM8" s="64">
        <f>ROUND(IF(EL8=0,"",IF(EL8=EG8,0.0001,1-((EL8+(VLOOKUP(BI8&amp;"ASS",[7]ARBOR!A:C,3,0)-EH8))/EG8))),4)</f>
        <v>0.67649999999999999</v>
      </c>
      <c r="EN8" s="65" t="str">
        <f>IF(ISERROR(IF(EM8="","",VLOOKUP(($BH8&amp;EM8&amp;"Template de desconto percentual FLAT Móvel - Conta Total - Varejo - Ganho Tributário Cross"),[7]BENEFICIOS!$A:$E,5,0))),"Criar",IF(EM8="","",VLOOKUP(($BH8&amp;EM8&amp;"Template de desconto percentual FLAT Móvel - Conta Total - Varejo - Ganho Tributário Cross"),[7]BENEFICIOS!$A:$E,5,0)))</f>
        <v>Criar</v>
      </c>
      <c r="EO8" s="79"/>
      <c r="EP8" s="64"/>
      <c r="EQ8" s="72"/>
      <c r="ER8" s="72"/>
      <c r="ES8" s="64"/>
      <c r="ET8" s="80"/>
      <c r="EU8" s="81" t="s">
        <v>244</v>
      </c>
      <c r="EV8" s="81" t="s">
        <v>251</v>
      </c>
      <c r="EW8" s="82"/>
      <c r="EX8" s="83"/>
      <c r="EY8" s="84"/>
      <c r="EZ8" s="82"/>
      <c r="FA8" s="83"/>
      <c r="FB8" s="84"/>
      <c r="FC8" s="82"/>
      <c r="FD8" s="83" t="str">
        <f>IF(FC8=0,"",IF(FC8=VLOOKUP("PCS-10357",[7]ARBOR!$A:$C,3,0),0.0001,IF(FC8&gt;VLOOKUP("PCS-10357",[7]ARBOR!$A:$C,3,0),"Maior que CAP!",ROUND(-1*(FC8/VLOOKUP("PCS-10357",[7]ARBOR!$A:$C,3,0)-1),4))))</f>
        <v/>
      </c>
      <c r="FE8" s="84" t="str">
        <f>IF(ISERROR(IF(FD8="","",VLOOKUP(("Oi Internet Pra Celular 1GB"&amp;FD8&amp;"Template Flat Instância Dados"),[7]BENEFICIOS!$A:$E,5,0))),"Criar",IF(FD8="","",VLOOKUP(("Oi Internet Pra Celular 1GB"&amp;FD8&amp;"Template Flat Instância Dados"),[7]BENEFICIOS!$A:$E,5,0)))</f>
        <v/>
      </c>
      <c r="FF8" s="82">
        <v>9.77</v>
      </c>
      <c r="FG8" s="83">
        <f>IF(FF8=0,"",IF(FF8=VLOOKUP("PCS-813565",[7]ARBOR!$A:$C,3,0),0.0001,IF(FF8&gt;VLOOKUP("PCS-813565",[7]ARBOR!$A:$C,3,0),"Maior que CAP!",ROUND(-1*(FF8/VLOOKUP("PCS-813565",[7]ARBOR!$A:$C,3,0)-1),4))))</f>
        <v>0.74260000000000004</v>
      </c>
      <c r="FH8" s="84" t="str">
        <f>IF(ISERROR(IF(FG8="","",VLOOKUP(("Oi Internet Pra Celular 2GB"&amp;FG8&amp;"Template Flat Instância Dados"),[7]BENEFICIOS!$A:$E,5,0))),"Criar",IF(FG8="","",VLOOKUP(("Oi Internet Pra Celular 2GB"&amp;FG8&amp;"Template Flat Instância Dados"),[7]BENEFICIOS!$A:$E,5,0)))</f>
        <v>MKT-1-9870023571</v>
      </c>
      <c r="FI8" s="82"/>
      <c r="FJ8" s="83" t="str">
        <f>IF(FI8=0,"",IF(FI8=VLOOKUP("PCS-7171B",[7]ARBOR!$A:$C,3,0),0.0001,IF(FI8&gt;VLOOKUP("PCS-7171B",[7]ARBOR!$A:$C,3,0),"Maior que CAP!",ROUND(-1*(FI8/VLOOKUP("PCS-7171B",[7]ARBOR!$A:$C,3,0)-1),4))))</f>
        <v/>
      </c>
      <c r="FK8" s="84" t="str">
        <f>IF(ISERROR(IF(FJ8="","",VLOOKUP(("Oi Internet Pra Celular 3GB"&amp;FJ8&amp;"Template Flat Instância Dados"),[7]BENEFICIOS!$A:$E,5,0))),"Criar",IF(FJ8="","",VLOOKUP(("Oi Internet Pra Celular 3GB"&amp;FJ8&amp;"Template Flat Instância Dados"),[7]BENEFICIOS!$A:$E,5,0)))</f>
        <v/>
      </c>
      <c r="FL8" s="82"/>
      <c r="FM8" s="83" t="str">
        <f>IF(FL8=0,"",IF(FL8=VLOOKUP("PCS-51793o08",[7]ARBOR!$A:$C,3,0),0.0001,IF(FL8&gt;VLOOKUP("PCS-51793o08",[7]ARBOR!$A:$C,3,0),"Maior que CAP!",ROUND(-1*(FL8/VLOOKUP("PCS-51793o08",[7]ARBOR!$A:$C,3,0)-1),4))))</f>
        <v/>
      </c>
      <c r="FN8" s="84" t="str">
        <f>IF(ISERROR(IF(FM8="","",VLOOKUP(("Oi Internet Pra Celular 5GB"&amp;FM8&amp;"Template Flat Instância Dados"),[7]BENEFICIOS!$A:$E,5,0))),"Criar",IF(FM8="","",VLOOKUP(("Oi Internet Pra Celular 5GB"&amp;FM8&amp;"Template Flat Instância Dados"),[7]BENEFICIOS!$A:$E,5,0)))</f>
        <v/>
      </c>
      <c r="FO8" s="82"/>
      <c r="FP8" s="83" t="str">
        <f>IF(FO8=0,"",IF(FO8=VLOOKUP("PCS-7171A",[7]ARBOR!$A:$C,3,0),0.0001,IF(FO8&gt;VLOOKUP("PCS-7171A",[7]ARBOR!$A:$C,3,0),"Maior que CAP!",ROUND(-1*(FO8/VLOOKUP("PCS-7171A",[7]ARBOR!$A:$C,3,0)-1),4))))</f>
        <v/>
      </c>
      <c r="FQ8" s="84" t="str">
        <f>IF(ISERROR(IF(FP8="","",VLOOKUP(("Oi Internet Pra Celular 10GB"&amp;FP8&amp;"Template Flat Instância Dados"),[7]BENEFICIOS!$A:$E,5,0))),"Criar",IF(FP8="","",VLOOKUP(("Oi Internet Pra Celular 10GB"&amp;FP8&amp;"Template Flat Instância Dados"),[7]BENEFICIOS!$A:$E,5,0)))</f>
        <v/>
      </c>
      <c r="FR8" s="85">
        <v>0.74219999999999997</v>
      </c>
      <c r="FS8" s="86" t="s">
        <v>246</v>
      </c>
      <c r="FT8" s="48"/>
      <c r="FU8" s="87"/>
      <c r="FV8" s="88" t="s">
        <v>221</v>
      </c>
      <c r="FW8" s="49" t="s">
        <v>226</v>
      </c>
      <c r="FX8" s="89">
        <v>999</v>
      </c>
      <c r="FY8" s="49">
        <v>12</v>
      </c>
      <c r="FZ8" s="90" t="s">
        <v>227</v>
      </c>
      <c r="GA8" s="91" t="str">
        <f t="shared" si="1"/>
        <v>PCS-Fk83324</v>
      </c>
      <c r="GB8" s="92" t="str">
        <f t="shared" si="2"/>
        <v>PCS-SBL553142</v>
      </c>
      <c r="GC8" s="93" t="s">
        <v>228</v>
      </c>
      <c r="GD8" s="90" t="s">
        <v>229</v>
      </c>
      <c r="GE8" s="92" t="s">
        <v>230</v>
      </c>
      <c r="GF8" s="93" t="s">
        <v>231</v>
      </c>
      <c r="GG8" s="90" t="s">
        <v>232</v>
      </c>
      <c r="GH8" s="92" t="s">
        <v>233</v>
      </c>
      <c r="GI8" s="94" t="s">
        <v>234</v>
      </c>
      <c r="GJ8" s="95">
        <f>FF8+EL8+CN8+BJ8</f>
        <v>256.89999999999998</v>
      </c>
      <c r="GK8" s="96"/>
      <c r="GL8" s="97" t="s">
        <v>235</v>
      </c>
      <c r="GM8" s="98" t="s">
        <v>236</v>
      </c>
      <c r="GN8" s="97">
        <f>VLOOKUP($A8,'[7]TABELA COM TUDO'!$A:$AB,25,0)</f>
        <v>14</v>
      </c>
      <c r="GO8" s="99">
        <f>VLOOKUP($A8,'[7]TABELA COM TUDO'!$A:$AB,26,0)</f>
        <v>3.61</v>
      </c>
      <c r="GP8" s="100">
        <f t="shared" si="8"/>
        <v>0.74209999999999998</v>
      </c>
      <c r="GQ8" s="97">
        <f t="shared" si="4"/>
        <v>10.38</v>
      </c>
      <c r="GR8" s="97">
        <f t="shared" si="5"/>
        <v>3.6199999999999992</v>
      </c>
      <c r="GS8" s="101"/>
      <c r="GT8" s="101"/>
      <c r="GU8" s="102" t="b">
        <f t="shared" si="6"/>
        <v>0</v>
      </c>
      <c r="GV8" s="103">
        <f t="shared" si="7"/>
        <v>9.9999999999993427E-3</v>
      </c>
      <c r="GW8" s="44" t="s">
        <v>254</v>
      </c>
      <c r="GX8" s="44" t="s">
        <v>238</v>
      </c>
    </row>
    <row r="9" spans="1:206" s="44" customFormat="1" x14ac:dyDescent="0.35">
      <c r="A9" s="44" t="str">
        <f t="shared" si="0"/>
        <v>Oi Total Fixo + Pós 800 + Banda LargaN13GBMG</v>
      </c>
      <c r="B9" s="45" t="s">
        <v>211</v>
      </c>
      <c r="C9" s="46" t="s">
        <v>127</v>
      </c>
      <c r="D9" s="46" t="s">
        <v>212</v>
      </c>
      <c r="E9" s="47" t="s">
        <v>213</v>
      </c>
      <c r="F9" s="48" t="s">
        <v>214</v>
      </c>
      <c r="G9" s="49"/>
      <c r="H9" s="49"/>
      <c r="I9" s="49"/>
      <c r="J9" s="49" t="s">
        <v>214</v>
      </c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 t="s">
        <v>214</v>
      </c>
      <c r="AC9" s="49" t="s">
        <v>214</v>
      </c>
      <c r="AD9" s="49" t="s">
        <v>214</v>
      </c>
      <c r="AE9" s="49" t="s">
        <v>214</v>
      </c>
      <c r="AF9" s="49" t="s">
        <v>214</v>
      </c>
      <c r="AG9" s="49" t="s">
        <v>214</v>
      </c>
      <c r="AH9" s="50"/>
      <c r="AI9" s="49" t="s">
        <v>214</v>
      </c>
      <c r="AJ9" s="49" t="s">
        <v>214</v>
      </c>
      <c r="AK9" s="49" t="s">
        <v>214</v>
      </c>
      <c r="AL9" s="49" t="s">
        <v>214</v>
      </c>
      <c r="AM9" s="49" t="s">
        <v>214</v>
      </c>
      <c r="AN9" s="49" t="s">
        <v>214</v>
      </c>
      <c r="AO9" s="49" t="s">
        <v>214</v>
      </c>
      <c r="AP9" s="49"/>
      <c r="AQ9" s="51"/>
      <c r="AR9" s="52" t="s">
        <v>255</v>
      </c>
      <c r="AS9" s="46" t="s">
        <v>216</v>
      </c>
      <c r="AT9" s="53" t="s">
        <v>217</v>
      </c>
      <c r="AU9" s="54">
        <v>42972</v>
      </c>
      <c r="AV9" s="55">
        <v>43038</v>
      </c>
      <c r="AW9" s="56" t="s">
        <v>218</v>
      </c>
      <c r="AX9" s="57" t="s">
        <v>218</v>
      </c>
      <c r="AY9" s="58"/>
      <c r="AZ9" s="58" t="s">
        <v>219</v>
      </c>
      <c r="BA9" s="58">
        <v>20</v>
      </c>
      <c r="BB9" s="58">
        <v>10000</v>
      </c>
      <c r="BC9" s="59" t="s">
        <v>220</v>
      </c>
      <c r="BD9" s="60" t="s">
        <v>221</v>
      </c>
      <c r="BE9" s="58" t="s">
        <v>213</v>
      </c>
      <c r="BF9" s="51" t="s">
        <v>213</v>
      </c>
      <c r="BG9" s="45" t="s">
        <v>255</v>
      </c>
      <c r="BH9" s="61" t="s">
        <v>222</v>
      </c>
      <c r="BI9" s="62" t="str">
        <f>IF(ISERROR(VLOOKUP(BH9,[7]PLANOS!B:C,2,0)),"",VLOOKUP(BH9,[7]PLANOS!B:C,2,0))</f>
        <v>PCS-4P6pi</v>
      </c>
      <c r="BJ9" s="63">
        <v>50.1</v>
      </c>
      <c r="BK9" s="64">
        <f>IF(BJ9=0,"",IF(BJ9=VLOOKUP("FIXO",[7]ARBOR!$A:$C,3,0),0.0001,IF(BJ9&gt;VLOOKUP("FIXO",[7]ARBOR!$A:$C,3,0),"Maior que CAP!",IF((DOLLAR(BJ9+(VLOOKUP("FIXO",[7]ARBOR!$A:$C,3,0)*-TRUNC(BJ9/VLOOKUP("FIXO",[7]ARBOR!$A:$C,3,0)-1,4)),6))&lt;&gt;(DOLLAR(VLOOKUP("FIXO",[7]ARBOR!$A:$C,3,0),6)),-TRUNC(BJ9/VLOOKUP("FIXO",[7]ARBOR!$A:$C,3,0)-1,4)+0.0001,-TRUNC(BJ9/VLOOKUP("FIXO",[7]ARBOR!$A:$C,3,0)-1,4)))))</f>
        <v>0.33939999999999998</v>
      </c>
      <c r="BL9" s="65" t="str">
        <f>IF(ISERROR(IF(BK9="","",VLOOKUP(($BH9&amp;BK9&amp;"Template de desconto FLAT bundle - Fixo - Varejo - Ganho Tributário Cross"),[7]BENEFICIOS!$A:$E,5,0))),"Criar",IF(BK9="","",VLOOKUP(($BH9&amp;BK9&amp;"Template de desconto FLAT bundle - Fixo - Varejo - Ganho Tributário Cross"),[7]BENEFICIOS!$A:$E,5,0)))</f>
        <v>MKT-1-9856472058</v>
      </c>
      <c r="BM9" s="66"/>
      <c r="BN9" s="67"/>
      <c r="BO9" s="68" t="s">
        <v>161</v>
      </c>
      <c r="BP9" s="69">
        <v>44.9</v>
      </c>
      <c r="BQ9" s="64">
        <f>IF(BP9=0,"",IF(BP9=VLOOKUP("PCS-30874g",[7]ARBOR!$A:$C,3,0),0.0001,IF(BP9&gt;VLOOKUP("PCS-30874g",[7]ARBOR!$A:$C,3,0),"Maior que CAP!",IF((DOLLAR(BP9+(VLOOKUP("PCS-30874g",[7]ARBOR!$A:$C,3,0)*-TRUNC(BP9/VLOOKUP("PCS-30874g",[7]ARBOR!$A:$C,3,0)-1,4)),6))&lt;&gt;(DOLLAR(VLOOKUP("PCS-30874g",[7]ARBOR!$A:$C,3,0),6)),-TRUNC(BP9/VLOOKUP("PCS-30874g",[7]ARBOR!$A:$C,3,0)-1,4)+0.0001,-TRUNC(BP9/VLOOKUP("PCS-30874g",[7]ARBOR!$A:$C,3,0)-1,4)))))</f>
        <v>0.53679999999999994</v>
      </c>
      <c r="BR9" s="65" t="str">
        <f>IF(ISERROR(IF(BQ9="","",VLOOKUP(($BH9&amp;BQ9&amp;"Template de desconto FLAT bundle - Velox XDSL - Varejo"),[7]BENEFICIOS!$A:$E,5,0))),"Criar",IF(BQ9="","",VLOOKUP(($BH9&amp;BQ9&amp;"Template de desconto FLAT bundle - Velox XDSL - Varejo"),[7]BENEFICIOS!$A:$E,5,0)))</f>
        <v>MKT-1-9865126733</v>
      </c>
      <c r="BS9" s="68" t="s">
        <v>161</v>
      </c>
      <c r="BT9" s="69">
        <v>44.9</v>
      </c>
      <c r="BU9" s="64">
        <f>IF(BT9=0,"",IF(BT9=VLOOKUP("PCS-30577g",[7]ARBOR!$A:$C,3,0),0.0001,IF(BT9&gt;VLOOKUP("PCS-30577g",[7]ARBOR!$A:$C,3,0),"Maior que CAP!",IF((DOLLAR(BT9+(VLOOKUP("PCS-30577g",[7]ARBOR!$A:$C,3,0)*-TRUNC(BT9/VLOOKUP("PCS-30577g",[7]ARBOR!$A:$C,3,0)-1,4)),6))&lt;&gt;(DOLLAR(VLOOKUP("PCS-30577g",[7]ARBOR!$A:$C,3,0),6)),-TRUNC(BT9/VLOOKUP("PCS-30577g",[7]ARBOR!$A:$C,3,0)-1,4)+0.0001,-TRUNC(BT9/VLOOKUP("PCS-30577g",[7]ARBOR!$A:$C,3,0)-1,4)))))</f>
        <v>0.53679999999999994</v>
      </c>
      <c r="BV9" s="65" t="str">
        <f>IF(ISERROR(IF(BU9="","",VLOOKUP(($BH9&amp;BU9&amp;"Template de desconto FLAT bundle - Velox XDSL - Varejo"),[7]BENEFICIOS!$A:$E,5,0))),"Criar",IF(BU9="","",VLOOKUP(($BH9&amp;BU9&amp;"Template de desconto FLAT bundle - Velox XDSL - Varejo"),[7]BENEFICIOS!$A:$E,5,0)))</f>
        <v>MKT-1-9865126733</v>
      </c>
      <c r="BW9" s="68" t="s">
        <v>161</v>
      </c>
      <c r="BX9" s="69">
        <v>44.9</v>
      </c>
      <c r="BY9" s="64">
        <f>IF(BX9=0,"",IF(BX9=VLOOKUP("PCS-30604g",[7]ARBOR!$A:$C,3,0),0.0001,IF(BX9&gt;VLOOKUP("PCS-30604g",[7]ARBOR!$A:$C,3,0),"Maior que CAP!",IF((DOLLAR(BX9+(VLOOKUP("PCS-30604g",[7]ARBOR!$A:$C,3,0)*-TRUNC(BX9/VLOOKUP("PCS-30604g",[7]ARBOR!$A:$C,3,0)-1,4)),6))&lt;&gt;(DOLLAR(VLOOKUP("PCS-30604g",[7]ARBOR!$A:$C,3,0),6)),-TRUNC(BX9/VLOOKUP("PCS-30604g",[7]ARBOR!$A:$C,3,0)-1,4)+0.0001,-TRUNC(BX9/VLOOKUP("PCS-30604g",[7]ARBOR!$A:$C,3,0)-1,4)))))</f>
        <v>0.53679999999999994</v>
      </c>
      <c r="BZ9" s="65" t="str">
        <f>IF(ISERROR(IF(BY9="","",VLOOKUP(($BH9&amp;BY9&amp;"Template de desconto FLAT bundle - Velox XDSL - Varejo"),[7]BENEFICIOS!$A:$E,5,0))),"Criar",IF(BY9="","",VLOOKUP(($BH9&amp;BY9&amp;"Template de desconto FLAT bundle - Velox XDSL - Varejo"),[7]BENEFICIOS!$A:$E,5,0)))</f>
        <v>MKT-1-9865126733</v>
      </c>
      <c r="CA9" s="68" t="s">
        <v>161</v>
      </c>
      <c r="CB9" s="69">
        <v>44.9</v>
      </c>
      <c r="CC9" s="64">
        <f>IF(CB9=0,"",IF(CB9=VLOOKUP("PCS-30631g",[7]ARBOR!$A:$C,3,0),0.0001,IF(CB9&gt;VLOOKUP("PCS-30631g",[7]ARBOR!$A:$C,3,0),"Maior que CAP!",IF((DOLLAR(CB9+(VLOOKUP("PCS-30631g",[7]ARBOR!$A:$C,3,0)*-TRUNC(CB9/VLOOKUP("PCS-30631g",[7]ARBOR!$A:$C,3,0)-1,4)),6))&lt;&gt;(DOLLAR(VLOOKUP("PCS-30631g",[7]ARBOR!$A:$C,3,0),6)),-TRUNC(CB9/VLOOKUP("PCS-30631g",[7]ARBOR!$A:$C,3,0)-1,4)+0.0001,-TRUNC(CB9/VLOOKUP("PCS-30631g",[7]ARBOR!$A:$C,3,0)-1,4)))))</f>
        <v>0.54310000000000003</v>
      </c>
      <c r="CD9" s="65" t="str">
        <f>IF(ISERROR(IF(CC9="","",VLOOKUP(($BH9&amp;CC9&amp;"Template de desconto FLAT bundle - Velox XDSL - Varejo"),[7]BENEFICIOS!$A:$E,5,0))),"Criar",IF(CC9="","",VLOOKUP(($BH9&amp;CC9&amp;"Template de desconto FLAT bundle - Velox XDSL - Varejo"),[7]BENEFICIOS!$A:$E,5,0)))</f>
        <v>MKT-1-9865126826</v>
      </c>
      <c r="CE9" s="68"/>
      <c r="CF9" s="69"/>
      <c r="CG9" s="64" t="str">
        <f>IF(CF9=0,"",IF(CF9=VLOOKUP("PCS-30658g",[7]ARBOR!$A:$C,3,0),0.0001,IF(CF9&gt;VLOOKUP("PCS-30658g",[7]ARBOR!$A:$C,3,0),"Maior que CAP!",IF((DOLLAR(CF9+(VLOOKUP("PCS-30658g",[7]ARBOR!$A:$C,3,0)*-TRUNC(CF9/VLOOKUP("PCS-30658g",[7]ARBOR!$A:$C,3,0)-1,4)),6))&lt;&gt;(DOLLAR(VLOOKUP("PCS-30658g",[7]ARBOR!$A:$C,3,0),6)),-TRUNC(CF9/VLOOKUP("PCS-30658g",[7]ARBOR!$A:$C,3,0)-1,4)+0.0001,-TRUNC(CF9/VLOOKUP("PCS-30658g",[7]ARBOR!$A:$C,3,0)-1,4)))))</f>
        <v/>
      </c>
      <c r="CH9" s="65" t="str">
        <f>IF(ISERROR(IF(CG9="","",VLOOKUP(($BH9&amp;CG9&amp;"Template de desconto FLAT bundle - Velox XDSL - Varejo"),[7]BENEFICIOS!$A:$E,5,0))),"Criar",IF(CG9="","",VLOOKUP(($BH9&amp;CG9&amp;"Template de desconto FLAT bundle - Velox XDSL - Varejo"),[7]BENEFICIOS!$A:$E,5,0)))</f>
        <v/>
      </c>
      <c r="CI9" s="68"/>
      <c r="CJ9" s="69"/>
      <c r="CK9" s="64" t="str">
        <f>IF(CJ9=0,"",IF(CJ9=VLOOKUP("PCS-30685g",[7]ARBOR!$A:$C,3,0),0.0001,IF(CJ9&gt;VLOOKUP("PCS-30685g",[7]ARBOR!$A:$C,3,0),"Maior que CAP!",IF((DOLLAR(CJ9+(VLOOKUP("PCS-30685g",[7]ARBOR!$A:$C,3,0)*-TRUNC(CJ9/VLOOKUP("PCS-30685g",[7]ARBOR!$A:$C,3,0)-1,4)),6))&lt;&gt;(DOLLAR(VLOOKUP("PCS-30685g",[7]ARBOR!$A:$C,3,0),6)),-TRUNC(CJ9/VLOOKUP("PCS-30685g",[7]ARBOR!$A:$C,3,0)-1,4)+0.0001,-TRUNC(CJ9/VLOOKUP("PCS-30685g",[7]ARBOR!$A:$C,3,0)-1,4)))))</f>
        <v/>
      </c>
      <c r="CL9" s="65" t="str">
        <f>IF(ISERROR(IF(CK9="","",VLOOKUP(($BH9&amp;CK9&amp;"Template de desconto FLAT bundle - Velox XDSL - Varejo"),[7]BENEFICIOS!$A:$E,5,0))),"Criar",IF(CK9="","",VLOOKUP(($BH9&amp;CK9&amp;"Template de desconto FLAT bundle - Velox XDSL - Varejo"),[7]BENEFICIOS!$A:$E,5,0)))</f>
        <v/>
      </c>
      <c r="CM9" s="68"/>
      <c r="CN9" s="69"/>
      <c r="CO9" s="64" t="str">
        <f>IF(CN9=0,"",IF(CN9=VLOOKUP("PCS-30712g",[7]ARBOR!$A:$C,3,0),0.0001,IF(CN9&gt;VLOOKUP("PCS-30712g",[7]ARBOR!$A:$C,3,0),"Maior que CAP!",IF((DOLLAR(CN9+(VLOOKUP("PCS-30712g",[7]ARBOR!$A:$C,3,0)*-TRUNC(CN9/VLOOKUP("PCS-30712g",[7]ARBOR!$A:$C,3,0)-1,4)),6))&lt;&gt;(DOLLAR(VLOOKUP("PCS-30712g",[7]ARBOR!$A:$C,3,0),6)),-TRUNC(CN9/VLOOKUP("PCS-30712g",[7]ARBOR!$A:$C,3,0)-1,4)+0.0001,-TRUNC(CN9/VLOOKUP("PCS-30712g",[7]ARBOR!$A:$C,3,0)-1,4)))))</f>
        <v/>
      </c>
      <c r="CP9" s="65" t="str">
        <f>IF(ISERROR(IF(CO9="","",VLOOKUP(($BH9&amp;CO9&amp;"Template de desconto FLAT bundle - Velox XDSL - Varejo"),[7]BENEFICIOS!$A:$E,5,0))),"Criar",IF(CO9="","",VLOOKUP(($BH9&amp;CO9&amp;"Template de desconto FLAT bundle - Velox XDSL - Varejo"),[7]BENEFICIOS!$A:$E,5,0)))</f>
        <v/>
      </c>
      <c r="CQ9" s="68"/>
      <c r="CR9" s="69"/>
      <c r="CS9" s="64" t="str">
        <f>IF(CR9=0,"",IF(CR9=VLOOKUP("PCS-30739g",[7]ARBOR!$A:$C,3,0),0.0001,IF(CR9&gt;VLOOKUP("PCS-30739g",[7]ARBOR!$A:$C,3,0),"Maior que CAP!",IF((DOLLAR(CR9+(VLOOKUP("PCS-30739g",[7]ARBOR!$A:$C,3,0)*-TRUNC(CR9/VLOOKUP("PCS-30739g",[7]ARBOR!$A:$C,3,0)-1,4)),6))&lt;&gt;(DOLLAR(VLOOKUP("PCS-30739g",[7]ARBOR!$A:$C,3,0),6)),-TRUNC(CR9/VLOOKUP("PCS-30739g",[7]ARBOR!$A:$C,3,0)-1,4)+0.0001,-TRUNC(CR9/VLOOKUP("PCS-30739g",[7]ARBOR!$A:$C,3,0)-1,4)))))</f>
        <v/>
      </c>
      <c r="CT9" s="65" t="str">
        <f>IF(ISERROR(IF(CS9="","",VLOOKUP(($BH9&amp;CS9&amp;"Template de desconto FLAT bundle - Velox XDSL - Varejo"),[7]BENEFICIOS!$A:$E,5,0))),"Criar",IF(CS9="","",VLOOKUP(($BH9&amp;CS9&amp;"Template de desconto FLAT bundle - Velox XDSL - Varejo"),[7]BENEFICIOS!$A:$E,5,0)))</f>
        <v/>
      </c>
      <c r="CU9" s="69"/>
      <c r="CV9" s="70"/>
      <c r="CW9" s="64"/>
      <c r="CX9" s="65"/>
      <c r="CY9" s="68"/>
      <c r="CZ9" s="69"/>
      <c r="DA9" s="64" t="str">
        <f>IF(CZ9=0,"",IF(CZ9=VLOOKUP("PCS-30766g",[7]ARBOR!$A:$C,3,0),0.0001,IF(CZ9&gt;VLOOKUP("PCS-30766g",[7]ARBOR!$A:$C,3,0),"Maior que CAP!",IF((DOLLAR(CZ9+(VLOOKUP("PCS-30766g",[7]ARBOR!$A:$C,3,0)*-TRUNC(CZ9/VLOOKUP("PCS-30766g",[7]ARBOR!$A:$C,3,0)-1,4)),6))&lt;&gt;(DOLLAR(VLOOKUP("PCS-30766g",[7]ARBOR!$A:$C,3,0),6)),-TRUNC(CZ9/VLOOKUP("PCS-30766g",[7]ARBOR!$A:$C,3,0)-1,4)+0.0001,-TRUNC(CZ9/VLOOKUP("PCS-30766g",[7]ARBOR!$A:$C,3,0)-1,4)))))</f>
        <v/>
      </c>
      <c r="DB9" s="65" t="str">
        <f>IF(ISERROR(IF(DA9="","",VLOOKUP(($BH9&amp;DA9&amp;"Template de desconto FLAT bundle - Velox XDSL - Varejo"),[7]BENEFICIOS!$A:$E,5,0))),"Criar",IF(DA9="","",VLOOKUP(($BH9&amp;DA9&amp;"Template de desconto FLAT bundle - Velox XDSL - Varejo"),[7]BENEFICIOS!$A:$E,5,0)))</f>
        <v/>
      </c>
      <c r="DC9" s="69"/>
      <c r="DD9" s="70"/>
      <c r="DE9" s="64"/>
      <c r="DF9" s="65"/>
      <c r="DG9" s="68"/>
      <c r="DH9" s="69"/>
      <c r="DI9" s="64" t="str">
        <f>IF(DH9=0,"",IF(DH9=VLOOKUP("PCS-30793g",[7]ARBOR!$A:$C,3,0),0.0001,IF(DH9&gt;VLOOKUP("PCS-30793g",[7]ARBOR!$A:$C,3,0),"Maior que CAP!",IF((DOLLAR(DH9+(VLOOKUP("PCS-30793g",[7]ARBOR!$A:$C,3,0)*-TRUNC(DH9/VLOOKUP("PCS-30793g",[7]ARBOR!$A:$C,3,0)-1,4)),6))&lt;&gt;(DOLLAR(VLOOKUP("PCS-30793g",[7]ARBOR!$A:$C,3,0),6)),-TRUNC(DH9/VLOOKUP("PCS-30793g",[7]ARBOR!$A:$C,3,0)-1,4)+0.0001,-TRUNC(DH9/VLOOKUP("PCS-30793g",[7]ARBOR!$A:$C,3,0)-1,4)))))</f>
        <v/>
      </c>
      <c r="DJ9" s="65" t="str">
        <f>IF(ISERROR(IF(DI9="","",VLOOKUP(($BH9&amp;DI9&amp;"Template de desconto FLAT bundle - Velox XDSL - Varejo"),[7]BENEFICIOS!$A:$E,5,0))),"Criar",IF(DI9="","",VLOOKUP(($BH9&amp;DI9&amp;"Template de desconto FLAT bundle - Velox XDSL - Varejo"),[7]BENEFICIOS!$A:$E,5,0)))</f>
        <v/>
      </c>
      <c r="DK9" s="69"/>
      <c r="DL9" s="70"/>
      <c r="DM9" s="64"/>
      <c r="DN9" s="65"/>
      <c r="DO9" s="68"/>
      <c r="DP9" s="69"/>
      <c r="DQ9" s="64" t="str">
        <f>IF(DP9=0,"",IF(DP9=VLOOKUP("PCS-30820g",[7]ARBOR!$A:$C,3,0),0.0001,IF(DP9&gt;VLOOKUP("PCS-30820g",[7]ARBOR!$A:$C,3,0),"Maior que CAP!",IF((DOLLAR(DP9+(VLOOKUP("PCS-30820g",[7]ARBOR!$A:$C,3,0)*-TRUNC(DP9/VLOOKUP("PCS-30820g",[7]ARBOR!$A:$C,3,0)-1,4)),6))&lt;&gt;(DOLLAR(VLOOKUP("PCS-30820g",[7]ARBOR!$A:$C,3,0),6)),-TRUNC(DP9/VLOOKUP("PCS-30820g",[7]ARBOR!$A:$C,3,0)-1,4)+0.0001,-TRUNC(DP9/VLOOKUP("PCS-30820g",[7]ARBOR!$A:$C,3,0)-1,4)))))</f>
        <v/>
      </c>
      <c r="DR9" s="65" t="str">
        <f>IF(ISERROR(IF(DQ9="","",VLOOKUP(($BH9&amp;DQ9&amp;"Template de desconto FLAT bundle - Velox XDSL - Varejo"),[7]BENEFICIOS!$A:$E,5,0))),"Criar",IF(DQ9="","",VLOOKUP(($BH9&amp;DQ9&amp;"Template de desconto FLAT bundle - Velox XDSL - Varejo"),[7]BENEFICIOS!$A:$E,5,0)))</f>
        <v/>
      </c>
      <c r="DS9" s="69"/>
      <c r="DT9" s="70"/>
      <c r="DU9" s="64"/>
      <c r="DV9" s="65"/>
      <c r="DW9" s="71">
        <v>44.9</v>
      </c>
      <c r="DX9" s="64">
        <f>IF(DW9=0,"",IF(DW9=VLOOKUP("PCS-21448p2",[7]ARBOR!$A:$C,3,0),0.0001,IF(DW9&gt;VLOOKUP("PCS-21448p2",[7]ARBOR!$A:$C,3,0),"Maior que CAP!",IF((DOLLAR(DW9+(VLOOKUP("PCS-21448p2",[7]ARBOR!$A:$C,3,0)*-TRUNC(DW9/VLOOKUP("PCS-21448p2",[7]ARBOR!$A:$C,3,0)-1,4)),6))&lt;&gt;(DOLLAR(VLOOKUP("PCS-21448p2",[7]ARBOR!$A:$C,3,0),6)),-TRUNC(DW9/VLOOKUP("PCS-21448p2",[7]ARBOR!$A:$C,3,0)-1,4)+0.0001,-TRUNC(DW9/VLOOKUP("PCS-21448p2",[7]ARBOR!$A:$C,3,0)-1,4)))))</f>
        <v>0.64900000000000002</v>
      </c>
      <c r="DY9" s="65" t="str">
        <f>IF(ISERROR(IF(DX9="","",VLOOKUP(("Oi Conta Total Plug 10GB Downgrade"&amp;DX9&amp;"Template de desconto percentual BL Móvel - Internet Total - Varejo"),[7]BENEFICIOS!$A:$E,5,0))),"Criar",IF(DX9="","",VLOOKUP(("Oi Conta Total Plug 10GB Downgrade"&amp;DX9&amp;"Template de desconto percentual BL Móvel - Internet Total - Varejo"),[7]BENEFICIOS!$A:$E,5,0)))</f>
        <v>MKT-1-9825544790</v>
      </c>
      <c r="DZ9" s="71">
        <v>16.5</v>
      </c>
      <c r="EA9" s="72">
        <f>IF(DZ9=0,"",IF(DZ9=VLOOKUP("SVA",[7]ARBOR!$A:$C,3,0),0.0001,IF(DZ9&gt;VLOOKUP("SVA",[7]ARBOR!$A:$C,3,0),"Maior que CAP!",IF((DOLLAR(DZ9+(VLOOKUP("SVA",[7]ARBOR!$A:$C,3,0)*-TRUNC(DZ9/VLOOKUP("SVA",[7]ARBOR!$A:$C,3,0)-1,4)),6))&lt;&gt;(DOLLAR(VLOOKUP("SVA",[7]ARBOR!$A:$C,3,0),6)),-TRUNC(DZ9/VLOOKUP("SVA",[7]ARBOR!$A:$C,3,0)-1,4)+0.0001,-TRUNC(DZ9/VLOOKUP("SVA",[7]ARBOR!$A:$C,3,0)-1,4)))))</f>
        <v>0.2301</v>
      </c>
      <c r="EB9" s="65" t="s">
        <v>223</v>
      </c>
      <c r="EC9" s="69"/>
      <c r="ED9" s="73"/>
      <c r="EE9" s="74"/>
      <c r="EF9" s="65"/>
      <c r="EG9" s="75">
        <f>IF(BI9="","",VLOOKUP(BI9,[7]ARBOR!A:C,3,0))</f>
        <v>479.46</v>
      </c>
      <c r="EH9" s="69">
        <v>15</v>
      </c>
      <c r="EI9" s="76">
        <f>IF(EH9="","",1-(EH9/VLOOKUP(BI9&amp;"ASS",[7]ARBOR!A:C,3,0)))</f>
        <v>0.34725848563968664</v>
      </c>
      <c r="EJ9" s="77" t="s">
        <v>224</v>
      </c>
      <c r="EK9" s="78" t="s">
        <v>225</v>
      </c>
      <c r="EL9" s="69">
        <v>154.54999999999998</v>
      </c>
      <c r="EM9" s="64">
        <f>ROUND(IF(EL9=0,"",IF(EL9=EG9,0.0001,1-((EL9+(VLOOKUP(BI9&amp;"ASS",[7]ARBOR!A:C,3,0)-EH9))/EG9))),4)</f>
        <v>0.66100000000000003</v>
      </c>
      <c r="EN9" s="65" t="str">
        <f>IF(ISERROR(IF(EM9="","",VLOOKUP(($BH9&amp;EM9&amp;"Template de desconto percentual FLAT Móvel - Conta Total - Varejo - Ganho Tributário Cross"),[7]BENEFICIOS!$A:$E,5,0))),"Criar",IF(EM9="","",VLOOKUP(($BH9&amp;EM9&amp;"Template de desconto percentual FLAT Móvel - Conta Total - Varejo - Ganho Tributário Cross"),[7]BENEFICIOS!$A:$E,5,0)))</f>
        <v>Criar</v>
      </c>
      <c r="EO9" s="79"/>
      <c r="EP9" s="64"/>
      <c r="EQ9" s="72"/>
      <c r="ER9" s="72"/>
      <c r="ES9" s="64"/>
      <c r="ET9" s="80"/>
      <c r="EU9" s="81" t="s">
        <v>244</v>
      </c>
      <c r="EV9" s="81" t="s">
        <v>256</v>
      </c>
      <c r="EW9" s="82"/>
      <c r="EX9" s="83"/>
      <c r="EY9" s="84"/>
      <c r="EZ9" s="82"/>
      <c r="FA9" s="83"/>
      <c r="FB9" s="84"/>
      <c r="FC9" s="82"/>
      <c r="FD9" s="83" t="str">
        <f>IF(FC9=0,"",IF(FC9=VLOOKUP("PCS-10357",[7]ARBOR!$A:$C,3,0),0.0001,IF(FC9&gt;VLOOKUP("PCS-10357",[7]ARBOR!$A:$C,3,0),"Maior que CAP!",ROUND(-1*(FC9/VLOOKUP("PCS-10357",[7]ARBOR!$A:$C,3,0)-1),4))))</f>
        <v/>
      </c>
      <c r="FE9" s="84" t="str">
        <f>IF(ISERROR(IF(FD9="","",VLOOKUP(("Oi Internet Pra Celular 1GB"&amp;FD9&amp;"Template Flat Instância Dados"),[7]BENEFICIOS!$A:$E,5,0))),"Criar",IF(FD9="","",VLOOKUP(("Oi Internet Pra Celular 1GB"&amp;FD9&amp;"Template Flat Instância Dados"),[7]BENEFICIOS!$A:$E,5,0)))</f>
        <v/>
      </c>
      <c r="FF9" s="82"/>
      <c r="FG9" s="83" t="str">
        <f>IF(FF9=0,"",IF(FF9=VLOOKUP("PCS-813565",[7]ARBOR!$A:$C,3,0),0.0001,IF(FF9&gt;VLOOKUP("PCS-813565",[7]ARBOR!$A:$C,3,0),"Maior que CAP!",ROUND(-1*(FF9/VLOOKUP("PCS-813565",[7]ARBOR!$A:$C,3,0)-1),4))))</f>
        <v/>
      </c>
      <c r="FH9" s="84" t="str">
        <f>IF(ISERROR(IF(FG9="","",VLOOKUP(("Oi Internet Pra Celular 2GB"&amp;FG9&amp;"Template Flat Instância Dados"),[7]BENEFICIOS!$A:$E,5,0))),"Criar",IF(FG9="","",VLOOKUP(("Oi Internet Pra Celular 2GB"&amp;FG9&amp;"Template Flat Instância Dados"),[7]BENEFICIOS!$A:$E,5,0)))</f>
        <v/>
      </c>
      <c r="FI9" s="82">
        <v>12.35</v>
      </c>
      <c r="FJ9" s="83">
        <f>IF(FI9=0,"",IF(FI9=VLOOKUP("PCS-7171B",[7]ARBOR!$A:$C,3,0),0.0001,IF(FI9&gt;VLOOKUP("PCS-7171B",[7]ARBOR!$A:$C,3,0),"Maior que CAP!",ROUND(-1*(FI9/VLOOKUP("PCS-7171B",[7]ARBOR!$A:$C,3,0)-1),4))))</f>
        <v>0.87419999999999998</v>
      </c>
      <c r="FK9" s="84" t="str">
        <f>IF(ISERROR(IF(FJ9="","",VLOOKUP(("Oi Internet Pra Celular 3GB"&amp;FJ9&amp;"Template Flat Instância Dados"),[7]BENEFICIOS!$A:$E,5,0))),"Criar",IF(FJ9="","",VLOOKUP(("Oi Internet Pra Celular 3GB"&amp;FJ9&amp;"Template Flat Instância Dados"),[7]BENEFICIOS!$A:$E,5,0)))</f>
        <v>MKT-1-9870092975</v>
      </c>
      <c r="FL9" s="82"/>
      <c r="FM9" s="83" t="str">
        <f>IF(FL9=0,"",IF(FL9=VLOOKUP("PCS-51793o08",[7]ARBOR!$A:$C,3,0),0.0001,IF(FL9&gt;VLOOKUP("PCS-51793o08",[7]ARBOR!$A:$C,3,0),"Maior que CAP!",ROUND(-1*(FL9/VLOOKUP("PCS-51793o08",[7]ARBOR!$A:$C,3,0)-1),4))))</f>
        <v/>
      </c>
      <c r="FN9" s="84" t="str">
        <f>IF(ISERROR(IF(FM9="","",VLOOKUP(("Oi Internet Pra Celular 5GB"&amp;FM9&amp;"Template Flat Instância Dados"),[7]BENEFICIOS!$A:$E,5,0))),"Criar",IF(FM9="","",VLOOKUP(("Oi Internet Pra Celular 5GB"&amp;FM9&amp;"Template Flat Instância Dados"),[7]BENEFICIOS!$A:$E,5,0)))</f>
        <v/>
      </c>
      <c r="FO9" s="82"/>
      <c r="FP9" s="83" t="str">
        <f>IF(FO9=0,"",IF(FO9=VLOOKUP("PCS-7171A",[7]ARBOR!$A:$C,3,0),0.0001,IF(FO9&gt;VLOOKUP("PCS-7171A",[7]ARBOR!$A:$C,3,0),"Maior que CAP!",ROUND(-1*(FO9/VLOOKUP("PCS-7171A",[7]ARBOR!$A:$C,3,0)-1),4))))</f>
        <v/>
      </c>
      <c r="FQ9" s="84" t="str">
        <f>IF(ISERROR(IF(FP9="","",VLOOKUP(("Oi Internet Pra Celular 10GB"&amp;FP9&amp;"Template Flat Instância Dados"),[7]BENEFICIOS!$A:$E,5,0))),"Criar",IF(FP9="","",VLOOKUP(("Oi Internet Pra Celular 10GB"&amp;FP9&amp;"Template Flat Instância Dados"),[7]BENEFICIOS!$A:$E,5,0)))</f>
        <v/>
      </c>
      <c r="FR9" s="85">
        <v>0.74219999999999997</v>
      </c>
      <c r="FS9" s="86" t="s">
        <v>246</v>
      </c>
      <c r="FT9" s="48"/>
      <c r="FU9" s="87"/>
      <c r="FV9" s="88" t="s">
        <v>221</v>
      </c>
      <c r="FW9" s="49" t="s">
        <v>226</v>
      </c>
      <c r="FX9" s="89">
        <v>999</v>
      </c>
      <c r="FY9" s="49">
        <v>12</v>
      </c>
      <c r="FZ9" s="90" t="s">
        <v>227</v>
      </c>
      <c r="GA9" s="91" t="str">
        <f t="shared" si="1"/>
        <v>PCS-Fk83324</v>
      </c>
      <c r="GB9" s="92" t="str">
        <f t="shared" si="2"/>
        <v>PCS-SBL553142</v>
      </c>
      <c r="GC9" s="93" t="s">
        <v>228</v>
      </c>
      <c r="GD9" s="90" t="s">
        <v>229</v>
      </c>
      <c r="GE9" s="92" t="s">
        <v>230</v>
      </c>
      <c r="GF9" s="93" t="s">
        <v>231</v>
      </c>
      <c r="GG9" s="90" t="s">
        <v>232</v>
      </c>
      <c r="GH9" s="92" t="s">
        <v>233</v>
      </c>
      <c r="GI9" s="94" t="s">
        <v>234</v>
      </c>
      <c r="GJ9" s="95">
        <f>FI9+EL9+DW9+BJ9</f>
        <v>261.89999999999998</v>
      </c>
      <c r="GK9" s="96"/>
      <c r="GL9" s="97" t="s">
        <v>235</v>
      </c>
      <c r="GM9" s="98" t="s">
        <v>236</v>
      </c>
      <c r="GN9" s="97">
        <f>VLOOKUP($A9,'[7]TABELA COM TUDO'!$A:$AB,25,0)</f>
        <v>14</v>
      </c>
      <c r="GO9" s="99">
        <f>VLOOKUP($A9,'[7]TABELA COM TUDO'!$A:$AB,26,0)</f>
        <v>3.61</v>
      </c>
      <c r="GP9" s="100">
        <f t="shared" si="8"/>
        <v>0.74209999999999998</v>
      </c>
      <c r="GQ9" s="97">
        <f t="shared" si="4"/>
        <v>10.38</v>
      </c>
      <c r="GR9" s="97">
        <f t="shared" si="5"/>
        <v>3.6199999999999992</v>
      </c>
      <c r="GS9" s="101"/>
      <c r="GT9" s="101"/>
      <c r="GU9" s="102" t="b">
        <f t="shared" si="6"/>
        <v>0</v>
      </c>
      <c r="GV9" s="103">
        <f t="shared" si="7"/>
        <v>9.9999999999993427E-3</v>
      </c>
      <c r="GW9" s="44" t="s">
        <v>257</v>
      </c>
      <c r="GX9" s="44" t="s">
        <v>238</v>
      </c>
    </row>
    <row r="10" spans="1:206" s="44" customFormat="1" x14ac:dyDescent="0.35">
      <c r="A10" s="44" t="str">
        <f t="shared" si="0"/>
        <v>Oi Total Fixo + Pós 800 + Banda LargaN13GBMG</v>
      </c>
      <c r="B10" s="45" t="s">
        <v>211</v>
      </c>
      <c r="C10" s="46" t="s">
        <v>127</v>
      </c>
      <c r="D10" s="46" t="s">
        <v>212</v>
      </c>
      <c r="E10" s="47" t="s">
        <v>213</v>
      </c>
      <c r="F10" s="48" t="s">
        <v>214</v>
      </c>
      <c r="G10" s="49"/>
      <c r="H10" s="49"/>
      <c r="I10" s="49"/>
      <c r="J10" s="49" t="s">
        <v>214</v>
      </c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 t="s">
        <v>214</v>
      </c>
      <c r="AC10" s="49" t="s">
        <v>214</v>
      </c>
      <c r="AD10" s="49" t="s">
        <v>214</v>
      </c>
      <c r="AE10" s="49" t="s">
        <v>214</v>
      </c>
      <c r="AF10" s="49" t="s">
        <v>214</v>
      </c>
      <c r="AG10" s="49" t="s">
        <v>214</v>
      </c>
      <c r="AH10" s="50"/>
      <c r="AI10" s="49" t="s">
        <v>214</v>
      </c>
      <c r="AJ10" s="49" t="s">
        <v>214</v>
      </c>
      <c r="AK10" s="49" t="s">
        <v>214</v>
      </c>
      <c r="AL10" s="49" t="s">
        <v>214</v>
      </c>
      <c r="AM10" s="49" t="s">
        <v>214</v>
      </c>
      <c r="AN10" s="49" t="s">
        <v>214</v>
      </c>
      <c r="AO10" s="49" t="s">
        <v>214</v>
      </c>
      <c r="AP10" s="49"/>
      <c r="AQ10" s="51"/>
      <c r="AR10" s="52" t="s">
        <v>258</v>
      </c>
      <c r="AS10" s="46" t="s">
        <v>216</v>
      </c>
      <c r="AT10" s="53" t="s">
        <v>217</v>
      </c>
      <c r="AU10" s="54">
        <v>42972</v>
      </c>
      <c r="AV10" s="55">
        <v>43038</v>
      </c>
      <c r="AW10" s="56" t="s">
        <v>218</v>
      </c>
      <c r="AX10" s="57" t="s">
        <v>218</v>
      </c>
      <c r="AY10" s="58"/>
      <c r="AZ10" s="58" t="s">
        <v>219</v>
      </c>
      <c r="BA10" s="58">
        <v>20</v>
      </c>
      <c r="BB10" s="58">
        <v>10000</v>
      </c>
      <c r="BC10" s="59" t="s">
        <v>220</v>
      </c>
      <c r="BD10" s="60" t="s">
        <v>221</v>
      </c>
      <c r="BE10" s="58" t="s">
        <v>213</v>
      </c>
      <c r="BF10" s="51" t="s">
        <v>213</v>
      </c>
      <c r="BG10" s="45" t="s">
        <v>258</v>
      </c>
      <c r="BH10" s="61" t="s">
        <v>222</v>
      </c>
      <c r="BI10" s="62" t="str">
        <f>IF(ISERROR(VLOOKUP(BH10,[7]PLANOS!B:C,2,0)),"",VLOOKUP(BH10,[7]PLANOS!B:C,2,0))</f>
        <v>PCS-4P6pi</v>
      </c>
      <c r="BJ10" s="63">
        <v>50.1</v>
      </c>
      <c r="BK10" s="64">
        <f>IF(BJ10=0,"",IF(BJ10=VLOOKUP("FIXO",[7]ARBOR!$A:$C,3,0),0.0001,IF(BJ10&gt;VLOOKUP("FIXO",[7]ARBOR!$A:$C,3,0),"Maior que CAP!",IF((DOLLAR(BJ10+(VLOOKUP("FIXO",[7]ARBOR!$A:$C,3,0)*-TRUNC(BJ10/VLOOKUP("FIXO",[7]ARBOR!$A:$C,3,0)-1,4)),6))&lt;&gt;(DOLLAR(VLOOKUP("FIXO",[7]ARBOR!$A:$C,3,0),6)),-TRUNC(BJ10/VLOOKUP("FIXO",[7]ARBOR!$A:$C,3,0)-1,4)+0.0001,-TRUNC(BJ10/VLOOKUP("FIXO",[7]ARBOR!$A:$C,3,0)-1,4)))))</f>
        <v>0.33939999999999998</v>
      </c>
      <c r="BL10" s="65" t="str">
        <f>IF(ISERROR(IF(BK10="","",VLOOKUP(($BH10&amp;BK10&amp;"Template de desconto FLAT bundle - Fixo - Varejo - Ganho Tributário Cross"),[7]BENEFICIOS!$A:$E,5,0))),"Criar",IF(BK10="","",VLOOKUP(($BH10&amp;BK10&amp;"Template de desconto FLAT bundle - Fixo - Varejo - Ganho Tributário Cross"),[7]BENEFICIOS!$A:$E,5,0)))</f>
        <v>MKT-1-9856472058</v>
      </c>
      <c r="BM10" s="66"/>
      <c r="BN10" s="67"/>
      <c r="BO10" s="104" t="s">
        <v>240</v>
      </c>
      <c r="BP10" s="69">
        <v>44.9</v>
      </c>
      <c r="BQ10" s="64">
        <f>IF(BP10=0,"",IF(BP10=VLOOKUP("PCS-30874g",[7]ARBOR!$A:$C,3,0),0.0001,IF(BP10&gt;VLOOKUP("PCS-30874g",[7]ARBOR!$A:$C,3,0),"Maior que CAP!",IF((DOLLAR(BP10+(VLOOKUP("PCS-30874g",[7]ARBOR!$A:$C,3,0)*-TRUNC(BP10/VLOOKUP("PCS-30874g",[7]ARBOR!$A:$C,3,0)-1,4)),6))&lt;&gt;(DOLLAR(VLOOKUP("PCS-30874g",[7]ARBOR!$A:$C,3,0),6)),-TRUNC(BP10/VLOOKUP("PCS-30874g",[7]ARBOR!$A:$C,3,0)-1,4)+0.0001,-TRUNC(BP10/VLOOKUP("PCS-30874g",[7]ARBOR!$A:$C,3,0)-1,4)))))</f>
        <v>0.53679999999999994</v>
      </c>
      <c r="BR10" s="65" t="str">
        <f>IF(ISERROR(IF(BQ10="","",VLOOKUP(($BH10&amp;BQ10&amp;"Template de desconto FLAT bundle - Velox XDSL - Varejo"),[7]BENEFICIOS!$A:$E,5,0))),"Criar",IF(BQ10="","",VLOOKUP(($BH10&amp;BQ10&amp;"Template de desconto FLAT bundle - Velox XDSL - Varejo"),[7]BENEFICIOS!$A:$E,5,0)))</f>
        <v>MKT-1-9865126733</v>
      </c>
      <c r="BS10" s="104" t="s">
        <v>240</v>
      </c>
      <c r="BT10" s="69">
        <v>44.9</v>
      </c>
      <c r="BU10" s="64">
        <f>IF(BT10=0,"",IF(BT10=VLOOKUP("PCS-30577g",[7]ARBOR!$A:$C,3,0),0.0001,IF(BT10&gt;VLOOKUP("PCS-30577g",[7]ARBOR!$A:$C,3,0),"Maior que CAP!",IF((DOLLAR(BT10+(VLOOKUP("PCS-30577g",[7]ARBOR!$A:$C,3,0)*-TRUNC(BT10/VLOOKUP("PCS-30577g",[7]ARBOR!$A:$C,3,0)-1,4)),6))&lt;&gt;(DOLLAR(VLOOKUP("PCS-30577g",[7]ARBOR!$A:$C,3,0),6)),-TRUNC(BT10/VLOOKUP("PCS-30577g",[7]ARBOR!$A:$C,3,0)-1,4)+0.0001,-TRUNC(BT10/VLOOKUP("PCS-30577g",[7]ARBOR!$A:$C,3,0)-1,4)))))</f>
        <v>0.53679999999999994</v>
      </c>
      <c r="BV10" s="65" t="str">
        <f>IF(ISERROR(IF(BU10="","",VLOOKUP(($BH10&amp;BU10&amp;"Template de desconto FLAT bundle - Velox XDSL - Varejo"),[7]BENEFICIOS!$A:$E,5,0))),"Criar",IF(BU10="","",VLOOKUP(($BH10&amp;BU10&amp;"Template de desconto FLAT bundle - Velox XDSL - Varejo"),[7]BENEFICIOS!$A:$E,5,0)))</f>
        <v>MKT-1-9865126733</v>
      </c>
      <c r="BW10" s="104" t="s">
        <v>240</v>
      </c>
      <c r="BX10" s="69">
        <v>44.9</v>
      </c>
      <c r="BY10" s="64">
        <f>IF(BX10=0,"",IF(BX10=VLOOKUP("PCS-30604g",[7]ARBOR!$A:$C,3,0),0.0001,IF(BX10&gt;VLOOKUP("PCS-30604g",[7]ARBOR!$A:$C,3,0),"Maior que CAP!",IF((DOLLAR(BX10+(VLOOKUP("PCS-30604g",[7]ARBOR!$A:$C,3,0)*-TRUNC(BX10/VLOOKUP("PCS-30604g",[7]ARBOR!$A:$C,3,0)-1,4)),6))&lt;&gt;(DOLLAR(VLOOKUP("PCS-30604g",[7]ARBOR!$A:$C,3,0),6)),-TRUNC(BX10/VLOOKUP("PCS-30604g",[7]ARBOR!$A:$C,3,0)-1,4)+0.0001,-TRUNC(BX10/VLOOKUP("PCS-30604g",[7]ARBOR!$A:$C,3,0)-1,4)))))</f>
        <v>0.53679999999999994</v>
      </c>
      <c r="BZ10" s="65" t="str">
        <f>IF(ISERROR(IF(BY10="","",VLOOKUP(($BH10&amp;BY10&amp;"Template de desconto FLAT bundle - Velox XDSL - Varejo"),[7]BENEFICIOS!$A:$E,5,0))),"Criar",IF(BY10="","",VLOOKUP(($BH10&amp;BY10&amp;"Template de desconto FLAT bundle - Velox XDSL - Varejo"),[7]BENEFICIOS!$A:$E,5,0)))</f>
        <v>MKT-1-9865126733</v>
      </c>
      <c r="CA10" s="104" t="s">
        <v>240</v>
      </c>
      <c r="CB10" s="69">
        <v>44.9</v>
      </c>
      <c r="CC10" s="64">
        <f>IF(CB10=0,"",IF(CB10=VLOOKUP("PCS-30631g",[7]ARBOR!$A:$C,3,0),0.0001,IF(CB10&gt;VLOOKUP("PCS-30631g",[7]ARBOR!$A:$C,3,0),"Maior que CAP!",IF((DOLLAR(CB10+(VLOOKUP("PCS-30631g",[7]ARBOR!$A:$C,3,0)*-TRUNC(CB10/VLOOKUP("PCS-30631g",[7]ARBOR!$A:$C,3,0)-1,4)),6))&lt;&gt;(DOLLAR(VLOOKUP("PCS-30631g",[7]ARBOR!$A:$C,3,0),6)),-TRUNC(CB10/VLOOKUP("PCS-30631g",[7]ARBOR!$A:$C,3,0)-1,4)+0.0001,-TRUNC(CB10/VLOOKUP("PCS-30631g",[7]ARBOR!$A:$C,3,0)-1,4)))))</f>
        <v>0.54310000000000003</v>
      </c>
      <c r="CD10" s="65" t="str">
        <f>IF(ISERROR(IF(CC10="","",VLOOKUP(($BH10&amp;CC10&amp;"Template de desconto FLAT bundle - Velox XDSL - Varejo"),[7]BENEFICIOS!$A:$E,5,0))),"Criar",IF(CC10="","",VLOOKUP(($BH10&amp;CC10&amp;"Template de desconto FLAT bundle - Velox XDSL - Varejo"),[7]BENEFICIOS!$A:$E,5,0)))</f>
        <v>MKT-1-9865126826</v>
      </c>
      <c r="CE10" s="68" t="s">
        <v>161</v>
      </c>
      <c r="CF10" s="69">
        <v>49.9</v>
      </c>
      <c r="CG10" s="64">
        <f>IF(CF10=0,"",IF(CF10=VLOOKUP("PCS-30658g",[7]ARBOR!$A:$C,3,0),0.0001,IF(CF10&gt;VLOOKUP("PCS-30658g",[7]ARBOR!$A:$C,3,0),"Maior que CAP!",IF((DOLLAR(CF10+(VLOOKUP("PCS-30658g",[7]ARBOR!$A:$C,3,0)*-TRUNC(CF10/VLOOKUP("PCS-30658g",[7]ARBOR!$A:$C,3,0)-1,4)),6))&lt;&gt;(DOLLAR(VLOOKUP("PCS-30658g",[7]ARBOR!$A:$C,3,0),6)),-TRUNC(CF10/VLOOKUP("PCS-30658g",[7]ARBOR!$A:$C,3,0)-1,4)+0.0001,-TRUNC(CF10/VLOOKUP("PCS-30658g",[7]ARBOR!$A:$C,3,0)-1,4)))))</f>
        <v>0.55569999999999997</v>
      </c>
      <c r="CH10" s="65" t="str">
        <f>IF(ISERROR(IF(CG10="","",VLOOKUP(($BH10&amp;CG10&amp;"Template de desconto FLAT bundle - Velox XDSL - Varejo"),[7]BENEFICIOS!$A:$E,5,0))),"Criar",IF(CG10="","",VLOOKUP(($BH10&amp;CG10&amp;"Template de desconto FLAT bundle - Velox XDSL - Varejo"),[7]BENEFICIOS!$A:$E,5,0)))</f>
        <v>MKT-1-9865126919</v>
      </c>
      <c r="CI10" s="68" t="s">
        <v>161</v>
      </c>
      <c r="CJ10" s="69">
        <v>49.9</v>
      </c>
      <c r="CK10" s="64">
        <f>IF(CJ10=0,"",IF(CJ10=VLOOKUP("PCS-30685g",[7]ARBOR!$A:$C,3,0),0.0001,IF(CJ10&gt;VLOOKUP("PCS-30685g",[7]ARBOR!$A:$C,3,0),"Maior que CAP!",IF((DOLLAR(CJ10+(VLOOKUP("PCS-30685g",[7]ARBOR!$A:$C,3,0)*-TRUNC(CJ10/VLOOKUP("PCS-30685g",[7]ARBOR!$A:$C,3,0)-1,4)),6))&lt;&gt;(DOLLAR(VLOOKUP("PCS-30685g",[7]ARBOR!$A:$C,3,0),6)),-TRUNC(CJ10/VLOOKUP("PCS-30685g",[7]ARBOR!$A:$C,3,0)-1,4)+0.0001,-TRUNC(CJ10/VLOOKUP("PCS-30685g",[7]ARBOR!$A:$C,3,0)-1,4)))))</f>
        <v>0.60509999999999997</v>
      </c>
      <c r="CL10" s="65" t="str">
        <f>IF(ISERROR(IF(CK10="","",VLOOKUP(($BH10&amp;CK10&amp;"Template de desconto FLAT bundle - Velox XDSL - Varejo"),[7]BENEFICIOS!$A:$E,5,0))),"Criar",IF(CK10="","",VLOOKUP(($BH10&amp;CK10&amp;"Template de desconto FLAT bundle - Velox XDSL - Varejo"),[7]BENEFICIOS!$A:$E,5,0)))</f>
        <v>MKT-1-9865694381</v>
      </c>
      <c r="CM10" s="68" t="s">
        <v>161</v>
      </c>
      <c r="CN10" s="69">
        <v>49.9</v>
      </c>
      <c r="CO10" s="64">
        <f>IF(CN10=0,"",IF(CN10=VLOOKUP("PCS-30712g",[7]ARBOR!$A:$C,3,0),0.0001,IF(CN10&gt;VLOOKUP("PCS-30712g",[7]ARBOR!$A:$C,3,0),"Maior que CAP!",IF((DOLLAR(CN10+(VLOOKUP("PCS-30712g",[7]ARBOR!$A:$C,3,0)*-TRUNC(CN10/VLOOKUP("PCS-30712g",[7]ARBOR!$A:$C,3,0)-1,4)),6))&lt;&gt;(DOLLAR(VLOOKUP("PCS-30712g",[7]ARBOR!$A:$C,3,0),6)),-TRUNC(CN10/VLOOKUP("PCS-30712g",[7]ARBOR!$A:$C,3,0)-1,4)+0.0001,-TRUNC(CN10/VLOOKUP("PCS-30712g",[7]ARBOR!$A:$C,3,0)-1,4)))))</f>
        <v>0.64459999999999995</v>
      </c>
      <c r="CP10" s="65" t="str">
        <f>IF(ISERROR(IF(CO10="","",VLOOKUP(($BH10&amp;CO10&amp;"Template de desconto FLAT bundle - Velox XDSL - Varejo"),[7]BENEFICIOS!$A:$E,5,0))),"Criar",IF(CO10="","",VLOOKUP(($BH10&amp;CO10&amp;"Template de desconto FLAT bundle - Velox XDSL - Varejo"),[7]BENEFICIOS!$A:$E,5,0)))</f>
        <v>MKT-1-9865191105</v>
      </c>
      <c r="CQ10" s="68" t="s">
        <v>161</v>
      </c>
      <c r="CR10" s="69">
        <v>59.9</v>
      </c>
      <c r="CS10" s="64">
        <f>IF(CR10=0,"",IF(CR10=VLOOKUP("PCS-30739g",[7]ARBOR!$A:$C,3,0),0.0001,IF(CR10&gt;VLOOKUP("PCS-30739g",[7]ARBOR!$A:$C,3,0),"Maior que CAP!",IF((DOLLAR(CR10+(VLOOKUP("PCS-30739g",[7]ARBOR!$A:$C,3,0)*-TRUNC(CR10/VLOOKUP("PCS-30739g",[7]ARBOR!$A:$C,3,0)-1,4)),6))&lt;&gt;(DOLLAR(VLOOKUP("PCS-30739g",[7]ARBOR!$A:$C,3,0),6)),-TRUNC(CR10/VLOOKUP("PCS-30739g",[7]ARBOR!$A:$C,3,0)-1,4)+0.0001,-TRUNC(CR10/VLOOKUP("PCS-30739g",[7]ARBOR!$A:$C,3,0)-1,4)))))</f>
        <v>0.71560000000000001</v>
      </c>
      <c r="CT10" s="65" t="str">
        <f>IF(ISERROR(IF(CS10="","",VLOOKUP(($BH10&amp;CS10&amp;"Template de desconto FLAT bundle - Velox XDSL - Varejo"),[7]BENEFICIOS!$A:$E,5,0))),"Criar",IF(CS10="","",VLOOKUP(($BH10&amp;CS10&amp;"Template de desconto FLAT bundle - Velox XDSL - Varejo"),[7]BENEFICIOS!$A:$E,5,0)))</f>
        <v>MKT-1-9865191198</v>
      </c>
      <c r="CU10" s="69"/>
      <c r="CV10" s="70"/>
      <c r="CW10" s="64"/>
      <c r="CX10" s="65"/>
      <c r="CY10" s="68" t="s">
        <v>161</v>
      </c>
      <c r="CZ10" s="69">
        <v>59.9</v>
      </c>
      <c r="DA10" s="64">
        <f>IF(CZ10=0,"",IF(CZ10=VLOOKUP("PCS-30766g",[7]ARBOR!$A:$C,3,0),0.0001,IF(CZ10&gt;VLOOKUP("PCS-30766g",[7]ARBOR!$A:$C,3,0),"Maior que CAP!",IF((DOLLAR(CZ10+(VLOOKUP("PCS-30766g",[7]ARBOR!$A:$C,3,0)*-TRUNC(CZ10/VLOOKUP("PCS-30766g",[7]ARBOR!$A:$C,3,0)-1,4)),6))&lt;&gt;(DOLLAR(VLOOKUP("PCS-30766g",[7]ARBOR!$A:$C,3,0),6)),-TRUNC(CZ10/VLOOKUP("PCS-30766g",[7]ARBOR!$A:$C,3,0)-1,4)+0.0001,-TRUNC(CZ10/VLOOKUP("PCS-30766g",[7]ARBOR!$A:$C,3,0)-1,4)))))</f>
        <v>0.78669999999999995</v>
      </c>
      <c r="DB10" s="65" t="str">
        <f>IF(ISERROR(IF(DA10="","",VLOOKUP(($BH10&amp;DA10&amp;"Template de desconto FLAT bundle - Velox XDSL - Varejo"),[7]BENEFICIOS!$A:$E,5,0))),"Criar",IF(DA10="","",VLOOKUP(($BH10&amp;DA10&amp;"Template de desconto FLAT bundle - Velox XDSL - Varejo"),[7]BENEFICIOS!$A:$E,5,0)))</f>
        <v>MKT-1-9865191291</v>
      </c>
      <c r="DC10" s="69"/>
      <c r="DD10" s="70"/>
      <c r="DE10" s="64"/>
      <c r="DF10" s="65"/>
      <c r="DG10" s="68" t="s">
        <v>240</v>
      </c>
      <c r="DH10" s="69">
        <v>69.900000000000006</v>
      </c>
      <c r="DI10" s="64">
        <f>IF(DH10=0,"",IF(DH10=VLOOKUP("PCS-30793g",[7]ARBOR!$A:$C,3,0),0.0001,IF(DH10&gt;VLOOKUP("PCS-30793g",[7]ARBOR!$A:$C,3,0),"Maior que CAP!",IF((DOLLAR(DH10+(VLOOKUP("PCS-30793g",[7]ARBOR!$A:$C,3,0)*-TRUNC(DH10/VLOOKUP("PCS-30793g",[7]ARBOR!$A:$C,3,0)-1,4)),6))&lt;&gt;(DOLLAR(VLOOKUP("PCS-30793g",[7]ARBOR!$A:$C,3,0),6)),-TRUNC(DH10/VLOOKUP("PCS-30793g",[7]ARBOR!$A:$C,3,0)-1,4)+0.0001,-TRUNC(DH10/VLOOKUP("PCS-30793g",[7]ARBOR!$A:$C,3,0)-1,4)))))</f>
        <v>0.75109999999999999</v>
      </c>
      <c r="DJ10" s="65" t="str">
        <f>IF(ISERROR(IF(DI10="","",VLOOKUP(($BH10&amp;DI10&amp;"Template de desconto FLAT bundle - Velox XDSL - Varejo"),[7]BENEFICIOS!$A:$E,5,0))),"Criar",IF(DI10="","",VLOOKUP(($BH10&amp;DI10&amp;"Template de desconto FLAT bundle - Velox XDSL - Varejo"),[7]BENEFICIOS!$A:$E,5,0)))</f>
        <v>MKT-1-9865191384</v>
      </c>
      <c r="DK10" s="69"/>
      <c r="DL10" s="70"/>
      <c r="DM10" s="64"/>
      <c r="DN10" s="65"/>
      <c r="DO10" s="68" t="s">
        <v>161</v>
      </c>
      <c r="DP10" s="69">
        <v>69.900000000000006</v>
      </c>
      <c r="DQ10" s="64">
        <f>IF(DP10=0,"",IF(DP10=VLOOKUP("PCS-30820g",[7]ARBOR!$A:$C,3,0),0.0001,IF(DP10&gt;VLOOKUP("PCS-30820g",[7]ARBOR!$A:$C,3,0),"Maior que CAP!",IF((DOLLAR(DP10+(VLOOKUP("PCS-30820g",[7]ARBOR!$A:$C,3,0)*-TRUNC(DP10/VLOOKUP("PCS-30820g",[7]ARBOR!$A:$C,3,0)-1,4)),6))&lt;&gt;(DOLLAR(VLOOKUP("PCS-30820g",[7]ARBOR!$A:$C,3,0),6)),-TRUNC(DP10/VLOOKUP("PCS-30820g",[7]ARBOR!$A:$C,3,0)-1,4)+0.0001,-TRUNC(DP10/VLOOKUP("PCS-30820g",[7]ARBOR!$A:$C,3,0)-1,4)))))</f>
        <v>0.75109999999999999</v>
      </c>
      <c r="DR10" s="65" t="str">
        <f>IF(ISERROR(IF(DQ10="","",VLOOKUP(($BH10&amp;DQ10&amp;"Template de desconto FLAT bundle - Velox XDSL - Varejo"),[7]BENEFICIOS!$A:$E,5,0))),"Criar",IF(DQ10="","",VLOOKUP(($BH10&amp;DQ10&amp;"Template de desconto FLAT bundle - Velox XDSL - Varejo"),[7]BENEFICIOS!$A:$E,5,0)))</f>
        <v>MKT-1-9865191384</v>
      </c>
      <c r="DS10" s="69"/>
      <c r="DT10" s="70"/>
      <c r="DU10" s="64"/>
      <c r="DV10" s="65"/>
      <c r="DW10" s="71"/>
      <c r="DX10" s="64" t="str">
        <f>IF(DW10=0,"",IF(DW10=VLOOKUP("PCS-21448p2",[7]ARBOR!$A:$C,3,0),0.0001,IF(DW10&gt;VLOOKUP("PCS-21448p2",[7]ARBOR!$A:$C,3,0),"Maior que CAP!",IF((DOLLAR(DW10+(VLOOKUP("PCS-21448p2",[7]ARBOR!$A:$C,3,0)*-TRUNC(DW10/VLOOKUP("PCS-21448p2",[7]ARBOR!$A:$C,3,0)-1,4)),6))&lt;&gt;(DOLLAR(VLOOKUP("PCS-21448p2",[7]ARBOR!$A:$C,3,0),6)),-TRUNC(DW10/VLOOKUP("PCS-21448p2",[7]ARBOR!$A:$C,3,0)-1,4)+0.0001,-TRUNC(DW10/VLOOKUP("PCS-21448p2",[7]ARBOR!$A:$C,3,0)-1,4)))))</f>
        <v/>
      </c>
      <c r="DY10" s="65" t="str">
        <f>IF(ISERROR(IF(DX10="","",VLOOKUP(("Oi Conta Total Plug 10GB Downgrade"&amp;DX10&amp;"Template de desconto percentual BL Móvel - Internet Total - Varejo"),[7]BENEFICIOS!$A:$E,5,0))),"Criar",IF(DX10="","",VLOOKUP(("Oi Conta Total Plug 10GB Downgrade"&amp;DX10&amp;"Template de desconto percentual BL Móvel - Internet Total - Varejo"),[7]BENEFICIOS!$A:$E,5,0)))</f>
        <v/>
      </c>
      <c r="DZ10" s="71">
        <v>19.899999999999999</v>
      </c>
      <c r="EA10" s="72">
        <f>IF(DZ10=0,"",IF(DZ10=VLOOKUP("SVA",[7]ARBOR!$A:$C,3,0),0.0001,IF(DZ10&gt;VLOOKUP("SVA",[7]ARBOR!$A:$C,3,0),"Maior que CAP!",IF((DOLLAR(DZ10+(VLOOKUP("SVA",[7]ARBOR!$A:$C,3,0)*-TRUNC(DZ10/VLOOKUP("SVA",[7]ARBOR!$A:$C,3,0)-1,4)),6))&lt;&gt;(DOLLAR(VLOOKUP("SVA",[7]ARBOR!$A:$C,3,0),6)),-TRUNC(DZ10/VLOOKUP("SVA",[7]ARBOR!$A:$C,3,0)-1,4)+0.0001,-TRUNC(DZ10/VLOOKUP("SVA",[7]ARBOR!$A:$C,3,0)-1,4)))))</f>
        <v>7.1400000000000005E-2</v>
      </c>
      <c r="EB10" s="65" t="s">
        <v>241</v>
      </c>
      <c r="EC10" s="69"/>
      <c r="ED10" s="73"/>
      <c r="EE10" s="74"/>
      <c r="EF10" s="65"/>
      <c r="EG10" s="75">
        <f>IF(BI10="","",VLOOKUP(BI10,[7]ARBOR!A:C,3,0))</f>
        <v>479.46</v>
      </c>
      <c r="EH10" s="69">
        <v>15</v>
      </c>
      <c r="EI10" s="76">
        <f>IF(EH10="","",1-(EH10/VLOOKUP(BI10&amp;"ASS",[7]ARBOR!A:C,3,0)))</f>
        <v>0.34725848563968664</v>
      </c>
      <c r="EJ10" s="77" t="s">
        <v>224</v>
      </c>
      <c r="EK10" s="78" t="s">
        <v>225</v>
      </c>
      <c r="EL10" s="69">
        <v>154.54999999999998</v>
      </c>
      <c r="EM10" s="64">
        <f>ROUND(IF(EL10=0,"",IF(EL10=EG10,0.0001,1-((EL10+(VLOOKUP(BI10&amp;"ASS",[7]ARBOR!A:C,3,0)-EH10))/EG10))),4)</f>
        <v>0.66100000000000003</v>
      </c>
      <c r="EN10" s="65" t="str">
        <f>IF(ISERROR(IF(EM10="","",VLOOKUP(($BH10&amp;EM10&amp;"Template de desconto percentual FLAT Móvel - Conta Total - Varejo - Ganho Tributário Cross"),[7]BENEFICIOS!$A:$E,5,0))),"Criar",IF(EM10="","",VLOOKUP(($BH10&amp;EM10&amp;"Template de desconto percentual FLAT Móvel - Conta Total - Varejo - Ganho Tributário Cross"),[7]BENEFICIOS!$A:$E,5,0)))</f>
        <v>Criar</v>
      </c>
      <c r="EO10" s="79"/>
      <c r="EP10" s="64"/>
      <c r="EQ10" s="72"/>
      <c r="ER10" s="72"/>
      <c r="ES10" s="64"/>
      <c r="ET10" s="80"/>
      <c r="EU10" s="81" t="s">
        <v>244</v>
      </c>
      <c r="EV10" s="81" t="s">
        <v>256</v>
      </c>
      <c r="EW10" s="82"/>
      <c r="EX10" s="83"/>
      <c r="EY10" s="84"/>
      <c r="EZ10" s="82"/>
      <c r="FA10" s="83"/>
      <c r="FB10" s="84"/>
      <c r="FC10" s="82"/>
      <c r="FD10" s="83" t="str">
        <f>IF(FC10=0,"",IF(FC10=VLOOKUP("PCS-10357",[7]ARBOR!$A:$C,3,0),0.0001,IF(FC10&gt;VLOOKUP("PCS-10357",[7]ARBOR!$A:$C,3,0),"Maior que CAP!",ROUND(-1*(FC10/VLOOKUP("PCS-10357",[7]ARBOR!$A:$C,3,0)-1),4))))</f>
        <v/>
      </c>
      <c r="FE10" s="84" t="str">
        <f>IF(ISERROR(IF(FD10="","",VLOOKUP(("Oi Internet Pra Celular 1GB"&amp;FD10&amp;"Template Flat Instância Dados"),[7]BENEFICIOS!$A:$E,5,0))),"Criar",IF(FD10="","",VLOOKUP(("Oi Internet Pra Celular 1GB"&amp;FD10&amp;"Template Flat Instância Dados"),[7]BENEFICIOS!$A:$E,5,0)))</f>
        <v/>
      </c>
      <c r="FF10" s="82"/>
      <c r="FG10" s="83" t="str">
        <f>IF(FF10=0,"",IF(FF10=VLOOKUP("PCS-813565",[7]ARBOR!$A:$C,3,0),0.0001,IF(FF10&gt;VLOOKUP("PCS-813565",[7]ARBOR!$A:$C,3,0),"Maior que CAP!",ROUND(-1*(FF10/VLOOKUP("PCS-813565",[7]ARBOR!$A:$C,3,0)-1),4))))</f>
        <v/>
      </c>
      <c r="FH10" s="84" t="str">
        <f>IF(ISERROR(IF(FG10="","",VLOOKUP(("Oi Internet Pra Celular 2GB"&amp;FG10&amp;"Template Flat Instância Dados"),[7]BENEFICIOS!$A:$E,5,0))),"Criar",IF(FG10="","",VLOOKUP(("Oi Internet Pra Celular 2GB"&amp;FG10&amp;"Template Flat Instância Dados"),[7]BENEFICIOS!$A:$E,5,0)))</f>
        <v/>
      </c>
      <c r="FI10" s="82">
        <v>12.35</v>
      </c>
      <c r="FJ10" s="83">
        <f>IF(FI10=0,"",IF(FI10=VLOOKUP("PCS-7171B",[7]ARBOR!$A:$C,3,0),0.0001,IF(FI10&gt;VLOOKUP("PCS-7171B",[7]ARBOR!$A:$C,3,0),"Maior que CAP!",ROUND(-1*(FI10/VLOOKUP("PCS-7171B",[7]ARBOR!$A:$C,3,0)-1),4))))</f>
        <v>0.87419999999999998</v>
      </c>
      <c r="FK10" s="84" t="str">
        <f>IF(ISERROR(IF(FJ10="","",VLOOKUP(("Oi Internet Pra Celular 3GB"&amp;FJ10&amp;"Template Flat Instância Dados"),[7]BENEFICIOS!$A:$E,5,0))),"Criar",IF(FJ10="","",VLOOKUP(("Oi Internet Pra Celular 3GB"&amp;FJ10&amp;"Template Flat Instância Dados"),[7]BENEFICIOS!$A:$E,5,0)))</f>
        <v>MKT-1-9870092975</v>
      </c>
      <c r="FL10" s="82"/>
      <c r="FM10" s="83" t="str">
        <f>IF(FL10=0,"",IF(FL10=VLOOKUP("PCS-51793o08",[7]ARBOR!$A:$C,3,0),0.0001,IF(FL10&gt;VLOOKUP("PCS-51793o08",[7]ARBOR!$A:$C,3,0),"Maior que CAP!",ROUND(-1*(FL10/VLOOKUP("PCS-51793o08",[7]ARBOR!$A:$C,3,0)-1),4))))</f>
        <v/>
      </c>
      <c r="FN10" s="84" t="str">
        <f>IF(ISERROR(IF(FM10="","",VLOOKUP(("Oi Internet Pra Celular 5GB"&amp;FM10&amp;"Template Flat Instância Dados"),[7]BENEFICIOS!$A:$E,5,0))),"Criar",IF(FM10="","",VLOOKUP(("Oi Internet Pra Celular 5GB"&amp;FM10&amp;"Template Flat Instância Dados"),[7]BENEFICIOS!$A:$E,5,0)))</f>
        <v/>
      </c>
      <c r="FO10" s="82"/>
      <c r="FP10" s="83" t="str">
        <f>IF(FO10=0,"",IF(FO10=VLOOKUP("PCS-7171A",[7]ARBOR!$A:$C,3,0),0.0001,IF(FO10&gt;VLOOKUP("PCS-7171A",[7]ARBOR!$A:$C,3,0),"Maior que CAP!",ROUND(-1*(FO10/VLOOKUP("PCS-7171A",[7]ARBOR!$A:$C,3,0)-1),4))))</f>
        <v/>
      </c>
      <c r="FQ10" s="84" t="str">
        <f>IF(ISERROR(IF(FP10="","",VLOOKUP(("Oi Internet Pra Celular 10GB"&amp;FP10&amp;"Template Flat Instância Dados"),[7]BENEFICIOS!$A:$E,5,0))),"Criar",IF(FP10="","",VLOOKUP(("Oi Internet Pra Celular 10GB"&amp;FP10&amp;"Template Flat Instância Dados"),[7]BENEFICIOS!$A:$E,5,0)))</f>
        <v/>
      </c>
      <c r="FR10" s="85">
        <v>0.74219999999999997</v>
      </c>
      <c r="FS10" s="86" t="s">
        <v>246</v>
      </c>
      <c r="FT10" s="48"/>
      <c r="FU10" s="87"/>
      <c r="FV10" s="88" t="s">
        <v>221</v>
      </c>
      <c r="FW10" s="49" t="s">
        <v>226</v>
      </c>
      <c r="FX10" s="89">
        <v>999</v>
      </c>
      <c r="FY10" s="49">
        <v>12</v>
      </c>
      <c r="FZ10" s="90" t="s">
        <v>227</v>
      </c>
      <c r="GA10" s="91" t="str">
        <f t="shared" si="1"/>
        <v>PCS-Fk83324</v>
      </c>
      <c r="GB10" s="92" t="str">
        <f t="shared" si="2"/>
        <v>PCS-SBL553142</v>
      </c>
      <c r="GC10" s="93" t="s">
        <v>228</v>
      </c>
      <c r="GD10" s="90" t="s">
        <v>229</v>
      </c>
      <c r="GE10" s="92" t="s">
        <v>230</v>
      </c>
      <c r="GF10" s="93" t="s">
        <v>231</v>
      </c>
      <c r="GG10" s="90" t="s">
        <v>232</v>
      </c>
      <c r="GH10" s="92" t="s">
        <v>233</v>
      </c>
      <c r="GI10" s="94" t="s">
        <v>234</v>
      </c>
      <c r="GJ10" s="95">
        <f>FI10+EL10+CN10+BJ10</f>
        <v>266.89999999999998</v>
      </c>
      <c r="GK10" s="96"/>
      <c r="GL10" s="97" t="s">
        <v>235</v>
      </c>
      <c r="GM10" s="98" t="s">
        <v>236</v>
      </c>
      <c r="GN10" s="97">
        <f>VLOOKUP($A10,'[7]TABELA COM TUDO'!$A:$AB,25,0)</f>
        <v>14</v>
      </c>
      <c r="GO10" s="99">
        <f>VLOOKUP($A10,'[7]TABELA COM TUDO'!$A:$AB,26,0)</f>
        <v>3.61</v>
      </c>
      <c r="GP10" s="100">
        <f t="shared" si="8"/>
        <v>0.74209999999999998</v>
      </c>
      <c r="GQ10" s="97">
        <f t="shared" si="4"/>
        <v>10.38</v>
      </c>
      <c r="GR10" s="97">
        <f t="shared" si="5"/>
        <v>3.6199999999999992</v>
      </c>
      <c r="GS10" s="101"/>
      <c r="GT10" s="101"/>
      <c r="GU10" s="102" t="b">
        <f t="shared" si="6"/>
        <v>0</v>
      </c>
      <c r="GV10" s="103">
        <f t="shared" si="7"/>
        <v>9.9999999999993427E-3</v>
      </c>
      <c r="GW10" s="44" t="s">
        <v>259</v>
      </c>
      <c r="GX10" s="44" t="s">
        <v>238</v>
      </c>
    </row>
    <row r="11" spans="1:206" s="44" customFormat="1" x14ac:dyDescent="0.35">
      <c r="A11" s="44" t="str">
        <f t="shared" si="0"/>
        <v>Oi Total Fixo + Pós 800 + Banda LargaN15GBMG</v>
      </c>
      <c r="B11" s="45" t="s">
        <v>211</v>
      </c>
      <c r="C11" s="46" t="s">
        <v>127</v>
      </c>
      <c r="D11" s="46" t="s">
        <v>212</v>
      </c>
      <c r="E11" s="47" t="s">
        <v>213</v>
      </c>
      <c r="F11" s="48" t="s">
        <v>214</v>
      </c>
      <c r="G11" s="49"/>
      <c r="H11" s="49"/>
      <c r="I11" s="49"/>
      <c r="J11" s="49" t="s">
        <v>214</v>
      </c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 t="s">
        <v>214</v>
      </c>
      <c r="AC11" s="49" t="s">
        <v>214</v>
      </c>
      <c r="AD11" s="49" t="s">
        <v>214</v>
      </c>
      <c r="AE11" s="49" t="s">
        <v>214</v>
      </c>
      <c r="AF11" s="49" t="s">
        <v>214</v>
      </c>
      <c r="AG11" s="49" t="s">
        <v>214</v>
      </c>
      <c r="AH11" s="50"/>
      <c r="AI11" s="49" t="s">
        <v>214</v>
      </c>
      <c r="AJ11" s="49" t="s">
        <v>214</v>
      </c>
      <c r="AK11" s="49" t="s">
        <v>214</v>
      </c>
      <c r="AL11" s="49" t="s">
        <v>214</v>
      </c>
      <c r="AM11" s="49" t="s">
        <v>214</v>
      </c>
      <c r="AN11" s="49" t="s">
        <v>214</v>
      </c>
      <c r="AO11" s="49" t="s">
        <v>214</v>
      </c>
      <c r="AP11" s="49"/>
      <c r="AQ11" s="51"/>
      <c r="AR11" s="52" t="s">
        <v>260</v>
      </c>
      <c r="AS11" s="46" t="s">
        <v>216</v>
      </c>
      <c r="AT11" s="53" t="s">
        <v>217</v>
      </c>
      <c r="AU11" s="54">
        <v>42972</v>
      </c>
      <c r="AV11" s="55">
        <v>43038</v>
      </c>
      <c r="AW11" s="56" t="s">
        <v>218</v>
      </c>
      <c r="AX11" s="57" t="s">
        <v>218</v>
      </c>
      <c r="AY11" s="58"/>
      <c r="AZ11" s="58" t="s">
        <v>219</v>
      </c>
      <c r="BA11" s="58">
        <v>20</v>
      </c>
      <c r="BB11" s="58">
        <v>10000</v>
      </c>
      <c r="BC11" s="59" t="s">
        <v>220</v>
      </c>
      <c r="BD11" s="60" t="s">
        <v>221</v>
      </c>
      <c r="BE11" s="58" t="s">
        <v>213</v>
      </c>
      <c r="BF11" s="51" t="s">
        <v>213</v>
      </c>
      <c r="BG11" s="45" t="s">
        <v>260</v>
      </c>
      <c r="BH11" s="61" t="s">
        <v>222</v>
      </c>
      <c r="BI11" s="62" t="str">
        <f>IF(ISERROR(VLOOKUP(BH11,[7]PLANOS!B:C,2,0)),"",VLOOKUP(BH11,[7]PLANOS!B:C,2,0))</f>
        <v>PCS-4P6pi</v>
      </c>
      <c r="BJ11" s="63">
        <v>50.1</v>
      </c>
      <c r="BK11" s="64">
        <f>IF(BJ11=0,"",IF(BJ11=VLOOKUP("FIXO",[7]ARBOR!$A:$C,3,0),0.0001,IF(BJ11&gt;VLOOKUP("FIXO",[7]ARBOR!$A:$C,3,0),"Maior que CAP!",IF((DOLLAR(BJ11+(VLOOKUP("FIXO",[7]ARBOR!$A:$C,3,0)*-TRUNC(BJ11/VLOOKUP("FIXO",[7]ARBOR!$A:$C,3,0)-1,4)),6))&lt;&gt;(DOLLAR(VLOOKUP("FIXO",[7]ARBOR!$A:$C,3,0),6)),-TRUNC(BJ11/VLOOKUP("FIXO",[7]ARBOR!$A:$C,3,0)-1,4)+0.0001,-TRUNC(BJ11/VLOOKUP("FIXO",[7]ARBOR!$A:$C,3,0)-1,4)))))</f>
        <v>0.33939999999999998</v>
      </c>
      <c r="BL11" s="65" t="str">
        <f>IF(ISERROR(IF(BK11="","",VLOOKUP(($BH11&amp;BK11&amp;"Template de desconto FLAT bundle - Fixo - Varejo - Ganho Tributário Cross"),[7]BENEFICIOS!$A:$E,5,0))),"Criar",IF(BK11="","",VLOOKUP(($BH11&amp;BK11&amp;"Template de desconto FLAT bundle - Fixo - Varejo - Ganho Tributário Cross"),[7]BENEFICIOS!$A:$E,5,0)))</f>
        <v>MKT-1-9856472058</v>
      </c>
      <c r="BM11" s="66"/>
      <c r="BN11" s="67"/>
      <c r="BO11" s="68" t="s">
        <v>161</v>
      </c>
      <c r="BP11" s="69">
        <v>44.9</v>
      </c>
      <c r="BQ11" s="64">
        <f>IF(BP11=0,"",IF(BP11=VLOOKUP("PCS-30874g",[7]ARBOR!$A:$C,3,0),0.0001,IF(BP11&gt;VLOOKUP("PCS-30874g",[7]ARBOR!$A:$C,3,0),"Maior que CAP!",IF((DOLLAR(BP11+(VLOOKUP("PCS-30874g",[7]ARBOR!$A:$C,3,0)*-TRUNC(BP11/VLOOKUP("PCS-30874g",[7]ARBOR!$A:$C,3,0)-1,4)),6))&lt;&gt;(DOLLAR(VLOOKUP("PCS-30874g",[7]ARBOR!$A:$C,3,0),6)),-TRUNC(BP11/VLOOKUP("PCS-30874g",[7]ARBOR!$A:$C,3,0)-1,4)+0.0001,-TRUNC(BP11/VLOOKUP("PCS-30874g",[7]ARBOR!$A:$C,3,0)-1,4)))))</f>
        <v>0.53679999999999994</v>
      </c>
      <c r="BR11" s="65" t="str">
        <f>IF(ISERROR(IF(BQ11="","",VLOOKUP(($BH11&amp;BQ11&amp;"Template de desconto FLAT bundle - Velox XDSL - Varejo"),[7]BENEFICIOS!$A:$E,5,0))),"Criar",IF(BQ11="","",VLOOKUP(($BH11&amp;BQ11&amp;"Template de desconto FLAT bundle - Velox XDSL - Varejo"),[7]BENEFICIOS!$A:$E,5,0)))</f>
        <v>MKT-1-9865126733</v>
      </c>
      <c r="BS11" s="68" t="s">
        <v>161</v>
      </c>
      <c r="BT11" s="69">
        <v>44.9</v>
      </c>
      <c r="BU11" s="64">
        <f>IF(BT11=0,"",IF(BT11=VLOOKUP("PCS-30577g",[7]ARBOR!$A:$C,3,0),0.0001,IF(BT11&gt;VLOOKUP("PCS-30577g",[7]ARBOR!$A:$C,3,0),"Maior que CAP!",IF((DOLLAR(BT11+(VLOOKUP("PCS-30577g",[7]ARBOR!$A:$C,3,0)*-TRUNC(BT11/VLOOKUP("PCS-30577g",[7]ARBOR!$A:$C,3,0)-1,4)),6))&lt;&gt;(DOLLAR(VLOOKUP("PCS-30577g",[7]ARBOR!$A:$C,3,0),6)),-TRUNC(BT11/VLOOKUP("PCS-30577g",[7]ARBOR!$A:$C,3,0)-1,4)+0.0001,-TRUNC(BT11/VLOOKUP("PCS-30577g",[7]ARBOR!$A:$C,3,0)-1,4)))))</f>
        <v>0.53679999999999994</v>
      </c>
      <c r="BV11" s="65" t="str">
        <f>IF(ISERROR(IF(BU11="","",VLOOKUP(($BH11&amp;BU11&amp;"Template de desconto FLAT bundle - Velox XDSL - Varejo"),[7]BENEFICIOS!$A:$E,5,0))),"Criar",IF(BU11="","",VLOOKUP(($BH11&amp;BU11&amp;"Template de desconto FLAT bundle - Velox XDSL - Varejo"),[7]BENEFICIOS!$A:$E,5,0)))</f>
        <v>MKT-1-9865126733</v>
      </c>
      <c r="BW11" s="68" t="s">
        <v>161</v>
      </c>
      <c r="BX11" s="69">
        <v>44.9</v>
      </c>
      <c r="BY11" s="64">
        <f>IF(BX11=0,"",IF(BX11=VLOOKUP("PCS-30604g",[7]ARBOR!$A:$C,3,0),0.0001,IF(BX11&gt;VLOOKUP("PCS-30604g",[7]ARBOR!$A:$C,3,0),"Maior que CAP!",IF((DOLLAR(BX11+(VLOOKUP("PCS-30604g",[7]ARBOR!$A:$C,3,0)*-TRUNC(BX11/VLOOKUP("PCS-30604g",[7]ARBOR!$A:$C,3,0)-1,4)),6))&lt;&gt;(DOLLAR(VLOOKUP("PCS-30604g",[7]ARBOR!$A:$C,3,0),6)),-TRUNC(BX11/VLOOKUP("PCS-30604g",[7]ARBOR!$A:$C,3,0)-1,4)+0.0001,-TRUNC(BX11/VLOOKUP("PCS-30604g",[7]ARBOR!$A:$C,3,0)-1,4)))))</f>
        <v>0.53679999999999994</v>
      </c>
      <c r="BZ11" s="65" t="str">
        <f>IF(ISERROR(IF(BY11="","",VLOOKUP(($BH11&amp;BY11&amp;"Template de desconto FLAT bundle - Velox XDSL - Varejo"),[7]BENEFICIOS!$A:$E,5,0))),"Criar",IF(BY11="","",VLOOKUP(($BH11&amp;BY11&amp;"Template de desconto FLAT bundle - Velox XDSL - Varejo"),[7]BENEFICIOS!$A:$E,5,0)))</f>
        <v>MKT-1-9865126733</v>
      </c>
      <c r="CA11" s="68" t="s">
        <v>161</v>
      </c>
      <c r="CB11" s="69">
        <v>44.9</v>
      </c>
      <c r="CC11" s="64">
        <f>IF(CB11=0,"",IF(CB11=VLOOKUP("PCS-30631g",[7]ARBOR!$A:$C,3,0),0.0001,IF(CB11&gt;VLOOKUP("PCS-30631g",[7]ARBOR!$A:$C,3,0),"Maior que CAP!",IF((DOLLAR(CB11+(VLOOKUP("PCS-30631g",[7]ARBOR!$A:$C,3,0)*-TRUNC(CB11/VLOOKUP("PCS-30631g",[7]ARBOR!$A:$C,3,0)-1,4)),6))&lt;&gt;(DOLLAR(VLOOKUP("PCS-30631g",[7]ARBOR!$A:$C,3,0),6)),-TRUNC(CB11/VLOOKUP("PCS-30631g",[7]ARBOR!$A:$C,3,0)-1,4)+0.0001,-TRUNC(CB11/VLOOKUP("PCS-30631g",[7]ARBOR!$A:$C,3,0)-1,4)))))</f>
        <v>0.54310000000000003</v>
      </c>
      <c r="CD11" s="65" t="str">
        <f>IF(ISERROR(IF(CC11="","",VLOOKUP(($BH11&amp;CC11&amp;"Template de desconto FLAT bundle - Velox XDSL - Varejo"),[7]BENEFICIOS!$A:$E,5,0))),"Criar",IF(CC11="","",VLOOKUP(($BH11&amp;CC11&amp;"Template de desconto FLAT bundle - Velox XDSL - Varejo"),[7]BENEFICIOS!$A:$E,5,0)))</f>
        <v>MKT-1-9865126826</v>
      </c>
      <c r="CE11" s="68"/>
      <c r="CF11" s="69"/>
      <c r="CG11" s="64" t="str">
        <f>IF(CF11=0,"",IF(CF11=VLOOKUP("PCS-30658g",[7]ARBOR!$A:$C,3,0),0.0001,IF(CF11&gt;VLOOKUP("PCS-30658g",[7]ARBOR!$A:$C,3,0),"Maior que CAP!",IF((DOLLAR(CF11+(VLOOKUP("PCS-30658g",[7]ARBOR!$A:$C,3,0)*-TRUNC(CF11/VLOOKUP("PCS-30658g",[7]ARBOR!$A:$C,3,0)-1,4)),6))&lt;&gt;(DOLLAR(VLOOKUP("PCS-30658g",[7]ARBOR!$A:$C,3,0),6)),-TRUNC(CF11/VLOOKUP("PCS-30658g",[7]ARBOR!$A:$C,3,0)-1,4)+0.0001,-TRUNC(CF11/VLOOKUP("PCS-30658g",[7]ARBOR!$A:$C,3,0)-1,4)))))</f>
        <v/>
      </c>
      <c r="CH11" s="65" t="str">
        <f>IF(ISERROR(IF(CG11="","",VLOOKUP(($BH11&amp;CG11&amp;"Template de desconto FLAT bundle - Velox XDSL - Varejo"),[7]BENEFICIOS!$A:$E,5,0))),"Criar",IF(CG11="","",VLOOKUP(($BH11&amp;CG11&amp;"Template de desconto FLAT bundle - Velox XDSL - Varejo"),[7]BENEFICIOS!$A:$E,5,0)))</f>
        <v/>
      </c>
      <c r="CI11" s="68"/>
      <c r="CJ11" s="69"/>
      <c r="CK11" s="64" t="str">
        <f>IF(CJ11=0,"",IF(CJ11=VLOOKUP("PCS-30685g",[7]ARBOR!$A:$C,3,0),0.0001,IF(CJ11&gt;VLOOKUP("PCS-30685g",[7]ARBOR!$A:$C,3,0),"Maior que CAP!",IF((DOLLAR(CJ11+(VLOOKUP("PCS-30685g",[7]ARBOR!$A:$C,3,0)*-TRUNC(CJ11/VLOOKUP("PCS-30685g",[7]ARBOR!$A:$C,3,0)-1,4)),6))&lt;&gt;(DOLLAR(VLOOKUP("PCS-30685g",[7]ARBOR!$A:$C,3,0),6)),-TRUNC(CJ11/VLOOKUP("PCS-30685g",[7]ARBOR!$A:$C,3,0)-1,4)+0.0001,-TRUNC(CJ11/VLOOKUP("PCS-30685g",[7]ARBOR!$A:$C,3,0)-1,4)))))</f>
        <v/>
      </c>
      <c r="CL11" s="65" t="str">
        <f>IF(ISERROR(IF(CK11="","",VLOOKUP(($BH11&amp;CK11&amp;"Template de desconto FLAT bundle - Velox XDSL - Varejo"),[7]BENEFICIOS!$A:$E,5,0))),"Criar",IF(CK11="","",VLOOKUP(($BH11&amp;CK11&amp;"Template de desconto FLAT bundle - Velox XDSL - Varejo"),[7]BENEFICIOS!$A:$E,5,0)))</f>
        <v/>
      </c>
      <c r="CM11" s="68"/>
      <c r="CN11" s="69"/>
      <c r="CO11" s="64" t="str">
        <f>IF(CN11=0,"",IF(CN11=VLOOKUP("PCS-30712g",[7]ARBOR!$A:$C,3,0),0.0001,IF(CN11&gt;VLOOKUP("PCS-30712g",[7]ARBOR!$A:$C,3,0),"Maior que CAP!",IF((DOLLAR(CN11+(VLOOKUP("PCS-30712g",[7]ARBOR!$A:$C,3,0)*-TRUNC(CN11/VLOOKUP("PCS-30712g",[7]ARBOR!$A:$C,3,0)-1,4)),6))&lt;&gt;(DOLLAR(VLOOKUP("PCS-30712g",[7]ARBOR!$A:$C,3,0),6)),-TRUNC(CN11/VLOOKUP("PCS-30712g",[7]ARBOR!$A:$C,3,0)-1,4)+0.0001,-TRUNC(CN11/VLOOKUP("PCS-30712g",[7]ARBOR!$A:$C,3,0)-1,4)))))</f>
        <v/>
      </c>
      <c r="CP11" s="65" t="str">
        <f>IF(ISERROR(IF(CO11="","",VLOOKUP(($BH11&amp;CO11&amp;"Template de desconto FLAT bundle - Velox XDSL - Varejo"),[7]BENEFICIOS!$A:$E,5,0))),"Criar",IF(CO11="","",VLOOKUP(($BH11&amp;CO11&amp;"Template de desconto FLAT bundle - Velox XDSL - Varejo"),[7]BENEFICIOS!$A:$E,5,0)))</f>
        <v/>
      </c>
      <c r="CQ11" s="68"/>
      <c r="CR11" s="69"/>
      <c r="CS11" s="64" t="str">
        <f>IF(CR11=0,"",IF(CR11=VLOOKUP("PCS-30739g",[7]ARBOR!$A:$C,3,0),0.0001,IF(CR11&gt;VLOOKUP("PCS-30739g",[7]ARBOR!$A:$C,3,0),"Maior que CAP!",IF((DOLLAR(CR11+(VLOOKUP("PCS-30739g",[7]ARBOR!$A:$C,3,0)*-TRUNC(CR11/VLOOKUP("PCS-30739g",[7]ARBOR!$A:$C,3,0)-1,4)),6))&lt;&gt;(DOLLAR(VLOOKUP("PCS-30739g",[7]ARBOR!$A:$C,3,0),6)),-TRUNC(CR11/VLOOKUP("PCS-30739g",[7]ARBOR!$A:$C,3,0)-1,4)+0.0001,-TRUNC(CR11/VLOOKUP("PCS-30739g",[7]ARBOR!$A:$C,3,0)-1,4)))))</f>
        <v/>
      </c>
      <c r="CT11" s="65" t="str">
        <f>IF(ISERROR(IF(CS11="","",VLOOKUP(($BH11&amp;CS11&amp;"Template de desconto FLAT bundle - Velox XDSL - Varejo"),[7]BENEFICIOS!$A:$E,5,0))),"Criar",IF(CS11="","",VLOOKUP(($BH11&amp;CS11&amp;"Template de desconto FLAT bundle - Velox XDSL - Varejo"),[7]BENEFICIOS!$A:$E,5,0)))</f>
        <v/>
      </c>
      <c r="CU11" s="69"/>
      <c r="CV11" s="70"/>
      <c r="CW11" s="64"/>
      <c r="CX11" s="65"/>
      <c r="CY11" s="68"/>
      <c r="CZ11" s="69"/>
      <c r="DA11" s="64" t="str">
        <f>IF(CZ11=0,"",IF(CZ11=VLOOKUP("PCS-30766g",[7]ARBOR!$A:$C,3,0),0.0001,IF(CZ11&gt;VLOOKUP("PCS-30766g",[7]ARBOR!$A:$C,3,0),"Maior que CAP!",IF((DOLLAR(CZ11+(VLOOKUP("PCS-30766g",[7]ARBOR!$A:$C,3,0)*-TRUNC(CZ11/VLOOKUP("PCS-30766g",[7]ARBOR!$A:$C,3,0)-1,4)),6))&lt;&gt;(DOLLAR(VLOOKUP("PCS-30766g",[7]ARBOR!$A:$C,3,0),6)),-TRUNC(CZ11/VLOOKUP("PCS-30766g",[7]ARBOR!$A:$C,3,0)-1,4)+0.0001,-TRUNC(CZ11/VLOOKUP("PCS-30766g",[7]ARBOR!$A:$C,3,0)-1,4)))))</f>
        <v/>
      </c>
      <c r="DB11" s="65" t="str">
        <f>IF(ISERROR(IF(DA11="","",VLOOKUP(($BH11&amp;DA11&amp;"Template de desconto FLAT bundle - Velox XDSL - Varejo"),[7]BENEFICIOS!$A:$E,5,0))),"Criar",IF(DA11="","",VLOOKUP(($BH11&amp;DA11&amp;"Template de desconto FLAT bundle - Velox XDSL - Varejo"),[7]BENEFICIOS!$A:$E,5,0)))</f>
        <v/>
      </c>
      <c r="DC11" s="69"/>
      <c r="DD11" s="70"/>
      <c r="DE11" s="64"/>
      <c r="DF11" s="65"/>
      <c r="DG11" s="68"/>
      <c r="DH11" s="69"/>
      <c r="DI11" s="64" t="str">
        <f>IF(DH11=0,"",IF(DH11=VLOOKUP("PCS-30793g",[7]ARBOR!$A:$C,3,0),0.0001,IF(DH11&gt;VLOOKUP("PCS-30793g",[7]ARBOR!$A:$C,3,0),"Maior que CAP!",IF((DOLLAR(DH11+(VLOOKUP("PCS-30793g",[7]ARBOR!$A:$C,3,0)*-TRUNC(DH11/VLOOKUP("PCS-30793g",[7]ARBOR!$A:$C,3,0)-1,4)),6))&lt;&gt;(DOLLAR(VLOOKUP("PCS-30793g",[7]ARBOR!$A:$C,3,0),6)),-TRUNC(DH11/VLOOKUP("PCS-30793g",[7]ARBOR!$A:$C,3,0)-1,4)+0.0001,-TRUNC(DH11/VLOOKUP("PCS-30793g",[7]ARBOR!$A:$C,3,0)-1,4)))))</f>
        <v/>
      </c>
      <c r="DJ11" s="65" t="str">
        <f>IF(ISERROR(IF(DI11="","",VLOOKUP(($BH11&amp;DI11&amp;"Template de desconto FLAT bundle - Velox XDSL - Varejo"),[7]BENEFICIOS!$A:$E,5,0))),"Criar",IF(DI11="","",VLOOKUP(($BH11&amp;DI11&amp;"Template de desconto FLAT bundle - Velox XDSL - Varejo"),[7]BENEFICIOS!$A:$E,5,0)))</f>
        <v/>
      </c>
      <c r="DK11" s="69"/>
      <c r="DL11" s="70"/>
      <c r="DM11" s="64"/>
      <c r="DN11" s="65"/>
      <c r="DO11" s="68"/>
      <c r="DP11" s="69"/>
      <c r="DQ11" s="64" t="str">
        <f>IF(DP11=0,"",IF(DP11=VLOOKUP("PCS-30820g",[7]ARBOR!$A:$C,3,0),0.0001,IF(DP11&gt;VLOOKUP("PCS-30820g",[7]ARBOR!$A:$C,3,0),"Maior que CAP!",IF((DOLLAR(DP11+(VLOOKUP("PCS-30820g",[7]ARBOR!$A:$C,3,0)*-TRUNC(DP11/VLOOKUP("PCS-30820g",[7]ARBOR!$A:$C,3,0)-1,4)),6))&lt;&gt;(DOLLAR(VLOOKUP("PCS-30820g",[7]ARBOR!$A:$C,3,0),6)),-TRUNC(DP11/VLOOKUP("PCS-30820g",[7]ARBOR!$A:$C,3,0)-1,4)+0.0001,-TRUNC(DP11/VLOOKUP("PCS-30820g",[7]ARBOR!$A:$C,3,0)-1,4)))))</f>
        <v/>
      </c>
      <c r="DR11" s="65" t="str">
        <f>IF(ISERROR(IF(DQ11="","",VLOOKUP(($BH11&amp;DQ11&amp;"Template de desconto FLAT bundle - Velox XDSL - Varejo"),[7]BENEFICIOS!$A:$E,5,0))),"Criar",IF(DQ11="","",VLOOKUP(($BH11&amp;DQ11&amp;"Template de desconto FLAT bundle - Velox XDSL - Varejo"),[7]BENEFICIOS!$A:$E,5,0)))</f>
        <v/>
      </c>
      <c r="DS11" s="69"/>
      <c r="DT11" s="70"/>
      <c r="DU11" s="64"/>
      <c r="DV11" s="65"/>
      <c r="DW11" s="71">
        <v>44.9</v>
      </c>
      <c r="DX11" s="64">
        <f>IF(DW11=0,"",IF(DW11=VLOOKUP("PCS-21448p2",[7]ARBOR!$A:$C,3,0),0.0001,IF(DW11&gt;VLOOKUP("PCS-21448p2",[7]ARBOR!$A:$C,3,0),"Maior que CAP!",IF((DOLLAR(DW11+(VLOOKUP("PCS-21448p2",[7]ARBOR!$A:$C,3,0)*-TRUNC(DW11/VLOOKUP("PCS-21448p2",[7]ARBOR!$A:$C,3,0)-1,4)),6))&lt;&gt;(DOLLAR(VLOOKUP("PCS-21448p2",[7]ARBOR!$A:$C,3,0),6)),-TRUNC(DW11/VLOOKUP("PCS-21448p2",[7]ARBOR!$A:$C,3,0)-1,4)+0.0001,-TRUNC(DW11/VLOOKUP("PCS-21448p2",[7]ARBOR!$A:$C,3,0)-1,4)))))</f>
        <v>0.64900000000000002</v>
      </c>
      <c r="DY11" s="65" t="str">
        <f>IF(ISERROR(IF(DX11="","",VLOOKUP(("Oi Conta Total Plug 10GB Downgrade"&amp;DX11&amp;"Template de desconto percentual BL Móvel - Internet Total - Varejo"),[7]BENEFICIOS!$A:$E,5,0))),"Criar",IF(DX11="","",VLOOKUP(("Oi Conta Total Plug 10GB Downgrade"&amp;DX11&amp;"Template de desconto percentual BL Móvel - Internet Total - Varejo"),[7]BENEFICIOS!$A:$E,5,0)))</f>
        <v>MKT-1-9825544790</v>
      </c>
      <c r="DZ11" s="71">
        <v>16.5</v>
      </c>
      <c r="EA11" s="72">
        <f>IF(DZ11=0,"",IF(DZ11=VLOOKUP("SVA",[7]ARBOR!$A:$C,3,0),0.0001,IF(DZ11&gt;VLOOKUP("SVA",[7]ARBOR!$A:$C,3,0),"Maior que CAP!",IF((DOLLAR(DZ11+(VLOOKUP("SVA",[7]ARBOR!$A:$C,3,0)*-TRUNC(DZ11/VLOOKUP("SVA",[7]ARBOR!$A:$C,3,0)-1,4)),6))&lt;&gt;(DOLLAR(VLOOKUP("SVA",[7]ARBOR!$A:$C,3,0),6)),-TRUNC(DZ11/VLOOKUP("SVA",[7]ARBOR!$A:$C,3,0)-1,4)+0.0001,-TRUNC(DZ11/VLOOKUP("SVA",[7]ARBOR!$A:$C,3,0)-1,4)))))</f>
        <v>0.2301</v>
      </c>
      <c r="EB11" s="65" t="s">
        <v>223</v>
      </c>
      <c r="EC11" s="69"/>
      <c r="ED11" s="73"/>
      <c r="EE11" s="74"/>
      <c r="EF11" s="65"/>
      <c r="EG11" s="75">
        <f>IF(BI11="","",VLOOKUP(BI11,[7]ARBOR!A:C,3,0))</f>
        <v>479.46</v>
      </c>
      <c r="EH11" s="69">
        <v>15</v>
      </c>
      <c r="EI11" s="76">
        <f>IF(EH11="","",1-(EH11/VLOOKUP(BI11&amp;"ASS",[7]ARBOR!A:C,3,0)))</f>
        <v>0.34725848563968664</v>
      </c>
      <c r="EJ11" s="77" t="s">
        <v>224</v>
      </c>
      <c r="EK11" s="78" t="s">
        <v>225</v>
      </c>
      <c r="EL11" s="69">
        <v>168.98</v>
      </c>
      <c r="EM11" s="64">
        <f>ROUND(IF(EL11=0,"",IF(EL11=EG11,0.0001,1-((EL11+(VLOOKUP(BI11&amp;"ASS",[7]ARBOR!A:C,3,0)-EH11))/EG11))),4)</f>
        <v>0.63090000000000002</v>
      </c>
      <c r="EN11" s="65" t="str">
        <f>IF(ISERROR(IF(EM11="","",VLOOKUP(($BH11&amp;EM11&amp;"Template de desconto percentual FLAT Móvel - Conta Total - Varejo - Ganho Tributário Cross"),[7]BENEFICIOS!$A:$E,5,0))),"Criar",IF(EM11="","",VLOOKUP(($BH11&amp;EM11&amp;"Template de desconto percentual FLAT Móvel - Conta Total - Varejo - Ganho Tributário Cross"),[7]BENEFICIOS!$A:$E,5,0)))</f>
        <v>Criar</v>
      </c>
      <c r="EO11" s="79"/>
      <c r="EP11" s="64"/>
      <c r="EQ11" s="72"/>
      <c r="ER11" s="72"/>
      <c r="ES11" s="64"/>
      <c r="ET11" s="80"/>
      <c r="EU11" s="81" t="s">
        <v>244</v>
      </c>
      <c r="EV11" s="81" t="s">
        <v>261</v>
      </c>
      <c r="EW11" s="82"/>
      <c r="EX11" s="83"/>
      <c r="EY11" s="84"/>
      <c r="EZ11" s="82"/>
      <c r="FA11" s="83"/>
      <c r="FB11" s="84"/>
      <c r="FC11" s="82"/>
      <c r="FD11" s="83" t="str">
        <f>IF(FC11=0,"",IF(FC11=VLOOKUP("PCS-10357",[7]ARBOR!$A:$C,3,0),0.0001,IF(FC11&gt;VLOOKUP("PCS-10357",[7]ARBOR!$A:$C,3,0),"Maior que CAP!",ROUND(-1*(FC11/VLOOKUP("PCS-10357",[7]ARBOR!$A:$C,3,0)-1),4))))</f>
        <v/>
      </c>
      <c r="FE11" s="84" t="str">
        <f>IF(ISERROR(IF(FD11="","",VLOOKUP(("Oi Internet Pra Celular 1GB"&amp;FD11&amp;"Template Flat Instância Dados"),[7]BENEFICIOS!$A:$E,5,0))),"Criar",IF(FD11="","",VLOOKUP(("Oi Internet Pra Celular 1GB"&amp;FD11&amp;"Template Flat Instância Dados"),[7]BENEFICIOS!$A:$E,5,0)))</f>
        <v/>
      </c>
      <c r="FF11" s="82"/>
      <c r="FG11" s="83" t="str">
        <f>IF(FF11=0,"",IF(FF11=VLOOKUP("PCS-813565",[7]ARBOR!$A:$C,3,0),0.0001,IF(FF11&gt;VLOOKUP("PCS-813565",[7]ARBOR!$A:$C,3,0),"Maior que CAP!",ROUND(-1*(FF11/VLOOKUP("PCS-813565",[7]ARBOR!$A:$C,3,0)-1),4))))</f>
        <v/>
      </c>
      <c r="FH11" s="84" t="str">
        <f>IF(ISERROR(IF(FG11="","",VLOOKUP(("Oi Internet Pra Celular 2GB"&amp;FG11&amp;"Template Flat Instância Dados"),[7]BENEFICIOS!$A:$E,5,0))),"Criar",IF(FG11="","",VLOOKUP(("Oi Internet Pra Celular 2GB"&amp;FG11&amp;"Template Flat Instância Dados"),[7]BENEFICIOS!$A:$E,5,0)))</f>
        <v/>
      </c>
      <c r="FI11" s="82"/>
      <c r="FJ11" s="83" t="str">
        <f>IF(FI11=0,"",IF(FI11=VLOOKUP("PCS-7171B",[7]ARBOR!$A:$C,3,0),0.0001,IF(FI11&gt;VLOOKUP("PCS-7171B",[7]ARBOR!$A:$C,3,0),"Maior que CAP!",ROUND(-1*(FI11/VLOOKUP("PCS-7171B",[7]ARBOR!$A:$C,3,0)-1),4))))</f>
        <v/>
      </c>
      <c r="FK11" s="84" t="str">
        <f>IF(ISERROR(IF(FJ11="","",VLOOKUP(("Oi Internet Pra Celular 3GB"&amp;FJ11&amp;"Template Flat Instância Dados"),[7]BENEFICIOS!$A:$E,5,0))),"Criar",IF(FJ11="","",VLOOKUP(("Oi Internet Pra Celular 3GB"&amp;FJ11&amp;"Template Flat Instância Dados"),[7]BENEFICIOS!$A:$E,5,0)))</f>
        <v/>
      </c>
      <c r="FL11" s="82">
        <v>14.92</v>
      </c>
      <c r="FM11" s="83">
        <f>IF(FL11=0,"",IF(FL11=VLOOKUP("PCS-51793o08",[7]ARBOR!$A:$C,3,0),0.0001,IF(FL11&gt;VLOOKUP("PCS-51793o08",[7]ARBOR!$A:$C,3,0),"Maior que CAP!",ROUND(-1*(FL11/VLOOKUP("PCS-51793o08",[7]ARBOR!$A:$C,3,0)-1),4))))</f>
        <v>0.89500000000000002</v>
      </c>
      <c r="FN11" s="84" t="str">
        <f>IF(ISERROR(IF(FM11="","",VLOOKUP(("Oi Internet Pra Celular 5GB"&amp;FM11&amp;"Template Flat Instância Dados"),[7]BENEFICIOS!$A:$E,5,0))),"Criar",IF(FM11="","",VLOOKUP(("Oi Internet Pra Celular 5GB"&amp;FM11&amp;"Template Flat Instância Dados"),[7]BENEFICIOS!$A:$E,5,0)))</f>
        <v>MKT-1-9870312709</v>
      </c>
      <c r="FO11" s="82"/>
      <c r="FP11" s="83" t="str">
        <f>IF(FO11=0,"",IF(FO11=VLOOKUP("PCS-7171A",[7]ARBOR!$A:$C,3,0),0.0001,IF(FO11&gt;VLOOKUP("PCS-7171A",[7]ARBOR!$A:$C,3,0),"Maior que CAP!",ROUND(-1*(FO11/VLOOKUP("PCS-7171A",[7]ARBOR!$A:$C,3,0)-1),4))))</f>
        <v/>
      </c>
      <c r="FQ11" s="84" t="str">
        <f>IF(ISERROR(IF(FP11="","",VLOOKUP(("Oi Internet Pra Celular 10GB"&amp;FP11&amp;"Template Flat Instância Dados"),[7]BENEFICIOS!$A:$E,5,0))),"Criar",IF(FP11="","",VLOOKUP(("Oi Internet Pra Celular 10GB"&amp;FP11&amp;"Template Flat Instância Dados"),[7]BENEFICIOS!$A:$E,5,0)))</f>
        <v/>
      </c>
      <c r="FR11" s="85">
        <v>0.74260000000000004</v>
      </c>
      <c r="FS11" s="86" t="s">
        <v>262</v>
      </c>
      <c r="FT11" s="48"/>
      <c r="FU11" s="87"/>
      <c r="FV11" s="88" t="s">
        <v>221</v>
      </c>
      <c r="FW11" s="49" t="s">
        <v>226</v>
      </c>
      <c r="FX11" s="89">
        <v>999</v>
      </c>
      <c r="FY11" s="49">
        <v>12</v>
      </c>
      <c r="FZ11" s="90" t="s">
        <v>227</v>
      </c>
      <c r="GA11" s="91" t="str">
        <f t="shared" si="1"/>
        <v>PCS-Fk83324</v>
      </c>
      <c r="GB11" s="92" t="str">
        <f t="shared" si="2"/>
        <v>PCS-SBL553142</v>
      </c>
      <c r="GC11" s="93" t="s">
        <v>228</v>
      </c>
      <c r="GD11" s="90" t="s">
        <v>229</v>
      </c>
      <c r="GE11" s="92" t="s">
        <v>230</v>
      </c>
      <c r="GF11" s="93" t="s">
        <v>231</v>
      </c>
      <c r="GG11" s="90" t="s">
        <v>232</v>
      </c>
      <c r="GH11" s="92" t="s">
        <v>233</v>
      </c>
      <c r="GI11" s="94" t="s">
        <v>234</v>
      </c>
      <c r="GJ11" s="95">
        <f>FL11+EL11+DW11+BJ11</f>
        <v>278.89999999999998</v>
      </c>
      <c r="GK11" s="96"/>
      <c r="GL11" s="97" t="s">
        <v>235</v>
      </c>
      <c r="GM11" s="98" t="s">
        <v>236</v>
      </c>
      <c r="GN11" s="97">
        <f>VLOOKUP($A11,'[7]TABELA COM TUDO'!$A:$AB,25,0)</f>
        <v>20.350000000000001</v>
      </c>
      <c r="GO11" s="99">
        <f>VLOOKUP($A11,'[7]TABELA COM TUDO'!$A:$AB,26,0)</f>
        <v>5.24</v>
      </c>
      <c r="GP11" s="100">
        <f t="shared" si="8"/>
        <v>0.74250000000000005</v>
      </c>
      <c r="GQ11" s="97">
        <f t="shared" si="4"/>
        <v>15.1</v>
      </c>
      <c r="GR11" s="97">
        <f t="shared" si="5"/>
        <v>5.2500000000000018</v>
      </c>
      <c r="GS11" s="101"/>
      <c r="GT11" s="101"/>
      <c r="GU11" s="102" t="b">
        <f t="shared" si="6"/>
        <v>0</v>
      </c>
      <c r="GV11" s="103">
        <f t="shared" si="7"/>
        <v>1.0000000000001563E-2</v>
      </c>
      <c r="GW11" s="44" t="s">
        <v>263</v>
      </c>
      <c r="GX11" s="44" t="s">
        <v>238</v>
      </c>
    </row>
    <row r="12" spans="1:206" s="44" customFormat="1" x14ac:dyDescent="0.35">
      <c r="A12" s="44" t="str">
        <f t="shared" si="0"/>
        <v>Oi Total Fixo + Pós 800 + Banda LargaN15GBMG</v>
      </c>
      <c r="B12" s="45" t="s">
        <v>211</v>
      </c>
      <c r="C12" s="46" t="s">
        <v>127</v>
      </c>
      <c r="D12" s="46" t="s">
        <v>212</v>
      </c>
      <c r="E12" s="47" t="s">
        <v>213</v>
      </c>
      <c r="F12" s="48" t="s">
        <v>214</v>
      </c>
      <c r="G12" s="49"/>
      <c r="H12" s="49"/>
      <c r="I12" s="49"/>
      <c r="J12" s="49" t="s">
        <v>214</v>
      </c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 t="s">
        <v>214</v>
      </c>
      <c r="AC12" s="49" t="s">
        <v>214</v>
      </c>
      <c r="AD12" s="49" t="s">
        <v>214</v>
      </c>
      <c r="AE12" s="49" t="s">
        <v>214</v>
      </c>
      <c r="AF12" s="49" t="s">
        <v>214</v>
      </c>
      <c r="AG12" s="49" t="s">
        <v>214</v>
      </c>
      <c r="AH12" s="50"/>
      <c r="AI12" s="49" t="s">
        <v>214</v>
      </c>
      <c r="AJ12" s="49" t="s">
        <v>214</v>
      </c>
      <c r="AK12" s="49" t="s">
        <v>214</v>
      </c>
      <c r="AL12" s="49" t="s">
        <v>214</v>
      </c>
      <c r="AM12" s="49" t="s">
        <v>214</v>
      </c>
      <c r="AN12" s="49" t="s">
        <v>214</v>
      </c>
      <c r="AO12" s="49" t="s">
        <v>214</v>
      </c>
      <c r="AP12" s="49"/>
      <c r="AQ12" s="51"/>
      <c r="AR12" s="52" t="s">
        <v>264</v>
      </c>
      <c r="AS12" s="46" t="s">
        <v>216</v>
      </c>
      <c r="AT12" s="53" t="s">
        <v>217</v>
      </c>
      <c r="AU12" s="54">
        <v>42972</v>
      </c>
      <c r="AV12" s="55">
        <v>43038</v>
      </c>
      <c r="AW12" s="56" t="s">
        <v>218</v>
      </c>
      <c r="AX12" s="57" t="s">
        <v>218</v>
      </c>
      <c r="AY12" s="58"/>
      <c r="AZ12" s="58" t="s">
        <v>219</v>
      </c>
      <c r="BA12" s="58">
        <v>20</v>
      </c>
      <c r="BB12" s="58">
        <v>10000</v>
      </c>
      <c r="BC12" s="59" t="s">
        <v>220</v>
      </c>
      <c r="BD12" s="60" t="s">
        <v>221</v>
      </c>
      <c r="BE12" s="58" t="s">
        <v>213</v>
      </c>
      <c r="BF12" s="51" t="s">
        <v>213</v>
      </c>
      <c r="BG12" s="45" t="s">
        <v>264</v>
      </c>
      <c r="BH12" s="61" t="s">
        <v>222</v>
      </c>
      <c r="BI12" s="62" t="str">
        <f>IF(ISERROR(VLOOKUP(BH12,[7]PLANOS!B:C,2,0)),"",VLOOKUP(BH12,[7]PLANOS!B:C,2,0))</f>
        <v>PCS-4P6pi</v>
      </c>
      <c r="BJ12" s="63">
        <v>50.1</v>
      </c>
      <c r="BK12" s="64">
        <f>IF(BJ12=0,"",IF(BJ12=VLOOKUP("FIXO",[7]ARBOR!$A:$C,3,0),0.0001,IF(BJ12&gt;VLOOKUP("FIXO",[7]ARBOR!$A:$C,3,0),"Maior que CAP!",IF((DOLLAR(BJ12+(VLOOKUP("FIXO",[7]ARBOR!$A:$C,3,0)*-TRUNC(BJ12/VLOOKUP("FIXO",[7]ARBOR!$A:$C,3,0)-1,4)),6))&lt;&gt;(DOLLAR(VLOOKUP("FIXO",[7]ARBOR!$A:$C,3,0),6)),-TRUNC(BJ12/VLOOKUP("FIXO",[7]ARBOR!$A:$C,3,0)-1,4)+0.0001,-TRUNC(BJ12/VLOOKUP("FIXO",[7]ARBOR!$A:$C,3,0)-1,4)))))</f>
        <v>0.33939999999999998</v>
      </c>
      <c r="BL12" s="65" t="str">
        <f>IF(ISERROR(IF(BK12="","",VLOOKUP(($BH12&amp;BK12&amp;"Template de desconto FLAT bundle - Fixo - Varejo - Ganho Tributário Cross"),[7]BENEFICIOS!$A:$E,5,0))),"Criar",IF(BK12="","",VLOOKUP(($BH12&amp;BK12&amp;"Template de desconto FLAT bundle - Fixo - Varejo - Ganho Tributário Cross"),[7]BENEFICIOS!$A:$E,5,0)))</f>
        <v>MKT-1-9856472058</v>
      </c>
      <c r="BM12" s="66"/>
      <c r="BN12" s="67"/>
      <c r="BO12" s="104" t="s">
        <v>240</v>
      </c>
      <c r="BP12" s="69">
        <v>44.9</v>
      </c>
      <c r="BQ12" s="64">
        <f>IF(BP12=0,"",IF(BP12=VLOOKUP("PCS-30874g",[7]ARBOR!$A:$C,3,0),0.0001,IF(BP12&gt;VLOOKUP("PCS-30874g",[7]ARBOR!$A:$C,3,0),"Maior que CAP!",IF((DOLLAR(BP12+(VLOOKUP("PCS-30874g",[7]ARBOR!$A:$C,3,0)*-TRUNC(BP12/VLOOKUP("PCS-30874g",[7]ARBOR!$A:$C,3,0)-1,4)),6))&lt;&gt;(DOLLAR(VLOOKUP("PCS-30874g",[7]ARBOR!$A:$C,3,0),6)),-TRUNC(BP12/VLOOKUP("PCS-30874g",[7]ARBOR!$A:$C,3,0)-1,4)+0.0001,-TRUNC(BP12/VLOOKUP("PCS-30874g",[7]ARBOR!$A:$C,3,0)-1,4)))))</f>
        <v>0.53679999999999994</v>
      </c>
      <c r="BR12" s="65" t="str">
        <f>IF(ISERROR(IF(BQ12="","",VLOOKUP(($BH12&amp;BQ12&amp;"Template de desconto FLAT bundle - Velox XDSL - Varejo"),[7]BENEFICIOS!$A:$E,5,0))),"Criar",IF(BQ12="","",VLOOKUP(($BH12&amp;BQ12&amp;"Template de desconto FLAT bundle - Velox XDSL - Varejo"),[7]BENEFICIOS!$A:$E,5,0)))</f>
        <v>MKT-1-9865126733</v>
      </c>
      <c r="BS12" s="104" t="s">
        <v>240</v>
      </c>
      <c r="BT12" s="69">
        <v>44.9</v>
      </c>
      <c r="BU12" s="64">
        <f>IF(BT12=0,"",IF(BT12=VLOOKUP("PCS-30577g",[7]ARBOR!$A:$C,3,0),0.0001,IF(BT12&gt;VLOOKUP("PCS-30577g",[7]ARBOR!$A:$C,3,0),"Maior que CAP!",IF((DOLLAR(BT12+(VLOOKUP("PCS-30577g",[7]ARBOR!$A:$C,3,0)*-TRUNC(BT12/VLOOKUP("PCS-30577g",[7]ARBOR!$A:$C,3,0)-1,4)),6))&lt;&gt;(DOLLAR(VLOOKUP("PCS-30577g",[7]ARBOR!$A:$C,3,0),6)),-TRUNC(BT12/VLOOKUP("PCS-30577g",[7]ARBOR!$A:$C,3,0)-1,4)+0.0001,-TRUNC(BT12/VLOOKUP("PCS-30577g",[7]ARBOR!$A:$C,3,0)-1,4)))))</f>
        <v>0.53679999999999994</v>
      </c>
      <c r="BV12" s="65" t="str">
        <f>IF(ISERROR(IF(BU12="","",VLOOKUP(($BH12&amp;BU12&amp;"Template de desconto FLAT bundle - Velox XDSL - Varejo"),[7]BENEFICIOS!$A:$E,5,0))),"Criar",IF(BU12="","",VLOOKUP(($BH12&amp;BU12&amp;"Template de desconto FLAT bundle - Velox XDSL - Varejo"),[7]BENEFICIOS!$A:$E,5,0)))</f>
        <v>MKT-1-9865126733</v>
      </c>
      <c r="BW12" s="104" t="s">
        <v>240</v>
      </c>
      <c r="BX12" s="69">
        <v>44.9</v>
      </c>
      <c r="BY12" s="64">
        <f>IF(BX12=0,"",IF(BX12=VLOOKUP("PCS-30604g",[7]ARBOR!$A:$C,3,0),0.0001,IF(BX12&gt;VLOOKUP("PCS-30604g",[7]ARBOR!$A:$C,3,0),"Maior que CAP!",IF((DOLLAR(BX12+(VLOOKUP("PCS-30604g",[7]ARBOR!$A:$C,3,0)*-TRUNC(BX12/VLOOKUP("PCS-30604g",[7]ARBOR!$A:$C,3,0)-1,4)),6))&lt;&gt;(DOLLAR(VLOOKUP("PCS-30604g",[7]ARBOR!$A:$C,3,0),6)),-TRUNC(BX12/VLOOKUP("PCS-30604g",[7]ARBOR!$A:$C,3,0)-1,4)+0.0001,-TRUNC(BX12/VLOOKUP("PCS-30604g",[7]ARBOR!$A:$C,3,0)-1,4)))))</f>
        <v>0.53679999999999994</v>
      </c>
      <c r="BZ12" s="65" t="str">
        <f>IF(ISERROR(IF(BY12="","",VLOOKUP(($BH12&amp;BY12&amp;"Template de desconto FLAT bundle - Velox XDSL - Varejo"),[7]BENEFICIOS!$A:$E,5,0))),"Criar",IF(BY12="","",VLOOKUP(($BH12&amp;BY12&amp;"Template de desconto FLAT bundle - Velox XDSL - Varejo"),[7]BENEFICIOS!$A:$E,5,0)))</f>
        <v>MKT-1-9865126733</v>
      </c>
      <c r="CA12" s="104" t="s">
        <v>240</v>
      </c>
      <c r="CB12" s="69">
        <v>44.9</v>
      </c>
      <c r="CC12" s="64">
        <f>IF(CB12=0,"",IF(CB12=VLOOKUP("PCS-30631g",[7]ARBOR!$A:$C,3,0),0.0001,IF(CB12&gt;VLOOKUP("PCS-30631g",[7]ARBOR!$A:$C,3,0),"Maior que CAP!",IF((DOLLAR(CB12+(VLOOKUP("PCS-30631g",[7]ARBOR!$A:$C,3,0)*-TRUNC(CB12/VLOOKUP("PCS-30631g",[7]ARBOR!$A:$C,3,0)-1,4)),6))&lt;&gt;(DOLLAR(VLOOKUP("PCS-30631g",[7]ARBOR!$A:$C,3,0),6)),-TRUNC(CB12/VLOOKUP("PCS-30631g",[7]ARBOR!$A:$C,3,0)-1,4)+0.0001,-TRUNC(CB12/VLOOKUP("PCS-30631g",[7]ARBOR!$A:$C,3,0)-1,4)))))</f>
        <v>0.54310000000000003</v>
      </c>
      <c r="CD12" s="65" t="str">
        <f>IF(ISERROR(IF(CC12="","",VLOOKUP(($BH12&amp;CC12&amp;"Template de desconto FLAT bundle - Velox XDSL - Varejo"),[7]BENEFICIOS!$A:$E,5,0))),"Criar",IF(CC12="","",VLOOKUP(($BH12&amp;CC12&amp;"Template de desconto FLAT bundle - Velox XDSL - Varejo"),[7]BENEFICIOS!$A:$E,5,0)))</f>
        <v>MKT-1-9865126826</v>
      </c>
      <c r="CE12" s="68" t="s">
        <v>161</v>
      </c>
      <c r="CF12" s="69">
        <v>49.9</v>
      </c>
      <c r="CG12" s="64">
        <f>IF(CF12=0,"",IF(CF12=VLOOKUP("PCS-30658g",[7]ARBOR!$A:$C,3,0),0.0001,IF(CF12&gt;VLOOKUP("PCS-30658g",[7]ARBOR!$A:$C,3,0),"Maior que CAP!",IF((DOLLAR(CF12+(VLOOKUP("PCS-30658g",[7]ARBOR!$A:$C,3,0)*-TRUNC(CF12/VLOOKUP("PCS-30658g",[7]ARBOR!$A:$C,3,0)-1,4)),6))&lt;&gt;(DOLLAR(VLOOKUP("PCS-30658g",[7]ARBOR!$A:$C,3,0),6)),-TRUNC(CF12/VLOOKUP("PCS-30658g",[7]ARBOR!$A:$C,3,0)-1,4)+0.0001,-TRUNC(CF12/VLOOKUP("PCS-30658g",[7]ARBOR!$A:$C,3,0)-1,4)))))</f>
        <v>0.55569999999999997</v>
      </c>
      <c r="CH12" s="65" t="str">
        <f>IF(ISERROR(IF(CG12="","",VLOOKUP(($BH12&amp;CG12&amp;"Template de desconto FLAT bundle - Velox XDSL - Varejo"),[7]BENEFICIOS!$A:$E,5,0))),"Criar",IF(CG12="","",VLOOKUP(($BH12&amp;CG12&amp;"Template de desconto FLAT bundle - Velox XDSL - Varejo"),[7]BENEFICIOS!$A:$E,5,0)))</f>
        <v>MKT-1-9865126919</v>
      </c>
      <c r="CI12" s="68" t="s">
        <v>161</v>
      </c>
      <c r="CJ12" s="69">
        <v>49.9</v>
      </c>
      <c r="CK12" s="64">
        <f>IF(CJ12=0,"",IF(CJ12=VLOOKUP("PCS-30685g",[7]ARBOR!$A:$C,3,0),0.0001,IF(CJ12&gt;VLOOKUP("PCS-30685g",[7]ARBOR!$A:$C,3,0),"Maior que CAP!",IF((DOLLAR(CJ12+(VLOOKUP("PCS-30685g",[7]ARBOR!$A:$C,3,0)*-TRUNC(CJ12/VLOOKUP("PCS-30685g",[7]ARBOR!$A:$C,3,0)-1,4)),6))&lt;&gt;(DOLLAR(VLOOKUP("PCS-30685g",[7]ARBOR!$A:$C,3,0),6)),-TRUNC(CJ12/VLOOKUP("PCS-30685g",[7]ARBOR!$A:$C,3,0)-1,4)+0.0001,-TRUNC(CJ12/VLOOKUP("PCS-30685g",[7]ARBOR!$A:$C,3,0)-1,4)))))</f>
        <v>0.60509999999999997</v>
      </c>
      <c r="CL12" s="65" t="str">
        <f>IF(ISERROR(IF(CK12="","",VLOOKUP(($BH12&amp;CK12&amp;"Template de desconto FLAT bundle - Velox XDSL - Varejo"),[7]BENEFICIOS!$A:$E,5,0))),"Criar",IF(CK12="","",VLOOKUP(($BH12&amp;CK12&amp;"Template de desconto FLAT bundle - Velox XDSL - Varejo"),[7]BENEFICIOS!$A:$E,5,0)))</f>
        <v>MKT-1-9865694381</v>
      </c>
      <c r="CM12" s="68" t="s">
        <v>161</v>
      </c>
      <c r="CN12" s="69">
        <v>49.9</v>
      </c>
      <c r="CO12" s="64">
        <f>IF(CN12=0,"",IF(CN12=VLOOKUP("PCS-30712g",[7]ARBOR!$A:$C,3,0),0.0001,IF(CN12&gt;VLOOKUP("PCS-30712g",[7]ARBOR!$A:$C,3,0),"Maior que CAP!",IF((DOLLAR(CN12+(VLOOKUP("PCS-30712g",[7]ARBOR!$A:$C,3,0)*-TRUNC(CN12/VLOOKUP("PCS-30712g",[7]ARBOR!$A:$C,3,0)-1,4)),6))&lt;&gt;(DOLLAR(VLOOKUP("PCS-30712g",[7]ARBOR!$A:$C,3,0),6)),-TRUNC(CN12/VLOOKUP("PCS-30712g",[7]ARBOR!$A:$C,3,0)-1,4)+0.0001,-TRUNC(CN12/VLOOKUP("PCS-30712g",[7]ARBOR!$A:$C,3,0)-1,4)))))</f>
        <v>0.64459999999999995</v>
      </c>
      <c r="CP12" s="65" t="str">
        <f>IF(ISERROR(IF(CO12="","",VLOOKUP(($BH12&amp;CO12&amp;"Template de desconto FLAT bundle - Velox XDSL - Varejo"),[7]BENEFICIOS!$A:$E,5,0))),"Criar",IF(CO12="","",VLOOKUP(($BH12&amp;CO12&amp;"Template de desconto FLAT bundle - Velox XDSL - Varejo"),[7]BENEFICIOS!$A:$E,5,0)))</f>
        <v>MKT-1-9865191105</v>
      </c>
      <c r="CQ12" s="68" t="s">
        <v>161</v>
      </c>
      <c r="CR12" s="69">
        <v>59.9</v>
      </c>
      <c r="CS12" s="64">
        <f>IF(CR12=0,"",IF(CR12=VLOOKUP("PCS-30739g",[7]ARBOR!$A:$C,3,0),0.0001,IF(CR12&gt;VLOOKUP("PCS-30739g",[7]ARBOR!$A:$C,3,0),"Maior que CAP!",IF((DOLLAR(CR12+(VLOOKUP("PCS-30739g",[7]ARBOR!$A:$C,3,0)*-TRUNC(CR12/VLOOKUP("PCS-30739g",[7]ARBOR!$A:$C,3,0)-1,4)),6))&lt;&gt;(DOLLAR(VLOOKUP("PCS-30739g",[7]ARBOR!$A:$C,3,0),6)),-TRUNC(CR12/VLOOKUP("PCS-30739g",[7]ARBOR!$A:$C,3,0)-1,4)+0.0001,-TRUNC(CR12/VLOOKUP("PCS-30739g",[7]ARBOR!$A:$C,3,0)-1,4)))))</f>
        <v>0.71560000000000001</v>
      </c>
      <c r="CT12" s="65" t="str">
        <f>IF(ISERROR(IF(CS12="","",VLOOKUP(($BH12&amp;CS12&amp;"Template de desconto FLAT bundle - Velox XDSL - Varejo"),[7]BENEFICIOS!$A:$E,5,0))),"Criar",IF(CS12="","",VLOOKUP(($BH12&amp;CS12&amp;"Template de desconto FLAT bundle - Velox XDSL - Varejo"),[7]BENEFICIOS!$A:$E,5,0)))</f>
        <v>MKT-1-9865191198</v>
      </c>
      <c r="CU12" s="69"/>
      <c r="CV12" s="70"/>
      <c r="CW12" s="64"/>
      <c r="CX12" s="65"/>
      <c r="CY12" s="68" t="s">
        <v>161</v>
      </c>
      <c r="CZ12" s="69">
        <v>59.9</v>
      </c>
      <c r="DA12" s="64">
        <f>IF(CZ12=0,"",IF(CZ12=VLOOKUP("PCS-30766g",[7]ARBOR!$A:$C,3,0),0.0001,IF(CZ12&gt;VLOOKUP("PCS-30766g",[7]ARBOR!$A:$C,3,0),"Maior que CAP!",IF((DOLLAR(CZ12+(VLOOKUP("PCS-30766g",[7]ARBOR!$A:$C,3,0)*-TRUNC(CZ12/VLOOKUP("PCS-30766g",[7]ARBOR!$A:$C,3,0)-1,4)),6))&lt;&gt;(DOLLAR(VLOOKUP("PCS-30766g",[7]ARBOR!$A:$C,3,0),6)),-TRUNC(CZ12/VLOOKUP("PCS-30766g",[7]ARBOR!$A:$C,3,0)-1,4)+0.0001,-TRUNC(CZ12/VLOOKUP("PCS-30766g",[7]ARBOR!$A:$C,3,0)-1,4)))))</f>
        <v>0.78669999999999995</v>
      </c>
      <c r="DB12" s="65" t="str">
        <f>IF(ISERROR(IF(DA12="","",VLOOKUP(($BH12&amp;DA12&amp;"Template de desconto FLAT bundle - Velox XDSL - Varejo"),[7]BENEFICIOS!$A:$E,5,0))),"Criar",IF(DA12="","",VLOOKUP(($BH12&amp;DA12&amp;"Template de desconto FLAT bundle - Velox XDSL - Varejo"),[7]BENEFICIOS!$A:$E,5,0)))</f>
        <v>MKT-1-9865191291</v>
      </c>
      <c r="DC12" s="69"/>
      <c r="DD12" s="70"/>
      <c r="DE12" s="64"/>
      <c r="DF12" s="65"/>
      <c r="DG12" s="68" t="s">
        <v>240</v>
      </c>
      <c r="DH12" s="69">
        <v>69.900000000000006</v>
      </c>
      <c r="DI12" s="64">
        <f>IF(DH12=0,"",IF(DH12=VLOOKUP("PCS-30793g",[7]ARBOR!$A:$C,3,0),0.0001,IF(DH12&gt;VLOOKUP("PCS-30793g",[7]ARBOR!$A:$C,3,0),"Maior que CAP!",IF((DOLLAR(DH12+(VLOOKUP("PCS-30793g",[7]ARBOR!$A:$C,3,0)*-TRUNC(DH12/VLOOKUP("PCS-30793g",[7]ARBOR!$A:$C,3,0)-1,4)),6))&lt;&gt;(DOLLAR(VLOOKUP("PCS-30793g",[7]ARBOR!$A:$C,3,0),6)),-TRUNC(DH12/VLOOKUP("PCS-30793g",[7]ARBOR!$A:$C,3,0)-1,4)+0.0001,-TRUNC(DH12/VLOOKUP("PCS-30793g",[7]ARBOR!$A:$C,3,0)-1,4)))))</f>
        <v>0.75109999999999999</v>
      </c>
      <c r="DJ12" s="65" t="str">
        <f>IF(ISERROR(IF(DI12="","",VLOOKUP(($BH12&amp;DI12&amp;"Template de desconto FLAT bundle - Velox XDSL - Varejo"),[7]BENEFICIOS!$A:$E,5,0))),"Criar",IF(DI12="","",VLOOKUP(($BH12&amp;DI12&amp;"Template de desconto FLAT bundle - Velox XDSL - Varejo"),[7]BENEFICIOS!$A:$E,5,0)))</f>
        <v>MKT-1-9865191384</v>
      </c>
      <c r="DK12" s="69"/>
      <c r="DL12" s="70"/>
      <c r="DM12" s="64"/>
      <c r="DN12" s="65"/>
      <c r="DO12" s="68" t="s">
        <v>161</v>
      </c>
      <c r="DP12" s="69">
        <v>69.900000000000006</v>
      </c>
      <c r="DQ12" s="64">
        <f>IF(DP12=0,"",IF(DP12=VLOOKUP("PCS-30820g",[7]ARBOR!$A:$C,3,0),0.0001,IF(DP12&gt;VLOOKUP("PCS-30820g",[7]ARBOR!$A:$C,3,0),"Maior que CAP!",IF((DOLLAR(DP12+(VLOOKUP("PCS-30820g",[7]ARBOR!$A:$C,3,0)*-TRUNC(DP12/VLOOKUP("PCS-30820g",[7]ARBOR!$A:$C,3,0)-1,4)),6))&lt;&gt;(DOLLAR(VLOOKUP("PCS-30820g",[7]ARBOR!$A:$C,3,0),6)),-TRUNC(DP12/VLOOKUP("PCS-30820g",[7]ARBOR!$A:$C,3,0)-1,4)+0.0001,-TRUNC(DP12/VLOOKUP("PCS-30820g",[7]ARBOR!$A:$C,3,0)-1,4)))))</f>
        <v>0.75109999999999999</v>
      </c>
      <c r="DR12" s="65" t="str">
        <f>IF(ISERROR(IF(DQ12="","",VLOOKUP(($BH12&amp;DQ12&amp;"Template de desconto FLAT bundle - Velox XDSL - Varejo"),[7]BENEFICIOS!$A:$E,5,0))),"Criar",IF(DQ12="","",VLOOKUP(($BH12&amp;DQ12&amp;"Template de desconto FLAT bundle - Velox XDSL - Varejo"),[7]BENEFICIOS!$A:$E,5,0)))</f>
        <v>MKT-1-9865191384</v>
      </c>
      <c r="DS12" s="69"/>
      <c r="DT12" s="70"/>
      <c r="DU12" s="64"/>
      <c r="DV12" s="65"/>
      <c r="DW12" s="71"/>
      <c r="DX12" s="64" t="str">
        <f>IF(DW12=0,"",IF(DW12=VLOOKUP("PCS-21448p2",[7]ARBOR!$A:$C,3,0),0.0001,IF(DW12&gt;VLOOKUP("PCS-21448p2",[7]ARBOR!$A:$C,3,0),"Maior que CAP!",IF((DOLLAR(DW12+(VLOOKUP("PCS-21448p2",[7]ARBOR!$A:$C,3,0)*-TRUNC(DW12/VLOOKUP("PCS-21448p2",[7]ARBOR!$A:$C,3,0)-1,4)),6))&lt;&gt;(DOLLAR(VLOOKUP("PCS-21448p2",[7]ARBOR!$A:$C,3,0),6)),-TRUNC(DW12/VLOOKUP("PCS-21448p2",[7]ARBOR!$A:$C,3,0)-1,4)+0.0001,-TRUNC(DW12/VLOOKUP("PCS-21448p2",[7]ARBOR!$A:$C,3,0)-1,4)))))</f>
        <v/>
      </c>
      <c r="DY12" s="65" t="str">
        <f>IF(ISERROR(IF(DX12="","",VLOOKUP(("Oi Conta Total Plug 10GB Downgrade"&amp;DX12&amp;"Template de desconto percentual BL Móvel - Internet Total - Varejo"),[7]BENEFICIOS!$A:$E,5,0))),"Criar",IF(DX12="","",VLOOKUP(("Oi Conta Total Plug 10GB Downgrade"&amp;DX12&amp;"Template de desconto percentual BL Móvel - Internet Total - Varejo"),[7]BENEFICIOS!$A:$E,5,0)))</f>
        <v/>
      </c>
      <c r="DZ12" s="71">
        <v>19.899999999999999</v>
      </c>
      <c r="EA12" s="72">
        <f>IF(DZ12=0,"",IF(DZ12=VLOOKUP("SVA",[7]ARBOR!$A:$C,3,0),0.0001,IF(DZ12&gt;VLOOKUP("SVA",[7]ARBOR!$A:$C,3,0),"Maior que CAP!",IF((DOLLAR(DZ12+(VLOOKUP("SVA",[7]ARBOR!$A:$C,3,0)*-TRUNC(DZ12/VLOOKUP("SVA",[7]ARBOR!$A:$C,3,0)-1,4)),6))&lt;&gt;(DOLLAR(VLOOKUP("SVA",[7]ARBOR!$A:$C,3,0),6)),-TRUNC(DZ12/VLOOKUP("SVA",[7]ARBOR!$A:$C,3,0)-1,4)+0.0001,-TRUNC(DZ12/VLOOKUP("SVA",[7]ARBOR!$A:$C,3,0)-1,4)))))</f>
        <v>7.1400000000000005E-2</v>
      </c>
      <c r="EB12" s="65" t="s">
        <v>241</v>
      </c>
      <c r="EC12" s="69"/>
      <c r="ED12" s="73"/>
      <c r="EE12" s="74"/>
      <c r="EF12" s="65"/>
      <c r="EG12" s="75">
        <f>IF(BI12="","",VLOOKUP(BI12,[7]ARBOR!A:C,3,0))</f>
        <v>479.46</v>
      </c>
      <c r="EH12" s="69">
        <v>15</v>
      </c>
      <c r="EI12" s="76">
        <f>IF(EH12="","",1-(EH12/VLOOKUP(BI12&amp;"ASS",[7]ARBOR!A:C,3,0)))</f>
        <v>0.34725848563968664</v>
      </c>
      <c r="EJ12" s="77" t="s">
        <v>224</v>
      </c>
      <c r="EK12" s="78" t="s">
        <v>225</v>
      </c>
      <c r="EL12" s="69">
        <v>168.98</v>
      </c>
      <c r="EM12" s="64">
        <f>ROUND(IF(EL12=0,"",IF(EL12=EG12,0.0001,1-((EL12+(VLOOKUP(BI12&amp;"ASS",[7]ARBOR!A:C,3,0)-EH12))/EG12))),4)</f>
        <v>0.63090000000000002</v>
      </c>
      <c r="EN12" s="65" t="str">
        <f>IF(ISERROR(IF(EM12="","",VLOOKUP(($BH12&amp;EM12&amp;"Template de desconto percentual FLAT Móvel - Conta Total - Varejo - Ganho Tributário Cross"),[7]BENEFICIOS!$A:$E,5,0))),"Criar",IF(EM12="","",VLOOKUP(($BH12&amp;EM12&amp;"Template de desconto percentual FLAT Móvel - Conta Total - Varejo - Ganho Tributário Cross"),[7]BENEFICIOS!$A:$E,5,0)))</f>
        <v>Criar</v>
      </c>
      <c r="EO12" s="79"/>
      <c r="EP12" s="64"/>
      <c r="EQ12" s="72"/>
      <c r="ER12" s="72"/>
      <c r="ES12" s="64"/>
      <c r="ET12" s="80"/>
      <c r="EU12" s="81" t="s">
        <v>244</v>
      </c>
      <c r="EV12" s="81" t="s">
        <v>261</v>
      </c>
      <c r="EW12" s="82"/>
      <c r="EX12" s="83"/>
      <c r="EY12" s="84"/>
      <c r="EZ12" s="82"/>
      <c r="FA12" s="83"/>
      <c r="FB12" s="84"/>
      <c r="FC12" s="82"/>
      <c r="FD12" s="83" t="str">
        <f>IF(FC12=0,"",IF(FC12=VLOOKUP("PCS-10357",[7]ARBOR!$A:$C,3,0),0.0001,IF(FC12&gt;VLOOKUP("PCS-10357",[7]ARBOR!$A:$C,3,0),"Maior que CAP!",ROUND(-1*(FC12/VLOOKUP("PCS-10357",[7]ARBOR!$A:$C,3,0)-1),4))))</f>
        <v/>
      </c>
      <c r="FE12" s="84" t="str">
        <f>IF(ISERROR(IF(FD12="","",VLOOKUP(("Oi Internet Pra Celular 1GB"&amp;FD12&amp;"Template Flat Instância Dados"),[7]BENEFICIOS!$A:$E,5,0))),"Criar",IF(FD12="","",VLOOKUP(("Oi Internet Pra Celular 1GB"&amp;FD12&amp;"Template Flat Instância Dados"),[7]BENEFICIOS!$A:$E,5,0)))</f>
        <v/>
      </c>
      <c r="FF12" s="82"/>
      <c r="FG12" s="83" t="str">
        <f>IF(FF12=0,"",IF(FF12=VLOOKUP("PCS-813565",[7]ARBOR!$A:$C,3,0),0.0001,IF(FF12&gt;VLOOKUP("PCS-813565",[7]ARBOR!$A:$C,3,0),"Maior que CAP!",ROUND(-1*(FF12/VLOOKUP("PCS-813565",[7]ARBOR!$A:$C,3,0)-1),4))))</f>
        <v/>
      </c>
      <c r="FH12" s="84" t="str">
        <f>IF(ISERROR(IF(FG12="","",VLOOKUP(("Oi Internet Pra Celular 2GB"&amp;FG12&amp;"Template Flat Instância Dados"),[7]BENEFICIOS!$A:$E,5,0))),"Criar",IF(FG12="","",VLOOKUP(("Oi Internet Pra Celular 2GB"&amp;FG12&amp;"Template Flat Instância Dados"),[7]BENEFICIOS!$A:$E,5,0)))</f>
        <v/>
      </c>
      <c r="FI12" s="82"/>
      <c r="FJ12" s="83" t="str">
        <f>IF(FI12=0,"",IF(FI12=VLOOKUP("PCS-7171B",[7]ARBOR!$A:$C,3,0),0.0001,IF(FI12&gt;VLOOKUP("PCS-7171B",[7]ARBOR!$A:$C,3,0),"Maior que CAP!",ROUND(-1*(FI12/VLOOKUP("PCS-7171B",[7]ARBOR!$A:$C,3,0)-1),4))))</f>
        <v/>
      </c>
      <c r="FK12" s="84" t="str">
        <f>IF(ISERROR(IF(FJ12="","",VLOOKUP(("Oi Internet Pra Celular 3GB"&amp;FJ12&amp;"Template Flat Instância Dados"),[7]BENEFICIOS!$A:$E,5,0))),"Criar",IF(FJ12="","",VLOOKUP(("Oi Internet Pra Celular 3GB"&amp;FJ12&amp;"Template Flat Instância Dados"),[7]BENEFICIOS!$A:$E,5,0)))</f>
        <v/>
      </c>
      <c r="FL12" s="82">
        <v>14.92</v>
      </c>
      <c r="FM12" s="83">
        <f>IF(FL12=0,"",IF(FL12=VLOOKUP("PCS-51793o08",[7]ARBOR!$A:$C,3,0),0.0001,IF(FL12&gt;VLOOKUP("PCS-51793o08",[7]ARBOR!$A:$C,3,0),"Maior que CAP!",ROUND(-1*(FL12/VLOOKUP("PCS-51793o08",[7]ARBOR!$A:$C,3,0)-1),4))))</f>
        <v>0.89500000000000002</v>
      </c>
      <c r="FN12" s="84" t="str">
        <f>IF(ISERROR(IF(FM12="","",VLOOKUP(("Oi Internet Pra Celular 5GB"&amp;FM12&amp;"Template Flat Instância Dados"),[7]BENEFICIOS!$A:$E,5,0))),"Criar",IF(FM12="","",VLOOKUP(("Oi Internet Pra Celular 5GB"&amp;FM12&amp;"Template Flat Instância Dados"),[7]BENEFICIOS!$A:$E,5,0)))</f>
        <v>MKT-1-9870312709</v>
      </c>
      <c r="FO12" s="82"/>
      <c r="FP12" s="83" t="str">
        <f>IF(FO12=0,"",IF(FO12=VLOOKUP("PCS-7171A",[7]ARBOR!$A:$C,3,0),0.0001,IF(FO12&gt;VLOOKUP("PCS-7171A",[7]ARBOR!$A:$C,3,0),"Maior que CAP!",ROUND(-1*(FO12/VLOOKUP("PCS-7171A",[7]ARBOR!$A:$C,3,0)-1),4))))</f>
        <v/>
      </c>
      <c r="FQ12" s="84" t="str">
        <f>IF(ISERROR(IF(FP12="","",VLOOKUP(("Oi Internet Pra Celular 10GB"&amp;FP12&amp;"Template Flat Instância Dados"),[7]BENEFICIOS!$A:$E,5,0))),"Criar",IF(FP12="","",VLOOKUP(("Oi Internet Pra Celular 10GB"&amp;FP12&amp;"Template Flat Instância Dados"),[7]BENEFICIOS!$A:$E,5,0)))</f>
        <v/>
      </c>
      <c r="FR12" s="85">
        <v>0.74260000000000004</v>
      </c>
      <c r="FS12" s="86" t="s">
        <v>262</v>
      </c>
      <c r="FT12" s="48"/>
      <c r="FU12" s="87"/>
      <c r="FV12" s="88" t="s">
        <v>221</v>
      </c>
      <c r="FW12" s="49" t="s">
        <v>226</v>
      </c>
      <c r="FX12" s="89">
        <v>999</v>
      </c>
      <c r="FY12" s="49">
        <v>12</v>
      </c>
      <c r="FZ12" s="90" t="s">
        <v>227</v>
      </c>
      <c r="GA12" s="91" t="str">
        <f t="shared" si="1"/>
        <v>PCS-Fk83324</v>
      </c>
      <c r="GB12" s="92" t="str">
        <f t="shared" si="2"/>
        <v>PCS-SBL553142</v>
      </c>
      <c r="GC12" s="93" t="s">
        <v>228</v>
      </c>
      <c r="GD12" s="90" t="s">
        <v>229</v>
      </c>
      <c r="GE12" s="92" t="s">
        <v>230</v>
      </c>
      <c r="GF12" s="93" t="s">
        <v>231</v>
      </c>
      <c r="GG12" s="90" t="s">
        <v>232</v>
      </c>
      <c r="GH12" s="92" t="s">
        <v>233</v>
      </c>
      <c r="GI12" s="94" t="s">
        <v>234</v>
      </c>
      <c r="GJ12" s="95">
        <f>FL12+EL12+CN12+BJ12</f>
        <v>283.89999999999998</v>
      </c>
      <c r="GK12" s="96"/>
      <c r="GL12" s="97" t="s">
        <v>235</v>
      </c>
      <c r="GM12" s="98" t="s">
        <v>236</v>
      </c>
      <c r="GN12" s="97">
        <f>VLOOKUP($A12,'[7]TABELA COM TUDO'!$A:$AB,25,0)</f>
        <v>20.350000000000001</v>
      </c>
      <c r="GO12" s="99">
        <f>VLOOKUP($A12,'[7]TABELA COM TUDO'!$A:$AB,26,0)</f>
        <v>5.24</v>
      </c>
      <c r="GP12" s="100">
        <f t="shared" si="8"/>
        <v>0.74250000000000005</v>
      </c>
      <c r="GQ12" s="97">
        <f t="shared" si="4"/>
        <v>15.1</v>
      </c>
      <c r="GR12" s="97">
        <f t="shared" si="5"/>
        <v>5.2500000000000018</v>
      </c>
      <c r="GS12" s="101"/>
      <c r="GT12" s="101"/>
      <c r="GU12" s="102" t="b">
        <f t="shared" si="6"/>
        <v>0</v>
      </c>
      <c r="GV12" s="103">
        <f t="shared" si="7"/>
        <v>1.0000000000001563E-2</v>
      </c>
      <c r="GW12" s="44" t="s">
        <v>265</v>
      </c>
      <c r="GX12" s="44" t="s">
        <v>238</v>
      </c>
    </row>
    <row r="13" spans="1:206" s="44" customFormat="1" x14ac:dyDescent="0.35">
      <c r="A13" s="44" t="str">
        <f t="shared" si="0"/>
        <v>Oi Total Fixo + Pós 800 + Banda LargaN110GBMG</v>
      </c>
      <c r="B13" s="45" t="s">
        <v>211</v>
      </c>
      <c r="C13" s="46" t="s">
        <v>127</v>
      </c>
      <c r="D13" s="46" t="s">
        <v>212</v>
      </c>
      <c r="E13" s="47" t="s">
        <v>213</v>
      </c>
      <c r="F13" s="48" t="s">
        <v>214</v>
      </c>
      <c r="G13" s="49"/>
      <c r="H13" s="49"/>
      <c r="I13" s="49"/>
      <c r="J13" s="49" t="s">
        <v>214</v>
      </c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 t="s">
        <v>214</v>
      </c>
      <c r="AC13" s="49" t="s">
        <v>214</v>
      </c>
      <c r="AD13" s="49" t="s">
        <v>214</v>
      </c>
      <c r="AE13" s="49" t="s">
        <v>214</v>
      </c>
      <c r="AF13" s="49" t="s">
        <v>214</v>
      </c>
      <c r="AG13" s="49" t="s">
        <v>214</v>
      </c>
      <c r="AH13" s="50"/>
      <c r="AI13" s="49" t="s">
        <v>214</v>
      </c>
      <c r="AJ13" s="49" t="s">
        <v>214</v>
      </c>
      <c r="AK13" s="49" t="s">
        <v>214</v>
      </c>
      <c r="AL13" s="49" t="s">
        <v>214</v>
      </c>
      <c r="AM13" s="49" t="s">
        <v>214</v>
      </c>
      <c r="AN13" s="49" t="s">
        <v>214</v>
      </c>
      <c r="AO13" s="49" t="s">
        <v>214</v>
      </c>
      <c r="AP13" s="49"/>
      <c r="AQ13" s="51"/>
      <c r="AR13" s="52" t="s">
        <v>266</v>
      </c>
      <c r="AS13" s="46" t="s">
        <v>216</v>
      </c>
      <c r="AT13" s="53" t="s">
        <v>217</v>
      </c>
      <c r="AU13" s="54">
        <v>42972</v>
      </c>
      <c r="AV13" s="55">
        <v>43038</v>
      </c>
      <c r="AW13" s="56" t="s">
        <v>218</v>
      </c>
      <c r="AX13" s="57" t="s">
        <v>218</v>
      </c>
      <c r="AY13" s="58"/>
      <c r="AZ13" s="58" t="s">
        <v>219</v>
      </c>
      <c r="BA13" s="58">
        <v>20</v>
      </c>
      <c r="BB13" s="58">
        <v>10000</v>
      </c>
      <c r="BC13" s="59" t="s">
        <v>220</v>
      </c>
      <c r="BD13" s="60" t="s">
        <v>221</v>
      </c>
      <c r="BE13" s="58" t="s">
        <v>213</v>
      </c>
      <c r="BF13" s="51" t="s">
        <v>213</v>
      </c>
      <c r="BG13" s="45" t="s">
        <v>266</v>
      </c>
      <c r="BH13" s="61" t="s">
        <v>222</v>
      </c>
      <c r="BI13" s="62" t="str">
        <f>IF(ISERROR(VLOOKUP(BH13,[7]PLANOS!B:C,2,0)),"",VLOOKUP(BH13,[7]PLANOS!B:C,2,0))</f>
        <v>PCS-4P6pi</v>
      </c>
      <c r="BJ13" s="63">
        <v>50.1</v>
      </c>
      <c r="BK13" s="64">
        <f>IF(BJ13=0,"",IF(BJ13=VLOOKUP("FIXO",[7]ARBOR!$A:$C,3,0),0.0001,IF(BJ13&gt;VLOOKUP("FIXO",[7]ARBOR!$A:$C,3,0),"Maior que CAP!",IF((DOLLAR(BJ13+(VLOOKUP("FIXO",[7]ARBOR!$A:$C,3,0)*-TRUNC(BJ13/VLOOKUP("FIXO",[7]ARBOR!$A:$C,3,0)-1,4)),6))&lt;&gt;(DOLLAR(VLOOKUP("FIXO",[7]ARBOR!$A:$C,3,0),6)),-TRUNC(BJ13/VLOOKUP("FIXO",[7]ARBOR!$A:$C,3,0)-1,4)+0.0001,-TRUNC(BJ13/VLOOKUP("FIXO",[7]ARBOR!$A:$C,3,0)-1,4)))))</f>
        <v>0.33939999999999998</v>
      </c>
      <c r="BL13" s="65" t="str">
        <f>IF(ISERROR(IF(BK13="","",VLOOKUP(($BH13&amp;BK13&amp;"Template de desconto FLAT bundle - Fixo - Varejo - Ganho Tributário Cross"),[7]BENEFICIOS!$A:$E,5,0))),"Criar",IF(BK13="","",VLOOKUP(($BH13&amp;BK13&amp;"Template de desconto FLAT bundle - Fixo - Varejo - Ganho Tributário Cross"),[7]BENEFICIOS!$A:$E,5,0)))</f>
        <v>MKT-1-9856472058</v>
      </c>
      <c r="BM13" s="66"/>
      <c r="BN13" s="67"/>
      <c r="BO13" s="68" t="s">
        <v>161</v>
      </c>
      <c r="BP13" s="69">
        <v>44.9</v>
      </c>
      <c r="BQ13" s="64">
        <f>IF(BP13=0,"",IF(BP13=VLOOKUP("PCS-30874g",[7]ARBOR!$A:$C,3,0),0.0001,IF(BP13&gt;VLOOKUP("PCS-30874g",[7]ARBOR!$A:$C,3,0),"Maior que CAP!",IF((DOLLAR(BP13+(VLOOKUP("PCS-30874g",[7]ARBOR!$A:$C,3,0)*-TRUNC(BP13/VLOOKUP("PCS-30874g",[7]ARBOR!$A:$C,3,0)-1,4)),6))&lt;&gt;(DOLLAR(VLOOKUP("PCS-30874g",[7]ARBOR!$A:$C,3,0),6)),-TRUNC(BP13/VLOOKUP("PCS-30874g",[7]ARBOR!$A:$C,3,0)-1,4)+0.0001,-TRUNC(BP13/VLOOKUP("PCS-30874g",[7]ARBOR!$A:$C,3,0)-1,4)))))</f>
        <v>0.53679999999999994</v>
      </c>
      <c r="BR13" s="65" t="str">
        <f>IF(ISERROR(IF(BQ13="","",VLOOKUP(($BH13&amp;BQ13&amp;"Template de desconto FLAT bundle - Velox XDSL - Varejo"),[7]BENEFICIOS!$A:$E,5,0))),"Criar",IF(BQ13="","",VLOOKUP(($BH13&amp;BQ13&amp;"Template de desconto FLAT bundle - Velox XDSL - Varejo"),[7]BENEFICIOS!$A:$E,5,0)))</f>
        <v>MKT-1-9865126733</v>
      </c>
      <c r="BS13" s="68" t="s">
        <v>161</v>
      </c>
      <c r="BT13" s="69">
        <v>44.9</v>
      </c>
      <c r="BU13" s="64">
        <f>IF(BT13=0,"",IF(BT13=VLOOKUP("PCS-30577g",[7]ARBOR!$A:$C,3,0),0.0001,IF(BT13&gt;VLOOKUP("PCS-30577g",[7]ARBOR!$A:$C,3,0),"Maior que CAP!",IF((DOLLAR(BT13+(VLOOKUP("PCS-30577g",[7]ARBOR!$A:$C,3,0)*-TRUNC(BT13/VLOOKUP("PCS-30577g",[7]ARBOR!$A:$C,3,0)-1,4)),6))&lt;&gt;(DOLLAR(VLOOKUP("PCS-30577g",[7]ARBOR!$A:$C,3,0),6)),-TRUNC(BT13/VLOOKUP("PCS-30577g",[7]ARBOR!$A:$C,3,0)-1,4)+0.0001,-TRUNC(BT13/VLOOKUP("PCS-30577g",[7]ARBOR!$A:$C,3,0)-1,4)))))</f>
        <v>0.53679999999999994</v>
      </c>
      <c r="BV13" s="65" t="str">
        <f>IF(ISERROR(IF(BU13="","",VLOOKUP(($BH13&amp;BU13&amp;"Template de desconto FLAT bundle - Velox XDSL - Varejo"),[7]BENEFICIOS!$A:$E,5,0))),"Criar",IF(BU13="","",VLOOKUP(($BH13&amp;BU13&amp;"Template de desconto FLAT bundle - Velox XDSL - Varejo"),[7]BENEFICIOS!$A:$E,5,0)))</f>
        <v>MKT-1-9865126733</v>
      </c>
      <c r="BW13" s="68" t="s">
        <v>161</v>
      </c>
      <c r="BX13" s="69">
        <v>44.9</v>
      </c>
      <c r="BY13" s="64">
        <f>IF(BX13=0,"",IF(BX13=VLOOKUP("PCS-30604g",[7]ARBOR!$A:$C,3,0),0.0001,IF(BX13&gt;VLOOKUP("PCS-30604g",[7]ARBOR!$A:$C,3,0),"Maior que CAP!",IF((DOLLAR(BX13+(VLOOKUP("PCS-30604g",[7]ARBOR!$A:$C,3,0)*-TRUNC(BX13/VLOOKUP("PCS-30604g",[7]ARBOR!$A:$C,3,0)-1,4)),6))&lt;&gt;(DOLLAR(VLOOKUP("PCS-30604g",[7]ARBOR!$A:$C,3,0),6)),-TRUNC(BX13/VLOOKUP("PCS-30604g",[7]ARBOR!$A:$C,3,0)-1,4)+0.0001,-TRUNC(BX13/VLOOKUP("PCS-30604g",[7]ARBOR!$A:$C,3,0)-1,4)))))</f>
        <v>0.53679999999999994</v>
      </c>
      <c r="BZ13" s="65" t="str">
        <f>IF(ISERROR(IF(BY13="","",VLOOKUP(($BH13&amp;BY13&amp;"Template de desconto FLAT bundle - Velox XDSL - Varejo"),[7]BENEFICIOS!$A:$E,5,0))),"Criar",IF(BY13="","",VLOOKUP(($BH13&amp;BY13&amp;"Template de desconto FLAT bundle - Velox XDSL - Varejo"),[7]BENEFICIOS!$A:$E,5,0)))</f>
        <v>MKT-1-9865126733</v>
      </c>
      <c r="CA13" s="68" t="s">
        <v>161</v>
      </c>
      <c r="CB13" s="69">
        <v>44.9</v>
      </c>
      <c r="CC13" s="64">
        <f>IF(CB13=0,"",IF(CB13=VLOOKUP("PCS-30631g",[7]ARBOR!$A:$C,3,0),0.0001,IF(CB13&gt;VLOOKUP("PCS-30631g",[7]ARBOR!$A:$C,3,0),"Maior que CAP!",IF((DOLLAR(CB13+(VLOOKUP("PCS-30631g",[7]ARBOR!$A:$C,3,0)*-TRUNC(CB13/VLOOKUP("PCS-30631g",[7]ARBOR!$A:$C,3,0)-1,4)),6))&lt;&gt;(DOLLAR(VLOOKUP("PCS-30631g",[7]ARBOR!$A:$C,3,0),6)),-TRUNC(CB13/VLOOKUP("PCS-30631g",[7]ARBOR!$A:$C,3,0)-1,4)+0.0001,-TRUNC(CB13/VLOOKUP("PCS-30631g",[7]ARBOR!$A:$C,3,0)-1,4)))))</f>
        <v>0.54310000000000003</v>
      </c>
      <c r="CD13" s="65" t="str">
        <f>IF(ISERROR(IF(CC13="","",VLOOKUP(($BH13&amp;CC13&amp;"Template de desconto FLAT bundle - Velox XDSL - Varejo"),[7]BENEFICIOS!$A:$E,5,0))),"Criar",IF(CC13="","",VLOOKUP(($BH13&amp;CC13&amp;"Template de desconto FLAT bundle - Velox XDSL - Varejo"),[7]BENEFICIOS!$A:$E,5,0)))</f>
        <v>MKT-1-9865126826</v>
      </c>
      <c r="CE13" s="68"/>
      <c r="CF13" s="69"/>
      <c r="CG13" s="64" t="str">
        <f>IF(CF13=0,"",IF(CF13=VLOOKUP("PCS-30658g",[7]ARBOR!$A:$C,3,0),0.0001,IF(CF13&gt;VLOOKUP("PCS-30658g",[7]ARBOR!$A:$C,3,0),"Maior que CAP!",IF((DOLLAR(CF13+(VLOOKUP("PCS-30658g",[7]ARBOR!$A:$C,3,0)*-TRUNC(CF13/VLOOKUP("PCS-30658g",[7]ARBOR!$A:$C,3,0)-1,4)),6))&lt;&gt;(DOLLAR(VLOOKUP("PCS-30658g",[7]ARBOR!$A:$C,3,0),6)),-TRUNC(CF13/VLOOKUP("PCS-30658g",[7]ARBOR!$A:$C,3,0)-1,4)+0.0001,-TRUNC(CF13/VLOOKUP("PCS-30658g",[7]ARBOR!$A:$C,3,0)-1,4)))))</f>
        <v/>
      </c>
      <c r="CH13" s="65" t="str">
        <f>IF(ISERROR(IF(CG13="","",VLOOKUP(($BH13&amp;CG13&amp;"Template de desconto FLAT bundle - Velox XDSL - Varejo"),[7]BENEFICIOS!$A:$E,5,0))),"Criar",IF(CG13="","",VLOOKUP(($BH13&amp;CG13&amp;"Template de desconto FLAT bundle - Velox XDSL - Varejo"),[7]BENEFICIOS!$A:$E,5,0)))</f>
        <v/>
      </c>
      <c r="CI13" s="68"/>
      <c r="CJ13" s="69"/>
      <c r="CK13" s="64" t="str">
        <f>IF(CJ13=0,"",IF(CJ13=VLOOKUP("PCS-30685g",[7]ARBOR!$A:$C,3,0),0.0001,IF(CJ13&gt;VLOOKUP("PCS-30685g",[7]ARBOR!$A:$C,3,0),"Maior que CAP!",IF((DOLLAR(CJ13+(VLOOKUP("PCS-30685g",[7]ARBOR!$A:$C,3,0)*-TRUNC(CJ13/VLOOKUP("PCS-30685g",[7]ARBOR!$A:$C,3,0)-1,4)),6))&lt;&gt;(DOLLAR(VLOOKUP("PCS-30685g",[7]ARBOR!$A:$C,3,0),6)),-TRUNC(CJ13/VLOOKUP("PCS-30685g",[7]ARBOR!$A:$C,3,0)-1,4)+0.0001,-TRUNC(CJ13/VLOOKUP("PCS-30685g",[7]ARBOR!$A:$C,3,0)-1,4)))))</f>
        <v/>
      </c>
      <c r="CL13" s="65" t="str">
        <f>IF(ISERROR(IF(CK13="","",VLOOKUP(($BH13&amp;CK13&amp;"Template de desconto FLAT bundle - Velox XDSL - Varejo"),[7]BENEFICIOS!$A:$E,5,0))),"Criar",IF(CK13="","",VLOOKUP(($BH13&amp;CK13&amp;"Template de desconto FLAT bundle - Velox XDSL - Varejo"),[7]BENEFICIOS!$A:$E,5,0)))</f>
        <v/>
      </c>
      <c r="CM13" s="68"/>
      <c r="CN13" s="69"/>
      <c r="CO13" s="64" t="str">
        <f>IF(CN13=0,"",IF(CN13=VLOOKUP("PCS-30712g",[7]ARBOR!$A:$C,3,0),0.0001,IF(CN13&gt;VLOOKUP("PCS-30712g",[7]ARBOR!$A:$C,3,0),"Maior que CAP!",IF((DOLLAR(CN13+(VLOOKUP("PCS-30712g",[7]ARBOR!$A:$C,3,0)*-TRUNC(CN13/VLOOKUP("PCS-30712g",[7]ARBOR!$A:$C,3,0)-1,4)),6))&lt;&gt;(DOLLAR(VLOOKUP("PCS-30712g",[7]ARBOR!$A:$C,3,0),6)),-TRUNC(CN13/VLOOKUP("PCS-30712g",[7]ARBOR!$A:$C,3,0)-1,4)+0.0001,-TRUNC(CN13/VLOOKUP("PCS-30712g",[7]ARBOR!$A:$C,3,0)-1,4)))))</f>
        <v/>
      </c>
      <c r="CP13" s="65" t="str">
        <f>IF(ISERROR(IF(CO13="","",VLOOKUP(($BH13&amp;CO13&amp;"Template de desconto FLAT bundle - Velox XDSL - Varejo"),[7]BENEFICIOS!$A:$E,5,0))),"Criar",IF(CO13="","",VLOOKUP(($BH13&amp;CO13&amp;"Template de desconto FLAT bundle - Velox XDSL - Varejo"),[7]BENEFICIOS!$A:$E,5,0)))</f>
        <v/>
      </c>
      <c r="CQ13" s="68"/>
      <c r="CR13" s="69"/>
      <c r="CS13" s="64" t="str">
        <f>IF(CR13=0,"",IF(CR13=VLOOKUP("PCS-30739g",[7]ARBOR!$A:$C,3,0),0.0001,IF(CR13&gt;VLOOKUP("PCS-30739g",[7]ARBOR!$A:$C,3,0),"Maior que CAP!",IF((DOLLAR(CR13+(VLOOKUP("PCS-30739g",[7]ARBOR!$A:$C,3,0)*-TRUNC(CR13/VLOOKUP("PCS-30739g",[7]ARBOR!$A:$C,3,0)-1,4)),6))&lt;&gt;(DOLLAR(VLOOKUP("PCS-30739g",[7]ARBOR!$A:$C,3,0),6)),-TRUNC(CR13/VLOOKUP("PCS-30739g",[7]ARBOR!$A:$C,3,0)-1,4)+0.0001,-TRUNC(CR13/VLOOKUP("PCS-30739g",[7]ARBOR!$A:$C,3,0)-1,4)))))</f>
        <v/>
      </c>
      <c r="CT13" s="65" t="str">
        <f>IF(ISERROR(IF(CS13="","",VLOOKUP(($BH13&amp;CS13&amp;"Template de desconto FLAT bundle - Velox XDSL - Varejo"),[7]BENEFICIOS!$A:$E,5,0))),"Criar",IF(CS13="","",VLOOKUP(($BH13&amp;CS13&amp;"Template de desconto FLAT bundle - Velox XDSL - Varejo"),[7]BENEFICIOS!$A:$E,5,0)))</f>
        <v/>
      </c>
      <c r="CU13" s="69"/>
      <c r="CV13" s="70"/>
      <c r="CW13" s="64"/>
      <c r="CX13" s="65"/>
      <c r="CY13" s="68"/>
      <c r="CZ13" s="69"/>
      <c r="DA13" s="64" t="str">
        <f>IF(CZ13=0,"",IF(CZ13=VLOOKUP("PCS-30766g",[7]ARBOR!$A:$C,3,0),0.0001,IF(CZ13&gt;VLOOKUP("PCS-30766g",[7]ARBOR!$A:$C,3,0),"Maior que CAP!",IF((DOLLAR(CZ13+(VLOOKUP("PCS-30766g",[7]ARBOR!$A:$C,3,0)*-TRUNC(CZ13/VLOOKUP("PCS-30766g",[7]ARBOR!$A:$C,3,0)-1,4)),6))&lt;&gt;(DOLLAR(VLOOKUP("PCS-30766g",[7]ARBOR!$A:$C,3,0),6)),-TRUNC(CZ13/VLOOKUP("PCS-30766g",[7]ARBOR!$A:$C,3,0)-1,4)+0.0001,-TRUNC(CZ13/VLOOKUP("PCS-30766g",[7]ARBOR!$A:$C,3,0)-1,4)))))</f>
        <v/>
      </c>
      <c r="DB13" s="65" t="str">
        <f>IF(ISERROR(IF(DA13="","",VLOOKUP(($BH13&amp;DA13&amp;"Template de desconto FLAT bundle - Velox XDSL - Varejo"),[7]BENEFICIOS!$A:$E,5,0))),"Criar",IF(DA13="","",VLOOKUP(($BH13&amp;DA13&amp;"Template de desconto FLAT bundle - Velox XDSL - Varejo"),[7]BENEFICIOS!$A:$E,5,0)))</f>
        <v/>
      </c>
      <c r="DC13" s="69"/>
      <c r="DD13" s="70"/>
      <c r="DE13" s="64"/>
      <c r="DF13" s="65"/>
      <c r="DG13" s="68"/>
      <c r="DH13" s="69"/>
      <c r="DI13" s="64" t="str">
        <f>IF(DH13=0,"",IF(DH13=VLOOKUP("PCS-30793g",[7]ARBOR!$A:$C,3,0),0.0001,IF(DH13&gt;VLOOKUP("PCS-30793g",[7]ARBOR!$A:$C,3,0),"Maior que CAP!",IF((DOLLAR(DH13+(VLOOKUP("PCS-30793g",[7]ARBOR!$A:$C,3,0)*-TRUNC(DH13/VLOOKUP("PCS-30793g",[7]ARBOR!$A:$C,3,0)-1,4)),6))&lt;&gt;(DOLLAR(VLOOKUP("PCS-30793g",[7]ARBOR!$A:$C,3,0),6)),-TRUNC(DH13/VLOOKUP("PCS-30793g",[7]ARBOR!$A:$C,3,0)-1,4)+0.0001,-TRUNC(DH13/VLOOKUP("PCS-30793g",[7]ARBOR!$A:$C,3,0)-1,4)))))</f>
        <v/>
      </c>
      <c r="DJ13" s="65" t="str">
        <f>IF(ISERROR(IF(DI13="","",VLOOKUP(($BH13&amp;DI13&amp;"Template de desconto FLAT bundle - Velox XDSL - Varejo"),[7]BENEFICIOS!$A:$E,5,0))),"Criar",IF(DI13="","",VLOOKUP(($BH13&amp;DI13&amp;"Template de desconto FLAT bundle - Velox XDSL - Varejo"),[7]BENEFICIOS!$A:$E,5,0)))</f>
        <v/>
      </c>
      <c r="DK13" s="69"/>
      <c r="DL13" s="70"/>
      <c r="DM13" s="64"/>
      <c r="DN13" s="65"/>
      <c r="DO13" s="68"/>
      <c r="DP13" s="69"/>
      <c r="DQ13" s="64" t="str">
        <f>IF(DP13=0,"",IF(DP13=VLOOKUP("PCS-30820g",[7]ARBOR!$A:$C,3,0),0.0001,IF(DP13&gt;VLOOKUP("PCS-30820g",[7]ARBOR!$A:$C,3,0),"Maior que CAP!",IF((DOLLAR(DP13+(VLOOKUP("PCS-30820g",[7]ARBOR!$A:$C,3,0)*-TRUNC(DP13/VLOOKUP("PCS-30820g",[7]ARBOR!$A:$C,3,0)-1,4)),6))&lt;&gt;(DOLLAR(VLOOKUP("PCS-30820g",[7]ARBOR!$A:$C,3,0),6)),-TRUNC(DP13/VLOOKUP("PCS-30820g",[7]ARBOR!$A:$C,3,0)-1,4)+0.0001,-TRUNC(DP13/VLOOKUP("PCS-30820g",[7]ARBOR!$A:$C,3,0)-1,4)))))</f>
        <v/>
      </c>
      <c r="DR13" s="65" t="str">
        <f>IF(ISERROR(IF(DQ13="","",VLOOKUP(($BH13&amp;DQ13&amp;"Template de desconto FLAT bundle - Velox XDSL - Varejo"),[7]BENEFICIOS!$A:$E,5,0))),"Criar",IF(DQ13="","",VLOOKUP(($BH13&amp;DQ13&amp;"Template de desconto FLAT bundle - Velox XDSL - Varejo"),[7]BENEFICIOS!$A:$E,5,0)))</f>
        <v/>
      </c>
      <c r="DS13" s="69"/>
      <c r="DT13" s="70"/>
      <c r="DU13" s="64"/>
      <c r="DV13" s="65"/>
      <c r="DW13" s="71">
        <v>44.9</v>
      </c>
      <c r="DX13" s="64">
        <f>IF(DW13=0,"",IF(DW13=VLOOKUP("PCS-21448p2",[7]ARBOR!$A:$C,3,0),0.0001,IF(DW13&gt;VLOOKUP("PCS-21448p2",[7]ARBOR!$A:$C,3,0),"Maior que CAP!",IF((DOLLAR(DW13+(VLOOKUP("PCS-21448p2",[7]ARBOR!$A:$C,3,0)*-TRUNC(DW13/VLOOKUP("PCS-21448p2",[7]ARBOR!$A:$C,3,0)-1,4)),6))&lt;&gt;(DOLLAR(VLOOKUP("PCS-21448p2",[7]ARBOR!$A:$C,3,0),6)),-TRUNC(DW13/VLOOKUP("PCS-21448p2",[7]ARBOR!$A:$C,3,0)-1,4)+0.0001,-TRUNC(DW13/VLOOKUP("PCS-21448p2",[7]ARBOR!$A:$C,3,0)-1,4)))))</f>
        <v>0.64900000000000002</v>
      </c>
      <c r="DY13" s="65" t="str">
        <f>IF(ISERROR(IF(DX13="","",VLOOKUP(("Oi Conta Total Plug 10GB Downgrade"&amp;DX13&amp;"Template de desconto percentual BL Móvel - Internet Total - Varejo"),[7]BENEFICIOS!$A:$E,5,0))),"Criar",IF(DX13="","",VLOOKUP(("Oi Conta Total Plug 10GB Downgrade"&amp;DX13&amp;"Template de desconto percentual BL Móvel - Internet Total - Varejo"),[7]BENEFICIOS!$A:$E,5,0)))</f>
        <v>MKT-1-9825544790</v>
      </c>
      <c r="DZ13" s="71">
        <v>16.5</v>
      </c>
      <c r="EA13" s="72">
        <f>IF(DZ13=0,"",IF(DZ13=VLOOKUP("SVA",[7]ARBOR!$A:$C,3,0),0.0001,IF(DZ13&gt;VLOOKUP("SVA",[7]ARBOR!$A:$C,3,0),"Maior que CAP!",IF((DOLLAR(DZ13+(VLOOKUP("SVA",[7]ARBOR!$A:$C,3,0)*-TRUNC(DZ13/VLOOKUP("SVA",[7]ARBOR!$A:$C,3,0)-1,4)),6))&lt;&gt;(DOLLAR(VLOOKUP("SVA",[7]ARBOR!$A:$C,3,0),6)),-TRUNC(DZ13/VLOOKUP("SVA",[7]ARBOR!$A:$C,3,0)-1,4)+0.0001,-TRUNC(DZ13/VLOOKUP("SVA",[7]ARBOR!$A:$C,3,0)-1,4)))))</f>
        <v>0.2301</v>
      </c>
      <c r="EB13" s="65" t="s">
        <v>223</v>
      </c>
      <c r="EC13" s="69"/>
      <c r="ED13" s="73"/>
      <c r="EE13" s="74"/>
      <c r="EF13" s="65"/>
      <c r="EG13" s="75">
        <f>IF(BI13="","",VLOOKUP(BI13,[7]ARBOR!A:C,3,0))</f>
        <v>479.46</v>
      </c>
      <c r="EH13" s="69">
        <v>15</v>
      </c>
      <c r="EI13" s="76">
        <f>IF(EH13="","",1-(EH13/VLOOKUP(BI13&amp;"ASS",[7]ARBOR!A:C,3,0)))</f>
        <v>0.34725848563968664</v>
      </c>
      <c r="EJ13" s="77" t="s">
        <v>224</v>
      </c>
      <c r="EK13" s="78" t="s">
        <v>225</v>
      </c>
      <c r="EL13" s="69">
        <v>180.36999999999998</v>
      </c>
      <c r="EM13" s="64">
        <f>ROUND(IF(EL13=0,"",IF(EL13=EG13,0.0001,1-((EL13+(VLOOKUP(BI13&amp;"ASS",[7]ARBOR!A:C,3,0)-EH13))/EG13))),4)</f>
        <v>0.60719999999999996</v>
      </c>
      <c r="EN13" s="65" t="str">
        <f>IF(ISERROR(IF(EM13="","",VLOOKUP(($BH13&amp;EM13&amp;"Template de desconto percentual FLAT Móvel - Conta Total - Varejo - Ganho Tributário Cross"),[7]BENEFICIOS!$A:$E,5,0))),"Criar",IF(EM13="","",VLOOKUP(($BH13&amp;EM13&amp;"Template de desconto percentual FLAT Móvel - Conta Total - Varejo - Ganho Tributário Cross"),[7]BENEFICIOS!$A:$E,5,0)))</f>
        <v>Criar</v>
      </c>
      <c r="EO13" s="79"/>
      <c r="EP13" s="64"/>
      <c r="EQ13" s="72"/>
      <c r="ER13" s="72"/>
      <c r="ES13" s="64"/>
      <c r="ET13" s="80"/>
      <c r="EU13" s="81" t="s">
        <v>244</v>
      </c>
      <c r="EV13" s="81" t="s">
        <v>267</v>
      </c>
      <c r="EW13" s="82"/>
      <c r="EX13" s="83"/>
      <c r="EY13" s="84"/>
      <c r="EZ13" s="82"/>
      <c r="FA13" s="83"/>
      <c r="FB13" s="84"/>
      <c r="FC13" s="82"/>
      <c r="FD13" s="83" t="str">
        <f>IF(FC13=0,"",IF(FC13=VLOOKUP("PCS-10357",[7]ARBOR!$A:$C,3,0),0.0001,IF(FC13&gt;VLOOKUP("PCS-10357",[7]ARBOR!$A:$C,3,0),"Maior que CAP!",ROUND(-1*(FC13/VLOOKUP("PCS-10357",[7]ARBOR!$A:$C,3,0)-1),4))))</f>
        <v/>
      </c>
      <c r="FE13" s="84" t="str">
        <f>IF(ISERROR(IF(FD13="","",VLOOKUP(("Oi Internet Pra Celular 1GB"&amp;FD13&amp;"Template Flat Instância Dados"),[7]BENEFICIOS!$A:$E,5,0))),"Criar",IF(FD13="","",VLOOKUP(("Oi Internet Pra Celular 1GB"&amp;FD13&amp;"Template Flat Instância Dados"),[7]BENEFICIOS!$A:$E,5,0)))</f>
        <v/>
      </c>
      <c r="FF13" s="82"/>
      <c r="FG13" s="83" t="str">
        <f>IF(FF13=0,"",IF(FF13=VLOOKUP("PCS-813565",[7]ARBOR!$A:$C,3,0),0.0001,IF(FF13&gt;VLOOKUP("PCS-813565",[7]ARBOR!$A:$C,3,0),"Maior que CAP!",ROUND(-1*(FF13/VLOOKUP("PCS-813565",[7]ARBOR!$A:$C,3,0)-1),4))))</f>
        <v/>
      </c>
      <c r="FH13" s="84" t="str">
        <f>IF(ISERROR(IF(FG13="","",VLOOKUP(("Oi Internet Pra Celular 2GB"&amp;FG13&amp;"Template Flat Instância Dados"),[7]BENEFICIOS!$A:$E,5,0))),"Criar",IF(FG13="","",VLOOKUP(("Oi Internet Pra Celular 2GB"&amp;FG13&amp;"Template Flat Instância Dados"),[7]BENEFICIOS!$A:$E,5,0)))</f>
        <v/>
      </c>
      <c r="FI13" s="82"/>
      <c r="FJ13" s="83" t="str">
        <f>IF(FI13=0,"",IF(FI13=VLOOKUP("PCS-7171B",[7]ARBOR!$A:$C,3,0),0.0001,IF(FI13&gt;VLOOKUP("PCS-7171B",[7]ARBOR!$A:$C,3,0),"Maior que CAP!",ROUND(-1*(FI13/VLOOKUP("PCS-7171B",[7]ARBOR!$A:$C,3,0)-1),4))))</f>
        <v/>
      </c>
      <c r="FK13" s="84" t="str">
        <f>IF(ISERROR(IF(FJ13="","",VLOOKUP(("Oi Internet Pra Celular 3GB"&amp;FJ13&amp;"Template Flat Instância Dados"),[7]BENEFICIOS!$A:$E,5,0))),"Criar",IF(FJ13="","",VLOOKUP(("Oi Internet Pra Celular 3GB"&amp;FJ13&amp;"Template Flat Instância Dados"),[7]BENEFICIOS!$A:$E,5,0)))</f>
        <v/>
      </c>
      <c r="FL13" s="82"/>
      <c r="FM13" s="83"/>
      <c r="FN13" s="84"/>
      <c r="FO13" s="82">
        <v>35.53</v>
      </c>
      <c r="FP13" s="83">
        <f>IF(FO13=0,"",IF(FO13=VLOOKUP("PCS-7171A",[7]ARBOR!$A:$C,3,0),0.0001,IF(FO13&gt;VLOOKUP("PCS-7171A",[7]ARBOR!$A:$C,3,0),"Maior que CAP!",ROUND(-1*(FO13/VLOOKUP("PCS-7171A",[7]ARBOR!$A:$C,3,0)-1),4))))</f>
        <v>0.81899999999999995</v>
      </c>
      <c r="FQ13" s="84" t="str">
        <f>IF(ISERROR(IF(FP13="","",VLOOKUP(("Oi Internet Pra Celular 10GB"&amp;FP13&amp;"Template Flat Instância Dados"),[7]BENEFICIOS!$A:$E,5,0))),"Criar",IF(FP13="","",VLOOKUP(("Oi Internet Pra Celular 10GB"&amp;FP13&amp;"Template Flat Instância Dados"),[7]BENEFICIOS!$A:$E,5,0)))</f>
        <v>MKT-1-9869971287</v>
      </c>
      <c r="FR13" s="85">
        <v>0.74260000000000004</v>
      </c>
      <c r="FS13" s="86" t="s">
        <v>262</v>
      </c>
      <c r="FT13" s="48"/>
      <c r="FU13" s="87"/>
      <c r="FV13" s="88" t="s">
        <v>221</v>
      </c>
      <c r="FW13" s="49" t="s">
        <v>226</v>
      </c>
      <c r="FX13" s="89">
        <v>999</v>
      </c>
      <c r="FY13" s="49">
        <v>12</v>
      </c>
      <c r="FZ13" s="90" t="s">
        <v>227</v>
      </c>
      <c r="GA13" s="91" t="str">
        <f t="shared" si="1"/>
        <v>PCS-Fk83324</v>
      </c>
      <c r="GB13" s="92" t="str">
        <f t="shared" si="2"/>
        <v>PCS-SBL553142</v>
      </c>
      <c r="GC13" s="93" t="s">
        <v>228</v>
      </c>
      <c r="GD13" s="90" t="s">
        <v>229</v>
      </c>
      <c r="GE13" s="92" t="s">
        <v>230</v>
      </c>
      <c r="GF13" s="93" t="s">
        <v>231</v>
      </c>
      <c r="GG13" s="90" t="s">
        <v>232</v>
      </c>
      <c r="GH13" s="92" t="s">
        <v>233</v>
      </c>
      <c r="GI13" s="94" t="s">
        <v>234</v>
      </c>
      <c r="GJ13" s="95">
        <f>FO13+EL13+DW13+BJ13</f>
        <v>310.89999999999998</v>
      </c>
      <c r="GK13" s="96"/>
      <c r="GL13" s="97" t="s">
        <v>235</v>
      </c>
      <c r="GM13" s="98" t="s">
        <v>236</v>
      </c>
      <c r="GN13" s="97">
        <f>VLOOKUP($A13,'[7]TABELA COM TUDO'!$A:$AB,25,0)</f>
        <v>20.350000000000001</v>
      </c>
      <c r="GO13" s="99">
        <f>VLOOKUP($A13,'[7]TABELA COM TUDO'!$A:$AB,26,0)</f>
        <v>5.24</v>
      </c>
      <c r="GP13" s="100">
        <f t="shared" si="8"/>
        <v>0.74250000000000005</v>
      </c>
      <c r="GQ13" s="97">
        <f t="shared" si="4"/>
        <v>15.1</v>
      </c>
      <c r="GR13" s="97">
        <f t="shared" si="5"/>
        <v>5.2500000000000018</v>
      </c>
      <c r="GS13" s="101"/>
      <c r="GT13" s="101"/>
      <c r="GU13" s="102" t="b">
        <f t="shared" si="6"/>
        <v>0</v>
      </c>
      <c r="GV13" s="103">
        <f t="shared" si="7"/>
        <v>1.0000000000001563E-2</v>
      </c>
      <c r="GW13" s="44" t="s">
        <v>268</v>
      </c>
      <c r="GX13" s="44" t="s">
        <v>238</v>
      </c>
    </row>
    <row r="14" spans="1:206" s="44" customFormat="1" x14ac:dyDescent="0.35">
      <c r="A14" s="44" t="str">
        <f t="shared" si="0"/>
        <v>Oi Total Fixo + Pós 800 + Banda LargaN110GBMG</v>
      </c>
      <c r="B14" s="45" t="s">
        <v>211</v>
      </c>
      <c r="C14" s="46" t="s">
        <v>127</v>
      </c>
      <c r="D14" s="46" t="s">
        <v>212</v>
      </c>
      <c r="E14" s="47" t="s">
        <v>213</v>
      </c>
      <c r="F14" s="48" t="s">
        <v>214</v>
      </c>
      <c r="G14" s="49"/>
      <c r="H14" s="49"/>
      <c r="I14" s="49"/>
      <c r="J14" s="49" t="s">
        <v>214</v>
      </c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 t="s">
        <v>214</v>
      </c>
      <c r="AC14" s="49" t="s">
        <v>214</v>
      </c>
      <c r="AD14" s="49" t="s">
        <v>214</v>
      </c>
      <c r="AE14" s="49" t="s">
        <v>214</v>
      </c>
      <c r="AF14" s="49" t="s">
        <v>214</v>
      </c>
      <c r="AG14" s="49" t="s">
        <v>214</v>
      </c>
      <c r="AH14" s="50"/>
      <c r="AI14" s="49" t="s">
        <v>214</v>
      </c>
      <c r="AJ14" s="49" t="s">
        <v>214</v>
      </c>
      <c r="AK14" s="49" t="s">
        <v>214</v>
      </c>
      <c r="AL14" s="49" t="s">
        <v>214</v>
      </c>
      <c r="AM14" s="49" t="s">
        <v>214</v>
      </c>
      <c r="AN14" s="49" t="s">
        <v>214</v>
      </c>
      <c r="AO14" s="49" t="s">
        <v>214</v>
      </c>
      <c r="AP14" s="49"/>
      <c r="AQ14" s="51"/>
      <c r="AR14" s="52" t="s">
        <v>269</v>
      </c>
      <c r="AS14" s="46" t="s">
        <v>216</v>
      </c>
      <c r="AT14" s="53" t="s">
        <v>217</v>
      </c>
      <c r="AU14" s="54">
        <v>42972</v>
      </c>
      <c r="AV14" s="55">
        <v>43038</v>
      </c>
      <c r="AW14" s="56" t="s">
        <v>218</v>
      </c>
      <c r="AX14" s="57" t="s">
        <v>218</v>
      </c>
      <c r="AY14" s="58"/>
      <c r="AZ14" s="58" t="s">
        <v>219</v>
      </c>
      <c r="BA14" s="58">
        <v>20</v>
      </c>
      <c r="BB14" s="58">
        <v>10000</v>
      </c>
      <c r="BC14" s="59" t="s">
        <v>220</v>
      </c>
      <c r="BD14" s="60" t="s">
        <v>221</v>
      </c>
      <c r="BE14" s="58" t="s">
        <v>213</v>
      </c>
      <c r="BF14" s="51" t="s">
        <v>213</v>
      </c>
      <c r="BG14" s="45" t="s">
        <v>269</v>
      </c>
      <c r="BH14" s="61" t="s">
        <v>222</v>
      </c>
      <c r="BI14" s="62" t="str">
        <f>IF(ISERROR(VLOOKUP(BH14,[7]PLANOS!B:C,2,0)),"",VLOOKUP(BH14,[7]PLANOS!B:C,2,0))</f>
        <v>PCS-4P6pi</v>
      </c>
      <c r="BJ14" s="63">
        <v>50.1</v>
      </c>
      <c r="BK14" s="64">
        <f>IF(BJ14=0,"",IF(BJ14=VLOOKUP("FIXO",[7]ARBOR!$A:$C,3,0),0.0001,IF(BJ14&gt;VLOOKUP("FIXO",[7]ARBOR!$A:$C,3,0),"Maior que CAP!",IF((DOLLAR(BJ14+(VLOOKUP("FIXO",[7]ARBOR!$A:$C,3,0)*-TRUNC(BJ14/VLOOKUP("FIXO",[7]ARBOR!$A:$C,3,0)-1,4)),6))&lt;&gt;(DOLLAR(VLOOKUP("FIXO",[7]ARBOR!$A:$C,3,0),6)),-TRUNC(BJ14/VLOOKUP("FIXO",[7]ARBOR!$A:$C,3,0)-1,4)+0.0001,-TRUNC(BJ14/VLOOKUP("FIXO",[7]ARBOR!$A:$C,3,0)-1,4)))))</f>
        <v>0.33939999999999998</v>
      </c>
      <c r="BL14" s="65" t="str">
        <f>IF(ISERROR(IF(BK14="","",VLOOKUP(($BH14&amp;BK14&amp;"Template de desconto FLAT bundle - Fixo - Varejo - Ganho Tributário Cross"),[7]BENEFICIOS!$A:$E,5,0))),"Criar",IF(BK14="","",VLOOKUP(($BH14&amp;BK14&amp;"Template de desconto FLAT bundle - Fixo - Varejo - Ganho Tributário Cross"),[7]BENEFICIOS!$A:$E,5,0)))</f>
        <v>MKT-1-9856472058</v>
      </c>
      <c r="BM14" s="66"/>
      <c r="BN14" s="67"/>
      <c r="BO14" s="104" t="s">
        <v>240</v>
      </c>
      <c r="BP14" s="69">
        <v>44.9</v>
      </c>
      <c r="BQ14" s="64">
        <f>IF(BP14=0,"",IF(BP14=VLOOKUP("PCS-30874g",[7]ARBOR!$A:$C,3,0),0.0001,IF(BP14&gt;VLOOKUP("PCS-30874g",[7]ARBOR!$A:$C,3,0),"Maior que CAP!",IF((DOLLAR(BP14+(VLOOKUP("PCS-30874g",[7]ARBOR!$A:$C,3,0)*-TRUNC(BP14/VLOOKUP("PCS-30874g",[7]ARBOR!$A:$C,3,0)-1,4)),6))&lt;&gt;(DOLLAR(VLOOKUP("PCS-30874g",[7]ARBOR!$A:$C,3,0),6)),-TRUNC(BP14/VLOOKUP("PCS-30874g",[7]ARBOR!$A:$C,3,0)-1,4)+0.0001,-TRUNC(BP14/VLOOKUP("PCS-30874g",[7]ARBOR!$A:$C,3,0)-1,4)))))</f>
        <v>0.53679999999999994</v>
      </c>
      <c r="BR14" s="65" t="str">
        <f>IF(ISERROR(IF(BQ14="","",VLOOKUP(($BH14&amp;BQ14&amp;"Template de desconto FLAT bundle - Velox XDSL - Varejo"),[7]BENEFICIOS!$A:$E,5,0))),"Criar",IF(BQ14="","",VLOOKUP(($BH14&amp;BQ14&amp;"Template de desconto FLAT bundle - Velox XDSL - Varejo"),[7]BENEFICIOS!$A:$E,5,0)))</f>
        <v>MKT-1-9865126733</v>
      </c>
      <c r="BS14" s="104" t="s">
        <v>240</v>
      </c>
      <c r="BT14" s="69">
        <v>44.9</v>
      </c>
      <c r="BU14" s="64">
        <f>IF(BT14=0,"",IF(BT14=VLOOKUP("PCS-30577g",[7]ARBOR!$A:$C,3,0),0.0001,IF(BT14&gt;VLOOKUP("PCS-30577g",[7]ARBOR!$A:$C,3,0),"Maior que CAP!",IF((DOLLAR(BT14+(VLOOKUP("PCS-30577g",[7]ARBOR!$A:$C,3,0)*-TRUNC(BT14/VLOOKUP("PCS-30577g",[7]ARBOR!$A:$C,3,0)-1,4)),6))&lt;&gt;(DOLLAR(VLOOKUP("PCS-30577g",[7]ARBOR!$A:$C,3,0),6)),-TRUNC(BT14/VLOOKUP("PCS-30577g",[7]ARBOR!$A:$C,3,0)-1,4)+0.0001,-TRUNC(BT14/VLOOKUP("PCS-30577g",[7]ARBOR!$A:$C,3,0)-1,4)))))</f>
        <v>0.53679999999999994</v>
      </c>
      <c r="BV14" s="65" t="str">
        <f>IF(ISERROR(IF(BU14="","",VLOOKUP(($BH14&amp;BU14&amp;"Template de desconto FLAT bundle - Velox XDSL - Varejo"),[7]BENEFICIOS!$A:$E,5,0))),"Criar",IF(BU14="","",VLOOKUP(($BH14&amp;BU14&amp;"Template de desconto FLAT bundle - Velox XDSL - Varejo"),[7]BENEFICIOS!$A:$E,5,0)))</f>
        <v>MKT-1-9865126733</v>
      </c>
      <c r="BW14" s="104" t="s">
        <v>240</v>
      </c>
      <c r="BX14" s="69">
        <v>44.9</v>
      </c>
      <c r="BY14" s="64">
        <f>IF(BX14=0,"",IF(BX14=VLOOKUP("PCS-30604g",[7]ARBOR!$A:$C,3,0),0.0001,IF(BX14&gt;VLOOKUP("PCS-30604g",[7]ARBOR!$A:$C,3,0),"Maior que CAP!",IF((DOLLAR(BX14+(VLOOKUP("PCS-30604g",[7]ARBOR!$A:$C,3,0)*-TRUNC(BX14/VLOOKUP("PCS-30604g",[7]ARBOR!$A:$C,3,0)-1,4)),6))&lt;&gt;(DOLLAR(VLOOKUP("PCS-30604g",[7]ARBOR!$A:$C,3,0),6)),-TRUNC(BX14/VLOOKUP("PCS-30604g",[7]ARBOR!$A:$C,3,0)-1,4)+0.0001,-TRUNC(BX14/VLOOKUP("PCS-30604g",[7]ARBOR!$A:$C,3,0)-1,4)))))</f>
        <v>0.53679999999999994</v>
      </c>
      <c r="BZ14" s="65" t="str">
        <f>IF(ISERROR(IF(BY14="","",VLOOKUP(($BH14&amp;BY14&amp;"Template de desconto FLAT bundle - Velox XDSL - Varejo"),[7]BENEFICIOS!$A:$E,5,0))),"Criar",IF(BY14="","",VLOOKUP(($BH14&amp;BY14&amp;"Template de desconto FLAT bundle - Velox XDSL - Varejo"),[7]BENEFICIOS!$A:$E,5,0)))</f>
        <v>MKT-1-9865126733</v>
      </c>
      <c r="CA14" s="104" t="s">
        <v>240</v>
      </c>
      <c r="CB14" s="69">
        <v>44.9</v>
      </c>
      <c r="CC14" s="64">
        <f>IF(CB14=0,"",IF(CB14=VLOOKUP("PCS-30631g",[7]ARBOR!$A:$C,3,0),0.0001,IF(CB14&gt;VLOOKUP("PCS-30631g",[7]ARBOR!$A:$C,3,0),"Maior que CAP!",IF((DOLLAR(CB14+(VLOOKUP("PCS-30631g",[7]ARBOR!$A:$C,3,0)*-TRUNC(CB14/VLOOKUP("PCS-30631g",[7]ARBOR!$A:$C,3,0)-1,4)),6))&lt;&gt;(DOLLAR(VLOOKUP("PCS-30631g",[7]ARBOR!$A:$C,3,0),6)),-TRUNC(CB14/VLOOKUP("PCS-30631g",[7]ARBOR!$A:$C,3,0)-1,4)+0.0001,-TRUNC(CB14/VLOOKUP("PCS-30631g",[7]ARBOR!$A:$C,3,0)-1,4)))))</f>
        <v>0.54310000000000003</v>
      </c>
      <c r="CD14" s="65" t="str">
        <f>IF(ISERROR(IF(CC14="","",VLOOKUP(($BH14&amp;CC14&amp;"Template de desconto FLAT bundle - Velox XDSL - Varejo"),[7]BENEFICIOS!$A:$E,5,0))),"Criar",IF(CC14="","",VLOOKUP(($BH14&amp;CC14&amp;"Template de desconto FLAT bundle - Velox XDSL - Varejo"),[7]BENEFICIOS!$A:$E,5,0)))</f>
        <v>MKT-1-9865126826</v>
      </c>
      <c r="CE14" s="68" t="s">
        <v>161</v>
      </c>
      <c r="CF14" s="69">
        <v>49.9</v>
      </c>
      <c r="CG14" s="64">
        <f>IF(CF14=0,"",IF(CF14=VLOOKUP("PCS-30658g",[7]ARBOR!$A:$C,3,0),0.0001,IF(CF14&gt;VLOOKUP("PCS-30658g",[7]ARBOR!$A:$C,3,0),"Maior que CAP!",IF((DOLLAR(CF14+(VLOOKUP("PCS-30658g",[7]ARBOR!$A:$C,3,0)*-TRUNC(CF14/VLOOKUP("PCS-30658g",[7]ARBOR!$A:$C,3,0)-1,4)),6))&lt;&gt;(DOLLAR(VLOOKUP("PCS-30658g",[7]ARBOR!$A:$C,3,0),6)),-TRUNC(CF14/VLOOKUP("PCS-30658g",[7]ARBOR!$A:$C,3,0)-1,4)+0.0001,-TRUNC(CF14/VLOOKUP("PCS-30658g",[7]ARBOR!$A:$C,3,0)-1,4)))))</f>
        <v>0.55569999999999997</v>
      </c>
      <c r="CH14" s="65" t="str">
        <f>IF(ISERROR(IF(CG14="","",VLOOKUP(($BH14&amp;CG14&amp;"Template de desconto FLAT bundle - Velox XDSL - Varejo"),[7]BENEFICIOS!$A:$E,5,0))),"Criar",IF(CG14="","",VLOOKUP(($BH14&amp;CG14&amp;"Template de desconto FLAT bundle - Velox XDSL - Varejo"),[7]BENEFICIOS!$A:$E,5,0)))</f>
        <v>MKT-1-9865126919</v>
      </c>
      <c r="CI14" s="68" t="s">
        <v>161</v>
      </c>
      <c r="CJ14" s="69">
        <v>49.9</v>
      </c>
      <c r="CK14" s="64">
        <f>IF(CJ14=0,"",IF(CJ14=VLOOKUP("PCS-30685g",[7]ARBOR!$A:$C,3,0),0.0001,IF(CJ14&gt;VLOOKUP("PCS-30685g",[7]ARBOR!$A:$C,3,0),"Maior que CAP!",IF((DOLLAR(CJ14+(VLOOKUP("PCS-30685g",[7]ARBOR!$A:$C,3,0)*-TRUNC(CJ14/VLOOKUP("PCS-30685g",[7]ARBOR!$A:$C,3,0)-1,4)),6))&lt;&gt;(DOLLAR(VLOOKUP("PCS-30685g",[7]ARBOR!$A:$C,3,0),6)),-TRUNC(CJ14/VLOOKUP("PCS-30685g",[7]ARBOR!$A:$C,3,0)-1,4)+0.0001,-TRUNC(CJ14/VLOOKUP("PCS-30685g",[7]ARBOR!$A:$C,3,0)-1,4)))))</f>
        <v>0.60509999999999997</v>
      </c>
      <c r="CL14" s="65" t="str">
        <f>IF(ISERROR(IF(CK14="","",VLOOKUP(($BH14&amp;CK14&amp;"Template de desconto FLAT bundle - Velox XDSL - Varejo"),[7]BENEFICIOS!$A:$E,5,0))),"Criar",IF(CK14="","",VLOOKUP(($BH14&amp;CK14&amp;"Template de desconto FLAT bundle - Velox XDSL - Varejo"),[7]BENEFICIOS!$A:$E,5,0)))</f>
        <v>MKT-1-9865694381</v>
      </c>
      <c r="CM14" s="68" t="s">
        <v>161</v>
      </c>
      <c r="CN14" s="69">
        <v>49.9</v>
      </c>
      <c r="CO14" s="64">
        <f>IF(CN14=0,"",IF(CN14=VLOOKUP("PCS-30712g",[7]ARBOR!$A:$C,3,0),0.0001,IF(CN14&gt;VLOOKUP("PCS-30712g",[7]ARBOR!$A:$C,3,0),"Maior que CAP!",IF((DOLLAR(CN14+(VLOOKUP("PCS-30712g",[7]ARBOR!$A:$C,3,0)*-TRUNC(CN14/VLOOKUP("PCS-30712g",[7]ARBOR!$A:$C,3,0)-1,4)),6))&lt;&gt;(DOLLAR(VLOOKUP("PCS-30712g",[7]ARBOR!$A:$C,3,0),6)),-TRUNC(CN14/VLOOKUP("PCS-30712g",[7]ARBOR!$A:$C,3,0)-1,4)+0.0001,-TRUNC(CN14/VLOOKUP("PCS-30712g",[7]ARBOR!$A:$C,3,0)-1,4)))))</f>
        <v>0.64459999999999995</v>
      </c>
      <c r="CP14" s="65" t="str">
        <f>IF(ISERROR(IF(CO14="","",VLOOKUP(($BH14&amp;CO14&amp;"Template de desconto FLAT bundle - Velox XDSL - Varejo"),[7]BENEFICIOS!$A:$E,5,0))),"Criar",IF(CO14="","",VLOOKUP(($BH14&amp;CO14&amp;"Template de desconto FLAT bundle - Velox XDSL - Varejo"),[7]BENEFICIOS!$A:$E,5,0)))</f>
        <v>MKT-1-9865191105</v>
      </c>
      <c r="CQ14" s="68" t="s">
        <v>161</v>
      </c>
      <c r="CR14" s="69">
        <v>59.9</v>
      </c>
      <c r="CS14" s="64">
        <f>IF(CR14=0,"",IF(CR14=VLOOKUP("PCS-30739g",[7]ARBOR!$A:$C,3,0),0.0001,IF(CR14&gt;VLOOKUP("PCS-30739g",[7]ARBOR!$A:$C,3,0),"Maior que CAP!",IF((DOLLAR(CR14+(VLOOKUP("PCS-30739g",[7]ARBOR!$A:$C,3,0)*-TRUNC(CR14/VLOOKUP("PCS-30739g",[7]ARBOR!$A:$C,3,0)-1,4)),6))&lt;&gt;(DOLLAR(VLOOKUP("PCS-30739g",[7]ARBOR!$A:$C,3,0),6)),-TRUNC(CR14/VLOOKUP("PCS-30739g",[7]ARBOR!$A:$C,3,0)-1,4)+0.0001,-TRUNC(CR14/VLOOKUP("PCS-30739g",[7]ARBOR!$A:$C,3,0)-1,4)))))</f>
        <v>0.71560000000000001</v>
      </c>
      <c r="CT14" s="65" t="str">
        <f>IF(ISERROR(IF(CS14="","",VLOOKUP(($BH14&amp;CS14&amp;"Template de desconto FLAT bundle - Velox XDSL - Varejo"),[7]BENEFICIOS!$A:$E,5,0))),"Criar",IF(CS14="","",VLOOKUP(($BH14&amp;CS14&amp;"Template de desconto FLAT bundle - Velox XDSL - Varejo"),[7]BENEFICIOS!$A:$E,5,0)))</f>
        <v>MKT-1-9865191198</v>
      </c>
      <c r="CU14" s="69"/>
      <c r="CV14" s="70"/>
      <c r="CW14" s="64"/>
      <c r="CX14" s="65"/>
      <c r="CY14" s="68" t="s">
        <v>161</v>
      </c>
      <c r="CZ14" s="69">
        <v>59.9</v>
      </c>
      <c r="DA14" s="64">
        <f>IF(CZ14=0,"",IF(CZ14=VLOOKUP("PCS-30766g",[7]ARBOR!$A:$C,3,0),0.0001,IF(CZ14&gt;VLOOKUP("PCS-30766g",[7]ARBOR!$A:$C,3,0),"Maior que CAP!",IF((DOLLAR(CZ14+(VLOOKUP("PCS-30766g",[7]ARBOR!$A:$C,3,0)*-TRUNC(CZ14/VLOOKUP("PCS-30766g",[7]ARBOR!$A:$C,3,0)-1,4)),6))&lt;&gt;(DOLLAR(VLOOKUP("PCS-30766g",[7]ARBOR!$A:$C,3,0),6)),-TRUNC(CZ14/VLOOKUP("PCS-30766g",[7]ARBOR!$A:$C,3,0)-1,4)+0.0001,-TRUNC(CZ14/VLOOKUP("PCS-30766g",[7]ARBOR!$A:$C,3,0)-1,4)))))</f>
        <v>0.78669999999999995</v>
      </c>
      <c r="DB14" s="65" t="str">
        <f>IF(ISERROR(IF(DA14="","",VLOOKUP(($BH14&amp;DA14&amp;"Template de desconto FLAT bundle - Velox XDSL - Varejo"),[7]BENEFICIOS!$A:$E,5,0))),"Criar",IF(DA14="","",VLOOKUP(($BH14&amp;DA14&amp;"Template de desconto FLAT bundle - Velox XDSL - Varejo"),[7]BENEFICIOS!$A:$E,5,0)))</f>
        <v>MKT-1-9865191291</v>
      </c>
      <c r="DC14" s="69"/>
      <c r="DD14" s="70"/>
      <c r="DE14" s="64"/>
      <c r="DF14" s="65"/>
      <c r="DG14" s="68" t="s">
        <v>240</v>
      </c>
      <c r="DH14" s="69">
        <v>69.900000000000006</v>
      </c>
      <c r="DI14" s="64">
        <f>IF(DH14=0,"",IF(DH14=VLOOKUP("PCS-30793g",[7]ARBOR!$A:$C,3,0),0.0001,IF(DH14&gt;VLOOKUP("PCS-30793g",[7]ARBOR!$A:$C,3,0),"Maior que CAP!",IF((DOLLAR(DH14+(VLOOKUP("PCS-30793g",[7]ARBOR!$A:$C,3,0)*-TRUNC(DH14/VLOOKUP("PCS-30793g",[7]ARBOR!$A:$C,3,0)-1,4)),6))&lt;&gt;(DOLLAR(VLOOKUP("PCS-30793g",[7]ARBOR!$A:$C,3,0),6)),-TRUNC(DH14/VLOOKUP("PCS-30793g",[7]ARBOR!$A:$C,3,0)-1,4)+0.0001,-TRUNC(DH14/VLOOKUP("PCS-30793g",[7]ARBOR!$A:$C,3,0)-1,4)))))</f>
        <v>0.75109999999999999</v>
      </c>
      <c r="DJ14" s="65" t="str">
        <f>IF(ISERROR(IF(DI14="","",VLOOKUP(($BH14&amp;DI14&amp;"Template de desconto FLAT bundle - Velox XDSL - Varejo"),[7]BENEFICIOS!$A:$E,5,0))),"Criar",IF(DI14="","",VLOOKUP(($BH14&amp;DI14&amp;"Template de desconto FLAT bundle - Velox XDSL - Varejo"),[7]BENEFICIOS!$A:$E,5,0)))</f>
        <v>MKT-1-9865191384</v>
      </c>
      <c r="DK14" s="69"/>
      <c r="DL14" s="70"/>
      <c r="DM14" s="64"/>
      <c r="DN14" s="65"/>
      <c r="DO14" s="68" t="s">
        <v>161</v>
      </c>
      <c r="DP14" s="69">
        <v>69.900000000000006</v>
      </c>
      <c r="DQ14" s="64">
        <f>IF(DP14=0,"",IF(DP14=VLOOKUP("PCS-30820g",[7]ARBOR!$A:$C,3,0),0.0001,IF(DP14&gt;VLOOKUP("PCS-30820g",[7]ARBOR!$A:$C,3,0),"Maior que CAP!",IF((DOLLAR(DP14+(VLOOKUP("PCS-30820g",[7]ARBOR!$A:$C,3,0)*-TRUNC(DP14/VLOOKUP("PCS-30820g",[7]ARBOR!$A:$C,3,0)-1,4)),6))&lt;&gt;(DOLLAR(VLOOKUP("PCS-30820g",[7]ARBOR!$A:$C,3,0),6)),-TRUNC(DP14/VLOOKUP("PCS-30820g",[7]ARBOR!$A:$C,3,0)-1,4)+0.0001,-TRUNC(DP14/VLOOKUP("PCS-30820g",[7]ARBOR!$A:$C,3,0)-1,4)))))</f>
        <v>0.75109999999999999</v>
      </c>
      <c r="DR14" s="65" t="str">
        <f>IF(ISERROR(IF(DQ14="","",VLOOKUP(($BH14&amp;DQ14&amp;"Template de desconto FLAT bundle - Velox XDSL - Varejo"),[7]BENEFICIOS!$A:$E,5,0))),"Criar",IF(DQ14="","",VLOOKUP(($BH14&amp;DQ14&amp;"Template de desconto FLAT bundle - Velox XDSL - Varejo"),[7]BENEFICIOS!$A:$E,5,0)))</f>
        <v>MKT-1-9865191384</v>
      </c>
      <c r="DS14" s="69"/>
      <c r="DT14" s="70"/>
      <c r="DU14" s="64"/>
      <c r="DV14" s="65"/>
      <c r="DW14" s="71"/>
      <c r="DX14" s="64" t="str">
        <f>IF(DW14=0,"",IF(DW14=VLOOKUP("PCS-21448p2",[7]ARBOR!$A:$C,3,0),0.0001,IF(DW14&gt;VLOOKUP("PCS-21448p2",[7]ARBOR!$A:$C,3,0),"Maior que CAP!",IF((DOLLAR(DW14+(VLOOKUP("PCS-21448p2",[7]ARBOR!$A:$C,3,0)*-TRUNC(DW14/VLOOKUP("PCS-21448p2",[7]ARBOR!$A:$C,3,0)-1,4)),6))&lt;&gt;(DOLLAR(VLOOKUP("PCS-21448p2",[7]ARBOR!$A:$C,3,0),6)),-TRUNC(DW14/VLOOKUP("PCS-21448p2",[7]ARBOR!$A:$C,3,0)-1,4)+0.0001,-TRUNC(DW14/VLOOKUP("PCS-21448p2",[7]ARBOR!$A:$C,3,0)-1,4)))))</f>
        <v/>
      </c>
      <c r="DY14" s="65" t="str">
        <f>IF(ISERROR(IF(DX14="","",VLOOKUP(("Oi Conta Total Plug 10GB Downgrade"&amp;DX14&amp;"Template de desconto percentual BL Móvel - Internet Total - Varejo"),[7]BENEFICIOS!$A:$E,5,0))),"Criar",IF(DX14="","",VLOOKUP(("Oi Conta Total Plug 10GB Downgrade"&amp;DX14&amp;"Template de desconto percentual BL Móvel - Internet Total - Varejo"),[7]BENEFICIOS!$A:$E,5,0)))</f>
        <v/>
      </c>
      <c r="DZ14" s="71">
        <v>19.899999999999999</v>
      </c>
      <c r="EA14" s="72">
        <f>IF(DZ14=0,"",IF(DZ14=VLOOKUP("SVA",[7]ARBOR!$A:$C,3,0),0.0001,IF(DZ14&gt;VLOOKUP("SVA",[7]ARBOR!$A:$C,3,0),"Maior que CAP!",IF((DOLLAR(DZ14+(VLOOKUP("SVA",[7]ARBOR!$A:$C,3,0)*-TRUNC(DZ14/VLOOKUP("SVA",[7]ARBOR!$A:$C,3,0)-1,4)),6))&lt;&gt;(DOLLAR(VLOOKUP("SVA",[7]ARBOR!$A:$C,3,0),6)),-TRUNC(DZ14/VLOOKUP("SVA",[7]ARBOR!$A:$C,3,0)-1,4)+0.0001,-TRUNC(DZ14/VLOOKUP("SVA",[7]ARBOR!$A:$C,3,0)-1,4)))))</f>
        <v>7.1400000000000005E-2</v>
      </c>
      <c r="EB14" s="65" t="s">
        <v>241</v>
      </c>
      <c r="EC14" s="69"/>
      <c r="ED14" s="73"/>
      <c r="EE14" s="74"/>
      <c r="EF14" s="65"/>
      <c r="EG14" s="75">
        <f>IF(BI14="","",VLOOKUP(BI14,[7]ARBOR!A:C,3,0))</f>
        <v>479.46</v>
      </c>
      <c r="EH14" s="69">
        <v>15</v>
      </c>
      <c r="EI14" s="76">
        <f>IF(EH14="","",1-(EH14/VLOOKUP(BI14&amp;"ASS",[7]ARBOR!A:C,3,0)))</f>
        <v>0.34725848563968664</v>
      </c>
      <c r="EJ14" s="77" t="s">
        <v>224</v>
      </c>
      <c r="EK14" s="78" t="s">
        <v>225</v>
      </c>
      <c r="EL14" s="69">
        <v>180.36999999999998</v>
      </c>
      <c r="EM14" s="64">
        <f>ROUND(IF(EL14=0,"",IF(EL14=EG14,0.0001,1-((EL14+(VLOOKUP(BI14&amp;"ASS",[7]ARBOR!A:C,3,0)-EH14))/EG14))),4)</f>
        <v>0.60719999999999996</v>
      </c>
      <c r="EN14" s="65" t="str">
        <f>IF(ISERROR(IF(EM14="","",VLOOKUP(($BH14&amp;EM14&amp;"Template de desconto percentual FLAT Móvel - Conta Total - Varejo - Ganho Tributário Cross"),[7]BENEFICIOS!$A:$E,5,0))),"Criar",IF(EM14="","",VLOOKUP(($BH14&amp;EM14&amp;"Template de desconto percentual FLAT Móvel - Conta Total - Varejo - Ganho Tributário Cross"),[7]BENEFICIOS!$A:$E,5,0)))</f>
        <v>Criar</v>
      </c>
      <c r="EO14" s="79"/>
      <c r="EP14" s="64"/>
      <c r="EQ14" s="72"/>
      <c r="ER14" s="72"/>
      <c r="ES14" s="64"/>
      <c r="ET14" s="80"/>
      <c r="EU14" s="81" t="s">
        <v>244</v>
      </c>
      <c r="EV14" s="81" t="s">
        <v>267</v>
      </c>
      <c r="EW14" s="82"/>
      <c r="EX14" s="83"/>
      <c r="EY14" s="84"/>
      <c r="EZ14" s="82"/>
      <c r="FA14" s="83"/>
      <c r="FB14" s="84"/>
      <c r="FC14" s="82"/>
      <c r="FD14" s="83" t="str">
        <f>IF(FC14=0,"",IF(FC14=VLOOKUP("PCS-10357",[7]ARBOR!$A:$C,3,0),0.0001,IF(FC14&gt;VLOOKUP("PCS-10357",[7]ARBOR!$A:$C,3,0),"Maior que CAP!",ROUND(-1*(FC14/VLOOKUP("PCS-10357",[7]ARBOR!$A:$C,3,0)-1),4))))</f>
        <v/>
      </c>
      <c r="FE14" s="84" t="str">
        <f>IF(ISERROR(IF(FD14="","",VLOOKUP(("Oi Internet Pra Celular 1GB"&amp;FD14&amp;"Template Flat Instância Dados"),[7]BENEFICIOS!$A:$E,5,0))),"Criar",IF(FD14="","",VLOOKUP(("Oi Internet Pra Celular 1GB"&amp;FD14&amp;"Template Flat Instância Dados"),[7]BENEFICIOS!$A:$E,5,0)))</f>
        <v/>
      </c>
      <c r="FF14" s="82"/>
      <c r="FG14" s="83" t="str">
        <f>IF(FF14=0,"",IF(FF14=VLOOKUP("PCS-813565",[7]ARBOR!$A:$C,3,0),0.0001,IF(FF14&gt;VLOOKUP("PCS-813565",[7]ARBOR!$A:$C,3,0),"Maior que CAP!",ROUND(-1*(FF14/VLOOKUP("PCS-813565",[7]ARBOR!$A:$C,3,0)-1),4))))</f>
        <v/>
      </c>
      <c r="FH14" s="84" t="str">
        <f>IF(ISERROR(IF(FG14="","",VLOOKUP(("Oi Internet Pra Celular 2GB"&amp;FG14&amp;"Template Flat Instância Dados"),[7]BENEFICIOS!$A:$E,5,0))),"Criar",IF(FG14="","",VLOOKUP(("Oi Internet Pra Celular 2GB"&amp;FG14&amp;"Template Flat Instância Dados"),[7]BENEFICIOS!$A:$E,5,0)))</f>
        <v/>
      </c>
      <c r="FI14" s="82"/>
      <c r="FJ14" s="83" t="str">
        <f>IF(FI14=0,"",IF(FI14=VLOOKUP("PCS-7171B",[7]ARBOR!$A:$C,3,0),0.0001,IF(FI14&gt;VLOOKUP("PCS-7171B",[7]ARBOR!$A:$C,3,0),"Maior que CAP!",ROUND(-1*(FI14/VLOOKUP("PCS-7171B",[7]ARBOR!$A:$C,3,0)-1),4))))</f>
        <v/>
      </c>
      <c r="FK14" s="84" t="str">
        <f>IF(ISERROR(IF(FJ14="","",VLOOKUP(("Oi Internet Pra Celular 3GB"&amp;FJ14&amp;"Template Flat Instância Dados"),[7]BENEFICIOS!$A:$E,5,0))),"Criar",IF(FJ14="","",VLOOKUP(("Oi Internet Pra Celular 3GB"&amp;FJ14&amp;"Template Flat Instância Dados"),[7]BENEFICIOS!$A:$E,5,0)))</f>
        <v/>
      </c>
      <c r="FL14" s="82"/>
      <c r="FM14" s="83"/>
      <c r="FN14" s="84"/>
      <c r="FO14" s="82">
        <v>35.53</v>
      </c>
      <c r="FP14" s="83">
        <f>IF(FO14=0,"",IF(FO14=VLOOKUP("PCS-7171A",[7]ARBOR!$A:$C,3,0),0.0001,IF(FO14&gt;VLOOKUP("PCS-7171A",[7]ARBOR!$A:$C,3,0),"Maior que CAP!",ROUND(-1*(FO14/VLOOKUP("PCS-7171A",[7]ARBOR!$A:$C,3,0)-1),4))))</f>
        <v>0.81899999999999995</v>
      </c>
      <c r="FQ14" s="84" t="str">
        <f>IF(ISERROR(IF(FP14="","",VLOOKUP(("Oi Internet Pra Celular 10GB"&amp;FP14&amp;"Template Flat Instância Dados"),[7]BENEFICIOS!$A:$E,5,0))),"Criar",IF(FP14="","",VLOOKUP(("Oi Internet Pra Celular 10GB"&amp;FP14&amp;"Template Flat Instância Dados"),[7]BENEFICIOS!$A:$E,5,0)))</f>
        <v>MKT-1-9869971287</v>
      </c>
      <c r="FR14" s="85">
        <v>0.74260000000000004</v>
      </c>
      <c r="FS14" s="86" t="s">
        <v>262</v>
      </c>
      <c r="FT14" s="48"/>
      <c r="FU14" s="87"/>
      <c r="FV14" s="88" t="s">
        <v>221</v>
      </c>
      <c r="FW14" s="49" t="s">
        <v>226</v>
      </c>
      <c r="FX14" s="89">
        <v>999</v>
      </c>
      <c r="FY14" s="49">
        <v>12</v>
      </c>
      <c r="FZ14" s="90" t="s">
        <v>227</v>
      </c>
      <c r="GA14" s="91" t="str">
        <f t="shared" si="1"/>
        <v>PCS-Fk83324</v>
      </c>
      <c r="GB14" s="92" t="str">
        <f t="shared" si="2"/>
        <v>PCS-SBL553142</v>
      </c>
      <c r="GC14" s="93" t="s">
        <v>228</v>
      </c>
      <c r="GD14" s="90" t="s">
        <v>229</v>
      </c>
      <c r="GE14" s="92" t="s">
        <v>230</v>
      </c>
      <c r="GF14" s="93" t="s">
        <v>231</v>
      </c>
      <c r="GG14" s="90" t="s">
        <v>232</v>
      </c>
      <c r="GH14" s="92" t="s">
        <v>233</v>
      </c>
      <c r="GI14" s="94" t="s">
        <v>234</v>
      </c>
      <c r="GJ14" s="95">
        <f>FO14+EL14+CN14+BJ14</f>
        <v>315.89999999999998</v>
      </c>
      <c r="GK14" s="96"/>
      <c r="GL14" s="97" t="s">
        <v>235</v>
      </c>
      <c r="GM14" s="98" t="s">
        <v>236</v>
      </c>
      <c r="GN14" s="97">
        <f>VLOOKUP($A14,'[7]TABELA COM TUDO'!$A:$AB,25,0)</f>
        <v>20.350000000000001</v>
      </c>
      <c r="GO14" s="99">
        <f>VLOOKUP($A14,'[7]TABELA COM TUDO'!$A:$AB,26,0)</f>
        <v>5.24</v>
      </c>
      <c r="GP14" s="100">
        <f t="shared" si="8"/>
        <v>0.74250000000000005</v>
      </c>
      <c r="GQ14" s="97">
        <f t="shared" si="4"/>
        <v>15.1</v>
      </c>
      <c r="GR14" s="97">
        <f t="shared" si="5"/>
        <v>5.2500000000000018</v>
      </c>
      <c r="GS14" s="101"/>
      <c r="GT14" s="101"/>
      <c r="GU14" s="102" t="b">
        <f t="shared" si="6"/>
        <v>0</v>
      </c>
      <c r="GV14" s="103">
        <f t="shared" si="7"/>
        <v>1.0000000000001563E-2</v>
      </c>
      <c r="GW14" s="44" t="s">
        <v>270</v>
      </c>
      <c r="GX14" s="44" t="s">
        <v>238</v>
      </c>
    </row>
    <row r="15" spans="1:206" s="44" customFormat="1" x14ac:dyDescent="0.35">
      <c r="A15" s="44" t="str">
        <f t="shared" si="0"/>
        <v>Oi Total Fixo + Pós 800 + Banda LargaN2MG</v>
      </c>
      <c r="B15" s="45" t="s">
        <v>211</v>
      </c>
      <c r="C15" s="46" t="s">
        <v>127</v>
      </c>
      <c r="D15" s="46" t="s">
        <v>212</v>
      </c>
      <c r="E15" s="47" t="s">
        <v>213</v>
      </c>
      <c r="F15" s="88" t="s">
        <v>214</v>
      </c>
      <c r="G15" s="49"/>
      <c r="H15" s="49"/>
      <c r="I15" s="49"/>
      <c r="J15" s="49" t="s">
        <v>214</v>
      </c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 t="s">
        <v>214</v>
      </c>
      <c r="AC15" s="49" t="s">
        <v>214</v>
      </c>
      <c r="AD15" s="49" t="s">
        <v>214</v>
      </c>
      <c r="AE15" s="49" t="s">
        <v>214</v>
      </c>
      <c r="AF15" s="49" t="s">
        <v>214</v>
      </c>
      <c r="AG15" s="49" t="s">
        <v>214</v>
      </c>
      <c r="AH15" s="50"/>
      <c r="AI15" s="49" t="s">
        <v>214</v>
      </c>
      <c r="AJ15" s="49" t="s">
        <v>214</v>
      </c>
      <c r="AK15" s="49" t="s">
        <v>214</v>
      </c>
      <c r="AL15" s="49" t="s">
        <v>214</v>
      </c>
      <c r="AM15" s="49" t="s">
        <v>214</v>
      </c>
      <c r="AN15" s="49" t="s">
        <v>214</v>
      </c>
      <c r="AO15" s="49" t="s">
        <v>214</v>
      </c>
      <c r="AP15" s="49"/>
      <c r="AQ15" s="51"/>
      <c r="AR15" s="52" t="s">
        <v>271</v>
      </c>
      <c r="AS15" s="46" t="s">
        <v>216</v>
      </c>
      <c r="AT15" s="53" t="s">
        <v>217</v>
      </c>
      <c r="AU15" s="54">
        <v>42972</v>
      </c>
      <c r="AV15" s="105">
        <v>43097</v>
      </c>
      <c r="AW15" s="56" t="s">
        <v>218</v>
      </c>
      <c r="AX15" s="57" t="s">
        <v>218</v>
      </c>
      <c r="AY15" s="58"/>
      <c r="AZ15" s="58" t="s">
        <v>219</v>
      </c>
      <c r="BA15" s="58">
        <v>20</v>
      </c>
      <c r="BB15" s="58">
        <v>10000</v>
      </c>
      <c r="BC15" s="59" t="s">
        <v>220</v>
      </c>
      <c r="BD15" s="60" t="s">
        <v>221</v>
      </c>
      <c r="BE15" s="58" t="s">
        <v>213</v>
      </c>
      <c r="BF15" s="51" t="s">
        <v>213</v>
      </c>
      <c r="BG15" s="45" t="s">
        <v>271</v>
      </c>
      <c r="BH15" s="61" t="s">
        <v>222</v>
      </c>
      <c r="BI15" s="62" t="str">
        <f>IF(ISERROR(VLOOKUP(BH15,[8]PLANOS!B:C,2,0)),"",VLOOKUP(BH15,[8]PLANOS!B:C,2,0))</f>
        <v>PCS-4P6pi</v>
      </c>
      <c r="BJ15" s="63">
        <v>50.1</v>
      </c>
      <c r="BK15" s="64">
        <f>IF(BJ15=0,"",IF(BJ15=VLOOKUP("FIXO",[8]ARBOR!$A:$C,3,0),0.0001,IF(BJ15&gt;VLOOKUP("FIXO",[8]ARBOR!$A:$C,3,0),"Maior que CAP!",IF((DOLLAR(BJ15+(VLOOKUP("FIXO",[8]ARBOR!$A:$C,3,0)*-TRUNC(BJ15/VLOOKUP("FIXO",[8]ARBOR!$A:$C,3,0)-1,4)),6))&lt;&gt;(DOLLAR(VLOOKUP("FIXO",[8]ARBOR!$A:$C,3,0),6)),-TRUNC(BJ15/VLOOKUP("FIXO",[8]ARBOR!$A:$C,3,0)-1,4)+0.0001,-TRUNC(BJ15/VLOOKUP("FIXO",[8]ARBOR!$A:$C,3,0)-1,4)))))</f>
        <v>0.33939999999999998</v>
      </c>
      <c r="BL15" s="65" t="str">
        <f>IF(ISERROR(IF(BK15="","",VLOOKUP(($BH15&amp;BK15&amp;"Template de desconto FLAT bundle - Fixo - Varejo - Ganho Tributário Cross"),[8]BENEFICIOS!$A:$E,5,0))),"Criar",IF(BK15="","",VLOOKUP(($BH15&amp;BK15&amp;"Template de desconto FLAT bundle - Fixo - Varejo - Ganho Tributário Cross"),[8]BENEFICIOS!$A:$E,5,0)))</f>
        <v>MKT-1-9856472058</v>
      </c>
      <c r="BM15" s="66"/>
      <c r="BN15" s="67"/>
      <c r="BO15" s="68" t="s">
        <v>161</v>
      </c>
      <c r="BP15" s="69">
        <v>44.9</v>
      </c>
      <c r="BQ15" s="64">
        <f>IF(BP15=0,"",IF(BP15=VLOOKUP("PCS-30874g",[8]ARBOR!$A:$C,3,0),0.0001,IF(BP15&gt;VLOOKUP("PCS-30874g",[8]ARBOR!$A:$C,3,0),"Maior que CAP!",IF((DOLLAR(BP15+(VLOOKUP("PCS-30874g",[8]ARBOR!$A:$C,3,0)*-TRUNC(BP15/VLOOKUP("PCS-30874g",[8]ARBOR!$A:$C,3,0)-1,4)),6))&lt;&gt;(DOLLAR(VLOOKUP("PCS-30874g",[8]ARBOR!$A:$C,3,0),6)),-TRUNC(BP15/VLOOKUP("PCS-30874g",[8]ARBOR!$A:$C,3,0)-1,4)+0.0001,-TRUNC(BP15/VLOOKUP("PCS-30874g",[8]ARBOR!$A:$C,3,0)-1,4)))))</f>
        <v>0.53679999999999994</v>
      </c>
      <c r="BR15" s="65" t="str">
        <f>IF(ISERROR(IF(BQ15="","",VLOOKUP(($BH15&amp;BQ15&amp;"Template de desconto FLAT bundle - Velox XDSL - Varejo"),[8]BENEFICIOS!$A:$E,5,0))),"Criar",IF(BQ15="","",VLOOKUP(($BH15&amp;BQ15&amp;"Template de desconto FLAT bundle - Velox XDSL - Varejo"),[8]BENEFICIOS!$A:$E,5,0)))</f>
        <v>MKT-1-9865126733</v>
      </c>
      <c r="BS15" s="68" t="s">
        <v>161</v>
      </c>
      <c r="BT15" s="69">
        <v>44.9</v>
      </c>
      <c r="BU15" s="64">
        <f>IF(BT15=0,"",IF(BT15=VLOOKUP("PCS-30577g",[8]ARBOR!$A:$C,3,0),0.0001,IF(BT15&gt;VLOOKUP("PCS-30577g",[8]ARBOR!$A:$C,3,0),"Maior que CAP!",IF((DOLLAR(BT15+(VLOOKUP("PCS-30577g",[8]ARBOR!$A:$C,3,0)*-TRUNC(BT15/VLOOKUP("PCS-30577g",[8]ARBOR!$A:$C,3,0)-1,4)),6))&lt;&gt;(DOLLAR(VLOOKUP("PCS-30577g",[8]ARBOR!$A:$C,3,0),6)),-TRUNC(BT15/VLOOKUP("PCS-30577g",[8]ARBOR!$A:$C,3,0)-1,4)+0.0001,-TRUNC(BT15/VLOOKUP("PCS-30577g",[8]ARBOR!$A:$C,3,0)-1,4)))))</f>
        <v>0.53679999999999994</v>
      </c>
      <c r="BV15" s="65" t="str">
        <f>IF(ISERROR(IF(BU15="","",VLOOKUP(($BH15&amp;BU15&amp;"Template de desconto FLAT bundle - Velox XDSL - Varejo"),[8]BENEFICIOS!$A:$E,5,0))),"Criar",IF(BU15="","",VLOOKUP(($BH15&amp;BU15&amp;"Template de desconto FLAT bundle - Velox XDSL - Varejo"),[8]BENEFICIOS!$A:$E,5,0)))</f>
        <v>MKT-1-9865126733</v>
      </c>
      <c r="BW15" s="68" t="s">
        <v>161</v>
      </c>
      <c r="BX15" s="69">
        <v>44.9</v>
      </c>
      <c r="BY15" s="64">
        <f>IF(BX15=0,"",IF(BX15=VLOOKUP("PCS-30604g",[8]ARBOR!$A:$C,3,0),0.0001,IF(BX15&gt;VLOOKUP("PCS-30604g",[8]ARBOR!$A:$C,3,0),"Maior que CAP!",IF((DOLLAR(BX15+(VLOOKUP("PCS-30604g",[8]ARBOR!$A:$C,3,0)*-TRUNC(BX15/VLOOKUP("PCS-30604g",[8]ARBOR!$A:$C,3,0)-1,4)),6))&lt;&gt;(DOLLAR(VLOOKUP("PCS-30604g",[8]ARBOR!$A:$C,3,0),6)),-TRUNC(BX15/VLOOKUP("PCS-30604g",[8]ARBOR!$A:$C,3,0)-1,4)+0.0001,-TRUNC(BX15/VLOOKUP("PCS-30604g",[8]ARBOR!$A:$C,3,0)-1,4)))))</f>
        <v>0.53679999999999994</v>
      </c>
      <c r="BZ15" s="65" t="str">
        <f>IF(ISERROR(IF(BY15="","",VLOOKUP(($BH15&amp;BY15&amp;"Template de desconto FLAT bundle - Velox XDSL - Varejo"),[8]BENEFICIOS!$A:$E,5,0))),"Criar",IF(BY15="","",VLOOKUP(($BH15&amp;BY15&amp;"Template de desconto FLAT bundle - Velox XDSL - Varejo"),[8]BENEFICIOS!$A:$E,5,0)))</f>
        <v>MKT-1-9865126733</v>
      </c>
      <c r="CA15" s="68" t="s">
        <v>161</v>
      </c>
      <c r="CB15" s="69">
        <v>44.9</v>
      </c>
      <c r="CC15" s="64">
        <f>IF(CB15=0,"",IF(CB15=VLOOKUP("PCS-30631g",[8]ARBOR!$A:$C,3,0),0.0001,IF(CB15&gt;VLOOKUP("PCS-30631g",[8]ARBOR!$A:$C,3,0),"Maior que CAP!",IF((DOLLAR(CB15+(VLOOKUP("PCS-30631g",[8]ARBOR!$A:$C,3,0)*-TRUNC(CB15/VLOOKUP("PCS-30631g",[8]ARBOR!$A:$C,3,0)-1,4)),6))&lt;&gt;(DOLLAR(VLOOKUP("PCS-30631g",[8]ARBOR!$A:$C,3,0),6)),-TRUNC(CB15/VLOOKUP("PCS-30631g",[8]ARBOR!$A:$C,3,0)-1,4)+0.0001,-TRUNC(CB15/VLOOKUP("PCS-30631g",[8]ARBOR!$A:$C,3,0)-1,4)))))</f>
        <v>0.54310000000000003</v>
      </c>
      <c r="CD15" s="65" t="str">
        <f>IF(ISERROR(IF(CC15="","",VLOOKUP(($BH15&amp;CC15&amp;"Template de desconto FLAT bundle - Velox XDSL - Varejo"),[8]BENEFICIOS!$A:$E,5,0))),"Criar",IF(CC15="","",VLOOKUP(($BH15&amp;CC15&amp;"Template de desconto FLAT bundle - Velox XDSL - Varejo"),[8]BENEFICIOS!$A:$E,5,0)))</f>
        <v>MKT-1-9865126826</v>
      </c>
      <c r="CE15" s="68"/>
      <c r="CF15" s="69"/>
      <c r="CG15" s="64" t="str">
        <f>IF(CF15=0,"",IF(CF15=VLOOKUP("PCS-30658g",[8]ARBOR!$A:$C,3,0),0.0001,IF(CF15&gt;VLOOKUP("PCS-30658g",[8]ARBOR!$A:$C,3,0),"Maior que CAP!",IF((DOLLAR(CF15+(VLOOKUP("PCS-30658g",[8]ARBOR!$A:$C,3,0)*-TRUNC(CF15/VLOOKUP("PCS-30658g",[8]ARBOR!$A:$C,3,0)-1,4)),6))&lt;&gt;(DOLLAR(VLOOKUP("PCS-30658g",[8]ARBOR!$A:$C,3,0),6)),-TRUNC(CF15/VLOOKUP("PCS-30658g",[8]ARBOR!$A:$C,3,0)-1,4)+0.0001,-TRUNC(CF15/VLOOKUP("PCS-30658g",[8]ARBOR!$A:$C,3,0)-1,4)))))</f>
        <v/>
      </c>
      <c r="CH15" s="65" t="str">
        <f>IF(ISERROR(IF(CG15="","",VLOOKUP(($BH15&amp;CG15&amp;"Template de desconto FLAT bundle - Velox XDSL - Varejo"),[8]BENEFICIOS!$A:$E,5,0))),"Criar",IF(CG15="","",VLOOKUP(($BH15&amp;CG15&amp;"Template de desconto FLAT bundle - Velox XDSL - Varejo"),[8]BENEFICIOS!$A:$E,5,0)))</f>
        <v/>
      </c>
      <c r="CI15" s="68"/>
      <c r="CJ15" s="69"/>
      <c r="CK15" s="64" t="str">
        <f>IF(CJ15=0,"",IF(CJ15=VLOOKUP("PCS-30685g",[8]ARBOR!$A:$C,3,0),0.0001,IF(CJ15&gt;VLOOKUP("PCS-30685g",[8]ARBOR!$A:$C,3,0),"Maior que CAP!",IF((DOLLAR(CJ15+(VLOOKUP("PCS-30685g",[8]ARBOR!$A:$C,3,0)*-TRUNC(CJ15/VLOOKUP("PCS-30685g",[8]ARBOR!$A:$C,3,0)-1,4)),6))&lt;&gt;(DOLLAR(VLOOKUP("PCS-30685g",[8]ARBOR!$A:$C,3,0),6)),-TRUNC(CJ15/VLOOKUP("PCS-30685g",[8]ARBOR!$A:$C,3,0)-1,4)+0.0001,-TRUNC(CJ15/VLOOKUP("PCS-30685g",[8]ARBOR!$A:$C,3,0)-1,4)))))</f>
        <v/>
      </c>
      <c r="CL15" s="65" t="str">
        <f>IF(ISERROR(IF(CK15="","",VLOOKUP(($BH15&amp;CK15&amp;"Template de desconto FLAT bundle - Velox XDSL - Varejo"),[8]BENEFICIOS!$A:$E,5,0))),"Criar",IF(CK15="","",VLOOKUP(($BH15&amp;CK15&amp;"Template de desconto FLAT bundle - Velox XDSL - Varejo"),[8]BENEFICIOS!$A:$E,5,0)))</f>
        <v/>
      </c>
      <c r="CM15" s="68"/>
      <c r="CN15" s="69"/>
      <c r="CO15" s="64" t="str">
        <f>IF(CN15=0,"",IF(CN15=VLOOKUP("PCS-30712g",[8]ARBOR!$A:$C,3,0),0.0001,IF(CN15&gt;VLOOKUP("PCS-30712g",[8]ARBOR!$A:$C,3,0),"Maior que CAP!",IF((DOLLAR(CN15+(VLOOKUP("PCS-30712g",[8]ARBOR!$A:$C,3,0)*-TRUNC(CN15/VLOOKUP("PCS-30712g",[8]ARBOR!$A:$C,3,0)-1,4)),6))&lt;&gt;(DOLLAR(VLOOKUP("PCS-30712g",[8]ARBOR!$A:$C,3,0),6)),-TRUNC(CN15/VLOOKUP("PCS-30712g",[8]ARBOR!$A:$C,3,0)-1,4)+0.0001,-TRUNC(CN15/VLOOKUP("PCS-30712g",[8]ARBOR!$A:$C,3,0)-1,4)))))</f>
        <v/>
      </c>
      <c r="CP15" s="65" t="str">
        <f>IF(ISERROR(IF(CO15="","",VLOOKUP(($BH15&amp;CO15&amp;"Template de desconto FLAT bundle - Velox XDSL - Varejo"),[8]BENEFICIOS!$A:$E,5,0))),"Criar",IF(CO15="","",VLOOKUP(($BH15&amp;CO15&amp;"Template de desconto FLAT bundle - Velox XDSL - Varejo"),[8]BENEFICIOS!$A:$E,5,0)))</f>
        <v/>
      </c>
      <c r="CQ15" s="68"/>
      <c r="CR15" s="69"/>
      <c r="CS15" s="64" t="str">
        <f>IF(CR15=0,"",IF(CR15=VLOOKUP("PCS-30739g",[8]ARBOR!$A:$C,3,0),0.0001,IF(CR15&gt;VLOOKUP("PCS-30739g",[8]ARBOR!$A:$C,3,0),"Maior que CAP!",IF((DOLLAR(CR15+(VLOOKUP("PCS-30739g",[8]ARBOR!$A:$C,3,0)*-TRUNC(CR15/VLOOKUP("PCS-30739g",[8]ARBOR!$A:$C,3,0)-1,4)),6))&lt;&gt;(DOLLAR(VLOOKUP("PCS-30739g",[8]ARBOR!$A:$C,3,0),6)),-TRUNC(CR15/VLOOKUP("PCS-30739g",[8]ARBOR!$A:$C,3,0)-1,4)+0.0001,-TRUNC(CR15/VLOOKUP("PCS-30739g",[8]ARBOR!$A:$C,3,0)-1,4)))))</f>
        <v/>
      </c>
      <c r="CT15" s="65" t="str">
        <f>IF(ISERROR(IF(CS15="","",VLOOKUP(($BH15&amp;CS15&amp;"Template de desconto FLAT bundle - Velox XDSL - Varejo"),[8]BENEFICIOS!$A:$E,5,0))),"Criar",IF(CS15="","",VLOOKUP(($BH15&amp;CS15&amp;"Template de desconto FLAT bundle - Velox XDSL - Varejo"),[8]BENEFICIOS!$A:$E,5,0)))</f>
        <v/>
      </c>
      <c r="CU15" s="69"/>
      <c r="CV15" s="70"/>
      <c r="CW15" s="64" t="str">
        <f>IF(CU15=0,"",IF(CU15=VLOOKUP("PCS-30739g",[8]ARBOR!$A:$C,3,0),0.0001,IF(CU15&gt;VLOOKUP("PCS-30739g",[8]ARBOR!$A:$C,3,0),"Maior que CAP!",IF((DOLLAR(CU15+(VLOOKUP("PCS-30739g",[8]ARBOR!$A:$C,3,0)*-TRUNC(CU15/VLOOKUP("PCS-30739g",[8]ARBOR!$A:$C,3,0)-1,4)),6))&lt;&gt;(DOLLAR(VLOOKUP("PCS-30739g",[8]ARBOR!$A:$C,3,0),6)),(-TRUNC(CU15/VLOOKUP("PCS-30739g",[8]ARBOR!$A:$C,3,0)-1,4)+0.0001)-CS15,-TRUNC(CU15/VLOOKUP("PCS-30739g",[8]ARBOR!$A:$C,3,0)-1,4)-CS15))))</f>
        <v/>
      </c>
      <c r="CX15" s="65" t="str">
        <f>IF(ISERROR(IF(CW15="","",VLOOKUP(($BQ15&amp;CW15&amp;"Template de desconto percentual Bundle - Velox XDSL - Varejo"),[8]BENEFICIOS!$A:$E,5,0))),"Criar",IF(CW15="","",VLOOKUP(($BQ15&amp;CW15&amp;"Template de desconto percentual Bundle - Velox XDSL - Varejo"),[8]BENEFICIOS!$A:$E,5,0)))</f>
        <v/>
      </c>
      <c r="CY15" s="68"/>
      <c r="CZ15" s="69"/>
      <c r="DA15" s="64" t="str">
        <f>IF(CZ15=0,"",IF(CZ15=VLOOKUP("PCS-30766g",[8]ARBOR!$A:$C,3,0),0.0001,IF(CZ15&gt;VLOOKUP("PCS-30766g",[8]ARBOR!$A:$C,3,0),"Maior que CAP!",IF((DOLLAR(CZ15+(VLOOKUP("PCS-30766g",[8]ARBOR!$A:$C,3,0)*-TRUNC(CZ15/VLOOKUP("PCS-30766g",[8]ARBOR!$A:$C,3,0)-1,4)),6))&lt;&gt;(DOLLAR(VLOOKUP("PCS-30766g",[8]ARBOR!$A:$C,3,0),6)),-TRUNC(CZ15/VLOOKUP("PCS-30766g",[8]ARBOR!$A:$C,3,0)-1,4)+0.0001,-TRUNC(CZ15/VLOOKUP("PCS-30766g",[8]ARBOR!$A:$C,3,0)-1,4)))))</f>
        <v/>
      </c>
      <c r="DB15" s="65" t="str">
        <f>IF(ISERROR(IF(DA15="","",VLOOKUP(($BH15&amp;DA15&amp;"Template de desconto FLAT bundle - Velox XDSL - Varejo"),[8]BENEFICIOS!$A:$E,5,0))),"Criar",IF(DA15="","",VLOOKUP(($BH15&amp;DA15&amp;"Template de desconto FLAT bundle - Velox XDSL - Varejo"),[8]BENEFICIOS!$A:$E,5,0)))</f>
        <v/>
      </c>
      <c r="DC15" s="69"/>
      <c r="DD15" s="70"/>
      <c r="DE15" s="64" t="str">
        <f>IF(DC15=0,"",IF(DC15=VLOOKUP("PCS-30766g",[8]ARBOR!$A:$C,3,0),0.0001,IF(DC15&gt;VLOOKUP("PCS-30766g",[8]ARBOR!$A:$C,3,0),"Maior que CAP!",IF((DOLLAR(DC15+(VLOOKUP("PCS-30766g",[8]ARBOR!$A:$C,3,0)*-TRUNC(DC15/VLOOKUP("PCS-30766g",[8]ARBOR!$A:$C,3,0)-1,4)),6))&lt;&gt;(DOLLAR(VLOOKUP("PCS-30766g",[8]ARBOR!$A:$C,3,0),6)),(-TRUNC(DC15/VLOOKUP("PCS-30766g",[8]ARBOR!$A:$C,3,0)-1,4)+0.0001)-DA15,-TRUNC(DC15/VLOOKUP("PCS-30766g",[8]ARBOR!$A:$C,3,0)-1,4)-DA15))))</f>
        <v/>
      </c>
      <c r="DF15" s="65" t="str">
        <f>IF(ISERROR(IF(DE15="","",VLOOKUP(($BQ15&amp;DE15&amp;"Template de desconto percentual Bundle - Velox XDSL - Varejo"),[8]BENEFICIOS!$A:$E,5,0))),"Criar",IF(DE15="","",VLOOKUP(($BQ15&amp;DE15&amp;"Template de desconto percentual Bundle - Velox XDSL - Varejo"),[8]BENEFICIOS!$A:$E,5,0)))</f>
        <v/>
      </c>
      <c r="DG15" s="68"/>
      <c r="DH15" s="69"/>
      <c r="DI15" s="64" t="str">
        <f>IF(DH15=0,"",IF(DH15=VLOOKUP("PCS-30793g",[8]ARBOR!$A:$C,3,0),0.0001,IF(DH15&gt;VLOOKUP("PCS-30793g",[8]ARBOR!$A:$C,3,0),"Maior que CAP!",IF((DOLLAR(DH15+(VLOOKUP("PCS-30793g",[8]ARBOR!$A:$C,3,0)*-TRUNC(DH15/VLOOKUP("PCS-30793g",[8]ARBOR!$A:$C,3,0)-1,4)),6))&lt;&gt;(DOLLAR(VLOOKUP("PCS-30793g",[8]ARBOR!$A:$C,3,0),6)),-TRUNC(DH15/VLOOKUP("PCS-30793g",[8]ARBOR!$A:$C,3,0)-1,4)+0.0001,-TRUNC(DH15/VLOOKUP("PCS-30793g",[8]ARBOR!$A:$C,3,0)-1,4)))))</f>
        <v/>
      </c>
      <c r="DJ15" s="65" t="str">
        <f>IF(ISERROR(IF(DI15="","",VLOOKUP(($BH15&amp;DI15&amp;"Template de desconto FLAT bundle - Velox XDSL - Varejo"),[8]BENEFICIOS!$A:$E,5,0))),"Criar",IF(DI15="","",VLOOKUP(($BH15&amp;DI15&amp;"Template de desconto FLAT bundle - Velox XDSL - Varejo"),[8]BENEFICIOS!$A:$E,5,0)))</f>
        <v/>
      </c>
      <c r="DK15" s="69"/>
      <c r="DL15" s="70"/>
      <c r="DM15" s="64" t="str">
        <f>IF(DK15=0,"",IF(DK15=VLOOKUP("PCS-30793g",[8]ARBOR!$A:$C,3,0),0.0001,IF(DK15&gt;VLOOKUP("PCS-30793g",[8]ARBOR!$A:$C,3,0),"Maior que CAP!",IF((DOLLAR(DK15+(VLOOKUP("PCS-30793g",[8]ARBOR!$A:$C,3,0)*-TRUNC(DK15/VLOOKUP("PCS-30793g",[8]ARBOR!$A:$C,3,0)-1,4)),6))&lt;&gt;(DOLLAR(VLOOKUP("PCS-30793g",[8]ARBOR!$A:$C,3,0),6)),(-TRUNC(DK15/VLOOKUP("PCS-30793g",[8]ARBOR!$A:$C,3,0)-1,4)+0.0001)-DI15,-TRUNC(DK15/VLOOKUP("PCS-30793g",[8]ARBOR!$A:$C,3,0)-1,4)-DI15))))</f>
        <v/>
      </c>
      <c r="DN15" s="65" t="str">
        <f>IF(ISERROR(IF(DM15="","",VLOOKUP(($BQ15&amp;DM15&amp;"Template de desconto percentual Bundle - Velox XDSL - Varejo"),[8]BENEFICIOS!$A:$E,5,0))),"Criar",IF(DM15="","",VLOOKUP(($BQ15&amp;DM15&amp;"Template de desconto percentual Bundle - Velox XDSL - Varejo"),[8]BENEFICIOS!$A:$E,5,0)))</f>
        <v/>
      </c>
      <c r="DO15" s="68"/>
      <c r="DP15" s="69"/>
      <c r="DQ15" s="64" t="str">
        <f>IF(DP15=0,"",IF(DP15=VLOOKUP("PCS-30820g",[8]ARBOR!$A:$C,3,0),0.0001,IF(DP15&gt;VLOOKUP("PCS-30820g",[8]ARBOR!$A:$C,3,0),"Maior que CAP!",IF((DOLLAR(DP15+(VLOOKUP("PCS-30820g",[8]ARBOR!$A:$C,3,0)*-TRUNC(DP15/VLOOKUP("PCS-30820g",[8]ARBOR!$A:$C,3,0)-1,4)),6))&lt;&gt;(DOLLAR(VLOOKUP("PCS-30820g",[8]ARBOR!$A:$C,3,0),6)),-TRUNC(DP15/VLOOKUP("PCS-30820g",[8]ARBOR!$A:$C,3,0)-1,4)+0.0001,-TRUNC(DP15/VLOOKUP("PCS-30820g",[8]ARBOR!$A:$C,3,0)-1,4)))))</f>
        <v/>
      </c>
      <c r="DR15" s="65" t="str">
        <f>IF(ISERROR(IF(DQ15="","",VLOOKUP(($BH15&amp;DQ15&amp;"Template de desconto FLAT bundle - Velox XDSL - Varejo"),[8]BENEFICIOS!$A:$E,5,0))),"Criar",IF(DQ15="","",VLOOKUP(($BH15&amp;DQ15&amp;"Template de desconto FLAT bundle - Velox XDSL - Varejo"),[8]BENEFICIOS!$A:$E,5,0)))</f>
        <v/>
      </c>
      <c r="DS15" s="69"/>
      <c r="DT15" s="70"/>
      <c r="DU15" s="64" t="str">
        <f>IF(DS15=0,"",IF(DS15=VLOOKUP("PCS-30820g",[8]ARBOR!$A:$C,3,0),0.0001,IF(DS15&gt;VLOOKUP("PCS-30820g",[8]ARBOR!$A:$C,3,0),"Maior que CAP!",IF((DOLLAR(DS15+(VLOOKUP("PCS-30820g",[8]ARBOR!$A:$C,3,0)*-TRUNC(DS15/VLOOKUP("PCS-30820g",[8]ARBOR!$A:$C,3,0)-1,4)),6))&lt;&gt;(DOLLAR(VLOOKUP("PCS-30820g",[8]ARBOR!$A:$C,3,0),6)),(-TRUNC(DS15/VLOOKUP("PCS-30820g",[8]ARBOR!$A:$C,3,0)-1,4)+0.0001)-DQ15,-TRUNC(DS15/VLOOKUP("PCS-30820g",[8]ARBOR!$A:$C,3,0)-1,4)-DQ15))))</f>
        <v/>
      </c>
      <c r="DV15" s="65" t="str">
        <f>IF(ISERROR(IF(DU15="","",VLOOKUP(($BQ15&amp;DU15&amp;"Template de desconto percentual Bundle - Velox XDSL - Varejo"),[8]BENEFICIOS!$A:$E,5,0))),"Criar",IF(DU15="","",VLOOKUP(($BQ15&amp;DU15&amp;"Template de desconto percentual Bundle - Velox XDSL - Varejo"),[8]BENEFICIOS!$A:$E,5,0)))</f>
        <v/>
      </c>
      <c r="DW15" s="71">
        <v>44.9</v>
      </c>
      <c r="DX15" s="64">
        <f>IF(DW15=0,"",IF(DW15=VLOOKUP("PCS-21448p2",[8]ARBOR!$A:$C,3,0),0.0001,IF(DW15&gt;VLOOKUP("PCS-21448p2",[8]ARBOR!$A:$C,3,0),"Maior que CAP!",IF((DOLLAR(DW15+(VLOOKUP("PCS-21448p2",[8]ARBOR!$A:$C,3,0)*-TRUNC(DW15/VLOOKUP("PCS-21448p2",[8]ARBOR!$A:$C,3,0)-1,4)),6))&lt;&gt;(DOLLAR(VLOOKUP("PCS-21448p2",[8]ARBOR!$A:$C,3,0),6)),-TRUNC(DW15/VLOOKUP("PCS-21448p2",[8]ARBOR!$A:$C,3,0)-1,4)+0.0001,-TRUNC(DW15/VLOOKUP("PCS-21448p2",[8]ARBOR!$A:$C,3,0)-1,4)))))</f>
        <v>0.64900000000000002</v>
      </c>
      <c r="DY15" s="65" t="str">
        <f>IF(ISERROR(IF(DX15="","",VLOOKUP(("Oi Conta Total Plug 10GB Downgrade"&amp;DX15&amp;"Template de desconto percentual BL Móvel - Internet Total - Varejo"),[8]BENEFICIOS!$A:$E,5,0))),"Criar",IF(DX15="","",VLOOKUP(("Oi Conta Total Plug 10GB Downgrade"&amp;DX15&amp;"Template de desconto percentual BL Móvel - Internet Total - Varejo"),[8]BENEFICIOS!$A:$E,5,0)))</f>
        <v>MKT-1-9825544790</v>
      </c>
      <c r="DZ15" s="71">
        <v>16.5</v>
      </c>
      <c r="EA15" s="72">
        <f>IF(DZ15=0,"",IF(DZ15=VLOOKUP("SVA",[8]ARBOR!$A:$C,3,0),0.0001,IF(DZ15&gt;VLOOKUP("SVA",[8]ARBOR!$A:$C,3,0),"Maior que CAP!",IF((DOLLAR(DZ15+(VLOOKUP("SVA",[8]ARBOR!$A:$C,3,0)*-TRUNC(DZ15/VLOOKUP("SVA",[8]ARBOR!$A:$C,3,0)-1,4)),6))&lt;&gt;(DOLLAR(VLOOKUP("SVA",[8]ARBOR!$A:$C,3,0),6)),-TRUNC(DZ15/VLOOKUP("SVA",[8]ARBOR!$A:$C,3,0)-1,4)+0.0001,-TRUNC(DZ15/VLOOKUP("SVA",[8]ARBOR!$A:$C,3,0)-1,4)))))</f>
        <v>0.2301</v>
      </c>
      <c r="EB15" s="65" t="s">
        <v>223</v>
      </c>
      <c r="EC15" s="69"/>
      <c r="ED15" s="73"/>
      <c r="EE15" s="74" t="str">
        <f t="shared" ref="EE15" si="9">IF(EC15="Grátis",0.9999,"")</f>
        <v/>
      </c>
      <c r="EF15" s="65" t="str">
        <f>IF(EE15="S/Desc","S/Desc",IF(ISERROR(IF(EE15="","",VLOOKUP(($BQ15&amp;EE15&amp;"Template Desc. % sobre Serviço SVA B2C"),[8]BENEFICIOS!$A:$G,5,0))),"Criar",IF(EE15="","",VLOOKUP(($BQ15&amp;EE15&amp;"Template Desc. % sobre Serviço SVA B2C"),[8]BENEFICIOS!$A:$G,5,0))))</f>
        <v/>
      </c>
      <c r="EG15" s="75">
        <f>IF(BI15="","",VLOOKUP(BI15,[8]ARBOR!A:C,3,0))</f>
        <v>479.46</v>
      </c>
      <c r="EH15" s="69">
        <v>15</v>
      </c>
      <c r="EI15" s="76">
        <f>IF(EH15="","",1-(EH15/VLOOKUP(BI15&amp;"ASS",[8]ARBOR!A:C,3,0)))</f>
        <v>0.34725848563968664</v>
      </c>
      <c r="EJ15" s="77" t="s">
        <v>224</v>
      </c>
      <c r="EK15" s="78" t="s">
        <v>225</v>
      </c>
      <c r="EL15" s="69">
        <v>124.9</v>
      </c>
      <c r="EM15" s="64">
        <f>IF(EL15=0,"",IF(EL15=EG15,0.0001,ROUND(1-((EL15+(VLOOKUP(BI15&amp;"ASS",[8]ARBOR!A:C,3,0)-EH15))/EG15),4)))</f>
        <v>0.72289999999999999</v>
      </c>
      <c r="EN15" s="65" t="str">
        <f>IF(ISERROR(IF(EM15="","",VLOOKUP(($BH15&amp;EM15&amp;"Template de desconto percentual FLAT Móvel - Conta Total - Varejo - Ganho Tributário Cross"),[8]BENEFICIOS!$A:$E,5,0))),"Criar",IF(EM15="","",VLOOKUP(($BH15&amp;EM15&amp;"Template de desconto percentual FLAT Móvel - Conta Total - Varejo - Ganho Tributário Cross"),[8]BENEFICIOS!$A:$E,5,0)))</f>
        <v>MKT-1-10033167881</v>
      </c>
      <c r="EO15" s="79"/>
      <c r="EP15" s="64" t="str">
        <f>IF(EO15="","",1-(EO15/VLOOKUP($EM$2,[8]ARBOR!B:C,2,0)))</f>
        <v/>
      </c>
      <c r="EQ15" s="72"/>
      <c r="ER15" s="72"/>
      <c r="ES15" s="64"/>
      <c r="ET15" s="80"/>
      <c r="EU15" s="81"/>
      <c r="EV15" s="81"/>
      <c r="EW15" s="82"/>
      <c r="EX15" s="83" t="str">
        <f>IF(EW15=0,"",IF(EW15=VLOOKUP("PCS-813566",[8]ARBOR!$A:$C,3,0),0.0001,IF(EW15&gt;VLOOKUP("PCS-813566",[8]ARBOR!$A:$C,3,0),"Maior que CAP!",ROUND(-1*(EW15/VLOOKUP("PCS-813566",[8]ARBOR!$A:$C,3,0)-1),4))))</f>
        <v/>
      </c>
      <c r="EY15" s="84" t="str">
        <f>IF(ISERROR(IF(EX15="","",VLOOKUP(("Oi Internet Pra Celular 300MB"&amp;EX15&amp;"Template Flat Instância Dados"),[8]BENEFICIOS!$A:$E,5,0))),"Criar",IF(EX15="","",VLOOKUP(("Oi Internet Pra Celular 300MB"&amp;EX15&amp;"Template Flat Instância Dados"),[8]BENEFICIOS!$A:$E,5,0)))</f>
        <v/>
      </c>
      <c r="EZ15" s="82"/>
      <c r="FA15" s="83" t="str">
        <f>IF(EZ15=0,"",IF(EZ15=VLOOKUP("PCS-813564",[8]ARBOR!$A:$C,3,0),0.0001,IF(EZ15&gt;VLOOKUP("PCS-813564",[8]ARBOR!$A:$C,3,0),"Maior que CAP!",ROUND(-1*(EZ15/VLOOKUP("PCS-813564",[8]ARBOR!$A:$C,3,0)-1),4))))</f>
        <v/>
      </c>
      <c r="FB15" s="84" t="str">
        <f>IF(ISERROR(IF(FA15="","",VLOOKUP(("Oi Internet Pra Celular 500MB"&amp;FA15&amp;"Template Flat Instância Dados"),[8]BENEFICIOS!$A:$E,5,0))),"Criar",IF(FA15="","",VLOOKUP(("Oi Internet Pra Celular 500MB"&amp;FA15&amp;"Template Flat Instância Dados"),[8]BENEFICIOS!$A:$E,5,0)))</f>
        <v/>
      </c>
      <c r="FC15" s="82"/>
      <c r="FD15" s="83" t="str">
        <f>IF(FC15=0,"",IF(FC15=VLOOKUP("PCS-10357",[8]ARBOR!$A:$C,3,0),0.0001,IF(FC15&gt;VLOOKUP("PCS-10357",[8]ARBOR!$A:$C,3,0),"Maior que CAP!",ROUND(-1*(FC15/VLOOKUP("PCS-10357",[8]ARBOR!$A:$C,3,0)-1),4))))</f>
        <v/>
      </c>
      <c r="FE15" s="84" t="str">
        <f>IF(ISERROR(IF(FD15="","",VLOOKUP(("Oi Internet Pra Celular 1GB"&amp;FD15&amp;"Template Flat Instância Dados"),[8]BENEFICIOS!$A:$E,5,0))),"Criar",IF(FD15="","",VLOOKUP(("Oi Internet Pra Celular 1GB"&amp;FD15&amp;"Template Flat Instância Dados"),[8]BENEFICIOS!$A:$E,5,0)))</f>
        <v/>
      </c>
      <c r="FF15" s="82"/>
      <c r="FG15" s="83" t="str">
        <f>IF(FF15=0,"",IF(FF15=VLOOKUP("PCS-813565",[8]ARBOR!$A:$C,3,0),0.0001,IF(FF15&gt;VLOOKUP("PCS-813565",[8]ARBOR!$A:$C,3,0),"Maior que CAP!",ROUND(-1*(FF15/VLOOKUP("PCS-813565",[8]ARBOR!$A:$C,3,0)-1),4))))</f>
        <v/>
      </c>
      <c r="FH15" s="84" t="str">
        <f>IF(ISERROR(IF(FG15="","",VLOOKUP(("Oi Internet Pra Celular 2GB"&amp;FG15&amp;"Template Flat Instância Dados"),[8]BENEFICIOS!$A:$E,5,0))),"Criar",IF(FG15="","",VLOOKUP(("Oi Internet Pra Celular 2GB"&amp;FG15&amp;"Template Flat Instância Dados"),[8]BENEFICIOS!$A:$E,5,0)))</f>
        <v/>
      </c>
      <c r="FI15" s="82"/>
      <c r="FJ15" s="83" t="str">
        <f>IF(FI15=0,"",IF(FI15=VLOOKUP("PCS-7171B",[8]ARBOR!$A:$C,3,0),0.0001,IF(FI15&gt;VLOOKUP("PCS-7171B",[8]ARBOR!$A:$C,3,0),"Maior que CAP!",ROUND(-1*(FI15/VLOOKUP("PCS-7171B",[8]ARBOR!$A:$C,3,0)-1),4))))</f>
        <v/>
      </c>
      <c r="FK15" s="84" t="str">
        <f>IF(ISERROR(IF(FJ15="","",VLOOKUP(("Oi Internet Pra Celular 3GB"&amp;FJ15&amp;"Template Flat Instância Dados"),[8]BENEFICIOS!$A:$E,5,0))),"Criar",IF(FJ15="","",VLOOKUP(("Oi Internet Pra Celular 3GB"&amp;FJ15&amp;"Template Flat Instância Dados"),[8]BENEFICIOS!$A:$E,5,0)))</f>
        <v/>
      </c>
      <c r="FL15" s="82"/>
      <c r="FM15" s="83" t="str">
        <f>IF(FL15=0,"",IF(FL15=VLOOKUP("PCS-51793o08",[8]ARBOR!$A:$C,3,0),0.0001,IF(FL15&gt;VLOOKUP("PCS-51793o08",[8]ARBOR!$A:$C,3,0),"Maior que CAP!",ROUND(-1*(FL15/VLOOKUP("PCS-51793o08",[8]ARBOR!$A:$C,3,0)-1),4))))</f>
        <v/>
      </c>
      <c r="FN15" s="84" t="str">
        <f>IF(ISERROR(IF(FM15="","",VLOOKUP(("Oi Internet Pra Celular 5GB"&amp;FM15&amp;"Template Flat Instância Dados"),[8]BENEFICIOS!$A:$E,5,0))),"Criar",IF(FM15="","",VLOOKUP(("Oi Internet Pra Celular 5GB"&amp;FM15&amp;"Template Flat Instância Dados"),[8]BENEFICIOS!$A:$E,5,0)))</f>
        <v/>
      </c>
      <c r="FO15" s="82"/>
      <c r="FP15" s="83" t="str">
        <f>IF(FO15=0,"",IF(FO15=VLOOKUP("PCS-7171A",[8]ARBOR!$A:$C,3,0),0.0001,IF(FO15&gt;VLOOKUP("PCS-7171A",[8]ARBOR!$A:$C,3,0),"Maior que CAP!",ROUND(-1*(FO15/VLOOKUP("PCS-7171A",[8]ARBOR!$A:$C,3,0)-1),4))))</f>
        <v/>
      </c>
      <c r="FQ15" s="84" t="str">
        <f>IF(ISERROR(IF(FP15="","",VLOOKUP(("Oi Internet Pra Celular 10GB"&amp;FP15&amp;"Template Flat Instância Dados"),[8]BENEFICIOS!$A:$E,5,0))),"Criar",IF(FP15="","",VLOOKUP(("Oi Internet Pra Celular 10GB"&amp;FP15&amp;"Template Flat Instância Dados"),[8]BENEFICIOS!$A:$E,5,0)))</f>
        <v/>
      </c>
      <c r="FR15" s="85"/>
      <c r="FS15" s="86"/>
      <c r="FT15" s="48"/>
      <c r="FU15" s="87"/>
      <c r="FV15" s="88" t="s">
        <v>221</v>
      </c>
      <c r="FW15" s="49" t="s">
        <v>226</v>
      </c>
      <c r="FX15" s="89">
        <v>999</v>
      </c>
      <c r="FY15" s="49">
        <v>12</v>
      </c>
      <c r="FZ15" s="90" t="s">
        <v>227</v>
      </c>
      <c r="GA15" s="91" t="str">
        <f t="shared" si="1"/>
        <v>PCS-Fk83324</v>
      </c>
      <c r="GB15" s="92" t="str">
        <f t="shared" si="2"/>
        <v>PCS-SBL553142</v>
      </c>
      <c r="GC15" s="93" t="s">
        <v>228</v>
      </c>
      <c r="GD15" s="90" t="s">
        <v>229</v>
      </c>
      <c r="GE15" s="92" t="s">
        <v>230</v>
      </c>
      <c r="GF15" s="93" t="s">
        <v>231</v>
      </c>
      <c r="GG15" s="90" t="s">
        <v>232</v>
      </c>
      <c r="GH15" s="92" t="s">
        <v>233</v>
      </c>
      <c r="GI15" s="94" t="s">
        <v>234</v>
      </c>
      <c r="GJ15" s="95">
        <f>EL15+CB15+BJ15</f>
        <v>219.9</v>
      </c>
      <c r="GK15" s="96"/>
      <c r="GL15" s="97" t="s">
        <v>235</v>
      </c>
      <c r="GM15" s="98" t="s">
        <v>272</v>
      </c>
      <c r="GN15" s="97">
        <v>0</v>
      </c>
      <c r="GO15" s="99">
        <v>0</v>
      </c>
      <c r="GP15" s="76">
        <v>1</v>
      </c>
      <c r="GQ15" s="97">
        <v>0</v>
      </c>
      <c r="GR15" s="97">
        <v>0</v>
      </c>
      <c r="GS15" s="101"/>
      <c r="GT15" s="101"/>
      <c r="GU15" s="102" t="b">
        <v>1</v>
      </c>
      <c r="GV15" s="103">
        <v>0</v>
      </c>
      <c r="GW15" s="44" t="s">
        <v>273</v>
      </c>
      <c r="GX15" s="44" t="s">
        <v>238</v>
      </c>
    </row>
    <row r="16" spans="1:206" s="44" customFormat="1" x14ac:dyDescent="0.35">
      <c r="A16" s="44" t="str">
        <f t="shared" si="0"/>
        <v>Oi Total Fixo + Pós 800 + Banda LargaN2MG</v>
      </c>
      <c r="B16" s="45" t="s">
        <v>211</v>
      </c>
      <c r="C16" s="46" t="s">
        <v>127</v>
      </c>
      <c r="D16" s="46" t="s">
        <v>212</v>
      </c>
      <c r="E16" s="47" t="s">
        <v>213</v>
      </c>
      <c r="F16" s="88" t="s">
        <v>214</v>
      </c>
      <c r="G16" s="49"/>
      <c r="H16" s="49"/>
      <c r="I16" s="49"/>
      <c r="J16" s="49" t="s">
        <v>214</v>
      </c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 t="s">
        <v>214</v>
      </c>
      <c r="AC16" s="49" t="s">
        <v>214</v>
      </c>
      <c r="AD16" s="49" t="s">
        <v>214</v>
      </c>
      <c r="AE16" s="49" t="s">
        <v>214</v>
      </c>
      <c r="AF16" s="49" t="s">
        <v>214</v>
      </c>
      <c r="AG16" s="49" t="s">
        <v>214</v>
      </c>
      <c r="AH16" s="50"/>
      <c r="AI16" s="49" t="s">
        <v>214</v>
      </c>
      <c r="AJ16" s="49" t="s">
        <v>214</v>
      </c>
      <c r="AK16" s="49" t="s">
        <v>214</v>
      </c>
      <c r="AL16" s="49" t="s">
        <v>214</v>
      </c>
      <c r="AM16" s="49" t="s">
        <v>214</v>
      </c>
      <c r="AN16" s="49" t="s">
        <v>214</v>
      </c>
      <c r="AO16" s="49" t="s">
        <v>214</v>
      </c>
      <c r="AP16" s="49"/>
      <c r="AQ16" s="51"/>
      <c r="AR16" s="52" t="s">
        <v>274</v>
      </c>
      <c r="AS16" s="46" t="s">
        <v>216</v>
      </c>
      <c r="AT16" s="53" t="s">
        <v>217</v>
      </c>
      <c r="AU16" s="54">
        <v>42972</v>
      </c>
      <c r="AV16" s="105">
        <v>43097</v>
      </c>
      <c r="AW16" s="56" t="s">
        <v>218</v>
      </c>
      <c r="AX16" s="57" t="s">
        <v>218</v>
      </c>
      <c r="AY16" s="58"/>
      <c r="AZ16" s="58" t="s">
        <v>219</v>
      </c>
      <c r="BA16" s="58">
        <v>20</v>
      </c>
      <c r="BB16" s="58">
        <v>10000</v>
      </c>
      <c r="BC16" s="59" t="s">
        <v>220</v>
      </c>
      <c r="BD16" s="60" t="s">
        <v>221</v>
      </c>
      <c r="BE16" s="58" t="s">
        <v>213</v>
      </c>
      <c r="BF16" s="51" t="s">
        <v>213</v>
      </c>
      <c r="BG16" s="45" t="s">
        <v>274</v>
      </c>
      <c r="BH16" s="61" t="s">
        <v>222</v>
      </c>
      <c r="BI16" s="62" t="str">
        <f>IF(ISERROR(VLOOKUP(BH16,[8]PLANOS!B:C,2,0)),"",VLOOKUP(BH16,[8]PLANOS!B:C,2,0))</f>
        <v>PCS-4P6pi</v>
      </c>
      <c r="BJ16" s="63">
        <v>50.1</v>
      </c>
      <c r="BK16" s="64">
        <f>IF(BJ16=0,"",IF(BJ16=VLOOKUP("FIXO",[8]ARBOR!$A:$C,3,0),0.0001,IF(BJ16&gt;VLOOKUP("FIXO",[8]ARBOR!$A:$C,3,0),"Maior que CAP!",IF((DOLLAR(BJ16+(VLOOKUP("FIXO",[8]ARBOR!$A:$C,3,0)*-TRUNC(BJ16/VLOOKUP("FIXO",[8]ARBOR!$A:$C,3,0)-1,4)),6))&lt;&gt;(DOLLAR(VLOOKUP("FIXO",[8]ARBOR!$A:$C,3,0),6)),-TRUNC(BJ16/VLOOKUP("FIXO",[8]ARBOR!$A:$C,3,0)-1,4)+0.0001,-TRUNC(BJ16/VLOOKUP("FIXO",[8]ARBOR!$A:$C,3,0)-1,4)))))</f>
        <v>0.33939999999999998</v>
      </c>
      <c r="BL16" s="65" t="str">
        <f>IF(ISERROR(IF(BK16="","",VLOOKUP(($BH16&amp;BK16&amp;"Template de desconto FLAT bundle - Fixo - Varejo - Ganho Tributário Cross"),[8]BENEFICIOS!$A:$E,5,0))),"Criar",IF(BK16="","",VLOOKUP(($BH16&amp;BK16&amp;"Template de desconto FLAT bundle - Fixo - Varejo - Ganho Tributário Cross"),[8]BENEFICIOS!$A:$E,5,0)))</f>
        <v>MKT-1-9856472058</v>
      </c>
      <c r="BM16" s="66"/>
      <c r="BN16" s="67"/>
      <c r="BO16" s="104" t="s">
        <v>240</v>
      </c>
      <c r="BP16" s="69">
        <v>44.9</v>
      </c>
      <c r="BQ16" s="64">
        <f>IF(BP16=0,"",IF(BP16=VLOOKUP("PCS-30874g",[8]ARBOR!$A:$C,3,0),0.0001,IF(BP16&gt;VLOOKUP("PCS-30874g",[8]ARBOR!$A:$C,3,0),"Maior que CAP!",IF((DOLLAR(BP16+(VLOOKUP("PCS-30874g",[8]ARBOR!$A:$C,3,0)*-TRUNC(BP16/VLOOKUP("PCS-30874g",[8]ARBOR!$A:$C,3,0)-1,4)),6))&lt;&gt;(DOLLAR(VLOOKUP("PCS-30874g",[8]ARBOR!$A:$C,3,0),6)),-TRUNC(BP16/VLOOKUP("PCS-30874g",[8]ARBOR!$A:$C,3,0)-1,4)+0.0001,-TRUNC(BP16/VLOOKUP("PCS-30874g",[8]ARBOR!$A:$C,3,0)-1,4)))))</f>
        <v>0.53679999999999994</v>
      </c>
      <c r="BR16" s="65" t="str">
        <f>IF(ISERROR(IF(BQ16="","",VLOOKUP(($BH16&amp;BQ16&amp;"Template de desconto FLAT bundle - Velox XDSL - Varejo"),[8]BENEFICIOS!$A:$E,5,0))),"Criar",IF(BQ16="","",VLOOKUP(($BH16&amp;BQ16&amp;"Template de desconto FLAT bundle - Velox XDSL - Varejo"),[8]BENEFICIOS!$A:$E,5,0)))</f>
        <v>MKT-1-9865126733</v>
      </c>
      <c r="BS16" s="104" t="s">
        <v>240</v>
      </c>
      <c r="BT16" s="69">
        <v>44.9</v>
      </c>
      <c r="BU16" s="64">
        <f>IF(BT16=0,"",IF(BT16=VLOOKUP("PCS-30577g",[8]ARBOR!$A:$C,3,0),0.0001,IF(BT16&gt;VLOOKUP("PCS-30577g",[8]ARBOR!$A:$C,3,0),"Maior que CAP!",IF((DOLLAR(BT16+(VLOOKUP("PCS-30577g",[8]ARBOR!$A:$C,3,0)*-TRUNC(BT16/VLOOKUP("PCS-30577g",[8]ARBOR!$A:$C,3,0)-1,4)),6))&lt;&gt;(DOLLAR(VLOOKUP("PCS-30577g",[8]ARBOR!$A:$C,3,0),6)),-TRUNC(BT16/VLOOKUP("PCS-30577g",[8]ARBOR!$A:$C,3,0)-1,4)+0.0001,-TRUNC(BT16/VLOOKUP("PCS-30577g",[8]ARBOR!$A:$C,3,0)-1,4)))))</f>
        <v>0.53679999999999994</v>
      </c>
      <c r="BV16" s="65" t="str">
        <f>IF(ISERROR(IF(BU16="","",VLOOKUP(($BH16&amp;BU16&amp;"Template de desconto FLAT bundle - Velox XDSL - Varejo"),[8]BENEFICIOS!$A:$E,5,0))),"Criar",IF(BU16="","",VLOOKUP(($BH16&amp;BU16&amp;"Template de desconto FLAT bundle - Velox XDSL - Varejo"),[8]BENEFICIOS!$A:$E,5,0)))</f>
        <v>MKT-1-9865126733</v>
      </c>
      <c r="BW16" s="104" t="s">
        <v>240</v>
      </c>
      <c r="BX16" s="69">
        <v>44.9</v>
      </c>
      <c r="BY16" s="64">
        <f>IF(BX16=0,"",IF(BX16=VLOOKUP("PCS-30604g",[8]ARBOR!$A:$C,3,0),0.0001,IF(BX16&gt;VLOOKUP("PCS-30604g",[8]ARBOR!$A:$C,3,0),"Maior que CAP!",IF((DOLLAR(BX16+(VLOOKUP("PCS-30604g",[8]ARBOR!$A:$C,3,0)*-TRUNC(BX16/VLOOKUP("PCS-30604g",[8]ARBOR!$A:$C,3,0)-1,4)),6))&lt;&gt;(DOLLAR(VLOOKUP("PCS-30604g",[8]ARBOR!$A:$C,3,0),6)),-TRUNC(BX16/VLOOKUP("PCS-30604g",[8]ARBOR!$A:$C,3,0)-1,4)+0.0001,-TRUNC(BX16/VLOOKUP("PCS-30604g",[8]ARBOR!$A:$C,3,0)-1,4)))))</f>
        <v>0.53679999999999994</v>
      </c>
      <c r="BZ16" s="65" t="str">
        <f>IF(ISERROR(IF(BY16="","",VLOOKUP(($BH16&amp;BY16&amp;"Template de desconto FLAT bundle - Velox XDSL - Varejo"),[8]BENEFICIOS!$A:$E,5,0))),"Criar",IF(BY16="","",VLOOKUP(($BH16&amp;BY16&amp;"Template de desconto FLAT bundle - Velox XDSL - Varejo"),[8]BENEFICIOS!$A:$E,5,0)))</f>
        <v>MKT-1-9865126733</v>
      </c>
      <c r="CA16" s="104" t="s">
        <v>240</v>
      </c>
      <c r="CB16" s="69">
        <v>44.9</v>
      </c>
      <c r="CC16" s="64">
        <f>IF(CB16=0,"",IF(CB16=VLOOKUP("PCS-30631g",[8]ARBOR!$A:$C,3,0),0.0001,IF(CB16&gt;VLOOKUP("PCS-30631g",[8]ARBOR!$A:$C,3,0),"Maior que CAP!",IF((DOLLAR(CB16+(VLOOKUP("PCS-30631g",[8]ARBOR!$A:$C,3,0)*-TRUNC(CB16/VLOOKUP("PCS-30631g",[8]ARBOR!$A:$C,3,0)-1,4)),6))&lt;&gt;(DOLLAR(VLOOKUP("PCS-30631g",[8]ARBOR!$A:$C,3,0),6)),-TRUNC(CB16/VLOOKUP("PCS-30631g",[8]ARBOR!$A:$C,3,0)-1,4)+0.0001,-TRUNC(CB16/VLOOKUP("PCS-30631g",[8]ARBOR!$A:$C,3,0)-1,4)))))</f>
        <v>0.54310000000000003</v>
      </c>
      <c r="CD16" s="65" t="str">
        <f>IF(ISERROR(IF(CC16="","",VLOOKUP(($BH16&amp;CC16&amp;"Template de desconto FLAT bundle - Velox XDSL - Varejo"),[8]BENEFICIOS!$A:$E,5,0))),"Criar",IF(CC16="","",VLOOKUP(($BH16&amp;CC16&amp;"Template de desconto FLAT bundle - Velox XDSL - Varejo"),[8]BENEFICIOS!$A:$E,5,0)))</f>
        <v>MKT-1-9865126826</v>
      </c>
      <c r="CE16" s="68" t="s">
        <v>161</v>
      </c>
      <c r="CF16" s="69">
        <v>49.9</v>
      </c>
      <c r="CG16" s="64">
        <f>IF(CF16=0,"",IF(CF16=VLOOKUP("PCS-30658g",[8]ARBOR!$A:$C,3,0),0.0001,IF(CF16&gt;VLOOKUP("PCS-30658g",[8]ARBOR!$A:$C,3,0),"Maior que CAP!",IF((DOLLAR(CF16+(VLOOKUP("PCS-30658g",[8]ARBOR!$A:$C,3,0)*-TRUNC(CF16/VLOOKUP("PCS-30658g",[8]ARBOR!$A:$C,3,0)-1,4)),6))&lt;&gt;(DOLLAR(VLOOKUP("PCS-30658g",[8]ARBOR!$A:$C,3,0),6)),-TRUNC(CF16/VLOOKUP("PCS-30658g",[8]ARBOR!$A:$C,3,0)-1,4)+0.0001,-TRUNC(CF16/VLOOKUP("PCS-30658g",[8]ARBOR!$A:$C,3,0)-1,4)))))</f>
        <v>0.55569999999999997</v>
      </c>
      <c r="CH16" s="65" t="str">
        <f>IF(ISERROR(IF(CG16="","",VLOOKUP(($BH16&amp;CG16&amp;"Template de desconto FLAT bundle - Velox XDSL - Varejo"),[8]BENEFICIOS!$A:$E,5,0))),"Criar",IF(CG16="","",VLOOKUP(($BH16&amp;CG16&amp;"Template de desconto FLAT bundle - Velox XDSL - Varejo"),[8]BENEFICIOS!$A:$E,5,0)))</f>
        <v>MKT-1-9865126919</v>
      </c>
      <c r="CI16" s="68" t="s">
        <v>161</v>
      </c>
      <c r="CJ16" s="69">
        <v>49.9</v>
      </c>
      <c r="CK16" s="64">
        <f>IF(CJ16=0,"",IF(CJ16=VLOOKUP("PCS-30685g",[8]ARBOR!$A:$C,3,0),0.0001,IF(CJ16&gt;VLOOKUP("PCS-30685g",[8]ARBOR!$A:$C,3,0),"Maior que CAP!",IF((DOLLAR(CJ16+(VLOOKUP("PCS-30685g",[8]ARBOR!$A:$C,3,0)*-TRUNC(CJ16/VLOOKUP("PCS-30685g",[8]ARBOR!$A:$C,3,0)-1,4)),6))&lt;&gt;(DOLLAR(VLOOKUP("PCS-30685g",[8]ARBOR!$A:$C,3,0),6)),-TRUNC(CJ16/VLOOKUP("PCS-30685g",[8]ARBOR!$A:$C,3,0)-1,4)+0.0001,-TRUNC(CJ16/VLOOKUP("PCS-30685g",[8]ARBOR!$A:$C,3,0)-1,4)))))</f>
        <v>0.60509999999999997</v>
      </c>
      <c r="CL16" s="65" t="str">
        <f>IF(ISERROR(IF(CK16="","",VLOOKUP(($BH16&amp;CK16&amp;"Template de desconto FLAT bundle - Velox XDSL - Varejo"),[8]BENEFICIOS!$A:$E,5,0))),"Criar",IF(CK16="","",VLOOKUP(($BH16&amp;CK16&amp;"Template de desconto FLAT bundle - Velox XDSL - Varejo"),[8]BENEFICIOS!$A:$E,5,0)))</f>
        <v>MKT-1-9865694381</v>
      </c>
      <c r="CM16" s="68" t="s">
        <v>161</v>
      </c>
      <c r="CN16" s="69">
        <v>49.9</v>
      </c>
      <c r="CO16" s="64">
        <f>IF(CN16=0,"",IF(CN16=VLOOKUP("PCS-30712g",[8]ARBOR!$A:$C,3,0),0.0001,IF(CN16&gt;VLOOKUP("PCS-30712g",[8]ARBOR!$A:$C,3,0),"Maior que CAP!",IF((DOLLAR(CN16+(VLOOKUP("PCS-30712g",[8]ARBOR!$A:$C,3,0)*-TRUNC(CN16/VLOOKUP("PCS-30712g",[8]ARBOR!$A:$C,3,0)-1,4)),6))&lt;&gt;(DOLLAR(VLOOKUP("PCS-30712g",[8]ARBOR!$A:$C,3,0),6)),-TRUNC(CN16/VLOOKUP("PCS-30712g",[8]ARBOR!$A:$C,3,0)-1,4)+0.0001,-TRUNC(CN16/VLOOKUP("PCS-30712g",[8]ARBOR!$A:$C,3,0)-1,4)))))</f>
        <v>0.64459999999999995</v>
      </c>
      <c r="CP16" s="65" t="str">
        <f>IF(ISERROR(IF(CO16="","",VLOOKUP(($BH16&amp;CO16&amp;"Template de desconto FLAT bundle - Velox XDSL - Varejo"),[8]BENEFICIOS!$A:$E,5,0))),"Criar",IF(CO16="","",VLOOKUP(($BH16&amp;CO16&amp;"Template de desconto FLAT bundle - Velox XDSL - Varejo"),[8]BENEFICIOS!$A:$E,5,0)))</f>
        <v>MKT-1-9865191105</v>
      </c>
      <c r="CQ16" s="68" t="s">
        <v>161</v>
      </c>
      <c r="CR16" s="69">
        <v>59.9</v>
      </c>
      <c r="CS16" s="64">
        <f>IF(CR16=0,"",IF(CR16=VLOOKUP("PCS-30739g",[8]ARBOR!$A:$C,3,0),0.0001,IF(CR16&gt;VLOOKUP("PCS-30739g",[8]ARBOR!$A:$C,3,0),"Maior que CAP!",IF((DOLLAR(CR16+(VLOOKUP("PCS-30739g",[8]ARBOR!$A:$C,3,0)*-TRUNC(CR16/VLOOKUP("PCS-30739g",[8]ARBOR!$A:$C,3,0)-1,4)),6))&lt;&gt;(DOLLAR(VLOOKUP("PCS-30739g",[8]ARBOR!$A:$C,3,0),6)),-TRUNC(CR16/VLOOKUP("PCS-30739g",[8]ARBOR!$A:$C,3,0)-1,4)+0.0001,-TRUNC(CR16/VLOOKUP("PCS-30739g",[8]ARBOR!$A:$C,3,0)-1,4)))))</f>
        <v>0.71560000000000001</v>
      </c>
      <c r="CT16" s="65" t="str">
        <f>IF(ISERROR(IF(CS16="","",VLOOKUP(($BH16&amp;CS16&amp;"Template de desconto FLAT bundle - Velox XDSL - Varejo"),[8]BENEFICIOS!$A:$E,5,0))),"Criar",IF(CS16="","",VLOOKUP(($BH16&amp;CS16&amp;"Template de desconto FLAT bundle - Velox XDSL - Varejo"),[8]BENEFICIOS!$A:$E,5,0)))</f>
        <v>MKT-1-9865191198</v>
      </c>
      <c r="CU16" s="69"/>
      <c r="CV16" s="70"/>
      <c r="CW16" s="64"/>
      <c r="CX16" s="65"/>
      <c r="CY16" s="68" t="s">
        <v>161</v>
      </c>
      <c r="CZ16" s="69">
        <v>59.9</v>
      </c>
      <c r="DA16" s="64">
        <f>IF(CZ16=0,"",IF(CZ16=VLOOKUP("PCS-30766g",[8]ARBOR!$A:$C,3,0),0.0001,IF(CZ16&gt;VLOOKUP("PCS-30766g",[8]ARBOR!$A:$C,3,0),"Maior que CAP!",IF((DOLLAR(CZ16+(VLOOKUP("PCS-30766g",[8]ARBOR!$A:$C,3,0)*-TRUNC(CZ16/VLOOKUP("PCS-30766g",[8]ARBOR!$A:$C,3,0)-1,4)),6))&lt;&gt;(DOLLAR(VLOOKUP("PCS-30766g",[8]ARBOR!$A:$C,3,0),6)),-TRUNC(CZ16/VLOOKUP("PCS-30766g",[8]ARBOR!$A:$C,3,0)-1,4)+0.0001,-TRUNC(CZ16/VLOOKUP("PCS-30766g",[8]ARBOR!$A:$C,3,0)-1,4)))))</f>
        <v>0.78669999999999995</v>
      </c>
      <c r="DB16" s="65" t="str">
        <f>IF(ISERROR(IF(DA16="","",VLOOKUP(($BH16&amp;DA16&amp;"Template de desconto FLAT bundle - Velox XDSL - Varejo"),[8]BENEFICIOS!$A:$E,5,0))),"Criar",IF(DA16="","",VLOOKUP(($BH16&amp;DA16&amp;"Template de desconto FLAT bundle - Velox XDSL - Varejo"),[8]BENEFICIOS!$A:$E,5,0)))</f>
        <v>MKT-1-9865191291</v>
      </c>
      <c r="DC16" s="69"/>
      <c r="DD16" s="70"/>
      <c r="DE16" s="64"/>
      <c r="DF16" s="65"/>
      <c r="DG16" s="68" t="s">
        <v>240</v>
      </c>
      <c r="DH16" s="69">
        <v>69.900000000000006</v>
      </c>
      <c r="DI16" s="64">
        <f>IF(DH16=0,"",IF(DH16=VLOOKUP("PCS-30793g",[8]ARBOR!$A:$C,3,0),0.0001,IF(DH16&gt;VLOOKUP("PCS-30793g",[8]ARBOR!$A:$C,3,0),"Maior que CAP!",IF((DOLLAR(DH16+(VLOOKUP("PCS-30793g",[8]ARBOR!$A:$C,3,0)*-TRUNC(DH16/VLOOKUP("PCS-30793g",[8]ARBOR!$A:$C,3,0)-1,4)),6))&lt;&gt;(DOLLAR(VLOOKUP("PCS-30793g",[8]ARBOR!$A:$C,3,0),6)),-TRUNC(DH16/VLOOKUP("PCS-30793g",[8]ARBOR!$A:$C,3,0)-1,4)+0.0001,-TRUNC(DH16/VLOOKUP("PCS-30793g",[8]ARBOR!$A:$C,3,0)-1,4)))))</f>
        <v>0.75109999999999999</v>
      </c>
      <c r="DJ16" s="65" t="str">
        <f>IF(ISERROR(IF(DI16="","",VLOOKUP(($BH16&amp;DI16&amp;"Template de desconto FLAT bundle - Velox XDSL - Varejo"),[8]BENEFICIOS!$A:$E,5,0))),"Criar",IF(DI16="","",VLOOKUP(($BH16&amp;DI16&amp;"Template de desconto FLAT bundle - Velox XDSL - Varejo"),[8]BENEFICIOS!$A:$E,5,0)))</f>
        <v>MKT-1-9865191384</v>
      </c>
      <c r="DK16" s="69"/>
      <c r="DL16" s="70"/>
      <c r="DM16" s="64"/>
      <c r="DN16" s="65"/>
      <c r="DO16" s="68" t="s">
        <v>161</v>
      </c>
      <c r="DP16" s="69">
        <v>69.900000000000006</v>
      </c>
      <c r="DQ16" s="64">
        <f>IF(DP16=0,"",IF(DP16=VLOOKUP("PCS-30820g",[8]ARBOR!$A:$C,3,0),0.0001,IF(DP16&gt;VLOOKUP("PCS-30820g",[8]ARBOR!$A:$C,3,0),"Maior que CAP!",IF((DOLLAR(DP16+(VLOOKUP("PCS-30820g",[8]ARBOR!$A:$C,3,0)*-TRUNC(DP16/VLOOKUP("PCS-30820g",[8]ARBOR!$A:$C,3,0)-1,4)),6))&lt;&gt;(DOLLAR(VLOOKUP("PCS-30820g",[8]ARBOR!$A:$C,3,0),6)),-TRUNC(DP16/VLOOKUP("PCS-30820g",[8]ARBOR!$A:$C,3,0)-1,4)+0.0001,-TRUNC(DP16/VLOOKUP("PCS-30820g",[8]ARBOR!$A:$C,3,0)-1,4)))))</f>
        <v>0.75109999999999999</v>
      </c>
      <c r="DR16" s="65" t="str">
        <f>IF(ISERROR(IF(DQ16="","",VLOOKUP(($BH16&amp;DQ16&amp;"Template de desconto FLAT bundle - Velox XDSL - Varejo"),[8]BENEFICIOS!$A:$E,5,0))),"Criar",IF(DQ16="","",VLOOKUP(($BH16&amp;DQ16&amp;"Template de desconto FLAT bundle - Velox XDSL - Varejo"),[8]BENEFICIOS!$A:$E,5,0)))</f>
        <v>MKT-1-9865191384</v>
      </c>
      <c r="DS16" s="69"/>
      <c r="DT16" s="70"/>
      <c r="DU16" s="64"/>
      <c r="DV16" s="65"/>
      <c r="DW16" s="71"/>
      <c r="DX16" s="64" t="str">
        <f>IF(DW16=0,"",IF(DW16=VLOOKUP("PCS-21448p2",[8]ARBOR!$A:$C,3,0),0.0001,IF(DW16&gt;VLOOKUP("PCS-21448p2",[8]ARBOR!$A:$C,3,0),"Maior que CAP!",IF((DOLLAR(DW16+(VLOOKUP("PCS-21448p2",[8]ARBOR!$A:$C,3,0)*-TRUNC(DW16/VLOOKUP("PCS-21448p2",[8]ARBOR!$A:$C,3,0)-1,4)),6))&lt;&gt;(DOLLAR(VLOOKUP("PCS-21448p2",[8]ARBOR!$A:$C,3,0),6)),-TRUNC(DW16/VLOOKUP("PCS-21448p2",[8]ARBOR!$A:$C,3,0)-1,4)+0.0001,-TRUNC(DW16/VLOOKUP("PCS-21448p2",[8]ARBOR!$A:$C,3,0)-1,4)))))</f>
        <v/>
      </c>
      <c r="DY16" s="65" t="str">
        <f>IF(ISERROR(IF(DX16="","",VLOOKUP(("Oi Conta Total Plug 10GB Downgrade"&amp;DX16&amp;"Template de desconto percentual BL Móvel - Internet Total - Varejo"),[8]BENEFICIOS!$A:$E,5,0))),"Criar",IF(DX16="","",VLOOKUP(("Oi Conta Total Plug 10GB Downgrade"&amp;DX16&amp;"Template de desconto percentual BL Móvel - Internet Total - Varejo"),[8]BENEFICIOS!$A:$E,5,0)))</f>
        <v/>
      </c>
      <c r="DZ16" s="71">
        <v>19.899999999999999</v>
      </c>
      <c r="EA16" s="72">
        <f>IF(DZ16=0,"",IF(DZ16=VLOOKUP("SVA",[8]ARBOR!$A:$C,3,0),0.0001,IF(DZ16&gt;VLOOKUP("SVA",[8]ARBOR!$A:$C,3,0),"Maior que CAP!",IF((DOLLAR(DZ16+(VLOOKUP("SVA",[8]ARBOR!$A:$C,3,0)*-TRUNC(DZ16/VLOOKUP("SVA",[8]ARBOR!$A:$C,3,0)-1,4)),6))&lt;&gt;(DOLLAR(VLOOKUP("SVA",[8]ARBOR!$A:$C,3,0),6)),-TRUNC(DZ16/VLOOKUP("SVA",[8]ARBOR!$A:$C,3,0)-1,4)+0.0001,-TRUNC(DZ16/VLOOKUP("SVA",[8]ARBOR!$A:$C,3,0)-1,4)))))</f>
        <v>7.1400000000000005E-2</v>
      </c>
      <c r="EB16" s="65" t="s">
        <v>241</v>
      </c>
      <c r="EC16" s="69"/>
      <c r="ED16" s="73"/>
      <c r="EE16" s="74"/>
      <c r="EF16" s="65"/>
      <c r="EG16" s="75">
        <f>IF(BI16="","",VLOOKUP(BI16,[8]ARBOR!A:C,3,0))</f>
        <v>479.46</v>
      </c>
      <c r="EH16" s="69">
        <v>15</v>
      </c>
      <c r="EI16" s="76">
        <f>IF(EH16="","",1-(EH16/VLOOKUP(BI16&amp;"ASS",[8]ARBOR!A:C,3,0)))</f>
        <v>0.34725848563968664</v>
      </c>
      <c r="EJ16" s="77" t="s">
        <v>224</v>
      </c>
      <c r="EK16" s="78" t="s">
        <v>225</v>
      </c>
      <c r="EL16" s="69">
        <v>124.9</v>
      </c>
      <c r="EM16" s="64">
        <f>IF(EL16=0,"",IF(EL16=EG16,0.0001,ROUND(1-((EL16+(VLOOKUP(BI16&amp;"ASS",[8]ARBOR!A:C,3,0)-EH16))/EG16),4)))</f>
        <v>0.72289999999999999</v>
      </c>
      <c r="EN16" s="65" t="str">
        <f>IF(ISERROR(IF(EM16="","",VLOOKUP(($BH16&amp;EM16&amp;"Template de desconto percentual FLAT Móvel - Conta Total - Varejo - Ganho Tributário Cross"),[8]BENEFICIOS!$A:$E,5,0))),"Criar",IF(EM16="","",VLOOKUP(($BH16&amp;EM16&amp;"Template de desconto percentual FLAT Móvel - Conta Total - Varejo - Ganho Tributário Cross"),[8]BENEFICIOS!$A:$E,5,0)))</f>
        <v>MKT-1-10033167881</v>
      </c>
      <c r="EO16" s="79"/>
      <c r="EP16" s="64"/>
      <c r="EQ16" s="72"/>
      <c r="ER16" s="72"/>
      <c r="ES16" s="64"/>
      <c r="ET16" s="80"/>
      <c r="EU16" s="81"/>
      <c r="EV16" s="81"/>
      <c r="EW16" s="82"/>
      <c r="EX16" s="83"/>
      <c r="EY16" s="84"/>
      <c r="EZ16" s="82"/>
      <c r="FA16" s="83"/>
      <c r="FB16" s="84"/>
      <c r="FC16" s="82"/>
      <c r="FD16" s="83" t="str">
        <f>IF(FC16=0,"",IF(FC16=VLOOKUP("PCS-10357",[8]ARBOR!$A:$C,3,0),0.0001,IF(FC16&gt;VLOOKUP("PCS-10357",[8]ARBOR!$A:$C,3,0),"Maior que CAP!",ROUND(-1*(FC16/VLOOKUP("PCS-10357",[8]ARBOR!$A:$C,3,0)-1),4))))</f>
        <v/>
      </c>
      <c r="FE16" s="84" t="str">
        <f>IF(ISERROR(IF(FD16="","",VLOOKUP(("Oi Internet Pra Celular 1GB"&amp;FD16&amp;"Template Flat Instância Dados"),[8]BENEFICIOS!$A:$E,5,0))),"Criar",IF(FD16="","",VLOOKUP(("Oi Internet Pra Celular 1GB"&amp;FD16&amp;"Template Flat Instância Dados"),[8]BENEFICIOS!$A:$E,5,0)))</f>
        <v/>
      </c>
      <c r="FF16" s="82"/>
      <c r="FG16" s="83" t="str">
        <f>IF(FF16=0,"",IF(FF16=VLOOKUP("PCS-813565",[8]ARBOR!$A:$C,3,0),0.0001,IF(FF16&gt;VLOOKUP("PCS-813565",[8]ARBOR!$A:$C,3,0),"Maior que CAP!",ROUND(-1*(FF16/VLOOKUP("PCS-813565",[8]ARBOR!$A:$C,3,0)-1),4))))</f>
        <v/>
      </c>
      <c r="FH16" s="84" t="str">
        <f>IF(ISERROR(IF(FG16="","",VLOOKUP(("Oi Internet Pra Celular 2GB"&amp;FG16&amp;"Template Flat Instância Dados"),[8]BENEFICIOS!$A:$E,5,0))),"Criar",IF(FG16="","",VLOOKUP(("Oi Internet Pra Celular 2GB"&amp;FG16&amp;"Template Flat Instância Dados"),[8]BENEFICIOS!$A:$E,5,0)))</f>
        <v/>
      </c>
      <c r="FI16" s="82"/>
      <c r="FJ16" s="83" t="str">
        <f>IF(FI16=0,"",IF(FI16=VLOOKUP("PCS-7171B",[8]ARBOR!$A:$C,3,0),0.0001,IF(FI16&gt;VLOOKUP("PCS-7171B",[8]ARBOR!$A:$C,3,0),"Maior que CAP!",ROUND(-1*(FI16/VLOOKUP("PCS-7171B",[8]ARBOR!$A:$C,3,0)-1),4))))</f>
        <v/>
      </c>
      <c r="FK16" s="84" t="str">
        <f>IF(ISERROR(IF(FJ16="","",VLOOKUP(("Oi Internet Pra Celular 3GB"&amp;FJ16&amp;"Template Flat Instância Dados"),[8]BENEFICIOS!$A:$E,5,0))),"Criar",IF(FJ16="","",VLOOKUP(("Oi Internet Pra Celular 3GB"&amp;FJ16&amp;"Template Flat Instância Dados"),[8]BENEFICIOS!$A:$E,5,0)))</f>
        <v/>
      </c>
      <c r="FL16" s="82"/>
      <c r="FM16" s="83" t="str">
        <f>IF(FL16=0,"",IF(FL16=VLOOKUP("PCS-51793o08",[8]ARBOR!$A:$C,3,0),0.0001,IF(FL16&gt;VLOOKUP("PCS-51793o08",[8]ARBOR!$A:$C,3,0),"Maior que CAP!",ROUND(-1*(FL16/VLOOKUP("PCS-51793o08",[8]ARBOR!$A:$C,3,0)-1),4))))</f>
        <v/>
      </c>
      <c r="FN16" s="84" t="str">
        <f>IF(ISERROR(IF(FM16="","",VLOOKUP(("Oi Internet Pra Celular 5GB"&amp;FM16&amp;"Template Flat Instância Dados"),[8]BENEFICIOS!$A:$E,5,0))),"Criar",IF(FM16="","",VLOOKUP(("Oi Internet Pra Celular 5GB"&amp;FM16&amp;"Template Flat Instância Dados"),[8]BENEFICIOS!$A:$E,5,0)))</f>
        <v/>
      </c>
      <c r="FO16" s="82"/>
      <c r="FP16" s="83" t="str">
        <f>IF(FO16=0,"",IF(FO16=VLOOKUP("PCS-7171A",[8]ARBOR!$A:$C,3,0),0.0001,IF(FO16&gt;VLOOKUP("PCS-7171A",[8]ARBOR!$A:$C,3,0),"Maior que CAP!",ROUND(-1*(FO16/VLOOKUP("PCS-7171A",[8]ARBOR!$A:$C,3,0)-1),4))))</f>
        <v/>
      </c>
      <c r="FQ16" s="84" t="str">
        <f>IF(ISERROR(IF(FP16="","",VLOOKUP(("Oi Internet Pra Celular 10GB"&amp;FP16&amp;"Template Flat Instância Dados"),[8]BENEFICIOS!$A:$E,5,0))),"Criar",IF(FP16="","",VLOOKUP(("Oi Internet Pra Celular 10GB"&amp;FP16&amp;"Template Flat Instância Dados"),[8]BENEFICIOS!$A:$E,5,0)))</f>
        <v/>
      </c>
      <c r="FR16" s="85"/>
      <c r="FS16" s="86"/>
      <c r="FT16" s="48"/>
      <c r="FU16" s="87"/>
      <c r="FV16" s="88" t="s">
        <v>221</v>
      </c>
      <c r="FW16" s="49" t="s">
        <v>226</v>
      </c>
      <c r="FX16" s="89">
        <v>999</v>
      </c>
      <c r="FY16" s="49">
        <v>12</v>
      </c>
      <c r="FZ16" s="90" t="s">
        <v>227</v>
      </c>
      <c r="GA16" s="91" t="str">
        <f t="shared" si="1"/>
        <v>PCS-Fk83324</v>
      </c>
      <c r="GB16" s="92" t="str">
        <f t="shared" si="2"/>
        <v>PCS-SBL553142</v>
      </c>
      <c r="GC16" s="93" t="s">
        <v>228</v>
      </c>
      <c r="GD16" s="90" t="s">
        <v>229</v>
      </c>
      <c r="GE16" s="92" t="s">
        <v>230</v>
      </c>
      <c r="GF16" s="93" t="s">
        <v>231</v>
      </c>
      <c r="GG16" s="90" t="s">
        <v>232</v>
      </c>
      <c r="GH16" s="92" t="s">
        <v>233</v>
      </c>
      <c r="GI16" s="94" t="s">
        <v>234</v>
      </c>
      <c r="GJ16" s="95">
        <f>EL16+CN16+BJ16</f>
        <v>224.9</v>
      </c>
      <c r="GK16" s="96"/>
      <c r="GL16" s="97" t="s">
        <v>235</v>
      </c>
      <c r="GM16" s="98" t="s">
        <v>272</v>
      </c>
      <c r="GN16" s="97">
        <v>0</v>
      </c>
      <c r="GO16" s="99">
        <v>0</v>
      </c>
      <c r="GP16" s="76">
        <v>1</v>
      </c>
      <c r="GQ16" s="97">
        <v>0</v>
      </c>
      <c r="GR16" s="97">
        <v>0</v>
      </c>
      <c r="GS16" s="101"/>
      <c r="GT16" s="101"/>
      <c r="GU16" s="102" t="b">
        <v>1</v>
      </c>
      <c r="GV16" s="103">
        <v>0</v>
      </c>
      <c r="GW16" s="44" t="s">
        <v>275</v>
      </c>
      <c r="GX16" s="44" t="s">
        <v>238</v>
      </c>
    </row>
    <row r="17" spans="1:206" s="44" customFormat="1" x14ac:dyDescent="0.35">
      <c r="A17" s="44" t="str">
        <f t="shared" si="0"/>
        <v>Oi Total Fixo + Pós 800 + Banda LargaN21GBMG</v>
      </c>
      <c r="B17" s="45" t="s">
        <v>211</v>
      </c>
      <c r="C17" s="46" t="s">
        <v>127</v>
      </c>
      <c r="D17" s="46" t="s">
        <v>212</v>
      </c>
      <c r="E17" s="47" t="s">
        <v>213</v>
      </c>
      <c r="F17" s="88" t="s">
        <v>214</v>
      </c>
      <c r="G17" s="49"/>
      <c r="H17" s="49"/>
      <c r="I17" s="49"/>
      <c r="J17" s="49" t="s">
        <v>214</v>
      </c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 t="s">
        <v>214</v>
      </c>
      <c r="AC17" s="49" t="s">
        <v>214</v>
      </c>
      <c r="AD17" s="49" t="s">
        <v>214</v>
      </c>
      <c r="AE17" s="49" t="s">
        <v>214</v>
      </c>
      <c r="AF17" s="49" t="s">
        <v>214</v>
      </c>
      <c r="AG17" s="49" t="s">
        <v>214</v>
      </c>
      <c r="AH17" s="50"/>
      <c r="AI17" s="49" t="s">
        <v>214</v>
      </c>
      <c r="AJ17" s="49" t="s">
        <v>214</v>
      </c>
      <c r="AK17" s="49" t="s">
        <v>214</v>
      </c>
      <c r="AL17" s="49" t="s">
        <v>214</v>
      </c>
      <c r="AM17" s="49" t="s">
        <v>214</v>
      </c>
      <c r="AN17" s="49" t="s">
        <v>214</v>
      </c>
      <c r="AO17" s="49" t="s">
        <v>214</v>
      </c>
      <c r="AP17" s="49"/>
      <c r="AQ17" s="51"/>
      <c r="AR17" s="52" t="s">
        <v>276</v>
      </c>
      <c r="AS17" s="46" t="s">
        <v>216</v>
      </c>
      <c r="AT17" s="53" t="s">
        <v>217</v>
      </c>
      <c r="AU17" s="54">
        <v>42972</v>
      </c>
      <c r="AV17" s="105">
        <v>43097</v>
      </c>
      <c r="AW17" s="56" t="s">
        <v>218</v>
      </c>
      <c r="AX17" s="57" t="s">
        <v>218</v>
      </c>
      <c r="AY17" s="58"/>
      <c r="AZ17" s="58" t="s">
        <v>219</v>
      </c>
      <c r="BA17" s="58">
        <v>20</v>
      </c>
      <c r="BB17" s="58">
        <v>10000</v>
      </c>
      <c r="BC17" s="59" t="s">
        <v>220</v>
      </c>
      <c r="BD17" s="60" t="s">
        <v>221</v>
      </c>
      <c r="BE17" s="58" t="s">
        <v>213</v>
      </c>
      <c r="BF17" s="51" t="s">
        <v>213</v>
      </c>
      <c r="BG17" s="45" t="s">
        <v>276</v>
      </c>
      <c r="BH17" s="61" t="s">
        <v>222</v>
      </c>
      <c r="BI17" s="62" t="str">
        <f>IF(ISERROR(VLOOKUP(BH17,[8]PLANOS!B:C,2,0)),"",VLOOKUP(BH17,[8]PLANOS!B:C,2,0))</f>
        <v>PCS-4P6pi</v>
      </c>
      <c r="BJ17" s="63">
        <v>50.1</v>
      </c>
      <c r="BK17" s="64">
        <f>IF(BJ17=0,"",IF(BJ17=VLOOKUP("FIXO",[8]ARBOR!$A:$C,3,0),0.0001,IF(BJ17&gt;VLOOKUP("FIXO",[8]ARBOR!$A:$C,3,0),"Maior que CAP!",IF((DOLLAR(BJ17+(VLOOKUP("FIXO",[8]ARBOR!$A:$C,3,0)*-TRUNC(BJ17/VLOOKUP("FIXO",[8]ARBOR!$A:$C,3,0)-1,4)),6))&lt;&gt;(DOLLAR(VLOOKUP("FIXO",[8]ARBOR!$A:$C,3,0),6)),-TRUNC(BJ17/VLOOKUP("FIXO",[8]ARBOR!$A:$C,3,0)-1,4)+0.0001,-TRUNC(BJ17/VLOOKUP("FIXO",[8]ARBOR!$A:$C,3,0)-1,4)))))</f>
        <v>0.33939999999999998</v>
      </c>
      <c r="BL17" s="65" t="str">
        <f>IF(ISERROR(IF(BK17="","",VLOOKUP(($BH17&amp;BK17&amp;"Template de desconto FLAT bundle - Fixo - Varejo - Ganho Tributário Cross"),[8]BENEFICIOS!$A:$E,5,0))),"Criar",IF(BK17="","",VLOOKUP(($BH17&amp;BK17&amp;"Template de desconto FLAT bundle - Fixo - Varejo - Ganho Tributário Cross"),[8]BENEFICIOS!$A:$E,5,0)))</f>
        <v>MKT-1-9856472058</v>
      </c>
      <c r="BM17" s="66"/>
      <c r="BN17" s="67"/>
      <c r="BO17" s="68" t="s">
        <v>161</v>
      </c>
      <c r="BP17" s="69">
        <v>44.9</v>
      </c>
      <c r="BQ17" s="64">
        <f>IF(BP17=0,"",IF(BP17=VLOOKUP("PCS-30874g",[8]ARBOR!$A:$C,3,0),0.0001,IF(BP17&gt;VLOOKUP("PCS-30874g",[8]ARBOR!$A:$C,3,0),"Maior que CAP!",IF((DOLLAR(BP17+(VLOOKUP("PCS-30874g",[8]ARBOR!$A:$C,3,0)*-TRUNC(BP17/VLOOKUP("PCS-30874g",[8]ARBOR!$A:$C,3,0)-1,4)),6))&lt;&gt;(DOLLAR(VLOOKUP("PCS-30874g",[8]ARBOR!$A:$C,3,0),6)),-TRUNC(BP17/VLOOKUP("PCS-30874g",[8]ARBOR!$A:$C,3,0)-1,4)+0.0001,-TRUNC(BP17/VLOOKUP("PCS-30874g",[8]ARBOR!$A:$C,3,0)-1,4)))))</f>
        <v>0.53679999999999994</v>
      </c>
      <c r="BR17" s="65" t="str">
        <f>IF(ISERROR(IF(BQ17="","",VLOOKUP(($BH17&amp;BQ17&amp;"Template de desconto FLAT bundle - Velox XDSL - Varejo"),[8]BENEFICIOS!$A:$E,5,0))),"Criar",IF(BQ17="","",VLOOKUP(($BH17&amp;BQ17&amp;"Template de desconto FLAT bundle - Velox XDSL - Varejo"),[8]BENEFICIOS!$A:$E,5,0)))</f>
        <v>MKT-1-9865126733</v>
      </c>
      <c r="BS17" s="68" t="s">
        <v>161</v>
      </c>
      <c r="BT17" s="69">
        <v>44.9</v>
      </c>
      <c r="BU17" s="64">
        <f>IF(BT17=0,"",IF(BT17=VLOOKUP("PCS-30577g",[8]ARBOR!$A:$C,3,0),0.0001,IF(BT17&gt;VLOOKUP("PCS-30577g",[8]ARBOR!$A:$C,3,0),"Maior que CAP!",IF((DOLLAR(BT17+(VLOOKUP("PCS-30577g",[8]ARBOR!$A:$C,3,0)*-TRUNC(BT17/VLOOKUP("PCS-30577g",[8]ARBOR!$A:$C,3,0)-1,4)),6))&lt;&gt;(DOLLAR(VLOOKUP("PCS-30577g",[8]ARBOR!$A:$C,3,0),6)),-TRUNC(BT17/VLOOKUP("PCS-30577g",[8]ARBOR!$A:$C,3,0)-1,4)+0.0001,-TRUNC(BT17/VLOOKUP("PCS-30577g",[8]ARBOR!$A:$C,3,0)-1,4)))))</f>
        <v>0.53679999999999994</v>
      </c>
      <c r="BV17" s="65" t="str">
        <f>IF(ISERROR(IF(BU17="","",VLOOKUP(($BH17&amp;BU17&amp;"Template de desconto FLAT bundle - Velox XDSL - Varejo"),[8]BENEFICIOS!$A:$E,5,0))),"Criar",IF(BU17="","",VLOOKUP(($BH17&amp;BU17&amp;"Template de desconto FLAT bundle - Velox XDSL - Varejo"),[8]BENEFICIOS!$A:$E,5,0)))</f>
        <v>MKT-1-9865126733</v>
      </c>
      <c r="BW17" s="68" t="s">
        <v>161</v>
      </c>
      <c r="BX17" s="69">
        <v>44.9</v>
      </c>
      <c r="BY17" s="64">
        <f>IF(BX17=0,"",IF(BX17=VLOOKUP("PCS-30604g",[8]ARBOR!$A:$C,3,0),0.0001,IF(BX17&gt;VLOOKUP("PCS-30604g",[8]ARBOR!$A:$C,3,0),"Maior que CAP!",IF((DOLLAR(BX17+(VLOOKUP("PCS-30604g",[8]ARBOR!$A:$C,3,0)*-TRUNC(BX17/VLOOKUP("PCS-30604g",[8]ARBOR!$A:$C,3,0)-1,4)),6))&lt;&gt;(DOLLAR(VLOOKUP("PCS-30604g",[8]ARBOR!$A:$C,3,0),6)),-TRUNC(BX17/VLOOKUP("PCS-30604g",[8]ARBOR!$A:$C,3,0)-1,4)+0.0001,-TRUNC(BX17/VLOOKUP("PCS-30604g",[8]ARBOR!$A:$C,3,0)-1,4)))))</f>
        <v>0.53679999999999994</v>
      </c>
      <c r="BZ17" s="65" t="str">
        <f>IF(ISERROR(IF(BY17="","",VLOOKUP(($BH17&amp;BY17&amp;"Template de desconto FLAT bundle - Velox XDSL - Varejo"),[8]BENEFICIOS!$A:$E,5,0))),"Criar",IF(BY17="","",VLOOKUP(($BH17&amp;BY17&amp;"Template de desconto FLAT bundle - Velox XDSL - Varejo"),[8]BENEFICIOS!$A:$E,5,0)))</f>
        <v>MKT-1-9865126733</v>
      </c>
      <c r="CA17" s="68" t="s">
        <v>161</v>
      </c>
      <c r="CB17" s="69">
        <v>44.9</v>
      </c>
      <c r="CC17" s="64">
        <f>IF(CB17=0,"",IF(CB17=VLOOKUP("PCS-30631g",[8]ARBOR!$A:$C,3,0),0.0001,IF(CB17&gt;VLOOKUP("PCS-30631g",[8]ARBOR!$A:$C,3,0),"Maior que CAP!",IF((DOLLAR(CB17+(VLOOKUP("PCS-30631g",[8]ARBOR!$A:$C,3,0)*-TRUNC(CB17/VLOOKUP("PCS-30631g",[8]ARBOR!$A:$C,3,0)-1,4)),6))&lt;&gt;(DOLLAR(VLOOKUP("PCS-30631g",[8]ARBOR!$A:$C,3,0),6)),-TRUNC(CB17/VLOOKUP("PCS-30631g",[8]ARBOR!$A:$C,3,0)-1,4)+0.0001,-TRUNC(CB17/VLOOKUP("PCS-30631g",[8]ARBOR!$A:$C,3,0)-1,4)))))</f>
        <v>0.54310000000000003</v>
      </c>
      <c r="CD17" s="65" t="str">
        <f>IF(ISERROR(IF(CC17="","",VLOOKUP(($BH17&amp;CC17&amp;"Template de desconto FLAT bundle - Velox XDSL - Varejo"),[8]BENEFICIOS!$A:$E,5,0))),"Criar",IF(CC17="","",VLOOKUP(($BH17&amp;CC17&amp;"Template de desconto FLAT bundle - Velox XDSL - Varejo"),[8]BENEFICIOS!$A:$E,5,0)))</f>
        <v>MKT-1-9865126826</v>
      </c>
      <c r="CE17" s="68"/>
      <c r="CF17" s="69"/>
      <c r="CG17" s="64" t="str">
        <f>IF(CF17=0,"",IF(CF17=VLOOKUP("PCS-30658g",[8]ARBOR!$A:$C,3,0),0.0001,IF(CF17&gt;VLOOKUP("PCS-30658g",[8]ARBOR!$A:$C,3,0),"Maior que CAP!",IF((DOLLAR(CF17+(VLOOKUP("PCS-30658g",[8]ARBOR!$A:$C,3,0)*-TRUNC(CF17/VLOOKUP("PCS-30658g",[8]ARBOR!$A:$C,3,0)-1,4)),6))&lt;&gt;(DOLLAR(VLOOKUP("PCS-30658g",[8]ARBOR!$A:$C,3,0),6)),-TRUNC(CF17/VLOOKUP("PCS-30658g",[8]ARBOR!$A:$C,3,0)-1,4)+0.0001,-TRUNC(CF17/VLOOKUP("PCS-30658g",[8]ARBOR!$A:$C,3,0)-1,4)))))</f>
        <v/>
      </c>
      <c r="CH17" s="65" t="str">
        <f>IF(ISERROR(IF(CG17="","",VLOOKUP(($BH17&amp;CG17&amp;"Template de desconto FLAT bundle - Velox XDSL - Varejo"),[8]BENEFICIOS!$A:$E,5,0))),"Criar",IF(CG17="","",VLOOKUP(($BH17&amp;CG17&amp;"Template de desconto FLAT bundle - Velox XDSL - Varejo"),[8]BENEFICIOS!$A:$E,5,0)))</f>
        <v/>
      </c>
      <c r="CI17" s="68"/>
      <c r="CJ17" s="69"/>
      <c r="CK17" s="64" t="str">
        <f>IF(CJ17=0,"",IF(CJ17=VLOOKUP("PCS-30685g",[8]ARBOR!$A:$C,3,0),0.0001,IF(CJ17&gt;VLOOKUP("PCS-30685g",[8]ARBOR!$A:$C,3,0),"Maior que CAP!",IF((DOLLAR(CJ17+(VLOOKUP("PCS-30685g",[8]ARBOR!$A:$C,3,0)*-TRUNC(CJ17/VLOOKUP("PCS-30685g",[8]ARBOR!$A:$C,3,0)-1,4)),6))&lt;&gt;(DOLLAR(VLOOKUP("PCS-30685g",[8]ARBOR!$A:$C,3,0),6)),-TRUNC(CJ17/VLOOKUP("PCS-30685g",[8]ARBOR!$A:$C,3,0)-1,4)+0.0001,-TRUNC(CJ17/VLOOKUP("PCS-30685g",[8]ARBOR!$A:$C,3,0)-1,4)))))</f>
        <v/>
      </c>
      <c r="CL17" s="65" t="str">
        <f>IF(ISERROR(IF(CK17="","",VLOOKUP(($BH17&amp;CK17&amp;"Template de desconto FLAT bundle - Velox XDSL - Varejo"),[8]BENEFICIOS!$A:$E,5,0))),"Criar",IF(CK17="","",VLOOKUP(($BH17&amp;CK17&amp;"Template de desconto FLAT bundle - Velox XDSL - Varejo"),[8]BENEFICIOS!$A:$E,5,0)))</f>
        <v/>
      </c>
      <c r="CM17" s="68"/>
      <c r="CN17" s="69"/>
      <c r="CO17" s="64" t="str">
        <f>IF(CN17=0,"",IF(CN17=VLOOKUP("PCS-30712g",[8]ARBOR!$A:$C,3,0),0.0001,IF(CN17&gt;VLOOKUP("PCS-30712g",[8]ARBOR!$A:$C,3,0),"Maior que CAP!",IF((DOLLAR(CN17+(VLOOKUP("PCS-30712g",[8]ARBOR!$A:$C,3,0)*-TRUNC(CN17/VLOOKUP("PCS-30712g",[8]ARBOR!$A:$C,3,0)-1,4)),6))&lt;&gt;(DOLLAR(VLOOKUP("PCS-30712g",[8]ARBOR!$A:$C,3,0),6)),-TRUNC(CN17/VLOOKUP("PCS-30712g",[8]ARBOR!$A:$C,3,0)-1,4)+0.0001,-TRUNC(CN17/VLOOKUP("PCS-30712g",[8]ARBOR!$A:$C,3,0)-1,4)))))</f>
        <v/>
      </c>
      <c r="CP17" s="65" t="str">
        <f>IF(ISERROR(IF(CO17="","",VLOOKUP(($BH17&amp;CO17&amp;"Template de desconto FLAT bundle - Velox XDSL - Varejo"),[8]BENEFICIOS!$A:$E,5,0))),"Criar",IF(CO17="","",VLOOKUP(($BH17&amp;CO17&amp;"Template de desconto FLAT bundle - Velox XDSL - Varejo"),[8]BENEFICIOS!$A:$E,5,0)))</f>
        <v/>
      </c>
      <c r="CQ17" s="68"/>
      <c r="CR17" s="69"/>
      <c r="CS17" s="64" t="str">
        <f>IF(CR17=0,"",IF(CR17=VLOOKUP("PCS-30739g",[8]ARBOR!$A:$C,3,0),0.0001,IF(CR17&gt;VLOOKUP("PCS-30739g",[8]ARBOR!$A:$C,3,0),"Maior que CAP!",IF((DOLLAR(CR17+(VLOOKUP("PCS-30739g",[8]ARBOR!$A:$C,3,0)*-TRUNC(CR17/VLOOKUP("PCS-30739g",[8]ARBOR!$A:$C,3,0)-1,4)),6))&lt;&gt;(DOLLAR(VLOOKUP("PCS-30739g",[8]ARBOR!$A:$C,3,0),6)),-TRUNC(CR17/VLOOKUP("PCS-30739g",[8]ARBOR!$A:$C,3,0)-1,4)+0.0001,-TRUNC(CR17/VLOOKUP("PCS-30739g",[8]ARBOR!$A:$C,3,0)-1,4)))))</f>
        <v/>
      </c>
      <c r="CT17" s="65" t="str">
        <f>IF(ISERROR(IF(CS17="","",VLOOKUP(($BH17&amp;CS17&amp;"Template de desconto FLAT bundle - Velox XDSL - Varejo"),[8]BENEFICIOS!$A:$E,5,0))),"Criar",IF(CS17="","",VLOOKUP(($BH17&amp;CS17&amp;"Template de desconto FLAT bundle - Velox XDSL - Varejo"),[8]BENEFICIOS!$A:$E,5,0)))</f>
        <v/>
      </c>
      <c r="CU17" s="69"/>
      <c r="CV17" s="70"/>
      <c r="CW17" s="64"/>
      <c r="CX17" s="65"/>
      <c r="CY17" s="68"/>
      <c r="CZ17" s="69"/>
      <c r="DA17" s="64" t="str">
        <f>IF(CZ17=0,"",IF(CZ17=VLOOKUP("PCS-30766g",[8]ARBOR!$A:$C,3,0),0.0001,IF(CZ17&gt;VLOOKUP("PCS-30766g",[8]ARBOR!$A:$C,3,0),"Maior que CAP!",IF((DOLLAR(CZ17+(VLOOKUP("PCS-30766g",[8]ARBOR!$A:$C,3,0)*-TRUNC(CZ17/VLOOKUP("PCS-30766g",[8]ARBOR!$A:$C,3,0)-1,4)),6))&lt;&gt;(DOLLAR(VLOOKUP("PCS-30766g",[8]ARBOR!$A:$C,3,0),6)),-TRUNC(CZ17/VLOOKUP("PCS-30766g",[8]ARBOR!$A:$C,3,0)-1,4)+0.0001,-TRUNC(CZ17/VLOOKUP("PCS-30766g",[8]ARBOR!$A:$C,3,0)-1,4)))))</f>
        <v/>
      </c>
      <c r="DB17" s="65" t="str">
        <f>IF(ISERROR(IF(DA17="","",VLOOKUP(($BH17&amp;DA17&amp;"Template de desconto FLAT bundle - Velox XDSL - Varejo"),[8]BENEFICIOS!$A:$E,5,0))),"Criar",IF(DA17="","",VLOOKUP(($BH17&amp;DA17&amp;"Template de desconto FLAT bundle - Velox XDSL - Varejo"),[8]BENEFICIOS!$A:$E,5,0)))</f>
        <v/>
      </c>
      <c r="DC17" s="69"/>
      <c r="DD17" s="70"/>
      <c r="DE17" s="64"/>
      <c r="DF17" s="65"/>
      <c r="DG17" s="68"/>
      <c r="DH17" s="69"/>
      <c r="DI17" s="64" t="str">
        <f>IF(DH17=0,"",IF(DH17=VLOOKUP("PCS-30793g",[8]ARBOR!$A:$C,3,0),0.0001,IF(DH17&gt;VLOOKUP("PCS-30793g",[8]ARBOR!$A:$C,3,0),"Maior que CAP!",IF((DOLLAR(DH17+(VLOOKUP("PCS-30793g",[8]ARBOR!$A:$C,3,0)*-TRUNC(DH17/VLOOKUP("PCS-30793g",[8]ARBOR!$A:$C,3,0)-1,4)),6))&lt;&gt;(DOLLAR(VLOOKUP("PCS-30793g",[8]ARBOR!$A:$C,3,0),6)),-TRUNC(DH17/VLOOKUP("PCS-30793g",[8]ARBOR!$A:$C,3,0)-1,4)+0.0001,-TRUNC(DH17/VLOOKUP("PCS-30793g",[8]ARBOR!$A:$C,3,0)-1,4)))))</f>
        <v/>
      </c>
      <c r="DJ17" s="65" t="str">
        <f>IF(ISERROR(IF(DI17="","",VLOOKUP(($BH17&amp;DI17&amp;"Template de desconto FLAT bundle - Velox XDSL - Varejo"),[8]BENEFICIOS!$A:$E,5,0))),"Criar",IF(DI17="","",VLOOKUP(($BH17&amp;DI17&amp;"Template de desconto FLAT bundle - Velox XDSL - Varejo"),[8]BENEFICIOS!$A:$E,5,0)))</f>
        <v/>
      </c>
      <c r="DK17" s="69"/>
      <c r="DL17" s="70"/>
      <c r="DM17" s="64"/>
      <c r="DN17" s="65"/>
      <c r="DO17" s="68"/>
      <c r="DP17" s="69"/>
      <c r="DQ17" s="64" t="str">
        <f>IF(DP17=0,"",IF(DP17=VLOOKUP("PCS-30820g",[8]ARBOR!$A:$C,3,0),0.0001,IF(DP17&gt;VLOOKUP("PCS-30820g",[8]ARBOR!$A:$C,3,0),"Maior que CAP!",IF((DOLLAR(DP17+(VLOOKUP("PCS-30820g",[8]ARBOR!$A:$C,3,0)*-TRUNC(DP17/VLOOKUP("PCS-30820g",[8]ARBOR!$A:$C,3,0)-1,4)),6))&lt;&gt;(DOLLAR(VLOOKUP("PCS-30820g",[8]ARBOR!$A:$C,3,0),6)),-TRUNC(DP17/VLOOKUP("PCS-30820g",[8]ARBOR!$A:$C,3,0)-1,4)+0.0001,-TRUNC(DP17/VLOOKUP("PCS-30820g",[8]ARBOR!$A:$C,3,0)-1,4)))))</f>
        <v/>
      </c>
      <c r="DR17" s="65" t="str">
        <f>IF(ISERROR(IF(DQ17="","",VLOOKUP(($BH17&amp;DQ17&amp;"Template de desconto FLAT bundle - Velox XDSL - Varejo"),[8]BENEFICIOS!$A:$E,5,0))),"Criar",IF(DQ17="","",VLOOKUP(($BH17&amp;DQ17&amp;"Template de desconto FLAT bundle - Velox XDSL - Varejo"),[8]BENEFICIOS!$A:$E,5,0)))</f>
        <v/>
      </c>
      <c r="DS17" s="69"/>
      <c r="DT17" s="70"/>
      <c r="DU17" s="64"/>
      <c r="DV17" s="65"/>
      <c r="DW17" s="71">
        <v>44.9</v>
      </c>
      <c r="DX17" s="64">
        <f>IF(DW17=0,"",IF(DW17=VLOOKUP("PCS-21448p2",[8]ARBOR!$A:$C,3,0),0.0001,IF(DW17&gt;VLOOKUP("PCS-21448p2",[8]ARBOR!$A:$C,3,0),"Maior que CAP!",IF((DOLLAR(DW17+(VLOOKUP("PCS-21448p2",[8]ARBOR!$A:$C,3,0)*-TRUNC(DW17/VLOOKUP("PCS-21448p2",[8]ARBOR!$A:$C,3,0)-1,4)),6))&lt;&gt;(DOLLAR(VLOOKUP("PCS-21448p2",[8]ARBOR!$A:$C,3,0),6)),-TRUNC(DW17/VLOOKUP("PCS-21448p2",[8]ARBOR!$A:$C,3,0)-1,4)+0.0001,-TRUNC(DW17/VLOOKUP("PCS-21448p2",[8]ARBOR!$A:$C,3,0)-1,4)))))</f>
        <v>0.64900000000000002</v>
      </c>
      <c r="DY17" s="65" t="str">
        <f>IF(ISERROR(IF(DX17="","",VLOOKUP(("Oi Conta Total Plug 10GB Downgrade"&amp;DX17&amp;"Template de desconto percentual BL Móvel - Internet Total - Varejo"),[8]BENEFICIOS!$A:$E,5,0))),"Criar",IF(DX17="","",VLOOKUP(("Oi Conta Total Plug 10GB Downgrade"&amp;DX17&amp;"Template de desconto percentual BL Móvel - Internet Total - Varejo"),[8]BENEFICIOS!$A:$E,5,0)))</f>
        <v>MKT-1-9825544790</v>
      </c>
      <c r="DZ17" s="71">
        <v>16.5</v>
      </c>
      <c r="EA17" s="72">
        <f>IF(DZ17=0,"",IF(DZ17=VLOOKUP("SVA",[8]ARBOR!$A:$C,3,0),0.0001,IF(DZ17&gt;VLOOKUP("SVA",[8]ARBOR!$A:$C,3,0),"Maior que CAP!",IF((DOLLAR(DZ17+(VLOOKUP("SVA",[8]ARBOR!$A:$C,3,0)*-TRUNC(DZ17/VLOOKUP("SVA",[8]ARBOR!$A:$C,3,0)-1,4)),6))&lt;&gt;(DOLLAR(VLOOKUP("SVA",[8]ARBOR!$A:$C,3,0),6)),-TRUNC(DZ17/VLOOKUP("SVA",[8]ARBOR!$A:$C,3,0)-1,4)+0.0001,-TRUNC(DZ17/VLOOKUP("SVA",[8]ARBOR!$A:$C,3,0)-1,4)))))</f>
        <v>0.2301</v>
      </c>
      <c r="EB17" s="65" t="s">
        <v>223</v>
      </c>
      <c r="EC17" s="69"/>
      <c r="ED17" s="73"/>
      <c r="EE17" s="74"/>
      <c r="EF17" s="65"/>
      <c r="EG17" s="75">
        <f>IF(BI17="","",VLOOKUP(BI17,[8]ARBOR!A:C,3,0))</f>
        <v>479.46</v>
      </c>
      <c r="EH17" s="69">
        <v>15</v>
      </c>
      <c r="EI17" s="76">
        <f>IF(EH17="","",1-(EH17/VLOOKUP(BI17&amp;"ASS",[8]ARBOR!A:C,3,0)))</f>
        <v>0.34725848563968664</v>
      </c>
      <c r="EJ17" s="77" t="s">
        <v>224</v>
      </c>
      <c r="EK17" s="78" t="s">
        <v>225</v>
      </c>
      <c r="EL17" s="69">
        <v>116.16000000000001</v>
      </c>
      <c r="EM17" s="64">
        <f>IF(EL17=0,"",IF(EL17=EG17,0.0001,ROUND(1-((EL17+(VLOOKUP(BI17&amp;"ASS",[8]ARBOR!A:C,3,0)-EH17))/EG17),4)))</f>
        <v>0.74109999999999998</v>
      </c>
      <c r="EN17" s="65" t="str">
        <f>IF(ISERROR(IF(EM17="","",VLOOKUP(($BH17&amp;EM17&amp;"Template de desconto percentual FLAT Móvel - Conta Total - Varejo - Ganho Tributário Cross"),[8]BENEFICIOS!$A:$E,5,0))),"Criar",IF(EM17="","",VLOOKUP(($BH17&amp;EM17&amp;"Template de desconto percentual FLAT Móvel - Conta Total - Varejo - Ganho Tributário Cross"),[8]BENEFICIOS!$A:$E,5,0)))</f>
        <v>MKT-1-10033171611</v>
      </c>
      <c r="EO17" s="79"/>
      <c r="EP17" s="64"/>
      <c r="EQ17" s="72"/>
      <c r="ER17" s="72"/>
      <c r="ES17" s="64"/>
      <c r="ET17" s="80"/>
      <c r="EU17" s="81" t="s">
        <v>244</v>
      </c>
      <c r="EV17" s="81" t="s">
        <v>245</v>
      </c>
      <c r="EW17" s="82"/>
      <c r="EX17" s="83"/>
      <c r="EY17" s="84"/>
      <c r="EZ17" s="82"/>
      <c r="FA17" s="83"/>
      <c r="FB17" s="84"/>
      <c r="FC17" s="82">
        <v>8.74</v>
      </c>
      <c r="FD17" s="83">
        <f>IF(FC17=0,"",IF(FC17=VLOOKUP("PCS-10357",[8]ARBOR!$A:$C,3,0),0.0001,IF(FC17&gt;VLOOKUP("PCS-10357",[8]ARBOR!$A:$C,3,0),"Maior que CAP!",ROUND(-1*(FC17/VLOOKUP("PCS-10357",[8]ARBOR!$A:$C,3,0)-1),4))))</f>
        <v>0.8669</v>
      </c>
      <c r="FE17" s="84" t="str">
        <f>IF(ISERROR(IF(FD17="","",VLOOKUP(("Oi Internet Pra Celular 1GB"&amp;FD17&amp;"Template Flat Instância Dados"),[8]BENEFICIOS!$A:$E,5,0))),"Criar",IF(FD17="","",VLOOKUP(("Oi Internet Pra Celular 1GB"&amp;FD17&amp;"Template Flat Instância Dados"),[8]BENEFICIOS!$A:$E,5,0)))</f>
        <v>MKT-1-9869952543</v>
      </c>
      <c r="FF17" s="82"/>
      <c r="FG17" s="83" t="str">
        <f>IF(FF17=0,"",IF(FF17=VLOOKUP("PCS-813565",[8]ARBOR!$A:$C,3,0),0.0001,IF(FF17&gt;VLOOKUP("PCS-813565",[8]ARBOR!$A:$C,3,0),"Maior que CAP!",ROUND(-1*(FF17/VLOOKUP("PCS-813565",[8]ARBOR!$A:$C,3,0)-1),4))))</f>
        <v/>
      </c>
      <c r="FH17" s="84" t="str">
        <f>IF(ISERROR(IF(FG17="","",VLOOKUP(("Oi Internet Pra Celular 2GB"&amp;FG17&amp;"Template Flat Instância Dados"),[8]BENEFICIOS!$A:$E,5,0))),"Criar",IF(FG17="","",VLOOKUP(("Oi Internet Pra Celular 2GB"&amp;FG17&amp;"Template Flat Instância Dados"),[8]BENEFICIOS!$A:$E,5,0)))</f>
        <v/>
      </c>
      <c r="FI17" s="82"/>
      <c r="FJ17" s="83" t="str">
        <f>IF(FI17=0,"",IF(FI17=VLOOKUP("PCS-7171B",[8]ARBOR!$A:$C,3,0),0.0001,IF(FI17&gt;VLOOKUP("PCS-7171B",[8]ARBOR!$A:$C,3,0),"Maior que CAP!",ROUND(-1*(FI17/VLOOKUP("PCS-7171B",[8]ARBOR!$A:$C,3,0)-1),4))))</f>
        <v/>
      </c>
      <c r="FK17" s="84" t="str">
        <f>IF(ISERROR(IF(FJ17="","",VLOOKUP(("Oi Internet Pra Celular 3GB"&amp;FJ17&amp;"Template Flat Instância Dados"),[8]BENEFICIOS!$A:$E,5,0))),"Criar",IF(FJ17="","",VLOOKUP(("Oi Internet Pra Celular 3GB"&amp;FJ17&amp;"Template Flat Instância Dados"),[8]BENEFICIOS!$A:$E,5,0)))</f>
        <v/>
      </c>
      <c r="FL17" s="82"/>
      <c r="FM17" s="83" t="str">
        <f>IF(FL17=0,"",IF(FL17=VLOOKUP("PCS-51793o08",[8]ARBOR!$A:$C,3,0),0.0001,IF(FL17&gt;VLOOKUP("PCS-51793o08",[8]ARBOR!$A:$C,3,0),"Maior que CAP!",ROUND(-1*(FL17/VLOOKUP("PCS-51793o08",[8]ARBOR!$A:$C,3,0)-1),4))))</f>
        <v/>
      </c>
      <c r="FN17" s="84" t="str">
        <f>IF(ISERROR(IF(FM17="","",VLOOKUP(("Oi Internet Pra Celular 5GB"&amp;FM17&amp;"Template Flat Instância Dados"),[8]BENEFICIOS!$A:$E,5,0))),"Criar",IF(FM17="","",VLOOKUP(("Oi Internet Pra Celular 5GB"&amp;FM17&amp;"Template Flat Instância Dados"),[8]BENEFICIOS!$A:$E,5,0)))</f>
        <v/>
      </c>
      <c r="FO17" s="82"/>
      <c r="FP17" s="83" t="str">
        <f>IF(FO17=0,"",IF(FO17=VLOOKUP("PCS-7171A",[8]ARBOR!$A:$C,3,0),0.0001,IF(FO17&gt;VLOOKUP("PCS-7171A",[8]ARBOR!$A:$C,3,0),"Maior que CAP!",ROUND(-1*(FO17/VLOOKUP("PCS-7171A",[8]ARBOR!$A:$C,3,0)-1),4))))</f>
        <v/>
      </c>
      <c r="FQ17" s="84" t="str">
        <f>IF(ISERROR(IF(FP17="","",VLOOKUP(("Oi Internet Pra Celular 10GB"&amp;FP17&amp;"Template Flat Instância Dados"),[8]BENEFICIOS!$A:$E,5,0))),"Criar",IF(FP17="","",VLOOKUP(("Oi Internet Pra Celular 10GB"&amp;FP17&amp;"Template Flat Instância Dados"),[8]BENEFICIOS!$A:$E,5,0)))</f>
        <v/>
      </c>
      <c r="FR17" s="85">
        <v>0.74219999999999997</v>
      </c>
      <c r="FS17" s="86" t="s">
        <v>246</v>
      </c>
      <c r="FT17" s="48"/>
      <c r="FU17" s="87"/>
      <c r="FV17" s="88" t="s">
        <v>221</v>
      </c>
      <c r="FW17" s="49" t="s">
        <v>226</v>
      </c>
      <c r="FX17" s="89">
        <v>999</v>
      </c>
      <c r="FY17" s="49">
        <v>12</v>
      </c>
      <c r="FZ17" s="90" t="s">
        <v>227</v>
      </c>
      <c r="GA17" s="91" t="str">
        <f t="shared" si="1"/>
        <v>PCS-Fk83324</v>
      </c>
      <c r="GB17" s="92" t="str">
        <f t="shared" si="2"/>
        <v>PCS-SBL553142</v>
      </c>
      <c r="GC17" s="93" t="s">
        <v>228</v>
      </c>
      <c r="GD17" s="90" t="s">
        <v>229</v>
      </c>
      <c r="GE17" s="92" t="s">
        <v>230</v>
      </c>
      <c r="GF17" s="93" t="s">
        <v>231</v>
      </c>
      <c r="GG17" s="90" t="s">
        <v>232</v>
      </c>
      <c r="GH17" s="92" t="s">
        <v>233</v>
      </c>
      <c r="GI17" s="94" t="s">
        <v>234</v>
      </c>
      <c r="GJ17" s="95">
        <f>FC17+EL17+DW17+BJ17</f>
        <v>219.9</v>
      </c>
      <c r="GK17" s="96"/>
      <c r="GL17" s="97" t="s">
        <v>235</v>
      </c>
      <c r="GM17" s="98" t="s">
        <v>272</v>
      </c>
      <c r="GN17" s="97">
        <v>14</v>
      </c>
      <c r="GO17" s="99">
        <v>3.61</v>
      </c>
      <c r="GP17" s="76">
        <v>0.74209999999999998</v>
      </c>
      <c r="GQ17" s="97">
        <v>10.38</v>
      </c>
      <c r="GR17" s="97">
        <v>3.6199999999999992</v>
      </c>
      <c r="GS17" s="101"/>
      <c r="GT17" s="101"/>
      <c r="GU17" s="102" t="b">
        <v>0</v>
      </c>
      <c r="GV17" s="103">
        <v>9.9999999999993427E-3</v>
      </c>
      <c r="GW17" s="44" t="s">
        <v>277</v>
      </c>
      <c r="GX17" s="44" t="s">
        <v>238</v>
      </c>
    </row>
    <row r="18" spans="1:206" s="44" customFormat="1" x14ac:dyDescent="0.35">
      <c r="A18" s="44" t="str">
        <f t="shared" si="0"/>
        <v>Oi Total Fixo + Pós 800 + Banda LargaN21GBMG</v>
      </c>
      <c r="B18" s="45" t="s">
        <v>211</v>
      </c>
      <c r="C18" s="46" t="s">
        <v>127</v>
      </c>
      <c r="D18" s="46" t="s">
        <v>212</v>
      </c>
      <c r="E18" s="47" t="s">
        <v>213</v>
      </c>
      <c r="F18" s="88" t="s">
        <v>214</v>
      </c>
      <c r="G18" s="49"/>
      <c r="H18" s="49"/>
      <c r="I18" s="49"/>
      <c r="J18" s="49" t="s">
        <v>214</v>
      </c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 t="s">
        <v>214</v>
      </c>
      <c r="AC18" s="49" t="s">
        <v>214</v>
      </c>
      <c r="AD18" s="49" t="s">
        <v>214</v>
      </c>
      <c r="AE18" s="49" t="s">
        <v>214</v>
      </c>
      <c r="AF18" s="49" t="s">
        <v>214</v>
      </c>
      <c r="AG18" s="49" t="s">
        <v>214</v>
      </c>
      <c r="AH18" s="50"/>
      <c r="AI18" s="49" t="s">
        <v>214</v>
      </c>
      <c r="AJ18" s="49" t="s">
        <v>214</v>
      </c>
      <c r="AK18" s="49" t="s">
        <v>214</v>
      </c>
      <c r="AL18" s="49" t="s">
        <v>214</v>
      </c>
      <c r="AM18" s="49" t="s">
        <v>214</v>
      </c>
      <c r="AN18" s="49" t="s">
        <v>214</v>
      </c>
      <c r="AO18" s="49" t="s">
        <v>214</v>
      </c>
      <c r="AP18" s="49"/>
      <c r="AQ18" s="51"/>
      <c r="AR18" s="52" t="s">
        <v>278</v>
      </c>
      <c r="AS18" s="46" t="s">
        <v>216</v>
      </c>
      <c r="AT18" s="53" t="s">
        <v>217</v>
      </c>
      <c r="AU18" s="54">
        <v>42972</v>
      </c>
      <c r="AV18" s="105">
        <v>43097</v>
      </c>
      <c r="AW18" s="56" t="s">
        <v>218</v>
      </c>
      <c r="AX18" s="57" t="s">
        <v>218</v>
      </c>
      <c r="AY18" s="58"/>
      <c r="AZ18" s="58" t="s">
        <v>219</v>
      </c>
      <c r="BA18" s="58">
        <v>20</v>
      </c>
      <c r="BB18" s="58">
        <v>10000</v>
      </c>
      <c r="BC18" s="59" t="s">
        <v>220</v>
      </c>
      <c r="BD18" s="60" t="s">
        <v>221</v>
      </c>
      <c r="BE18" s="58" t="s">
        <v>213</v>
      </c>
      <c r="BF18" s="51" t="s">
        <v>213</v>
      </c>
      <c r="BG18" s="45" t="s">
        <v>278</v>
      </c>
      <c r="BH18" s="61" t="s">
        <v>222</v>
      </c>
      <c r="BI18" s="62" t="str">
        <f>IF(ISERROR(VLOOKUP(BH18,[8]PLANOS!B:C,2,0)),"",VLOOKUP(BH18,[8]PLANOS!B:C,2,0))</f>
        <v>PCS-4P6pi</v>
      </c>
      <c r="BJ18" s="63">
        <v>50.1</v>
      </c>
      <c r="BK18" s="64">
        <f>IF(BJ18=0,"",IF(BJ18=VLOOKUP("FIXO",[8]ARBOR!$A:$C,3,0),0.0001,IF(BJ18&gt;VLOOKUP("FIXO",[8]ARBOR!$A:$C,3,0),"Maior que CAP!",IF((DOLLAR(BJ18+(VLOOKUP("FIXO",[8]ARBOR!$A:$C,3,0)*-TRUNC(BJ18/VLOOKUP("FIXO",[8]ARBOR!$A:$C,3,0)-1,4)),6))&lt;&gt;(DOLLAR(VLOOKUP("FIXO",[8]ARBOR!$A:$C,3,0),6)),-TRUNC(BJ18/VLOOKUP("FIXO",[8]ARBOR!$A:$C,3,0)-1,4)+0.0001,-TRUNC(BJ18/VLOOKUP("FIXO",[8]ARBOR!$A:$C,3,0)-1,4)))))</f>
        <v>0.33939999999999998</v>
      </c>
      <c r="BL18" s="65" t="str">
        <f>IF(ISERROR(IF(BK18="","",VLOOKUP(($BH18&amp;BK18&amp;"Template de desconto FLAT bundle - Fixo - Varejo - Ganho Tributário Cross"),[8]BENEFICIOS!$A:$E,5,0))),"Criar",IF(BK18="","",VLOOKUP(($BH18&amp;BK18&amp;"Template de desconto FLAT bundle - Fixo - Varejo - Ganho Tributário Cross"),[8]BENEFICIOS!$A:$E,5,0)))</f>
        <v>MKT-1-9856472058</v>
      </c>
      <c r="BM18" s="66"/>
      <c r="BN18" s="67"/>
      <c r="BO18" s="104" t="s">
        <v>240</v>
      </c>
      <c r="BP18" s="69">
        <v>44.9</v>
      </c>
      <c r="BQ18" s="64">
        <f>IF(BP18=0,"",IF(BP18=VLOOKUP("PCS-30874g",[8]ARBOR!$A:$C,3,0),0.0001,IF(BP18&gt;VLOOKUP("PCS-30874g",[8]ARBOR!$A:$C,3,0),"Maior que CAP!",IF((DOLLAR(BP18+(VLOOKUP("PCS-30874g",[8]ARBOR!$A:$C,3,0)*-TRUNC(BP18/VLOOKUP("PCS-30874g",[8]ARBOR!$A:$C,3,0)-1,4)),6))&lt;&gt;(DOLLAR(VLOOKUP("PCS-30874g",[8]ARBOR!$A:$C,3,0),6)),-TRUNC(BP18/VLOOKUP("PCS-30874g",[8]ARBOR!$A:$C,3,0)-1,4)+0.0001,-TRUNC(BP18/VLOOKUP("PCS-30874g",[8]ARBOR!$A:$C,3,0)-1,4)))))</f>
        <v>0.53679999999999994</v>
      </c>
      <c r="BR18" s="65" t="str">
        <f>IF(ISERROR(IF(BQ18="","",VLOOKUP(($BH18&amp;BQ18&amp;"Template de desconto FLAT bundle - Velox XDSL - Varejo"),[8]BENEFICIOS!$A:$E,5,0))),"Criar",IF(BQ18="","",VLOOKUP(($BH18&amp;BQ18&amp;"Template de desconto FLAT bundle - Velox XDSL - Varejo"),[8]BENEFICIOS!$A:$E,5,0)))</f>
        <v>MKT-1-9865126733</v>
      </c>
      <c r="BS18" s="104" t="s">
        <v>240</v>
      </c>
      <c r="BT18" s="69">
        <v>44.9</v>
      </c>
      <c r="BU18" s="64">
        <f>IF(BT18=0,"",IF(BT18=VLOOKUP("PCS-30577g",[8]ARBOR!$A:$C,3,0),0.0001,IF(BT18&gt;VLOOKUP("PCS-30577g",[8]ARBOR!$A:$C,3,0),"Maior que CAP!",IF((DOLLAR(BT18+(VLOOKUP("PCS-30577g",[8]ARBOR!$A:$C,3,0)*-TRUNC(BT18/VLOOKUP("PCS-30577g",[8]ARBOR!$A:$C,3,0)-1,4)),6))&lt;&gt;(DOLLAR(VLOOKUP("PCS-30577g",[8]ARBOR!$A:$C,3,0),6)),-TRUNC(BT18/VLOOKUP("PCS-30577g",[8]ARBOR!$A:$C,3,0)-1,4)+0.0001,-TRUNC(BT18/VLOOKUP("PCS-30577g",[8]ARBOR!$A:$C,3,0)-1,4)))))</f>
        <v>0.53679999999999994</v>
      </c>
      <c r="BV18" s="65" t="str">
        <f>IF(ISERROR(IF(BU18="","",VLOOKUP(($BH18&amp;BU18&amp;"Template de desconto FLAT bundle - Velox XDSL - Varejo"),[8]BENEFICIOS!$A:$E,5,0))),"Criar",IF(BU18="","",VLOOKUP(($BH18&amp;BU18&amp;"Template de desconto FLAT bundle - Velox XDSL - Varejo"),[8]BENEFICIOS!$A:$E,5,0)))</f>
        <v>MKT-1-9865126733</v>
      </c>
      <c r="BW18" s="104" t="s">
        <v>240</v>
      </c>
      <c r="BX18" s="69">
        <v>44.9</v>
      </c>
      <c r="BY18" s="64">
        <f>IF(BX18=0,"",IF(BX18=VLOOKUP("PCS-30604g",[8]ARBOR!$A:$C,3,0),0.0001,IF(BX18&gt;VLOOKUP("PCS-30604g",[8]ARBOR!$A:$C,3,0),"Maior que CAP!",IF((DOLLAR(BX18+(VLOOKUP("PCS-30604g",[8]ARBOR!$A:$C,3,0)*-TRUNC(BX18/VLOOKUP("PCS-30604g",[8]ARBOR!$A:$C,3,0)-1,4)),6))&lt;&gt;(DOLLAR(VLOOKUP("PCS-30604g",[8]ARBOR!$A:$C,3,0),6)),-TRUNC(BX18/VLOOKUP("PCS-30604g",[8]ARBOR!$A:$C,3,0)-1,4)+0.0001,-TRUNC(BX18/VLOOKUP("PCS-30604g",[8]ARBOR!$A:$C,3,0)-1,4)))))</f>
        <v>0.53679999999999994</v>
      </c>
      <c r="BZ18" s="65" t="str">
        <f>IF(ISERROR(IF(BY18="","",VLOOKUP(($BH18&amp;BY18&amp;"Template de desconto FLAT bundle - Velox XDSL - Varejo"),[8]BENEFICIOS!$A:$E,5,0))),"Criar",IF(BY18="","",VLOOKUP(($BH18&amp;BY18&amp;"Template de desconto FLAT bundle - Velox XDSL - Varejo"),[8]BENEFICIOS!$A:$E,5,0)))</f>
        <v>MKT-1-9865126733</v>
      </c>
      <c r="CA18" s="104" t="s">
        <v>240</v>
      </c>
      <c r="CB18" s="69">
        <v>44.9</v>
      </c>
      <c r="CC18" s="64">
        <f>IF(CB18=0,"",IF(CB18=VLOOKUP("PCS-30631g",[8]ARBOR!$A:$C,3,0),0.0001,IF(CB18&gt;VLOOKUP("PCS-30631g",[8]ARBOR!$A:$C,3,0),"Maior que CAP!",IF((DOLLAR(CB18+(VLOOKUP("PCS-30631g",[8]ARBOR!$A:$C,3,0)*-TRUNC(CB18/VLOOKUP("PCS-30631g",[8]ARBOR!$A:$C,3,0)-1,4)),6))&lt;&gt;(DOLLAR(VLOOKUP("PCS-30631g",[8]ARBOR!$A:$C,3,0),6)),-TRUNC(CB18/VLOOKUP("PCS-30631g",[8]ARBOR!$A:$C,3,0)-1,4)+0.0001,-TRUNC(CB18/VLOOKUP("PCS-30631g",[8]ARBOR!$A:$C,3,0)-1,4)))))</f>
        <v>0.54310000000000003</v>
      </c>
      <c r="CD18" s="65" t="str">
        <f>IF(ISERROR(IF(CC18="","",VLOOKUP(($BH18&amp;CC18&amp;"Template de desconto FLAT bundle - Velox XDSL - Varejo"),[8]BENEFICIOS!$A:$E,5,0))),"Criar",IF(CC18="","",VLOOKUP(($BH18&amp;CC18&amp;"Template de desconto FLAT bundle - Velox XDSL - Varejo"),[8]BENEFICIOS!$A:$E,5,0)))</f>
        <v>MKT-1-9865126826</v>
      </c>
      <c r="CE18" s="68" t="s">
        <v>161</v>
      </c>
      <c r="CF18" s="69">
        <v>49.9</v>
      </c>
      <c r="CG18" s="64">
        <f>IF(CF18=0,"",IF(CF18=VLOOKUP("PCS-30658g",[8]ARBOR!$A:$C,3,0),0.0001,IF(CF18&gt;VLOOKUP("PCS-30658g",[8]ARBOR!$A:$C,3,0),"Maior que CAP!",IF((DOLLAR(CF18+(VLOOKUP("PCS-30658g",[8]ARBOR!$A:$C,3,0)*-TRUNC(CF18/VLOOKUP("PCS-30658g",[8]ARBOR!$A:$C,3,0)-1,4)),6))&lt;&gt;(DOLLAR(VLOOKUP("PCS-30658g",[8]ARBOR!$A:$C,3,0),6)),-TRUNC(CF18/VLOOKUP("PCS-30658g",[8]ARBOR!$A:$C,3,0)-1,4)+0.0001,-TRUNC(CF18/VLOOKUP("PCS-30658g",[8]ARBOR!$A:$C,3,0)-1,4)))))</f>
        <v>0.55569999999999997</v>
      </c>
      <c r="CH18" s="65" t="str">
        <f>IF(ISERROR(IF(CG18="","",VLOOKUP(($BH18&amp;CG18&amp;"Template de desconto FLAT bundle - Velox XDSL - Varejo"),[8]BENEFICIOS!$A:$E,5,0))),"Criar",IF(CG18="","",VLOOKUP(($BH18&amp;CG18&amp;"Template de desconto FLAT bundle - Velox XDSL - Varejo"),[8]BENEFICIOS!$A:$E,5,0)))</f>
        <v>MKT-1-9865126919</v>
      </c>
      <c r="CI18" s="68" t="s">
        <v>161</v>
      </c>
      <c r="CJ18" s="69">
        <v>49.9</v>
      </c>
      <c r="CK18" s="64">
        <f>IF(CJ18=0,"",IF(CJ18=VLOOKUP("PCS-30685g",[8]ARBOR!$A:$C,3,0),0.0001,IF(CJ18&gt;VLOOKUP("PCS-30685g",[8]ARBOR!$A:$C,3,0),"Maior que CAP!",IF((DOLLAR(CJ18+(VLOOKUP("PCS-30685g",[8]ARBOR!$A:$C,3,0)*-TRUNC(CJ18/VLOOKUP("PCS-30685g",[8]ARBOR!$A:$C,3,0)-1,4)),6))&lt;&gt;(DOLLAR(VLOOKUP("PCS-30685g",[8]ARBOR!$A:$C,3,0),6)),-TRUNC(CJ18/VLOOKUP("PCS-30685g",[8]ARBOR!$A:$C,3,0)-1,4)+0.0001,-TRUNC(CJ18/VLOOKUP("PCS-30685g",[8]ARBOR!$A:$C,3,0)-1,4)))))</f>
        <v>0.60509999999999997</v>
      </c>
      <c r="CL18" s="65" t="str">
        <f>IF(ISERROR(IF(CK18="","",VLOOKUP(($BH18&amp;CK18&amp;"Template de desconto FLAT bundle - Velox XDSL - Varejo"),[8]BENEFICIOS!$A:$E,5,0))),"Criar",IF(CK18="","",VLOOKUP(($BH18&amp;CK18&amp;"Template de desconto FLAT bundle - Velox XDSL - Varejo"),[8]BENEFICIOS!$A:$E,5,0)))</f>
        <v>MKT-1-9865694381</v>
      </c>
      <c r="CM18" s="68" t="s">
        <v>161</v>
      </c>
      <c r="CN18" s="69">
        <v>49.9</v>
      </c>
      <c r="CO18" s="64">
        <f>IF(CN18=0,"",IF(CN18=VLOOKUP("PCS-30712g",[8]ARBOR!$A:$C,3,0),0.0001,IF(CN18&gt;VLOOKUP("PCS-30712g",[8]ARBOR!$A:$C,3,0),"Maior que CAP!",IF((DOLLAR(CN18+(VLOOKUP("PCS-30712g",[8]ARBOR!$A:$C,3,0)*-TRUNC(CN18/VLOOKUP("PCS-30712g",[8]ARBOR!$A:$C,3,0)-1,4)),6))&lt;&gt;(DOLLAR(VLOOKUP("PCS-30712g",[8]ARBOR!$A:$C,3,0),6)),-TRUNC(CN18/VLOOKUP("PCS-30712g",[8]ARBOR!$A:$C,3,0)-1,4)+0.0001,-TRUNC(CN18/VLOOKUP("PCS-30712g",[8]ARBOR!$A:$C,3,0)-1,4)))))</f>
        <v>0.64459999999999995</v>
      </c>
      <c r="CP18" s="65" t="str">
        <f>IF(ISERROR(IF(CO18="","",VLOOKUP(($BH18&amp;CO18&amp;"Template de desconto FLAT bundle - Velox XDSL - Varejo"),[8]BENEFICIOS!$A:$E,5,0))),"Criar",IF(CO18="","",VLOOKUP(($BH18&amp;CO18&amp;"Template de desconto FLAT bundle - Velox XDSL - Varejo"),[8]BENEFICIOS!$A:$E,5,0)))</f>
        <v>MKT-1-9865191105</v>
      </c>
      <c r="CQ18" s="68" t="s">
        <v>161</v>
      </c>
      <c r="CR18" s="69">
        <v>59.9</v>
      </c>
      <c r="CS18" s="64">
        <f>IF(CR18=0,"",IF(CR18=VLOOKUP("PCS-30739g",[8]ARBOR!$A:$C,3,0),0.0001,IF(CR18&gt;VLOOKUP("PCS-30739g",[8]ARBOR!$A:$C,3,0),"Maior que CAP!",IF((DOLLAR(CR18+(VLOOKUP("PCS-30739g",[8]ARBOR!$A:$C,3,0)*-TRUNC(CR18/VLOOKUP("PCS-30739g",[8]ARBOR!$A:$C,3,0)-1,4)),6))&lt;&gt;(DOLLAR(VLOOKUP("PCS-30739g",[8]ARBOR!$A:$C,3,0),6)),-TRUNC(CR18/VLOOKUP("PCS-30739g",[8]ARBOR!$A:$C,3,0)-1,4)+0.0001,-TRUNC(CR18/VLOOKUP("PCS-30739g",[8]ARBOR!$A:$C,3,0)-1,4)))))</f>
        <v>0.71560000000000001</v>
      </c>
      <c r="CT18" s="65" t="str">
        <f>IF(ISERROR(IF(CS18="","",VLOOKUP(($BH18&amp;CS18&amp;"Template de desconto FLAT bundle - Velox XDSL - Varejo"),[8]BENEFICIOS!$A:$E,5,0))),"Criar",IF(CS18="","",VLOOKUP(($BH18&amp;CS18&amp;"Template de desconto FLAT bundle - Velox XDSL - Varejo"),[8]BENEFICIOS!$A:$E,5,0)))</f>
        <v>MKT-1-9865191198</v>
      </c>
      <c r="CU18" s="69"/>
      <c r="CV18" s="70"/>
      <c r="CW18" s="64"/>
      <c r="CX18" s="65"/>
      <c r="CY18" s="68" t="s">
        <v>161</v>
      </c>
      <c r="CZ18" s="69">
        <v>59.9</v>
      </c>
      <c r="DA18" s="64">
        <f>IF(CZ18=0,"",IF(CZ18=VLOOKUP("PCS-30766g",[8]ARBOR!$A:$C,3,0),0.0001,IF(CZ18&gt;VLOOKUP("PCS-30766g",[8]ARBOR!$A:$C,3,0),"Maior que CAP!",IF((DOLLAR(CZ18+(VLOOKUP("PCS-30766g",[8]ARBOR!$A:$C,3,0)*-TRUNC(CZ18/VLOOKUP("PCS-30766g",[8]ARBOR!$A:$C,3,0)-1,4)),6))&lt;&gt;(DOLLAR(VLOOKUP("PCS-30766g",[8]ARBOR!$A:$C,3,0),6)),-TRUNC(CZ18/VLOOKUP("PCS-30766g",[8]ARBOR!$A:$C,3,0)-1,4)+0.0001,-TRUNC(CZ18/VLOOKUP("PCS-30766g",[8]ARBOR!$A:$C,3,0)-1,4)))))</f>
        <v>0.78669999999999995</v>
      </c>
      <c r="DB18" s="65" t="str">
        <f>IF(ISERROR(IF(DA18="","",VLOOKUP(($BH18&amp;DA18&amp;"Template de desconto FLAT bundle - Velox XDSL - Varejo"),[8]BENEFICIOS!$A:$E,5,0))),"Criar",IF(DA18="","",VLOOKUP(($BH18&amp;DA18&amp;"Template de desconto FLAT bundle - Velox XDSL - Varejo"),[8]BENEFICIOS!$A:$E,5,0)))</f>
        <v>MKT-1-9865191291</v>
      </c>
      <c r="DC18" s="69"/>
      <c r="DD18" s="70"/>
      <c r="DE18" s="64"/>
      <c r="DF18" s="65"/>
      <c r="DG18" s="68" t="s">
        <v>240</v>
      </c>
      <c r="DH18" s="69">
        <v>69.900000000000006</v>
      </c>
      <c r="DI18" s="64">
        <f>IF(DH18=0,"",IF(DH18=VLOOKUP("PCS-30793g",[8]ARBOR!$A:$C,3,0),0.0001,IF(DH18&gt;VLOOKUP("PCS-30793g",[8]ARBOR!$A:$C,3,0),"Maior que CAP!",IF((DOLLAR(DH18+(VLOOKUP("PCS-30793g",[8]ARBOR!$A:$C,3,0)*-TRUNC(DH18/VLOOKUP("PCS-30793g",[8]ARBOR!$A:$C,3,0)-1,4)),6))&lt;&gt;(DOLLAR(VLOOKUP("PCS-30793g",[8]ARBOR!$A:$C,3,0),6)),-TRUNC(DH18/VLOOKUP("PCS-30793g",[8]ARBOR!$A:$C,3,0)-1,4)+0.0001,-TRUNC(DH18/VLOOKUP("PCS-30793g",[8]ARBOR!$A:$C,3,0)-1,4)))))</f>
        <v>0.75109999999999999</v>
      </c>
      <c r="DJ18" s="65" t="str">
        <f>IF(ISERROR(IF(DI18="","",VLOOKUP(($BH18&amp;DI18&amp;"Template de desconto FLAT bundle - Velox XDSL - Varejo"),[8]BENEFICIOS!$A:$E,5,0))),"Criar",IF(DI18="","",VLOOKUP(($BH18&amp;DI18&amp;"Template de desconto FLAT bundle - Velox XDSL - Varejo"),[8]BENEFICIOS!$A:$E,5,0)))</f>
        <v>MKT-1-9865191384</v>
      </c>
      <c r="DK18" s="69"/>
      <c r="DL18" s="70"/>
      <c r="DM18" s="64"/>
      <c r="DN18" s="65"/>
      <c r="DO18" s="68" t="s">
        <v>161</v>
      </c>
      <c r="DP18" s="69">
        <v>69.900000000000006</v>
      </c>
      <c r="DQ18" s="64">
        <f>IF(DP18=0,"",IF(DP18=VLOOKUP("PCS-30820g",[8]ARBOR!$A:$C,3,0),0.0001,IF(DP18&gt;VLOOKUP("PCS-30820g",[8]ARBOR!$A:$C,3,0),"Maior que CAP!",IF((DOLLAR(DP18+(VLOOKUP("PCS-30820g",[8]ARBOR!$A:$C,3,0)*-TRUNC(DP18/VLOOKUP("PCS-30820g",[8]ARBOR!$A:$C,3,0)-1,4)),6))&lt;&gt;(DOLLAR(VLOOKUP("PCS-30820g",[8]ARBOR!$A:$C,3,0),6)),-TRUNC(DP18/VLOOKUP("PCS-30820g",[8]ARBOR!$A:$C,3,0)-1,4)+0.0001,-TRUNC(DP18/VLOOKUP("PCS-30820g",[8]ARBOR!$A:$C,3,0)-1,4)))))</f>
        <v>0.75109999999999999</v>
      </c>
      <c r="DR18" s="65" t="str">
        <f>IF(ISERROR(IF(DQ18="","",VLOOKUP(($BH18&amp;DQ18&amp;"Template de desconto FLAT bundle - Velox XDSL - Varejo"),[8]BENEFICIOS!$A:$E,5,0))),"Criar",IF(DQ18="","",VLOOKUP(($BH18&amp;DQ18&amp;"Template de desconto FLAT bundle - Velox XDSL - Varejo"),[8]BENEFICIOS!$A:$E,5,0)))</f>
        <v>MKT-1-9865191384</v>
      </c>
      <c r="DS18" s="69"/>
      <c r="DT18" s="70"/>
      <c r="DU18" s="64"/>
      <c r="DV18" s="65"/>
      <c r="DW18" s="71"/>
      <c r="DX18" s="64" t="str">
        <f>IF(DW18=0,"",IF(DW18=VLOOKUP("PCS-21448p2",[8]ARBOR!$A:$C,3,0),0.0001,IF(DW18&gt;VLOOKUP("PCS-21448p2",[8]ARBOR!$A:$C,3,0),"Maior que CAP!",IF((DOLLAR(DW18+(VLOOKUP("PCS-21448p2",[8]ARBOR!$A:$C,3,0)*-TRUNC(DW18/VLOOKUP("PCS-21448p2",[8]ARBOR!$A:$C,3,0)-1,4)),6))&lt;&gt;(DOLLAR(VLOOKUP("PCS-21448p2",[8]ARBOR!$A:$C,3,0),6)),-TRUNC(DW18/VLOOKUP("PCS-21448p2",[8]ARBOR!$A:$C,3,0)-1,4)+0.0001,-TRUNC(DW18/VLOOKUP("PCS-21448p2",[8]ARBOR!$A:$C,3,0)-1,4)))))</f>
        <v/>
      </c>
      <c r="DY18" s="65" t="str">
        <f>IF(ISERROR(IF(DX18="","",VLOOKUP(("Oi Conta Total Plug 10GB Downgrade"&amp;DX18&amp;"Template de desconto percentual BL Móvel - Internet Total - Varejo"),[8]BENEFICIOS!$A:$E,5,0))),"Criar",IF(DX18="","",VLOOKUP(("Oi Conta Total Plug 10GB Downgrade"&amp;DX18&amp;"Template de desconto percentual BL Móvel - Internet Total - Varejo"),[8]BENEFICIOS!$A:$E,5,0)))</f>
        <v/>
      </c>
      <c r="DZ18" s="71">
        <v>19.899999999999999</v>
      </c>
      <c r="EA18" s="72">
        <f>IF(DZ18=0,"",IF(DZ18=VLOOKUP("SVA",[8]ARBOR!$A:$C,3,0),0.0001,IF(DZ18&gt;VLOOKUP("SVA",[8]ARBOR!$A:$C,3,0),"Maior que CAP!",IF((DOLLAR(DZ18+(VLOOKUP("SVA",[8]ARBOR!$A:$C,3,0)*-TRUNC(DZ18/VLOOKUP("SVA",[8]ARBOR!$A:$C,3,0)-1,4)),6))&lt;&gt;(DOLLAR(VLOOKUP("SVA",[8]ARBOR!$A:$C,3,0),6)),-TRUNC(DZ18/VLOOKUP("SVA",[8]ARBOR!$A:$C,3,0)-1,4)+0.0001,-TRUNC(DZ18/VLOOKUP("SVA",[8]ARBOR!$A:$C,3,0)-1,4)))))</f>
        <v>7.1400000000000005E-2</v>
      </c>
      <c r="EB18" s="65" t="s">
        <v>241</v>
      </c>
      <c r="EC18" s="69"/>
      <c r="ED18" s="73"/>
      <c r="EE18" s="74"/>
      <c r="EF18" s="65"/>
      <c r="EG18" s="75">
        <f>IF(BI18="","",VLOOKUP(BI18,[8]ARBOR!A:C,3,0))</f>
        <v>479.46</v>
      </c>
      <c r="EH18" s="69">
        <v>15</v>
      </c>
      <c r="EI18" s="76">
        <f>IF(EH18="","",1-(EH18/VLOOKUP(BI18&amp;"ASS",[8]ARBOR!A:C,3,0)))</f>
        <v>0.34725848563968664</v>
      </c>
      <c r="EJ18" s="77" t="s">
        <v>224</v>
      </c>
      <c r="EK18" s="78" t="s">
        <v>225</v>
      </c>
      <c r="EL18" s="69">
        <v>116.16000000000001</v>
      </c>
      <c r="EM18" s="64">
        <f>IF(EL18=0,"",IF(EL18=EG18,0.0001,ROUND(1-((EL18+(VLOOKUP(BI18&amp;"ASS",[8]ARBOR!A:C,3,0)-EH18))/EG18),4)))</f>
        <v>0.74109999999999998</v>
      </c>
      <c r="EN18" s="65" t="str">
        <f>IF(ISERROR(IF(EM18="","",VLOOKUP(($BH18&amp;EM18&amp;"Template de desconto percentual FLAT Móvel - Conta Total - Varejo - Ganho Tributário Cross"),[8]BENEFICIOS!$A:$E,5,0))),"Criar",IF(EM18="","",VLOOKUP(($BH18&amp;EM18&amp;"Template de desconto percentual FLAT Móvel - Conta Total - Varejo - Ganho Tributário Cross"),[8]BENEFICIOS!$A:$E,5,0)))</f>
        <v>MKT-1-10033171611</v>
      </c>
      <c r="EO18" s="79"/>
      <c r="EP18" s="64"/>
      <c r="EQ18" s="72"/>
      <c r="ER18" s="72"/>
      <c r="ES18" s="64"/>
      <c r="ET18" s="80"/>
      <c r="EU18" s="81" t="s">
        <v>244</v>
      </c>
      <c r="EV18" s="81" t="s">
        <v>245</v>
      </c>
      <c r="EW18" s="82"/>
      <c r="EX18" s="83"/>
      <c r="EY18" s="84"/>
      <c r="EZ18" s="82"/>
      <c r="FA18" s="83"/>
      <c r="FB18" s="84"/>
      <c r="FC18" s="82">
        <v>8.74</v>
      </c>
      <c r="FD18" s="83">
        <f>IF(FC18=0,"",IF(FC18=VLOOKUP("PCS-10357",[8]ARBOR!$A:$C,3,0),0.0001,IF(FC18&gt;VLOOKUP("PCS-10357",[8]ARBOR!$A:$C,3,0),"Maior que CAP!",ROUND(-1*(FC18/VLOOKUP("PCS-10357",[8]ARBOR!$A:$C,3,0)-1),4))))</f>
        <v>0.8669</v>
      </c>
      <c r="FE18" s="84" t="str">
        <f>IF(ISERROR(IF(FD18="","",VLOOKUP(("Oi Internet Pra Celular 1GB"&amp;FD18&amp;"Template Flat Instância Dados"),[8]BENEFICIOS!$A:$E,5,0))),"Criar",IF(FD18="","",VLOOKUP(("Oi Internet Pra Celular 1GB"&amp;FD18&amp;"Template Flat Instância Dados"),[8]BENEFICIOS!$A:$E,5,0)))</f>
        <v>MKT-1-9869952543</v>
      </c>
      <c r="FF18" s="82"/>
      <c r="FG18" s="83" t="str">
        <f>IF(FF18=0,"",IF(FF18=VLOOKUP("PCS-813565",[8]ARBOR!$A:$C,3,0),0.0001,IF(FF18&gt;VLOOKUP("PCS-813565",[8]ARBOR!$A:$C,3,0),"Maior que CAP!",ROUND(-1*(FF18/VLOOKUP("PCS-813565",[8]ARBOR!$A:$C,3,0)-1),4))))</f>
        <v/>
      </c>
      <c r="FH18" s="84" t="str">
        <f>IF(ISERROR(IF(FG18="","",VLOOKUP(("Oi Internet Pra Celular 2GB"&amp;FG18&amp;"Template Flat Instância Dados"),[8]BENEFICIOS!$A:$E,5,0))),"Criar",IF(FG18="","",VLOOKUP(("Oi Internet Pra Celular 2GB"&amp;FG18&amp;"Template Flat Instância Dados"),[8]BENEFICIOS!$A:$E,5,0)))</f>
        <v/>
      </c>
      <c r="FI18" s="82"/>
      <c r="FJ18" s="83" t="str">
        <f>IF(FI18=0,"",IF(FI18=VLOOKUP("PCS-7171B",[8]ARBOR!$A:$C,3,0),0.0001,IF(FI18&gt;VLOOKUP("PCS-7171B",[8]ARBOR!$A:$C,3,0),"Maior que CAP!",ROUND(-1*(FI18/VLOOKUP("PCS-7171B",[8]ARBOR!$A:$C,3,0)-1),4))))</f>
        <v/>
      </c>
      <c r="FK18" s="84" t="str">
        <f>IF(ISERROR(IF(FJ18="","",VLOOKUP(("Oi Internet Pra Celular 3GB"&amp;FJ18&amp;"Template Flat Instância Dados"),[8]BENEFICIOS!$A:$E,5,0))),"Criar",IF(FJ18="","",VLOOKUP(("Oi Internet Pra Celular 3GB"&amp;FJ18&amp;"Template Flat Instância Dados"),[8]BENEFICIOS!$A:$E,5,0)))</f>
        <v/>
      </c>
      <c r="FL18" s="82"/>
      <c r="FM18" s="83" t="str">
        <f>IF(FL18=0,"",IF(FL18=VLOOKUP("PCS-51793o08",[8]ARBOR!$A:$C,3,0),0.0001,IF(FL18&gt;VLOOKUP("PCS-51793o08",[8]ARBOR!$A:$C,3,0),"Maior que CAP!",ROUND(-1*(FL18/VLOOKUP("PCS-51793o08",[8]ARBOR!$A:$C,3,0)-1),4))))</f>
        <v/>
      </c>
      <c r="FN18" s="84" t="str">
        <f>IF(ISERROR(IF(FM18="","",VLOOKUP(("Oi Internet Pra Celular 5GB"&amp;FM18&amp;"Template Flat Instância Dados"),[8]BENEFICIOS!$A:$E,5,0))),"Criar",IF(FM18="","",VLOOKUP(("Oi Internet Pra Celular 5GB"&amp;FM18&amp;"Template Flat Instância Dados"),[8]BENEFICIOS!$A:$E,5,0)))</f>
        <v/>
      </c>
      <c r="FO18" s="82"/>
      <c r="FP18" s="83" t="str">
        <f>IF(FO18=0,"",IF(FO18=VLOOKUP("PCS-7171A",[8]ARBOR!$A:$C,3,0),0.0001,IF(FO18&gt;VLOOKUP("PCS-7171A",[8]ARBOR!$A:$C,3,0),"Maior que CAP!",ROUND(-1*(FO18/VLOOKUP("PCS-7171A",[8]ARBOR!$A:$C,3,0)-1),4))))</f>
        <v/>
      </c>
      <c r="FQ18" s="84" t="str">
        <f>IF(ISERROR(IF(FP18="","",VLOOKUP(("Oi Internet Pra Celular 10GB"&amp;FP18&amp;"Template Flat Instância Dados"),[8]BENEFICIOS!$A:$E,5,0))),"Criar",IF(FP18="","",VLOOKUP(("Oi Internet Pra Celular 10GB"&amp;FP18&amp;"Template Flat Instância Dados"),[8]BENEFICIOS!$A:$E,5,0)))</f>
        <v/>
      </c>
      <c r="FR18" s="85">
        <v>0.74219999999999997</v>
      </c>
      <c r="FS18" s="86" t="s">
        <v>246</v>
      </c>
      <c r="FT18" s="48"/>
      <c r="FU18" s="87"/>
      <c r="FV18" s="88" t="s">
        <v>221</v>
      </c>
      <c r="FW18" s="49" t="s">
        <v>226</v>
      </c>
      <c r="FX18" s="89">
        <v>999</v>
      </c>
      <c r="FY18" s="49">
        <v>12</v>
      </c>
      <c r="FZ18" s="90" t="s">
        <v>227</v>
      </c>
      <c r="GA18" s="91" t="str">
        <f t="shared" si="1"/>
        <v>PCS-Fk83324</v>
      </c>
      <c r="GB18" s="92" t="str">
        <f t="shared" si="2"/>
        <v>PCS-SBL553142</v>
      </c>
      <c r="GC18" s="93" t="s">
        <v>228</v>
      </c>
      <c r="GD18" s="90" t="s">
        <v>229</v>
      </c>
      <c r="GE18" s="92" t="s">
        <v>230</v>
      </c>
      <c r="GF18" s="93" t="s">
        <v>231</v>
      </c>
      <c r="GG18" s="90" t="s">
        <v>232</v>
      </c>
      <c r="GH18" s="92" t="s">
        <v>233</v>
      </c>
      <c r="GI18" s="94" t="s">
        <v>234</v>
      </c>
      <c r="GJ18" s="95">
        <f>FC18+EL18+CN18+BJ18</f>
        <v>224.9</v>
      </c>
      <c r="GK18" s="96"/>
      <c r="GL18" s="97" t="s">
        <v>235</v>
      </c>
      <c r="GM18" s="98" t="s">
        <v>272</v>
      </c>
      <c r="GN18" s="97">
        <v>14</v>
      </c>
      <c r="GO18" s="99">
        <v>3.61</v>
      </c>
      <c r="GP18" s="76">
        <v>0.74209999999999998</v>
      </c>
      <c r="GQ18" s="97">
        <v>10.38</v>
      </c>
      <c r="GR18" s="97">
        <v>3.6199999999999992</v>
      </c>
      <c r="GS18" s="101"/>
      <c r="GT18" s="101"/>
      <c r="GU18" s="102" t="b">
        <v>0</v>
      </c>
      <c r="GV18" s="103">
        <v>9.9999999999993427E-3</v>
      </c>
      <c r="GW18" s="44" t="s">
        <v>279</v>
      </c>
      <c r="GX18" s="44" t="s">
        <v>238</v>
      </c>
    </row>
    <row r="19" spans="1:206" s="44" customFormat="1" x14ac:dyDescent="0.35">
      <c r="A19" s="44" t="str">
        <f t="shared" si="0"/>
        <v>Oi Total Fixo + Pós 800 + Banda LargaN22GBMG</v>
      </c>
      <c r="B19" s="45" t="s">
        <v>211</v>
      </c>
      <c r="C19" s="46" t="s">
        <v>127</v>
      </c>
      <c r="D19" s="46" t="s">
        <v>212</v>
      </c>
      <c r="E19" s="47" t="s">
        <v>213</v>
      </c>
      <c r="F19" s="88" t="s">
        <v>214</v>
      </c>
      <c r="G19" s="49"/>
      <c r="H19" s="49"/>
      <c r="I19" s="49"/>
      <c r="J19" s="49" t="s">
        <v>214</v>
      </c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 t="s">
        <v>214</v>
      </c>
      <c r="AC19" s="49" t="s">
        <v>214</v>
      </c>
      <c r="AD19" s="49" t="s">
        <v>214</v>
      </c>
      <c r="AE19" s="49" t="s">
        <v>214</v>
      </c>
      <c r="AF19" s="49" t="s">
        <v>214</v>
      </c>
      <c r="AG19" s="49" t="s">
        <v>214</v>
      </c>
      <c r="AH19" s="50"/>
      <c r="AI19" s="49" t="s">
        <v>214</v>
      </c>
      <c r="AJ19" s="49" t="s">
        <v>214</v>
      </c>
      <c r="AK19" s="49" t="s">
        <v>214</v>
      </c>
      <c r="AL19" s="49" t="s">
        <v>214</v>
      </c>
      <c r="AM19" s="49" t="s">
        <v>214</v>
      </c>
      <c r="AN19" s="49" t="s">
        <v>214</v>
      </c>
      <c r="AO19" s="49" t="s">
        <v>214</v>
      </c>
      <c r="AP19" s="49"/>
      <c r="AQ19" s="51"/>
      <c r="AR19" s="52" t="s">
        <v>280</v>
      </c>
      <c r="AS19" s="46" t="s">
        <v>216</v>
      </c>
      <c r="AT19" s="53" t="s">
        <v>217</v>
      </c>
      <c r="AU19" s="54">
        <v>42972</v>
      </c>
      <c r="AV19" s="105">
        <v>43097</v>
      </c>
      <c r="AW19" s="56" t="s">
        <v>218</v>
      </c>
      <c r="AX19" s="57" t="s">
        <v>218</v>
      </c>
      <c r="AY19" s="58"/>
      <c r="AZ19" s="58" t="s">
        <v>219</v>
      </c>
      <c r="BA19" s="58">
        <v>20</v>
      </c>
      <c r="BB19" s="58">
        <v>10000</v>
      </c>
      <c r="BC19" s="59" t="s">
        <v>220</v>
      </c>
      <c r="BD19" s="60" t="s">
        <v>221</v>
      </c>
      <c r="BE19" s="58" t="s">
        <v>213</v>
      </c>
      <c r="BF19" s="51" t="s">
        <v>213</v>
      </c>
      <c r="BG19" s="45" t="s">
        <v>280</v>
      </c>
      <c r="BH19" s="61" t="s">
        <v>222</v>
      </c>
      <c r="BI19" s="62" t="str">
        <f>IF(ISERROR(VLOOKUP(BH19,[8]PLANOS!B:C,2,0)),"",VLOOKUP(BH19,[8]PLANOS!B:C,2,0))</f>
        <v>PCS-4P6pi</v>
      </c>
      <c r="BJ19" s="63">
        <v>50.1</v>
      </c>
      <c r="BK19" s="64">
        <f>IF(BJ19=0,"",IF(BJ19=VLOOKUP("FIXO",[8]ARBOR!$A:$C,3,0),0.0001,IF(BJ19&gt;VLOOKUP("FIXO",[8]ARBOR!$A:$C,3,0),"Maior que CAP!",IF((DOLLAR(BJ19+(VLOOKUP("FIXO",[8]ARBOR!$A:$C,3,0)*-TRUNC(BJ19/VLOOKUP("FIXO",[8]ARBOR!$A:$C,3,0)-1,4)),6))&lt;&gt;(DOLLAR(VLOOKUP("FIXO",[8]ARBOR!$A:$C,3,0),6)),-TRUNC(BJ19/VLOOKUP("FIXO",[8]ARBOR!$A:$C,3,0)-1,4)+0.0001,-TRUNC(BJ19/VLOOKUP("FIXO",[8]ARBOR!$A:$C,3,0)-1,4)))))</f>
        <v>0.33939999999999998</v>
      </c>
      <c r="BL19" s="65" t="str">
        <f>IF(ISERROR(IF(BK19="","",VLOOKUP(($BH19&amp;BK19&amp;"Template de desconto FLAT bundle - Fixo - Varejo - Ganho Tributário Cross"),[8]BENEFICIOS!$A:$E,5,0))),"Criar",IF(BK19="","",VLOOKUP(($BH19&amp;BK19&amp;"Template de desconto FLAT bundle - Fixo - Varejo - Ganho Tributário Cross"),[8]BENEFICIOS!$A:$E,5,0)))</f>
        <v>MKT-1-9856472058</v>
      </c>
      <c r="BM19" s="66"/>
      <c r="BN19" s="67"/>
      <c r="BO19" s="68" t="s">
        <v>161</v>
      </c>
      <c r="BP19" s="69">
        <v>44.9</v>
      </c>
      <c r="BQ19" s="64">
        <f>IF(BP19=0,"",IF(BP19=VLOOKUP("PCS-30874g",[8]ARBOR!$A:$C,3,0),0.0001,IF(BP19&gt;VLOOKUP("PCS-30874g",[8]ARBOR!$A:$C,3,0),"Maior que CAP!",IF((DOLLAR(BP19+(VLOOKUP("PCS-30874g",[8]ARBOR!$A:$C,3,0)*-TRUNC(BP19/VLOOKUP("PCS-30874g",[8]ARBOR!$A:$C,3,0)-1,4)),6))&lt;&gt;(DOLLAR(VLOOKUP("PCS-30874g",[8]ARBOR!$A:$C,3,0),6)),-TRUNC(BP19/VLOOKUP("PCS-30874g",[8]ARBOR!$A:$C,3,0)-1,4)+0.0001,-TRUNC(BP19/VLOOKUP("PCS-30874g",[8]ARBOR!$A:$C,3,0)-1,4)))))</f>
        <v>0.53679999999999994</v>
      </c>
      <c r="BR19" s="65" t="str">
        <f>IF(ISERROR(IF(BQ19="","",VLOOKUP(($BH19&amp;BQ19&amp;"Template de desconto FLAT bundle - Velox XDSL - Varejo"),[8]BENEFICIOS!$A:$E,5,0))),"Criar",IF(BQ19="","",VLOOKUP(($BH19&amp;BQ19&amp;"Template de desconto FLAT bundle - Velox XDSL - Varejo"),[8]BENEFICIOS!$A:$E,5,0)))</f>
        <v>MKT-1-9865126733</v>
      </c>
      <c r="BS19" s="68" t="s">
        <v>161</v>
      </c>
      <c r="BT19" s="69">
        <v>44.9</v>
      </c>
      <c r="BU19" s="64">
        <f>IF(BT19=0,"",IF(BT19=VLOOKUP("PCS-30577g",[8]ARBOR!$A:$C,3,0),0.0001,IF(BT19&gt;VLOOKUP("PCS-30577g",[8]ARBOR!$A:$C,3,0),"Maior que CAP!",IF((DOLLAR(BT19+(VLOOKUP("PCS-30577g",[8]ARBOR!$A:$C,3,0)*-TRUNC(BT19/VLOOKUP("PCS-30577g",[8]ARBOR!$A:$C,3,0)-1,4)),6))&lt;&gt;(DOLLAR(VLOOKUP("PCS-30577g",[8]ARBOR!$A:$C,3,0),6)),-TRUNC(BT19/VLOOKUP("PCS-30577g",[8]ARBOR!$A:$C,3,0)-1,4)+0.0001,-TRUNC(BT19/VLOOKUP("PCS-30577g",[8]ARBOR!$A:$C,3,0)-1,4)))))</f>
        <v>0.53679999999999994</v>
      </c>
      <c r="BV19" s="65" t="str">
        <f>IF(ISERROR(IF(BU19="","",VLOOKUP(($BH19&amp;BU19&amp;"Template de desconto FLAT bundle - Velox XDSL - Varejo"),[8]BENEFICIOS!$A:$E,5,0))),"Criar",IF(BU19="","",VLOOKUP(($BH19&amp;BU19&amp;"Template de desconto FLAT bundle - Velox XDSL - Varejo"),[8]BENEFICIOS!$A:$E,5,0)))</f>
        <v>MKT-1-9865126733</v>
      </c>
      <c r="BW19" s="68" t="s">
        <v>161</v>
      </c>
      <c r="BX19" s="69">
        <v>44.9</v>
      </c>
      <c r="BY19" s="64">
        <f>IF(BX19=0,"",IF(BX19=VLOOKUP("PCS-30604g",[8]ARBOR!$A:$C,3,0),0.0001,IF(BX19&gt;VLOOKUP("PCS-30604g",[8]ARBOR!$A:$C,3,0),"Maior que CAP!",IF((DOLLAR(BX19+(VLOOKUP("PCS-30604g",[8]ARBOR!$A:$C,3,0)*-TRUNC(BX19/VLOOKUP("PCS-30604g",[8]ARBOR!$A:$C,3,0)-1,4)),6))&lt;&gt;(DOLLAR(VLOOKUP("PCS-30604g",[8]ARBOR!$A:$C,3,0),6)),-TRUNC(BX19/VLOOKUP("PCS-30604g",[8]ARBOR!$A:$C,3,0)-1,4)+0.0001,-TRUNC(BX19/VLOOKUP("PCS-30604g",[8]ARBOR!$A:$C,3,0)-1,4)))))</f>
        <v>0.53679999999999994</v>
      </c>
      <c r="BZ19" s="65" t="str">
        <f>IF(ISERROR(IF(BY19="","",VLOOKUP(($BH19&amp;BY19&amp;"Template de desconto FLAT bundle - Velox XDSL - Varejo"),[8]BENEFICIOS!$A:$E,5,0))),"Criar",IF(BY19="","",VLOOKUP(($BH19&amp;BY19&amp;"Template de desconto FLAT bundle - Velox XDSL - Varejo"),[8]BENEFICIOS!$A:$E,5,0)))</f>
        <v>MKT-1-9865126733</v>
      </c>
      <c r="CA19" s="68" t="s">
        <v>161</v>
      </c>
      <c r="CB19" s="69">
        <v>44.9</v>
      </c>
      <c r="CC19" s="64">
        <f>IF(CB19=0,"",IF(CB19=VLOOKUP("PCS-30631g",[8]ARBOR!$A:$C,3,0),0.0001,IF(CB19&gt;VLOOKUP("PCS-30631g",[8]ARBOR!$A:$C,3,0),"Maior que CAP!",IF((DOLLAR(CB19+(VLOOKUP("PCS-30631g",[8]ARBOR!$A:$C,3,0)*-TRUNC(CB19/VLOOKUP("PCS-30631g",[8]ARBOR!$A:$C,3,0)-1,4)),6))&lt;&gt;(DOLLAR(VLOOKUP("PCS-30631g",[8]ARBOR!$A:$C,3,0),6)),-TRUNC(CB19/VLOOKUP("PCS-30631g",[8]ARBOR!$A:$C,3,0)-1,4)+0.0001,-TRUNC(CB19/VLOOKUP("PCS-30631g",[8]ARBOR!$A:$C,3,0)-1,4)))))</f>
        <v>0.54310000000000003</v>
      </c>
      <c r="CD19" s="65" t="str">
        <f>IF(ISERROR(IF(CC19="","",VLOOKUP(($BH19&amp;CC19&amp;"Template de desconto FLAT bundle - Velox XDSL - Varejo"),[8]BENEFICIOS!$A:$E,5,0))),"Criar",IF(CC19="","",VLOOKUP(($BH19&amp;CC19&amp;"Template de desconto FLAT bundle - Velox XDSL - Varejo"),[8]BENEFICIOS!$A:$E,5,0)))</f>
        <v>MKT-1-9865126826</v>
      </c>
      <c r="CE19" s="68"/>
      <c r="CF19" s="69"/>
      <c r="CG19" s="64" t="str">
        <f>IF(CF19=0,"",IF(CF19=VLOOKUP("PCS-30658g",[8]ARBOR!$A:$C,3,0),0.0001,IF(CF19&gt;VLOOKUP("PCS-30658g",[8]ARBOR!$A:$C,3,0),"Maior que CAP!",IF((DOLLAR(CF19+(VLOOKUP("PCS-30658g",[8]ARBOR!$A:$C,3,0)*-TRUNC(CF19/VLOOKUP("PCS-30658g",[8]ARBOR!$A:$C,3,0)-1,4)),6))&lt;&gt;(DOLLAR(VLOOKUP("PCS-30658g",[8]ARBOR!$A:$C,3,0),6)),-TRUNC(CF19/VLOOKUP("PCS-30658g",[8]ARBOR!$A:$C,3,0)-1,4)+0.0001,-TRUNC(CF19/VLOOKUP("PCS-30658g",[8]ARBOR!$A:$C,3,0)-1,4)))))</f>
        <v/>
      </c>
      <c r="CH19" s="65" t="str">
        <f>IF(ISERROR(IF(CG19="","",VLOOKUP(($BH19&amp;CG19&amp;"Template de desconto FLAT bundle - Velox XDSL - Varejo"),[8]BENEFICIOS!$A:$E,5,0))),"Criar",IF(CG19="","",VLOOKUP(($BH19&amp;CG19&amp;"Template de desconto FLAT bundle - Velox XDSL - Varejo"),[8]BENEFICIOS!$A:$E,5,0)))</f>
        <v/>
      </c>
      <c r="CI19" s="68"/>
      <c r="CJ19" s="69"/>
      <c r="CK19" s="64" t="str">
        <f>IF(CJ19=0,"",IF(CJ19=VLOOKUP("PCS-30685g",[8]ARBOR!$A:$C,3,0),0.0001,IF(CJ19&gt;VLOOKUP("PCS-30685g",[8]ARBOR!$A:$C,3,0),"Maior que CAP!",IF((DOLLAR(CJ19+(VLOOKUP("PCS-30685g",[8]ARBOR!$A:$C,3,0)*-TRUNC(CJ19/VLOOKUP("PCS-30685g",[8]ARBOR!$A:$C,3,0)-1,4)),6))&lt;&gt;(DOLLAR(VLOOKUP("PCS-30685g",[8]ARBOR!$A:$C,3,0),6)),-TRUNC(CJ19/VLOOKUP("PCS-30685g",[8]ARBOR!$A:$C,3,0)-1,4)+0.0001,-TRUNC(CJ19/VLOOKUP("PCS-30685g",[8]ARBOR!$A:$C,3,0)-1,4)))))</f>
        <v/>
      </c>
      <c r="CL19" s="65" t="str">
        <f>IF(ISERROR(IF(CK19="","",VLOOKUP(($BH19&amp;CK19&amp;"Template de desconto FLAT bundle - Velox XDSL - Varejo"),[8]BENEFICIOS!$A:$E,5,0))),"Criar",IF(CK19="","",VLOOKUP(($BH19&amp;CK19&amp;"Template de desconto FLAT bundle - Velox XDSL - Varejo"),[8]BENEFICIOS!$A:$E,5,0)))</f>
        <v/>
      </c>
      <c r="CM19" s="68"/>
      <c r="CN19" s="69"/>
      <c r="CO19" s="64" t="str">
        <f>IF(CN19=0,"",IF(CN19=VLOOKUP("PCS-30712g",[8]ARBOR!$A:$C,3,0),0.0001,IF(CN19&gt;VLOOKUP("PCS-30712g",[8]ARBOR!$A:$C,3,0),"Maior que CAP!",IF((DOLLAR(CN19+(VLOOKUP("PCS-30712g",[8]ARBOR!$A:$C,3,0)*-TRUNC(CN19/VLOOKUP("PCS-30712g",[8]ARBOR!$A:$C,3,0)-1,4)),6))&lt;&gt;(DOLLAR(VLOOKUP("PCS-30712g",[8]ARBOR!$A:$C,3,0),6)),-TRUNC(CN19/VLOOKUP("PCS-30712g",[8]ARBOR!$A:$C,3,0)-1,4)+0.0001,-TRUNC(CN19/VLOOKUP("PCS-30712g",[8]ARBOR!$A:$C,3,0)-1,4)))))</f>
        <v/>
      </c>
      <c r="CP19" s="65" t="str">
        <f>IF(ISERROR(IF(CO19="","",VLOOKUP(($BH19&amp;CO19&amp;"Template de desconto FLAT bundle - Velox XDSL - Varejo"),[8]BENEFICIOS!$A:$E,5,0))),"Criar",IF(CO19="","",VLOOKUP(($BH19&amp;CO19&amp;"Template de desconto FLAT bundle - Velox XDSL - Varejo"),[8]BENEFICIOS!$A:$E,5,0)))</f>
        <v/>
      </c>
      <c r="CQ19" s="68"/>
      <c r="CR19" s="69"/>
      <c r="CS19" s="64" t="str">
        <f>IF(CR19=0,"",IF(CR19=VLOOKUP("PCS-30739g",[8]ARBOR!$A:$C,3,0),0.0001,IF(CR19&gt;VLOOKUP("PCS-30739g",[8]ARBOR!$A:$C,3,0),"Maior que CAP!",IF((DOLLAR(CR19+(VLOOKUP("PCS-30739g",[8]ARBOR!$A:$C,3,0)*-TRUNC(CR19/VLOOKUP("PCS-30739g",[8]ARBOR!$A:$C,3,0)-1,4)),6))&lt;&gt;(DOLLAR(VLOOKUP("PCS-30739g",[8]ARBOR!$A:$C,3,0),6)),-TRUNC(CR19/VLOOKUP("PCS-30739g",[8]ARBOR!$A:$C,3,0)-1,4)+0.0001,-TRUNC(CR19/VLOOKUP("PCS-30739g",[8]ARBOR!$A:$C,3,0)-1,4)))))</f>
        <v/>
      </c>
      <c r="CT19" s="65" t="str">
        <f>IF(ISERROR(IF(CS19="","",VLOOKUP(($BH19&amp;CS19&amp;"Template de desconto FLAT bundle - Velox XDSL - Varejo"),[8]BENEFICIOS!$A:$E,5,0))),"Criar",IF(CS19="","",VLOOKUP(($BH19&amp;CS19&amp;"Template de desconto FLAT bundle - Velox XDSL - Varejo"),[8]BENEFICIOS!$A:$E,5,0)))</f>
        <v/>
      </c>
      <c r="CU19" s="69"/>
      <c r="CV19" s="70"/>
      <c r="CW19" s="64"/>
      <c r="CX19" s="65"/>
      <c r="CY19" s="68"/>
      <c r="CZ19" s="69"/>
      <c r="DA19" s="64" t="str">
        <f>IF(CZ19=0,"",IF(CZ19=VLOOKUP("PCS-30766g",[8]ARBOR!$A:$C,3,0),0.0001,IF(CZ19&gt;VLOOKUP("PCS-30766g",[8]ARBOR!$A:$C,3,0),"Maior que CAP!",IF((DOLLAR(CZ19+(VLOOKUP("PCS-30766g",[8]ARBOR!$A:$C,3,0)*-TRUNC(CZ19/VLOOKUP("PCS-30766g",[8]ARBOR!$A:$C,3,0)-1,4)),6))&lt;&gt;(DOLLAR(VLOOKUP("PCS-30766g",[8]ARBOR!$A:$C,3,0),6)),-TRUNC(CZ19/VLOOKUP("PCS-30766g",[8]ARBOR!$A:$C,3,0)-1,4)+0.0001,-TRUNC(CZ19/VLOOKUP("PCS-30766g",[8]ARBOR!$A:$C,3,0)-1,4)))))</f>
        <v/>
      </c>
      <c r="DB19" s="65" t="str">
        <f>IF(ISERROR(IF(DA19="","",VLOOKUP(($BH19&amp;DA19&amp;"Template de desconto FLAT bundle - Velox XDSL - Varejo"),[8]BENEFICIOS!$A:$E,5,0))),"Criar",IF(DA19="","",VLOOKUP(($BH19&amp;DA19&amp;"Template de desconto FLAT bundle - Velox XDSL - Varejo"),[8]BENEFICIOS!$A:$E,5,0)))</f>
        <v/>
      </c>
      <c r="DC19" s="69"/>
      <c r="DD19" s="70"/>
      <c r="DE19" s="64"/>
      <c r="DF19" s="65"/>
      <c r="DG19" s="68"/>
      <c r="DH19" s="69"/>
      <c r="DI19" s="64" t="str">
        <f>IF(DH19=0,"",IF(DH19=VLOOKUP("PCS-30793g",[8]ARBOR!$A:$C,3,0),0.0001,IF(DH19&gt;VLOOKUP("PCS-30793g",[8]ARBOR!$A:$C,3,0),"Maior que CAP!",IF((DOLLAR(DH19+(VLOOKUP("PCS-30793g",[8]ARBOR!$A:$C,3,0)*-TRUNC(DH19/VLOOKUP("PCS-30793g",[8]ARBOR!$A:$C,3,0)-1,4)),6))&lt;&gt;(DOLLAR(VLOOKUP("PCS-30793g",[8]ARBOR!$A:$C,3,0),6)),-TRUNC(DH19/VLOOKUP("PCS-30793g",[8]ARBOR!$A:$C,3,0)-1,4)+0.0001,-TRUNC(DH19/VLOOKUP("PCS-30793g",[8]ARBOR!$A:$C,3,0)-1,4)))))</f>
        <v/>
      </c>
      <c r="DJ19" s="65" t="str">
        <f>IF(ISERROR(IF(DI19="","",VLOOKUP(($BH19&amp;DI19&amp;"Template de desconto FLAT bundle - Velox XDSL - Varejo"),[8]BENEFICIOS!$A:$E,5,0))),"Criar",IF(DI19="","",VLOOKUP(($BH19&amp;DI19&amp;"Template de desconto FLAT bundle - Velox XDSL - Varejo"),[8]BENEFICIOS!$A:$E,5,0)))</f>
        <v/>
      </c>
      <c r="DK19" s="69"/>
      <c r="DL19" s="70"/>
      <c r="DM19" s="64"/>
      <c r="DN19" s="65"/>
      <c r="DO19" s="68"/>
      <c r="DP19" s="69"/>
      <c r="DQ19" s="64" t="str">
        <f>IF(DP19=0,"",IF(DP19=VLOOKUP("PCS-30820g",[8]ARBOR!$A:$C,3,0),0.0001,IF(DP19&gt;VLOOKUP("PCS-30820g",[8]ARBOR!$A:$C,3,0),"Maior que CAP!",IF((DOLLAR(DP19+(VLOOKUP("PCS-30820g",[8]ARBOR!$A:$C,3,0)*-TRUNC(DP19/VLOOKUP("PCS-30820g",[8]ARBOR!$A:$C,3,0)-1,4)),6))&lt;&gt;(DOLLAR(VLOOKUP("PCS-30820g",[8]ARBOR!$A:$C,3,0),6)),-TRUNC(DP19/VLOOKUP("PCS-30820g",[8]ARBOR!$A:$C,3,0)-1,4)+0.0001,-TRUNC(DP19/VLOOKUP("PCS-30820g",[8]ARBOR!$A:$C,3,0)-1,4)))))</f>
        <v/>
      </c>
      <c r="DR19" s="65" t="str">
        <f>IF(ISERROR(IF(DQ19="","",VLOOKUP(($BH19&amp;DQ19&amp;"Template de desconto FLAT bundle - Velox XDSL - Varejo"),[8]BENEFICIOS!$A:$E,5,0))),"Criar",IF(DQ19="","",VLOOKUP(($BH19&amp;DQ19&amp;"Template de desconto FLAT bundle - Velox XDSL - Varejo"),[8]BENEFICIOS!$A:$E,5,0)))</f>
        <v/>
      </c>
      <c r="DS19" s="69"/>
      <c r="DT19" s="70"/>
      <c r="DU19" s="64"/>
      <c r="DV19" s="65"/>
      <c r="DW19" s="71">
        <v>44.9</v>
      </c>
      <c r="DX19" s="64">
        <f>IF(DW19=0,"",IF(DW19=VLOOKUP("PCS-21448p2",[8]ARBOR!$A:$C,3,0),0.0001,IF(DW19&gt;VLOOKUP("PCS-21448p2",[8]ARBOR!$A:$C,3,0),"Maior que CAP!",IF((DOLLAR(DW19+(VLOOKUP("PCS-21448p2",[8]ARBOR!$A:$C,3,0)*-TRUNC(DW19/VLOOKUP("PCS-21448p2",[8]ARBOR!$A:$C,3,0)-1,4)),6))&lt;&gt;(DOLLAR(VLOOKUP("PCS-21448p2",[8]ARBOR!$A:$C,3,0),6)),-TRUNC(DW19/VLOOKUP("PCS-21448p2",[8]ARBOR!$A:$C,3,0)-1,4)+0.0001,-TRUNC(DW19/VLOOKUP("PCS-21448p2",[8]ARBOR!$A:$C,3,0)-1,4)))))</f>
        <v>0.64900000000000002</v>
      </c>
      <c r="DY19" s="65" t="str">
        <f>IF(ISERROR(IF(DX19="","",VLOOKUP(("Oi Conta Total Plug 10GB Downgrade"&amp;DX19&amp;"Template de desconto percentual BL Móvel - Internet Total - Varejo"),[8]BENEFICIOS!$A:$E,5,0))),"Criar",IF(DX19="","",VLOOKUP(("Oi Conta Total Plug 10GB Downgrade"&amp;DX19&amp;"Template de desconto percentual BL Móvel - Internet Total - Varejo"),[8]BENEFICIOS!$A:$E,5,0)))</f>
        <v>MKT-1-9825544790</v>
      </c>
      <c r="DZ19" s="71">
        <v>16.5</v>
      </c>
      <c r="EA19" s="72">
        <f>IF(DZ19=0,"",IF(DZ19=VLOOKUP("SVA",[8]ARBOR!$A:$C,3,0),0.0001,IF(DZ19&gt;VLOOKUP("SVA",[8]ARBOR!$A:$C,3,0),"Maior que CAP!",IF((DOLLAR(DZ19+(VLOOKUP("SVA",[8]ARBOR!$A:$C,3,0)*-TRUNC(DZ19/VLOOKUP("SVA",[8]ARBOR!$A:$C,3,0)-1,4)),6))&lt;&gt;(DOLLAR(VLOOKUP("SVA",[8]ARBOR!$A:$C,3,0),6)),-TRUNC(DZ19/VLOOKUP("SVA",[8]ARBOR!$A:$C,3,0)-1,4)+0.0001,-TRUNC(DZ19/VLOOKUP("SVA",[8]ARBOR!$A:$C,3,0)-1,4)))))</f>
        <v>0.2301</v>
      </c>
      <c r="EB19" s="65" t="s">
        <v>223</v>
      </c>
      <c r="EC19" s="69"/>
      <c r="ED19" s="73"/>
      <c r="EE19" s="74"/>
      <c r="EF19" s="65"/>
      <c r="EG19" s="75">
        <f>IF(BI19="","",VLOOKUP(BI19,[8]ARBOR!A:C,3,0))</f>
        <v>479.46</v>
      </c>
      <c r="EH19" s="69">
        <v>15</v>
      </c>
      <c r="EI19" s="76">
        <f>IF(EH19="","",1-(EH19/VLOOKUP(BI19&amp;"ASS",[8]ARBOR!A:C,3,0)))</f>
        <v>0.34725848563968664</v>
      </c>
      <c r="EJ19" s="77" t="s">
        <v>224</v>
      </c>
      <c r="EK19" s="78" t="s">
        <v>225</v>
      </c>
      <c r="EL19" s="69">
        <v>125.13000000000001</v>
      </c>
      <c r="EM19" s="64">
        <f>IF(EL19=0,"",IF(EL19=EG19,0.0001,ROUND(1-((EL19+(VLOOKUP(BI19&amp;"ASS",[8]ARBOR!A:C,3,0)-EH19))/EG19),4)))</f>
        <v>0.72240000000000004</v>
      </c>
      <c r="EN19" s="65" t="str">
        <f>IF(ISERROR(IF(EM19="","",VLOOKUP(($BH19&amp;EM19&amp;"Template de desconto percentual FLAT Móvel - Conta Total - Varejo - Ganho Tributário Cross"),[8]BENEFICIOS!$A:$E,5,0))),"Criar",IF(EM19="","",VLOOKUP(($BH19&amp;EM19&amp;"Template de desconto percentual FLAT Móvel - Conta Total - Varejo - Ganho Tributário Cross"),[8]BENEFICIOS!$A:$E,5,0)))</f>
        <v>MKT-1-10032167651</v>
      </c>
      <c r="EO19" s="79"/>
      <c r="EP19" s="64"/>
      <c r="EQ19" s="72"/>
      <c r="ER19" s="72"/>
      <c r="ES19" s="64"/>
      <c r="ET19" s="80"/>
      <c r="EU19" s="81" t="s">
        <v>244</v>
      </c>
      <c r="EV19" s="81" t="s">
        <v>251</v>
      </c>
      <c r="EW19" s="82"/>
      <c r="EX19" s="83"/>
      <c r="EY19" s="84"/>
      <c r="EZ19" s="82"/>
      <c r="FA19" s="83"/>
      <c r="FB19" s="84"/>
      <c r="FC19" s="82"/>
      <c r="FD19" s="83" t="str">
        <f>IF(FC19=0,"",IF(FC19=VLOOKUP("PCS-10357",[8]ARBOR!$A:$C,3,0),0.0001,IF(FC19&gt;VLOOKUP("PCS-10357",[8]ARBOR!$A:$C,3,0),"Maior que CAP!",ROUND(-1*(FC19/VLOOKUP("PCS-10357",[8]ARBOR!$A:$C,3,0)-1),4))))</f>
        <v/>
      </c>
      <c r="FE19" s="84" t="str">
        <f>IF(ISERROR(IF(FD19="","",VLOOKUP(("Oi Internet Pra Celular 1GB"&amp;FD19&amp;"Template Flat Instância Dados"),[8]BENEFICIOS!$A:$E,5,0))),"Criar",IF(FD19="","",VLOOKUP(("Oi Internet Pra Celular 1GB"&amp;FD19&amp;"Template Flat Instância Dados"),[8]BENEFICIOS!$A:$E,5,0)))</f>
        <v/>
      </c>
      <c r="FF19" s="82">
        <v>9.77</v>
      </c>
      <c r="FG19" s="83">
        <f>IF(FF19=0,"",IF(FF19=VLOOKUP("PCS-813565",[8]ARBOR!$A:$C,3,0),0.0001,IF(FF19&gt;VLOOKUP("PCS-813565",[8]ARBOR!$A:$C,3,0),"Maior que CAP!",ROUND(-1*(FF19/VLOOKUP("PCS-813565",[8]ARBOR!$A:$C,3,0)-1),4))))</f>
        <v>0.74260000000000004</v>
      </c>
      <c r="FH19" s="84" t="str">
        <f>IF(ISERROR(IF(FG19="","",VLOOKUP(("Oi Internet Pra Celular 2GB"&amp;FG19&amp;"Template Flat Instância Dados"),[8]BENEFICIOS!$A:$E,5,0))),"Criar",IF(FG19="","",VLOOKUP(("Oi Internet Pra Celular 2GB"&amp;FG19&amp;"Template Flat Instância Dados"),[8]BENEFICIOS!$A:$E,5,0)))</f>
        <v>MKT-1-9870023571</v>
      </c>
      <c r="FI19" s="82"/>
      <c r="FJ19" s="83" t="str">
        <f>IF(FI19=0,"",IF(FI19=VLOOKUP("PCS-7171B",[8]ARBOR!$A:$C,3,0),0.0001,IF(FI19&gt;VLOOKUP("PCS-7171B",[8]ARBOR!$A:$C,3,0),"Maior que CAP!",ROUND(-1*(FI19/VLOOKUP("PCS-7171B",[8]ARBOR!$A:$C,3,0)-1),4))))</f>
        <v/>
      </c>
      <c r="FK19" s="84" t="str">
        <f>IF(ISERROR(IF(FJ19="","",VLOOKUP(("Oi Internet Pra Celular 3GB"&amp;FJ19&amp;"Template Flat Instância Dados"),[8]BENEFICIOS!$A:$E,5,0))),"Criar",IF(FJ19="","",VLOOKUP(("Oi Internet Pra Celular 3GB"&amp;FJ19&amp;"Template Flat Instância Dados"),[8]BENEFICIOS!$A:$E,5,0)))</f>
        <v/>
      </c>
      <c r="FL19" s="82"/>
      <c r="FM19" s="83" t="str">
        <f>IF(FL19=0,"",IF(FL19=VLOOKUP("PCS-51793o08",[8]ARBOR!$A:$C,3,0),0.0001,IF(FL19&gt;VLOOKUP("PCS-51793o08",[8]ARBOR!$A:$C,3,0),"Maior que CAP!",ROUND(-1*(FL19/VLOOKUP("PCS-51793o08",[8]ARBOR!$A:$C,3,0)-1),4))))</f>
        <v/>
      </c>
      <c r="FN19" s="84" t="str">
        <f>IF(ISERROR(IF(FM19="","",VLOOKUP(("Oi Internet Pra Celular 5GB"&amp;FM19&amp;"Template Flat Instância Dados"),[8]BENEFICIOS!$A:$E,5,0))),"Criar",IF(FM19="","",VLOOKUP(("Oi Internet Pra Celular 5GB"&amp;FM19&amp;"Template Flat Instância Dados"),[8]BENEFICIOS!$A:$E,5,0)))</f>
        <v/>
      </c>
      <c r="FO19" s="82"/>
      <c r="FP19" s="83" t="str">
        <f>IF(FO19=0,"",IF(FO19=VLOOKUP("PCS-7171A",[8]ARBOR!$A:$C,3,0),0.0001,IF(FO19&gt;VLOOKUP("PCS-7171A",[8]ARBOR!$A:$C,3,0),"Maior que CAP!",ROUND(-1*(FO19/VLOOKUP("PCS-7171A",[8]ARBOR!$A:$C,3,0)-1),4))))</f>
        <v/>
      </c>
      <c r="FQ19" s="84" t="str">
        <f>IF(ISERROR(IF(FP19="","",VLOOKUP(("Oi Internet Pra Celular 10GB"&amp;FP19&amp;"Template Flat Instância Dados"),[8]BENEFICIOS!$A:$E,5,0))),"Criar",IF(FP19="","",VLOOKUP(("Oi Internet Pra Celular 10GB"&amp;FP19&amp;"Template Flat Instância Dados"),[8]BENEFICIOS!$A:$E,5,0)))</f>
        <v/>
      </c>
      <c r="FR19" s="85">
        <v>0.74219999999999997</v>
      </c>
      <c r="FS19" s="86" t="s">
        <v>246</v>
      </c>
      <c r="FT19" s="48"/>
      <c r="FU19" s="87"/>
      <c r="FV19" s="88" t="s">
        <v>221</v>
      </c>
      <c r="FW19" s="49" t="s">
        <v>226</v>
      </c>
      <c r="FX19" s="89">
        <v>999</v>
      </c>
      <c r="FY19" s="49">
        <v>12</v>
      </c>
      <c r="FZ19" s="90" t="s">
        <v>227</v>
      </c>
      <c r="GA19" s="91" t="str">
        <f t="shared" si="1"/>
        <v>PCS-Fk83324</v>
      </c>
      <c r="GB19" s="92" t="str">
        <f t="shared" si="2"/>
        <v>PCS-SBL553142</v>
      </c>
      <c r="GC19" s="93" t="s">
        <v>228</v>
      </c>
      <c r="GD19" s="90" t="s">
        <v>229</v>
      </c>
      <c r="GE19" s="92" t="s">
        <v>230</v>
      </c>
      <c r="GF19" s="93" t="s">
        <v>231</v>
      </c>
      <c r="GG19" s="90" t="s">
        <v>232</v>
      </c>
      <c r="GH19" s="92" t="s">
        <v>233</v>
      </c>
      <c r="GI19" s="94" t="s">
        <v>234</v>
      </c>
      <c r="GJ19" s="95">
        <f>FF19+EL19+CB19+BJ19</f>
        <v>229.9</v>
      </c>
      <c r="GK19" s="96"/>
      <c r="GL19" s="97" t="s">
        <v>235</v>
      </c>
      <c r="GM19" s="98" t="s">
        <v>272</v>
      </c>
      <c r="GN19" s="97">
        <v>14</v>
      </c>
      <c r="GO19" s="99">
        <v>3.61</v>
      </c>
      <c r="GP19" s="76">
        <v>0.74209999999999998</v>
      </c>
      <c r="GQ19" s="97">
        <v>10.38</v>
      </c>
      <c r="GR19" s="97">
        <v>3.6199999999999992</v>
      </c>
      <c r="GS19" s="101"/>
      <c r="GT19" s="101"/>
      <c r="GU19" s="102" t="b">
        <v>0</v>
      </c>
      <c r="GV19" s="103">
        <v>9.9999999999993427E-3</v>
      </c>
      <c r="GW19" s="44" t="s">
        <v>281</v>
      </c>
      <c r="GX19" s="44" t="s">
        <v>238</v>
      </c>
    </row>
    <row r="20" spans="1:206" s="44" customFormat="1" x14ac:dyDescent="0.35">
      <c r="A20" s="44" t="str">
        <f t="shared" si="0"/>
        <v>Oi Total Fixo + Pós 800 + Banda LargaN22GBMG</v>
      </c>
      <c r="B20" s="45" t="s">
        <v>211</v>
      </c>
      <c r="C20" s="46" t="s">
        <v>127</v>
      </c>
      <c r="D20" s="46" t="s">
        <v>212</v>
      </c>
      <c r="E20" s="47" t="s">
        <v>213</v>
      </c>
      <c r="F20" s="88" t="s">
        <v>214</v>
      </c>
      <c r="G20" s="49"/>
      <c r="H20" s="49"/>
      <c r="I20" s="49"/>
      <c r="J20" s="49" t="s">
        <v>214</v>
      </c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 t="s">
        <v>214</v>
      </c>
      <c r="AC20" s="49" t="s">
        <v>214</v>
      </c>
      <c r="AD20" s="49" t="s">
        <v>214</v>
      </c>
      <c r="AE20" s="49" t="s">
        <v>214</v>
      </c>
      <c r="AF20" s="49" t="s">
        <v>214</v>
      </c>
      <c r="AG20" s="49" t="s">
        <v>214</v>
      </c>
      <c r="AH20" s="50"/>
      <c r="AI20" s="49" t="s">
        <v>214</v>
      </c>
      <c r="AJ20" s="49" t="s">
        <v>214</v>
      </c>
      <c r="AK20" s="49" t="s">
        <v>214</v>
      </c>
      <c r="AL20" s="49" t="s">
        <v>214</v>
      </c>
      <c r="AM20" s="49" t="s">
        <v>214</v>
      </c>
      <c r="AN20" s="49" t="s">
        <v>214</v>
      </c>
      <c r="AO20" s="49" t="s">
        <v>214</v>
      </c>
      <c r="AP20" s="49"/>
      <c r="AQ20" s="51"/>
      <c r="AR20" s="52" t="s">
        <v>282</v>
      </c>
      <c r="AS20" s="46" t="s">
        <v>216</v>
      </c>
      <c r="AT20" s="53" t="s">
        <v>217</v>
      </c>
      <c r="AU20" s="54">
        <v>42972</v>
      </c>
      <c r="AV20" s="105">
        <v>43097</v>
      </c>
      <c r="AW20" s="56" t="s">
        <v>218</v>
      </c>
      <c r="AX20" s="57" t="s">
        <v>218</v>
      </c>
      <c r="AY20" s="58"/>
      <c r="AZ20" s="58" t="s">
        <v>219</v>
      </c>
      <c r="BA20" s="58">
        <v>20</v>
      </c>
      <c r="BB20" s="58">
        <v>10000</v>
      </c>
      <c r="BC20" s="59" t="s">
        <v>220</v>
      </c>
      <c r="BD20" s="60" t="s">
        <v>221</v>
      </c>
      <c r="BE20" s="58" t="s">
        <v>213</v>
      </c>
      <c r="BF20" s="51" t="s">
        <v>213</v>
      </c>
      <c r="BG20" s="45" t="s">
        <v>282</v>
      </c>
      <c r="BH20" s="61" t="s">
        <v>222</v>
      </c>
      <c r="BI20" s="62" t="str">
        <f>IF(ISERROR(VLOOKUP(BH20,[8]PLANOS!B:C,2,0)),"",VLOOKUP(BH20,[8]PLANOS!B:C,2,0))</f>
        <v>PCS-4P6pi</v>
      </c>
      <c r="BJ20" s="63">
        <v>50.1</v>
      </c>
      <c r="BK20" s="64">
        <f>IF(BJ20=0,"",IF(BJ20=VLOOKUP("FIXO",[8]ARBOR!$A:$C,3,0),0.0001,IF(BJ20&gt;VLOOKUP("FIXO",[8]ARBOR!$A:$C,3,0),"Maior que CAP!",IF((DOLLAR(BJ20+(VLOOKUP("FIXO",[8]ARBOR!$A:$C,3,0)*-TRUNC(BJ20/VLOOKUP("FIXO",[8]ARBOR!$A:$C,3,0)-1,4)),6))&lt;&gt;(DOLLAR(VLOOKUP("FIXO",[8]ARBOR!$A:$C,3,0),6)),-TRUNC(BJ20/VLOOKUP("FIXO",[8]ARBOR!$A:$C,3,0)-1,4)+0.0001,-TRUNC(BJ20/VLOOKUP("FIXO",[8]ARBOR!$A:$C,3,0)-1,4)))))</f>
        <v>0.33939999999999998</v>
      </c>
      <c r="BL20" s="65" t="str">
        <f>IF(ISERROR(IF(BK20="","",VLOOKUP(($BH20&amp;BK20&amp;"Template de desconto FLAT bundle - Fixo - Varejo - Ganho Tributário Cross"),[8]BENEFICIOS!$A:$E,5,0))),"Criar",IF(BK20="","",VLOOKUP(($BH20&amp;BK20&amp;"Template de desconto FLAT bundle - Fixo - Varejo - Ganho Tributário Cross"),[8]BENEFICIOS!$A:$E,5,0)))</f>
        <v>MKT-1-9856472058</v>
      </c>
      <c r="BM20" s="66"/>
      <c r="BN20" s="67"/>
      <c r="BO20" s="104" t="s">
        <v>240</v>
      </c>
      <c r="BP20" s="69">
        <v>44.9</v>
      </c>
      <c r="BQ20" s="64">
        <f>IF(BP20=0,"",IF(BP20=VLOOKUP("PCS-30874g",[8]ARBOR!$A:$C,3,0),0.0001,IF(BP20&gt;VLOOKUP("PCS-30874g",[8]ARBOR!$A:$C,3,0),"Maior que CAP!",IF((DOLLAR(BP20+(VLOOKUP("PCS-30874g",[8]ARBOR!$A:$C,3,0)*-TRUNC(BP20/VLOOKUP("PCS-30874g",[8]ARBOR!$A:$C,3,0)-1,4)),6))&lt;&gt;(DOLLAR(VLOOKUP("PCS-30874g",[8]ARBOR!$A:$C,3,0),6)),-TRUNC(BP20/VLOOKUP("PCS-30874g",[8]ARBOR!$A:$C,3,0)-1,4)+0.0001,-TRUNC(BP20/VLOOKUP("PCS-30874g",[8]ARBOR!$A:$C,3,0)-1,4)))))</f>
        <v>0.53679999999999994</v>
      </c>
      <c r="BR20" s="65" t="str">
        <f>IF(ISERROR(IF(BQ20="","",VLOOKUP(($BH20&amp;BQ20&amp;"Template de desconto FLAT bundle - Velox XDSL - Varejo"),[8]BENEFICIOS!$A:$E,5,0))),"Criar",IF(BQ20="","",VLOOKUP(($BH20&amp;BQ20&amp;"Template de desconto FLAT bundle - Velox XDSL - Varejo"),[8]BENEFICIOS!$A:$E,5,0)))</f>
        <v>MKT-1-9865126733</v>
      </c>
      <c r="BS20" s="104" t="s">
        <v>240</v>
      </c>
      <c r="BT20" s="69">
        <v>44.9</v>
      </c>
      <c r="BU20" s="64">
        <f>IF(BT20=0,"",IF(BT20=VLOOKUP("PCS-30577g",[8]ARBOR!$A:$C,3,0),0.0001,IF(BT20&gt;VLOOKUP("PCS-30577g",[8]ARBOR!$A:$C,3,0),"Maior que CAP!",IF((DOLLAR(BT20+(VLOOKUP("PCS-30577g",[8]ARBOR!$A:$C,3,0)*-TRUNC(BT20/VLOOKUP("PCS-30577g",[8]ARBOR!$A:$C,3,0)-1,4)),6))&lt;&gt;(DOLLAR(VLOOKUP("PCS-30577g",[8]ARBOR!$A:$C,3,0),6)),-TRUNC(BT20/VLOOKUP("PCS-30577g",[8]ARBOR!$A:$C,3,0)-1,4)+0.0001,-TRUNC(BT20/VLOOKUP("PCS-30577g",[8]ARBOR!$A:$C,3,0)-1,4)))))</f>
        <v>0.53679999999999994</v>
      </c>
      <c r="BV20" s="65" t="str">
        <f>IF(ISERROR(IF(BU20="","",VLOOKUP(($BH20&amp;BU20&amp;"Template de desconto FLAT bundle - Velox XDSL - Varejo"),[8]BENEFICIOS!$A:$E,5,0))),"Criar",IF(BU20="","",VLOOKUP(($BH20&amp;BU20&amp;"Template de desconto FLAT bundle - Velox XDSL - Varejo"),[8]BENEFICIOS!$A:$E,5,0)))</f>
        <v>MKT-1-9865126733</v>
      </c>
      <c r="BW20" s="104" t="s">
        <v>240</v>
      </c>
      <c r="BX20" s="69">
        <v>44.9</v>
      </c>
      <c r="BY20" s="64">
        <f>IF(BX20=0,"",IF(BX20=VLOOKUP("PCS-30604g",[8]ARBOR!$A:$C,3,0),0.0001,IF(BX20&gt;VLOOKUP("PCS-30604g",[8]ARBOR!$A:$C,3,0),"Maior que CAP!",IF((DOLLAR(BX20+(VLOOKUP("PCS-30604g",[8]ARBOR!$A:$C,3,0)*-TRUNC(BX20/VLOOKUP("PCS-30604g",[8]ARBOR!$A:$C,3,0)-1,4)),6))&lt;&gt;(DOLLAR(VLOOKUP("PCS-30604g",[8]ARBOR!$A:$C,3,0),6)),-TRUNC(BX20/VLOOKUP("PCS-30604g",[8]ARBOR!$A:$C,3,0)-1,4)+0.0001,-TRUNC(BX20/VLOOKUP("PCS-30604g",[8]ARBOR!$A:$C,3,0)-1,4)))))</f>
        <v>0.53679999999999994</v>
      </c>
      <c r="BZ20" s="65" t="str">
        <f>IF(ISERROR(IF(BY20="","",VLOOKUP(($BH20&amp;BY20&amp;"Template de desconto FLAT bundle - Velox XDSL - Varejo"),[8]BENEFICIOS!$A:$E,5,0))),"Criar",IF(BY20="","",VLOOKUP(($BH20&amp;BY20&amp;"Template de desconto FLAT bundle - Velox XDSL - Varejo"),[8]BENEFICIOS!$A:$E,5,0)))</f>
        <v>MKT-1-9865126733</v>
      </c>
      <c r="CA20" s="104" t="s">
        <v>240</v>
      </c>
      <c r="CB20" s="69">
        <v>44.9</v>
      </c>
      <c r="CC20" s="64">
        <f>IF(CB20=0,"",IF(CB20=VLOOKUP("PCS-30631g",[8]ARBOR!$A:$C,3,0),0.0001,IF(CB20&gt;VLOOKUP("PCS-30631g",[8]ARBOR!$A:$C,3,0),"Maior que CAP!",IF((DOLLAR(CB20+(VLOOKUP("PCS-30631g",[8]ARBOR!$A:$C,3,0)*-TRUNC(CB20/VLOOKUP("PCS-30631g",[8]ARBOR!$A:$C,3,0)-1,4)),6))&lt;&gt;(DOLLAR(VLOOKUP("PCS-30631g",[8]ARBOR!$A:$C,3,0),6)),-TRUNC(CB20/VLOOKUP("PCS-30631g",[8]ARBOR!$A:$C,3,0)-1,4)+0.0001,-TRUNC(CB20/VLOOKUP("PCS-30631g",[8]ARBOR!$A:$C,3,0)-1,4)))))</f>
        <v>0.54310000000000003</v>
      </c>
      <c r="CD20" s="65" t="str">
        <f>IF(ISERROR(IF(CC20="","",VLOOKUP(($BH20&amp;CC20&amp;"Template de desconto FLAT bundle - Velox XDSL - Varejo"),[8]BENEFICIOS!$A:$E,5,0))),"Criar",IF(CC20="","",VLOOKUP(($BH20&amp;CC20&amp;"Template de desconto FLAT bundle - Velox XDSL - Varejo"),[8]BENEFICIOS!$A:$E,5,0)))</f>
        <v>MKT-1-9865126826</v>
      </c>
      <c r="CE20" s="68" t="s">
        <v>161</v>
      </c>
      <c r="CF20" s="69">
        <v>49.9</v>
      </c>
      <c r="CG20" s="64">
        <f>IF(CF20=0,"",IF(CF20=VLOOKUP("PCS-30658g",[8]ARBOR!$A:$C,3,0),0.0001,IF(CF20&gt;VLOOKUP("PCS-30658g",[8]ARBOR!$A:$C,3,0),"Maior que CAP!",IF((DOLLAR(CF20+(VLOOKUP("PCS-30658g",[8]ARBOR!$A:$C,3,0)*-TRUNC(CF20/VLOOKUP("PCS-30658g",[8]ARBOR!$A:$C,3,0)-1,4)),6))&lt;&gt;(DOLLAR(VLOOKUP("PCS-30658g",[8]ARBOR!$A:$C,3,0),6)),-TRUNC(CF20/VLOOKUP("PCS-30658g",[8]ARBOR!$A:$C,3,0)-1,4)+0.0001,-TRUNC(CF20/VLOOKUP("PCS-30658g",[8]ARBOR!$A:$C,3,0)-1,4)))))</f>
        <v>0.55569999999999997</v>
      </c>
      <c r="CH20" s="65" t="str">
        <f>IF(ISERROR(IF(CG20="","",VLOOKUP(($BH20&amp;CG20&amp;"Template de desconto FLAT bundle - Velox XDSL - Varejo"),[8]BENEFICIOS!$A:$E,5,0))),"Criar",IF(CG20="","",VLOOKUP(($BH20&amp;CG20&amp;"Template de desconto FLAT bundle - Velox XDSL - Varejo"),[8]BENEFICIOS!$A:$E,5,0)))</f>
        <v>MKT-1-9865126919</v>
      </c>
      <c r="CI20" s="68" t="s">
        <v>161</v>
      </c>
      <c r="CJ20" s="69">
        <v>49.9</v>
      </c>
      <c r="CK20" s="64">
        <f>IF(CJ20=0,"",IF(CJ20=VLOOKUP("PCS-30685g",[8]ARBOR!$A:$C,3,0),0.0001,IF(CJ20&gt;VLOOKUP("PCS-30685g",[8]ARBOR!$A:$C,3,0),"Maior que CAP!",IF((DOLLAR(CJ20+(VLOOKUP("PCS-30685g",[8]ARBOR!$A:$C,3,0)*-TRUNC(CJ20/VLOOKUP("PCS-30685g",[8]ARBOR!$A:$C,3,0)-1,4)),6))&lt;&gt;(DOLLAR(VLOOKUP("PCS-30685g",[8]ARBOR!$A:$C,3,0),6)),-TRUNC(CJ20/VLOOKUP("PCS-30685g",[8]ARBOR!$A:$C,3,0)-1,4)+0.0001,-TRUNC(CJ20/VLOOKUP("PCS-30685g",[8]ARBOR!$A:$C,3,0)-1,4)))))</f>
        <v>0.60509999999999997</v>
      </c>
      <c r="CL20" s="65" t="str">
        <f>IF(ISERROR(IF(CK20="","",VLOOKUP(($BH20&amp;CK20&amp;"Template de desconto FLAT bundle - Velox XDSL - Varejo"),[8]BENEFICIOS!$A:$E,5,0))),"Criar",IF(CK20="","",VLOOKUP(($BH20&amp;CK20&amp;"Template de desconto FLAT bundle - Velox XDSL - Varejo"),[8]BENEFICIOS!$A:$E,5,0)))</f>
        <v>MKT-1-9865694381</v>
      </c>
      <c r="CM20" s="68" t="s">
        <v>161</v>
      </c>
      <c r="CN20" s="69">
        <v>49.9</v>
      </c>
      <c r="CO20" s="64">
        <f>IF(CN20=0,"",IF(CN20=VLOOKUP("PCS-30712g",[8]ARBOR!$A:$C,3,0),0.0001,IF(CN20&gt;VLOOKUP("PCS-30712g",[8]ARBOR!$A:$C,3,0),"Maior que CAP!",IF((DOLLAR(CN20+(VLOOKUP("PCS-30712g",[8]ARBOR!$A:$C,3,0)*-TRUNC(CN20/VLOOKUP("PCS-30712g",[8]ARBOR!$A:$C,3,0)-1,4)),6))&lt;&gt;(DOLLAR(VLOOKUP("PCS-30712g",[8]ARBOR!$A:$C,3,0),6)),-TRUNC(CN20/VLOOKUP("PCS-30712g",[8]ARBOR!$A:$C,3,0)-1,4)+0.0001,-TRUNC(CN20/VLOOKUP("PCS-30712g",[8]ARBOR!$A:$C,3,0)-1,4)))))</f>
        <v>0.64459999999999995</v>
      </c>
      <c r="CP20" s="65" t="str">
        <f>IF(ISERROR(IF(CO20="","",VLOOKUP(($BH20&amp;CO20&amp;"Template de desconto FLAT bundle - Velox XDSL - Varejo"),[8]BENEFICIOS!$A:$E,5,0))),"Criar",IF(CO20="","",VLOOKUP(($BH20&amp;CO20&amp;"Template de desconto FLAT bundle - Velox XDSL - Varejo"),[8]BENEFICIOS!$A:$E,5,0)))</f>
        <v>MKT-1-9865191105</v>
      </c>
      <c r="CQ20" s="68" t="s">
        <v>161</v>
      </c>
      <c r="CR20" s="69">
        <v>59.9</v>
      </c>
      <c r="CS20" s="64">
        <f>IF(CR20=0,"",IF(CR20=VLOOKUP("PCS-30739g",[8]ARBOR!$A:$C,3,0),0.0001,IF(CR20&gt;VLOOKUP("PCS-30739g",[8]ARBOR!$A:$C,3,0),"Maior que CAP!",IF((DOLLAR(CR20+(VLOOKUP("PCS-30739g",[8]ARBOR!$A:$C,3,0)*-TRUNC(CR20/VLOOKUP("PCS-30739g",[8]ARBOR!$A:$C,3,0)-1,4)),6))&lt;&gt;(DOLLAR(VLOOKUP("PCS-30739g",[8]ARBOR!$A:$C,3,0),6)),-TRUNC(CR20/VLOOKUP("PCS-30739g",[8]ARBOR!$A:$C,3,0)-1,4)+0.0001,-TRUNC(CR20/VLOOKUP("PCS-30739g",[8]ARBOR!$A:$C,3,0)-1,4)))))</f>
        <v>0.71560000000000001</v>
      </c>
      <c r="CT20" s="65" t="str">
        <f>IF(ISERROR(IF(CS20="","",VLOOKUP(($BH20&amp;CS20&amp;"Template de desconto FLAT bundle - Velox XDSL - Varejo"),[8]BENEFICIOS!$A:$E,5,0))),"Criar",IF(CS20="","",VLOOKUP(($BH20&amp;CS20&amp;"Template de desconto FLAT bundle - Velox XDSL - Varejo"),[8]BENEFICIOS!$A:$E,5,0)))</f>
        <v>MKT-1-9865191198</v>
      </c>
      <c r="CU20" s="69"/>
      <c r="CV20" s="70"/>
      <c r="CW20" s="64"/>
      <c r="CX20" s="65"/>
      <c r="CY20" s="68" t="s">
        <v>161</v>
      </c>
      <c r="CZ20" s="69">
        <v>59.9</v>
      </c>
      <c r="DA20" s="64">
        <f>IF(CZ20=0,"",IF(CZ20=VLOOKUP("PCS-30766g",[8]ARBOR!$A:$C,3,0),0.0001,IF(CZ20&gt;VLOOKUP("PCS-30766g",[8]ARBOR!$A:$C,3,0),"Maior que CAP!",IF((DOLLAR(CZ20+(VLOOKUP("PCS-30766g",[8]ARBOR!$A:$C,3,0)*-TRUNC(CZ20/VLOOKUP("PCS-30766g",[8]ARBOR!$A:$C,3,0)-1,4)),6))&lt;&gt;(DOLLAR(VLOOKUP("PCS-30766g",[8]ARBOR!$A:$C,3,0),6)),-TRUNC(CZ20/VLOOKUP("PCS-30766g",[8]ARBOR!$A:$C,3,0)-1,4)+0.0001,-TRUNC(CZ20/VLOOKUP("PCS-30766g",[8]ARBOR!$A:$C,3,0)-1,4)))))</f>
        <v>0.78669999999999995</v>
      </c>
      <c r="DB20" s="65" t="str">
        <f>IF(ISERROR(IF(DA20="","",VLOOKUP(($BH20&amp;DA20&amp;"Template de desconto FLAT bundle - Velox XDSL - Varejo"),[8]BENEFICIOS!$A:$E,5,0))),"Criar",IF(DA20="","",VLOOKUP(($BH20&amp;DA20&amp;"Template de desconto FLAT bundle - Velox XDSL - Varejo"),[8]BENEFICIOS!$A:$E,5,0)))</f>
        <v>MKT-1-9865191291</v>
      </c>
      <c r="DC20" s="69"/>
      <c r="DD20" s="70"/>
      <c r="DE20" s="64"/>
      <c r="DF20" s="65"/>
      <c r="DG20" s="68" t="s">
        <v>240</v>
      </c>
      <c r="DH20" s="69">
        <v>69.900000000000006</v>
      </c>
      <c r="DI20" s="64">
        <f>IF(DH20=0,"",IF(DH20=VLOOKUP("PCS-30793g",[8]ARBOR!$A:$C,3,0),0.0001,IF(DH20&gt;VLOOKUP("PCS-30793g",[8]ARBOR!$A:$C,3,0),"Maior que CAP!",IF((DOLLAR(DH20+(VLOOKUP("PCS-30793g",[8]ARBOR!$A:$C,3,0)*-TRUNC(DH20/VLOOKUP("PCS-30793g",[8]ARBOR!$A:$C,3,0)-1,4)),6))&lt;&gt;(DOLLAR(VLOOKUP("PCS-30793g",[8]ARBOR!$A:$C,3,0),6)),-TRUNC(DH20/VLOOKUP("PCS-30793g",[8]ARBOR!$A:$C,3,0)-1,4)+0.0001,-TRUNC(DH20/VLOOKUP("PCS-30793g",[8]ARBOR!$A:$C,3,0)-1,4)))))</f>
        <v>0.75109999999999999</v>
      </c>
      <c r="DJ20" s="65" t="str">
        <f>IF(ISERROR(IF(DI20="","",VLOOKUP(($BH20&amp;DI20&amp;"Template de desconto FLAT bundle - Velox XDSL - Varejo"),[8]BENEFICIOS!$A:$E,5,0))),"Criar",IF(DI20="","",VLOOKUP(($BH20&amp;DI20&amp;"Template de desconto FLAT bundle - Velox XDSL - Varejo"),[8]BENEFICIOS!$A:$E,5,0)))</f>
        <v>MKT-1-9865191384</v>
      </c>
      <c r="DK20" s="69"/>
      <c r="DL20" s="70"/>
      <c r="DM20" s="64"/>
      <c r="DN20" s="65"/>
      <c r="DO20" s="68" t="s">
        <v>161</v>
      </c>
      <c r="DP20" s="69">
        <v>69.900000000000006</v>
      </c>
      <c r="DQ20" s="64">
        <f>IF(DP20=0,"",IF(DP20=VLOOKUP("PCS-30820g",[8]ARBOR!$A:$C,3,0),0.0001,IF(DP20&gt;VLOOKUP("PCS-30820g",[8]ARBOR!$A:$C,3,0),"Maior que CAP!",IF((DOLLAR(DP20+(VLOOKUP("PCS-30820g",[8]ARBOR!$A:$C,3,0)*-TRUNC(DP20/VLOOKUP("PCS-30820g",[8]ARBOR!$A:$C,3,0)-1,4)),6))&lt;&gt;(DOLLAR(VLOOKUP("PCS-30820g",[8]ARBOR!$A:$C,3,0),6)),-TRUNC(DP20/VLOOKUP("PCS-30820g",[8]ARBOR!$A:$C,3,0)-1,4)+0.0001,-TRUNC(DP20/VLOOKUP("PCS-30820g",[8]ARBOR!$A:$C,3,0)-1,4)))))</f>
        <v>0.75109999999999999</v>
      </c>
      <c r="DR20" s="65" t="str">
        <f>IF(ISERROR(IF(DQ20="","",VLOOKUP(($BH20&amp;DQ20&amp;"Template de desconto FLAT bundle - Velox XDSL - Varejo"),[8]BENEFICIOS!$A:$E,5,0))),"Criar",IF(DQ20="","",VLOOKUP(($BH20&amp;DQ20&amp;"Template de desconto FLAT bundle - Velox XDSL - Varejo"),[8]BENEFICIOS!$A:$E,5,0)))</f>
        <v>MKT-1-9865191384</v>
      </c>
      <c r="DS20" s="69"/>
      <c r="DT20" s="70"/>
      <c r="DU20" s="64"/>
      <c r="DV20" s="65"/>
      <c r="DW20" s="71"/>
      <c r="DX20" s="64" t="str">
        <f>IF(DW20=0,"",IF(DW20=VLOOKUP("PCS-21448p2",[8]ARBOR!$A:$C,3,0),0.0001,IF(DW20&gt;VLOOKUP("PCS-21448p2",[8]ARBOR!$A:$C,3,0),"Maior que CAP!",IF((DOLLAR(DW20+(VLOOKUP("PCS-21448p2",[8]ARBOR!$A:$C,3,0)*-TRUNC(DW20/VLOOKUP("PCS-21448p2",[8]ARBOR!$A:$C,3,0)-1,4)),6))&lt;&gt;(DOLLAR(VLOOKUP("PCS-21448p2",[8]ARBOR!$A:$C,3,0),6)),-TRUNC(DW20/VLOOKUP("PCS-21448p2",[8]ARBOR!$A:$C,3,0)-1,4)+0.0001,-TRUNC(DW20/VLOOKUP("PCS-21448p2",[8]ARBOR!$A:$C,3,0)-1,4)))))</f>
        <v/>
      </c>
      <c r="DY20" s="65" t="str">
        <f>IF(ISERROR(IF(DX20="","",VLOOKUP(("Oi Conta Total Plug 10GB Downgrade"&amp;DX20&amp;"Template de desconto percentual BL Móvel - Internet Total - Varejo"),[8]BENEFICIOS!$A:$E,5,0))),"Criar",IF(DX20="","",VLOOKUP(("Oi Conta Total Plug 10GB Downgrade"&amp;DX20&amp;"Template de desconto percentual BL Móvel - Internet Total - Varejo"),[8]BENEFICIOS!$A:$E,5,0)))</f>
        <v/>
      </c>
      <c r="DZ20" s="71">
        <v>19.899999999999999</v>
      </c>
      <c r="EA20" s="72">
        <f>IF(DZ20=0,"",IF(DZ20=VLOOKUP("SVA",[8]ARBOR!$A:$C,3,0),0.0001,IF(DZ20&gt;VLOOKUP("SVA",[8]ARBOR!$A:$C,3,0),"Maior que CAP!",IF((DOLLAR(DZ20+(VLOOKUP("SVA",[8]ARBOR!$A:$C,3,0)*-TRUNC(DZ20/VLOOKUP("SVA",[8]ARBOR!$A:$C,3,0)-1,4)),6))&lt;&gt;(DOLLAR(VLOOKUP("SVA",[8]ARBOR!$A:$C,3,0),6)),-TRUNC(DZ20/VLOOKUP("SVA",[8]ARBOR!$A:$C,3,0)-1,4)+0.0001,-TRUNC(DZ20/VLOOKUP("SVA",[8]ARBOR!$A:$C,3,0)-1,4)))))</f>
        <v>7.1400000000000005E-2</v>
      </c>
      <c r="EB20" s="65" t="s">
        <v>241</v>
      </c>
      <c r="EC20" s="69"/>
      <c r="ED20" s="73"/>
      <c r="EE20" s="74"/>
      <c r="EF20" s="65"/>
      <c r="EG20" s="75">
        <f>IF(BI20="","",VLOOKUP(BI20,[8]ARBOR!A:C,3,0))</f>
        <v>479.46</v>
      </c>
      <c r="EH20" s="69">
        <v>15</v>
      </c>
      <c r="EI20" s="76">
        <f>IF(EH20="","",1-(EH20/VLOOKUP(BI20&amp;"ASS",[8]ARBOR!A:C,3,0)))</f>
        <v>0.34725848563968664</v>
      </c>
      <c r="EJ20" s="77" t="s">
        <v>224</v>
      </c>
      <c r="EK20" s="78" t="s">
        <v>225</v>
      </c>
      <c r="EL20" s="69">
        <v>125.13000000000001</v>
      </c>
      <c r="EM20" s="64">
        <f>IF(EL20=0,"",IF(EL20=EG20,0.0001,ROUND(1-((EL20+(VLOOKUP(BI20&amp;"ASS",[8]ARBOR!A:C,3,0)-EH20))/EG20),4)))</f>
        <v>0.72240000000000004</v>
      </c>
      <c r="EN20" s="65" t="str">
        <f>IF(ISERROR(IF(EM20="","",VLOOKUP(($BH20&amp;EM20&amp;"Template de desconto percentual FLAT Móvel - Conta Total - Varejo - Ganho Tributário Cross"),[8]BENEFICIOS!$A:$E,5,0))),"Criar",IF(EM20="","",VLOOKUP(($BH20&amp;EM20&amp;"Template de desconto percentual FLAT Móvel - Conta Total - Varejo - Ganho Tributário Cross"),[8]BENEFICIOS!$A:$E,5,0)))</f>
        <v>MKT-1-10032167651</v>
      </c>
      <c r="EO20" s="79"/>
      <c r="EP20" s="64"/>
      <c r="EQ20" s="72"/>
      <c r="ER20" s="72"/>
      <c r="ES20" s="64"/>
      <c r="ET20" s="80"/>
      <c r="EU20" s="81" t="s">
        <v>244</v>
      </c>
      <c r="EV20" s="81" t="s">
        <v>251</v>
      </c>
      <c r="EW20" s="82"/>
      <c r="EX20" s="83"/>
      <c r="EY20" s="84"/>
      <c r="EZ20" s="82"/>
      <c r="FA20" s="83"/>
      <c r="FB20" s="84"/>
      <c r="FC20" s="82"/>
      <c r="FD20" s="83" t="str">
        <f>IF(FC20=0,"",IF(FC20=VLOOKUP("PCS-10357",[8]ARBOR!$A:$C,3,0),0.0001,IF(FC20&gt;VLOOKUP("PCS-10357",[8]ARBOR!$A:$C,3,0),"Maior que CAP!",ROUND(-1*(FC20/VLOOKUP("PCS-10357",[8]ARBOR!$A:$C,3,0)-1),4))))</f>
        <v/>
      </c>
      <c r="FE20" s="84" t="str">
        <f>IF(ISERROR(IF(FD20="","",VLOOKUP(("Oi Internet Pra Celular 1GB"&amp;FD20&amp;"Template Flat Instância Dados"),[8]BENEFICIOS!$A:$E,5,0))),"Criar",IF(FD20="","",VLOOKUP(("Oi Internet Pra Celular 1GB"&amp;FD20&amp;"Template Flat Instância Dados"),[8]BENEFICIOS!$A:$E,5,0)))</f>
        <v/>
      </c>
      <c r="FF20" s="82">
        <v>9.77</v>
      </c>
      <c r="FG20" s="83">
        <f>IF(FF20=0,"",IF(FF20=VLOOKUP("PCS-813565",[8]ARBOR!$A:$C,3,0),0.0001,IF(FF20&gt;VLOOKUP("PCS-813565",[8]ARBOR!$A:$C,3,0),"Maior que CAP!",ROUND(-1*(FF20/VLOOKUP("PCS-813565",[8]ARBOR!$A:$C,3,0)-1),4))))</f>
        <v>0.74260000000000004</v>
      </c>
      <c r="FH20" s="84" t="str">
        <f>IF(ISERROR(IF(FG20="","",VLOOKUP(("Oi Internet Pra Celular 2GB"&amp;FG20&amp;"Template Flat Instância Dados"),[8]BENEFICIOS!$A:$E,5,0))),"Criar",IF(FG20="","",VLOOKUP(("Oi Internet Pra Celular 2GB"&amp;FG20&amp;"Template Flat Instância Dados"),[8]BENEFICIOS!$A:$E,5,0)))</f>
        <v>MKT-1-9870023571</v>
      </c>
      <c r="FI20" s="82"/>
      <c r="FJ20" s="83" t="str">
        <f>IF(FI20=0,"",IF(FI20=VLOOKUP("PCS-7171B",[8]ARBOR!$A:$C,3,0),0.0001,IF(FI20&gt;VLOOKUP("PCS-7171B",[8]ARBOR!$A:$C,3,0),"Maior que CAP!",ROUND(-1*(FI20/VLOOKUP("PCS-7171B",[8]ARBOR!$A:$C,3,0)-1),4))))</f>
        <v/>
      </c>
      <c r="FK20" s="84" t="str">
        <f>IF(ISERROR(IF(FJ20="","",VLOOKUP(("Oi Internet Pra Celular 3GB"&amp;FJ20&amp;"Template Flat Instância Dados"),[8]BENEFICIOS!$A:$E,5,0))),"Criar",IF(FJ20="","",VLOOKUP(("Oi Internet Pra Celular 3GB"&amp;FJ20&amp;"Template Flat Instância Dados"),[8]BENEFICIOS!$A:$E,5,0)))</f>
        <v/>
      </c>
      <c r="FL20" s="82"/>
      <c r="FM20" s="83" t="str">
        <f>IF(FL20=0,"",IF(FL20=VLOOKUP("PCS-51793o08",[8]ARBOR!$A:$C,3,0),0.0001,IF(FL20&gt;VLOOKUP("PCS-51793o08",[8]ARBOR!$A:$C,3,0),"Maior que CAP!",ROUND(-1*(FL20/VLOOKUP("PCS-51793o08",[8]ARBOR!$A:$C,3,0)-1),4))))</f>
        <v/>
      </c>
      <c r="FN20" s="84" t="str">
        <f>IF(ISERROR(IF(FM20="","",VLOOKUP(("Oi Internet Pra Celular 5GB"&amp;FM20&amp;"Template Flat Instância Dados"),[8]BENEFICIOS!$A:$E,5,0))),"Criar",IF(FM20="","",VLOOKUP(("Oi Internet Pra Celular 5GB"&amp;FM20&amp;"Template Flat Instância Dados"),[8]BENEFICIOS!$A:$E,5,0)))</f>
        <v/>
      </c>
      <c r="FO20" s="82"/>
      <c r="FP20" s="83" t="str">
        <f>IF(FO20=0,"",IF(FO20=VLOOKUP("PCS-7171A",[8]ARBOR!$A:$C,3,0),0.0001,IF(FO20&gt;VLOOKUP("PCS-7171A",[8]ARBOR!$A:$C,3,0),"Maior que CAP!",ROUND(-1*(FO20/VLOOKUP("PCS-7171A",[8]ARBOR!$A:$C,3,0)-1),4))))</f>
        <v/>
      </c>
      <c r="FQ20" s="84" t="str">
        <f>IF(ISERROR(IF(FP20="","",VLOOKUP(("Oi Internet Pra Celular 10GB"&amp;FP20&amp;"Template Flat Instância Dados"),[8]BENEFICIOS!$A:$E,5,0))),"Criar",IF(FP20="","",VLOOKUP(("Oi Internet Pra Celular 10GB"&amp;FP20&amp;"Template Flat Instância Dados"),[8]BENEFICIOS!$A:$E,5,0)))</f>
        <v/>
      </c>
      <c r="FR20" s="85">
        <v>0.74219999999999997</v>
      </c>
      <c r="FS20" s="86" t="s">
        <v>246</v>
      </c>
      <c r="FT20" s="48"/>
      <c r="FU20" s="87"/>
      <c r="FV20" s="88" t="s">
        <v>221</v>
      </c>
      <c r="FW20" s="49" t="s">
        <v>226</v>
      </c>
      <c r="FX20" s="89">
        <v>999</v>
      </c>
      <c r="FY20" s="49">
        <v>12</v>
      </c>
      <c r="FZ20" s="90" t="s">
        <v>227</v>
      </c>
      <c r="GA20" s="91" t="str">
        <f t="shared" si="1"/>
        <v>PCS-Fk83324</v>
      </c>
      <c r="GB20" s="92" t="str">
        <f t="shared" si="2"/>
        <v>PCS-SBL553142</v>
      </c>
      <c r="GC20" s="93" t="s">
        <v>228</v>
      </c>
      <c r="GD20" s="90" t="s">
        <v>229</v>
      </c>
      <c r="GE20" s="92" t="s">
        <v>230</v>
      </c>
      <c r="GF20" s="93" t="s">
        <v>231</v>
      </c>
      <c r="GG20" s="90" t="s">
        <v>232</v>
      </c>
      <c r="GH20" s="92" t="s">
        <v>233</v>
      </c>
      <c r="GI20" s="94" t="s">
        <v>234</v>
      </c>
      <c r="GJ20" s="95">
        <f>FF20+EL20+CN20+BJ20</f>
        <v>234.9</v>
      </c>
      <c r="GK20" s="96"/>
      <c r="GL20" s="97" t="s">
        <v>235</v>
      </c>
      <c r="GM20" s="98" t="s">
        <v>272</v>
      </c>
      <c r="GN20" s="97">
        <v>14</v>
      </c>
      <c r="GO20" s="99">
        <v>3.61</v>
      </c>
      <c r="GP20" s="76">
        <v>0.74209999999999998</v>
      </c>
      <c r="GQ20" s="97">
        <v>10.38</v>
      </c>
      <c r="GR20" s="97">
        <v>3.6199999999999992</v>
      </c>
      <c r="GS20" s="101"/>
      <c r="GT20" s="101"/>
      <c r="GU20" s="102" t="b">
        <v>0</v>
      </c>
      <c r="GV20" s="103">
        <v>9.9999999999993427E-3</v>
      </c>
      <c r="GW20" s="44" t="s">
        <v>283</v>
      </c>
      <c r="GX20" s="44" t="s">
        <v>238</v>
      </c>
    </row>
    <row r="21" spans="1:206" s="44" customFormat="1" x14ac:dyDescent="0.35">
      <c r="A21" s="44" t="str">
        <f t="shared" si="0"/>
        <v>Oi Total Fixo + Pós 800 + Banda LargaN23GBMG</v>
      </c>
      <c r="B21" s="45" t="s">
        <v>211</v>
      </c>
      <c r="C21" s="46" t="s">
        <v>127</v>
      </c>
      <c r="D21" s="46" t="s">
        <v>212</v>
      </c>
      <c r="E21" s="47" t="s">
        <v>213</v>
      </c>
      <c r="F21" s="88" t="s">
        <v>214</v>
      </c>
      <c r="G21" s="49"/>
      <c r="H21" s="49"/>
      <c r="I21" s="49"/>
      <c r="J21" s="49" t="s">
        <v>214</v>
      </c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 t="s">
        <v>214</v>
      </c>
      <c r="AC21" s="49" t="s">
        <v>214</v>
      </c>
      <c r="AD21" s="49" t="s">
        <v>214</v>
      </c>
      <c r="AE21" s="49" t="s">
        <v>214</v>
      </c>
      <c r="AF21" s="49" t="s">
        <v>214</v>
      </c>
      <c r="AG21" s="49" t="s">
        <v>214</v>
      </c>
      <c r="AH21" s="50"/>
      <c r="AI21" s="49" t="s">
        <v>214</v>
      </c>
      <c r="AJ21" s="49" t="s">
        <v>214</v>
      </c>
      <c r="AK21" s="49" t="s">
        <v>214</v>
      </c>
      <c r="AL21" s="49" t="s">
        <v>214</v>
      </c>
      <c r="AM21" s="49" t="s">
        <v>214</v>
      </c>
      <c r="AN21" s="49" t="s">
        <v>214</v>
      </c>
      <c r="AO21" s="49" t="s">
        <v>214</v>
      </c>
      <c r="AP21" s="49"/>
      <c r="AQ21" s="51"/>
      <c r="AR21" s="52" t="s">
        <v>284</v>
      </c>
      <c r="AS21" s="46" t="s">
        <v>216</v>
      </c>
      <c r="AT21" s="53" t="s">
        <v>217</v>
      </c>
      <c r="AU21" s="54">
        <v>42972</v>
      </c>
      <c r="AV21" s="105">
        <v>43097</v>
      </c>
      <c r="AW21" s="56" t="s">
        <v>218</v>
      </c>
      <c r="AX21" s="57" t="s">
        <v>218</v>
      </c>
      <c r="AY21" s="58"/>
      <c r="AZ21" s="58" t="s">
        <v>219</v>
      </c>
      <c r="BA21" s="58">
        <v>20</v>
      </c>
      <c r="BB21" s="58">
        <v>10000</v>
      </c>
      <c r="BC21" s="59" t="s">
        <v>220</v>
      </c>
      <c r="BD21" s="60" t="s">
        <v>221</v>
      </c>
      <c r="BE21" s="58" t="s">
        <v>213</v>
      </c>
      <c r="BF21" s="51" t="s">
        <v>213</v>
      </c>
      <c r="BG21" s="45" t="s">
        <v>284</v>
      </c>
      <c r="BH21" s="61" t="s">
        <v>222</v>
      </c>
      <c r="BI21" s="62" t="str">
        <f>IF(ISERROR(VLOOKUP(BH21,[8]PLANOS!B:C,2,0)),"",VLOOKUP(BH21,[8]PLANOS!B:C,2,0))</f>
        <v>PCS-4P6pi</v>
      </c>
      <c r="BJ21" s="63">
        <v>50.1</v>
      </c>
      <c r="BK21" s="64">
        <f>IF(BJ21=0,"",IF(BJ21=VLOOKUP("FIXO",[8]ARBOR!$A:$C,3,0),0.0001,IF(BJ21&gt;VLOOKUP("FIXO",[8]ARBOR!$A:$C,3,0),"Maior que CAP!",IF((DOLLAR(BJ21+(VLOOKUP("FIXO",[8]ARBOR!$A:$C,3,0)*-TRUNC(BJ21/VLOOKUP("FIXO",[8]ARBOR!$A:$C,3,0)-1,4)),6))&lt;&gt;(DOLLAR(VLOOKUP("FIXO",[8]ARBOR!$A:$C,3,0),6)),-TRUNC(BJ21/VLOOKUP("FIXO",[8]ARBOR!$A:$C,3,0)-1,4)+0.0001,-TRUNC(BJ21/VLOOKUP("FIXO",[8]ARBOR!$A:$C,3,0)-1,4)))))</f>
        <v>0.33939999999999998</v>
      </c>
      <c r="BL21" s="65" t="str">
        <f>IF(ISERROR(IF(BK21="","",VLOOKUP(($BH21&amp;BK21&amp;"Template de desconto FLAT bundle - Fixo - Varejo - Ganho Tributário Cross"),[8]BENEFICIOS!$A:$E,5,0))),"Criar",IF(BK21="","",VLOOKUP(($BH21&amp;BK21&amp;"Template de desconto FLAT bundle - Fixo - Varejo - Ganho Tributário Cross"),[8]BENEFICIOS!$A:$E,5,0)))</f>
        <v>MKT-1-9856472058</v>
      </c>
      <c r="BM21" s="66"/>
      <c r="BN21" s="67"/>
      <c r="BO21" s="68" t="s">
        <v>161</v>
      </c>
      <c r="BP21" s="69">
        <v>44.9</v>
      </c>
      <c r="BQ21" s="64">
        <f>IF(BP21=0,"",IF(BP21=VLOOKUP("PCS-30874g",[8]ARBOR!$A:$C,3,0),0.0001,IF(BP21&gt;VLOOKUP("PCS-30874g",[8]ARBOR!$A:$C,3,0),"Maior que CAP!",IF((DOLLAR(BP21+(VLOOKUP("PCS-30874g",[8]ARBOR!$A:$C,3,0)*-TRUNC(BP21/VLOOKUP("PCS-30874g",[8]ARBOR!$A:$C,3,0)-1,4)),6))&lt;&gt;(DOLLAR(VLOOKUP("PCS-30874g",[8]ARBOR!$A:$C,3,0),6)),-TRUNC(BP21/VLOOKUP("PCS-30874g",[8]ARBOR!$A:$C,3,0)-1,4)+0.0001,-TRUNC(BP21/VLOOKUP("PCS-30874g",[8]ARBOR!$A:$C,3,0)-1,4)))))</f>
        <v>0.53679999999999994</v>
      </c>
      <c r="BR21" s="65" t="str">
        <f>IF(ISERROR(IF(BQ21="","",VLOOKUP(($BH21&amp;BQ21&amp;"Template de desconto FLAT bundle - Velox XDSL - Varejo"),[8]BENEFICIOS!$A:$E,5,0))),"Criar",IF(BQ21="","",VLOOKUP(($BH21&amp;BQ21&amp;"Template de desconto FLAT bundle - Velox XDSL - Varejo"),[8]BENEFICIOS!$A:$E,5,0)))</f>
        <v>MKT-1-9865126733</v>
      </c>
      <c r="BS21" s="68" t="s">
        <v>161</v>
      </c>
      <c r="BT21" s="69">
        <v>44.9</v>
      </c>
      <c r="BU21" s="64">
        <f>IF(BT21=0,"",IF(BT21=VLOOKUP("PCS-30577g",[8]ARBOR!$A:$C,3,0),0.0001,IF(BT21&gt;VLOOKUP("PCS-30577g",[8]ARBOR!$A:$C,3,0),"Maior que CAP!",IF((DOLLAR(BT21+(VLOOKUP("PCS-30577g",[8]ARBOR!$A:$C,3,0)*-TRUNC(BT21/VLOOKUP("PCS-30577g",[8]ARBOR!$A:$C,3,0)-1,4)),6))&lt;&gt;(DOLLAR(VLOOKUP("PCS-30577g",[8]ARBOR!$A:$C,3,0),6)),-TRUNC(BT21/VLOOKUP("PCS-30577g",[8]ARBOR!$A:$C,3,0)-1,4)+0.0001,-TRUNC(BT21/VLOOKUP("PCS-30577g",[8]ARBOR!$A:$C,3,0)-1,4)))))</f>
        <v>0.53679999999999994</v>
      </c>
      <c r="BV21" s="65" t="str">
        <f>IF(ISERROR(IF(BU21="","",VLOOKUP(($BH21&amp;BU21&amp;"Template de desconto FLAT bundle - Velox XDSL - Varejo"),[8]BENEFICIOS!$A:$E,5,0))),"Criar",IF(BU21="","",VLOOKUP(($BH21&amp;BU21&amp;"Template de desconto FLAT bundle - Velox XDSL - Varejo"),[8]BENEFICIOS!$A:$E,5,0)))</f>
        <v>MKT-1-9865126733</v>
      </c>
      <c r="BW21" s="68" t="s">
        <v>161</v>
      </c>
      <c r="BX21" s="69">
        <v>44.9</v>
      </c>
      <c r="BY21" s="64">
        <f>IF(BX21=0,"",IF(BX21=VLOOKUP("PCS-30604g",[8]ARBOR!$A:$C,3,0),0.0001,IF(BX21&gt;VLOOKUP("PCS-30604g",[8]ARBOR!$A:$C,3,0),"Maior que CAP!",IF((DOLLAR(BX21+(VLOOKUP("PCS-30604g",[8]ARBOR!$A:$C,3,0)*-TRUNC(BX21/VLOOKUP("PCS-30604g",[8]ARBOR!$A:$C,3,0)-1,4)),6))&lt;&gt;(DOLLAR(VLOOKUP("PCS-30604g",[8]ARBOR!$A:$C,3,0),6)),-TRUNC(BX21/VLOOKUP("PCS-30604g",[8]ARBOR!$A:$C,3,0)-1,4)+0.0001,-TRUNC(BX21/VLOOKUP("PCS-30604g",[8]ARBOR!$A:$C,3,0)-1,4)))))</f>
        <v>0.53679999999999994</v>
      </c>
      <c r="BZ21" s="65" t="str">
        <f>IF(ISERROR(IF(BY21="","",VLOOKUP(($BH21&amp;BY21&amp;"Template de desconto FLAT bundle - Velox XDSL - Varejo"),[8]BENEFICIOS!$A:$E,5,0))),"Criar",IF(BY21="","",VLOOKUP(($BH21&amp;BY21&amp;"Template de desconto FLAT bundle - Velox XDSL - Varejo"),[8]BENEFICIOS!$A:$E,5,0)))</f>
        <v>MKT-1-9865126733</v>
      </c>
      <c r="CA21" s="68" t="s">
        <v>161</v>
      </c>
      <c r="CB21" s="69">
        <v>44.9</v>
      </c>
      <c r="CC21" s="64">
        <f>IF(CB21=0,"",IF(CB21=VLOOKUP("PCS-30631g",[8]ARBOR!$A:$C,3,0),0.0001,IF(CB21&gt;VLOOKUP("PCS-30631g",[8]ARBOR!$A:$C,3,0),"Maior que CAP!",IF((DOLLAR(CB21+(VLOOKUP("PCS-30631g",[8]ARBOR!$A:$C,3,0)*-TRUNC(CB21/VLOOKUP("PCS-30631g",[8]ARBOR!$A:$C,3,0)-1,4)),6))&lt;&gt;(DOLLAR(VLOOKUP("PCS-30631g",[8]ARBOR!$A:$C,3,0),6)),-TRUNC(CB21/VLOOKUP("PCS-30631g",[8]ARBOR!$A:$C,3,0)-1,4)+0.0001,-TRUNC(CB21/VLOOKUP("PCS-30631g",[8]ARBOR!$A:$C,3,0)-1,4)))))</f>
        <v>0.54310000000000003</v>
      </c>
      <c r="CD21" s="65" t="str">
        <f>IF(ISERROR(IF(CC21="","",VLOOKUP(($BH21&amp;CC21&amp;"Template de desconto FLAT bundle - Velox XDSL - Varejo"),[8]BENEFICIOS!$A:$E,5,0))),"Criar",IF(CC21="","",VLOOKUP(($BH21&amp;CC21&amp;"Template de desconto FLAT bundle - Velox XDSL - Varejo"),[8]BENEFICIOS!$A:$E,5,0)))</f>
        <v>MKT-1-9865126826</v>
      </c>
      <c r="CE21" s="68"/>
      <c r="CF21" s="69"/>
      <c r="CG21" s="64" t="str">
        <f>IF(CF21=0,"",IF(CF21=VLOOKUP("PCS-30658g",[8]ARBOR!$A:$C,3,0),0.0001,IF(CF21&gt;VLOOKUP("PCS-30658g",[8]ARBOR!$A:$C,3,0),"Maior que CAP!",IF((DOLLAR(CF21+(VLOOKUP("PCS-30658g",[8]ARBOR!$A:$C,3,0)*-TRUNC(CF21/VLOOKUP("PCS-30658g",[8]ARBOR!$A:$C,3,0)-1,4)),6))&lt;&gt;(DOLLAR(VLOOKUP("PCS-30658g",[8]ARBOR!$A:$C,3,0),6)),-TRUNC(CF21/VLOOKUP("PCS-30658g",[8]ARBOR!$A:$C,3,0)-1,4)+0.0001,-TRUNC(CF21/VLOOKUP("PCS-30658g",[8]ARBOR!$A:$C,3,0)-1,4)))))</f>
        <v/>
      </c>
      <c r="CH21" s="65" t="str">
        <f>IF(ISERROR(IF(CG21="","",VLOOKUP(($BH21&amp;CG21&amp;"Template de desconto FLAT bundle - Velox XDSL - Varejo"),[8]BENEFICIOS!$A:$E,5,0))),"Criar",IF(CG21="","",VLOOKUP(($BH21&amp;CG21&amp;"Template de desconto FLAT bundle - Velox XDSL - Varejo"),[8]BENEFICIOS!$A:$E,5,0)))</f>
        <v/>
      </c>
      <c r="CI21" s="68"/>
      <c r="CJ21" s="69"/>
      <c r="CK21" s="64" t="str">
        <f>IF(CJ21=0,"",IF(CJ21=VLOOKUP("PCS-30685g",[8]ARBOR!$A:$C,3,0),0.0001,IF(CJ21&gt;VLOOKUP("PCS-30685g",[8]ARBOR!$A:$C,3,0),"Maior que CAP!",IF((DOLLAR(CJ21+(VLOOKUP("PCS-30685g",[8]ARBOR!$A:$C,3,0)*-TRUNC(CJ21/VLOOKUP("PCS-30685g",[8]ARBOR!$A:$C,3,0)-1,4)),6))&lt;&gt;(DOLLAR(VLOOKUP("PCS-30685g",[8]ARBOR!$A:$C,3,0),6)),-TRUNC(CJ21/VLOOKUP("PCS-30685g",[8]ARBOR!$A:$C,3,0)-1,4)+0.0001,-TRUNC(CJ21/VLOOKUP("PCS-30685g",[8]ARBOR!$A:$C,3,0)-1,4)))))</f>
        <v/>
      </c>
      <c r="CL21" s="65" t="str">
        <f>IF(ISERROR(IF(CK21="","",VLOOKUP(($BH21&amp;CK21&amp;"Template de desconto FLAT bundle - Velox XDSL - Varejo"),[8]BENEFICIOS!$A:$E,5,0))),"Criar",IF(CK21="","",VLOOKUP(($BH21&amp;CK21&amp;"Template de desconto FLAT bundle - Velox XDSL - Varejo"),[8]BENEFICIOS!$A:$E,5,0)))</f>
        <v/>
      </c>
      <c r="CM21" s="68"/>
      <c r="CN21" s="69"/>
      <c r="CO21" s="64" t="str">
        <f>IF(CN21=0,"",IF(CN21=VLOOKUP("PCS-30712g",[8]ARBOR!$A:$C,3,0),0.0001,IF(CN21&gt;VLOOKUP("PCS-30712g",[8]ARBOR!$A:$C,3,0),"Maior que CAP!",IF((DOLLAR(CN21+(VLOOKUP("PCS-30712g",[8]ARBOR!$A:$C,3,0)*-TRUNC(CN21/VLOOKUP("PCS-30712g",[8]ARBOR!$A:$C,3,0)-1,4)),6))&lt;&gt;(DOLLAR(VLOOKUP("PCS-30712g",[8]ARBOR!$A:$C,3,0),6)),-TRUNC(CN21/VLOOKUP("PCS-30712g",[8]ARBOR!$A:$C,3,0)-1,4)+0.0001,-TRUNC(CN21/VLOOKUP("PCS-30712g",[8]ARBOR!$A:$C,3,0)-1,4)))))</f>
        <v/>
      </c>
      <c r="CP21" s="65" t="str">
        <f>IF(ISERROR(IF(CO21="","",VLOOKUP(($BH21&amp;CO21&amp;"Template de desconto FLAT bundle - Velox XDSL - Varejo"),[8]BENEFICIOS!$A:$E,5,0))),"Criar",IF(CO21="","",VLOOKUP(($BH21&amp;CO21&amp;"Template de desconto FLAT bundle - Velox XDSL - Varejo"),[8]BENEFICIOS!$A:$E,5,0)))</f>
        <v/>
      </c>
      <c r="CQ21" s="68"/>
      <c r="CR21" s="69"/>
      <c r="CS21" s="64" t="str">
        <f>IF(CR21=0,"",IF(CR21=VLOOKUP("PCS-30739g",[8]ARBOR!$A:$C,3,0),0.0001,IF(CR21&gt;VLOOKUP("PCS-30739g",[8]ARBOR!$A:$C,3,0),"Maior que CAP!",IF((DOLLAR(CR21+(VLOOKUP("PCS-30739g",[8]ARBOR!$A:$C,3,0)*-TRUNC(CR21/VLOOKUP("PCS-30739g",[8]ARBOR!$A:$C,3,0)-1,4)),6))&lt;&gt;(DOLLAR(VLOOKUP("PCS-30739g",[8]ARBOR!$A:$C,3,0),6)),-TRUNC(CR21/VLOOKUP("PCS-30739g",[8]ARBOR!$A:$C,3,0)-1,4)+0.0001,-TRUNC(CR21/VLOOKUP("PCS-30739g",[8]ARBOR!$A:$C,3,0)-1,4)))))</f>
        <v/>
      </c>
      <c r="CT21" s="65" t="str">
        <f>IF(ISERROR(IF(CS21="","",VLOOKUP(($BH21&amp;CS21&amp;"Template de desconto FLAT bundle - Velox XDSL - Varejo"),[8]BENEFICIOS!$A:$E,5,0))),"Criar",IF(CS21="","",VLOOKUP(($BH21&amp;CS21&amp;"Template de desconto FLAT bundle - Velox XDSL - Varejo"),[8]BENEFICIOS!$A:$E,5,0)))</f>
        <v/>
      </c>
      <c r="CU21" s="69"/>
      <c r="CV21" s="70"/>
      <c r="CW21" s="64"/>
      <c r="CX21" s="65"/>
      <c r="CY21" s="68"/>
      <c r="CZ21" s="69"/>
      <c r="DA21" s="64" t="str">
        <f>IF(CZ21=0,"",IF(CZ21=VLOOKUP("PCS-30766g",[8]ARBOR!$A:$C,3,0),0.0001,IF(CZ21&gt;VLOOKUP("PCS-30766g",[8]ARBOR!$A:$C,3,0),"Maior que CAP!",IF((DOLLAR(CZ21+(VLOOKUP("PCS-30766g",[8]ARBOR!$A:$C,3,0)*-TRUNC(CZ21/VLOOKUP("PCS-30766g",[8]ARBOR!$A:$C,3,0)-1,4)),6))&lt;&gt;(DOLLAR(VLOOKUP("PCS-30766g",[8]ARBOR!$A:$C,3,0),6)),-TRUNC(CZ21/VLOOKUP("PCS-30766g",[8]ARBOR!$A:$C,3,0)-1,4)+0.0001,-TRUNC(CZ21/VLOOKUP("PCS-30766g",[8]ARBOR!$A:$C,3,0)-1,4)))))</f>
        <v/>
      </c>
      <c r="DB21" s="65" t="str">
        <f>IF(ISERROR(IF(DA21="","",VLOOKUP(($BH21&amp;DA21&amp;"Template de desconto FLAT bundle - Velox XDSL - Varejo"),[8]BENEFICIOS!$A:$E,5,0))),"Criar",IF(DA21="","",VLOOKUP(($BH21&amp;DA21&amp;"Template de desconto FLAT bundle - Velox XDSL - Varejo"),[8]BENEFICIOS!$A:$E,5,0)))</f>
        <v/>
      </c>
      <c r="DC21" s="69"/>
      <c r="DD21" s="70"/>
      <c r="DE21" s="64"/>
      <c r="DF21" s="65"/>
      <c r="DG21" s="68"/>
      <c r="DH21" s="69"/>
      <c r="DI21" s="64" t="str">
        <f>IF(DH21=0,"",IF(DH21=VLOOKUP("PCS-30793g",[8]ARBOR!$A:$C,3,0),0.0001,IF(DH21&gt;VLOOKUP("PCS-30793g",[8]ARBOR!$A:$C,3,0),"Maior que CAP!",IF((DOLLAR(DH21+(VLOOKUP("PCS-30793g",[8]ARBOR!$A:$C,3,0)*-TRUNC(DH21/VLOOKUP("PCS-30793g",[8]ARBOR!$A:$C,3,0)-1,4)),6))&lt;&gt;(DOLLAR(VLOOKUP("PCS-30793g",[8]ARBOR!$A:$C,3,0),6)),-TRUNC(DH21/VLOOKUP("PCS-30793g",[8]ARBOR!$A:$C,3,0)-1,4)+0.0001,-TRUNC(DH21/VLOOKUP("PCS-30793g",[8]ARBOR!$A:$C,3,0)-1,4)))))</f>
        <v/>
      </c>
      <c r="DJ21" s="65" t="str">
        <f>IF(ISERROR(IF(DI21="","",VLOOKUP(($BH21&amp;DI21&amp;"Template de desconto FLAT bundle - Velox XDSL - Varejo"),[8]BENEFICIOS!$A:$E,5,0))),"Criar",IF(DI21="","",VLOOKUP(($BH21&amp;DI21&amp;"Template de desconto FLAT bundle - Velox XDSL - Varejo"),[8]BENEFICIOS!$A:$E,5,0)))</f>
        <v/>
      </c>
      <c r="DK21" s="69"/>
      <c r="DL21" s="70"/>
      <c r="DM21" s="64"/>
      <c r="DN21" s="65"/>
      <c r="DO21" s="68"/>
      <c r="DP21" s="69"/>
      <c r="DQ21" s="64" t="str">
        <f>IF(DP21=0,"",IF(DP21=VLOOKUP("PCS-30820g",[8]ARBOR!$A:$C,3,0),0.0001,IF(DP21&gt;VLOOKUP("PCS-30820g",[8]ARBOR!$A:$C,3,0),"Maior que CAP!",IF((DOLLAR(DP21+(VLOOKUP("PCS-30820g",[8]ARBOR!$A:$C,3,0)*-TRUNC(DP21/VLOOKUP("PCS-30820g",[8]ARBOR!$A:$C,3,0)-1,4)),6))&lt;&gt;(DOLLAR(VLOOKUP("PCS-30820g",[8]ARBOR!$A:$C,3,0),6)),-TRUNC(DP21/VLOOKUP("PCS-30820g",[8]ARBOR!$A:$C,3,0)-1,4)+0.0001,-TRUNC(DP21/VLOOKUP("PCS-30820g",[8]ARBOR!$A:$C,3,0)-1,4)))))</f>
        <v/>
      </c>
      <c r="DR21" s="65" t="str">
        <f>IF(ISERROR(IF(DQ21="","",VLOOKUP(($BH21&amp;DQ21&amp;"Template de desconto FLAT bundle - Velox XDSL - Varejo"),[8]BENEFICIOS!$A:$E,5,0))),"Criar",IF(DQ21="","",VLOOKUP(($BH21&amp;DQ21&amp;"Template de desconto FLAT bundle - Velox XDSL - Varejo"),[8]BENEFICIOS!$A:$E,5,0)))</f>
        <v/>
      </c>
      <c r="DS21" s="69"/>
      <c r="DT21" s="70"/>
      <c r="DU21" s="64"/>
      <c r="DV21" s="65"/>
      <c r="DW21" s="71">
        <v>44.9</v>
      </c>
      <c r="DX21" s="64">
        <f>IF(DW21=0,"",IF(DW21=VLOOKUP("PCS-21448p2",[8]ARBOR!$A:$C,3,0),0.0001,IF(DW21&gt;VLOOKUP("PCS-21448p2",[8]ARBOR!$A:$C,3,0),"Maior que CAP!",IF((DOLLAR(DW21+(VLOOKUP("PCS-21448p2",[8]ARBOR!$A:$C,3,0)*-TRUNC(DW21/VLOOKUP("PCS-21448p2",[8]ARBOR!$A:$C,3,0)-1,4)),6))&lt;&gt;(DOLLAR(VLOOKUP("PCS-21448p2",[8]ARBOR!$A:$C,3,0),6)),-TRUNC(DW21/VLOOKUP("PCS-21448p2",[8]ARBOR!$A:$C,3,0)-1,4)+0.0001,-TRUNC(DW21/VLOOKUP("PCS-21448p2",[8]ARBOR!$A:$C,3,0)-1,4)))))</f>
        <v>0.64900000000000002</v>
      </c>
      <c r="DY21" s="65" t="str">
        <f>IF(ISERROR(IF(DX21="","",VLOOKUP(("Oi Conta Total Plug 10GB Downgrade"&amp;DX21&amp;"Template de desconto percentual BL Móvel - Internet Total - Varejo"),[8]BENEFICIOS!$A:$E,5,0))),"Criar",IF(DX21="","",VLOOKUP(("Oi Conta Total Plug 10GB Downgrade"&amp;DX21&amp;"Template de desconto percentual BL Móvel - Internet Total - Varejo"),[8]BENEFICIOS!$A:$E,5,0)))</f>
        <v>MKT-1-9825544790</v>
      </c>
      <c r="DZ21" s="71">
        <v>16.5</v>
      </c>
      <c r="EA21" s="72">
        <f>IF(DZ21=0,"",IF(DZ21=VLOOKUP("SVA",[8]ARBOR!$A:$C,3,0),0.0001,IF(DZ21&gt;VLOOKUP("SVA",[8]ARBOR!$A:$C,3,0),"Maior que CAP!",IF((DOLLAR(DZ21+(VLOOKUP("SVA",[8]ARBOR!$A:$C,3,0)*-TRUNC(DZ21/VLOOKUP("SVA",[8]ARBOR!$A:$C,3,0)-1,4)),6))&lt;&gt;(DOLLAR(VLOOKUP("SVA",[8]ARBOR!$A:$C,3,0),6)),-TRUNC(DZ21/VLOOKUP("SVA",[8]ARBOR!$A:$C,3,0)-1,4)+0.0001,-TRUNC(DZ21/VLOOKUP("SVA",[8]ARBOR!$A:$C,3,0)-1,4)))))</f>
        <v>0.2301</v>
      </c>
      <c r="EB21" s="65" t="s">
        <v>223</v>
      </c>
      <c r="EC21" s="69"/>
      <c r="ED21" s="73"/>
      <c r="EE21" s="74"/>
      <c r="EF21" s="65"/>
      <c r="EG21" s="75">
        <f>IF(BI21="","",VLOOKUP(BI21,[8]ARBOR!A:C,3,0))</f>
        <v>479.46</v>
      </c>
      <c r="EH21" s="69">
        <v>15</v>
      </c>
      <c r="EI21" s="76">
        <f>IF(EH21="","",1-(EH21/VLOOKUP(BI21&amp;"ASS",[8]ARBOR!A:C,3,0)))</f>
        <v>0.34725848563968664</v>
      </c>
      <c r="EJ21" s="77" t="s">
        <v>224</v>
      </c>
      <c r="EK21" s="78" t="s">
        <v>225</v>
      </c>
      <c r="EL21" s="69">
        <v>132.55000000000001</v>
      </c>
      <c r="EM21" s="64">
        <f>IF(EL21=0,"",IF(EL21=EG21,0.0001,ROUND(1-((EL21+(VLOOKUP(BI21&amp;"ASS",[8]ARBOR!A:C,3,0)-EH21))/EG21),4)))</f>
        <v>0.70689999999999997</v>
      </c>
      <c r="EN21" s="65" t="str">
        <f>IF(ISERROR(IF(EM21="","",VLOOKUP(($BH21&amp;EM21&amp;"Template de desconto percentual FLAT Móvel - Conta Total - Varejo - Ganho Tributário Cross"),[8]BENEFICIOS!$A:$E,5,0))),"Criar",IF(EM21="","",VLOOKUP(($BH21&amp;EM21&amp;"Template de desconto percentual FLAT Móvel - Conta Total - Varejo - Ganho Tributário Cross"),[8]BENEFICIOS!$A:$E,5,0)))</f>
        <v>MKT-1-10033171821</v>
      </c>
      <c r="EO21" s="79"/>
      <c r="EP21" s="64"/>
      <c r="EQ21" s="72"/>
      <c r="ER21" s="72"/>
      <c r="ES21" s="64"/>
      <c r="ET21" s="80"/>
      <c r="EU21" s="81" t="s">
        <v>244</v>
      </c>
      <c r="EV21" s="81" t="s">
        <v>256</v>
      </c>
      <c r="EW21" s="82"/>
      <c r="EX21" s="83"/>
      <c r="EY21" s="84"/>
      <c r="EZ21" s="82"/>
      <c r="FA21" s="83"/>
      <c r="FB21" s="84"/>
      <c r="FC21" s="82"/>
      <c r="FD21" s="83" t="str">
        <f>IF(FC21=0,"",IF(FC21=VLOOKUP("PCS-10357",[8]ARBOR!$A:$C,3,0),0.0001,IF(FC21&gt;VLOOKUP("PCS-10357",[8]ARBOR!$A:$C,3,0),"Maior que CAP!",ROUND(-1*(FC21/VLOOKUP("PCS-10357",[8]ARBOR!$A:$C,3,0)-1),4))))</f>
        <v/>
      </c>
      <c r="FE21" s="84" t="str">
        <f>IF(ISERROR(IF(FD21="","",VLOOKUP(("Oi Internet Pra Celular 1GB"&amp;FD21&amp;"Template Flat Instância Dados"),[8]BENEFICIOS!$A:$E,5,0))),"Criar",IF(FD21="","",VLOOKUP(("Oi Internet Pra Celular 1GB"&amp;FD21&amp;"Template Flat Instância Dados"),[8]BENEFICIOS!$A:$E,5,0)))</f>
        <v/>
      </c>
      <c r="FF21" s="82"/>
      <c r="FG21" s="83" t="str">
        <f>IF(FF21=0,"",IF(FF21=VLOOKUP("PCS-813565",[8]ARBOR!$A:$C,3,0),0.0001,IF(FF21&gt;VLOOKUP("PCS-813565",[8]ARBOR!$A:$C,3,0),"Maior que CAP!",ROUND(-1*(FF21/VLOOKUP("PCS-813565",[8]ARBOR!$A:$C,3,0)-1),4))))</f>
        <v/>
      </c>
      <c r="FH21" s="84" t="str">
        <f>IF(ISERROR(IF(FG21="","",VLOOKUP(("Oi Internet Pra Celular 2GB"&amp;FG21&amp;"Template Flat Instância Dados"),[8]BENEFICIOS!$A:$E,5,0))),"Criar",IF(FG21="","",VLOOKUP(("Oi Internet Pra Celular 2GB"&amp;FG21&amp;"Template Flat Instância Dados"),[8]BENEFICIOS!$A:$E,5,0)))</f>
        <v/>
      </c>
      <c r="FI21" s="82">
        <v>12.35</v>
      </c>
      <c r="FJ21" s="83">
        <f>IF(FI21=0,"",IF(FI21=VLOOKUP("PCS-7171B",[8]ARBOR!$A:$C,3,0),0.0001,IF(FI21&gt;VLOOKUP("PCS-7171B",[8]ARBOR!$A:$C,3,0),"Maior que CAP!",ROUND(-1*(FI21/VLOOKUP("PCS-7171B",[8]ARBOR!$A:$C,3,0)-1),4))))</f>
        <v>0.87419999999999998</v>
      </c>
      <c r="FK21" s="84" t="str">
        <f>IF(ISERROR(IF(FJ21="","",VLOOKUP(("Oi Internet Pra Celular 3GB"&amp;FJ21&amp;"Template Flat Instância Dados"),[8]BENEFICIOS!$A:$E,5,0))),"Criar",IF(FJ21="","",VLOOKUP(("Oi Internet Pra Celular 3GB"&amp;FJ21&amp;"Template Flat Instância Dados"),[8]BENEFICIOS!$A:$E,5,0)))</f>
        <v>MKT-1-9870092975</v>
      </c>
      <c r="FL21" s="82"/>
      <c r="FM21" s="83" t="str">
        <f>IF(FL21=0,"",IF(FL21=VLOOKUP("PCS-51793o08",[8]ARBOR!$A:$C,3,0),0.0001,IF(FL21&gt;VLOOKUP("PCS-51793o08",[8]ARBOR!$A:$C,3,0),"Maior que CAP!",ROUND(-1*(FL21/VLOOKUP("PCS-51793o08",[8]ARBOR!$A:$C,3,0)-1),4))))</f>
        <v/>
      </c>
      <c r="FN21" s="84" t="str">
        <f>IF(ISERROR(IF(FM21="","",VLOOKUP(("Oi Internet Pra Celular 5GB"&amp;FM21&amp;"Template Flat Instância Dados"),[8]BENEFICIOS!$A:$E,5,0))),"Criar",IF(FM21="","",VLOOKUP(("Oi Internet Pra Celular 5GB"&amp;FM21&amp;"Template Flat Instância Dados"),[8]BENEFICIOS!$A:$E,5,0)))</f>
        <v/>
      </c>
      <c r="FO21" s="82"/>
      <c r="FP21" s="83" t="str">
        <f>IF(FO21=0,"",IF(FO21=VLOOKUP("PCS-7171A",[8]ARBOR!$A:$C,3,0),0.0001,IF(FO21&gt;VLOOKUP("PCS-7171A",[8]ARBOR!$A:$C,3,0),"Maior que CAP!",ROUND(-1*(FO21/VLOOKUP("PCS-7171A",[8]ARBOR!$A:$C,3,0)-1),4))))</f>
        <v/>
      </c>
      <c r="FQ21" s="84" t="str">
        <f>IF(ISERROR(IF(FP21="","",VLOOKUP(("Oi Internet Pra Celular 10GB"&amp;FP21&amp;"Template Flat Instância Dados"),[8]BENEFICIOS!$A:$E,5,0))),"Criar",IF(FP21="","",VLOOKUP(("Oi Internet Pra Celular 10GB"&amp;FP21&amp;"Template Flat Instância Dados"),[8]BENEFICIOS!$A:$E,5,0)))</f>
        <v/>
      </c>
      <c r="FR21" s="85">
        <v>0.74219999999999997</v>
      </c>
      <c r="FS21" s="86" t="s">
        <v>246</v>
      </c>
      <c r="FT21" s="48"/>
      <c r="FU21" s="87"/>
      <c r="FV21" s="88" t="s">
        <v>221</v>
      </c>
      <c r="FW21" s="49" t="s">
        <v>226</v>
      </c>
      <c r="FX21" s="89">
        <v>999</v>
      </c>
      <c r="FY21" s="49">
        <v>12</v>
      </c>
      <c r="FZ21" s="90" t="s">
        <v>227</v>
      </c>
      <c r="GA21" s="91" t="str">
        <f t="shared" si="1"/>
        <v>PCS-Fk83324</v>
      </c>
      <c r="GB21" s="92" t="str">
        <f t="shared" si="2"/>
        <v>PCS-SBL553142</v>
      </c>
      <c r="GC21" s="93" t="s">
        <v>228</v>
      </c>
      <c r="GD21" s="90" t="s">
        <v>229</v>
      </c>
      <c r="GE21" s="92" t="s">
        <v>230</v>
      </c>
      <c r="GF21" s="93" t="s">
        <v>231</v>
      </c>
      <c r="GG21" s="90" t="s">
        <v>232</v>
      </c>
      <c r="GH21" s="92" t="s">
        <v>233</v>
      </c>
      <c r="GI21" s="94" t="s">
        <v>234</v>
      </c>
      <c r="GJ21" s="95">
        <f>FI21+EL21+DW21+BJ21</f>
        <v>239.9</v>
      </c>
      <c r="GK21" s="96"/>
      <c r="GL21" s="97" t="s">
        <v>235</v>
      </c>
      <c r="GM21" s="98" t="s">
        <v>272</v>
      </c>
      <c r="GN21" s="97">
        <v>14</v>
      </c>
      <c r="GO21" s="99">
        <v>3.61</v>
      </c>
      <c r="GP21" s="76">
        <v>0.74209999999999998</v>
      </c>
      <c r="GQ21" s="97">
        <v>10.38</v>
      </c>
      <c r="GR21" s="97">
        <v>3.6199999999999992</v>
      </c>
      <c r="GS21" s="101"/>
      <c r="GT21" s="101"/>
      <c r="GU21" s="102" t="b">
        <v>0</v>
      </c>
      <c r="GV21" s="103">
        <v>9.9999999999993427E-3</v>
      </c>
      <c r="GW21" s="44" t="s">
        <v>285</v>
      </c>
      <c r="GX21" s="44" t="s">
        <v>238</v>
      </c>
    </row>
    <row r="22" spans="1:206" s="44" customFormat="1" x14ac:dyDescent="0.35">
      <c r="A22" s="44" t="str">
        <f t="shared" si="0"/>
        <v>Oi Total Fixo + Pós 800 + Banda LargaN23GBMG</v>
      </c>
      <c r="B22" s="45" t="s">
        <v>211</v>
      </c>
      <c r="C22" s="46" t="s">
        <v>127</v>
      </c>
      <c r="D22" s="46" t="s">
        <v>212</v>
      </c>
      <c r="E22" s="47" t="s">
        <v>213</v>
      </c>
      <c r="F22" s="88" t="s">
        <v>214</v>
      </c>
      <c r="G22" s="49"/>
      <c r="H22" s="49"/>
      <c r="I22" s="49"/>
      <c r="J22" s="49" t="s">
        <v>214</v>
      </c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 t="s">
        <v>214</v>
      </c>
      <c r="AC22" s="49" t="s">
        <v>214</v>
      </c>
      <c r="AD22" s="49" t="s">
        <v>214</v>
      </c>
      <c r="AE22" s="49" t="s">
        <v>214</v>
      </c>
      <c r="AF22" s="49" t="s">
        <v>214</v>
      </c>
      <c r="AG22" s="49" t="s">
        <v>214</v>
      </c>
      <c r="AH22" s="50"/>
      <c r="AI22" s="49" t="s">
        <v>214</v>
      </c>
      <c r="AJ22" s="49" t="s">
        <v>214</v>
      </c>
      <c r="AK22" s="49" t="s">
        <v>214</v>
      </c>
      <c r="AL22" s="49" t="s">
        <v>214</v>
      </c>
      <c r="AM22" s="49" t="s">
        <v>214</v>
      </c>
      <c r="AN22" s="49" t="s">
        <v>214</v>
      </c>
      <c r="AO22" s="49" t="s">
        <v>214</v>
      </c>
      <c r="AP22" s="49"/>
      <c r="AQ22" s="51"/>
      <c r="AR22" s="52" t="s">
        <v>286</v>
      </c>
      <c r="AS22" s="46" t="s">
        <v>216</v>
      </c>
      <c r="AT22" s="53" t="s">
        <v>217</v>
      </c>
      <c r="AU22" s="54">
        <v>42972</v>
      </c>
      <c r="AV22" s="105">
        <v>43097</v>
      </c>
      <c r="AW22" s="56" t="s">
        <v>218</v>
      </c>
      <c r="AX22" s="57" t="s">
        <v>218</v>
      </c>
      <c r="AY22" s="58"/>
      <c r="AZ22" s="58" t="s">
        <v>219</v>
      </c>
      <c r="BA22" s="58">
        <v>20</v>
      </c>
      <c r="BB22" s="58">
        <v>10000</v>
      </c>
      <c r="BC22" s="59" t="s">
        <v>220</v>
      </c>
      <c r="BD22" s="60" t="s">
        <v>221</v>
      </c>
      <c r="BE22" s="58" t="s">
        <v>213</v>
      </c>
      <c r="BF22" s="51" t="s">
        <v>213</v>
      </c>
      <c r="BG22" s="45" t="s">
        <v>286</v>
      </c>
      <c r="BH22" s="61" t="s">
        <v>222</v>
      </c>
      <c r="BI22" s="62" t="str">
        <f>IF(ISERROR(VLOOKUP(BH22,[8]PLANOS!B:C,2,0)),"",VLOOKUP(BH22,[8]PLANOS!B:C,2,0))</f>
        <v>PCS-4P6pi</v>
      </c>
      <c r="BJ22" s="63">
        <v>50.1</v>
      </c>
      <c r="BK22" s="64">
        <f>IF(BJ22=0,"",IF(BJ22=VLOOKUP("FIXO",[8]ARBOR!$A:$C,3,0),0.0001,IF(BJ22&gt;VLOOKUP("FIXO",[8]ARBOR!$A:$C,3,0),"Maior que CAP!",IF((DOLLAR(BJ22+(VLOOKUP("FIXO",[8]ARBOR!$A:$C,3,0)*-TRUNC(BJ22/VLOOKUP("FIXO",[8]ARBOR!$A:$C,3,0)-1,4)),6))&lt;&gt;(DOLLAR(VLOOKUP("FIXO",[8]ARBOR!$A:$C,3,0),6)),-TRUNC(BJ22/VLOOKUP("FIXO",[8]ARBOR!$A:$C,3,0)-1,4)+0.0001,-TRUNC(BJ22/VLOOKUP("FIXO",[8]ARBOR!$A:$C,3,0)-1,4)))))</f>
        <v>0.33939999999999998</v>
      </c>
      <c r="BL22" s="65" t="str">
        <f>IF(ISERROR(IF(BK22="","",VLOOKUP(($BH22&amp;BK22&amp;"Template de desconto FLAT bundle - Fixo - Varejo - Ganho Tributário Cross"),[8]BENEFICIOS!$A:$E,5,0))),"Criar",IF(BK22="","",VLOOKUP(($BH22&amp;BK22&amp;"Template de desconto FLAT bundle - Fixo - Varejo - Ganho Tributário Cross"),[8]BENEFICIOS!$A:$E,5,0)))</f>
        <v>MKT-1-9856472058</v>
      </c>
      <c r="BM22" s="66"/>
      <c r="BN22" s="67"/>
      <c r="BO22" s="104" t="s">
        <v>240</v>
      </c>
      <c r="BP22" s="69">
        <v>44.9</v>
      </c>
      <c r="BQ22" s="64">
        <f>IF(BP22=0,"",IF(BP22=VLOOKUP("PCS-30874g",[8]ARBOR!$A:$C,3,0),0.0001,IF(BP22&gt;VLOOKUP("PCS-30874g",[8]ARBOR!$A:$C,3,0),"Maior que CAP!",IF((DOLLAR(BP22+(VLOOKUP("PCS-30874g",[8]ARBOR!$A:$C,3,0)*-TRUNC(BP22/VLOOKUP("PCS-30874g",[8]ARBOR!$A:$C,3,0)-1,4)),6))&lt;&gt;(DOLLAR(VLOOKUP("PCS-30874g",[8]ARBOR!$A:$C,3,0),6)),-TRUNC(BP22/VLOOKUP("PCS-30874g",[8]ARBOR!$A:$C,3,0)-1,4)+0.0001,-TRUNC(BP22/VLOOKUP("PCS-30874g",[8]ARBOR!$A:$C,3,0)-1,4)))))</f>
        <v>0.53679999999999994</v>
      </c>
      <c r="BR22" s="65" t="str">
        <f>IF(ISERROR(IF(BQ22="","",VLOOKUP(($BH22&amp;BQ22&amp;"Template de desconto FLAT bundle - Velox XDSL - Varejo"),[8]BENEFICIOS!$A:$E,5,0))),"Criar",IF(BQ22="","",VLOOKUP(($BH22&amp;BQ22&amp;"Template de desconto FLAT bundle - Velox XDSL - Varejo"),[8]BENEFICIOS!$A:$E,5,0)))</f>
        <v>MKT-1-9865126733</v>
      </c>
      <c r="BS22" s="104" t="s">
        <v>240</v>
      </c>
      <c r="BT22" s="69">
        <v>44.9</v>
      </c>
      <c r="BU22" s="64">
        <f>IF(BT22=0,"",IF(BT22=VLOOKUP("PCS-30577g",[8]ARBOR!$A:$C,3,0),0.0001,IF(BT22&gt;VLOOKUP("PCS-30577g",[8]ARBOR!$A:$C,3,0),"Maior que CAP!",IF((DOLLAR(BT22+(VLOOKUP("PCS-30577g",[8]ARBOR!$A:$C,3,0)*-TRUNC(BT22/VLOOKUP("PCS-30577g",[8]ARBOR!$A:$C,3,0)-1,4)),6))&lt;&gt;(DOLLAR(VLOOKUP("PCS-30577g",[8]ARBOR!$A:$C,3,0),6)),-TRUNC(BT22/VLOOKUP("PCS-30577g",[8]ARBOR!$A:$C,3,0)-1,4)+0.0001,-TRUNC(BT22/VLOOKUP("PCS-30577g",[8]ARBOR!$A:$C,3,0)-1,4)))))</f>
        <v>0.53679999999999994</v>
      </c>
      <c r="BV22" s="65" t="str">
        <f>IF(ISERROR(IF(BU22="","",VLOOKUP(($BH22&amp;BU22&amp;"Template de desconto FLAT bundle - Velox XDSL - Varejo"),[8]BENEFICIOS!$A:$E,5,0))),"Criar",IF(BU22="","",VLOOKUP(($BH22&amp;BU22&amp;"Template de desconto FLAT bundle - Velox XDSL - Varejo"),[8]BENEFICIOS!$A:$E,5,0)))</f>
        <v>MKT-1-9865126733</v>
      </c>
      <c r="BW22" s="104" t="s">
        <v>240</v>
      </c>
      <c r="BX22" s="69">
        <v>44.9</v>
      </c>
      <c r="BY22" s="64">
        <f>IF(BX22=0,"",IF(BX22=VLOOKUP("PCS-30604g",[8]ARBOR!$A:$C,3,0),0.0001,IF(BX22&gt;VLOOKUP("PCS-30604g",[8]ARBOR!$A:$C,3,0),"Maior que CAP!",IF((DOLLAR(BX22+(VLOOKUP("PCS-30604g",[8]ARBOR!$A:$C,3,0)*-TRUNC(BX22/VLOOKUP("PCS-30604g",[8]ARBOR!$A:$C,3,0)-1,4)),6))&lt;&gt;(DOLLAR(VLOOKUP("PCS-30604g",[8]ARBOR!$A:$C,3,0),6)),-TRUNC(BX22/VLOOKUP("PCS-30604g",[8]ARBOR!$A:$C,3,0)-1,4)+0.0001,-TRUNC(BX22/VLOOKUP("PCS-30604g",[8]ARBOR!$A:$C,3,0)-1,4)))))</f>
        <v>0.53679999999999994</v>
      </c>
      <c r="BZ22" s="65" t="str">
        <f>IF(ISERROR(IF(BY22="","",VLOOKUP(($BH22&amp;BY22&amp;"Template de desconto FLAT bundle - Velox XDSL - Varejo"),[8]BENEFICIOS!$A:$E,5,0))),"Criar",IF(BY22="","",VLOOKUP(($BH22&amp;BY22&amp;"Template de desconto FLAT bundle - Velox XDSL - Varejo"),[8]BENEFICIOS!$A:$E,5,0)))</f>
        <v>MKT-1-9865126733</v>
      </c>
      <c r="CA22" s="104" t="s">
        <v>240</v>
      </c>
      <c r="CB22" s="69">
        <v>44.9</v>
      </c>
      <c r="CC22" s="64">
        <f>IF(CB22=0,"",IF(CB22=VLOOKUP("PCS-30631g",[8]ARBOR!$A:$C,3,0),0.0001,IF(CB22&gt;VLOOKUP("PCS-30631g",[8]ARBOR!$A:$C,3,0),"Maior que CAP!",IF((DOLLAR(CB22+(VLOOKUP("PCS-30631g",[8]ARBOR!$A:$C,3,0)*-TRUNC(CB22/VLOOKUP("PCS-30631g",[8]ARBOR!$A:$C,3,0)-1,4)),6))&lt;&gt;(DOLLAR(VLOOKUP("PCS-30631g",[8]ARBOR!$A:$C,3,0),6)),-TRUNC(CB22/VLOOKUP("PCS-30631g",[8]ARBOR!$A:$C,3,0)-1,4)+0.0001,-TRUNC(CB22/VLOOKUP("PCS-30631g",[8]ARBOR!$A:$C,3,0)-1,4)))))</f>
        <v>0.54310000000000003</v>
      </c>
      <c r="CD22" s="65" t="str">
        <f>IF(ISERROR(IF(CC22="","",VLOOKUP(($BH22&amp;CC22&amp;"Template de desconto FLAT bundle - Velox XDSL - Varejo"),[8]BENEFICIOS!$A:$E,5,0))),"Criar",IF(CC22="","",VLOOKUP(($BH22&amp;CC22&amp;"Template de desconto FLAT bundle - Velox XDSL - Varejo"),[8]BENEFICIOS!$A:$E,5,0)))</f>
        <v>MKT-1-9865126826</v>
      </c>
      <c r="CE22" s="68" t="s">
        <v>161</v>
      </c>
      <c r="CF22" s="69">
        <v>49.9</v>
      </c>
      <c r="CG22" s="64">
        <f>IF(CF22=0,"",IF(CF22=VLOOKUP("PCS-30658g",[8]ARBOR!$A:$C,3,0),0.0001,IF(CF22&gt;VLOOKUP("PCS-30658g",[8]ARBOR!$A:$C,3,0),"Maior que CAP!",IF((DOLLAR(CF22+(VLOOKUP("PCS-30658g",[8]ARBOR!$A:$C,3,0)*-TRUNC(CF22/VLOOKUP("PCS-30658g",[8]ARBOR!$A:$C,3,0)-1,4)),6))&lt;&gt;(DOLLAR(VLOOKUP("PCS-30658g",[8]ARBOR!$A:$C,3,0),6)),-TRUNC(CF22/VLOOKUP("PCS-30658g",[8]ARBOR!$A:$C,3,0)-1,4)+0.0001,-TRUNC(CF22/VLOOKUP("PCS-30658g",[8]ARBOR!$A:$C,3,0)-1,4)))))</f>
        <v>0.55569999999999997</v>
      </c>
      <c r="CH22" s="65" t="str">
        <f>IF(ISERROR(IF(CG22="","",VLOOKUP(($BH22&amp;CG22&amp;"Template de desconto FLAT bundle - Velox XDSL - Varejo"),[8]BENEFICIOS!$A:$E,5,0))),"Criar",IF(CG22="","",VLOOKUP(($BH22&amp;CG22&amp;"Template de desconto FLAT bundle - Velox XDSL - Varejo"),[8]BENEFICIOS!$A:$E,5,0)))</f>
        <v>MKT-1-9865126919</v>
      </c>
      <c r="CI22" s="68" t="s">
        <v>161</v>
      </c>
      <c r="CJ22" s="69">
        <v>49.9</v>
      </c>
      <c r="CK22" s="64">
        <f>IF(CJ22=0,"",IF(CJ22=VLOOKUP("PCS-30685g",[8]ARBOR!$A:$C,3,0),0.0001,IF(CJ22&gt;VLOOKUP("PCS-30685g",[8]ARBOR!$A:$C,3,0),"Maior que CAP!",IF((DOLLAR(CJ22+(VLOOKUP("PCS-30685g",[8]ARBOR!$A:$C,3,0)*-TRUNC(CJ22/VLOOKUP("PCS-30685g",[8]ARBOR!$A:$C,3,0)-1,4)),6))&lt;&gt;(DOLLAR(VLOOKUP("PCS-30685g",[8]ARBOR!$A:$C,3,0),6)),-TRUNC(CJ22/VLOOKUP("PCS-30685g",[8]ARBOR!$A:$C,3,0)-1,4)+0.0001,-TRUNC(CJ22/VLOOKUP("PCS-30685g",[8]ARBOR!$A:$C,3,0)-1,4)))))</f>
        <v>0.60509999999999997</v>
      </c>
      <c r="CL22" s="65" t="str">
        <f>IF(ISERROR(IF(CK22="","",VLOOKUP(($BH22&amp;CK22&amp;"Template de desconto FLAT bundle - Velox XDSL - Varejo"),[8]BENEFICIOS!$A:$E,5,0))),"Criar",IF(CK22="","",VLOOKUP(($BH22&amp;CK22&amp;"Template de desconto FLAT bundle - Velox XDSL - Varejo"),[8]BENEFICIOS!$A:$E,5,0)))</f>
        <v>MKT-1-9865694381</v>
      </c>
      <c r="CM22" s="68" t="s">
        <v>161</v>
      </c>
      <c r="CN22" s="69">
        <v>49.9</v>
      </c>
      <c r="CO22" s="64">
        <f>IF(CN22=0,"",IF(CN22=VLOOKUP("PCS-30712g",[8]ARBOR!$A:$C,3,0),0.0001,IF(CN22&gt;VLOOKUP("PCS-30712g",[8]ARBOR!$A:$C,3,0),"Maior que CAP!",IF((DOLLAR(CN22+(VLOOKUP("PCS-30712g",[8]ARBOR!$A:$C,3,0)*-TRUNC(CN22/VLOOKUP("PCS-30712g",[8]ARBOR!$A:$C,3,0)-1,4)),6))&lt;&gt;(DOLLAR(VLOOKUP("PCS-30712g",[8]ARBOR!$A:$C,3,0),6)),-TRUNC(CN22/VLOOKUP("PCS-30712g",[8]ARBOR!$A:$C,3,0)-1,4)+0.0001,-TRUNC(CN22/VLOOKUP("PCS-30712g",[8]ARBOR!$A:$C,3,0)-1,4)))))</f>
        <v>0.64459999999999995</v>
      </c>
      <c r="CP22" s="65" t="str">
        <f>IF(ISERROR(IF(CO22="","",VLOOKUP(($BH22&amp;CO22&amp;"Template de desconto FLAT bundle - Velox XDSL - Varejo"),[8]BENEFICIOS!$A:$E,5,0))),"Criar",IF(CO22="","",VLOOKUP(($BH22&amp;CO22&amp;"Template de desconto FLAT bundle - Velox XDSL - Varejo"),[8]BENEFICIOS!$A:$E,5,0)))</f>
        <v>MKT-1-9865191105</v>
      </c>
      <c r="CQ22" s="68" t="s">
        <v>161</v>
      </c>
      <c r="CR22" s="69">
        <v>59.9</v>
      </c>
      <c r="CS22" s="64">
        <f>IF(CR22=0,"",IF(CR22=VLOOKUP("PCS-30739g",[8]ARBOR!$A:$C,3,0),0.0001,IF(CR22&gt;VLOOKUP("PCS-30739g",[8]ARBOR!$A:$C,3,0),"Maior que CAP!",IF((DOLLAR(CR22+(VLOOKUP("PCS-30739g",[8]ARBOR!$A:$C,3,0)*-TRUNC(CR22/VLOOKUP("PCS-30739g",[8]ARBOR!$A:$C,3,0)-1,4)),6))&lt;&gt;(DOLLAR(VLOOKUP("PCS-30739g",[8]ARBOR!$A:$C,3,0),6)),-TRUNC(CR22/VLOOKUP("PCS-30739g",[8]ARBOR!$A:$C,3,0)-1,4)+0.0001,-TRUNC(CR22/VLOOKUP("PCS-30739g",[8]ARBOR!$A:$C,3,0)-1,4)))))</f>
        <v>0.71560000000000001</v>
      </c>
      <c r="CT22" s="65" t="str">
        <f>IF(ISERROR(IF(CS22="","",VLOOKUP(($BH22&amp;CS22&amp;"Template de desconto FLAT bundle - Velox XDSL - Varejo"),[8]BENEFICIOS!$A:$E,5,0))),"Criar",IF(CS22="","",VLOOKUP(($BH22&amp;CS22&amp;"Template de desconto FLAT bundle - Velox XDSL - Varejo"),[8]BENEFICIOS!$A:$E,5,0)))</f>
        <v>MKT-1-9865191198</v>
      </c>
      <c r="CU22" s="69"/>
      <c r="CV22" s="70"/>
      <c r="CW22" s="64"/>
      <c r="CX22" s="65"/>
      <c r="CY22" s="68" t="s">
        <v>161</v>
      </c>
      <c r="CZ22" s="69">
        <v>59.9</v>
      </c>
      <c r="DA22" s="64">
        <f>IF(CZ22=0,"",IF(CZ22=VLOOKUP("PCS-30766g",[8]ARBOR!$A:$C,3,0),0.0001,IF(CZ22&gt;VLOOKUP("PCS-30766g",[8]ARBOR!$A:$C,3,0),"Maior que CAP!",IF((DOLLAR(CZ22+(VLOOKUP("PCS-30766g",[8]ARBOR!$A:$C,3,0)*-TRUNC(CZ22/VLOOKUP("PCS-30766g",[8]ARBOR!$A:$C,3,0)-1,4)),6))&lt;&gt;(DOLLAR(VLOOKUP("PCS-30766g",[8]ARBOR!$A:$C,3,0),6)),-TRUNC(CZ22/VLOOKUP("PCS-30766g",[8]ARBOR!$A:$C,3,0)-1,4)+0.0001,-TRUNC(CZ22/VLOOKUP("PCS-30766g",[8]ARBOR!$A:$C,3,0)-1,4)))))</f>
        <v>0.78669999999999995</v>
      </c>
      <c r="DB22" s="65" t="str">
        <f>IF(ISERROR(IF(DA22="","",VLOOKUP(($BH22&amp;DA22&amp;"Template de desconto FLAT bundle - Velox XDSL - Varejo"),[8]BENEFICIOS!$A:$E,5,0))),"Criar",IF(DA22="","",VLOOKUP(($BH22&amp;DA22&amp;"Template de desconto FLAT bundle - Velox XDSL - Varejo"),[8]BENEFICIOS!$A:$E,5,0)))</f>
        <v>MKT-1-9865191291</v>
      </c>
      <c r="DC22" s="69"/>
      <c r="DD22" s="70"/>
      <c r="DE22" s="64"/>
      <c r="DF22" s="65"/>
      <c r="DG22" s="68" t="s">
        <v>240</v>
      </c>
      <c r="DH22" s="69">
        <v>69.900000000000006</v>
      </c>
      <c r="DI22" s="64">
        <f>IF(DH22=0,"",IF(DH22=VLOOKUP("PCS-30793g",[8]ARBOR!$A:$C,3,0),0.0001,IF(DH22&gt;VLOOKUP("PCS-30793g",[8]ARBOR!$A:$C,3,0),"Maior que CAP!",IF((DOLLAR(DH22+(VLOOKUP("PCS-30793g",[8]ARBOR!$A:$C,3,0)*-TRUNC(DH22/VLOOKUP("PCS-30793g",[8]ARBOR!$A:$C,3,0)-1,4)),6))&lt;&gt;(DOLLAR(VLOOKUP("PCS-30793g",[8]ARBOR!$A:$C,3,0),6)),-TRUNC(DH22/VLOOKUP("PCS-30793g",[8]ARBOR!$A:$C,3,0)-1,4)+0.0001,-TRUNC(DH22/VLOOKUP("PCS-30793g",[8]ARBOR!$A:$C,3,0)-1,4)))))</f>
        <v>0.75109999999999999</v>
      </c>
      <c r="DJ22" s="65" t="str">
        <f>IF(ISERROR(IF(DI22="","",VLOOKUP(($BH22&amp;DI22&amp;"Template de desconto FLAT bundle - Velox XDSL - Varejo"),[8]BENEFICIOS!$A:$E,5,0))),"Criar",IF(DI22="","",VLOOKUP(($BH22&amp;DI22&amp;"Template de desconto FLAT bundle - Velox XDSL - Varejo"),[8]BENEFICIOS!$A:$E,5,0)))</f>
        <v>MKT-1-9865191384</v>
      </c>
      <c r="DK22" s="69"/>
      <c r="DL22" s="70"/>
      <c r="DM22" s="64"/>
      <c r="DN22" s="65"/>
      <c r="DO22" s="68" t="s">
        <v>161</v>
      </c>
      <c r="DP22" s="69">
        <v>69.900000000000006</v>
      </c>
      <c r="DQ22" s="64">
        <f>IF(DP22=0,"",IF(DP22=VLOOKUP("PCS-30820g",[8]ARBOR!$A:$C,3,0),0.0001,IF(DP22&gt;VLOOKUP("PCS-30820g",[8]ARBOR!$A:$C,3,0),"Maior que CAP!",IF((DOLLAR(DP22+(VLOOKUP("PCS-30820g",[8]ARBOR!$A:$C,3,0)*-TRUNC(DP22/VLOOKUP("PCS-30820g",[8]ARBOR!$A:$C,3,0)-1,4)),6))&lt;&gt;(DOLLAR(VLOOKUP("PCS-30820g",[8]ARBOR!$A:$C,3,0),6)),-TRUNC(DP22/VLOOKUP("PCS-30820g",[8]ARBOR!$A:$C,3,0)-1,4)+0.0001,-TRUNC(DP22/VLOOKUP("PCS-30820g",[8]ARBOR!$A:$C,3,0)-1,4)))))</f>
        <v>0.75109999999999999</v>
      </c>
      <c r="DR22" s="65" t="str">
        <f>IF(ISERROR(IF(DQ22="","",VLOOKUP(($BH22&amp;DQ22&amp;"Template de desconto FLAT bundle - Velox XDSL - Varejo"),[8]BENEFICIOS!$A:$E,5,0))),"Criar",IF(DQ22="","",VLOOKUP(($BH22&amp;DQ22&amp;"Template de desconto FLAT bundle - Velox XDSL - Varejo"),[8]BENEFICIOS!$A:$E,5,0)))</f>
        <v>MKT-1-9865191384</v>
      </c>
      <c r="DS22" s="69"/>
      <c r="DT22" s="70"/>
      <c r="DU22" s="64"/>
      <c r="DV22" s="65"/>
      <c r="DW22" s="71"/>
      <c r="DX22" s="64" t="str">
        <f>IF(DW22=0,"",IF(DW22=VLOOKUP("PCS-21448p2",[8]ARBOR!$A:$C,3,0),0.0001,IF(DW22&gt;VLOOKUP("PCS-21448p2",[8]ARBOR!$A:$C,3,0),"Maior que CAP!",IF((DOLLAR(DW22+(VLOOKUP("PCS-21448p2",[8]ARBOR!$A:$C,3,0)*-TRUNC(DW22/VLOOKUP("PCS-21448p2",[8]ARBOR!$A:$C,3,0)-1,4)),6))&lt;&gt;(DOLLAR(VLOOKUP("PCS-21448p2",[8]ARBOR!$A:$C,3,0),6)),-TRUNC(DW22/VLOOKUP("PCS-21448p2",[8]ARBOR!$A:$C,3,0)-1,4)+0.0001,-TRUNC(DW22/VLOOKUP("PCS-21448p2",[8]ARBOR!$A:$C,3,0)-1,4)))))</f>
        <v/>
      </c>
      <c r="DY22" s="65" t="str">
        <f>IF(ISERROR(IF(DX22="","",VLOOKUP(("Oi Conta Total Plug 10GB Downgrade"&amp;DX22&amp;"Template de desconto percentual BL Móvel - Internet Total - Varejo"),[8]BENEFICIOS!$A:$E,5,0))),"Criar",IF(DX22="","",VLOOKUP(("Oi Conta Total Plug 10GB Downgrade"&amp;DX22&amp;"Template de desconto percentual BL Móvel - Internet Total - Varejo"),[8]BENEFICIOS!$A:$E,5,0)))</f>
        <v/>
      </c>
      <c r="DZ22" s="71">
        <v>19.899999999999999</v>
      </c>
      <c r="EA22" s="72">
        <f>IF(DZ22=0,"",IF(DZ22=VLOOKUP("SVA",[8]ARBOR!$A:$C,3,0),0.0001,IF(DZ22&gt;VLOOKUP("SVA",[8]ARBOR!$A:$C,3,0),"Maior que CAP!",IF((DOLLAR(DZ22+(VLOOKUP("SVA",[8]ARBOR!$A:$C,3,0)*-TRUNC(DZ22/VLOOKUP("SVA",[8]ARBOR!$A:$C,3,0)-1,4)),6))&lt;&gt;(DOLLAR(VLOOKUP("SVA",[8]ARBOR!$A:$C,3,0),6)),-TRUNC(DZ22/VLOOKUP("SVA",[8]ARBOR!$A:$C,3,0)-1,4)+0.0001,-TRUNC(DZ22/VLOOKUP("SVA",[8]ARBOR!$A:$C,3,0)-1,4)))))</f>
        <v>7.1400000000000005E-2</v>
      </c>
      <c r="EB22" s="65" t="s">
        <v>241</v>
      </c>
      <c r="EC22" s="69"/>
      <c r="ED22" s="73"/>
      <c r="EE22" s="74"/>
      <c r="EF22" s="65"/>
      <c r="EG22" s="75">
        <f>IF(BI22="","",VLOOKUP(BI22,[8]ARBOR!A:C,3,0))</f>
        <v>479.46</v>
      </c>
      <c r="EH22" s="69">
        <v>15</v>
      </c>
      <c r="EI22" s="76">
        <f>IF(EH22="","",1-(EH22/VLOOKUP(BI22&amp;"ASS",[8]ARBOR!A:C,3,0)))</f>
        <v>0.34725848563968664</v>
      </c>
      <c r="EJ22" s="77" t="s">
        <v>224</v>
      </c>
      <c r="EK22" s="78" t="s">
        <v>225</v>
      </c>
      <c r="EL22" s="69">
        <v>132.55000000000001</v>
      </c>
      <c r="EM22" s="64">
        <f>IF(EL22=0,"",IF(EL22=EG22,0.0001,ROUND(1-((EL22+(VLOOKUP(BI22&amp;"ASS",[8]ARBOR!A:C,3,0)-EH22))/EG22),4)))</f>
        <v>0.70689999999999997</v>
      </c>
      <c r="EN22" s="65" t="str">
        <f>IF(ISERROR(IF(EM22="","",VLOOKUP(($BH22&amp;EM22&amp;"Template de desconto percentual FLAT Móvel - Conta Total - Varejo - Ganho Tributário Cross"),[8]BENEFICIOS!$A:$E,5,0))),"Criar",IF(EM22="","",VLOOKUP(($BH22&amp;EM22&amp;"Template de desconto percentual FLAT Móvel - Conta Total - Varejo - Ganho Tributário Cross"),[8]BENEFICIOS!$A:$E,5,0)))</f>
        <v>MKT-1-10033171821</v>
      </c>
      <c r="EO22" s="79"/>
      <c r="EP22" s="64"/>
      <c r="EQ22" s="72"/>
      <c r="ER22" s="72"/>
      <c r="ES22" s="64"/>
      <c r="ET22" s="80"/>
      <c r="EU22" s="81" t="s">
        <v>244</v>
      </c>
      <c r="EV22" s="81" t="s">
        <v>256</v>
      </c>
      <c r="EW22" s="82"/>
      <c r="EX22" s="83"/>
      <c r="EY22" s="84"/>
      <c r="EZ22" s="82"/>
      <c r="FA22" s="83"/>
      <c r="FB22" s="84"/>
      <c r="FC22" s="82"/>
      <c r="FD22" s="83" t="str">
        <f>IF(FC22=0,"",IF(FC22=VLOOKUP("PCS-10357",[8]ARBOR!$A:$C,3,0),0.0001,IF(FC22&gt;VLOOKUP("PCS-10357",[8]ARBOR!$A:$C,3,0),"Maior que CAP!",ROUND(-1*(FC22/VLOOKUP("PCS-10357",[8]ARBOR!$A:$C,3,0)-1),4))))</f>
        <v/>
      </c>
      <c r="FE22" s="84" t="str">
        <f>IF(ISERROR(IF(FD22="","",VLOOKUP(("Oi Internet Pra Celular 1GB"&amp;FD22&amp;"Template Flat Instância Dados"),[8]BENEFICIOS!$A:$E,5,0))),"Criar",IF(FD22="","",VLOOKUP(("Oi Internet Pra Celular 1GB"&amp;FD22&amp;"Template Flat Instância Dados"),[8]BENEFICIOS!$A:$E,5,0)))</f>
        <v/>
      </c>
      <c r="FF22" s="82"/>
      <c r="FG22" s="83" t="str">
        <f>IF(FF22=0,"",IF(FF22=VLOOKUP("PCS-813565",[8]ARBOR!$A:$C,3,0),0.0001,IF(FF22&gt;VLOOKUP("PCS-813565",[8]ARBOR!$A:$C,3,0),"Maior que CAP!",ROUND(-1*(FF22/VLOOKUP("PCS-813565",[8]ARBOR!$A:$C,3,0)-1),4))))</f>
        <v/>
      </c>
      <c r="FH22" s="84" t="str">
        <f>IF(ISERROR(IF(FG22="","",VLOOKUP(("Oi Internet Pra Celular 2GB"&amp;FG22&amp;"Template Flat Instância Dados"),[8]BENEFICIOS!$A:$E,5,0))),"Criar",IF(FG22="","",VLOOKUP(("Oi Internet Pra Celular 2GB"&amp;FG22&amp;"Template Flat Instância Dados"),[8]BENEFICIOS!$A:$E,5,0)))</f>
        <v/>
      </c>
      <c r="FI22" s="82">
        <v>12.35</v>
      </c>
      <c r="FJ22" s="83">
        <f>IF(FI22=0,"",IF(FI22=VLOOKUP("PCS-7171B",[8]ARBOR!$A:$C,3,0),0.0001,IF(FI22&gt;VLOOKUP("PCS-7171B",[8]ARBOR!$A:$C,3,0),"Maior que CAP!",ROUND(-1*(FI22/VLOOKUP("PCS-7171B",[8]ARBOR!$A:$C,3,0)-1),4))))</f>
        <v>0.87419999999999998</v>
      </c>
      <c r="FK22" s="84" t="str">
        <f>IF(ISERROR(IF(FJ22="","",VLOOKUP(("Oi Internet Pra Celular 3GB"&amp;FJ22&amp;"Template Flat Instância Dados"),[8]BENEFICIOS!$A:$E,5,0))),"Criar",IF(FJ22="","",VLOOKUP(("Oi Internet Pra Celular 3GB"&amp;FJ22&amp;"Template Flat Instância Dados"),[8]BENEFICIOS!$A:$E,5,0)))</f>
        <v>MKT-1-9870092975</v>
      </c>
      <c r="FL22" s="82"/>
      <c r="FM22" s="83" t="str">
        <f>IF(FL22=0,"",IF(FL22=VLOOKUP("PCS-51793o08",[8]ARBOR!$A:$C,3,0),0.0001,IF(FL22&gt;VLOOKUP("PCS-51793o08",[8]ARBOR!$A:$C,3,0),"Maior que CAP!",ROUND(-1*(FL22/VLOOKUP("PCS-51793o08",[8]ARBOR!$A:$C,3,0)-1),4))))</f>
        <v/>
      </c>
      <c r="FN22" s="84" t="str">
        <f>IF(ISERROR(IF(FM22="","",VLOOKUP(("Oi Internet Pra Celular 5GB"&amp;FM22&amp;"Template Flat Instância Dados"),[8]BENEFICIOS!$A:$E,5,0))),"Criar",IF(FM22="","",VLOOKUP(("Oi Internet Pra Celular 5GB"&amp;FM22&amp;"Template Flat Instância Dados"),[8]BENEFICIOS!$A:$E,5,0)))</f>
        <v/>
      </c>
      <c r="FO22" s="82"/>
      <c r="FP22" s="83" t="str">
        <f>IF(FO22=0,"",IF(FO22=VLOOKUP("PCS-7171A",[8]ARBOR!$A:$C,3,0),0.0001,IF(FO22&gt;VLOOKUP("PCS-7171A",[8]ARBOR!$A:$C,3,0),"Maior que CAP!",ROUND(-1*(FO22/VLOOKUP("PCS-7171A",[8]ARBOR!$A:$C,3,0)-1),4))))</f>
        <v/>
      </c>
      <c r="FQ22" s="84" t="str">
        <f>IF(ISERROR(IF(FP22="","",VLOOKUP(("Oi Internet Pra Celular 10GB"&amp;FP22&amp;"Template Flat Instância Dados"),[8]BENEFICIOS!$A:$E,5,0))),"Criar",IF(FP22="","",VLOOKUP(("Oi Internet Pra Celular 10GB"&amp;FP22&amp;"Template Flat Instância Dados"),[8]BENEFICIOS!$A:$E,5,0)))</f>
        <v/>
      </c>
      <c r="FR22" s="85">
        <v>0.74219999999999997</v>
      </c>
      <c r="FS22" s="86" t="s">
        <v>246</v>
      </c>
      <c r="FT22" s="48"/>
      <c r="FU22" s="87"/>
      <c r="FV22" s="88" t="s">
        <v>221</v>
      </c>
      <c r="FW22" s="49" t="s">
        <v>226</v>
      </c>
      <c r="FX22" s="89">
        <v>999</v>
      </c>
      <c r="FY22" s="49">
        <v>12</v>
      </c>
      <c r="FZ22" s="90" t="s">
        <v>227</v>
      </c>
      <c r="GA22" s="91" t="str">
        <f t="shared" si="1"/>
        <v>PCS-Fk83324</v>
      </c>
      <c r="GB22" s="92" t="str">
        <f t="shared" si="2"/>
        <v>PCS-SBL553142</v>
      </c>
      <c r="GC22" s="93" t="s">
        <v>228</v>
      </c>
      <c r="GD22" s="90" t="s">
        <v>229</v>
      </c>
      <c r="GE22" s="92" t="s">
        <v>230</v>
      </c>
      <c r="GF22" s="93" t="s">
        <v>231</v>
      </c>
      <c r="GG22" s="90" t="s">
        <v>232</v>
      </c>
      <c r="GH22" s="92" t="s">
        <v>233</v>
      </c>
      <c r="GI22" s="94" t="s">
        <v>234</v>
      </c>
      <c r="GJ22" s="95">
        <f>FI22+EL22+CN22+BJ22</f>
        <v>244.9</v>
      </c>
      <c r="GK22" s="96"/>
      <c r="GL22" s="97" t="s">
        <v>235</v>
      </c>
      <c r="GM22" s="98" t="s">
        <v>272</v>
      </c>
      <c r="GN22" s="97">
        <v>14</v>
      </c>
      <c r="GO22" s="99">
        <v>3.61</v>
      </c>
      <c r="GP22" s="76">
        <v>0.74209999999999998</v>
      </c>
      <c r="GQ22" s="97">
        <v>10.38</v>
      </c>
      <c r="GR22" s="97">
        <v>3.6199999999999992</v>
      </c>
      <c r="GS22" s="101"/>
      <c r="GT22" s="101"/>
      <c r="GU22" s="102" t="b">
        <v>0</v>
      </c>
      <c r="GV22" s="103">
        <v>9.9999999999993427E-3</v>
      </c>
      <c r="GW22" s="44" t="s">
        <v>287</v>
      </c>
      <c r="GX22" s="44" t="s">
        <v>238</v>
      </c>
    </row>
    <row r="23" spans="1:206" s="44" customFormat="1" x14ac:dyDescent="0.35">
      <c r="A23" s="44" t="str">
        <f t="shared" si="0"/>
        <v>Oi Total Fixo + Pós 800 + Banda LargaN25GBMG</v>
      </c>
      <c r="B23" s="45" t="s">
        <v>211</v>
      </c>
      <c r="C23" s="46" t="s">
        <v>127</v>
      </c>
      <c r="D23" s="46" t="s">
        <v>212</v>
      </c>
      <c r="E23" s="47" t="s">
        <v>213</v>
      </c>
      <c r="F23" s="88" t="s">
        <v>214</v>
      </c>
      <c r="G23" s="49"/>
      <c r="H23" s="49"/>
      <c r="I23" s="49"/>
      <c r="J23" s="49" t="s">
        <v>214</v>
      </c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 t="s">
        <v>214</v>
      </c>
      <c r="AC23" s="49" t="s">
        <v>214</v>
      </c>
      <c r="AD23" s="49" t="s">
        <v>214</v>
      </c>
      <c r="AE23" s="49" t="s">
        <v>214</v>
      </c>
      <c r="AF23" s="49" t="s">
        <v>214</v>
      </c>
      <c r="AG23" s="49" t="s">
        <v>214</v>
      </c>
      <c r="AH23" s="50"/>
      <c r="AI23" s="49" t="s">
        <v>214</v>
      </c>
      <c r="AJ23" s="49" t="s">
        <v>214</v>
      </c>
      <c r="AK23" s="49" t="s">
        <v>214</v>
      </c>
      <c r="AL23" s="49" t="s">
        <v>214</v>
      </c>
      <c r="AM23" s="49" t="s">
        <v>214</v>
      </c>
      <c r="AN23" s="49" t="s">
        <v>214</v>
      </c>
      <c r="AO23" s="49" t="s">
        <v>214</v>
      </c>
      <c r="AP23" s="49"/>
      <c r="AQ23" s="51"/>
      <c r="AR23" s="52" t="s">
        <v>288</v>
      </c>
      <c r="AS23" s="46" t="s">
        <v>216</v>
      </c>
      <c r="AT23" s="53" t="s">
        <v>217</v>
      </c>
      <c r="AU23" s="54">
        <v>42972</v>
      </c>
      <c r="AV23" s="105">
        <v>43097</v>
      </c>
      <c r="AW23" s="56" t="s">
        <v>218</v>
      </c>
      <c r="AX23" s="57" t="s">
        <v>218</v>
      </c>
      <c r="AY23" s="58"/>
      <c r="AZ23" s="58" t="s">
        <v>219</v>
      </c>
      <c r="BA23" s="58">
        <v>20</v>
      </c>
      <c r="BB23" s="58">
        <v>10000</v>
      </c>
      <c r="BC23" s="59" t="s">
        <v>220</v>
      </c>
      <c r="BD23" s="60" t="s">
        <v>221</v>
      </c>
      <c r="BE23" s="58" t="s">
        <v>213</v>
      </c>
      <c r="BF23" s="51" t="s">
        <v>213</v>
      </c>
      <c r="BG23" s="45" t="s">
        <v>288</v>
      </c>
      <c r="BH23" s="61" t="s">
        <v>222</v>
      </c>
      <c r="BI23" s="62" t="str">
        <f>IF(ISERROR(VLOOKUP(BH23,[8]PLANOS!B:C,2,0)),"",VLOOKUP(BH23,[8]PLANOS!B:C,2,0))</f>
        <v>PCS-4P6pi</v>
      </c>
      <c r="BJ23" s="63">
        <v>50.1</v>
      </c>
      <c r="BK23" s="64">
        <f>IF(BJ23=0,"",IF(BJ23=VLOOKUP("FIXO",[8]ARBOR!$A:$C,3,0),0.0001,IF(BJ23&gt;VLOOKUP("FIXO",[8]ARBOR!$A:$C,3,0),"Maior que CAP!",IF((DOLLAR(BJ23+(VLOOKUP("FIXO",[8]ARBOR!$A:$C,3,0)*-TRUNC(BJ23/VLOOKUP("FIXO",[8]ARBOR!$A:$C,3,0)-1,4)),6))&lt;&gt;(DOLLAR(VLOOKUP("FIXO",[8]ARBOR!$A:$C,3,0),6)),-TRUNC(BJ23/VLOOKUP("FIXO",[8]ARBOR!$A:$C,3,0)-1,4)+0.0001,-TRUNC(BJ23/VLOOKUP("FIXO",[8]ARBOR!$A:$C,3,0)-1,4)))))</f>
        <v>0.33939999999999998</v>
      </c>
      <c r="BL23" s="65" t="str">
        <f>IF(ISERROR(IF(BK23="","",VLOOKUP(($BH23&amp;BK23&amp;"Template de desconto FLAT bundle - Fixo - Varejo - Ganho Tributário Cross"),[8]BENEFICIOS!$A:$E,5,0))),"Criar",IF(BK23="","",VLOOKUP(($BH23&amp;BK23&amp;"Template de desconto FLAT bundle - Fixo - Varejo - Ganho Tributário Cross"),[8]BENEFICIOS!$A:$E,5,0)))</f>
        <v>MKT-1-9856472058</v>
      </c>
      <c r="BM23" s="66"/>
      <c r="BN23" s="67"/>
      <c r="BO23" s="68" t="s">
        <v>161</v>
      </c>
      <c r="BP23" s="69">
        <v>44.9</v>
      </c>
      <c r="BQ23" s="64">
        <f>IF(BP23=0,"",IF(BP23=VLOOKUP("PCS-30874g",[8]ARBOR!$A:$C,3,0),0.0001,IF(BP23&gt;VLOOKUP("PCS-30874g",[8]ARBOR!$A:$C,3,0),"Maior que CAP!",IF((DOLLAR(BP23+(VLOOKUP("PCS-30874g",[8]ARBOR!$A:$C,3,0)*-TRUNC(BP23/VLOOKUP("PCS-30874g",[8]ARBOR!$A:$C,3,0)-1,4)),6))&lt;&gt;(DOLLAR(VLOOKUP("PCS-30874g",[8]ARBOR!$A:$C,3,0),6)),-TRUNC(BP23/VLOOKUP("PCS-30874g",[8]ARBOR!$A:$C,3,0)-1,4)+0.0001,-TRUNC(BP23/VLOOKUP("PCS-30874g",[8]ARBOR!$A:$C,3,0)-1,4)))))</f>
        <v>0.53679999999999994</v>
      </c>
      <c r="BR23" s="65" t="str">
        <f>IF(ISERROR(IF(BQ23="","",VLOOKUP(($BH23&amp;BQ23&amp;"Template de desconto FLAT bundle - Velox XDSL - Varejo"),[8]BENEFICIOS!$A:$E,5,0))),"Criar",IF(BQ23="","",VLOOKUP(($BH23&amp;BQ23&amp;"Template de desconto FLAT bundle - Velox XDSL - Varejo"),[8]BENEFICIOS!$A:$E,5,0)))</f>
        <v>MKT-1-9865126733</v>
      </c>
      <c r="BS23" s="68" t="s">
        <v>161</v>
      </c>
      <c r="BT23" s="69">
        <v>44.9</v>
      </c>
      <c r="BU23" s="64">
        <f>IF(BT23=0,"",IF(BT23=VLOOKUP("PCS-30577g",[8]ARBOR!$A:$C,3,0),0.0001,IF(BT23&gt;VLOOKUP("PCS-30577g",[8]ARBOR!$A:$C,3,0),"Maior que CAP!",IF((DOLLAR(BT23+(VLOOKUP("PCS-30577g",[8]ARBOR!$A:$C,3,0)*-TRUNC(BT23/VLOOKUP("PCS-30577g",[8]ARBOR!$A:$C,3,0)-1,4)),6))&lt;&gt;(DOLLAR(VLOOKUP("PCS-30577g",[8]ARBOR!$A:$C,3,0),6)),-TRUNC(BT23/VLOOKUP("PCS-30577g",[8]ARBOR!$A:$C,3,0)-1,4)+0.0001,-TRUNC(BT23/VLOOKUP("PCS-30577g",[8]ARBOR!$A:$C,3,0)-1,4)))))</f>
        <v>0.53679999999999994</v>
      </c>
      <c r="BV23" s="65" t="str">
        <f>IF(ISERROR(IF(BU23="","",VLOOKUP(($BH23&amp;BU23&amp;"Template de desconto FLAT bundle - Velox XDSL - Varejo"),[8]BENEFICIOS!$A:$E,5,0))),"Criar",IF(BU23="","",VLOOKUP(($BH23&amp;BU23&amp;"Template de desconto FLAT bundle - Velox XDSL - Varejo"),[8]BENEFICIOS!$A:$E,5,0)))</f>
        <v>MKT-1-9865126733</v>
      </c>
      <c r="BW23" s="68" t="s">
        <v>161</v>
      </c>
      <c r="BX23" s="69">
        <v>44.9</v>
      </c>
      <c r="BY23" s="64">
        <f>IF(BX23=0,"",IF(BX23=VLOOKUP("PCS-30604g",[8]ARBOR!$A:$C,3,0),0.0001,IF(BX23&gt;VLOOKUP("PCS-30604g",[8]ARBOR!$A:$C,3,0),"Maior que CAP!",IF((DOLLAR(BX23+(VLOOKUP("PCS-30604g",[8]ARBOR!$A:$C,3,0)*-TRUNC(BX23/VLOOKUP("PCS-30604g",[8]ARBOR!$A:$C,3,0)-1,4)),6))&lt;&gt;(DOLLAR(VLOOKUP("PCS-30604g",[8]ARBOR!$A:$C,3,0),6)),-TRUNC(BX23/VLOOKUP("PCS-30604g",[8]ARBOR!$A:$C,3,0)-1,4)+0.0001,-TRUNC(BX23/VLOOKUP("PCS-30604g",[8]ARBOR!$A:$C,3,0)-1,4)))))</f>
        <v>0.53679999999999994</v>
      </c>
      <c r="BZ23" s="65" t="str">
        <f>IF(ISERROR(IF(BY23="","",VLOOKUP(($BH23&amp;BY23&amp;"Template de desconto FLAT bundle - Velox XDSL - Varejo"),[8]BENEFICIOS!$A:$E,5,0))),"Criar",IF(BY23="","",VLOOKUP(($BH23&amp;BY23&amp;"Template de desconto FLAT bundle - Velox XDSL - Varejo"),[8]BENEFICIOS!$A:$E,5,0)))</f>
        <v>MKT-1-9865126733</v>
      </c>
      <c r="CA23" s="68" t="s">
        <v>161</v>
      </c>
      <c r="CB23" s="69">
        <v>44.9</v>
      </c>
      <c r="CC23" s="64">
        <f>IF(CB23=0,"",IF(CB23=VLOOKUP("PCS-30631g",[8]ARBOR!$A:$C,3,0),0.0001,IF(CB23&gt;VLOOKUP("PCS-30631g",[8]ARBOR!$A:$C,3,0),"Maior que CAP!",IF((DOLLAR(CB23+(VLOOKUP("PCS-30631g",[8]ARBOR!$A:$C,3,0)*-TRUNC(CB23/VLOOKUP("PCS-30631g",[8]ARBOR!$A:$C,3,0)-1,4)),6))&lt;&gt;(DOLLAR(VLOOKUP("PCS-30631g",[8]ARBOR!$A:$C,3,0),6)),-TRUNC(CB23/VLOOKUP("PCS-30631g",[8]ARBOR!$A:$C,3,0)-1,4)+0.0001,-TRUNC(CB23/VLOOKUP("PCS-30631g",[8]ARBOR!$A:$C,3,0)-1,4)))))</f>
        <v>0.54310000000000003</v>
      </c>
      <c r="CD23" s="65" t="str">
        <f>IF(ISERROR(IF(CC23="","",VLOOKUP(($BH23&amp;CC23&amp;"Template de desconto FLAT bundle - Velox XDSL - Varejo"),[8]BENEFICIOS!$A:$E,5,0))),"Criar",IF(CC23="","",VLOOKUP(($BH23&amp;CC23&amp;"Template de desconto FLAT bundle - Velox XDSL - Varejo"),[8]BENEFICIOS!$A:$E,5,0)))</f>
        <v>MKT-1-9865126826</v>
      </c>
      <c r="CE23" s="68"/>
      <c r="CF23" s="69"/>
      <c r="CG23" s="64" t="str">
        <f>IF(CF23=0,"",IF(CF23=VLOOKUP("PCS-30658g",[8]ARBOR!$A:$C,3,0),0.0001,IF(CF23&gt;VLOOKUP("PCS-30658g",[8]ARBOR!$A:$C,3,0),"Maior que CAP!",IF((DOLLAR(CF23+(VLOOKUP("PCS-30658g",[8]ARBOR!$A:$C,3,0)*-TRUNC(CF23/VLOOKUP("PCS-30658g",[8]ARBOR!$A:$C,3,0)-1,4)),6))&lt;&gt;(DOLLAR(VLOOKUP("PCS-30658g",[8]ARBOR!$A:$C,3,0),6)),-TRUNC(CF23/VLOOKUP("PCS-30658g",[8]ARBOR!$A:$C,3,0)-1,4)+0.0001,-TRUNC(CF23/VLOOKUP("PCS-30658g",[8]ARBOR!$A:$C,3,0)-1,4)))))</f>
        <v/>
      </c>
      <c r="CH23" s="65" t="str">
        <f>IF(ISERROR(IF(CG23="","",VLOOKUP(($BH23&amp;CG23&amp;"Template de desconto FLAT bundle - Velox XDSL - Varejo"),[8]BENEFICIOS!$A:$E,5,0))),"Criar",IF(CG23="","",VLOOKUP(($BH23&amp;CG23&amp;"Template de desconto FLAT bundle - Velox XDSL - Varejo"),[8]BENEFICIOS!$A:$E,5,0)))</f>
        <v/>
      </c>
      <c r="CI23" s="68"/>
      <c r="CJ23" s="69"/>
      <c r="CK23" s="64" t="str">
        <f>IF(CJ23=0,"",IF(CJ23=VLOOKUP("PCS-30685g",[8]ARBOR!$A:$C,3,0),0.0001,IF(CJ23&gt;VLOOKUP("PCS-30685g",[8]ARBOR!$A:$C,3,0),"Maior que CAP!",IF((DOLLAR(CJ23+(VLOOKUP("PCS-30685g",[8]ARBOR!$A:$C,3,0)*-TRUNC(CJ23/VLOOKUP("PCS-30685g",[8]ARBOR!$A:$C,3,0)-1,4)),6))&lt;&gt;(DOLLAR(VLOOKUP("PCS-30685g",[8]ARBOR!$A:$C,3,0),6)),-TRUNC(CJ23/VLOOKUP("PCS-30685g",[8]ARBOR!$A:$C,3,0)-1,4)+0.0001,-TRUNC(CJ23/VLOOKUP("PCS-30685g",[8]ARBOR!$A:$C,3,0)-1,4)))))</f>
        <v/>
      </c>
      <c r="CL23" s="65" t="str">
        <f>IF(ISERROR(IF(CK23="","",VLOOKUP(($BH23&amp;CK23&amp;"Template de desconto FLAT bundle - Velox XDSL - Varejo"),[8]BENEFICIOS!$A:$E,5,0))),"Criar",IF(CK23="","",VLOOKUP(($BH23&amp;CK23&amp;"Template de desconto FLAT bundle - Velox XDSL - Varejo"),[8]BENEFICIOS!$A:$E,5,0)))</f>
        <v/>
      </c>
      <c r="CM23" s="68"/>
      <c r="CN23" s="69"/>
      <c r="CO23" s="64" t="str">
        <f>IF(CN23=0,"",IF(CN23=VLOOKUP("PCS-30712g",[8]ARBOR!$A:$C,3,0),0.0001,IF(CN23&gt;VLOOKUP("PCS-30712g",[8]ARBOR!$A:$C,3,0),"Maior que CAP!",IF((DOLLAR(CN23+(VLOOKUP("PCS-30712g",[8]ARBOR!$A:$C,3,0)*-TRUNC(CN23/VLOOKUP("PCS-30712g",[8]ARBOR!$A:$C,3,0)-1,4)),6))&lt;&gt;(DOLLAR(VLOOKUP("PCS-30712g",[8]ARBOR!$A:$C,3,0),6)),-TRUNC(CN23/VLOOKUP("PCS-30712g",[8]ARBOR!$A:$C,3,0)-1,4)+0.0001,-TRUNC(CN23/VLOOKUP("PCS-30712g",[8]ARBOR!$A:$C,3,0)-1,4)))))</f>
        <v/>
      </c>
      <c r="CP23" s="65" t="str">
        <f>IF(ISERROR(IF(CO23="","",VLOOKUP(($BH23&amp;CO23&amp;"Template de desconto FLAT bundle - Velox XDSL - Varejo"),[8]BENEFICIOS!$A:$E,5,0))),"Criar",IF(CO23="","",VLOOKUP(($BH23&amp;CO23&amp;"Template de desconto FLAT bundle - Velox XDSL - Varejo"),[8]BENEFICIOS!$A:$E,5,0)))</f>
        <v/>
      </c>
      <c r="CQ23" s="68"/>
      <c r="CR23" s="69"/>
      <c r="CS23" s="64" t="str">
        <f>IF(CR23=0,"",IF(CR23=VLOOKUP("PCS-30739g",[8]ARBOR!$A:$C,3,0),0.0001,IF(CR23&gt;VLOOKUP("PCS-30739g",[8]ARBOR!$A:$C,3,0),"Maior que CAP!",IF((DOLLAR(CR23+(VLOOKUP("PCS-30739g",[8]ARBOR!$A:$C,3,0)*-TRUNC(CR23/VLOOKUP("PCS-30739g",[8]ARBOR!$A:$C,3,0)-1,4)),6))&lt;&gt;(DOLLAR(VLOOKUP("PCS-30739g",[8]ARBOR!$A:$C,3,0),6)),-TRUNC(CR23/VLOOKUP("PCS-30739g",[8]ARBOR!$A:$C,3,0)-1,4)+0.0001,-TRUNC(CR23/VLOOKUP("PCS-30739g",[8]ARBOR!$A:$C,3,0)-1,4)))))</f>
        <v/>
      </c>
      <c r="CT23" s="65" t="str">
        <f>IF(ISERROR(IF(CS23="","",VLOOKUP(($BH23&amp;CS23&amp;"Template de desconto FLAT bundle - Velox XDSL - Varejo"),[8]BENEFICIOS!$A:$E,5,0))),"Criar",IF(CS23="","",VLOOKUP(($BH23&amp;CS23&amp;"Template de desconto FLAT bundle - Velox XDSL - Varejo"),[8]BENEFICIOS!$A:$E,5,0)))</f>
        <v/>
      </c>
      <c r="CU23" s="69"/>
      <c r="CV23" s="70"/>
      <c r="CW23" s="64"/>
      <c r="CX23" s="65"/>
      <c r="CY23" s="68"/>
      <c r="CZ23" s="69"/>
      <c r="DA23" s="64" t="str">
        <f>IF(CZ23=0,"",IF(CZ23=VLOOKUP("PCS-30766g",[8]ARBOR!$A:$C,3,0),0.0001,IF(CZ23&gt;VLOOKUP("PCS-30766g",[8]ARBOR!$A:$C,3,0),"Maior que CAP!",IF((DOLLAR(CZ23+(VLOOKUP("PCS-30766g",[8]ARBOR!$A:$C,3,0)*-TRUNC(CZ23/VLOOKUP("PCS-30766g",[8]ARBOR!$A:$C,3,0)-1,4)),6))&lt;&gt;(DOLLAR(VLOOKUP("PCS-30766g",[8]ARBOR!$A:$C,3,0),6)),-TRUNC(CZ23/VLOOKUP("PCS-30766g",[8]ARBOR!$A:$C,3,0)-1,4)+0.0001,-TRUNC(CZ23/VLOOKUP("PCS-30766g",[8]ARBOR!$A:$C,3,0)-1,4)))))</f>
        <v/>
      </c>
      <c r="DB23" s="65" t="str">
        <f>IF(ISERROR(IF(DA23="","",VLOOKUP(($BH23&amp;DA23&amp;"Template de desconto FLAT bundle - Velox XDSL - Varejo"),[8]BENEFICIOS!$A:$E,5,0))),"Criar",IF(DA23="","",VLOOKUP(($BH23&amp;DA23&amp;"Template de desconto FLAT bundle - Velox XDSL - Varejo"),[8]BENEFICIOS!$A:$E,5,0)))</f>
        <v/>
      </c>
      <c r="DC23" s="69"/>
      <c r="DD23" s="70"/>
      <c r="DE23" s="64"/>
      <c r="DF23" s="65"/>
      <c r="DG23" s="68"/>
      <c r="DH23" s="69"/>
      <c r="DI23" s="64" t="str">
        <f>IF(DH23=0,"",IF(DH23=VLOOKUP("PCS-30793g",[8]ARBOR!$A:$C,3,0),0.0001,IF(DH23&gt;VLOOKUP("PCS-30793g",[8]ARBOR!$A:$C,3,0),"Maior que CAP!",IF((DOLLAR(DH23+(VLOOKUP("PCS-30793g",[8]ARBOR!$A:$C,3,0)*-TRUNC(DH23/VLOOKUP("PCS-30793g",[8]ARBOR!$A:$C,3,0)-1,4)),6))&lt;&gt;(DOLLAR(VLOOKUP("PCS-30793g",[8]ARBOR!$A:$C,3,0),6)),-TRUNC(DH23/VLOOKUP("PCS-30793g",[8]ARBOR!$A:$C,3,0)-1,4)+0.0001,-TRUNC(DH23/VLOOKUP("PCS-30793g",[8]ARBOR!$A:$C,3,0)-1,4)))))</f>
        <v/>
      </c>
      <c r="DJ23" s="65" t="str">
        <f>IF(ISERROR(IF(DI23="","",VLOOKUP(($BH23&amp;DI23&amp;"Template de desconto FLAT bundle - Velox XDSL - Varejo"),[8]BENEFICIOS!$A:$E,5,0))),"Criar",IF(DI23="","",VLOOKUP(($BH23&amp;DI23&amp;"Template de desconto FLAT bundle - Velox XDSL - Varejo"),[8]BENEFICIOS!$A:$E,5,0)))</f>
        <v/>
      </c>
      <c r="DK23" s="69"/>
      <c r="DL23" s="70"/>
      <c r="DM23" s="64"/>
      <c r="DN23" s="65"/>
      <c r="DO23" s="68"/>
      <c r="DP23" s="69"/>
      <c r="DQ23" s="64" t="str">
        <f>IF(DP23=0,"",IF(DP23=VLOOKUP("PCS-30820g",[8]ARBOR!$A:$C,3,0),0.0001,IF(DP23&gt;VLOOKUP("PCS-30820g",[8]ARBOR!$A:$C,3,0),"Maior que CAP!",IF((DOLLAR(DP23+(VLOOKUP("PCS-30820g",[8]ARBOR!$A:$C,3,0)*-TRUNC(DP23/VLOOKUP("PCS-30820g",[8]ARBOR!$A:$C,3,0)-1,4)),6))&lt;&gt;(DOLLAR(VLOOKUP("PCS-30820g",[8]ARBOR!$A:$C,3,0),6)),-TRUNC(DP23/VLOOKUP("PCS-30820g",[8]ARBOR!$A:$C,3,0)-1,4)+0.0001,-TRUNC(DP23/VLOOKUP("PCS-30820g",[8]ARBOR!$A:$C,3,0)-1,4)))))</f>
        <v/>
      </c>
      <c r="DR23" s="65" t="str">
        <f>IF(ISERROR(IF(DQ23="","",VLOOKUP(($BH23&amp;DQ23&amp;"Template de desconto FLAT bundle - Velox XDSL - Varejo"),[8]BENEFICIOS!$A:$E,5,0))),"Criar",IF(DQ23="","",VLOOKUP(($BH23&amp;DQ23&amp;"Template de desconto FLAT bundle - Velox XDSL - Varejo"),[8]BENEFICIOS!$A:$E,5,0)))</f>
        <v/>
      </c>
      <c r="DS23" s="69"/>
      <c r="DT23" s="70"/>
      <c r="DU23" s="64"/>
      <c r="DV23" s="65"/>
      <c r="DW23" s="71">
        <v>44.9</v>
      </c>
      <c r="DX23" s="64">
        <f>IF(DW23=0,"",IF(DW23=VLOOKUP("PCS-21448p2",[8]ARBOR!$A:$C,3,0),0.0001,IF(DW23&gt;VLOOKUP("PCS-21448p2",[8]ARBOR!$A:$C,3,0),"Maior que CAP!",IF((DOLLAR(DW23+(VLOOKUP("PCS-21448p2",[8]ARBOR!$A:$C,3,0)*-TRUNC(DW23/VLOOKUP("PCS-21448p2",[8]ARBOR!$A:$C,3,0)-1,4)),6))&lt;&gt;(DOLLAR(VLOOKUP("PCS-21448p2",[8]ARBOR!$A:$C,3,0),6)),-TRUNC(DW23/VLOOKUP("PCS-21448p2",[8]ARBOR!$A:$C,3,0)-1,4)+0.0001,-TRUNC(DW23/VLOOKUP("PCS-21448p2",[8]ARBOR!$A:$C,3,0)-1,4)))))</f>
        <v>0.64900000000000002</v>
      </c>
      <c r="DY23" s="65" t="str">
        <f>IF(ISERROR(IF(DX23="","",VLOOKUP(("Oi Conta Total Plug 10GB Downgrade"&amp;DX23&amp;"Template de desconto percentual BL Móvel - Internet Total - Varejo"),[8]BENEFICIOS!$A:$E,5,0))),"Criar",IF(DX23="","",VLOOKUP(("Oi Conta Total Plug 10GB Downgrade"&amp;DX23&amp;"Template de desconto percentual BL Móvel - Internet Total - Varejo"),[8]BENEFICIOS!$A:$E,5,0)))</f>
        <v>MKT-1-9825544790</v>
      </c>
      <c r="DZ23" s="71">
        <v>16.5</v>
      </c>
      <c r="EA23" s="72">
        <f>IF(DZ23=0,"",IF(DZ23=VLOOKUP("SVA",[8]ARBOR!$A:$C,3,0),0.0001,IF(DZ23&gt;VLOOKUP("SVA",[8]ARBOR!$A:$C,3,0),"Maior que CAP!",IF((DOLLAR(DZ23+(VLOOKUP("SVA",[8]ARBOR!$A:$C,3,0)*-TRUNC(DZ23/VLOOKUP("SVA",[8]ARBOR!$A:$C,3,0)-1,4)),6))&lt;&gt;(DOLLAR(VLOOKUP("SVA",[8]ARBOR!$A:$C,3,0),6)),-TRUNC(DZ23/VLOOKUP("SVA",[8]ARBOR!$A:$C,3,0)-1,4)+0.0001,-TRUNC(DZ23/VLOOKUP("SVA",[8]ARBOR!$A:$C,3,0)-1,4)))))</f>
        <v>0.2301</v>
      </c>
      <c r="EB23" s="65" t="s">
        <v>223</v>
      </c>
      <c r="EC23" s="69"/>
      <c r="ED23" s="73"/>
      <c r="EE23" s="74"/>
      <c r="EF23" s="65"/>
      <c r="EG23" s="75">
        <f>IF(BI23="","",VLOOKUP(BI23,[8]ARBOR!A:C,3,0))</f>
        <v>479.46</v>
      </c>
      <c r="EH23" s="69">
        <v>15</v>
      </c>
      <c r="EI23" s="76">
        <f>IF(EH23="","",1-(EH23/VLOOKUP(BI23&amp;"ASS",[8]ARBOR!A:C,3,0)))</f>
        <v>0.34725848563968664</v>
      </c>
      <c r="EJ23" s="77" t="s">
        <v>224</v>
      </c>
      <c r="EK23" s="78" t="s">
        <v>225</v>
      </c>
      <c r="EL23" s="69">
        <v>144.97999999999999</v>
      </c>
      <c r="EM23" s="64">
        <f>IF(EL23=0,"",IF(EL23=EG23,0.0001,ROUND(1-((EL23+(VLOOKUP(BI23&amp;"ASS",[8]ARBOR!A:C,3,0)-EH23))/EG23),4)))</f>
        <v>0.68100000000000005</v>
      </c>
      <c r="EN23" s="65" t="str">
        <f>IF(ISERROR(IF(EM23="","",VLOOKUP(($BH23&amp;EM23&amp;"Template de desconto percentual FLAT Móvel - Conta Total - Varejo - Ganho Tributário Cross"),[8]BENEFICIOS!$A:$E,5,0))),"Criar",IF(EM23="","",VLOOKUP(($BH23&amp;EM23&amp;"Template de desconto percentual FLAT Móvel - Conta Total - Varejo - Ganho Tributário Cross"),[8]BENEFICIOS!$A:$E,5,0)))</f>
        <v>MKT-1-10032167861</v>
      </c>
      <c r="EO23" s="79"/>
      <c r="EP23" s="64"/>
      <c r="EQ23" s="72"/>
      <c r="ER23" s="72"/>
      <c r="ES23" s="64"/>
      <c r="ET23" s="80"/>
      <c r="EU23" s="81" t="s">
        <v>244</v>
      </c>
      <c r="EV23" s="81" t="s">
        <v>261</v>
      </c>
      <c r="EW23" s="82"/>
      <c r="EX23" s="83"/>
      <c r="EY23" s="84"/>
      <c r="EZ23" s="82"/>
      <c r="FA23" s="83"/>
      <c r="FB23" s="84"/>
      <c r="FC23" s="82"/>
      <c r="FD23" s="83" t="str">
        <f>IF(FC23=0,"",IF(FC23=VLOOKUP("PCS-10357",[8]ARBOR!$A:$C,3,0),0.0001,IF(FC23&gt;VLOOKUP("PCS-10357",[8]ARBOR!$A:$C,3,0),"Maior que CAP!",ROUND(-1*(FC23/VLOOKUP("PCS-10357",[8]ARBOR!$A:$C,3,0)-1),4))))</f>
        <v/>
      </c>
      <c r="FE23" s="84" t="str">
        <f>IF(ISERROR(IF(FD23="","",VLOOKUP(("Oi Internet Pra Celular 1GB"&amp;FD23&amp;"Template Flat Instância Dados"),[8]BENEFICIOS!$A:$E,5,0))),"Criar",IF(FD23="","",VLOOKUP(("Oi Internet Pra Celular 1GB"&amp;FD23&amp;"Template Flat Instância Dados"),[8]BENEFICIOS!$A:$E,5,0)))</f>
        <v/>
      </c>
      <c r="FF23" s="82"/>
      <c r="FG23" s="83" t="str">
        <f>IF(FF23=0,"",IF(FF23=VLOOKUP("PCS-813565",[8]ARBOR!$A:$C,3,0),0.0001,IF(FF23&gt;VLOOKUP("PCS-813565",[8]ARBOR!$A:$C,3,0),"Maior que CAP!",ROUND(-1*(FF23/VLOOKUP("PCS-813565",[8]ARBOR!$A:$C,3,0)-1),4))))</f>
        <v/>
      </c>
      <c r="FH23" s="84" t="str">
        <f>IF(ISERROR(IF(FG23="","",VLOOKUP(("Oi Internet Pra Celular 2GB"&amp;FG23&amp;"Template Flat Instância Dados"),[8]BENEFICIOS!$A:$E,5,0))),"Criar",IF(FG23="","",VLOOKUP(("Oi Internet Pra Celular 2GB"&amp;FG23&amp;"Template Flat Instância Dados"),[8]BENEFICIOS!$A:$E,5,0)))</f>
        <v/>
      </c>
      <c r="FI23" s="82"/>
      <c r="FJ23" s="83" t="str">
        <f>IF(FI23=0,"",IF(FI23=VLOOKUP("PCS-7171B",[8]ARBOR!$A:$C,3,0),0.0001,IF(FI23&gt;VLOOKUP("PCS-7171B",[8]ARBOR!$A:$C,3,0),"Maior que CAP!",ROUND(-1*(FI23/VLOOKUP("PCS-7171B",[8]ARBOR!$A:$C,3,0)-1),4))))</f>
        <v/>
      </c>
      <c r="FK23" s="84" t="str">
        <f>IF(ISERROR(IF(FJ23="","",VLOOKUP(("Oi Internet Pra Celular 3GB"&amp;FJ23&amp;"Template Flat Instância Dados"),[8]BENEFICIOS!$A:$E,5,0))),"Criar",IF(FJ23="","",VLOOKUP(("Oi Internet Pra Celular 3GB"&amp;FJ23&amp;"Template Flat Instância Dados"),[8]BENEFICIOS!$A:$E,5,0)))</f>
        <v/>
      </c>
      <c r="FL23" s="82">
        <v>14.92</v>
      </c>
      <c r="FM23" s="83">
        <f>IF(FL23=0,"",IF(FL23=VLOOKUP("PCS-51793o08",[8]ARBOR!$A:$C,3,0),0.0001,IF(FL23&gt;VLOOKUP("PCS-51793o08",[8]ARBOR!$A:$C,3,0),"Maior que CAP!",ROUND(-1*(FL23/VLOOKUP("PCS-51793o08",[8]ARBOR!$A:$C,3,0)-1),4))))</f>
        <v>0.89500000000000002</v>
      </c>
      <c r="FN23" s="84" t="str">
        <f>IF(ISERROR(IF(FM23="","",VLOOKUP(("Oi Internet Pra Celular 5GB"&amp;FM23&amp;"Template Flat Instância Dados"),[8]BENEFICIOS!$A:$E,5,0))),"Criar",IF(FM23="","",VLOOKUP(("Oi Internet Pra Celular 5GB"&amp;FM23&amp;"Template Flat Instância Dados"),[8]BENEFICIOS!$A:$E,5,0)))</f>
        <v>MKT-1-9870312709</v>
      </c>
      <c r="FO23" s="82"/>
      <c r="FP23" s="83" t="str">
        <f>IF(FO23=0,"",IF(FO23=VLOOKUP("PCS-7171A",[8]ARBOR!$A:$C,3,0),0.0001,IF(FO23&gt;VLOOKUP("PCS-7171A",[8]ARBOR!$A:$C,3,0),"Maior que CAP!",ROUND(-1*(FO23/VLOOKUP("PCS-7171A",[8]ARBOR!$A:$C,3,0)-1),4))))</f>
        <v/>
      </c>
      <c r="FQ23" s="84" t="str">
        <f>IF(ISERROR(IF(FP23="","",VLOOKUP(("Oi Internet Pra Celular 10GB"&amp;FP23&amp;"Template Flat Instância Dados"),[8]BENEFICIOS!$A:$E,5,0))),"Criar",IF(FP23="","",VLOOKUP(("Oi Internet Pra Celular 10GB"&amp;FP23&amp;"Template Flat Instância Dados"),[8]BENEFICIOS!$A:$E,5,0)))</f>
        <v/>
      </c>
      <c r="FR23" s="85">
        <v>0.74260000000000004</v>
      </c>
      <c r="FS23" s="86" t="s">
        <v>262</v>
      </c>
      <c r="FT23" s="48"/>
      <c r="FU23" s="87"/>
      <c r="FV23" s="88" t="s">
        <v>221</v>
      </c>
      <c r="FW23" s="49" t="s">
        <v>226</v>
      </c>
      <c r="FX23" s="89">
        <v>999</v>
      </c>
      <c r="FY23" s="49">
        <v>12</v>
      </c>
      <c r="FZ23" s="90" t="s">
        <v>227</v>
      </c>
      <c r="GA23" s="91" t="str">
        <f t="shared" si="1"/>
        <v>PCS-Fk83324</v>
      </c>
      <c r="GB23" s="92" t="str">
        <f t="shared" si="2"/>
        <v>PCS-SBL553142</v>
      </c>
      <c r="GC23" s="93" t="s">
        <v>228</v>
      </c>
      <c r="GD23" s="90" t="s">
        <v>229</v>
      </c>
      <c r="GE23" s="92" t="s">
        <v>230</v>
      </c>
      <c r="GF23" s="93" t="s">
        <v>231</v>
      </c>
      <c r="GG23" s="90" t="s">
        <v>232</v>
      </c>
      <c r="GH23" s="92" t="s">
        <v>233</v>
      </c>
      <c r="GI23" s="94" t="s">
        <v>234</v>
      </c>
      <c r="GJ23" s="95">
        <f>FL23+EL23+DW23+BJ23</f>
        <v>254.89999999999998</v>
      </c>
      <c r="GK23" s="96"/>
      <c r="GL23" s="97" t="s">
        <v>235</v>
      </c>
      <c r="GM23" s="98" t="s">
        <v>272</v>
      </c>
      <c r="GN23" s="97">
        <v>20.350000000000001</v>
      </c>
      <c r="GO23" s="99">
        <v>5.24</v>
      </c>
      <c r="GP23" s="76">
        <v>0.74250000000000005</v>
      </c>
      <c r="GQ23" s="97">
        <v>15.1</v>
      </c>
      <c r="GR23" s="97">
        <v>5.2500000000000018</v>
      </c>
      <c r="GS23" s="101"/>
      <c r="GT23" s="101"/>
      <c r="GU23" s="102" t="b">
        <v>0</v>
      </c>
      <c r="GV23" s="103">
        <v>1.0000000000001563E-2</v>
      </c>
      <c r="GW23" s="44" t="s">
        <v>289</v>
      </c>
      <c r="GX23" s="44" t="s">
        <v>238</v>
      </c>
    </row>
    <row r="24" spans="1:206" s="44" customFormat="1" x14ac:dyDescent="0.35">
      <c r="A24" s="44" t="str">
        <f t="shared" si="0"/>
        <v>Oi Total Fixo + Pós 800 + Banda LargaN25GBMG</v>
      </c>
      <c r="B24" s="45" t="s">
        <v>211</v>
      </c>
      <c r="C24" s="46" t="s">
        <v>127</v>
      </c>
      <c r="D24" s="46" t="s">
        <v>212</v>
      </c>
      <c r="E24" s="47" t="s">
        <v>213</v>
      </c>
      <c r="F24" s="88" t="s">
        <v>214</v>
      </c>
      <c r="G24" s="49"/>
      <c r="H24" s="49"/>
      <c r="I24" s="49"/>
      <c r="J24" s="49" t="s">
        <v>214</v>
      </c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 t="s">
        <v>214</v>
      </c>
      <c r="AC24" s="49" t="s">
        <v>214</v>
      </c>
      <c r="AD24" s="49" t="s">
        <v>214</v>
      </c>
      <c r="AE24" s="49" t="s">
        <v>214</v>
      </c>
      <c r="AF24" s="49" t="s">
        <v>214</v>
      </c>
      <c r="AG24" s="49" t="s">
        <v>214</v>
      </c>
      <c r="AH24" s="50"/>
      <c r="AI24" s="49" t="s">
        <v>214</v>
      </c>
      <c r="AJ24" s="49" t="s">
        <v>214</v>
      </c>
      <c r="AK24" s="49" t="s">
        <v>214</v>
      </c>
      <c r="AL24" s="49" t="s">
        <v>214</v>
      </c>
      <c r="AM24" s="49" t="s">
        <v>214</v>
      </c>
      <c r="AN24" s="49" t="s">
        <v>214</v>
      </c>
      <c r="AO24" s="49" t="s">
        <v>214</v>
      </c>
      <c r="AP24" s="49"/>
      <c r="AQ24" s="51"/>
      <c r="AR24" s="52" t="s">
        <v>290</v>
      </c>
      <c r="AS24" s="46" t="s">
        <v>216</v>
      </c>
      <c r="AT24" s="53" t="s">
        <v>217</v>
      </c>
      <c r="AU24" s="54">
        <v>42972</v>
      </c>
      <c r="AV24" s="105">
        <v>43097</v>
      </c>
      <c r="AW24" s="56" t="s">
        <v>218</v>
      </c>
      <c r="AX24" s="57" t="s">
        <v>218</v>
      </c>
      <c r="AY24" s="58"/>
      <c r="AZ24" s="58" t="s">
        <v>219</v>
      </c>
      <c r="BA24" s="58">
        <v>20</v>
      </c>
      <c r="BB24" s="58">
        <v>10000</v>
      </c>
      <c r="BC24" s="59" t="s">
        <v>220</v>
      </c>
      <c r="BD24" s="60" t="s">
        <v>221</v>
      </c>
      <c r="BE24" s="58" t="s">
        <v>213</v>
      </c>
      <c r="BF24" s="51" t="s">
        <v>213</v>
      </c>
      <c r="BG24" s="45" t="s">
        <v>290</v>
      </c>
      <c r="BH24" s="61" t="s">
        <v>222</v>
      </c>
      <c r="BI24" s="62" t="str">
        <f>IF(ISERROR(VLOOKUP(BH24,[8]PLANOS!B:C,2,0)),"",VLOOKUP(BH24,[8]PLANOS!B:C,2,0))</f>
        <v>PCS-4P6pi</v>
      </c>
      <c r="BJ24" s="63">
        <v>50.1</v>
      </c>
      <c r="BK24" s="64">
        <f>IF(BJ24=0,"",IF(BJ24=VLOOKUP("FIXO",[8]ARBOR!$A:$C,3,0),0.0001,IF(BJ24&gt;VLOOKUP("FIXO",[8]ARBOR!$A:$C,3,0),"Maior que CAP!",IF((DOLLAR(BJ24+(VLOOKUP("FIXO",[8]ARBOR!$A:$C,3,0)*-TRUNC(BJ24/VLOOKUP("FIXO",[8]ARBOR!$A:$C,3,0)-1,4)),6))&lt;&gt;(DOLLAR(VLOOKUP("FIXO",[8]ARBOR!$A:$C,3,0),6)),-TRUNC(BJ24/VLOOKUP("FIXO",[8]ARBOR!$A:$C,3,0)-1,4)+0.0001,-TRUNC(BJ24/VLOOKUP("FIXO",[8]ARBOR!$A:$C,3,0)-1,4)))))</f>
        <v>0.33939999999999998</v>
      </c>
      <c r="BL24" s="65" t="str">
        <f>IF(ISERROR(IF(BK24="","",VLOOKUP(($BH24&amp;BK24&amp;"Template de desconto FLAT bundle - Fixo - Varejo - Ganho Tributário Cross"),[8]BENEFICIOS!$A:$E,5,0))),"Criar",IF(BK24="","",VLOOKUP(($BH24&amp;BK24&amp;"Template de desconto FLAT bundle - Fixo - Varejo - Ganho Tributário Cross"),[8]BENEFICIOS!$A:$E,5,0)))</f>
        <v>MKT-1-9856472058</v>
      </c>
      <c r="BM24" s="66"/>
      <c r="BN24" s="67"/>
      <c r="BO24" s="104" t="s">
        <v>240</v>
      </c>
      <c r="BP24" s="69">
        <v>44.9</v>
      </c>
      <c r="BQ24" s="64">
        <f>IF(BP24=0,"",IF(BP24=VLOOKUP("PCS-30874g",[8]ARBOR!$A:$C,3,0),0.0001,IF(BP24&gt;VLOOKUP("PCS-30874g",[8]ARBOR!$A:$C,3,0),"Maior que CAP!",IF((DOLLAR(BP24+(VLOOKUP("PCS-30874g",[8]ARBOR!$A:$C,3,0)*-TRUNC(BP24/VLOOKUP("PCS-30874g",[8]ARBOR!$A:$C,3,0)-1,4)),6))&lt;&gt;(DOLLAR(VLOOKUP("PCS-30874g",[8]ARBOR!$A:$C,3,0),6)),-TRUNC(BP24/VLOOKUP("PCS-30874g",[8]ARBOR!$A:$C,3,0)-1,4)+0.0001,-TRUNC(BP24/VLOOKUP("PCS-30874g",[8]ARBOR!$A:$C,3,0)-1,4)))))</f>
        <v>0.53679999999999994</v>
      </c>
      <c r="BR24" s="65" t="str">
        <f>IF(ISERROR(IF(BQ24="","",VLOOKUP(($BH24&amp;BQ24&amp;"Template de desconto FLAT bundle - Velox XDSL - Varejo"),[8]BENEFICIOS!$A:$E,5,0))),"Criar",IF(BQ24="","",VLOOKUP(($BH24&amp;BQ24&amp;"Template de desconto FLAT bundle - Velox XDSL - Varejo"),[8]BENEFICIOS!$A:$E,5,0)))</f>
        <v>MKT-1-9865126733</v>
      </c>
      <c r="BS24" s="104" t="s">
        <v>240</v>
      </c>
      <c r="BT24" s="69">
        <v>44.9</v>
      </c>
      <c r="BU24" s="64">
        <f>IF(BT24=0,"",IF(BT24=VLOOKUP("PCS-30577g",[8]ARBOR!$A:$C,3,0),0.0001,IF(BT24&gt;VLOOKUP("PCS-30577g",[8]ARBOR!$A:$C,3,0),"Maior que CAP!",IF((DOLLAR(BT24+(VLOOKUP("PCS-30577g",[8]ARBOR!$A:$C,3,0)*-TRUNC(BT24/VLOOKUP("PCS-30577g",[8]ARBOR!$A:$C,3,0)-1,4)),6))&lt;&gt;(DOLLAR(VLOOKUP("PCS-30577g",[8]ARBOR!$A:$C,3,0),6)),-TRUNC(BT24/VLOOKUP("PCS-30577g",[8]ARBOR!$A:$C,3,0)-1,4)+0.0001,-TRUNC(BT24/VLOOKUP("PCS-30577g",[8]ARBOR!$A:$C,3,0)-1,4)))))</f>
        <v>0.53679999999999994</v>
      </c>
      <c r="BV24" s="65" t="str">
        <f>IF(ISERROR(IF(BU24="","",VLOOKUP(($BH24&amp;BU24&amp;"Template de desconto FLAT bundle - Velox XDSL - Varejo"),[8]BENEFICIOS!$A:$E,5,0))),"Criar",IF(BU24="","",VLOOKUP(($BH24&amp;BU24&amp;"Template de desconto FLAT bundle - Velox XDSL - Varejo"),[8]BENEFICIOS!$A:$E,5,0)))</f>
        <v>MKT-1-9865126733</v>
      </c>
      <c r="BW24" s="104" t="s">
        <v>240</v>
      </c>
      <c r="BX24" s="69">
        <v>44.9</v>
      </c>
      <c r="BY24" s="64">
        <f>IF(BX24=0,"",IF(BX24=VLOOKUP("PCS-30604g",[8]ARBOR!$A:$C,3,0),0.0001,IF(BX24&gt;VLOOKUP("PCS-30604g",[8]ARBOR!$A:$C,3,0),"Maior que CAP!",IF((DOLLAR(BX24+(VLOOKUP("PCS-30604g",[8]ARBOR!$A:$C,3,0)*-TRUNC(BX24/VLOOKUP("PCS-30604g",[8]ARBOR!$A:$C,3,0)-1,4)),6))&lt;&gt;(DOLLAR(VLOOKUP("PCS-30604g",[8]ARBOR!$A:$C,3,0),6)),-TRUNC(BX24/VLOOKUP("PCS-30604g",[8]ARBOR!$A:$C,3,0)-1,4)+0.0001,-TRUNC(BX24/VLOOKUP("PCS-30604g",[8]ARBOR!$A:$C,3,0)-1,4)))))</f>
        <v>0.53679999999999994</v>
      </c>
      <c r="BZ24" s="65" t="str">
        <f>IF(ISERROR(IF(BY24="","",VLOOKUP(($BH24&amp;BY24&amp;"Template de desconto FLAT bundle - Velox XDSL - Varejo"),[8]BENEFICIOS!$A:$E,5,0))),"Criar",IF(BY24="","",VLOOKUP(($BH24&amp;BY24&amp;"Template de desconto FLAT bundle - Velox XDSL - Varejo"),[8]BENEFICIOS!$A:$E,5,0)))</f>
        <v>MKT-1-9865126733</v>
      </c>
      <c r="CA24" s="104" t="s">
        <v>240</v>
      </c>
      <c r="CB24" s="69">
        <v>44.9</v>
      </c>
      <c r="CC24" s="64">
        <f>IF(CB24=0,"",IF(CB24=VLOOKUP("PCS-30631g",[8]ARBOR!$A:$C,3,0),0.0001,IF(CB24&gt;VLOOKUP("PCS-30631g",[8]ARBOR!$A:$C,3,0),"Maior que CAP!",IF((DOLLAR(CB24+(VLOOKUP("PCS-30631g",[8]ARBOR!$A:$C,3,0)*-TRUNC(CB24/VLOOKUP("PCS-30631g",[8]ARBOR!$A:$C,3,0)-1,4)),6))&lt;&gt;(DOLLAR(VLOOKUP("PCS-30631g",[8]ARBOR!$A:$C,3,0),6)),-TRUNC(CB24/VLOOKUP("PCS-30631g",[8]ARBOR!$A:$C,3,0)-1,4)+0.0001,-TRUNC(CB24/VLOOKUP("PCS-30631g",[8]ARBOR!$A:$C,3,0)-1,4)))))</f>
        <v>0.54310000000000003</v>
      </c>
      <c r="CD24" s="65" t="str">
        <f>IF(ISERROR(IF(CC24="","",VLOOKUP(($BH24&amp;CC24&amp;"Template de desconto FLAT bundle - Velox XDSL - Varejo"),[8]BENEFICIOS!$A:$E,5,0))),"Criar",IF(CC24="","",VLOOKUP(($BH24&amp;CC24&amp;"Template de desconto FLAT bundle - Velox XDSL - Varejo"),[8]BENEFICIOS!$A:$E,5,0)))</f>
        <v>MKT-1-9865126826</v>
      </c>
      <c r="CE24" s="68" t="s">
        <v>161</v>
      </c>
      <c r="CF24" s="69">
        <v>49.9</v>
      </c>
      <c r="CG24" s="64">
        <f>IF(CF24=0,"",IF(CF24=VLOOKUP("PCS-30658g",[8]ARBOR!$A:$C,3,0),0.0001,IF(CF24&gt;VLOOKUP("PCS-30658g",[8]ARBOR!$A:$C,3,0),"Maior que CAP!",IF((DOLLAR(CF24+(VLOOKUP("PCS-30658g",[8]ARBOR!$A:$C,3,0)*-TRUNC(CF24/VLOOKUP("PCS-30658g",[8]ARBOR!$A:$C,3,0)-1,4)),6))&lt;&gt;(DOLLAR(VLOOKUP("PCS-30658g",[8]ARBOR!$A:$C,3,0),6)),-TRUNC(CF24/VLOOKUP("PCS-30658g",[8]ARBOR!$A:$C,3,0)-1,4)+0.0001,-TRUNC(CF24/VLOOKUP("PCS-30658g",[8]ARBOR!$A:$C,3,0)-1,4)))))</f>
        <v>0.55569999999999997</v>
      </c>
      <c r="CH24" s="65" t="str">
        <f>IF(ISERROR(IF(CG24="","",VLOOKUP(($BH24&amp;CG24&amp;"Template de desconto FLAT bundle - Velox XDSL - Varejo"),[8]BENEFICIOS!$A:$E,5,0))),"Criar",IF(CG24="","",VLOOKUP(($BH24&amp;CG24&amp;"Template de desconto FLAT bundle - Velox XDSL - Varejo"),[8]BENEFICIOS!$A:$E,5,0)))</f>
        <v>MKT-1-9865126919</v>
      </c>
      <c r="CI24" s="68" t="s">
        <v>161</v>
      </c>
      <c r="CJ24" s="69">
        <v>49.9</v>
      </c>
      <c r="CK24" s="64">
        <f>IF(CJ24=0,"",IF(CJ24=VLOOKUP("PCS-30685g",[8]ARBOR!$A:$C,3,0),0.0001,IF(CJ24&gt;VLOOKUP("PCS-30685g",[8]ARBOR!$A:$C,3,0),"Maior que CAP!",IF((DOLLAR(CJ24+(VLOOKUP("PCS-30685g",[8]ARBOR!$A:$C,3,0)*-TRUNC(CJ24/VLOOKUP("PCS-30685g",[8]ARBOR!$A:$C,3,0)-1,4)),6))&lt;&gt;(DOLLAR(VLOOKUP("PCS-30685g",[8]ARBOR!$A:$C,3,0),6)),-TRUNC(CJ24/VLOOKUP("PCS-30685g",[8]ARBOR!$A:$C,3,0)-1,4)+0.0001,-TRUNC(CJ24/VLOOKUP("PCS-30685g",[8]ARBOR!$A:$C,3,0)-1,4)))))</f>
        <v>0.60509999999999997</v>
      </c>
      <c r="CL24" s="65" t="str">
        <f>IF(ISERROR(IF(CK24="","",VLOOKUP(($BH24&amp;CK24&amp;"Template de desconto FLAT bundle - Velox XDSL - Varejo"),[8]BENEFICIOS!$A:$E,5,0))),"Criar",IF(CK24="","",VLOOKUP(($BH24&amp;CK24&amp;"Template de desconto FLAT bundle - Velox XDSL - Varejo"),[8]BENEFICIOS!$A:$E,5,0)))</f>
        <v>MKT-1-9865694381</v>
      </c>
      <c r="CM24" s="68" t="s">
        <v>161</v>
      </c>
      <c r="CN24" s="69">
        <v>49.9</v>
      </c>
      <c r="CO24" s="64">
        <f>IF(CN24=0,"",IF(CN24=VLOOKUP("PCS-30712g",[8]ARBOR!$A:$C,3,0),0.0001,IF(CN24&gt;VLOOKUP("PCS-30712g",[8]ARBOR!$A:$C,3,0),"Maior que CAP!",IF((DOLLAR(CN24+(VLOOKUP("PCS-30712g",[8]ARBOR!$A:$C,3,0)*-TRUNC(CN24/VLOOKUP("PCS-30712g",[8]ARBOR!$A:$C,3,0)-1,4)),6))&lt;&gt;(DOLLAR(VLOOKUP("PCS-30712g",[8]ARBOR!$A:$C,3,0),6)),-TRUNC(CN24/VLOOKUP("PCS-30712g",[8]ARBOR!$A:$C,3,0)-1,4)+0.0001,-TRUNC(CN24/VLOOKUP("PCS-30712g",[8]ARBOR!$A:$C,3,0)-1,4)))))</f>
        <v>0.64459999999999995</v>
      </c>
      <c r="CP24" s="65" t="str">
        <f>IF(ISERROR(IF(CO24="","",VLOOKUP(($BH24&amp;CO24&amp;"Template de desconto FLAT bundle - Velox XDSL - Varejo"),[8]BENEFICIOS!$A:$E,5,0))),"Criar",IF(CO24="","",VLOOKUP(($BH24&amp;CO24&amp;"Template de desconto FLAT bundle - Velox XDSL - Varejo"),[8]BENEFICIOS!$A:$E,5,0)))</f>
        <v>MKT-1-9865191105</v>
      </c>
      <c r="CQ24" s="68" t="s">
        <v>161</v>
      </c>
      <c r="CR24" s="69">
        <v>59.9</v>
      </c>
      <c r="CS24" s="64">
        <f>IF(CR24=0,"",IF(CR24=VLOOKUP("PCS-30739g",[8]ARBOR!$A:$C,3,0),0.0001,IF(CR24&gt;VLOOKUP("PCS-30739g",[8]ARBOR!$A:$C,3,0),"Maior que CAP!",IF((DOLLAR(CR24+(VLOOKUP("PCS-30739g",[8]ARBOR!$A:$C,3,0)*-TRUNC(CR24/VLOOKUP("PCS-30739g",[8]ARBOR!$A:$C,3,0)-1,4)),6))&lt;&gt;(DOLLAR(VLOOKUP("PCS-30739g",[8]ARBOR!$A:$C,3,0),6)),-TRUNC(CR24/VLOOKUP("PCS-30739g",[8]ARBOR!$A:$C,3,0)-1,4)+0.0001,-TRUNC(CR24/VLOOKUP("PCS-30739g",[8]ARBOR!$A:$C,3,0)-1,4)))))</f>
        <v>0.71560000000000001</v>
      </c>
      <c r="CT24" s="65" t="str">
        <f>IF(ISERROR(IF(CS24="","",VLOOKUP(($BH24&amp;CS24&amp;"Template de desconto FLAT bundle - Velox XDSL - Varejo"),[8]BENEFICIOS!$A:$E,5,0))),"Criar",IF(CS24="","",VLOOKUP(($BH24&amp;CS24&amp;"Template de desconto FLAT bundle - Velox XDSL - Varejo"),[8]BENEFICIOS!$A:$E,5,0)))</f>
        <v>MKT-1-9865191198</v>
      </c>
      <c r="CU24" s="69"/>
      <c r="CV24" s="70"/>
      <c r="CW24" s="64"/>
      <c r="CX24" s="65"/>
      <c r="CY24" s="68" t="s">
        <v>161</v>
      </c>
      <c r="CZ24" s="69">
        <v>59.9</v>
      </c>
      <c r="DA24" s="64">
        <f>IF(CZ24=0,"",IF(CZ24=VLOOKUP("PCS-30766g",[8]ARBOR!$A:$C,3,0),0.0001,IF(CZ24&gt;VLOOKUP("PCS-30766g",[8]ARBOR!$A:$C,3,0),"Maior que CAP!",IF((DOLLAR(CZ24+(VLOOKUP("PCS-30766g",[8]ARBOR!$A:$C,3,0)*-TRUNC(CZ24/VLOOKUP("PCS-30766g",[8]ARBOR!$A:$C,3,0)-1,4)),6))&lt;&gt;(DOLLAR(VLOOKUP("PCS-30766g",[8]ARBOR!$A:$C,3,0),6)),-TRUNC(CZ24/VLOOKUP("PCS-30766g",[8]ARBOR!$A:$C,3,0)-1,4)+0.0001,-TRUNC(CZ24/VLOOKUP("PCS-30766g",[8]ARBOR!$A:$C,3,0)-1,4)))))</f>
        <v>0.78669999999999995</v>
      </c>
      <c r="DB24" s="65" t="str">
        <f>IF(ISERROR(IF(DA24="","",VLOOKUP(($BH24&amp;DA24&amp;"Template de desconto FLAT bundle - Velox XDSL - Varejo"),[8]BENEFICIOS!$A:$E,5,0))),"Criar",IF(DA24="","",VLOOKUP(($BH24&amp;DA24&amp;"Template de desconto FLAT bundle - Velox XDSL - Varejo"),[8]BENEFICIOS!$A:$E,5,0)))</f>
        <v>MKT-1-9865191291</v>
      </c>
      <c r="DC24" s="69"/>
      <c r="DD24" s="70"/>
      <c r="DE24" s="64"/>
      <c r="DF24" s="65"/>
      <c r="DG24" s="68" t="s">
        <v>240</v>
      </c>
      <c r="DH24" s="69">
        <v>69.900000000000006</v>
      </c>
      <c r="DI24" s="64">
        <f>IF(DH24=0,"",IF(DH24=VLOOKUP("PCS-30793g",[8]ARBOR!$A:$C,3,0),0.0001,IF(DH24&gt;VLOOKUP("PCS-30793g",[8]ARBOR!$A:$C,3,0),"Maior que CAP!",IF((DOLLAR(DH24+(VLOOKUP("PCS-30793g",[8]ARBOR!$A:$C,3,0)*-TRUNC(DH24/VLOOKUP("PCS-30793g",[8]ARBOR!$A:$C,3,0)-1,4)),6))&lt;&gt;(DOLLAR(VLOOKUP("PCS-30793g",[8]ARBOR!$A:$C,3,0),6)),-TRUNC(DH24/VLOOKUP("PCS-30793g",[8]ARBOR!$A:$C,3,0)-1,4)+0.0001,-TRUNC(DH24/VLOOKUP("PCS-30793g",[8]ARBOR!$A:$C,3,0)-1,4)))))</f>
        <v>0.75109999999999999</v>
      </c>
      <c r="DJ24" s="65" t="str">
        <f>IF(ISERROR(IF(DI24="","",VLOOKUP(($BH24&amp;DI24&amp;"Template de desconto FLAT bundle - Velox XDSL - Varejo"),[8]BENEFICIOS!$A:$E,5,0))),"Criar",IF(DI24="","",VLOOKUP(($BH24&amp;DI24&amp;"Template de desconto FLAT bundle - Velox XDSL - Varejo"),[8]BENEFICIOS!$A:$E,5,0)))</f>
        <v>MKT-1-9865191384</v>
      </c>
      <c r="DK24" s="69"/>
      <c r="DL24" s="70"/>
      <c r="DM24" s="64"/>
      <c r="DN24" s="65"/>
      <c r="DO24" s="68" t="s">
        <v>161</v>
      </c>
      <c r="DP24" s="69">
        <v>69.900000000000006</v>
      </c>
      <c r="DQ24" s="64">
        <f>IF(DP24=0,"",IF(DP24=VLOOKUP("PCS-30820g",[8]ARBOR!$A:$C,3,0),0.0001,IF(DP24&gt;VLOOKUP("PCS-30820g",[8]ARBOR!$A:$C,3,0),"Maior que CAP!",IF((DOLLAR(DP24+(VLOOKUP("PCS-30820g",[8]ARBOR!$A:$C,3,0)*-TRUNC(DP24/VLOOKUP("PCS-30820g",[8]ARBOR!$A:$C,3,0)-1,4)),6))&lt;&gt;(DOLLAR(VLOOKUP("PCS-30820g",[8]ARBOR!$A:$C,3,0),6)),-TRUNC(DP24/VLOOKUP("PCS-30820g",[8]ARBOR!$A:$C,3,0)-1,4)+0.0001,-TRUNC(DP24/VLOOKUP("PCS-30820g",[8]ARBOR!$A:$C,3,0)-1,4)))))</f>
        <v>0.75109999999999999</v>
      </c>
      <c r="DR24" s="65" t="str">
        <f>IF(ISERROR(IF(DQ24="","",VLOOKUP(($BH24&amp;DQ24&amp;"Template de desconto FLAT bundle - Velox XDSL - Varejo"),[8]BENEFICIOS!$A:$E,5,0))),"Criar",IF(DQ24="","",VLOOKUP(($BH24&amp;DQ24&amp;"Template de desconto FLAT bundle - Velox XDSL - Varejo"),[8]BENEFICIOS!$A:$E,5,0)))</f>
        <v>MKT-1-9865191384</v>
      </c>
      <c r="DS24" s="69"/>
      <c r="DT24" s="70"/>
      <c r="DU24" s="64"/>
      <c r="DV24" s="65"/>
      <c r="DW24" s="71"/>
      <c r="DX24" s="64" t="str">
        <f>IF(DW24=0,"",IF(DW24=VLOOKUP("PCS-21448p2",[8]ARBOR!$A:$C,3,0),0.0001,IF(DW24&gt;VLOOKUP("PCS-21448p2",[8]ARBOR!$A:$C,3,0),"Maior que CAP!",IF((DOLLAR(DW24+(VLOOKUP("PCS-21448p2",[8]ARBOR!$A:$C,3,0)*-TRUNC(DW24/VLOOKUP("PCS-21448p2",[8]ARBOR!$A:$C,3,0)-1,4)),6))&lt;&gt;(DOLLAR(VLOOKUP("PCS-21448p2",[8]ARBOR!$A:$C,3,0),6)),-TRUNC(DW24/VLOOKUP("PCS-21448p2",[8]ARBOR!$A:$C,3,0)-1,4)+0.0001,-TRUNC(DW24/VLOOKUP("PCS-21448p2",[8]ARBOR!$A:$C,3,0)-1,4)))))</f>
        <v/>
      </c>
      <c r="DY24" s="65" t="str">
        <f>IF(ISERROR(IF(DX24="","",VLOOKUP(("Oi Conta Total Plug 10GB Downgrade"&amp;DX24&amp;"Template de desconto percentual BL Móvel - Internet Total - Varejo"),[8]BENEFICIOS!$A:$E,5,0))),"Criar",IF(DX24="","",VLOOKUP(("Oi Conta Total Plug 10GB Downgrade"&amp;DX24&amp;"Template de desconto percentual BL Móvel - Internet Total - Varejo"),[8]BENEFICIOS!$A:$E,5,0)))</f>
        <v/>
      </c>
      <c r="DZ24" s="71">
        <v>19.899999999999999</v>
      </c>
      <c r="EA24" s="72">
        <f>IF(DZ24=0,"",IF(DZ24=VLOOKUP("SVA",[8]ARBOR!$A:$C,3,0),0.0001,IF(DZ24&gt;VLOOKUP("SVA",[8]ARBOR!$A:$C,3,0),"Maior que CAP!",IF((DOLLAR(DZ24+(VLOOKUP("SVA",[8]ARBOR!$A:$C,3,0)*-TRUNC(DZ24/VLOOKUP("SVA",[8]ARBOR!$A:$C,3,0)-1,4)),6))&lt;&gt;(DOLLAR(VLOOKUP("SVA",[8]ARBOR!$A:$C,3,0),6)),-TRUNC(DZ24/VLOOKUP("SVA",[8]ARBOR!$A:$C,3,0)-1,4)+0.0001,-TRUNC(DZ24/VLOOKUP("SVA",[8]ARBOR!$A:$C,3,0)-1,4)))))</f>
        <v>7.1400000000000005E-2</v>
      </c>
      <c r="EB24" s="65" t="s">
        <v>241</v>
      </c>
      <c r="EC24" s="69"/>
      <c r="ED24" s="73"/>
      <c r="EE24" s="74"/>
      <c r="EF24" s="65"/>
      <c r="EG24" s="75">
        <f>IF(BI24="","",VLOOKUP(BI24,[8]ARBOR!A:C,3,0))</f>
        <v>479.46</v>
      </c>
      <c r="EH24" s="69">
        <v>15</v>
      </c>
      <c r="EI24" s="76">
        <f>IF(EH24="","",1-(EH24/VLOOKUP(BI24&amp;"ASS",[8]ARBOR!A:C,3,0)))</f>
        <v>0.34725848563968664</v>
      </c>
      <c r="EJ24" s="77" t="s">
        <v>224</v>
      </c>
      <c r="EK24" s="78" t="s">
        <v>225</v>
      </c>
      <c r="EL24" s="69">
        <v>144.97999999999999</v>
      </c>
      <c r="EM24" s="64">
        <f>IF(EL24=0,"",IF(EL24=EG24,0.0001,ROUND(1-((EL24+(VLOOKUP(BI24&amp;"ASS",[8]ARBOR!A:C,3,0)-EH24))/EG24),4)))</f>
        <v>0.68100000000000005</v>
      </c>
      <c r="EN24" s="65" t="str">
        <f>IF(ISERROR(IF(EM24="","",VLOOKUP(($BH24&amp;EM24&amp;"Template de desconto percentual FLAT Móvel - Conta Total - Varejo - Ganho Tributário Cross"),[8]BENEFICIOS!$A:$E,5,0))),"Criar",IF(EM24="","",VLOOKUP(($BH24&amp;EM24&amp;"Template de desconto percentual FLAT Móvel - Conta Total - Varejo - Ganho Tributário Cross"),[8]BENEFICIOS!$A:$E,5,0)))</f>
        <v>MKT-1-10032167861</v>
      </c>
      <c r="EO24" s="79"/>
      <c r="EP24" s="64"/>
      <c r="EQ24" s="72"/>
      <c r="ER24" s="72"/>
      <c r="ES24" s="64"/>
      <c r="ET24" s="80"/>
      <c r="EU24" s="81" t="s">
        <v>244</v>
      </c>
      <c r="EV24" s="81" t="s">
        <v>261</v>
      </c>
      <c r="EW24" s="82"/>
      <c r="EX24" s="83"/>
      <c r="EY24" s="84"/>
      <c r="EZ24" s="82"/>
      <c r="FA24" s="83"/>
      <c r="FB24" s="84"/>
      <c r="FC24" s="82"/>
      <c r="FD24" s="83" t="str">
        <f>IF(FC24=0,"",IF(FC24=VLOOKUP("PCS-10357",[8]ARBOR!$A:$C,3,0),0.0001,IF(FC24&gt;VLOOKUP("PCS-10357",[8]ARBOR!$A:$C,3,0),"Maior que CAP!",ROUND(-1*(FC24/VLOOKUP("PCS-10357",[8]ARBOR!$A:$C,3,0)-1),4))))</f>
        <v/>
      </c>
      <c r="FE24" s="84" t="str">
        <f>IF(ISERROR(IF(FD24="","",VLOOKUP(("Oi Internet Pra Celular 1GB"&amp;FD24&amp;"Template Flat Instância Dados"),[8]BENEFICIOS!$A:$E,5,0))),"Criar",IF(FD24="","",VLOOKUP(("Oi Internet Pra Celular 1GB"&amp;FD24&amp;"Template Flat Instância Dados"),[8]BENEFICIOS!$A:$E,5,0)))</f>
        <v/>
      </c>
      <c r="FF24" s="82"/>
      <c r="FG24" s="83" t="str">
        <f>IF(FF24=0,"",IF(FF24=VLOOKUP("PCS-813565",[8]ARBOR!$A:$C,3,0),0.0001,IF(FF24&gt;VLOOKUP("PCS-813565",[8]ARBOR!$A:$C,3,0),"Maior que CAP!",ROUND(-1*(FF24/VLOOKUP("PCS-813565",[8]ARBOR!$A:$C,3,0)-1),4))))</f>
        <v/>
      </c>
      <c r="FH24" s="84" t="str">
        <f>IF(ISERROR(IF(FG24="","",VLOOKUP(("Oi Internet Pra Celular 2GB"&amp;FG24&amp;"Template Flat Instância Dados"),[8]BENEFICIOS!$A:$E,5,0))),"Criar",IF(FG24="","",VLOOKUP(("Oi Internet Pra Celular 2GB"&amp;FG24&amp;"Template Flat Instância Dados"),[8]BENEFICIOS!$A:$E,5,0)))</f>
        <v/>
      </c>
      <c r="FI24" s="82"/>
      <c r="FJ24" s="83" t="str">
        <f>IF(FI24=0,"",IF(FI24=VLOOKUP("PCS-7171B",[8]ARBOR!$A:$C,3,0),0.0001,IF(FI24&gt;VLOOKUP("PCS-7171B",[8]ARBOR!$A:$C,3,0),"Maior que CAP!",ROUND(-1*(FI24/VLOOKUP("PCS-7171B",[8]ARBOR!$A:$C,3,0)-1),4))))</f>
        <v/>
      </c>
      <c r="FK24" s="84" t="str">
        <f>IF(ISERROR(IF(FJ24="","",VLOOKUP(("Oi Internet Pra Celular 3GB"&amp;FJ24&amp;"Template Flat Instância Dados"),[8]BENEFICIOS!$A:$E,5,0))),"Criar",IF(FJ24="","",VLOOKUP(("Oi Internet Pra Celular 3GB"&amp;FJ24&amp;"Template Flat Instância Dados"),[8]BENEFICIOS!$A:$E,5,0)))</f>
        <v/>
      </c>
      <c r="FL24" s="82">
        <v>14.92</v>
      </c>
      <c r="FM24" s="83">
        <f>IF(FL24=0,"",IF(FL24=VLOOKUP("PCS-51793o08",[8]ARBOR!$A:$C,3,0),0.0001,IF(FL24&gt;VLOOKUP("PCS-51793o08",[8]ARBOR!$A:$C,3,0),"Maior que CAP!",ROUND(-1*(FL24/VLOOKUP("PCS-51793o08",[8]ARBOR!$A:$C,3,0)-1),4))))</f>
        <v>0.89500000000000002</v>
      </c>
      <c r="FN24" s="84" t="str">
        <f>IF(ISERROR(IF(FM24="","",VLOOKUP(("Oi Internet Pra Celular 5GB"&amp;FM24&amp;"Template Flat Instância Dados"),[8]BENEFICIOS!$A:$E,5,0))),"Criar",IF(FM24="","",VLOOKUP(("Oi Internet Pra Celular 5GB"&amp;FM24&amp;"Template Flat Instância Dados"),[8]BENEFICIOS!$A:$E,5,0)))</f>
        <v>MKT-1-9870312709</v>
      </c>
      <c r="FO24" s="82"/>
      <c r="FP24" s="83" t="str">
        <f>IF(FO24=0,"",IF(FO24=VLOOKUP("PCS-7171A",[8]ARBOR!$A:$C,3,0),0.0001,IF(FO24&gt;VLOOKUP("PCS-7171A",[8]ARBOR!$A:$C,3,0),"Maior que CAP!",ROUND(-1*(FO24/VLOOKUP("PCS-7171A",[8]ARBOR!$A:$C,3,0)-1),4))))</f>
        <v/>
      </c>
      <c r="FQ24" s="84" t="str">
        <f>IF(ISERROR(IF(FP24="","",VLOOKUP(("Oi Internet Pra Celular 10GB"&amp;FP24&amp;"Template Flat Instância Dados"),[8]BENEFICIOS!$A:$E,5,0))),"Criar",IF(FP24="","",VLOOKUP(("Oi Internet Pra Celular 10GB"&amp;FP24&amp;"Template Flat Instância Dados"),[8]BENEFICIOS!$A:$E,5,0)))</f>
        <v/>
      </c>
      <c r="FR24" s="85">
        <v>0.74260000000000004</v>
      </c>
      <c r="FS24" s="86" t="s">
        <v>262</v>
      </c>
      <c r="FT24" s="48"/>
      <c r="FU24" s="87"/>
      <c r="FV24" s="88" t="s">
        <v>221</v>
      </c>
      <c r="FW24" s="49" t="s">
        <v>226</v>
      </c>
      <c r="FX24" s="89">
        <v>999</v>
      </c>
      <c r="FY24" s="49">
        <v>12</v>
      </c>
      <c r="FZ24" s="90" t="s">
        <v>227</v>
      </c>
      <c r="GA24" s="91" t="str">
        <f t="shared" si="1"/>
        <v>PCS-Fk83324</v>
      </c>
      <c r="GB24" s="92" t="str">
        <f t="shared" si="2"/>
        <v>PCS-SBL553142</v>
      </c>
      <c r="GC24" s="93" t="s">
        <v>228</v>
      </c>
      <c r="GD24" s="90" t="s">
        <v>229</v>
      </c>
      <c r="GE24" s="92" t="s">
        <v>230</v>
      </c>
      <c r="GF24" s="93" t="s">
        <v>231</v>
      </c>
      <c r="GG24" s="90" t="s">
        <v>232</v>
      </c>
      <c r="GH24" s="92" t="s">
        <v>233</v>
      </c>
      <c r="GI24" s="94" t="s">
        <v>234</v>
      </c>
      <c r="GJ24" s="95">
        <f>FL24+EL24+CN24+BJ24</f>
        <v>259.89999999999998</v>
      </c>
      <c r="GK24" s="96"/>
      <c r="GL24" s="97" t="s">
        <v>235</v>
      </c>
      <c r="GM24" s="98" t="s">
        <v>272</v>
      </c>
      <c r="GN24" s="97">
        <v>20.350000000000001</v>
      </c>
      <c r="GO24" s="99">
        <v>5.24</v>
      </c>
      <c r="GP24" s="76">
        <v>0.74250000000000005</v>
      </c>
      <c r="GQ24" s="97">
        <v>15.1</v>
      </c>
      <c r="GR24" s="97">
        <v>5.2500000000000018</v>
      </c>
      <c r="GS24" s="101"/>
      <c r="GT24" s="101"/>
      <c r="GU24" s="102" t="b">
        <v>0</v>
      </c>
      <c r="GV24" s="103">
        <v>1.0000000000001563E-2</v>
      </c>
      <c r="GW24" s="44" t="s">
        <v>291</v>
      </c>
      <c r="GX24" s="44" t="s">
        <v>238</v>
      </c>
    </row>
    <row r="25" spans="1:206" s="44" customFormat="1" x14ac:dyDescent="0.35">
      <c r="A25" s="44" t="str">
        <f t="shared" si="0"/>
        <v>Oi Total Fixo + Pós 800 + Banda LargaN210GBMG</v>
      </c>
      <c r="B25" s="45" t="s">
        <v>211</v>
      </c>
      <c r="C25" s="46" t="s">
        <v>127</v>
      </c>
      <c r="D25" s="46" t="s">
        <v>212</v>
      </c>
      <c r="E25" s="47" t="s">
        <v>213</v>
      </c>
      <c r="F25" s="88" t="s">
        <v>214</v>
      </c>
      <c r="G25" s="49"/>
      <c r="H25" s="49"/>
      <c r="I25" s="49"/>
      <c r="J25" s="49" t="s">
        <v>214</v>
      </c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 t="s">
        <v>214</v>
      </c>
      <c r="AC25" s="49" t="s">
        <v>214</v>
      </c>
      <c r="AD25" s="49" t="s">
        <v>214</v>
      </c>
      <c r="AE25" s="49" t="s">
        <v>214</v>
      </c>
      <c r="AF25" s="49" t="s">
        <v>214</v>
      </c>
      <c r="AG25" s="49" t="s">
        <v>214</v>
      </c>
      <c r="AH25" s="50"/>
      <c r="AI25" s="49" t="s">
        <v>214</v>
      </c>
      <c r="AJ25" s="49" t="s">
        <v>214</v>
      </c>
      <c r="AK25" s="49" t="s">
        <v>214</v>
      </c>
      <c r="AL25" s="49" t="s">
        <v>214</v>
      </c>
      <c r="AM25" s="49" t="s">
        <v>214</v>
      </c>
      <c r="AN25" s="49" t="s">
        <v>214</v>
      </c>
      <c r="AO25" s="49" t="s">
        <v>214</v>
      </c>
      <c r="AP25" s="49"/>
      <c r="AQ25" s="51"/>
      <c r="AR25" s="52" t="s">
        <v>292</v>
      </c>
      <c r="AS25" s="46" t="s">
        <v>216</v>
      </c>
      <c r="AT25" s="53" t="s">
        <v>217</v>
      </c>
      <c r="AU25" s="54">
        <v>42972</v>
      </c>
      <c r="AV25" s="105">
        <v>43097</v>
      </c>
      <c r="AW25" s="56" t="s">
        <v>218</v>
      </c>
      <c r="AX25" s="57" t="s">
        <v>218</v>
      </c>
      <c r="AY25" s="58"/>
      <c r="AZ25" s="58" t="s">
        <v>219</v>
      </c>
      <c r="BA25" s="58">
        <v>20</v>
      </c>
      <c r="BB25" s="58">
        <v>10000</v>
      </c>
      <c r="BC25" s="59" t="s">
        <v>220</v>
      </c>
      <c r="BD25" s="60" t="s">
        <v>221</v>
      </c>
      <c r="BE25" s="58" t="s">
        <v>213</v>
      </c>
      <c r="BF25" s="51" t="s">
        <v>213</v>
      </c>
      <c r="BG25" s="45" t="s">
        <v>292</v>
      </c>
      <c r="BH25" s="61" t="s">
        <v>222</v>
      </c>
      <c r="BI25" s="62" t="str">
        <f>IF(ISERROR(VLOOKUP(BH25,[8]PLANOS!B:C,2,0)),"",VLOOKUP(BH25,[8]PLANOS!B:C,2,0))</f>
        <v>PCS-4P6pi</v>
      </c>
      <c r="BJ25" s="63">
        <v>50.1</v>
      </c>
      <c r="BK25" s="64">
        <f>IF(BJ25=0,"",IF(BJ25=VLOOKUP("FIXO",[8]ARBOR!$A:$C,3,0),0.0001,IF(BJ25&gt;VLOOKUP("FIXO",[8]ARBOR!$A:$C,3,0),"Maior que CAP!",IF((DOLLAR(BJ25+(VLOOKUP("FIXO",[8]ARBOR!$A:$C,3,0)*-TRUNC(BJ25/VLOOKUP("FIXO",[8]ARBOR!$A:$C,3,0)-1,4)),6))&lt;&gt;(DOLLAR(VLOOKUP("FIXO",[8]ARBOR!$A:$C,3,0),6)),-TRUNC(BJ25/VLOOKUP("FIXO",[8]ARBOR!$A:$C,3,0)-1,4)+0.0001,-TRUNC(BJ25/VLOOKUP("FIXO",[8]ARBOR!$A:$C,3,0)-1,4)))))</f>
        <v>0.33939999999999998</v>
      </c>
      <c r="BL25" s="65" t="str">
        <f>IF(ISERROR(IF(BK25="","",VLOOKUP(($BH25&amp;BK25&amp;"Template de desconto FLAT bundle - Fixo - Varejo - Ganho Tributário Cross"),[8]BENEFICIOS!$A:$E,5,0))),"Criar",IF(BK25="","",VLOOKUP(($BH25&amp;BK25&amp;"Template de desconto FLAT bundle - Fixo - Varejo - Ganho Tributário Cross"),[8]BENEFICIOS!$A:$E,5,0)))</f>
        <v>MKT-1-9856472058</v>
      </c>
      <c r="BM25" s="66"/>
      <c r="BN25" s="67"/>
      <c r="BO25" s="68" t="s">
        <v>161</v>
      </c>
      <c r="BP25" s="69">
        <v>44.9</v>
      </c>
      <c r="BQ25" s="64">
        <f>IF(BP25=0,"",IF(BP25=VLOOKUP("PCS-30874g",[8]ARBOR!$A:$C,3,0),0.0001,IF(BP25&gt;VLOOKUP("PCS-30874g",[8]ARBOR!$A:$C,3,0),"Maior que CAP!",IF((DOLLAR(BP25+(VLOOKUP("PCS-30874g",[8]ARBOR!$A:$C,3,0)*-TRUNC(BP25/VLOOKUP("PCS-30874g",[8]ARBOR!$A:$C,3,0)-1,4)),6))&lt;&gt;(DOLLAR(VLOOKUP("PCS-30874g",[8]ARBOR!$A:$C,3,0),6)),-TRUNC(BP25/VLOOKUP("PCS-30874g",[8]ARBOR!$A:$C,3,0)-1,4)+0.0001,-TRUNC(BP25/VLOOKUP("PCS-30874g",[8]ARBOR!$A:$C,3,0)-1,4)))))</f>
        <v>0.53679999999999994</v>
      </c>
      <c r="BR25" s="65" t="str">
        <f>IF(ISERROR(IF(BQ25="","",VLOOKUP(($BH25&amp;BQ25&amp;"Template de desconto FLAT bundle - Velox XDSL - Varejo"),[8]BENEFICIOS!$A:$E,5,0))),"Criar",IF(BQ25="","",VLOOKUP(($BH25&amp;BQ25&amp;"Template de desconto FLAT bundle - Velox XDSL - Varejo"),[8]BENEFICIOS!$A:$E,5,0)))</f>
        <v>MKT-1-9865126733</v>
      </c>
      <c r="BS25" s="68" t="s">
        <v>161</v>
      </c>
      <c r="BT25" s="69">
        <v>44.9</v>
      </c>
      <c r="BU25" s="64">
        <f>IF(BT25=0,"",IF(BT25=VLOOKUP("PCS-30577g",[8]ARBOR!$A:$C,3,0),0.0001,IF(BT25&gt;VLOOKUP("PCS-30577g",[8]ARBOR!$A:$C,3,0),"Maior que CAP!",IF((DOLLAR(BT25+(VLOOKUP("PCS-30577g",[8]ARBOR!$A:$C,3,0)*-TRUNC(BT25/VLOOKUP("PCS-30577g",[8]ARBOR!$A:$C,3,0)-1,4)),6))&lt;&gt;(DOLLAR(VLOOKUP("PCS-30577g",[8]ARBOR!$A:$C,3,0),6)),-TRUNC(BT25/VLOOKUP("PCS-30577g",[8]ARBOR!$A:$C,3,0)-1,4)+0.0001,-TRUNC(BT25/VLOOKUP("PCS-30577g",[8]ARBOR!$A:$C,3,0)-1,4)))))</f>
        <v>0.53679999999999994</v>
      </c>
      <c r="BV25" s="65" t="str">
        <f>IF(ISERROR(IF(BU25="","",VLOOKUP(($BH25&amp;BU25&amp;"Template de desconto FLAT bundle - Velox XDSL - Varejo"),[8]BENEFICIOS!$A:$E,5,0))),"Criar",IF(BU25="","",VLOOKUP(($BH25&amp;BU25&amp;"Template de desconto FLAT bundle - Velox XDSL - Varejo"),[8]BENEFICIOS!$A:$E,5,0)))</f>
        <v>MKT-1-9865126733</v>
      </c>
      <c r="BW25" s="68" t="s">
        <v>161</v>
      </c>
      <c r="BX25" s="69">
        <v>44.9</v>
      </c>
      <c r="BY25" s="64">
        <f>IF(BX25=0,"",IF(BX25=VLOOKUP("PCS-30604g",[8]ARBOR!$A:$C,3,0),0.0001,IF(BX25&gt;VLOOKUP("PCS-30604g",[8]ARBOR!$A:$C,3,0),"Maior que CAP!",IF((DOLLAR(BX25+(VLOOKUP("PCS-30604g",[8]ARBOR!$A:$C,3,0)*-TRUNC(BX25/VLOOKUP("PCS-30604g",[8]ARBOR!$A:$C,3,0)-1,4)),6))&lt;&gt;(DOLLAR(VLOOKUP("PCS-30604g",[8]ARBOR!$A:$C,3,0),6)),-TRUNC(BX25/VLOOKUP("PCS-30604g",[8]ARBOR!$A:$C,3,0)-1,4)+0.0001,-TRUNC(BX25/VLOOKUP("PCS-30604g",[8]ARBOR!$A:$C,3,0)-1,4)))))</f>
        <v>0.53679999999999994</v>
      </c>
      <c r="BZ25" s="65" t="str">
        <f>IF(ISERROR(IF(BY25="","",VLOOKUP(($BH25&amp;BY25&amp;"Template de desconto FLAT bundle - Velox XDSL - Varejo"),[8]BENEFICIOS!$A:$E,5,0))),"Criar",IF(BY25="","",VLOOKUP(($BH25&amp;BY25&amp;"Template de desconto FLAT bundle - Velox XDSL - Varejo"),[8]BENEFICIOS!$A:$E,5,0)))</f>
        <v>MKT-1-9865126733</v>
      </c>
      <c r="CA25" s="68" t="s">
        <v>161</v>
      </c>
      <c r="CB25" s="69">
        <v>44.9</v>
      </c>
      <c r="CC25" s="64">
        <f>IF(CB25=0,"",IF(CB25=VLOOKUP("PCS-30631g",[8]ARBOR!$A:$C,3,0),0.0001,IF(CB25&gt;VLOOKUP("PCS-30631g",[8]ARBOR!$A:$C,3,0),"Maior que CAP!",IF((DOLLAR(CB25+(VLOOKUP("PCS-30631g",[8]ARBOR!$A:$C,3,0)*-TRUNC(CB25/VLOOKUP("PCS-30631g",[8]ARBOR!$A:$C,3,0)-1,4)),6))&lt;&gt;(DOLLAR(VLOOKUP("PCS-30631g",[8]ARBOR!$A:$C,3,0),6)),-TRUNC(CB25/VLOOKUP("PCS-30631g",[8]ARBOR!$A:$C,3,0)-1,4)+0.0001,-TRUNC(CB25/VLOOKUP("PCS-30631g",[8]ARBOR!$A:$C,3,0)-1,4)))))</f>
        <v>0.54310000000000003</v>
      </c>
      <c r="CD25" s="65" t="str">
        <f>IF(ISERROR(IF(CC25="","",VLOOKUP(($BH25&amp;CC25&amp;"Template de desconto FLAT bundle - Velox XDSL - Varejo"),[8]BENEFICIOS!$A:$E,5,0))),"Criar",IF(CC25="","",VLOOKUP(($BH25&amp;CC25&amp;"Template de desconto FLAT bundle - Velox XDSL - Varejo"),[8]BENEFICIOS!$A:$E,5,0)))</f>
        <v>MKT-1-9865126826</v>
      </c>
      <c r="CE25" s="68"/>
      <c r="CF25" s="69"/>
      <c r="CG25" s="64" t="str">
        <f>IF(CF25=0,"",IF(CF25=VLOOKUP("PCS-30658g",[8]ARBOR!$A:$C,3,0),0.0001,IF(CF25&gt;VLOOKUP("PCS-30658g",[8]ARBOR!$A:$C,3,0),"Maior que CAP!",IF((DOLLAR(CF25+(VLOOKUP("PCS-30658g",[8]ARBOR!$A:$C,3,0)*-TRUNC(CF25/VLOOKUP("PCS-30658g",[8]ARBOR!$A:$C,3,0)-1,4)),6))&lt;&gt;(DOLLAR(VLOOKUP("PCS-30658g",[8]ARBOR!$A:$C,3,0),6)),-TRUNC(CF25/VLOOKUP("PCS-30658g",[8]ARBOR!$A:$C,3,0)-1,4)+0.0001,-TRUNC(CF25/VLOOKUP("PCS-30658g",[8]ARBOR!$A:$C,3,0)-1,4)))))</f>
        <v/>
      </c>
      <c r="CH25" s="65" t="str">
        <f>IF(ISERROR(IF(CG25="","",VLOOKUP(($BH25&amp;CG25&amp;"Template de desconto FLAT bundle - Velox XDSL - Varejo"),[8]BENEFICIOS!$A:$E,5,0))),"Criar",IF(CG25="","",VLOOKUP(($BH25&amp;CG25&amp;"Template de desconto FLAT bundle - Velox XDSL - Varejo"),[8]BENEFICIOS!$A:$E,5,0)))</f>
        <v/>
      </c>
      <c r="CI25" s="68"/>
      <c r="CJ25" s="69"/>
      <c r="CK25" s="64" t="str">
        <f>IF(CJ25=0,"",IF(CJ25=VLOOKUP("PCS-30685g",[8]ARBOR!$A:$C,3,0),0.0001,IF(CJ25&gt;VLOOKUP("PCS-30685g",[8]ARBOR!$A:$C,3,0),"Maior que CAP!",IF((DOLLAR(CJ25+(VLOOKUP("PCS-30685g",[8]ARBOR!$A:$C,3,0)*-TRUNC(CJ25/VLOOKUP("PCS-30685g",[8]ARBOR!$A:$C,3,0)-1,4)),6))&lt;&gt;(DOLLAR(VLOOKUP("PCS-30685g",[8]ARBOR!$A:$C,3,0),6)),-TRUNC(CJ25/VLOOKUP("PCS-30685g",[8]ARBOR!$A:$C,3,0)-1,4)+0.0001,-TRUNC(CJ25/VLOOKUP("PCS-30685g",[8]ARBOR!$A:$C,3,0)-1,4)))))</f>
        <v/>
      </c>
      <c r="CL25" s="65" t="str">
        <f>IF(ISERROR(IF(CK25="","",VLOOKUP(($BH25&amp;CK25&amp;"Template de desconto FLAT bundle - Velox XDSL - Varejo"),[8]BENEFICIOS!$A:$E,5,0))),"Criar",IF(CK25="","",VLOOKUP(($BH25&amp;CK25&amp;"Template de desconto FLAT bundle - Velox XDSL - Varejo"),[8]BENEFICIOS!$A:$E,5,0)))</f>
        <v/>
      </c>
      <c r="CM25" s="68"/>
      <c r="CN25" s="69"/>
      <c r="CO25" s="64" t="str">
        <f>IF(CN25=0,"",IF(CN25=VLOOKUP("PCS-30712g",[8]ARBOR!$A:$C,3,0),0.0001,IF(CN25&gt;VLOOKUP("PCS-30712g",[8]ARBOR!$A:$C,3,0),"Maior que CAP!",IF((DOLLAR(CN25+(VLOOKUP("PCS-30712g",[8]ARBOR!$A:$C,3,0)*-TRUNC(CN25/VLOOKUP("PCS-30712g",[8]ARBOR!$A:$C,3,0)-1,4)),6))&lt;&gt;(DOLLAR(VLOOKUP("PCS-30712g",[8]ARBOR!$A:$C,3,0),6)),-TRUNC(CN25/VLOOKUP("PCS-30712g",[8]ARBOR!$A:$C,3,0)-1,4)+0.0001,-TRUNC(CN25/VLOOKUP("PCS-30712g",[8]ARBOR!$A:$C,3,0)-1,4)))))</f>
        <v/>
      </c>
      <c r="CP25" s="65" t="str">
        <f>IF(ISERROR(IF(CO25="","",VLOOKUP(($BH25&amp;CO25&amp;"Template de desconto FLAT bundle - Velox XDSL - Varejo"),[8]BENEFICIOS!$A:$E,5,0))),"Criar",IF(CO25="","",VLOOKUP(($BH25&amp;CO25&amp;"Template de desconto FLAT bundle - Velox XDSL - Varejo"),[8]BENEFICIOS!$A:$E,5,0)))</f>
        <v/>
      </c>
      <c r="CQ25" s="68"/>
      <c r="CR25" s="69"/>
      <c r="CS25" s="64" t="str">
        <f>IF(CR25=0,"",IF(CR25=VLOOKUP("PCS-30739g",[8]ARBOR!$A:$C,3,0),0.0001,IF(CR25&gt;VLOOKUP("PCS-30739g",[8]ARBOR!$A:$C,3,0),"Maior que CAP!",IF((DOLLAR(CR25+(VLOOKUP("PCS-30739g",[8]ARBOR!$A:$C,3,0)*-TRUNC(CR25/VLOOKUP("PCS-30739g",[8]ARBOR!$A:$C,3,0)-1,4)),6))&lt;&gt;(DOLLAR(VLOOKUP("PCS-30739g",[8]ARBOR!$A:$C,3,0),6)),-TRUNC(CR25/VLOOKUP("PCS-30739g",[8]ARBOR!$A:$C,3,0)-1,4)+0.0001,-TRUNC(CR25/VLOOKUP("PCS-30739g",[8]ARBOR!$A:$C,3,0)-1,4)))))</f>
        <v/>
      </c>
      <c r="CT25" s="65" t="str">
        <f>IF(ISERROR(IF(CS25="","",VLOOKUP(($BH25&amp;CS25&amp;"Template de desconto FLAT bundle - Velox XDSL - Varejo"),[8]BENEFICIOS!$A:$E,5,0))),"Criar",IF(CS25="","",VLOOKUP(($BH25&amp;CS25&amp;"Template de desconto FLAT bundle - Velox XDSL - Varejo"),[8]BENEFICIOS!$A:$E,5,0)))</f>
        <v/>
      </c>
      <c r="CU25" s="69"/>
      <c r="CV25" s="70"/>
      <c r="CW25" s="64"/>
      <c r="CX25" s="65"/>
      <c r="CY25" s="68"/>
      <c r="CZ25" s="69"/>
      <c r="DA25" s="64" t="str">
        <f>IF(CZ25=0,"",IF(CZ25=VLOOKUP("PCS-30766g",[8]ARBOR!$A:$C,3,0),0.0001,IF(CZ25&gt;VLOOKUP("PCS-30766g",[8]ARBOR!$A:$C,3,0),"Maior que CAP!",IF((DOLLAR(CZ25+(VLOOKUP("PCS-30766g",[8]ARBOR!$A:$C,3,0)*-TRUNC(CZ25/VLOOKUP("PCS-30766g",[8]ARBOR!$A:$C,3,0)-1,4)),6))&lt;&gt;(DOLLAR(VLOOKUP("PCS-30766g",[8]ARBOR!$A:$C,3,0),6)),-TRUNC(CZ25/VLOOKUP("PCS-30766g",[8]ARBOR!$A:$C,3,0)-1,4)+0.0001,-TRUNC(CZ25/VLOOKUP("PCS-30766g",[8]ARBOR!$A:$C,3,0)-1,4)))))</f>
        <v/>
      </c>
      <c r="DB25" s="65" t="str">
        <f>IF(ISERROR(IF(DA25="","",VLOOKUP(($BH25&amp;DA25&amp;"Template de desconto FLAT bundle - Velox XDSL - Varejo"),[8]BENEFICIOS!$A:$E,5,0))),"Criar",IF(DA25="","",VLOOKUP(($BH25&amp;DA25&amp;"Template de desconto FLAT bundle - Velox XDSL - Varejo"),[8]BENEFICIOS!$A:$E,5,0)))</f>
        <v/>
      </c>
      <c r="DC25" s="69"/>
      <c r="DD25" s="70"/>
      <c r="DE25" s="64"/>
      <c r="DF25" s="65"/>
      <c r="DG25" s="68"/>
      <c r="DH25" s="69"/>
      <c r="DI25" s="64" t="str">
        <f>IF(DH25=0,"",IF(DH25=VLOOKUP("PCS-30793g",[8]ARBOR!$A:$C,3,0),0.0001,IF(DH25&gt;VLOOKUP("PCS-30793g",[8]ARBOR!$A:$C,3,0),"Maior que CAP!",IF((DOLLAR(DH25+(VLOOKUP("PCS-30793g",[8]ARBOR!$A:$C,3,0)*-TRUNC(DH25/VLOOKUP("PCS-30793g",[8]ARBOR!$A:$C,3,0)-1,4)),6))&lt;&gt;(DOLLAR(VLOOKUP("PCS-30793g",[8]ARBOR!$A:$C,3,0),6)),-TRUNC(DH25/VLOOKUP("PCS-30793g",[8]ARBOR!$A:$C,3,0)-1,4)+0.0001,-TRUNC(DH25/VLOOKUP("PCS-30793g",[8]ARBOR!$A:$C,3,0)-1,4)))))</f>
        <v/>
      </c>
      <c r="DJ25" s="65" t="str">
        <f>IF(ISERROR(IF(DI25="","",VLOOKUP(($BH25&amp;DI25&amp;"Template de desconto FLAT bundle - Velox XDSL - Varejo"),[8]BENEFICIOS!$A:$E,5,0))),"Criar",IF(DI25="","",VLOOKUP(($BH25&amp;DI25&amp;"Template de desconto FLAT bundle - Velox XDSL - Varejo"),[8]BENEFICIOS!$A:$E,5,0)))</f>
        <v/>
      </c>
      <c r="DK25" s="69"/>
      <c r="DL25" s="70"/>
      <c r="DM25" s="64"/>
      <c r="DN25" s="65"/>
      <c r="DO25" s="68"/>
      <c r="DP25" s="69"/>
      <c r="DQ25" s="64" t="str">
        <f>IF(DP25=0,"",IF(DP25=VLOOKUP("PCS-30820g",[8]ARBOR!$A:$C,3,0),0.0001,IF(DP25&gt;VLOOKUP("PCS-30820g",[8]ARBOR!$A:$C,3,0),"Maior que CAP!",IF((DOLLAR(DP25+(VLOOKUP("PCS-30820g",[8]ARBOR!$A:$C,3,0)*-TRUNC(DP25/VLOOKUP("PCS-30820g",[8]ARBOR!$A:$C,3,0)-1,4)),6))&lt;&gt;(DOLLAR(VLOOKUP("PCS-30820g",[8]ARBOR!$A:$C,3,0),6)),-TRUNC(DP25/VLOOKUP("PCS-30820g",[8]ARBOR!$A:$C,3,0)-1,4)+0.0001,-TRUNC(DP25/VLOOKUP("PCS-30820g",[8]ARBOR!$A:$C,3,0)-1,4)))))</f>
        <v/>
      </c>
      <c r="DR25" s="65" t="str">
        <f>IF(ISERROR(IF(DQ25="","",VLOOKUP(($BH25&amp;DQ25&amp;"Template de desconto FLAT bundle - Velox XDSL - Varejo"),[8]BENEFICIOS!$A:$E,5,0))),"Criar",IF(DQ25="","",VLOOKUP(($BH25&amp;DQ25&amp;"Template de desconto FLAT bundle - Velox XDSL - Varejo"),[8]BENEFICIOS!$A:$E,5,0)))</f>
        <v/>
      </c>
      <c r="DS25" s="69"/>
      <c r="DT25" s="70"/>
      <c r="DU25" s="64"/>
      <c r="DV25" s="65"/>
      <c r="DW25" s="71">
        <v>44.9</v>
      </c>
      <c r="DX25" s="64">
        <f>IF(DW25=0,"",IF(DW25=VLOOKUP("PCS-21448p2",[8]ARBOR!$A:$C,3,0),0.0001,IF(DW25&gt;VLOOKUP("PCS-21448p2",[8]ARBOR!$A:$C,3,0),"Maior que CAP!",IF((DOLLAR(DW25+(VLOOKUP("PCS-21448p2",[8]ARBOR!$A:$C,3,0)*-TRUNC(DW25/VLOOKUP("PCS-21448p2",[8]ARBOR!$A:$C,3,0)-1,4)),6))&lt;&gt;(DOLLAR(VLOOKUP("PCS-21448p2",[8]ARBOR!$A:$C,3,0),6)),-TRUNC(DW25/VLOOKUP("PCS-21448p2",[8]ARBOR!$A:$C,3,0)-1,4)+0.0001,-TRUNC(DW25/VLOOKUP("PCS-21448p2",[8]ARBOR!$A:$C,3,0)-1,4)))))</f>
        <v>0.64900000000000002</v>
      </c>
      <c r="DY25" s="65" t="str">
        <f>IF(ISERROR(IF(DX25="","",VLOOKUP(("Oi Conta Total Plug 10GB Downgrade"&amp;DX25&amp;"Template de desconto percentual BL Móvel - Internet Total - Varejo"),[8]BENEFICIOS!$A:$E,5,0))),"Criar",IF(DX25="","",VLOOKUP(("Oi Conta Total Plug 10GB Downgrade"&amp;DX25&amp;"Template de desconto percentual BL Móvel - Internet Total - Varejo"),[8]BENEFICIOS!$A:$E,5,0)))</f>
        <v>MKT-1-9825544790</v>
      </c>
      <c r="DZ25" s="71">
        <v>16.5</v>
      </c>
      <c r="EA25" s="72">
        <f>IF(DZ25=0,"",IF(DZ25=VLOOKUP("SVA",[8]ARBOR!$A:$C,3,0),0.0001,IF(DZ25&gt;VLOOKUP("SVA",[8]ARBOR!$A:$C,3,0),"Maior que CAP!",IF((DOLLAR(DZ25+(VLOOKUP("SVA",[8]ARBOR!$A:$C,3,0)*-TRUNC(DZ25/VLOOKUP("SVA",[8]ARBOR!$A:$C,3,0)-1,4)),6))&lt;&gt;(DOLLAR(VLOOKUP("SVA",[8]ARBOR!$A:$C,3,0),6)),-TRUNC(DZ25/VLOOKUP("SVA",[8]ARBOR!$A:$C,3,0)-1,4)+0.0001,-TRUNC(DZ25/VLOOKUP("SVA",[8]ARBOR!$A:$C,3,0)-1,4)))))</f>
        <v>0.2301</v>
      </c>
      <c r="EB25" s="65" t="s">
        <v>223</v>
      </c>
      <c r="EC25" s="69"/>
      <c r="ED25" s="73"/>
      <c r="EE25" s="74"/>
      <c r="EF25" s="65"/>
      <c r="EG25" s="75">
        <f>IF(BI25="","",VLOOKUP(BI25,[8]ARBOR!A:C,3,0))</f>
        <v>479.46</v>
      </c>
      <c r="EH25" s="69">
        <v>15</v>
      </c>
      <c r="EI25" s="76">
        <f>IF(EH25="","",1-(EH25/VLOOKUP(BI25&amp;"ASS",[8]ARBOR!A:C,3,0)))</f>
        <v>0.34725848563968664</v>
      </c>
      <c r="EJ25" s="77" t="s">
        <v>224</v>
      </c>
      <c r="EK25" s="78" t="s">
        <v>225</v>
      </c>
      <c r="EL25" s="69">
        <v>154.36999999999998</v>
      </c>
      <c r="EM25" s="64">
        <f>IF(EL25=0,"",IF(EL25=EG25,0.0001,ROUND(1-((EL25+(VLOOKUP(BI25&amp;"ASS",[8]ARBOR!A:C,3,0)-EH25))/EG25),4)))</f>
        <v>0.66139999999999999</v>
      </c>
      <c r="EN25" s="65" t="str">
        <f>IF(ISERROR(IF(EM25="","",VLOOKUP(($BH25&amp;EM25&amp;"Template de desconto percentual FLAT Móvel - Conta Total - Varejo - Ganho Tributário Cross"),[8]BENEFICIOS!$A:$E,5,0))),"Criar",IF(EM25="","",VLOOKUP(($BH25&amp;EM25&amp;"Template de desconto percentual FLAT Móvel - Conta Total - Varejo - Ganho Tributário Cross"),[8]BENEFICIOS!$A:$E,5,0)))</f>
        <v>MKT-1-10032168071</v>
      </c>
      <c r="EO25" s="79"/>
      <c r="EP25" s="64"/>
      <c r="EQ25" s="72"/>
      <c r="ER25" s="72"/>
      <c r="ES25" s="64"/>
      <c r="ET25" s="80"/>
      <c r="EU25" s="81" t="s">
        <v>244</v>
      </c>
      <c r="EV25" s="81" t="s">
        <v>267</v>
      </c>
      <c r="EW25" s="82"/>
      <c r="EX25" s="83"/>
      <c r="EY25" s="84"/>
      <c r="EZ25" s="82"/>
      <c r="FA25" s="83"/>
      <c r="FB25" s="84"/>
      <c r="FC25" s="82"/>
      <c r="FD25" s="83" t="str">
        <f>IF(FC25=0,"",IF(FC25=VLOOKUP("PCS-10357",[8]ARBOR!$A:$C,3,0),0.0001,IF(FC25&gt;VLOOKUP("PCS-10357",[8]ARBOR!$A:$C,3,0),"Maior que CAP!",ROUND(-1*(FC25/VLOOKUP("PCS-10357",[8]ARBOR!$A:$C,3,0)-1),4))))</f>
        <v/>
      </c>
      <c r="FE25" s="84" t="str">
        <f>IF(ISERROR(IF(FD25="","",VLOOKUP(("Oi Internet Pra Celular 1GB"&amp;FD25&amp;"Template Flat Instância Dados"),[8]BENEFICIOS!$A:$E,5,0))),"Criar",IF(FD25="","",VLOOKUP(("Oi Internet Pra Celular 1GB"&amp;FD25&amp;"Template Flat Instância Dados"),[8]BENEFICIOS!$A:$E,5,0)))</f>
        <v/>
      </c>
      <c r="FF25" s="82"/>
      <c r="FG25" s="83" t="str">
        <f>IF(FF25=0,"",IF(FF25=VLOOKUP("PCS-813565",[8]ARBOR!$A:$C,3,0),0.0001,IF(FF25&gt;VLOOKUP("PCS-813565",[8]ARBOR!$A:$C,3,0),"Maior que CAP!",ROUND(-1*(FF25/VLOOKUP("PCS-813565",[8]ARBOR!$A:$C,3,0)-1),4))))</f>
        <v/>
      </c>
      <c r="FH25" s="84" t="str">
        <f>IF(ISERROR(IF(FG25="","",VLOOKUP(("Oi Internet Pra Celular 2GB"&amp;FG25&amp;"Template Flat Instância Dados"),[8]BENEFICIOS!$A:$E,5,0))),"Criar",IF(FG25="","",VLOOKUP(("Oi Internet Pra Celular 2GB"&amp;FG25&amp;"Template Flat Instância Dados"),[8]BENEFICIOS!$A:$E,5,0)))</f>
        <v/>
      </c>
      <c r="FI25" s="82"/>
      <c r="FJ25" s="83" t="str">
        <f>IF(FI25=0,"",IF(FI25=VLOOKUP("PCS-7171B",[8]ARBOR!$A:$C,3,0),0.0001,IF(FI25&gt;VLOOKUP("PCS-7171B",[8]ARBOR!$A:$C,3,0),"Maior que CAP!",ROUND(-1*(FI25/VLOOKUP("PCS-7171B",[8]ARBOR!$A:$C,3,0)-1),4))))</f>
        <v/>
      </c>
      <c r="FK25" s="84" t="str">
        <f>IF(ISERROR(IF(FJ25="","",VLOOKUP(("Oi Internet Pra Celular 3GB"&amp;FJ25&amp;"Template Flat Instância Dados"),[8]BENEFICIOS!$A:$E,5,0))),"Criar",IF(FJ25="","",VLOOKUP(("Oi Internet Pra Celular 3GB"&amp;FJ25&amp;"Template Flat Instância Dados"),[8]BENEFICIOS!$A:$E,5,0)))</f>
        <v/>
      </c>
      <c r="FL25" s="82"/>
      <c r="FM25" s="83"/>
      <c r="FN25" s="84"/>
      <c r="FO25" s="82">
        <v>35.53</v>
      </c>
      <c r="FP25" s="83">
        <f>IF(FO25=0,"",IF(FO25=VLOOKUP("PCS-7171A",[8]ARBOR!$A:$C,3,0),0.0001,IF(FO25&gt;VLOOKUP("PCS-7171A",[8]ARBOR!$A:$C,3,0),"Maior que CAP!",ROUND(-1*(FO25/VLOOKUP("PCS-7171A",[8]ARBOR!$A:$C,3,0)-1),4))))</f>
        <v>0.81899999999999995</v>
      </c>
      <c r="FQ25" s="84" t="str">
        <f>IF(ISERROR(IF(FP25="","",VLOOKUP(("Oi Internet Pra Celular 10GB"&amp;FP25&amp;"Template Flat Instância Dados"),[8]BENEFICIOS!$A:$E,5,0))),"Criar",IF(FP25="","",VLOOKUP(("Oi Internet Pra Celular 10GB"&amp;FP25&amp;"Template Flat Instância Dados"),[8]BENEFICIOS!$A:$E,5,0)))</f>
        <v>MKT-1-9869971287</v>
      </c>
      <c r="FR25" s="85">
        <v>0.74260000000000004</v>
      </c>
      <c r="FS25" s="86" t="s">
        <v>262</v>
      </c>
      <c r="FT25" s="48"/>
      <c r="FU25" s="87"/>
      <c r="FV25" s="88" t="s">
        <v>221</v>
      </c>
      <c r="FW25" s="49" t="s">
        <v>226</v>
      </c>
      <c r="FX25" s="89">
        <v>999</v>
      </c>
      <c r="FY25" s="49">
        <v>12</v>
      </c>
      <c r="FZ25" s="90" t="s">
        <v>227</v>
      </c>
      <c r="GA25" s="91" t="str">
        <f t="shared" si="1"/>
        <v>PCS-Fk83324</v>
      </c>
      <c r="GB25" s="92" t="str">
        <f t="shared" si="2"/>
        <v>PCS-SBL553142</v>
      </c>
      <c r="GC25" s="93" t="s">
        <v>228</v>
      </c>
      <c r="GD25" s="90" t="s">
        <v>229</v>
      </c>
      <c r="GE25" s="92" t="s">
        <v>230</v>
      </c>
      <c r="GF25" s="93" t="s">
        <v>231</v>
      </c>
      <c r="GG25" s="90" t="s">
        <v>232</v>
      </c>
      <c r="GH25" s="92" t="s">
        <v>233</v>
      </c>
      <c r="GI25" s="94" t="s">
        <v>234</v>
      </c>
      <c r="GJ25" s="95">
        <f>FO25+EL25+DW25+BJ25</f>
        <v>284.89999999999998</v>
      </c>
      <c r="GK25" s="96"/>
      <c r="GL25" s="97" t="s">
        <v>235</v>
      </c>
      <c r="GM25" s="98" t="s">
        <v>272</v>
      </c>
      <c r="GN25" s="97">
        <v>20.350000000000001</v>
      </c>
      <c r="GO25" s="99">
        <v>5.24</v>
      </c>
      <c r="GP25" s="76">
        <v>0.74250000000000005</v>
      </c>
      <c r="GQ25" s="97">
        <v>15.1</v>
      </c>
      <c r="GR25" s="97">
        <v>5.2500000000000018</v>
      </c>
      <c r="GS25" s="101"/>
      <c r="GT25" s="101"/>
      <c r="GU25" s="102" t="b">
        <v>0</v>
      </c>
      <c r="GV25" s="103">
        <v>1.0000000000001563E-2</v>
      </c>
      <c r="GW25" s="44" t="s">
        <v>293</v>
      </c>
      <c r="GX25" s="44" t="s">
        <v>238</v>
      </c>
    </row>
    <row r="26" spans="1:206" s="44" customFormat="1" x14ac:dyDescent="0.35">
      <c r="A26" s="44" t="str">
        <f t="shared" si="0"/>
        <v>Oi Total Fixo + Pós 800 + Banda LargaN210GBMG</v>
      </c>
      <c r="B26" s="45" t="s">
        <v>211</v>
      </c>
      <c r="C26" s="46" t="s">
        <v>127</v>
      </c>
      <c r="D26" s="46" t="s">
        <v>212</v>
      </c>
      <c r="E26" s="47" t="s">
        <v>213</v>
      </c>
      <c r="F26" s="88" t="s">
        <v>214</v>
      </c>
      <c r="G26" s="49"/>
      <c r="H26" s="49"/>
      <c r="I26" s="49"/>
      <c r="J26" s="49" t="s">
        <v>214</v>
      </c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 t="s">
        <v>214</v>
      </c>
      <c r="AC26" s="49" t="s">
        <v>214</v>
      </c>
      <c r="AD26" s="49" t="s">
        <v>214</v>
      </c>
      <c r="AE26" s="49" t="s">
        <v>214</v>
      </c>
      <c r="AF26" s="49" t="s">
        <v>214</v>
      </c>
      <c r="AG26" s="49" t="s">
        <v>214</v>
      </c>
      <c r="AH26" s="50"/>
      <c r="AI26" s="49" t="s">
        <v>214</v>
      </c>
      <c r="AJ26" s="49" t="s">
        <v>214</v>
      </c>
      <c r="AK26" s="49" t="s">
        <v>214</v>
      </c>
      <c r="AL26" s="49" t="s">
        <v>214</v>
      </c>
      <c r="AM26" s="49" t="s">
        <v>214</v>
      </c>
      <c r="AN26" s="49" t="s">
        <v>214</v>
      </c>
      <c r="AO26" s="49" t="s">
        <v>214</v>
      </c>
      <c r="AP26" s="49"/>
      <c r="AQ26" s="51"/>
      <c r="AR26" s="52" t="s">
        <v>294</v>
      </c>
      <c r="AS26" s="46" t="s">
        <v>216</v>
      </c>
      <c r="AT26" s="53" t="s">
        <v>217</v>
      </c>
      <c r="AU26" s="54">
        <v>42972</v>
      </c>
      <c r="AV26" s="105">
        <v>43097</v>
      </c>
      <c r="AW26" s="56" t="s">
        <v>218</v>
      </c>
      <c r="AX26" s="57" t="s">
        <v>218</v>
      </c>
      <c r="AY26" s="58"/>
      <c r="AZ26" s="58" t="s">
        <v>219</v>
      </c>
      <c r="BA26" s="58">
        <v>20</v>
      </c>
      <c r="BB26" s="58">
        <v>10000</v>
      </c>
      <c r="BC26" s="59" t="s">
        <v>220</v>
      </c>
      <c r="BD26" s="60" t="s">
        <v>221</v>
      </c>
      <c r="BE26" s="58" t="s">
        <v>213</v>
      </c>
      <c r="BF26" s="51" t="s">
        <v>213</v>
      </c>
      <c r="BG26" s="45" t="s">
        <v>294</v>
      </c>
      <c r="BH26" s="61" t="s">
        <v>222</v>
      </c>
      <c r="BI26" s="62" t="str">
        <f>IF(ISERROR(VLOOKUP(BH26,[8]PLANOS!B:C,2,0)),"",VLOOKUP(BH26,[8]PLANOS!B:C,2,0))</f>
        <v>PCS-4P6pi</v>
      </c>
      <c r="BJ26" s="63">
        <v>50.1</v>
      </c>
      <c r="BK26" s="64">
        <f>IF(BJ26=0,"",IF(BJ26=VLOOKUP("FIXO",[8]ARBOR!$A:$C,3,0),0.0001,IF(BJ26&gt;VLOOKUP("FIXO",[8]ARBOR!$A:$C,3,0),"Maior que CAP!",IF((DOLLAR(BJ26+(VLOOKUP("FIXO",[8]ARBOR!$A:$C,3,0)*-TRUNC(BJ26/VLOOKUP("FIXO",[8]ARBOR!$A:$C,3,0)-1,4)),6))&lt;&gt;(DOLLAR(VLOOKUP("FIXO",[8]ARBOR!$A:$C,3,0),6)),-TRUNC(BJ26/VLOOKUP("FIXO",[8]ARBOR!$A:$C,3,0)-1,4)+0.0001,-TRUNC(BJ26/VLOOKUP("FIXO",[8]ARBOR!$A:$C,3,0)-1,4)))))</f>
        <v>0.33939999999999998</v>
      </c>
      <c r="BL26" s="65" t="str">
        <f>IF(ISERROR(IF(BK26="","",VLOOKUP(($BH26&amp;BK26&amp;"Template de desconto FLAT bundle - Fixo - Varejo - Ganho Tributário Cross"),[8]BENEFICIOS!$A:$E,5,0))),"Criar",IF(BK26="","",VLOOKUP(($BH26&amp;BK26&amp;"Template de desconto FLAT bundle - Fixo - Varejo - Ganho Tributário Cross"),[8]BENEFICIOS!$A:$E,5,0)))</f>
        <v>MKT-1-9856472058</v>
      </c>
      <c r="BM26" s="66"/>
      <c r="BN26" s="67"/>
      <c r="BO26" s="104" t="s">
        <v>240</v>
      </c>
      <c r="BP26" s="69">
        <v>44.9</v>
      </c>
      <c r="BQ26" s="64">
        <f>IF(BP26=0,"",IF(BP26=VLOOKUP("PCS-30874g",[8]ARBOR!$A:$C,3,0),0.0001,IF(BP26&gt;VLOOKUP("PCS-30874g",[8]ARBOR!$A:$C,3,0),"Maior que CAP!",IF((DOLLAR(BP26+(VLOOKUP("PCS-30874g",[8]ARBOR!$A:$C,3,0)*-TRUNC(BP26/VLOOKUP("PCS-30874g",[8]ARBOR!$A:$C,3,0)-1,4)),6))&lt;&gt;(DOLLAR(VLOOKUP("PCS-30874g",[8]ARBOR!$A:$C,3,0),6)),-TRUNC(BP26/VLOOKUP("PCS-30874g",[8]ARBOR!$A:$C,3,0)-1,4)+0.0001,-TRUNC(BP26/VLOOKUP("PCS-30874g",[8]ARBOR!$A:$C,3,0)-1,4)))))</f>
        <v>0.53679999999999994</v>
      </c>
      <c r="BR26" s="65" t="str">
        <f>IF(ISERROR(IF(BQ26="","",VLOOKUP(($BH26&amp;BQ26&amp;"Template de desconto FLAT bundle - Velox XDSL - Varejo"),[8]BENEFICIOS!$A:$E,5,0))),"Criar",IF(BQ26="","",VLOOKUP(($BH26&amp;BQ26&amp;"Template de desconto FLAT bundle - Velox XDSL - Varejo"),[8]BENEFICIOS!$A:$E,5,0)))</f>
        <v>MKT-1-9865126733</v>
      </c>
      <c r="BS26" s="104" t="s">
        <v>240</v>
      </c>
      <c r="BT26" s="69">
        <v>44.9</v>
      </c>
      <c r="BU26" s="64">
        <f>IF(BT26=0,"",IF(BT26=VLOOKUP("PCS-30577g",[8]ARBOR!$A:$C,3,0),0.0001,IF(BT26&gt;VLOOKUP("PCS-30577g",[8]ARBOR!$A:$C,3,0),"Maior que CAP!",IF((DOLLAR(BT26+(VLOOKUP("PCS-30577g",[8]ARBOR!$A:$C,3,0)*-TRUNC(BT26/VLOOKUP("PCS-30577g",[8]ARBOR!$A:$C,3,0)-1,4)),6))&lt;&gt;(DOLLAR(VLOOKUP("PCS-30577g",[8]ARBOR!$A:$C,3,0),6)),-TRUNC(BT26/VLOOKUP("PCS-30577g",[8]ARBOR!$A:$C,3,0)-1,4)+0.0001,-TRUNC(BT26/VLOOKUP("PCS-30577g",[8]ARBOR!$A:$C,3,0)-1,4)))))</f>
        <v>0.53679999999999994</v>
      </c>
      <c r="BV26" s="65" t="str">
        <f>IF(ISERROR(IF(BU26="","",VLOOKUP(($BH26&amp;BU26&amp;"Template de desconto FLAT bundle - Velox XDSL - Varejo"),[8]BENEFICIOS!$A:$E,5,0))),"Criar",IF(BU26="","",VLOOKUP(($BH26&amp;BU26&amp;"Template de desconto FLAT bundle - Velox XDSL - Varejo"),[8]BENEFICIOS!$A:$E,5,0)))</f>
        <v>MKT-1-9865126733</v>
      </c>
      <c r="BW26" s="104" t="s">
        <v>240</v>
      </c>
      <c r="BX26" s="69">
        <v>44.9</v>
      </c>
      <c r="BY26" s="64">
        <f>IF(BX26=0,"",IF(BX26=VLOOKUP("PCS-30604g",[8]ARBOR!$A:$C,3,0),0.0001,IF(BX26&gt;VLOOKUP("PCS-30604g",[8]ARBOR!$A:$C,3,0),"Maior que CAP!",IF((DOLLAR(BX26+(VLOOKUP("PCS-30604g",[8]ARBOR!$A:$C,3,0)*-TRUNC(BX26/VLOOKUP("PCS-30604g",[8]ARBOR!$A:$C,3,0)-1,4)),6))&lt;&gt;(DOLLAR(VLOOKUP("PCS-30604g",[8]ARBOR!$A:$C,3,0),6)),-TRUNC(BX26/VLOOKUP("PCS-30604g",[8]ARBOR!$A:$C,3,0)-1,4)+0.0001,-TRUNC(BX26/VLOOKUP("PCS-30604g",[8]ARBOR!$A:$C,3,0)-1,4)))))</f>
        <v>0.53679999999999994</v>
      </c>
      <c r="BZ26" s="65" t="str">
        <f>IF(ISERROR(IF(BY26="","",VLOOKUP(($BH26&amp;BY26&amp;"Template de desconto FLAT bundle - Velox XDSL - Varejo"),[8]BENEFICIOS!$A:$E,5,0))),"Criar",IF(BY26="","",VLOOKUP(($BH26&amp;BY26&amp;"Template de desconto FLAT bundle - Velox XDSL - Varejo"),[8]BENEFICIOS!$A:$E,5,0)))</f>
        <v>MKT-1-9865126733</v>
      </c>
      <c r="CA26" s="104" t="s">
        <v>240</v>
      </c>
      <c r="CB26" s="69">
        <v>44.9</v>
      </c>
      <c r="CC26" s="64">
        <f>IF(CB26=0,"",IF(CB26=VLOOKUP("PCS-30631g",[8]ARBOR!$A:$C,3,0),0.0001,IF(CB26&gt;VLOOKUP("PCS-30631g",[8]ARBOR!$A:$C,3,0),"Maior que CAP!",IF((DOLLAR(CB26+(VLOOKUP("PCS-30631g",[8]ARBOR!$A:$C,3,0)*-TRUNC(CB26/VLOOKUP("PCS-30631g",[8]ARBOR!$A:$C,3,0)-1,4)),6))&lt;&gt;(DOLLAR(VLOOKUP("PCS-30631g",[8]ARBOR!$A:$C,3,0),6)),-TRUNC(CB26/VLOOKUP("PCS-30631g",[8]ARBOR!$A:$C,3,0)-1,4)+0.0001,-TRUNC(CB26/VLOOKUP("PCS-30631g",[8]ARBOR!$A:$C,3,0)-1,4)))))</f>
        <v>0.54310000000000003</v>
      </c>
      <c r="CD26" s="65" t="str">
        <f>IF(ISERROR(IF(CC26="","",VLOOKUP(($BH26&amp;CC26&amp;"Template de desconto FLAT bundle - Velox XDSL - Varejo"),[8]BENEFICIOS!$A:$E,5,0))),"Criar",IF(CC26="","",VLOOKUP(($BH26&amp;CC26&amp;"Template de desconto FLAT bundle - Velox XDSL - Varejo"),[8]BENEFICIOS!$A:$E,5,0)))</f>
        <v>MKT-1-9865126826</v>
      </c>
      <c r="CE26" s="68" t="s">
        <v>161</v>
      </c>
      <c r="CF26" s="69">
        <v>49.9</v>
      </c>
      <c r="CG26" s="64">
        <f>IF(CF26=0,"",IF(CF26=VLOOKUP("PCS-30658g",[8]ARBOR!$A:$C,3,0),0.0001,IF(CF26&gt;VLOOKUP("PCS-30658g",[8]ARBOR!$A:$C,3,0),"Maior que CAP!",IF((DOLLAR(CF26+(VLOOKUP("PCS-30658g",[8]ARBOR!$A:$C,3,0)*-TRUNC(CF26/VLOOKUP("PCS-30658g",[8]ARBOR!$A:$C,3,0)-1,4)),6))&lt;&gt;(DOLLAR(VLOOKUP("PCS-30658g",[8]ARBOR!$A:$C,3,0),6)),-TRUNC(CF26/VLOOKUP("PCS-30658g",[8]ARBOR!$A:$C,3,0)-1,4)+0.0001,-TRUNC(CF26/VLOOKUP("PCS-30658g",[8]ARBOR!$A:$C,3,0)-1,4)))))</f>
        <v>0.55569999999999997</v>
      </c>
      <c r="CH26" s="65" t="str">
        <f>IF(ISERROR(IF(CG26="","",VLOOKUP(($BH26&amp;CG26&amp;"Template de desconto FLAT bundle - Velox XDSL - Varejo"),[8]BENEFICIOS!$A:$E,5,0))),"Criar",IF(CG26="","",VLOOKUP(($BH26&amp;CG26&amp;"Template de desconto FLAT bundle - Velox XDSL - Varejo"),[8]BENEFICIOS!$A:$E,5,0)))</f>
        <v>MKT-1-9865126919</v>
      </c>
      <c r="CI26" s="68" t="s">
        <v>161</v>
      </c>
      <c r="CJ26" s="69">
        <v>49.9</v>
      </c>
      <c r="CK26" s="64">
        <f>IF(CJ26=0,"",IF(CJ26=VLOOKUP("PCS-30685g",[8]ARBOR!$A:$C,3,0),0.0001,IF(CJ26&gt;VLOOKUP("PCS-30685g",[8]ARBOR!$A:$C,3,0),"Maior que CAP!",IF((DOLLAR(CJ26+(VLOOKUP("PCS-30685g",[8]ARBOR!$A:$C,3,0)*-TRUNC(CJ26/VLOOKUP("PCS-30685g",[8]ARBOR!$A:$C,3,0)-1,4)),6))&lt;&gt;(DOLLAR(VLOOKUP("PCS-30685g",[8]ARBOR!$A:$C,3,0),6)),-TRUNC(CJ26/VLOOKUP("PCS-30685g",[8]ARBOR!$A:$C,3,0)-1,4)+0.0001,-TRUNC(CJ26/VLOOKUP("PCS-30685g",[8]ARBOR!$A:$C,3,0)-1,4)))))</f>
        <v>0.60509999999999997</v>
      </c>
      <c r="CL26" s="65" t="str">
        <f>IF(ISERROR(IF(CK26="","",VLOOKUP(($BH26&amp;CK26&amp;"Template de desconto FLAT bundle - Velox XDSL - Varejo"),[8]BENEFICIOS!$A:$E,5,0))),"Criar",IF(CK26="","",VLOOKUP(($BH26&amp;CK26&amp;"Template de desconto FLAT bundle - Velox XDSL - Varejo"),[8]BENEFICIOS!$A:$E,5,0)))</f>
        <v>MKT-1-9865694381</v>
      </c>
      <c r="CM26" s="68" t="s">
        <v>161</v>
      </c>
      <c r="CN26" s="69">
        <v>49.9</v>
      </c>
      <c r="CO26" s="64">
        <f>IF(CN26=0,"",IF(CN26=VLOOKUP("PCS-30712g",[8]ARBOR!$A:$C,3,0),0.0001,IF(CN26&gt;VLOOKUP("PCS-30712g",[8]ARBOR!$A:$C,3,0),"Maior que CAP!",IF((DOLLAR(CN26+(VLOOKUP("PCS-30712g",[8]ARBOR!$A:$C,3,0)*-TRUNC(CN26/VLOOKUP("PCS-30712g",[8]ARBOR!$A:$C,3,0)-1,4)),6))&lt;&gt;(DOLLAR(VLOOKUP("PCS-30712g",[8]ARBOR!$A:$C,3,0),6)),-TRUNC(CN26/VLOOKUP("PCS-30712g",[8]ARBOR!$A:$C,3,0)-1,4)+0.0001,-TRUNC(CN26/VLOOKUP("PCS-30712g",[8]ARBOR!$A:$C,3,0)-1,4)))))</f>
        <v>0.64459999999999995</v>
      </c>
      <c r="CP26" s="65" t="str">
        <f>IF(ISERROR(IF(CO26="","",VLOOKUP(($BH26&amp;CO26&amp;"Template de desconto FLAT bundle - Velox XDSL - Varejo"),[8]BENEFICIOS!$A:$E,5,0))),"Criar",IF(CO26="","",VLOOKUP(($BH26&amp;CO26&amp;"Template de desconto FLAT bundle - Velox XDSL - Varejo"),[8]BENEFICIOS!$A:$E,5,0)))</f>
        <v>MKT-1-9865191105</v>
      </c>
      <c r="CQ26" s="68" t="s">
        <v>161</v>
      </c>
      <c r="CR26" s="69">
        <v>59.9</v>
      </c>
      <c r="CS26" s="64">
        <f>IF(CR26=0,"",IF(CR26=VLOOKUP("PCS-30739g",[8]ARBOR!$A:$C,3,0),0.0001,IF(CR26&gt;VLOOKUP("PCS-30739g",[8]ARBOR!$A:$C,3,0),"Maior que CAP!",IF((DOLLAR(CR26+(VLOOKUP("PCS-30739g",[8]ARBOR!$A:$C,3,0)*-TRUNC(CR26/VLOOKUP("PCS-30739g",[8]ARBOR!$A:$C,3,0)-1,4)),6))&lt;&gt;(DOLLAR(VLOOKUP("PCS-30739g",[8]ARBOR!$A:$C,3,0),6)),-TRUNC(CR26/VLOOKUP("PCS-30739g",[8]ARBOR!$A:$C,3,0)-1,4)+0.0001,-TRUNC(CR26/VLOOKUP("PCS-30739g",[8]ARBOR!$A:$C,3,0)-1,4)))))</f>
        <v>0.71560000000000001</v>
      </c>
      <c r="CT26" s="65" t="str">
        <f>IF(ISERROR(IF(CS26="","",VLOOKUP(($BH26&amp;CS26&amp;"Template de desconto FLAT bundle - Velox XDSL - Varejo"),[8]BENEFICIOS!$A:$E,5,0))),"Criar",IF(CS26="","",VLOOKUP(($BH26&amp;CS26&amp;"Template de desconto FLAT bundle - Velox XDSL - Varejo"),[8]BENEFICIOS!$A:$E,5,0)))</f>
        <v>MKT-1-9865191198</v>
      </c>
      <c r="CU26" s="69"/>
      <c r="CV26" s="70"/>
      <c r="CW26" s="64"/>
      <c r="CX26" s="65"/>
      <c r="CY26" s="68" t="s">
        <v>161</v>
      </c>
      <c r="CZ26" s="69">
        <v>59.9</v>
      </c>
      <c r="DA26" s="64">
        <f>IF(CZ26=0,"",IF(CZ26=VLOOKUP("PCS-30766g",[8]ARBOR!$A:$C,3,0),0.0001,IF(CZ26&gt;VLOOKUP("PCS-30766g",[8]ARBOR!$A:$C,3,0),"Maior que CAP!",IF((DOLLAR(CZ26+(VLOOKUP("PCS-30766g",[8]ARBOR!$A:$C,3,0)*-TRUNC(CZ26/VLOOKUP("PCS-30766g",[8]ARBOR!$A:$C,3,0)-1,4)),6))&lt;&gt;(DOLLAR(VLOOKUP("PCS-30766g",[8]ARBOR!$A:$C,3,0),6)),-TRUNC(CZ26/VLOOKUP("PCS-30766g",[8]ARBOR!$A:$C,3,0)-1,4)+0.0001,-TRUNC(CZ26/VLOOKUP("PCS-30766g",[8]ARBOR!$A:$C,3,0)-1,4)))))</f>
        <v>0.78669999999999995</v>
      </c>
      <c r="DB26" s="65" t="str">
        <f>IF(ISERROR(IF(DA26="","",VLOOKUP(($BH26&amp;DA26&amp;"Template de desconto FLAT bundle - Velox XDSL - Varejo"),[8]BENEFICIOS!$A:$E,5,0))),"Criar",IF(DA26="","",VLOOKUP(($BH26&amp;DA26&amp;"Template de desconto FLAT bundle - Velox XDSL - Varejo"),[8]BENEFICIOS!$A:$E,5,0)))</f>
        <v>MKT-1-9865191291</v>
      </c>
      <c r="DC26" s="69"/>
      <c r="DD26" s="70"/>
      <c r="DE26" s="64"/>
      <c r="DF26" s="65"/>
      <c r="DG26" s="68" t="s">
        <v>240</v>
      </c>
      <c r="DH26" s="69">
        <v>69.900000000000006</v>
      </c>
      <c r="DI26" s="64">
        <f>IF(DH26=0,"",IF(DH26=VLOOKUP("PCS-30793g",[8]ARBOR!$A:$C,3,0),0.0001,IF(DH26&gt;VLOOKUP("PCS-30793g",[8]ARBOR!$A:$C,3,0),"Maior que CAP!",IF((DOLLAR(DH26+(VLOOKUP("PCS-30793g",[8]ARBOR!$A:$C,3,0)*-TRUNC(DH26/VLOOKUP("PCS-30793g",[8]ARBOR!$A:$C,3,0)-1,4)),6))&lt;&gt;(DOLLAR(VLOOKUP("PCS-30793g",[8]ARBOR!$A:$C,3,0),6)),-TRUNC(DH26/VLOOKUP("PCS-30793g",[8]ARBOR!$A:$C,3,0)-1,4)+0.0001,-TRUNC(DH26/VLOOKUP("PCS-30793g",[8]ARBOR!$A:$C,3,0)-1,4)))))</f>
        <v>0.75109999999999999</v>
      </c>
      <c r="DJ26" s="65" t="str">
        <f>IF(ISERROR(IF(DI26="","",VLOOKUP(($BH26&amp;DI26&amp;"Template de desconto FLAT bundle - Velox XDSL - Varejo"),[8]BENEFICIOS!$A:$E,5,0))),"Criar",IF(DI26="","",VLOOKUP(($BH26&amp;DI26&amp;"Template de desconto FLAT bundle - Velox XDSL - Varejo"),[8]BENEFICIOS!$A:$E,5,0)))</f>
        <v>MKT-1-9865191384</v>
      </c>
      <c r="DK26" s="69"/>
      <c r="DL26" s="70"/>
      <c r="DM26" s="64"/>
      <c r="DN26" s="65"/>
      <c r="DO26" s="68" t="s">
        <v>161</v>
      </c>
      <c r="DP26" s="69">
        <v>69.900000000000006</v>
      </c>
      <c r="DQ26" s="64">
        <f>IF(DP26=0,"",IF(DP26=VLOOKUP("PCS-30820g",[8]ARBOR!$A:$C,3,0),0.0001,IF(DP26&gt;VLOOKUP("PCS-30820g",[8]ARBOR!$A:$C,3,0),"Maior que CAP!",IF((DOLLAR(DP26+(VLOOKUP("PCS-30820g",[8]ARBOR!$A:$C,3,0)*-TRUNC(DP26/VLOOKUP("PCS-30820g",[8]ARBOR!$A:$C,3,0)-1,4)),6))&lt;&gt;(DOLLAR(VLOOKUP("PCS-30820g",[8]ARBOR!$A:$C,3,0),6)),-TRUNC(DP26/VLOOKUP("PCS-30820g",[8]ARBOR!$A:$C,3,0)-1,4)+0.0001,-TRUNC(DP26/VLOOKUP("PCS-30820g",[8]ARBOR!$A:$C,3,0)-1,4)))))</f>
        <v>0.75109999999999999</v>
      </c>
      <c r="DR26" s="65" t="str">
        <f>IF(ISERROR(IF(DQ26="","",VLOOKUP(($BH26&amp;DQ26&amp;"Template de desconto FLAT bundle - Velox XDSL - Varejo"),[8]BENEFICIOS!$A:$E,5,0))),"Criar",IF(DQ26="","",VLOOKUP(($BH26&amp;DQ26&amp;"Template de desconto FLAT bundle - Velox XDSL - Varejo"),[8]BENEFICIOS!$A:$E,5,0)))</f>
        <v>MKT-1-9865191384</v>
      </c>
      <c r="DS26" s="69"/>
      <c r="DT26" s="70"/>
      <c r="DU26" s="64"/>
      <c r="DV26" s="65"/>
      <c r="DW26" s="71"/>
      <c r="DX26" s="64" t="str">
        <f>IF(DW26=0,"",IF(DW26=VLOOKUP("PCS-21448p2",[8]ARBOR!$A:$C,3,0),0.0001,IF(DW26&gt;VLOOKUP("PCS-21448p2",[8]ARBOR!$A:$C,3,0),"Maior que CAP!",IF((DOLLAR(DW26+(VLOOKUP("PCS-21448p2",[8]ARBOR!$A:$C,3,0)*-TRUNC(DW26/VLOOKUP("PCS-21448p2",[8]ARBOR!$A:$C,3,0)-1,4)),6))&lt;&gt;(DOLLAR(VLOOKUP("PCS-21448p2",[8]ARBOR!$A:$C,3,0),6)),-TRUNC(DW26/VLOOKUP("PCS-21448p2",[8]ARBOR!$A:$C,3,0)-1,4)+0.0001,-TRUNC(DW26/VLOOKUP("PCS-21448p2",[8]ARBOR!$A:$C,3,0)-1,4)))))</f>
        <v/>
      </c>
      <c r="DY26" s="65" t="str">
        <f>IF(ISERROR(IF(DX26="","",VLOOKUP(("Oi Conta Total Plug 10GB Downgrade"&amp;DX26&amp;"Template de desconto percentual BL Móvel - Internet Total - Varejo"),[8]BENEFICIOS!$A:$E,5,0))),"Criar",IF(DX26="","",VLOOKUP(("Oi Conta Total Plug 10GB Downgrade"&amp;DX26&amp;"Template de desconto percentual BL Móvel - Internet Total - Varejo"),[8]BENEFICIOS!$A:$E,5,0)))</f>
        <v/>
      </c>
      <c r="DZ26" s="71">
        <v>19.899999999999999</v>
      </c>
      <c r="EA26" s="72">
        <f>IF(DZ26=0,"",IF(DZ26=VLOOKUP("SVA",[8]ARBOR!$A:$C,3,0),0.0001,IF(DZ26&gt;VLOOKUP("SVA",[8]ARBOR!$A:$C,3,0),"Maior que CAP!",IF((DOLLAR(DZ26+(VLOOKUP("SVA",[8]ARBOR!$A:$C,3,0)*-TRUNC(DZ26/VLOOKUP("SVA",[8]ARBOR!$A:$C,3,0)-1,4)),6))&lt;&gt;(DOLLAR(VLOOKUP("SVA",[8]ARBOR!$A:$C,3,0),6)),-TRUNC(DZ26/VLOOKUP("SVA",[8]ARBOR!$A:$C,3,0)-1,4)+0.0001,-TRUNC(DZ26/VLOOKUP("SVA",[8]ARBOR!$A:$C,3,0)-1,4)))))</f>
        <v>7.1400000000000005E-2</v>
      </c>
      <c r="EB26" s="65" t="s">
        <v>241</v>
      </c>
      <c r="EC26" s="69"/>
      <c r="ED26" s="73"/>
      <c r="EE26" s="74"/>
      <c r="EF26" s="65"/>
      <c r="EG26" s="75">
        <f>IF(BI26="","",VLOOKUP(BI26,[8]ARBOR!A:C,3,0))</f>
        <v>479.46</v>
      </c>
      <c r="EH26" s="69">
        <v>15</v>
      </c>
      <c r="EI26" s="76">
        <f>IF(EH26="","",1-(EH26/VLOOKUP(BI26&amp;"ASS",[8]ARBOR!A:C,3,0)))</f>
        <v>0.34725848563968664</v>
      </c>
      <c r="EJ26" s="77" t="s">
        <v>224</v>
      </c>
      <c r="EK26" s="78" t="s">
        <v>225</v>
      </c>
      <c r="EL26" s="69">
        <v>154.36999999999998</v>
      </c>
      <c r="EM26" s="64">
        <f>IF(EL26=0,"",IF(EL26=EG26,0.0001,ROUND(1-((EL26+(VLOOKUP(BI26&amp;"ASS",[8]ARBOR!A:C,3,0)-EH26))/EG26),4)))</f>
        <v>0.66139999999999999</v>
      </c>
      <c r="EN26" s="65" t="str">
        <f>IF(ISERROR(IF(EM26="","",VLOOKUP(($BH26&amp;EM26&amp;"Template de desconto percentual FLAT Móvel - Conta Total - Varejo - Ganho Tributário Cross"),[8]BENEFICIOS!$A:$E,5,0))),"Criar",IF(EM26="","",VLOOKUP(($BH26&amp;EM26&amp;"Template de desconto percentual FLAT Móvel - Conta Total - Varejo - Ganho Tributário Cross"),[8]BENEFICIOS!$A:$E,5,0)))</f>
        <v>MKT-1-10032168071</v>
      </c>
      <c r="EO26" s="79"/>
      <c r="EP26" s="64"/>
      <c r="EQ26" s="72"/>
      <c r="ER26" s="72"/>
      <c r="ES26" s="64"/>
      <c r="ET26" s="80"/>
      <c r="EU26" s="81" t="s">
        <v>244</v>
      </c>
      <c r="EV26" s="81" t="s">
        <v>267</v>
      </c>
      <c r="EW26" s="82"/>
      <c r="EX26" s="83"/>
      <c r="EY26" s="84"/>
      <c r="EZ26" s="82"/>
      <c r="FA26" s="83"/>
      <c r="FB26" s="84"/>
      <c r="FC26" s="82"/>
      <c r="FD26" s="83" t="str">
        <f>IF(FC26=0,"",IF(FC26=VLOOKUP("PCS-10357",[8]ARBOR!$A:$C,3,0),0.0001,IF(FC26&gt;VLOOKUP("PCS-10357",[8]ARBOR!$A:$C,3,0),"Maior que CAP!",ROUND(-1*(FC26/VLOOKUP("PCS-10357",[8]ARBOR!$A:$C,3,0)-1),4))))</f>
        <v/>
      </c>
      <c r="FE26" s="84" t="str">
        <f>IF(ISERROR(IF(FD26="","",VLOOKUP(("Oi Internet Pra Celular 1GB"&amp;FD26&amp;"Template Flat Instância Dados"),[8]BENEFICIOS!$A:$E,5,0))),"Criar",IF(FD26="","",VLOOKUP(("Oi Internet Pra Celular 1GB"&amp;FD26&amp;"Template Flat Instância Dados"),[8]BENEFICIOS!$A:$E,5,0)))</f>
        <v/>
      </c>
      <c r="FF26" s="82"/>
      <c r="FG26" s="83" t="str">
        <f>IF(FF26=0,"",IF(FF26=VLOOKUP("PCS-813565",[8]ARBOR!$A:$C,3,0),0.0001,IF(FF26&gt;VLOOKUP("PCS-813565",[8]ARBOR!$A:$C,3,0),"Maior que CAP!",ROUND(-1*(FF26/VLOOKUP("PCS-813565",[8]ARBOR!$A:$C,3,0)-1),4))))</f>
        <v/>
      </c>
      <c r="FH26" s="84" t="str">
        <f>IF(ISERROR(IF(FG26="","",VLOOKUP(("Oi Internet Pra Celular 2GB"&amp;FG26&amp;"Template Flat Instância Dados"),[8]BENEFICIOS!$A:$E,5,0))),"Criar",IF(FG26="","",VLOOKUP(("Oi Internet Pra Celular 2GB"&amp;FG26&amp;"Template Flat Instância Dados"),[8]BENEFICIOS!$A:$E,5,0)))</f>
        <v/>
      </c>
      <c r="FI26" s="82"/>
      <c r="FJ26" s="83" t="str">
        <f>IF(FI26=0,"",IF(FI26=VLOOKUP("PCS-7171B",[8]ARBOR!$A:$C,3,0),0.0001,IF(FI26&gt;VLOOKUP("PCS-7171B",[8]ARBOR!$A:$C,3,0),"Maior que CAP!",ROUND(-1*(FI26/VLOOKUP("PCS-7171B",[8]ARBOR!$A:$C,3,0)-1),4))))</f>
        <v/>
      </c>
      <c r="FK26" s="84" t="str">
        <f>IF(ISERROR(IF(FJ26="","",VLOOKUP(("Oi Internet Pra Celular 3GB"&amp;FJ26&amp;"Template Flat Instância Dados"),[8]BENEFICIOS!$A:$E,5,0))),"Criar",IF(FJ26="","",VLOOKUP(("Oi Internet Pra Celular 3GB"&amp;FJ26&amp;"Template Flat Instância Dados"),[8]BENEFICIOS!$A:$E,5,0)))</f>
        <v/>
      </c>
      <c r="FL26" s="82"/>
      <c r="FM26" s="83"/>
      <c r="FN26" s="84"/>
      <c r="FO26" s="82">
        <v>35.53</v>
      </c>
      <c r="FP26" s="83">
        <f>IF(FO26=0,"",IF(FO26=VLOOKUP("PCS-7171A",[8]ARBOR!$A:$C,3,0),0.0001,IF(FO26&gt;VLOOKUP("PCS-7171A",[8]ARBOR!$A:$C,3,0),"Maior que CAP!",ROUND(-1*(FO26/VLOOKUP("PCS-7171A",[8]ARBOR!$A:$C,3,0)-1),4))))</f>
        <v>0.81899999999999995</v>
      </c>
      <c r="FQ26" s="84" t="str">
        <f>IF(ISERROR(IF(FP26="","",VLOOKUP(("Oi Internet Pra Celular 10GB"&amp;FP26&amp;"Template Flat Instância Dados"),[8]BENEFICIOS!$A:$E,5,0))),"Criar",IF(FP26="","",VLOOKUP(("Oi Internet Pra Celular 10GB"&amp;FP26&amp;"Template Flat Instância Dados"),[8]BENEFICIOS!$A:$E,5,0)))</f>
        <v>MKT-1-9869971287</v>
      </c>
      <c r="FR26" s="85">
        <v>0.74260000000000004</v>
      </c>
      <c r="FS26" s="86" t="s">
        <v>262</v>
      </c>
      <c r="FT26" s="48"/>
      <c r="FU26" s="87"/>
      <c r="FV26" s="88" t="s">
        <v>221</v>
      </c>
      <c r="FW26" s="49" t="s">
        <v>226</v>
      </c>
      <c r="FX26" s="89">
        <v>999</v>
      </c>
      <c r="FY26" s="49">
        <v>12</v>
      </c>
      <c r="FZ26" s="90" t="s">
        <v>227</v>
      </c>
      <c r="GA26" s="91" t="str">
        <f t="shared" si="1"/>
        <v>PCS-Fk83324</v>
      </c>
      <c r="GB26" s="92" t="str">
        <f t="shared" si="2"/>
        <v>PCS-SBL553142</v>
      </c>
      <c r="GC26" s="93" t="s">
        <v>228</v>
      </c>
      <c r="GD26" s="90" t="s">
        <v>229</v>
      </c>
      <c r="GE26" s="92" t="s">
        <v>230</v>
      </c>
      <c r="GF26" s="93" t="s">
        <v>231</v>
      </c>
      <c r="GG26" s="90" t="s">
        <v>232</v>
      </c>
      <c r="GH26" s="92" t="s">
        <v>233</v>
      </c>
      <c r="GI26" s="94" t="s">
        <v>234</v>
      </c>
      <c r="GJ26" s="95">
        <f>FO26+EL26+CN26+BJ26</f>
        <v>289.89999999999998</v>
      </c>
      <c r="GK26" s="96"/>
      <c r="GL26" s="97" t="s">
        <v>235</v>
      </c>
      <c r="GM26" s="98" t="s">
        <v>272</v>
      </c>
      <c r="GN26" s="97">
        <v>20.350000000000001</v>
      </c>
      <c r="GO26" s="99">
        <v>5.24</v>
      </c>
      <c r="GP26" s="76">
        <v>0.74250000000000005</v>
      </c>
      <c r="GQ26" s="97">
        <v>15.1</v>
      </c>
      <c r="GR26" s="97">
        <v>5.2500000000000018</v>
      </c>
      <c r="GS26" s="101"/>
      <c r="GT26" s="101"/>
      <c r="GU26" s="102" t="b">
        <v>0</v>
      </c>
      <c r="GV26" s="103">
        <v>1.0000000000001563E-2</v>
      </c>
      <c r="GW26" s="44" t="s">
        <v>295</v>
      </c>
      <c r="GX26" s="44" t="s">
        <v>238</v>
      </c>
    </row>
  </sheetData>
  <mergeCells count="36">
    <mergeCell ref="GK1:GU1"/>
    <mergeCell ref="EZ1:FB1"/>
    <mergeCell ref="FC1:FE1"/>
    <mergeCell ref="FF1:FH1"/>
    <mergeCell ref="FI1:FK1"/>
    <mergeCell ref="FL1:FN1"/>
    <mergeCell ref="FO1:FQ1"/>
    <mergeCell ref="FR1:FS1"/>
    <mergeCell ref="FT1:FU1"/>
    <mergeCell ref="FV1:GB1"/>
    <mergeCell ref="GC1:GE1"/>
    <mergeCell ref="GF1:GH1"/>
    <mergeCell ref="EW1:EY1"/>
    <mergeCell ref="CI1:CL1"/>
    <mergeCell ref="CM1:CP1"/>
    <mergeCell ref="CQ1:CX1"/>
    <mergeCell ref="CY1:DF1"/>
    <mergeCell ref="DG1:DN1"/>
    <mergeCell ref="DO1:DV1"/>
    <mergeCell ref="DW1:DY1"/>
    <mergeCell ref="DZ1:EF1"/>
    <mergeCell ref="EG1:EN1"/>
    <mergeCell ref="EO1:ET1"/>
    <mergeCell ref="EU1:EV1"/>
    <mergeCell ref="CE1:CH1"/>
    <mergeCell ref="F1:AQ1"/>
    <mergeCell ref="AR1:AT1"/>
    <mergeCell ref="AU1:AV1"/>
    <mergeCell ref="AW1:BC1"/>
    <mergeCell ref="BD1:BF1"/>
    <mergeCell ref="BG1:BI1"/>
    <mergeCell ref="BJ1:BN1"/>
    <mergeCell ref="BO1:BR1"/>
    <mergeCell ref="BS1:BV1"/>
    <mergeCell ref="BW1:BZ1"/>
    <mergeCell ref="CA1:CD1"/>
  </mergeCells>
  <conditionalFormatting sqref="BG2">
    <cfRule type="cellIs" dxfId="24" priority="25" operator="equal">
      <formula>"Falta(m) Dado(s)"</formula>
    </cfRule>
  </conditionalFormatting>
  <conditionalFormatting sqref="DG3">
    <cfRule type="cellIs" dxfId="23" priority="24" operator="equal">
      <formula>"Tratamento"</formula>
    </cfRule>
  </conditionalFormatting>
  <conditionalFormatting sqref="DG4">
    <cfRule type="cellIs" dxfId="22" priority="23" operator="equal">
      <formula>"Tratamento"</formula>
    </cfRule>
  </conditionalFormatting>
  <conditionalFormatting sqref="DG5">
    <cfRule type="cellIs" dxfId="21" priority="22" operator="equal">
      <formula>"Tratamento"</formula>
    </cfRule>
  </conditionalFormatting>
  <conditionalFormatting sqref="DG6">
    <cfRule type="cellIs" dxfId="20" priority="21" operator="equal">
      <formula>"Tratamento"</formula>
    </cfRule>
  </conditionalFormatting>
  <conditionalFormatting sqref="DG7">
    <cfRule type="cellIs" dxfId="19" priority="20" operator="equal">
      <formula>"Tratamento"</formula>
    </cfRule>
  </conditionalFormatting>
  <conditionalFormatting sqref="DG8">
    <cfRule type="cellIs" dxfId="18" priority="19" operator="equal">
      <formula>"Tratamento"</formula>
    </cfRule>
  </conditionalFormatting>
  <conditionalFormatting sqref="DG9">
    <cfRule type="cellIs" dxfId="17" priority="18" operator="equal">
      <formula>"Tratamento"</formula>
    </cfRule>
  </conditionalFormatting>
  <conditionalFormatting sqref="DG10">
    <cfRule type="cellIs" dxfId="16" priority="17" operator="equal">
      <formula>"Tratamento"</formula>
    </cfRule>
  </conditionalFormatting>
  <conditionalFormatting sqref="DG11">
    <cfRule type="cellIs" dxfId="15" priority="16" operator="equal">
      <formula>"Tratamento"</formula>
    </cfRule>
  </conditionalFormatting>
  <conditionalFormatting sqref="DG12">
    <cfRule type="cellIs" dxfId="14" priority="15" operator="equal">
      <formula>"Tratamento"</formula>
    </cfRule>
  </conditionalFormatting>
  <conditionalFormatting sqref="DG13">
    <cfRule type="cellIs" dxfId="13" priority="14" operator="equal">
      <formula>"Tratamento"</formula>
    </cfRule>
  </conditionalFormatting>
  <conditionalFormatting sqref="DG14">
    <cfRule type="cellIs" dxfId="12" priority="13" operator="equal">
      <formula>"Tratamento"</formula>
    </cfRule>
  </conditionalFormatting>
  <conditionalFormatting sqref="DG15">
    <cfRule type="cellIs" dxfId="11" priority="12" operator="equal">
      <formula>"Tratamento"</formula>
    </cfRule>
  </conditionalFormatting>
  <conditionalFormatting sqref="DG16">
    <cfRule type="cellIs" dxfId="10" priority="11" operator="equal">
      <formula>"Tratamento"</formula>
    </cfRule>
  </conditionalFormatting>
  <conditionalFormatting sqref="DG17">
    <cfRule type="cellIs" dxfId="9" priority="10" operator="equal">
      <formula>"Tratamento"</formula>
    </cfRule>
  </conditionalFormatting>
  <conditionalFormatting sqref="DG18">
    <cfRule type="cellIs" dxfId="8" priority="9" operator="equal">
      <formula>"Tratamento"</formula>
    </cfRule>
  </conditionalFormatting>
  <conditionalFormatting sqref="DG19">
    <cfRule type="cellIs" dxfId="7" priority="8" operator="equal">
      <formula>"Tratamento"</formula>
    </cfRule>
  </conditionalFormatting>
  <conditionalFormatting sqref="DG20">
    <cfRule type="cellIs" dxfId="6" priority="7" operator="equal">
      <formula>"Tratamento"</formula>
    </cfRule>
  </conditionalFormatting>
  <conditionalFormatting sqref="DG21">
    <cfRule type="cellIs" dxfId="5" priority="6" operator="equal">
      <formula>"Tratamento"</formula>
    </cfRule>
  </conditionalFormatting>
  <conditionalFormatting sqref="DG22">
    <cfRule type="cellIs" dxfId="4" priority="5" operator="equal">
      <formula>"Tratamento"</formula>
    </cfRule>
  </conditionalFormatting>
  <conditionalFormatting sqref="DG23">
    <cfRule type="cellIs" dxfId="3" priority="4" operator="equal">
      <formula>"Tratamento"</formula>
    </cfRule>
  </conditionalFormatting>
  <conditionalFormatting sqref="DG24">
    <cfRule type="cellIs" dxfId="2" priority="3" operator="equal">
      <formula>"Tratamento"</formula>
    </cfRule>
  </conditionalFormatting>
  <conditionalFormatting sqref="DG25">
    <cfRule type="cellIs" dxfId="1" priority="2" operator="equal">
      <formula>"Tratamento"</formula>
    </cfRule>
  </conditionalFormatting>
  <conditionalFormatting sqref="DG26">
    <cfRule type="cellIs" dxfId="0" priority="1" operator="equal">
      <formula>"Tratamento"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BA25"/>
  <sheetViews>
    <sheetView tabSelected="1" workbookViewId="0">
      <selection activeCell="AW25" sqref="AW25"/>
    </sheetView>
  </sheetViews>
  <sheetFormatPr defaultRowHeight="14.5" x14ac:dyDescent="0.35"/>
  <cols>
    <col min="1" max="1" width="11" bestFit="1" customWidth="1"/>
    <col min="2" max="2" width="16.81640625" bestFit="1" customWidth="1"/>
    <col min="3" max="3" width="15" customWidth="1"/>
    <col min="4" max="4" width="27.1796875" bestFit="1" customWidth="1"/>
    <col min="5" max="5" width="27.54296875" bestFit="1" customWidth="1"/>
    <col min="6" max="6" width="12.54296875" bestFit="1" customWidth="1"/>
    <col min="7" max="7" width="19" bestFit="1" customWidth="1"/>
    <col min="8" max="8" width="17.1796875" bestFit="1" customWidth="1"/>
    <col min="9" max="9" width="12.54296875" bestFit="1" customWidth="1"/>
    <col min="10" max="10" width="15.54296875" bestFit="1" customWidth="1"/>
    <col min="11" max="11" width="22.54296875" bestFit="1" customWidth="1"/>
    <col min="12" max="12" width="34.453125" bestFit="1" customWidth="1"/>
    <col min="13" max="13" width="16.1796875" bestFit="1" customWidth="1"/>
    <col min="14" max="14" width="26.453125" bestFit="1" customWidth="1"/>
    <col min="15" max="15" width="16.54296875" customWidth="1"/>
    <col min="16" max="16" width="13.1796875" customWidth="1"/>
    <col min="17" max="17" width="7" bestFit="1" customWidth="1"/>
    <col min="18" max="18" width="14.1796875" bestFit="1" customWidth="1"/>
    <col min="19" max="19" width="31.1796875" bestFit="1" customWidth="1"/>
    <col min="20" max="20" width="26.54296875" bestFit="1" customWidth="1"/>
    <col min="21" max="21" width="34.81640625" bestFit="1" customWidth="1"/>
    <col min="22" max="23" width="23.453125" bestFit="1" customWidth="1"/>
    <col min="24" max="24" width="23.81640625" bestFit="1" customWidth="1"/>
    <col min="25" max="25" width="22" bestFit="1" customWidth="1"/>
    <col min="26" max="26" width="32.54296875" bestFit="1" customWidth="1"/>
    <col min="27" max="27" width="32.81640625" bestFit="1" customWidth="1"/>
    <col min="28" max="28" width="23.453125" style="114" bestFit="1" customWidth="1"/>
    <col min="29" max="29" width="30" bestFit="1" customWidth="1"/>
    <col min="30" max="30" width="28.54296875" bestFit="1" customWidth="1"/>
    <col min="31" max="31" width="32.54296875" bestFit="1" customWidth="1"/>
    <col min="32" max="32" width="30.1796875" bestFit="1" customWidth="1"/>
    <col min="33" max="34" width="50.1796875" bestFit="1" customWidth="1"/>
    <col min="35" max="35" width="44.26953125" bestFit="1" customWidth="1"/>
    <col min="36" max="36" width="15.1796875" customWidth="1"/>
    <col min="37" max="37" width="19" bestFit="1" customWidth="1"/>
    <col min="38" max="38" width="18.1796875" bestFit="1" customWidth="1"/>
    <col min="39" max="39" width="44.26953125" bestFit="1" customWidth="1"/>
    <col min="40" max="40" width="36.36328125" bestFit="1" customWidth="1"/>
    <col min="41" max="41" width="17.1796875" bestFit="1" customWidth="1"/>
    <col min="42" max="42" width="20.81640625" bestFit="1" customWidth="1"/>
    <col min="43" max="43" width="12.81640625" bestFit="1" customWidth="1"/>
    <col min="44" max="44" width="18" bestFit="1" customWidth="1"/>
    <col min="45" max="45" width="16.81640625" bestFit="1" customWidth="1"/>
    <col min="46" max="46" width="14" bestFit="1" customWidth="1"/>
    <col min="47" max="47" width="20.1796875" bestFit="1" customWidth="1"/>
    <col min="48" max="48" width="16.81640625" bestFit="1" customWidth="1"/>
    <col min="49" max="49" width="92.81640625" bestFit="1" customWidth="1"/>
    <col min="50" max="50" width="20.1796875" bestFit="1" customWidth="1"/>
    <col min="51" max="51" width="69.81640625" bestFit="1" customWidth="1"/>
    <col min="52" max="52" width="16.54296875" bestFit="1" customWidth="1"/>
  </cols>
  <sheetData>
    <row r="2" spans="1:53" x14ac:dyDescent="0.3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 s="114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</row>
    <row r="3" spans="1:53" x14ac:dyDescent="0.35">
      <c r="A3" s="1" t="s">
        <v>0</v>
      </c>
      <c r="B3" s="2" t="s">
        <v>1</v>
      </c>
      <c r="C3" s="3" t="s">
        <v>2</v>
      </c>
      <c r="D3" s="112" t="s">
        <v>3</v>
      </c>
      <c r="E3" s="3" t="s">
        <v>4</v>
      </c>
      <c r="F3" s="112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112" t="s">
        <v>296</v>
      </c>
      <c r="P3" s="3" t="s">
        <v>299</v>
      </c>
      <c r="Q3" s="4" t="s">
        <v>15</v>
      </c>
      <c r="R3" s="5" t="s">
        <v>306</v>
      </c>
      <c r="S3" s="5" t="s">
        <v>307</v>
      </c>
      <c r="T3" s="5" t="s">
        <v>308</v>
      </c>
      <c r="U3" s="5" t="s">
        <v>309</v>
      </c>
      <c r="V3" s="5" t="s">
        <v>310</v>
      </c>
      <c r="W3" s="5" t="s">
        <v>311</v>
      </c>
      <c r="X3" s="5" t="s">
        <v>312</v>
      </c>
      <c r="Y3" s="5" t="s">
        <v>313</v>
      </c>
      <c r="Z3" s="5" t="s">
        <v>314</v>
      </c>
      <c r="AA3" s="5" t="s">
        <v>315</v>
      </c>
      <c r="AB3" s="115" t="s">
        <v>12</v>
      </c>
      <c r="AC3" s="5" t="s">
        <v>16</v>
      </c>
      <c r="AD3" s="5" t="s">
        <v>17</v>
      </c>
      <c r="AE3" s="5" t="s">
        <v>316</v>
      </c>
      <c r="AF3" s="5" t="s">
        <v>317</v>
      </c>
      <c r="AG3" s="5" t="s">
        <v>318</v>
      </c>
      <c r="AH3" s="5" t="s">
        <v>319</v>
      </c>
      <c r="AI3" s="5" t="s">
        <v>320</v>
      </c>
      <c r="AJ3" s="5" t="s">
        <v>321</v>
      </c>
      <c r="AK3" s="5" t="s">
        <v>322</v>
      </c>
      <c r="AL3" s="5" t="s">
        <v>323</v>
      </c>
      <c r="AM3" s="5" t="s">
        <v>324</v>
      </c>
      <c r="AN3" s="5" t="s">
        <v>19</v>
      </c>
      <c r="AO3" s="5" t="s">
        <v>20</v>
      </c>
      <c r="AP3" s="5" t="s">
        <v>21</v>
      </c>
      <c r="AQ3" s="5" t="s">
        <v>22</v>
      </c>
      <c r="AR3" s="5" t="s">
        <v>23</v>
      </c>
      <c r="AS3" s="5" t="s">
        <v>24</v>
      </c>
      <c r="AT3" s="5" t="s">
        <v>25</v>
      </c>
      <c r="AU3" s="5" t="s">
        <v>26</v>
      </c>
      <c r="AV3" t="s">
        <v>27</v>
      </c>
      <c r="AW3" t="s">
        <v>57</v>
      </c>
      <c r="AX3" t="s">
        <v>325</v>
      </c>
      <c r="AY3" t="s">
        <v>326</v>
      </c>
      <c r="AZ3" t="s">
        <v>327</v>
      </c>
    </row>
    <row r="4" spans="1:53" x14ac:dyDescent="0.35">
      <c r="A4" s="6" t="s">
        <v>29</v>
      </c>
      <c r="B4" s="7" t="s">
        <v>1</v>
      </c>
      <c r="C4" s="8" t="s">
        <v>30</v>
      </c>
      <c r="D4" s="113" t="s">
        <v>31</v>
      </c>
      <c r="E4" s="8" t="s">
        <v>32</v>
      </c>
      <c r="F4" s="113" t="s">
        <v>33</v>
      </c>
      <c r="G4" s="8" t="s">
        <v>34</v>
      </c>
      <c r="H4" s="8" t="s">
        <v>7</v>
      </c>
      <c r="I4" s="8" t="s">
        <v>8</v>
      </c>
      <c r="J4" s="8" t="s">
        <v>35</v>
      </c>
      <c r="K4" s="8" t="s">
        <v>36</v>
      </c>
      <c r="L4" s="8" t="s">
        <v>37</v>
      </c>
      <c r="M4" s="8" t="s">
        <v>38</v>
      </c>
      <c r="N4" s="8" t="s">
        <v>39</v>
      </c>
      <c r="O4" s="113" t="s">
        <v>297</v>
      </c>
      <c r="P4" s="9" t="s">
        <v>300</v>
      </c>
      <c r="Q4" s="10"/>
      <c r="R4" s="5" t="s">
        <v>40</v>
      </c>
      <c r="S4" s="5" t="s">
        <v>41</v>
      </c>
      <c r="T4" s="5" t="s">
        <v>42</v>
      </c>
      <c r="U4" s="5" t="s">
        <v>43</v>
      </c>
      <c r="V4" s="5" t="s">
        <v>44</v>
      </c>
      <c r="W4" s="5" t="s">
        <v>45</v>
      </c>
      <c r="X4" s="5" t="s">
        <v>46</v>
      </c>
      <c r="Y4" s="5" t="s">
        <v>47</v>
      </c>
      <c r="Z4" s="5" t="s">
        <v>48</v>
      </c>
      <c r="AA4" s="5" t="s">
        <v>49</v>
      </c>
      <c r="AB4" s="115" t="s">
        <v>12</v>
      </c>
      <c r="AC4" s="5" t="s">
        <v>50</v>
      </c>
      <c r="AD4" s="5" t="s">
        <v>51</v>
      </c>
      <c r="AE4" s="5" t="s">
        <v>18</v>
      </c>
      <c r="AF4" s="5" t="s">
        <v>328</v>
      </c>
      <c r="AG4" s="5" t="s">
        <v>329</v>
      </c>
      <c r="AH4" s="5" t="s">
        <v>330</v>
      </c>
      <c r="AI4" s="5" t="s">
        <v>331</v>
      </c>
      <c r="AJ4" s="5" t="s">
        <v>332</v>
      </c>
      <c r="AK4" s="5" t="s">
        <v>333</v>
      </c>
      <c r="AL4" s="5" t="s">
        <v>334</v>
      </c>
      <c r="AM4" s="5" t="s">
        <v>335</v>
      </c>
      <c r="AN4" s="5" t="s">
        <v>19</v>
      </c>
      <c r="AO4" s="5" t="s">
        <v>52</v>
      </c>
      <c r="AP4" s="5" t="s">
        <v>53</v>
      </c>
      <c r="AQ4" s="5" t="s">
        <v>54</v>
      </c>
      <c r="AR4" s="5" t="s">
        <v>23</v>
      </c>
      <c r="AS4" s="5" t="s">
        <v>24</v>
      </c>
      <c r="AT4" s="5" t="s">
        <v>25</v>
      </c>
      <c r="AU4" s="5" t="s">
        <v>26</v>
      </c>
      <c r="AV4" t="s">
        <v>55</v>
      </c>
      <c r="AW4" t="s">
        <v>59</v>
      </c>
      <c r="AX4" t="s">
        <v>56</v>
      </c>
      <c r="AY4" t="s">
        <v>28</v>
      </c>
      <c r="AZ4" t="s">
        <v>58</v>
      </c>
    </row>
    <row r="5" spans="1:53" x14ac:dyDescent="0.35">
      <c r="C5" t="s">
        <v>298</v>
      </c>
      <c r="D5" t="s">
        <v>60</v>
      </c>
      <c r="E5">
        <v>99999</v>
      </c>
      <c r="G5">
        <v>7000</v>
      </c>
      <c r="L5" s="108" t="s">
        <v>376</v>
      </c>
      <c r="M5" t="s">
        <v>386</v>
      </c>
      <c r="N5" t="s">
        <v>301</v>
      </c>
      <c r="O5" t="s">
        <v>375</v>
      </c>
      <c r="P5">
        <v>90</v>
      </c>
      <c r="S5">
        <v>294.89999999999998</v>
      </c>
      <c r="T5">
        <v>139.9</v>
      </c>
      <c r="U5">
        <v>0</v>
      </c>
      <c r="V5">
        <v>45</v>
      </c>
      <c r="Z5">
        <v>110</v>
      </c>
      <c r="AA5">
        <v>110</v>
      </c>
      <c r="AB5">
        <v>0</v>
      </c>
      <c r="AC5" s="116" t="s">
        <v>302</v>
      </c>
      <c r="AG5" t="s">
        <v>380</v>
      </c>
      <c r="AH5" t="s">
        <v>380</v>
      </c>
      <c r="AI5" t="s">
        <v>305</v>
      </c>
      <c r="AJ5">
        <v>99999</v>
      </c>
      <c r="AK5">
        <v>99999</v>
      </c>
      <c r="AL5">
        <v>0</v>
      </c>
      <c r="AM5" t="b">
        <v>1</v>
      </c>
      <c r="AN5" t="b">
        <v>1</v>
      </c>
      <c r="AP5">
        <v>99999</v>
      </c>
      <c r="AT5">
        <v>0</v>
      </c>
      <c r="AV5" t="s">
        <v>377</v>
      </c>
      <c r="BA5" t="s">
        <v>387</v>
      </c>
    </row>
    <row r="6" spans="1:53" x14ac:dyDescent="0.35">
      <c r="C6" t="s">
        <v>298</v>
      </c>
      <c r="D6" t="s">
        <v>60</v>
      </c>
      <c r="E6">
        <v>99999</v>
      </c>
      <c r="G6">
        <v>7000</v>
      </c>
      <c r="L6" s="108" t="s">
        <v>378</v>
      </c>
      <c r="M6" t="s">
        <v>386</v>
      </c>
      <c r="N6" t="s">
        <v>301</v>
      </c>
      <c r="O6" t="s">
        <v>375</v>
      </c>
      <c r="P6">
        <v>90</v>
      </c>
      <c r="S6">
        <v>294.89999999999998</v>
      </c>
      <c r="T6">
        <v>139.9</v>
      </c>
      <c r="U6">
        <v>0</v>
      </c>
      <c r="V6">
        <v>45</v>
      </c>
      <c r="Z6">
        <v>110</v>
      </c>
      <c r="AA6">
        <v>110</v>
      </c>
      <c r="AB6">
        <v>0</v>
      </c>
      <c r="AC6" s="116" t="s">
        <v>302</v>
      </c>
      <c r="AG6" t="s">
        <v>380</v>
      </c>
      <c r="AH6" t="s">
        <v>380</v>
      </c>
      <c r="AI6" t="s">
        <v>305</v>
      </c>
      <c r="AJ6">
        <v>99999</v>
      </c>
      <c r="AK6">
        <v>99999</v>
      </c>
      <c r="AL6">
        <v>0</v>
      </c>
      <c r="AM6" t="b">
        <v>1</v>
      </c>
      <c r="AN6" t="b">
        <v>1</v>
      </c>
      <c r="AP6">
        <v>99999</v>
      </c>
      <c r="AT6">
        <v>0</v>
      </c>
      <c r="AV6" t="s">
        <v>377</v>
      </c>
      <c r="BA6" t="s">
        <v>388</v>
      </c>
    </row>
    <row r="7" spans="1:53" x14ac:dyDescent="0.35">
      <c r="C7" t="s">
        <v>298</v>
      </c>
      <c r="D7" t="s">
        <v>60</v>
      </c>
      <c r="E7">
        <v>99999</v>
      </c>
      <c r="G7">
        <v>7000</v>
      </c>
      <c r="L7" s="108" t="s">
        <v>378</v>
      </c>
      <c r="M7" t="s">
        <v>386</v>
      </c>
      <c r="N7" t="s">
        <v>301</v>
      </c>
      <c r="O7" t="s">
        <v>375</v>
      </c>
      <c r="P7">
        <v>90</v>
      </c>
      <c r="S7">
        <v>294.89999999999998</v>
      </c>
      <c r="T7">
        <v>139.9</v>
      </c>
      <c r="U7">
        <v>0</v>
      </c>
      <c r="V7">
        <v>45</v>
      </c>
      <c r="Z7">
        <v>110</v>
      </c>
      <c r="AA7">
        <v>110</v>
      </c>
      <c r="AB7">
        <v>0</v>
      </c>
      <c r="AC7" s="116" t="s">
        <v>302</v>
      </c>
      <c r="AG7" t="s">
        <v>380</v>
      </c>
      <c r="AH7" t="s">
        <v>380</v>
      </c>
      <c r="AI7" t="s">
        <v>305</v>
      </c>
      <c r="AJ7">
        <v>99999</v>
      </c>
      <c r="AK7">
        <v>99999</v>
      </c>
      <c r="AL7">
        <v>0</v>
      </c>
      <c r="AM7" t="b">
        <v>1</v>
      </c>
      <c r="AN7" t="b">
        <v>1</v>
      </c>
      <c r="AP7">
        <v>99999</v>
      </c>
      <c r="AT7">
        <v>0</v>
      </c>
      <c r="AV7" t="s">
        <v>377</v>
      </c>
      <c r="BA7" t="s">
        <v>388</v>
      </c>
    </row>
    <row r="8" spans="1:53" x14ac:dyDescent="0.35">
      <c r="C8" t="s">
        <v>298</v>
      </c>
      <c r="D8" t="s">
        <v>60</v>
      </c>
      <c r="E8">
        <v>99999</v>
      </c>
      <c r="G8">
        <v>7000</v>
      </c>
      <c r="L8" s="108" t="s">
        <v>379</v>
      </c>
      <c r="M8" t="s">
        <v>386</v>
      </c>
      <c r="N8" t="s">
        <v>301</v>
      </c>
      <c r="O8" t="s">
        <v>375</v>
      </c>
      <c r="P8">
        <v>90</v>
      </c>
      <c r="S8">
        <v>294.89999999999998</v>
      </c>
      <c r="T8">
        <v>139.9</v>
      </c>
      <c r="U8">
        <v>0</v>
      </c>
      <c r="V8">
        <v>45</v>
      </c>
      <c r="Z8">
        <v>110</v>
      </c>
      <c r="AA8">
        <v>110</v>
      </c>
      <c r="AB8">
        <v>0</v>
      </c>
      <c r="AC8" s="114" t="s">
        <v>302</v>
      </c>
      <c r="AG8" t="s">
        <v>380</v>
      </c>
      <c r="AH8" t="s">
        <v>380</v>
      </c>
      <c r="AI8" t="s">
        <v>305</v>
      </c>
      <c r="AJ8">
        <v>99999</v>
      </c>
      <c r="AK8">
        <v>99999</v>
      </c>
      <c r="AL8">
        <v>0</v>
      </c>
      <c r="AM8" t="b">
        <v>1</v>
      </c>
      <c r="AN8" t="b">
        <v>1</v>
      </c>
      <c r="AP8">
        <v>99999</v>
      </c>
      <c r="AT8">
        <v>0</v>
      </c>
      <c r="AV8" t="s">
        <v>377</v>
      </c>
      <c r="BA8" t="s">
        <v>389</v>
      </c>
    </row>
    <row r="9" spans="1:53" x14ac:dyDescent="0.35">
      <c r="C9" t="s">
        <v>298</v>
      </c>
      <c r="D9" t="s">
        <v>60</v>
      </c>
      <c r="E9">
        <v>99999</v>
      </c>
      <c r="G9">
        <v>7000</v>
      </c>
      <c r="L9" t="s">
        <v>379</v>
      </c>
      <c r="M9" t="s">
        <v>386</v>
      </c>
      <c r="N9" t="s">
        <v>301</v>
      </c>
      <c r="O9" t="s">
        <v>375</v>
      </c>
      <c r="P9">
        <v>90</v>
      </c>
      <c r="S9">
        <v>294.89999999999998</v>
      </c>
      <c r="T9">
        <v>139.9</v>
      </c>
      <c r="U9">
        <v>0</v>
      </c>
      <c r="V9">
        <v>45</v>
      </c>
      <c r="Z9">
        <v>110</v>
      </c>
      <c r="AA9">
        <v>110</v>
      </c>
      <c r="AB9">
        <v>0</v>
      </c>
      <c r="AC9" s="114" t="s">
        <v>302</v>
      </c>
      <c r="AG9" t="s">
        <v>380</v>
      </c>
      <c r="AH9" t="s">
        <v>380</v>
      </c>
      <c r="AI9" t="s">
        <v>305</v>
      </c>
      <c r="AJ9">
        <v>99999</v>
      </c>
      <c r="AK9">
        <v>99999</v>
      </c>
      <c r="AL9">
        <v>0</v>
      </c>
      <c r="AM9" t="b">
        <v>1</v>
      </c>
      <c r="AN9" t="b">
        <v>1</v>
      </c>
      <c r="AP9">
        <v>99999</v>
      </c>
      <c r="AT9">
        <v>0</v>
      </c>
      <c r="AV9" t="s">
        <v>377</v>
      </c>
      <c r="BA9" t="s">
        <v>389</v>
      </c>
    </row>
    <row r="10" spans="1:53" x14ac:dyDescent="0.35">
      <c r="C10" t="s">
        <v>298</v>
      </c>
      <c r="D10" t="s">
        <v>60</v>
      </c>
      <c r="E10">
        <v>99999</v>
      </c>
      <c r="G10">
        <v>20000</v>
      </c>
      <c r="L10" t="s">
        <v>376</v>
      </c>
      <c r="M10" t="s">
        <v>386</v>
      </c>
      <c r="N10" t="s">
        <v>301</v>
      </c>
      <c r="O10" t="s">
        <v>375</v>
      </c>
      <c r="P10">
        <v>90</v>
      </c>
      <c r="S10">
        <v>354.9</v>
      </c>
      <c r="T10">
        <v>199.9</v>
      </c>
      <c r="U10">
        <v>0</v>
      </c>
      <c r="V10">
        <v>45</v>
      </c>
      <c r="Z10">
        <v>110</v>
      </c>
      <c r="AA10">
        <v>110</v>
      </c>
      <c r="AB10">
        <v>0</v>
      </c>
      <c r="AC10" s="114" t="s">
        <v>302</v>
      </c>
      <c r="AG10" t="s">
        <v>381</v>
      </c>
      <c r="AH10" t="s">
        <v>381</v>
      </c>
      <c r="AI10" t="s">
        <v>336</v>
      </c>
      <c r="AJ10">
        <v>99999</v>
      </c>
      <c r="AK10">
        <v>99999</v>
      </c>
      <c r="AL10">
        <v>0</v>
      </c>
      <c r="AM10" t="b">
        <v>1</v>
      </c>
      <c r="AN10" t="b">
        <v>1</v>
      </c>
      <c r="AP10">
        <v>99999</v>
      </c>
      <c r="AT10">
        <v>0</v>
      </c>
      <c r="AV10" t="s">
        <v>377</v>
      </c>
      <c r="BA10" t="s">
        <v>390</v>
      </c>
    </row>
    <row r="11" spans="1:53" x14ac:dyDescent="0.35">
      <c r="C11" t="s">
        <v>298</v>
      </c>
      <c r="D11" t="s">
        <v>60</v>
      </c>
      <c r="E11">
        <v>99999</v>
      </c>
      <c r="G11">
        <v>20000</v>
      </c>
      <c r="L11" t="s">
        <v>378</v>
      </c>
      <c r="M11" t="s">
        <v>386</v>
      </c>
      <c r="N11" t="s">
        <v>301</v>
      </c>
      <c r="O11" t="s">
        <v>375</v>
      </c>
      <c r="P11">
        <v>90</v>
      </c>
      <c r="S11">
        <v>354.9</v>
      </c>
      <c r="T11">
        <v>199.9</v>
      </c>
      <c r="U11">
        <v>0</v>
      </c>
      <c r="V11">
        <v>45</v>
      </c>
      <c r="Z11">
        <v>110</v>
      </c>
      <c r="AA11">
        <v>110</v>
      </c>
      <c r="AB11">
        <v>0</v>
      </c>
      <c r="AC11" s="114" t="s">
        <v>302</v>
      </c>
      <c r="AG11" t="s">
        <v>381</v>
      </c>
      <c r="AH11" t="s">
        <v>381</v>
      </c>
      <c r="AI11" t="s">
        <v>336</v>
      </c>
      <c r="AJ11">
        <v>99999</v>
      </c>
      <c r="AK11">
        <v>99999</v>
      </c>
      <c r="AL11">
        <v>0</v>
      </c>
      <c r="AM11" t="b">
        <v>1</v>
      </c>
      <c r="AN11" t="b">
        <v>1</v>
      </c>
      <c r="AP11">
        <v>99999</v>
      </c>
      <c r="AT11">
        <v>0</v>
      </c>
      <c r="AV11" t="s">
        <v>377</v>
      </c>
      <c r="BA11" t="s">
        <v>391</v>
      </c>
    </row>
    <row r="12" spans="1:53" x14ac:dyDescent="0.35">
      <c r="C12" t="s">
        <v>298</v>
      </c>
      <c r="D12" t="s">
        <v>60</v>
      </c>
      <c r="E12">
        <v>99999</v>
      </c>
      <c r="G12">
        <v>20000</v>
      </c>
      <c r="L12" t="s">
        <v>378</v>
      </c>
      <c r="M12" t="s">
        <v>386</v>
      </c>
      <c r="N12" t="s">
        <v>301</v>
      </c>
      <c r="O12" t="s">
        <v>375</v>
      </c>
      <c r="P12">
        <v>90</v>
      </c>
      <c r="S12">
        <v>354.9</v>
      </c>
      <c r="T12">
        <v>199.9</v>
      </c>
      <c r="U12">
        <v>0</v>
      </c>
      <c r="V12">
        <v>45</v>
      </c>
      <c r="Z12">
        <v>110</v>
      </c>
      <c r="AA12">
        <v>110</v>
      </c>
      <c r="AB12">
        <v>0</v>
      </c>
      <c r="AC12" s="114" t="s">
        <v>302</v>
      </c>
      <c r="AG12" t="s">
        <v>381</v>
      </c>
      <c r="AH12" t="s">
        <v>381</v>
      </c>
      <c r="AI12" t="s">
        <v>336</v>
      </c>
      <c r="AJ12">
        <v>99999</v>
      </c>
      <c r="AK12">
        <v>99999</v>
      </c>
      <c r="AL12">
        <v>0</v>
      </c>
      <c r="AM12" t="b">
        <v>1</v>
      </c>
      <c r="AN12" t="b">
        <v>1</v>
      </c>
      <c r="AP12">
        <v>99999</v>
      </c>
      <c r="AT12">
        <v>0</v>
      </c>
      <c r="AV12" t="s">
        <v>377</v>
      </c>
      <c r="BA12" t="s">
        <v>391</v>
      </c>
    </row>
    <row r="13" spans="1:53" x14ac:dyDescent="0.35">
      <c r="C13" t="s">
        <v>298</v>
      </c>
      <c r="D13" t="s">
        <v>60</v>
      </c>
      <c r="E13">
        <v>99999</v>
      </c>
      <c r="G13">
        <v>20000</v>
      </c>
      <c r="L13" t="s">
        <v>379</v>
      </c>
      <c r="M13" t="s">
        <v>386</v>
      </c>
      <c r="N13" t="s">
        <v>301</v>
      </c>
      <c r="O13" t="s">
        <v>375</v>
      </c>
      <c r="P13">
        <v>90</v>
      </c>
      <c r="S13">
        <v>354.9</v>
      </c>
      <c r="T13">
        <v>199.9</v>
      </c>
      <c r="U13">
        <v>0</v>
      </c>
      <c r="V13">
        <v>45</v>
      </c>
      <c r="Z13">
        <v>110</v>
      </c>
      <c r="AA13">
        <v>110</v>
      </c>
      <c r="AB13">
        <v>0</v>
      </c>
      <c r="AC13" s="114" t="s">
        <v>302</v>
      </c>
      <c r="AG13" t="s">
        <v>381</v>
      </c>
      <c r="AH13" t="s">
        <v>381</v>
      </c>
      <c r="AI13" t="s">
        <v>336</v>
      </c>
      <c r="AJ13">
        <v>99999</v>
      </c>
      <c r="AK13">
        <v>99999</v>
      </c>
      <c r="AL13">
        <v>0</v>
      </c>
      <c r="AM13" t="b">
        <v>1</v>
      </c>
      <c r="AN13" t="b">
        <v>1</v>
      </c>
      <c r="AP13">
        <v>99999</v>
      </c>
      <c r="AT13">
        <v>0</v>
      </c>
      <c r="AV13" t="s">
        <v>377</v>
      </c>
      <c r="BA13" t="s">
        <v>392</v>
      </c>
    </row>
    <row r="14" spans="1:53" x14ac:dyDescent="0.35">
      <c r="C14" t="s">
        <v>298</v>
      </c>
      <c r="D14" t="s">
        <v>60</v>
      </c>
      <c r="E14">
        <v>99999</v>
      </c>
      <c r="G14">
        <v>20000</v>
      </c>
      <c r="L14" t="s">
        <v>379</v>
      </c>
      <c r="M14" t="s">
        <v>386</v>
      </c>
      <c r="N14" t="s">
        <v>301</v>
      </c>
      <c r="O14" t="s">
        <v>375</v>
      </c>
      <c r="P14">
        <v>90</v>
      </c>
      <c r="S14">
        <v>354.9</v>
      </c>
      <c r="T14">
        <v>199.9</v>
      </c>
      <c r="U14">
        <v>0</v>
      </c>
      <c r="V14">
        <v>45</v>
      </c>
      <c r="Z14">
        <v>110</v>
      </c>
      <c r="AA14">
        <v>110</v>
      </c>
      <c r="AB14" s="114">
        <v>0</v>
      </c>
      <c r="AC14" t="s">
        <v>302</v>
      </c>
      <c r="AG14" t="s">
        <v>381</v>
      </c>
      <c r="AH14" t="s">
        <v>381</v>
      </c>
      <c r="AI14" t="s">
        <v>336</v>
      </c>
      <c r="AJ14">
        <v>99999</v>
      </c>
      <c r="AK14">
        <v>99999</v>
      </c>
      <c r="AL14">
        <v>0</v>
      </c>
      <c r="AM14" t="b">
        <v>1</v>
      </c>
      <c r="AN14" t="b">
        <v>1</v>
      </c>
      <c r="AP14">
        <v>99999</v>
      </c>
      <c r="AT14">
        <v>0</v>
      </c>
      <c r="AV14" t="s">
        <v>377</v>
      </c>
      <c r="BA14" t="s">
        <v>392</v>
      </c>
    </row>
    <row r="15" spans="1:53" x14ac:dyDescent="0.35">
      <c r="C15" t="s">
        <v>298</v>
      </c>
      <c r="D15" t="s">
        <v>60</v>
      </c>
      <c r="E15">
        <v>99999</v>
      </c>
      <c r="G15">
        <v>40000</v>
      </c>
      <c r="L15" t="s">
        <v>376</v>
      </c>
      <c r="M15" t="s">
        <v>386</v>
      </c>
      <c r="N15" t="s">
        <v>301</v>
      </c>
      <c r="O15" t="s">
        <v>375</v>
      </c>
      <c r="P15">
        <v>90</v>
      </c>
      <c r="S15">
        <v>399.9</v>
      </c>
      <c r="T15">
        <v>199.9</v>
      </c>
      <c r="U15">
        <v>0</v>
      </c>
      <c r="V15">
        <v>45</v>
      </c>
      <c r="Z15">
        <v>155</v>
      </c>
      <c r="AA15">
        <v>155</v>
      </c>
      <c r="AB15" s="114">
        <v>0</v>
      </c>
      <c r="AC15" t="s">
        <v>364</v>
      </c>
      <c r="AG15" t="s">
        <v>382</v>
      </c>
      <c r="AH15" t="s">
        <v>382</v>
      </c>
      <c r="AI15" t="s">
        <v>304</v>
      </c>
      <c r="AJ15">
        <v>99999</v>
      </c>
      <c r="AK15">
        <v>99999</v>
      </c>
      <c r="AL15">
        <v>0</v>
      </c>
      <c r="AM15" t="b">
        <v>1</v>
      </c>
      <c r="AN15" t="b">
        <v>1</v>
      </c>
      <c r="AP15">
        <v>99999</v>
      </c>
      <c r="AT15">
        <v>0</v>
      </c>
      <c r="AV15" t="s">
        <v>377</v>
      </c>
      <c r="BA15" t="s">
        <v>395</v>
      </c>
    </row>
    <row r="16" spans="1:53" x14ac:dyDescent="0.35">
      <c r="C16" t="s">
        <v>298</v>
      </c>
      <c r="D16" t="s">
        <v>60</v>
      </c>
      <c r="E16">
        <v>99999</v>
      </c>
      <c r="G16">
        <v>40000</v>
      </c>
      <c r="L16" t="s">
        <v>378</v>
      </c>
      <c r="M16" t="s">
        <v>386</v>
      </c>
      <c r="N16" t="s">
        <v>301</v>
      </c>
      <c r="O16" t="s">
        <v>375</v>
      </c>
      <c r="P16">
        <v>90</v>
      </c>
      <c r="S16">
        <v>399.9</v>
      </c>
      <c r="T16">
        <v>199.9</v>
      </c>
      <c r="U16">
        <v>0</v>
      </c>
      <c r="V16">
        <v>45</v>
      </c>
      <c r="Z16">
        <v>155</v>
      </c>
      <c r="AA16">
        <v>155</v>
      </c>
      <c r="AB16" s="114">
        <v>0</v>
      </c>
      <c r="AC16" t="s">
        <v>364</v>
      </c>
      <c r="AG16" t="s">
        <v>382</v>
      </c>
      <c r="AH16" t="s">
        <v>382</v>
      </c>
      <c r="AI16" t="s">
        <v>304</v>
      </c>
      <c r="AJ16">
        <v>99999</v>
      </c>
      <c r="AK16">
        <v>99999</v>
      </c>
      <c r="AL16">
        <v>0</v>
      </c>
      <c r="AM16" t="b">
        <v>1</v>
      </c>
      <c r="AN16" t="b">
        <v>1</v>
      </c>
      <c r="AP16">
        <v>99999</v>
      </c>
      <c r="AT16">
        <v>0</v>
      </c>
      <c r="AV16" t="s">
        <v>377</v>
      </c>
      <c r="BA16" t="s">
        <v>396</v>
      </c>
    </row>
    <row r="17" spans="3:53" x14ac:dyDescent="0.35">
      <c r="C17" t="s">
        <v>298</v>
      </c>
      <c r="D17" t="s">
        <v>60</v>
      </c>
      <c r="E17">
        <v>99999</v>
      </c>
      <c r="G17">
        <v>40000</v>
      </c>
      <c r="L17" t="s">
        <v>378</v>
      </c>
      <c r="M17" t="s">
        <v>386</v>
      </c>
      <c r="N17" t="s">
        <v>301</v>
      </c>
      <c r="O17" t="s">
        <v>375</v>
      </c>
      <c r="P17">
        <v>90</v>
      </c>
      <c r="S17">
        <v>399.9</v>
      </c>
      <c r="T17">
        <v>199.9</v>
      </c>
      <c r="U17">
        <v>0</v>
      </c>
      <c r="V17">
        <v>45</v>
      </c>
      <c r="Z17">
        <v>155</v>
      </c>
      <c r="AA17">
        <v>155</v>
      </c>
      <c r="AB17" s="114">
        <v>0</v>
      </c>
      <c r="AC17" t="s">
        <v>364</v>
      </c>
      <c r="AG17" t="s">
        <v>382</v>
      </c>
      <c r="AH17" t="s">
        <v>382</v>
      </c>
      <c r="AI17" t="s">
        <v>304</v>
      </c>
      <c r="AJ17">
        <v>99999</v>
      </c>
      <c r="AK17">
        <v>99999</v>
      </c>
      <c r="AL17">
        <v>0</v>
      </c>
      <c r="AM17" t="b">
        <v>1</v>
      </c>
      <c r="AN17" t="b">
        <v>1</v>
      </c>
      <c r="AP17">
        <v>99999</v>
      </c>
      <c r="AT17">
        <v>0</v>
      </c>
      <c r="AV17" t="s">
        <v>377</v>
      </c>
      <c r="BA17" t="s">
        <v>396</v>
      </c>
    </row>
    <row r="18" spans="3:53" x14ac:dyDescent="0.35">
      <c r="C18" t="s">
        <v>298</v>
      </c>
      <c r="D18" t="s">
        <v>60</v>
      </c>
      <c r="E18">
        <v>99999</v>
      </c>
      <c r="G18">
        <v>40000</v>
      </c>
      <c r="L18" t="s">
        <v>379</v>
      </c>
      <c r="M18" t="s">
        <v>386</v>
      </c>
      <c r="N18" t="s">
        <v>301</v>
      </c>
      <c r="O18" t="s">
        <v>375</v>
      </c>
      <c r="P18">
        <v>90</v>
      </c>
      <c r="S18">
        <v>399.9</v>
      </c>
      <c r="T18">
        <v>199.9</v>
      </c>
      <c r="U18">
        <v>0</v>
      </c>
      <c r="V18">
        <v>45</v>
      </c>
      <c r="Z18">
        <v>155</v>
      </c>
      <c r="AA18">
        <v>155</v>
      </c>
      <c r="AB18" s="114">
        <v>0</v>
      </c>
      <c r="AC18" t="s">
        <v>364</v>
      </c>
      <c r="AG18" t="s">
        <v>382</v>
      </c>
      <c r="AH18" t="s">
        <v>382</v>
      </c>
      <c r="AI18" t="s">
        <v>304</v>
      </c>
      <c r="AJ18">
        <v>99999</v>
      </c>
      <c r="AK18">
        <v>99999</v>
      </c>
      <c r="AL18">
        <v>0</v>
      </c>
      <c r="AM18" t="b">
        <v>1</v>
      </c>
      <c r="AN18" t="b">
        <v>1</v>
      </c>
      <c r="AP18">
        <v>99999</v>
      </c>
      <c r="AT18">
        <v>0</v>
      </c>
      <c r="AV18" t="s">
        <v>377</v>
      </c>
      <c r="BA18" t="s">
        <v>397</v>
      </c>
    </row>
    <row r="19" spans="3:53" x14ac:dyDescent="0.35">
      <c r="C19" t="s">
        <v>298</v>
      </c>
      <c r="D19" t="s">
        <v>60</v>
      </c>
      <c r="E19">
        <v>99999</v>
      </c>
      <c r="G19">
        <v>40000</v>
      </c>
      <c r="L19" t="s">
        <v>379</v>
      </c>
      <c r="M19" t="s">
        <v>386</v>
      </c>
      <c r="N19" t="s">
        <v>301</v>
      </c>
      <c r="O19" t="s">
        <v>375</v>
      </c>
      <c r="P19">
        <v>90</v>
      </c>
      <c r="S19">
        <v>399.9</v>
      </c>
      <c r="T19">
        <v>199.9</v>
      </c>
      <c r="U19">
        <v>0</v>
      </c>
      <c r="V19">
        <v>45</v>
      </c>
      <c r="Z19">
        <v>155</v>
      </c>
      <c r="AA19">
        <v>155</v>
      </c>
      <c r="AB19" s="114">
        <v>0</v>
      </c>
      <c r="AC19" t="s">
        <v>364</v>
      </c>
      <c r="AG19" t="s">
        <v>382</v>
      </c>
      <c r="AH19" t="s">
        <v>382</v>
      </c>
      <c r="AI19" t="s">
        <v>304</v>
      </c>
      <c r="AJ19">
        <v>99999</v>
      </c>
      <c r="AK19">
        <v>99999</v>
      </c>
      <c r="AL19">
        <v>0</v>
      </c>
      <c r="AM19" t="b">
        <v>1</v>
      </c>
      <c r="AN19" t="b">
        <v>1</v>
      </c>
      <c r="AP19">
        <v>99999</v>
      </c>
      <c r="AT19">
        <v>0</v>
      </c>
      <c r="AV19" t="s">
        <v>377</v>
      </c>
      <c r="BA19" t="s">
        <v>397</v>
      </c>
    </row>
    <row r="20" spans="3:53" x14ac:dyDescent="0.35">
      <c r="C20" t="s">
        <v>298</v>
      </c>
      <c r="D20" t="s">
        <v>60</v>
      </c>
      <c r="E20">
        <v>99999</v>
      </c>
      <c r="G20">
        <v>7000</v>
      </c>
      <c r="L20" t="s">
        <v>376</v>
      </c>
      <c r="M20" t="s">
        <v>386</v>
      </c>
      <c r="N20" t="s">
        <v>301</v>
      </c>
      <c r="O20" t="s">
        <v>375</v>
      </c>
      <c r="P20">
        <v>90</v>
      </c>
      <c r="S20">
        <v>294.89999999999998</v>
      </c>
      <c r="T20">
        <v>139.9</v>
      </c>
      <c r="U20">
        <v>0</v>
      </c>
      <c r="V20">
        <v>45</v>
      </c>
      <c r="Z20">
        <v>110</v>
      </c>
      <c r="AA20">
        <v>110</v>
      </c>
      <c r="AB20" s="114">
        <v>0</v>
      </c>
      <c r="AC20" t="s">
        <v>302</v>
      </c>
      <c r="AG20" t="s">
        <v>383</v>
      </c>
      <c r="AH20" t="s">
        <v>383</v>
      </c>
      <c r="AI20" t="s">
        <v>305</v>
      </c>
      <c r="AJ20">
        <v>99999</v>
      </c>
      <c r="AK20">
        <v>99999</v>
      </c>
      <c r="AL20">
        <v>0</v>
      </c>
      <c r="AM20" t="b">
        <v>1</v>
      </c>
      <c r="AN20" t="b">
        <v>1</v>
      </c>
      <c r="AP20">
        <v>99999</v>
      </c>
      <c r="AT20">
        <v>0</v>
      </c>
      <c r="AV20" t="s">
        <v>377</v>
      </c>
      <c r="BA20" t="s">
        <v>393</v>
      </c>
    </row>
    <row r="21" spans="3:53" x14ac:dyDescent="0.35">
      <c r="C21" t="s">
        <v>298</v>
      </c>
      <c r="D21" t="s">
        <v>60</v>
      </c>
      <c r="E21">
        <v>99999</v>
      </c>
      <c r="G21">
        <v>7000</v>
      </c>
      <c r="L21" t="s">
        <v>376</v>
      </c>
      <c r="M21" t="s">
        <v>386</v>
      </c>
      <c r="N21" t="s">
        <v>301</v>
      </c>
      <c r="O21" t="s">
        <v>375</v>
      </c>
      <c r="P21">
        <v>90</v>
      </c>
      <c r="S21">
        <v>294.89999999999998</v>
      </c>
      <c r="T21">
        <v>139.9</v>
      </c>
      <c r="U21">
        <v>0</v>
      </c>
      <c r="V21">
        <v>45</v>
      </c>
      <c r="Z21">
        <v>110</v>
      </c>
      <c r="AA21">
        <v>110</v>
      </c>
      <c r="AB21" s="114">
        <v>0</v>
      </c>
      <c r="AC21" t="s">
        <v>302</v>
      </c>
      <c r="AG21" t="s">
        <v>383</v>
      </c>
      <c r="AH21" t="s">
        <v>383</v>
      </c>
      <c r="AI21" t="s">
        <v>305</v>
      </c>
      <c r="AJ21">
        <v>99999</v>
      </c>
      <c r="AK21">
        <v>99999</v>
      </c>
      <c r="AL21">
        <v>0</v>
      </c>
      <c r="AM21" t="b">
        <v>1</v>
      </c>
      <c r="AN21" t="b">
        <v>1</v>
      </c>
      <c r="AP21">
        <v>99999</v>
      </c>
      <c r="AT21">
        <v>0</v>
      </c>
      <c r="AV21" t="s">
        <v>377</v>
      </c>
      <c r="BA21" t="s">
        <v>393</v>
      </c>
    </row>
    <row r="22" spans="3:53" x14ac:dyDescent="0.35">
      <c r="C22" t="s">
        <v>298</v>
      </c>
      <c r="D22" t="s">
        <v>60</v>
      </c>
      <c r="E22">
        <v>99999</v>
      </c>
      <c r="G22">
        <v>20000</v>
      </c>
      <c r="L22" t="s">
        <v>376</v>
      </c>
      <c r="M22" t="s">
        <v>386</v>
      </c>
      <c r="N22" t="s">
        <v>301</v>
      </c>
      <c r="O22" t="s">
        <v>375</v>
      </c>
      <c r="P22">
        <v>90</v>
      </c>
      <c r="S22">
        <v>354.9</v>
      </c>
      <c r="T22">
        <v>199.9</v>
      </c>
      <c r="U22">
        <v>0</v>
      </c>
      <c r="V22">
        <v>45</v>
      </c>
      <c r="Z22">
        <v>110</v>
      </c>
      <c r="AA22">
        <v>110</v>
      </c>
      <c r="AB22" s="114">
        <v>0</v>
      </c>
      <c r="AC22" t="s">
        <v>302</v>
      </c>
      <c r="AG22" t="s">
        <v>384</v>
      </c>
      <c r="AH22" t="s">
        <v>384</v>
      </c>
      <c r="AI22" t="s">
        <v>336</v>
      </c>
      <c r="AJ22">
        <v>99999</v>
      </c>
      <c r="AK22">
        <v>99999</v>
      </c>
      <c r="AL22">
        <v>0</v>
      </c>
      <c r="AM22" t="b">
        <v>1</v>
      </c>
      <c r="AN22" t="b">
        <v>1</v>
      </c>
      <c r="AP22">
        <v>99999</v>
      </c>
      <c r="AT22">
        <v>0</v>
      </c>
      <c r="AV22" t="s">
        <v>377</v>
      </c>
      <c r="BA22" t="s">
        <v>394</v>
      </c>
    </row>
    <row r="23" spans="3:53" x14ac:dyDescent="0.35">
      <c r="C23" t="s">
        <v>298</v>
      </c>
      <c r="D23" t="s">
        <v>60</v>
      </c>
      <c r="E23">
        <v>99999</v>
      </c>
      <c r="G23">
        <v>20000</v>
      </c>
      <c r="L23" t="s">
        <v>376</v>
      </c>
      <c r="M23" t="s">
        <v>386</v>
      </c>
      <c r="N23" t="s">
        <v>301</v>
      </c>
      <c r="O23" t="s">
        <v>375</v>
      </c>
      <c r="P23">
        <v>90</v>
      </c>
      <c r="S23">
        <v>354.9</v>
      </c>
      <c r="T23">
        <v>199.9</v>
      </c>
      <c r="U23">
        <v>0</v>
      </c>
      <c r="V23">
        <v>45</v>
      </c>
      <c r="Z23">
        <v>110</v>
      </c>
      <c r="AA23">
        <v>110</v>
      </c>
      <c r="AB23" s="114">
        <v>0</v>
      </c>
      <c r="AC23" t="s">
        <v>302</v>
      </c>
      <c r="AG23" t="s">
        <v>384</v>
      </c>
      <c r="AH23" t="s">
        <v>384</v>
      </c>
      <c r="AI23" t="s">
        <v>336</v>
      </c>
      <c r="AJ23">
        <v>99999</v>
      </c>
      <c r="AK23">
        <v>99999</v>
      </c>
      <c r="AL23">
        <v>0</v>
      </c>
      <c r="AM23" t="b">
        <v>1</v>
      </c>
      <c r="AN23" t="b">
        <v>1</v>
      </c>
      <c r="AP23">
        <v>99999</v>
      </c>
      <c r="AT23">
        <v>0</v>
      </c>
      <c r="AV23" t="s">
        <v>377</v>
      </c>
      <c r="BA23" t="s">
        <v>394</v>
      </c>
    </row>
    <row r="24" spans="3:53" x14ac:dyDescent="0.35">
      <c r="C24" t="s">
        <v>298</v>
      </c>
      <c r="D24" t="s">
        <v>60</v>
      </c>
      <c r="E24">
        <v>99999</v>
      </c>
      <c r="G24">
        <v>40000</v>
      </c>
      <c r="L24" t="s">
        <v>376</v>
      </c>
      <c r="M24" t="s">
        <v>386</v>
      </c>
      <c r="N24" t="s">
        <v>301</v>
      </c>
      <c r="O24" t="s">
        <v>375</v>
      </c>
      <c r="P24">
        <v>90</v>
      </c>
      <c r="S24">
        <v>399.9</v>
      </c>
      <c r="T24">
        <v>199.9</v>
      </c>
      <c r="U24">
        <v>0</v>
      </c>
      <c r="V24">
        <v>45</v>
      </c>
      <c r="Z24">
        <v>155</v>
      </c>
      <c r="AA24">
        <v>155</v>
      </c>
      <c r="AB24" s="114">
        <v>0</v>
      </c>
      <c r="AC24" t="s">
        <v>364</v>
      </c>
      <c r="AG24" t="s">
        <v>385</v>
      </c>
      <c r="AH24" t="s">
        <v>385</v>
      </c>
      <c r="AI24" t="s">
        <v>304</v>
      </c>
      <c r="AJ24">
        <v>99999</v>
      </c>
      <c r="AK24">
        <v>99999</v>
      </c>
      <c r="AL24">
        <v>0</v>
      </c>
      <c r="AM24" t="b">
        <v>1</v>
      </c>
      <c r="AN24" t="b">
        <v>1</v>
      </c>
      <c r="AP24">
        <v>99999</v>
      </c>
      <c r="AT24">
        <v>0</v>
      </c>
      <c r="AV24" t="s">
        <v>377</v>
      </c>
      <c r="BA24" t="s">
        <v>398</v>
      </c>
    </row>
    <row r="25" spans="3:53" x14ac:dyDescent="0.35">
      <c r="C25" t="s">
        <v>298</v>
      </c>
      <c r="D25" t="s">
        <v>60</v>
      </c>
      <c r="E25">
        <v>99999</v>
      </c>
      <c r="G25">
        <v>40000</v>
      </c>
      <c r="L25" t="s">
        <v>376</v>
      </c>
      <c r="M25" t="s">
        <v>386</v>
      </c>
      <c r="N25" t="s">
        <v>301</v>
      </c>
      <c r="O25" t="s">
        <v>375</v>
      </c>
      <c r="P25">
        <v>90</v>
      </c>
      <c r="S25">
        <v>399.9</v>
      </c>
      <c r="T25">
        <v>199.9</v>
      </c>
      <c r="U25">
        <v>0</v>
      </c>
      <c r="V25">
        <v>45</v>
      </c>
      <c r="Z25">
        <v>155</v>
      </c>
      <c r="AA25">
        <v>155</v>
      </c>
      <c r="AB25" s="114">
        <v>0</v>
      </c>
      <c r="AC25" t="s">
        <v>364</v>
      </c>
      <c r="AG25" t="s">
        <v>385</v>
      </c>
      <c r="AH25" t="s">
        <v>385</v>
      </c>
      <c r="AI25" t="s">
        <v>304</v>
      </c>
      <c r="AJ25">
        <v>99999</v>
      </c>
      <c r="AK25">
        <v>99999</v>
      </c>
      <c r="AL25">
        <v>0</v>
      </c>
      <c r="AM25" t="b">
        <v>1</v>
      </c>
      <c r="AN25" t="b">
        <v>1</v>
      </c>
      <c r="AP25">
        <v>99999</v>
      </c>
      <c r="AT25">
        <v>0</v>
      </c>
      <c r="AV25" t="s">
        <v>377</v>
      </c>
      <c r="BA25" t="s">
        <v>398</v>
      </c>
    </row>
  </sheetData>
  <autoFilter ref="A4:AY13" xr:uid="{00000000-0009-0000-0000-000002000000}"/>
  <sortState xmlns:xlrd2="http://schemas.microsoft.com/office/spreadsheetml/2017/richdata2" ref="A5:AX7">
    <sortCondition ref="P5:P7"/>
  </sortState>
  <dataConsolidate/>
  <dataValidations count="1">
    <dataValidation type="list" showInputMessage="1" error="Please select a valid value" promptTitle="select a value" sqref="Q3:Q4" xr:uid="{00000000-0002-0000-0200-000000000000}">
      <formula1>sssss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Import_Click">
                <anchor moveWithCells="1" sizeWithCells="1">
                  <from>
                    <xdr:col>4</xdr:col>
                    <xdr:colOff>25400</xdr:colOff>
                    <xdr:row>0</xdr:row>
                    <xdr:rowOff>50800</xdr:rowOff>
                  </from>
                  <to>
                    <xdr:col>4</xdr:col>
                    <xdr:colOff>1670050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8CE41-37AA-4A20-841C-E0E697112EA7}">
  <sheetPr codeName="Sheet4"/>
  <dimension ref="A2:BA508"/>
  <sheetViews>
    <sheetView workbookViewId="0">
      <selection activeCell="D13" sqref="D13"/>
    </sheetView>
  </sheetViews>
  <sheetFormatPr defaultRowHeight="14.5" x14ac:dyDescent="0.35"/>
  <cols>
    <col min="1" max="1" width="11" bestFit="1" customWidth="1"/>
    <col min="2" max="2" width="16.81640625" bestFit="1" customWidth="1"/>
    <col min="3" max="3" width="17.36328125" customWidth="1"/>
    <col min="4" max="4" width="27.1796875" style="111" bestFit="1" customWidth="1"/>
    <col min="5" max="5" width="27.54296875" bestFit="1" customWidth="1"/>
    <col min="6" max="6" width="12.54296875" style="111" bestFit="1" customWidth="1"/>
    <col min="7" max="7" width="19" bestFit="1" customWidth="1"/>
    <col min="8" max="8" width="17.1796875" bestFit="1" customWidth="1"/>
    <col min="9" max="9" width="12.54296875" bestFit="1" customWidth="1"/>
    <col min="10" max="10" width="15.54296875" bestFit="1" customWidth="1"/>
    <col min="11" max="11" width="22.54296875" bestFit="1" customWidth="1"/>
    <col min="12" max="12" width="34.453125" bestFit="1" customWidth="1"/>
    <col min="13" max="13" width="27.6328125" bestFit="1" customWidth="1"/>
    <col min="14" max="14" width="26.453125" bestFit="1" customWidth="1"/>
    <col min="15" max="15" width="38.81640625" style="114" bestFit="1" customWidth="1"/>
    <col min="16" max="16" width="38.08984375" bestFit="1" customWidth="1"/>
    <col min="17" max="17" width="28.90625" bestFit="1" customWidth="1"/>
    <col min="18" max="18" width="24.453125" bestFit="1" customWidth="1"/>
    <col min="19" max="19" width="31.1796875" bestFit="1" customWidth="1"/>
    <col min="20" max="20" width="26.54296875" bestFit="1" customWidth="1"/>
    <col min="21" max="21" width="34.81640625" bestFit="1" customWidth="1"/>
    <col min="22" max="23" width="23.453125" bestFit="1" customWidth="1"/>
    <col min="24" max="24" width="23.81640625" bestFit="1" customWidth="1"/>
    <col min="25" max="25" width="22" bestFit="1" customWidth="1"/>
    <col min="26" max="26" width="32.54296875" bestFit="1" customWidth="1"/>
    <col min="27" max="27" width="32.81640625" bestFit="1" customWidth="1"/>
    <col min="28" max="28" width="23.453125" bestFit="1" customWidth="1"/>
    <col min="29" max="29" width="30" bestFit="1" customWidth="1"/>
    <col min="30" max="30" width="28.54296875" bestFit="1" customWidth="1"/>
    <col min="31" max="31" width="32.54296875" bestFit="1" customWidth="1"/>
    <col min="32" max="32" width="43.81640625" bestFit="1" customWidth="1"/>
    <col min="33" max="34" width="54.1796875" bestFit="1" customWidth="1"/>
    <col min="35" max="35" width="40.1796875" bestFit="1" customWidth="1"/>
    <col min="36" max="38" width="44.453125" bestFit="1" customWidth="1"/>
    <col min="39" max="39" width="36.36328125" bestFit="1" customWidth="1"/>
    <col min="40" max="40" width="14.54296875" style="111" customWidth="1"/>
    <col min="41" max="41" width="17.1796875" style="111" bestFit="1" customWidth="1"/>
    <col min="42" max="42" width="20.81640625" style="111" bestFit="1" customWidth="1"/>
    <col min="43" max="43" width="12.81640625" bestFit="1" customWidth="1"/>
    <col min="44" max="44" width="18" bestFit="1" customWidth="1"/>
    <col min="45" max="45" width="16.81640625" bestFit="1" customWidth="1"/>
    <col min="46" max="46" width="14" style="114" bestFit="1" customWidth="1"/>
    <col min="47" max="47" width="20.1796875" bestFit="1" customWidth="1"/>
    <col min="48" max="48" width="16.7265625" customWidth="1"/>
    <col min="49" max="49" width="13.6328125" customWidth="1"/>
    <col min="50" max="50" width="12.90625" bestFit="1" customWidth="1"/>
    <col min="51" max="51" width="17.90625" customWidth="1"/>
    <col min="53" max="53" width="41.1796875" hidden="1" customWidth="1"/>
  </cols>
  <sheetData>
    <row r="2" spans="1:53" s="114" customFormat="1" x14ac:dyDescent="0.35">
      <c r="A2" s="114">
        <v>1</v>
      </c>
      <c r="B2" s="114">
        <v>2</v>
      </c>
      <c r="C2" s="114">
        <v>3</v>
      </c>
      <c r="D2" s="114">
        <v>4</v>
      </c>
      <c r="E2" s="114">
        <v>5</v>
      </c>
      <c r="F2" s="114">
        <v>6</v>
      </c>
      <c r="G2" s="114">
        <v>7</v>
      </c>
      <c r="H2" s="114">
        <v>8</v>
      </c>
      <c r="I2" s="114">
        <v>9</v>
      </c>
      <c r="J2" s="114">
        <v>10</v>
      </c>
      <c r="K2" s="114">
        <v>11</v>
      </c>
      <c r="L2" s="114">
        <v>12</v>
      </c>
      <c r="M2" s="114">
        <v>13</v>
      </c>
      <c r="N2" s="114">
        <v>14</v>
      </c>
      <c r="O2" s="114">
        <v>15</v>
      </c>
      <c r="P2" s="114">
        <v>16</v>
      </c>
      <c r="Q2" s="114">
        <v>17</v>
      </c>
      <c r="R2" s="114">
        <v>18</v>
      </c>
      <c r="S2" s="114">
        <v>19</v>
      </c>
      <c r="T2" s="114">
        <v>20</v>
      </c>
      <c r="U2" s="114">
        <v>21</v>
      </c>
      <c r="V2" s="114">
        <v>22</v>
      </c>
      <c r="W2" s="114">
        <v>23</v>
      </c>
      <c r="X2" s="114">
        <v>24</v>
      </c>
      <c r="Y2" s="114">
        <v>25</v>
      </c>
      <c r="Z2" s="114">
        <v>26</v>
      </c>
      <c r="AA2" s="114">
        <v>27</v>
      </c>
      <c r="AB2" s="114">
        <v>28</v>
      </c>
      <c r="AC2" s="114">
        <v>29</v>
      </c>
      <c r="AD2" s="114">
        <v>30</v>
      </c>
      <c r="AE2" s="114">
        <v>31</v>
      </c>
      <c r="AF2" s="114">
        <v>32</v>
      </c>
      <c r="AG2" s="114">
        <v>33</v>
      </c>
      <c r="AH2" s="114">
        <v>34</v>
      </c>
      <c r="AI2" s="114">
        <v>35</v>
      </c>
      <c r="AJ2" s="114">
        <v>36</v>
      </c>
      <c r="AK2" s="114">
        <v>37</v>
      </c>
      <c r="AL2" s="114">
        <v>38</v>
      </c>
      <c r="AM2" s="114">
        <v>39</v>
      </c>
      <c r="AN2" s="114">
        <v>40</v>
      </c>
      <c r="AO2" s="114">
        <v>41</v>
      </c>
      <c r="AP2" s="114">
        <v>42</v>
      </c>
      <c r="AQ2" s="114">
        <v>43</v>
      </c>
      <c r="AR2" s="114">
        <v>44</v>
      </c>
      <c r="AS2" s="114">
        <v>45</v>
      </c>
      <c r="AT2" s="114">
        <v>46</v>
      </c>
      <c r="AU2" s="114">
        <v>47</v>
      </c>
      <c r="AV2" s="114">
        <v>48</v>
      </c>
    </row>
    <row r="3" spans="1:53" x14ac:dyDescent="0.35">
      <c r="A3" s="1" t="s">
        <v>0</v>
      </c>
      <c r="B3" s="2" t="s">
        <v>337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  <c r="L3" s="3" t="s">
        <v>10</v>
      </c>
      <c r="M3" s="3" t="s">
        <v>11</v>
      </c>
      <c r="N3" s="3" t="s">
        <v>13</v>
      </c>
      <c r="O3" s="3" t="s">
        <v>14</v>
      </c>
      <c r="P3" s="3" t="s">
        <v>296</v>
      </c>
      <c r="Q3" s="4" t="s">
        <v>15</v>
      </c>
      <c r="R3" s="5" t="s">
        <v>338</v>
      </c>
      <c r="S3" s="5" t="s">
        <v>339</v>
      </c>
      <c r="T3" s="5" t="s">
        <v>340</v>
      </c>
      <c r="U3" s="5" t="s">
        <v>341</v>
      </c>
      <c r="V3" s="5" t="s">
        <v>342</v>
      </c>
      <c r="W3" s="5" t="s">
        <v>343</v>
      </c>
      <c r="X3" s="5" t="s">
        <v>344</v>
      </c>
      <c r="Y3" s="5" t="s">
        <v>345</v>
      </c>
      <c r="Z3" s="5" t="s">
        <v>346</v>
      </c>
      <c r="AA3" s="5" t="s">
        <v>347</v>
      </c>
      <c r="AB3" s="5" t="s">
        <v>348</v>
      </c>
      <c r="AC3" s="5" t="s">
        <v>12</v>
      </c>
      <c r="AD3" s="5" t="s">
        <v>16</v>
      </c>
      <c r="AE3" s="5" t="s">
        <v>17</v>
      </c>
      <c r="AF3" s="5" t="s">
        <v>18</v>
      </c>
      <c r="AG3" s="5" t="s">
        <v>349</v>
      </c>
      <c r="AH3" s="5" t="s">
        <v>350</v>
      </c>
      <c r="AI3" s="5" t="s">
        <v>19</v>
      </c>
      <c r="AJ3" s="5" t="s">
        <v>20</v>
      </c>
      <c r="AK3" s="5" t="s">
        <v>21</v>
      </c>
      <c r="AL3" s="5" t="s">
        <v>22</v>
      </c>
      <c r="AM3" s="5" t="s">
        <v>23</v>
      </c>
      <c r="AN3" s="5" t="s">
        <v>24</v>
      </c>
      <c r="AO3" s="5" t="s">
        <v>25</v>
      </c>
      <c r="AP3" s="5" t="s">
        <v>26</v>
      </c>
      <c r="AQ3" s="5" t="s">
        <v>27</v>
      </c>
      <c r="AR3" s="5" t="s">
        <v>57</v>
      </c>
      <c r="AS3" s="5" t="s">
        <v>351</v>
      </c>
      <c r="AT3" s="5" t="s">
        <v>28</v>
      </c>
      <c r="AU3" s="5" t="s">
        <v>58</v>
      </c>
      <c r="AV3" s="5" t="s">
        <v>352</v>
      </c>
    </row>
    <row r="4" spans="1:53" x14ac:dyDescent="0.35">
      <c r="A4" s="6" t="s">
        <v>29</v>
      </c>
      <c r="B4" s="7" t="s">
        <v>353</v>
      </c>
      <c r="C4" s="8" t="s">
        <v>1</v>
      </c>
      <c r="D4" s="8" t="s">
        <v>30</v>
      </c>
      <c r="E4" s="8" t="s">
        <v>31</v>
      </c>
      <c r="F4" s="8" t="s">
        <v>32</v>
      </c>
      <c r="G4" s="8" t="s">
        <v>33</v>
      </c>
      <c r="H4" s="8" t="s">
        <v>34</v>
      </c>
      <c r="I4" s="8" t="s">
        <v>7</v>
      </c>
      <c r="J4" s="8" t="s">
        <v>8</v>
      </c>
      <c r="K4" s="8" t="s">
        <v>35</v>
      </c>
      <c r="L4" s="8" t="s">
        <v>36</v>
      </c>
      <c r="M4" s="8" t="s">
        <v>37</v>
      </c>
      <c r="N4" s="8" t="s">
        <v>38</v>
      </c>
      <c r="O4" s="8" t="s">
        <v>39</v>
      </c>
      <c r="P4" s="9" t="s">
        <v>297</v>
      </c>
      <c r="Q4" s="10"/>
      <c r="R4" s="5" t="s">
        <v>354</v>
      </c>
      <c r="S4" s="5" t="s">
        <v>40</v>
      </c>
      <c r="T4" s="5" t="s">
        <v>41</v>
      </c>
      <c r="U4" s="5" t="s">
        <v>42</v>
      </c>
      <c r="V4" s="5" t="s">
        <v>43</v>
      </c>
      <c r="W4" s="5" t="s">
        <v>44</v>
      </c>
      <c r="X4" s="5" t="s">
        <v>45</v>
      </c>
      <c r="Y4" s="5" t="s">
        <v>46</v>
      </c>
      <c r="Z4" s="5" t="s">
        <v>47</v>
      </c>
      <c r="AA4" s="5" t="s">
        <v>48</v>
      </c>
      <c r="AB4" s="5" t="s">
        <v>49</v>
      </c>
      <c r="AC4" s="5" t="s">
        <v>12</v>
      </c>
      <c r="AD4" s="5" t="s">
        <v>50</v>
      </c>
      <c r="AE4" s="5" t="s">
        <v>51</v>
      </c>
      <c r="AF4" s="5" t="s">
        <v>18</v>
      </c>
      <c r="AG4" s="5" t="s">
        <v>355</v>
      </c>
      <c r="AH4" s="5" t="s">
        <v>356</v>
      </c>
      <c r="AI4" s="5" t="s">
        <v>19</v>
      </c>
      <c r="AJ4" s="5" t="s">
        <v>52</v>
      </c>
      <c r="AK4" s="5" t="s">
        <v>53</v>
      </c>
      <c r="AL4" s="5" t="s">
        <v>54</v>
      </c>
      <c r="AM4" s="5" t="s">
        <v>23</v>
      </c>
      <c r="AN4" s="5" t="s">
        <v>24</v>
      </c>
      <c r="AO4" s="5" t="s">
        <v>25</v>
      </c>
      <c r="AP4" s="5" t="s">
        <v>26</v>
      </c>
      <c r="AQ4" s="5" t="s">
        <v>55</v>
      </c>
      <c r="AR4" s="5" t="s">
        <v>59</v>
      </c>
      <c r="AS4" s="5" t="s">
        <v>56</v>
      </c>
      <c r="AT4" s="5" t="s">
        <v>28</v>
      </c>
      <c r="AU4" s="5" t="s">
        <v>58</v>
      </c>
      <c r="AV4" s="5" t="s">
        <v>357</v>
      </c>
    </row>
    <row r="5" spans="1:53" x14ac:dyDescent="0.35">
      <c r="A5" t="s">
        <v>371</v>
      </c>
      <c r="C5" t="s">
        <v>298</v>
      </c>
      <c r="D5" t="s">
        <v>60</v>
      </c>
      <c r="E5">
        <v>99999</v>
      </c>
      <c r="F5"/>
      <c r="G5">
        <v>20000</v>
      </c>
      <c r="L5" t="s">
        <v>358</v>
      </c>
      <c r="N5" t="s">
        <v>301</v>
      </c>
      <c r="O5" t="s">
        <v>372</v>
      </c>
      <c r="P5">
        <v>30</v>
      </c>
      <c r="Q5" s="109"/>
      <c r="S5">
        <v>218.9</v>
      </c>
      <c r="T5">
        <v>99.9</v>
      </c>
      <c r="U5">
        <v>0</v>
      </c>
      <c r="V5">
        <v>24.1</v>
      </c>
      <c r="Z5">
        <v>94.9</v>
      </c>
      <c r="AA5">
        <v>94.9</v>
      </c>
      <c r="AB5">
        <v>0</v>
      </c>
      <c r="AC5" t="s">
        <v>302</v>
      </c>
      <c r="AG5" t="s">
        <v>362</v>
      </c>
      <c r="AH5" t="s">
        <v>362</v>
      </c>
      <c r="AI5" t="s">
        <v>336</v>
      </c>
      <c r="AJ5">
        <v>99999</v>
      </c>
      <c r="AK5">
        <v>99999</v>
      </c>
      <c r="AL5">
        <v>1200</v>
      </c>
      <c r="AM5" t="b">
        <v>1</v>
      </c>
      <c r="AN5" s="111" t="b">
        <v>1</v>
      </c>
      <c r="AP5" s="111">
        <v>99999</v>
      </c>
      <c r="AT5" s="114">
        <v>12</v>
      </c>
      <c r="AV5" t="s">
        <v>360</v>
      </c>
      <c r="BA5" t="s">
        <v>363</v>
      </c>
    </row>
    <row r="6" spans="1:53" x14ac:dyDescent="0.35">
      <c r="A6" t="s">
        <v>371</v>
      </c>
      <c r="C6" t="s">
        <v>298</v>
      </c>
      <c r="D6" t="s">
        <v>60</v>
      </c>
      <c r="E6">
        <v>99999</v>
      </c>
      <c r="F6"/>
      <c r="G6">
        <v>40000</v>
      </c>
      <c r="L6" t="s">
        <v>358</v>
      </c>
      <c r="N6" t="s">
        <v>301</v>
      </c>
      <c r="O6" t="s">
        <v>372</v>
      </c>
      <c r="P6">
        <v>30</v>
      </c>
      <c r="Q6" s="109"/>
      <c r="S6">
        <v>218.9</v>
      </c>
      <c r="T6">
        <v>99.9</v>
      </c>
      <c r="U6">
        <v>0</v>
      </c>
      <c r="V6">
        <v>24.1</v>
      </c>
      <c r="Z6">
        <v>94.9</v>
      </c>
      <c r="AA6">
        <v>94.9</v>
      </c>
      <c r="AB6">
        <v>0</v>
      </c>
      <c r="AC6" t="s">
        <v>302</v>
      </c>
      <c r="AG6" t="s">
        <v>368</v>
      </c>
      <c r="AH6" t="s">
        <v>368</v>
      </c>
      <c r="AI6" t="s">
        <v>304</v>
      </c>
      <c r="AJ6">
        <v>99999</v>
      </c>
      <c r="AK6">
        <v>99999</v>
      </c>
      <c r="AL6">
        <v>1200</v>
      </c>
      <c r="AM6" t="b">
        <v>1</v>
      </c>
      <c r="AN6" s="111" t="b">
        <v>1</v>
      </c>
      <c r="AP6" s="111">
        <v>99999</v>
      </c>
      <c r="AT6" s="114">
        <v>12</v>
      </c>
      <c r="AV6" t="s">
        <v>360</v>
      </c>
      <c r="BA6" t="s">
        <v>369</v>
      </c>
    </row>
    <row r="7" spans="1:53" x14ac:dyDescent="0.35">
      <c r="A7" t="s">
        <v>371</v>
      </c>
      <c r="C7" t="s">
        <v>298</v>
      </c>
      <c r="D7" t="s">
        <v>60</v>
      </c>
      <c r="E7">
        <v>99999</v>
      </c>
      <c r="F7"/>
      <c r="G7">
        <v>40000</v>
      </c>
      <c r="L7" t="s">
        <v>358</v>
      </c>
      <c r="N7" t="s">
        <v>301</v>
      </c>
      <c r="O7" t="s">
        <v>372</v>
      </c>
      <c r="P7">
        <v>30</v>
      </c>
      <c r="Q7" s="109"/>
      <c r="S7">
        <v>258.90000000000003</v>
      </c>
      <c r="T7">
        <v>99.9</v>
      </c>
      <c r="U7">
        <v>0</v>
      </c>
      <c r="V7">
        <v>24.1</v>
      </c>
      <c r="Z7">
        <v>134.9</v>
      </c>
      <c r="AA7">
        <v>134.9</v>
      </c>
      <c r="AB7">
        <v>0</v>
      </c>
      <c r="AC7" t="s">
        <v>364</v>
      </c>
      <c r="AG7" t="s">
        <v>365</v>
      </c>
      <c r="AH7" t="s">
        <v>365</v>
      </c>
      <c r="AI7" t="s">
        <v>304</v>
      </c>
      <c r="AJ7">
        <v>99999</v>
      </c>
      <c r="AK7">
        <v>99999</v>
      </c>
      <c r="AL7">
        <v>1200</v>
      </c>
      <c r="AM7" t="b">
        <v>1</v>
      </c>
      <c r="AN7" s="111" t="b">
        <v>1</v>
      </c>
      <c r="AP7" s="111">
        <v>99999</v>
      </c>
      <c r="AT7" s="114">
        <v>12</v>
      </c>
      <c r="AV7" t="s">
        <v>360</v>
      </c>
      <c r="BA7" t="s">
        <v>373</v>
      </c>
    </row>
    <row r="8" spans="1:53" x14ac:dyDescent="0.35">
      <c r="A8" t="s">
        <v>371</v>
      </c>
      <c r="B8" s="110"/>
      <c r="C8" t="s">
        <v>298</v>
      </c>
      <c r="D8" t="s">
        <v>60</v>
      </c>
      <c r="E8">
        <v>99999</v>
      </c>
      <c r="F8"/>
      <c r="G8">
        <v>40000</v>
      </c>
      <c r="L8" t="s">
        <v>358</v>
      </c>
      <c r="N8" t="s">
        <v>301</v>
      </c>
      <c r="O8" t="s">
        <v>372</v>
      </c>
      <c r="P8">
        <v>30</v>
      </c>
      <c r="Q8" s="109"/>
      <c r="S8">
        <v>258.90000000000003</v>
      </c>
      <c r="T8">
        <v>99.9</v>
      </c>
      <c r="U8">
        <v>0</v>
      </c>
      <c r="V8">
        <v>24.1</v>
      </c>
      <c r="Z8">
        <v>134.9</v>
      </c>
      <c r="AA8">
        <v>134.9</v>
      </c>
      <c r="AB8">
        <v>0</v>
      </c>
      <c r="AC8" t="s">
        <v>364</v>
      </c>
      <c r="AG8" t="s">
        <v>370</v>
      </c>
      <c r="AH8" t="s">
        <v>370</v>
      </c>
      <c r="AI8" t="s">
        <v>304</v>
      </c>
      <c r="AJ8">
        <v>99999</v>
      </c>
      <c r="AK8">
        <v>99999</v>
      </c>
      <c r="AL8">
        <v>1200</v>
      </c>
      <c r="AM8" t="b">
        <v>1</v>
      </c>
      <c r="AN8" s="111" t="b">
        <v>1</v>
      </c>
      <c r="AP8" s="111">
        <v>99999</v>
      </c>
      <c r="AT8" s="114">
        <v>12</v>
      </c>
      <c r="AV8" t="s">
        <v>360</v>
      </c>
      <c r="BA8" t="s">
        <v>374</v>
      </c>
    </row>
    <row r="9" spans="1:53" x14ac:dyDescent="0.35">
      <c r="A9" t="s">
        <v>371</v>
      </c>
      <c r="C9" t="s">
        <v>298</v>
      </c>
      <c r="D9" t="s">
        <v>60</v>
      </c>
      <c r="E9">
        <v>99999</v>
      </c>
      <c r="F9"/>
      <c r="G9">
        <v>7000</v>
      </c>
      <c r="L9" t="s">
        <v>358</v>
      </c>
      <c r="N9" t="s">
        <v>301</v>
      </c>
      <c r="O9" t="s">
        <v>372</v>
      </c>
      <c r="P9">
        <v>30</v>
      </c>
      <c r="Q9" s="109"/>
      <c r="S9">
        <v>188.9</v>
      </c>
      <c r="T9">
        <v>69.900000000000006</v>
      </c>
      <c r="U9">
        <v>0</v>
      </c>
      <c r="V9">
        <v>24.1</v>
      </c>
      <c r="Z9">
        <v>94.9</v>
      </c>
      <c r="AA9">
        <v>94.9</v>
      </c>
      <c r="AB9">
        <v>0</v>
      </c>
      <c r="AC9" t="s">
        <v>302</v>
      </c>
      <c r="AG9" t="s">
        <v>366</v>
      </c>
      <c r="AH9" t="s">
        <v>366</v>
      </c>
      <c r="AI9" t="s">
        <v>305</v>
      </c>
      <c r="AJ9">
        <v>99999</v>
      </c>
      <c r="AK9">
        <v>99999</v>
      </c>
      <c r="AL9">
        <v>1200</v>
      </c>
      <c r="AM9" t="b">
        <v>1</v>
      </c>
      <c r="AN9" s="111" t="b">
        <v>1</v>
      </c>
      <c r="AP9" s="111">
        <v>99999</v>
      </c>
      <c r="AT9" s="114">
        <v>12</v>
      </c>
      <c r="AV9" t="s">
        <v>360</v>
      </c>
      <c r="BA9" t="s">
        <v>367</v>
      </c>
    </row>
    <row r="10" spans="1:53" x14ac:dyDescent="0.35">
      <c r="A10" t="s">
        <v>371</v>
      </c>
      <c r="B10" s="110"/>
      <c r="C10" t="s">
        <v>298</v>
      </c>
      <c r="D10" t="s">
        <v>60</v>
      </c>
      <c r="E10">
        <v>99999</v>
      </c>
      <c r="F10"/>
      <c r="G10">
        <v>7000</v>
      </c>
      <c r="L10" t="s">
        <v>358</v>
      </c>
      <c r="N10" t="s">
        <v>301</v>
      </c>
      <c r="O10" s="114" t="s">
        <v>372</v>
      </c>
      <c r="P10">
        <v>30</v>
      </c>
      <c r="Q10" s="109"/>
      <c r="S10">
        <v>188.9</v>
      </c>
      <c r="T10">
        <v>69.900000000000006</v>
      </c>
      <c r="U10">
        <v>0</v>
      </c>
      <c r="V10">
        <v>24.1</v>
      </c>
      <c r="Z10">
        <v>94.9</v>
      </c>
      <c r="AA10">
        <v>94.9</v>
      </c>
      <c r="AB10">
        <v>0</v>
      </c>
      <c r="AC10" t="s">
        <v>302</v>
      </c>
      <c r="AG10" t="s">
        <v>359</v>
      </c>
      <c r="AH10" t="s">
        <v>359</v>
      </c>
      <c r="AI10" t="s">
        <v>305</v>
      </c>
      <c r="AJ10">
        <v>99999</v>
      </c>
      <c r="AK10">
        <v>99999</v>
      </c>
      <c r="AL10">
        <v>1200</v>
      </c>
      <c r="AM10" t="b">
        <v>1</v>
      </c>
      <c r="AN10" s="111" t="b">
        <v>1</v>
      </c>
      <c r="AP10" s="111">
        <v>99999</v>
      </c>
      <c r="AT10" s="114">
        <v>12</v>
      </c>
      <c r="AV10" t="s">
        <v>360</v>
      </c>
      <c r="BA10" t="s">
        <v>361</v>
      </c>
    </row>
    <row r="11" spans="1:53" x14ac:dyDescent="0.35">
      <c r="A11" t="s">
        <v>303</v>
      </c>
      <c r="D11"/>
      <c r="F11"/>
      <c r="O11"/>
      <c r="Q11" s="109"/>
    </row>
    <row r="12" spans="1:53" x14ac:dyDescent="0.35">
      <c r="D12"/>
      <c r="F12"/>
      <c r="O12"/>
      <c r="Q12" s="109"/>
    </row>
    <row r="13" spans="1:53" x14ac:dyDescent="0.35">
      <c r="D13"/>
      <c r="F13"/>
      <c r="O13"/>
      <c r="Q13" s="109"/>
    </row>
    <row r="14" spans="1:53" x14ac:dyDescent="0.35">
      <c r="D14"/>
      <c r="F14"/>
      <c r="O14"/>
      <c r="Q14" s="109"/>
    </row>
    <row r="15" spans="1:53" x14ac:dyDescent="0.35">
      <c r="D15"/>
      <c r="F15"/>
      <c r="O15"/>
      <c r="Q15" s="109"/>
    </row>
    <row r="16" spans="1:53" x14ac:dyDescent="0.35">
      <c r="D16"/>
      <c r="F16"/>
      <c r="O16"/>
      <c r="Q16" s="109"/>
    </row>
    <row r="17" spans="2:46" x14ac:dyDescent="0.35">
      <c r="D17"/>
      <c r="F17"/>
      <c r="O17"/>
      <c r="Q17" s="109"/>
    </row>
    <row r="18" spans="2:46" x14ac:dyDescent="0.35">
      <c r="D18"/>
      <c r="F18"/>
      <c r="O18"/>
      <c r="Q18" s="109"/>
    </row>
    <row r="19" spans="2:46" x14ac:dyDescent="0.35">
      <c r="B19" s="110"/>
      <c r="D19"/>
      <c r="F19"/>
      <c r="O19"/>
      <c r="Q19" s="109"/>
    </row>
    <row r="20" spans="2:46" x14ac:dyDescent="0.35">
      <c r="D20"/>
      <c r="F20"/>
      <c r="Q20" s="109"/>
    </row>
    <row r="21" spans="2:46" x14ac:dyDescent="0.35">
      <c r="D21"/>
      <c r="F21"/>
      <c r="O21"/>
      <c r="Q21" s="109"/>
    </row>
    <row r="22" spans="2:46" x14ac:dyDescent="0.35">
      <c r="D22"/>
      <c r="F22"/>
      <c r="O22"/>
      <c r="Q22" s="109"/>
    </row>
    <row r="23" spans="2:46" x14ac:dyDescent="0.35">
      <c r="D23"/>
      <c r="F23"/>
      <c r="O23"/>
      <c r="AT23"/>
    </row>
    <row r="24" spans="2:46" x14ac:dyDescent="0.35">
      <c r="D24"/>
      <c r="F24"/>
      <c r="O24"/>
      <c r="AT24"/>
    </row>
    <row r="25" spans="2:46" x14ac:dyDescent="0.35">
      <c r="D25"/>
      <c r="F25"/>
      <c r="O25"/>
      <c r="AT25"/>
    </row>
    <row r="26" spans="2:46" x14ac:dyDescent="0.35">
      <c r="D26"/>
      <c r="F26"/>
      <c r="O26"/>
      <c r="AT26"/>
    </row>
    <row r="27" spans="2:46" x14ac:dyDescent="0.35">
      <c r="D27"/>
      <c r="F27"/>
      <c r="O27"/>
      <c r="AT27"/>
    </row>
    <row r="28" spans="2:46" x14ac:dyDescent="0.35">
      <c r="D28"/>
      <c r="F28"/>
      <c r="O28"/>
      <c r="AT28"/>
    </row>
    <row r="29" spans="2:46" x14ac:dyDescent="0.35">
      <c r="D29"/>
      <c r="F29"/>
      <c r="O29"/>
      <c r="AT29"/>
    </row>
    <row r="30" spans="2:46" x14ac:dyDescent="0.35">
      <c r="D30"/>
      <c r="F30"/>
      <c r="O30"/>
      <c r="AT30"/>
    </row>
    <row r="31" spans="2:46" x14ac:dyDescent="0.35">
      <c r="D31"/>
      <c r="F31"/>
      <c r="O31"/>
      <c r="AT31"/>
    </row>
    <row r="32" spans="2:46" x14ac:dyDescent="0.35">
      <c r="D32"/>
      <c r="F32"/>
      <c r="O32"/>
      <c r="AT32"/>
    </row>
    <row r="33" spans="4:46" x14ac:dyDescent="0.35">
      <c r="D33"/>
      <c r="F33"/>
      <c r="O33"/>
      <c r="AT33"/>
    </row>
    <row r="34" spans="4:46" x14ac:dyDescent="0.35">
      <c r="D34"/>
      <c r="F34"/>
      <c r="O34"/>
      <c r="AT34"/>
    </row>
    <row r="35" spans="4:46" x14ac:dyDescent="0.35">
      <c r="D35"/>
      <c r="F35"/>
      <c r="O35"/>
      <c r="AT35"/>
    </row>
    <row r="36" spans="4:46" x14ac:dyDescent="0.35">
      <c r="D36"/>
      <c r="F36"/>
      <c r="O36"/>
      <c r="AT36"/>
    </row>
    <row r="37" spans="4:46" x14ac:dyDescent="0.35">
      <c r="D37"/>
      <c r="F37"/>
      <c r="O37"/>
      <c r="AT37"/>
    </row>
    <row r="38" spans="4:46" x14ac:dyDescent="0.35">
      <c r="D38"/>
      <c r="F38"/>
      <c r="O38"/>
      <c r="AT38"/>
    </row>
    <row r="39" spans="4:46" x14ac:dyDescent="0.35">
      <c r="D39"/>
      <c r="F39"/>
      <c r="O39"/>
      <c r="AT39"/>
    </row>
    <row r="40" spans="4:46" x14ac:dyDescent="0.35">
      <c r="D40"/>
      <c r="F40"/>
      <c r="O40"/>
      <c r="AT40"/>
    </row>
    <row r="43" spans="4:46" x14ac:dyDescent="0.35">
      <c r="D43"/>
      <c r="F43"/>
    </row>
    <row r="44" spans="4:46" x14ac:dyDescent="0.35">
      <c r="D44"/>
      <c r="F44"/>
    </row>
    <row r="45" spans="4:46" x14ac:dyDescent="0.35">
      <c r="D45"/>
      <c r="F45"/>
    </row>
    <row r="46" spans="4:46" x14ac:dyDescent="0.35">
      <c r="D46"/>
      <c r="F46"/>
    </row>
    <row r="47" spans="4:46" x14ac:dyDescent="0.35">
      <c r="D47"/>
      <c r="F47"/>
      <c r="O47"/>
    </row>
    <row r="48" spans="4:46" x14ac:dyDescent="0.35">
      <c r="D48"/>
      <c r="F48"/>
      <c r="O48"/>
    </row>
    <row r="49" spans="4:15" x14ac:dyDescent="0.35">
      <c r="D49"/>
      <c r="F49"/>
      <c r="O49"/>
    </row>
    <row r="50" spans="4:15" x14ac:dyDescent="0.35">
      <c r="D50"/>
      <c r="F50"/>
      <c r="O50"/>
    </row>
    <row r="51" spans="4:15" x14ac:dyDescent="0.35">
      <c r="D51"/>
      <c r="F51"/>
      <c r="O51"/>
    </row>
    <row r="52" spans="4:15" x14ac:dyDescent="0.35">
      <c r="D52"/>
      <c r="F52"/>
      <c r="O52"/>
    </row>
    <row r="53" spans="4:15" x14ac:dyDescent="0.35">
      <c r="D53"/>
      <c r="F53"/>
      <c r="O53"/>
    </row>
    <row r="54" spans="4:15" x14ac:dyDescent="0.35">
      <c r="D54"/>
      <c r="F54"/>
      <c r="O54"/>
    </row>
    <row r="55" spans="4:15" x14ac:dyDescent="0.35">
      <c r="D55"/>
      <c r="F55"/>
      <c r="O55"/>
    </row>
    <row r="56" spans="4:15" x14ac:dyDescent="0.35">
      <c r="D56"/>
      <c r="F56"/>
      <c r="O56"/>
    </row>
    <row r="57" spans="4:15" x14ac:dyDescent="0.35">
      <c r="D57"/>
      <c r="F57"/>
      <c r="O57"/>
    </row>
    <row r="58" spans="4:15" x14ac:dyDescent="0.35">
      <c r="D58"/>
      <c r="F58"/>
      <c r="O58"/>
    </row>
    <row r="59" spans="4:15" x14ac:dyDescent="0.35">
      <c r="D59"/>
      <c r="F59"/>
      <c r="O59"/>
    </row>
    <row r="60" spans="4:15" x14ac:dyDescent="0.35">
      <c r="D60"/>
      <c r="F60"/>
      <c r="O60"/>
    </row>
    <row r="61" spans="4:15" x14ac:dyDescent="0.35">
      <c r="D61"/>
      <c r="F61"/>
      <c r="O61"/>
    </row>
    <row r="62" spans="4:15" x14ac:dyDescent="0.35">
      <c r="D62"/>
      <c r="F62"/>
      <c r="O62"/>
    </row>
    <row r="63" spans="4:15" x14ac:dyDescent="0.35">
      <c r="D63"/>
      <c r="F63"/>
      <c r="O63"/>
    </row>
    <row r="64" spans="4:15" x14ac:dyDescent="0.35">
      <c r="D64"/>
      <c r="F64"/>
      <c r="O64"/>
    </row>
    <row r="65" spans="4:15" x14ac:dyDescent="0.35">
      <c r="D65"/>
      <c r="F65"/>
    </row>
    <row r="66" spans="4:15" x14ac:dyDescent="0.35">
      <c r="D66"/>
      <c r="F66"/>
    </row>
    <row r="67" spans="4:15" x14ac:dyDescent="0.35">
      <c r="D67"/>
      <c r="F67"/>
    </row>
    <row r="68" spans="4:15" x14ac:dyDescent="0.35">
      <c r="F68"/>
    </row>
    <row r="69" spans="4:15" x14ac:dyDescent="0.35">
      <c r="D69"/>
      <c r="F69"/>
    </row>
    <row r="70" spans="4:15" x14ac:dyDescent="0.35">
      <c r="D70"/>
      <c r="F70"/>
    </row>
    <row r="71" spans="4:15" x14ac:dyDescent="0.35">
      <c r="D71"/>
      <c r="F71"/>
      <c r="O71"/>
    </row>
    <row r="72" spans="4:15" x14ac:dyDescent="0.35">
      <c r="D72"/>
      <c r="F72"/>
      <c r="O72"/>
    </row>
    <row r="73" spans="4:15" x14ac:dyDescent="0.35">
      <c r="D73"/>
      <c r="F73"/>
      <c r="O73"/>
    </row>
    <row r="74" spans="4:15" x14ac:dyDescent="0.35">
      <c r="D74"/>
      <c r="F74"/>
      <c r="O74"/>
    </row>
    <row r="75" spans="4:15" x14ac:dyDescent="0.35">
      <c r="D75"/>
      <c r="F75"/>
      <c r="O75"/>
    </row>
    <row r="76" spans="4:15" x14ac:dyDescent="0.35">
      <c r="D76"/>
      <c r="F76"/>
      <c r="O76"/>
    </row>
    <row r="77" spans="4:15" x14ac:dyDescent="0.35">
      <c r="D77"/>
      <c r="F77"/>
      <c r="O77"/>
    </row>
    <row r="78" spans="4:15" x14ac:dyDescent="0.35">
      <c r="D78"/>
      <c r="F78"/>
      <c r="O78"/>
    </row>
    <row r="79" spans="4:15" x14ac:dyDescent="0.35">
      <c r="D79"/>
      <c r="F79"/>
      <c r="O79"/>
    </row>
    <row r="80" spans="4:15" x14ac:dyDescent="0.35">
      <c r="D80"/>
      <c r="F80"/>
      <c r="O80"/>
    </row>
    <row r="81" spans="2:17" x14ac:dyDescent="0.35">
      <c r="D81"/>
      <c r="F81"/>
      <c r="O81"/>
    </row>
    <row r="82" spans="2:17" x14ac:dyDescent="0.35">
      <c r="D82"/>
      <c r="F82"/>
      <c r="O82"/>
    </row>
    <row r="83" spans="2:17" x14ac:dyDescent="0.35">
      <c r="D83"/>
      <c r="F83"/>
      <c r="O83"/>
    </row>
    <row r="84" spans="2:17" x14ac:dyDescent="0.35">
      <c r="D84"/>
      <c r="F84"/>
      <c r="O84"/>
    </row>
    <row r="85" spans="2:17" x14ac:dyDescent="0.35">
      <c r="D85"/>
      <c r="F85"/>
      <c r="O85"/>
    </row>
    <row r="86" spans="2:17" x14ac:dyDescent="0.35">
      <c r="D86"/>
      <c r="F86"/>
      <c r="O86"/>
    </row>
    <row r="87" spans="2:17" x14ac:dyDescent="0.35">
      <c r="D87"/>
      <c r="F87"/>
      <c r="O87"/>
    </row>
    <row r="88" spans="2:17" x14ac:dyDescent="0.35">
      <c r="D88"/>
      <c r="F88"/>
      <c r="O88"/>
    </row>
    <row r="89" spans="2:17" x14ac:dyDescent="0.35">
      <c r="B89" s="110"/>
      <c r="D89"/>
      <c r="F89"/>
      <c r="Q89" s="110"/>
    </row>
    <row r="90" spans="2:17" x14ac:dyDescent="0.35">
      <c r="D90"/>
      <c r="F90"/>
    </row>
    <row r="91" spans="2:17" x14ac:dyDescent="0.35">
      <c r="D91"/>
      <c r="F91"/>
    </row>
    <row r="92" spans="2:17" x14ac:dyDescent="0.35">
      <c r="D92"/>
      <c r="F92"/>
    </row>
    <row r="93" spans="2:17" x14ac:dyDescent="0.35">
      <c r="D93"/>
      <c r="F93"/>
    </row>
    <row r="95" spans="2:17" x14ac:dyDescent="0.35">
      <c r="D95"/>
      <c r="F95"/>
      <c r="O95"/>
    </row>
    <row r="96" spans="2:17" x14ac:dyDescent="0.35">
      <c r="D96"/>
      <c r="F96"/>
      <c r="O96"/>
    </row>
    <row r="97" spans="4:15" x14ac:dyDescent="0.35">
      <c r="D97"/>
      <c r="F97"/>
      <c r="O97"/>
    </row>
    <row r="98" spans="4:15" x14ac:dyDescent="0.35">
      <c r="D98"/>
      <c r="F98"/>
      <c r="O98"/>
    </row>
    <row r="99" spans="4:15" x14ac:dyDescent="0.35">
      <c r="D99"/>
      <c r="F99"/>
      <c r="O99"/>
    </row>
    <row r="100" spans="4:15" x14ac:dyDescent="0.35">
      <c r="D100"/>
      <c r="F100"/>
      <c r="O100"/>
    </row>
    <row r="101" spans="4:15" x14ac:dyDescent="0.35">
      <c r="D101"/>
      <c r="F101"/>
      <c r="O101"/>
    </row>
    <row r="102" spans="4:15" x14ac:dyDescent="0.35">
      <c r="D102"/>
      <c r="F102"/>
      <c r="O102"/>
    </row>
    <row r="103" spans="4:15" x14ac:dyDescent="0.35">
      <c r="D103"/>
      <c r="F103"/>
      <c r="O103"/>
    </row>
    <row r="104" spans="4:15" x14ac:dyDescent="0.35">
      <c r="D104"/>
      <c r="F104"/>
      <c r="O104"/>
    </row>
    <row r="105" spans="4:15" x14ac:dyDescent="0.35">
      <c r="D105"/>
      <c r="F105"/>
      <c r="O105"/>
    </row>
    <row r="106" spans="4:15" x14ac:dyDescent="0.35">
      <c r="D106"/>
      <c r="F106"/>
      <c r="O106"/>
    </row>
    <row r="107" spans="4:15" x14ac:dyDescent="0.35">
      <c r="D107"/>
      <c r="F107"/>
      <c r="O107"/>
    </row>
    <row r="108" spans="4:15" x14ac:dyDescent="0.35">
      <c r="D108"/>
      <c r="F108"/>
      <c r="O108"/>
    </row>
    <row r="109" spans="4:15" x14ac:dyDescent="0.35">
      <c r="D109"/>
      <c r="F109"/>
      <c r="O109"/>
    </row>
    <row r="110" spans="4:15" x14ac:dyDescent="0.35">
      <c r="D110"/>
      <c r="F110"/>
      <c r="O110"/>
    </row>
    <row r="111" spans="4:15" x14ac:dyDescent="0.35">
      <c r="D111"/>
      <c r="F111"/>
      <c r="O111"/>
    </row>
    <row r="112" spans="4:15" x14ac:dyDescent="0.35">
      <c r="D112"/>
      <c r="F112"/>
      <c r="O112"/>
    </row>
    <row r="113" spans="4:15" x14ac:dyDescent="0.35">
      <c r="D113"/>
      <c r="F113"/>
      <c r="O113"/>
    </row>
    <row r="114" spans="4:15" x14ac:dyDescent="0.35">
      <c r="D114"/>
      <c r="F114"/>
      <c r="O114"/>
    </row>
    <row r="115" spans="4:15" x14ac:dyDescent="0.35">
      <c r="D115"/>
      <c r="F115"/>
      <c r="O115"/>
    </row>
    <row r="116" spans="4:15" x14ac:dyDescent="0.35">
      <c r="D116"/>
      <c r="F116"/>
      <c r="O116"/>
    </row>
    <row r="117" spans="4:15" x14ac:dyDescent="0.35">
      <c r="D117"/>
      <c r="F117"/>
      <c r="O117"/>
    </row>
    <row r="118" spans="4:15" x14ac:dyDescent="0.35">
      <c r="D118"/>
      <c r="F118"/>
      <c r="O118"/>
    </row>
    <row r="119" spans="4:15" x14ac:dyDescent="0.35">
      <c r="D119"/>
      <c r="F119"/>
      <c r="O119"/>
    </row>
    <row r="120" spans="4:15" x14ac:dyDescent="0.35">
      <c r="D120"/>
      <c r="F120"/>
      <c r="O120"/>
    </row>
    <row r="121" spans="4:15" x14ac:dyDescent="0.35">
      <c r="D121"/>
      <c r="F121"/>
      <c r="O121"/>
    </row>
    <row r="122" spans="4:15" x14ac:dyDescent="0.35">
      <c r="D122"/>
      <c r="F122"/>
      <c r="O122"/>
    </row>
    <row r="123" spans="4:15" x14ac:dyDescent="0.35">
      <c r="D123"/>
      <c r="F123"/>
      <c r="O123"/>
    </row>
    <row r="124" spans="4:15" x14ac:dyDescent="0.35">
      <c r="D124"/>
      <c r="F124"/>
      <c r="O124"/>
    </row>
    <row r="125" spans="4:15" x14ac:dyDescent="0.35">
      <c r="D125"/>
      <c r="F125"/>
      <c r="O125"/>
    </row>
    <row r="126" spans="4:15" x14ac:dyDescent="0.35">
      <c r="D126"/>
      <c r="F126"/>
      <c r="O126"/>
    </row>
    <row r="127" spans="4:15" x14ac:dyDescent="0.35">
      <c r="D127"/>
      <c r="F127"/>
      <c r="O127"/>
    </row>
    <row r="128" spans="4:15" x14ac:dyDescent="0.35">
      <c r="D128"/>
      <c r="F128"/>
      <c r="O128"/>
    </row>
    <row r="129" spans="4:15" x14ac:dyDescent="0.35">
      <c r="D129"/>
      <c r="F129"/>
      <c r="O129"/>
    </row>
    <row r="130" spans="4:15" x14ac:dyDescent="0.35">
      <c r="D130"/>
      <c r="F130"/>
      <c r="O130"/>
    </row>
    <row r="131" spans="4:15" x14ac:dyDescent="0.35">
      <c r="D131"/>
      <c r="F131"/>
      <c r="O131"/>
    </row>
    <row r="132" spans="4:15" x14ac:dyDescent="0.35">
      <c r="D132"/>
      <c r="F132"/>
      <c r="O132"/>
    </row>
    <row r="133" spans="4:15" x14ac:dyDescent="0.35">
      <c r="D133"/>
      <c r="F133"/>
      <c r="O133"/>
    </row>
    <row r="134" spans="4:15" x14ac:dyDescent="0.35">
      <c r="D134"/>
      <c r="F134"/>
      <c r="O134"/>
    </row>
    <row r="135" spans="4:15" x14ac:dyDescent="0.35">
      <c r="D135"/>
      <c r="F135"/>
      <c r="O135"/>
    </row>
    <row r="136" spans="4:15" x14ac:dyDescent="0.35">
      <c r="D136"/>
      <c r="F136"/>
      <c r="O136"/>
    </row>
    <row r="137" spans="4:15" x14ac:dyDescent="0.35">
      <c r="D137"/>
      <c r="F137"/>
      <c r="O137"/>
    </row>
    <row r="138" spans="4:15" x14ac:dyDescent="0.35">
      <c r="D138"/>
      <c r="F138"/>
      <c r="O138"/>
    </row>
    <row r="139" spans="4:15" x14ac:dyDescent="0.35">
      <c r="D139"/>
      <c r="F139"/>
      <c r="O139"/>
    </row>
    <row r="140" spans="4:15" x14ac:dyDescent="0.35">
      <c r="D140"/>
      <c r="F140"/>
      <c r="O140"/>
    </row>
    <row r="141" spans="4:15" x14ac:dyDescent="0.35">
      <c r="D141"/>
      <c r="F141"/>
      <c r="O141"/>
    </row>
    <row r="142" spans="4:15" x14ac:dyDescent="0.35">
      <c r="D142"/>
      <c r="F142"/>
      <c r="O142"/>
    </row>
    <row r="143" spans="4:15" x14ac:dyDescent="0.35">
      <c r="D143"/>
      <c r="F143"/>
      <c r="O143"/>
    </row>
    <row r="144" spans="4:15" x14ac:dyDescent="0.35">
      <c r="D144"/>
      <c r="F144"/>
      <c r="O144"/>
    </row>
    <row r="145" spans="4:15" x14ac:dyDescent="0.35">
      <c r="D145"/>
      <c r="F145"/>
      <c r="O145"/>
    </row>
    <row r="146" spans="4:15" x14ac:dyDescent="0.35">
      <c r="D146"/>
      <c r="F146"/>
      <c r="O146"/>
    </row>
    <row r="147" spans="4:15" x14ac:dyDescent="0.35">
      <c r="D147"/>
      <c r="F147"/>
      <c r="O147"/>
    </row>
    <row r="148" spans="4:15" x14ac:dyDescent="0.35">
      <c r="D148"/>
      <c r="F148"/>
      <c r="O148"/>
    </row>
    <row r="149" spans="4:15" x14ac:dyDescent="0.35">
      <c r="D149"/>
      <c r="F149"/>
      <c r="O149"/>
    </row>
    <row r="150" spans="4:15" x14ac:dyDescent="0.35">
      <c r="D150"/>
      <c r="F150"/>
      <c r="O150"/>
    </row>
    <row r="151" spans="4:15" x14ac:dyDescent="0.35">
      <c r="D151"/>
      <c r="F151"/>
      <c r="O151"/>
    </row>
    <row r="152" spans="4:15" x14ac:dyDescent="0.35">
      <c r="D152"/>
      <c r="F152"/>
      <c r="O152"/>
    </row>
    <row r="153" spans="4:15" x14ac:dyDescent="0.35">
      <c r="D153"/>
      <c r="F153"/>
      <c r="O153"/>
    </row>
    <row r="154" spans="4:15" x14ac:dyDescent="0.35">
      <c r="D154"/>
      <c r="F154"/>
      <c r="O154"/>
    </row>
    <row r="155" spans="4:15" x14ac:dyDescent="0.35">
      <c r="D155"/>
      <c r="F155"/>
      <c r="O155"/>
    </row>
    <row r="156" spans="4:15" x14ac:dyDescent="0.35">
      <c r="D156"/>
      <c r="F156"/>
      <c r="O156"/>
    </row>
    <row r="157" spans="4:15" x14ac:dyDescent="0.35">
      <c r="D157"/>
      <c r="F157"/>
      <c r="O157"/>
    </row>
    <row r="158" spans="4:15" x14ac:dyDescent="0.35">
      <c r="D158"/>
      <c r="F158"/>
      <c r="O158"/>
    </row>
    <row r="159" spans="4:15" x14ac:dyDescent="0.35">
      <c r="D159"/>
      <c r="F159"/>
      <c r="O159"/>
    </row>
    <row r="160" spans="4:15" x14ac:dyDescent="0.35">
      <c r="D160"/>
      <c r="F160"/>
      <c r="O160"/>
    </row>
    <row r="161" spans="4:15" x14ac:dyDescent="0.35">
      <c r="D161"/>
      <c r="F161"/>
      <c r="O161"/>
    </row>
    <row r="162" spans="4:15" x14ac:dyDescent="0.35">
      <c r="D162"/>
      <c r="F162"/>
      <c r="O162"/>
    </row>
    <row r="163" spans="4:15" x14ac:dyDescent="0.35">
      <c r="D163"/>
      <c r="F163"/>
      <c r="O163"/>
    </row>
    <row r="164" spans="4:15" x14ac:dyDescent="0.35">
      <c r="D164"/>
      <c r="F164"/>
      <c r="O164"/>
    </row>
    <row r="165" spans="4:15" x14ac:dyDescent="0.35">
      <c r="D165"/>
      <c r="F165"/>
      <c r="O165"/>
    </row>
    <row r="166" spans="4:15" x14ac:dyDescent="0.35">
      <c r="D166"/>
      <c r="F166"/>
      <c r="O166"/>
    </row>
    <row r="167" spans="4:15" x14ac:dyDescent="0.35">
      <c r="D167"/>
      <c r="F167"/>
      <c r="O167"/>
    </row>
    <row r="168" spans="4:15" x14ac:dyDescent="0.35">
      <c r="D168"/>
      <c r="F168"/>
      <c r="O168"/>
    </row>
    <row r="169" spans="4:15" x14ac:dyDescent="0.35">
      <c r="D169"/>
      <c r="F169"/>
      <c r="O169"/>
    </row>
    <row r="170" spans="4:15" x14ac:dyDescent="0.35">
      <c r="D170"/>
      <c r="F170"/>
      <c r="O170"/>
    </row>
    <row r="171" spans="4:15" x14ac:dyDescent="0.35">
      <c r="D171"/>
      <c r="F171"/>
      <c r="O171"/>
    </row>
    <row r="172" spans="4:15" x14ac:dyDescent="0.35">
      <c r="D172"/>
      <c r="F172"/>
      <c r="O172"/>
    </row>
    <row r="173" spans="4:15" x14ac:dyDescent="0.35">
      <c r="D173"/>
      <c r="F173"/>
      <c r="O173"/>
    </row>
    <row r="174" spans="4:15" x14ac:dyDescent="0.35">
      <c r="D174"/>
      <c r="F174"/>
      <c r="O174"/>
    </row>
    <row r="175" spans="4:15" x14ac:dyDescent="0.35">
      <c r="D175"/>
      <c r="F175"/>
      <c r="O175"/>
    </row>
    <row r="176" spans="4:15" x14ac:dyDescent="0.35">
      <c r="D176"/>
      <c r="F176"/>
      <c r="O176"/>
    </row>
    <row r="177" spans="4:15" x14ac:dyDescent="0.35">
      <c r="D177"/>
      <c r="F177"/>
      <c r="O177"/>
    </row>
    <row r="178" spans="4:15" x14ac:dyDescent="0.35">
      <c r="D178"/>
      <c r="F178"/>
      <c r="O178"/>
    </row>
    <row r="179" spans="4:15" x14ac:dyDescent="0.35">
      <c r="D179"/>
      <c r="F179"/>
      <c r="O179"/>
    </row>
    <row r="180" spans="4:15" x14ac:dyDescent="0.35">
      <c r="D180"/>
      <c r="F180"/>
      <c r="O180"/>
    </row>
    <row r="181" spans="4:15" x14ac:dyDescent="0.35">
      <c r="D181"/>
      <c r="F181"/>
      <c r="O181"/>
    </row>
    <row r="182" spans="4:15" x14ac:dyDescent="0.35">
      <c r="D182"/>
      <c r="F182"/>
      <c r="O182"/>
    </row>
    <row r="183" spans="4:15" x14ac:dyDescent="0.35">
      <c r="D183"/>
      <c r="F183"/>
      <c r="O183"/>
    </row>
    <row r="184" spans="4:15" x14ac:dyDescent="0.35">
      <c r="D184"/>
      <c r="F184"/>
      <c r="O184"/>
    </row>
    <row r="185" spans="4:15" x14ac:dyDescent="0.35">
      <c r="D185"/>
      <c r="F185"/>
      <c r="O185"/>
    </row>
    <row r="186" spans="4:15" x14ac:dyDescent="0.35">
      <c r="D186"/>
      <c r="F186"/>
      <c r="O186"/>
    </row>
    <row r="187" spans="4:15" x14ac:dyDescent="0.35">
      <c r="D187"/>
      <c r="F187"/>
      <c r="O187"/>
    </row>
    <row r="188" spans="4:15" x14ac:dyDescent="0.35">
      <c r="D188"/>
      <c r="F188"/>
      <c r="O188"/>
    </row>
    <row r="189" spans="4:15" x14ac:dyDescent="0.35">
      <c r="D189"/>
      <c r="F189"/>
      <c r="O189"/>
    </row>
    <row r="190" spans="4:15" x14ac:dyDescent="0.35">
      <c r="D190"/>
      <c r="F190"/>
      <c r="O190"/>
    </row>
    <row r="191" spans="4:15" x14ac:dyDescent="0.35">
      <c r="D191"/>
      <c r="F191"/>
      <c r="O191"/>
    </row>
    <row r="192" spans="4:15" x14ac:dyDescent="0.35">
      <c r="D192"/>
      <c r="F192"/>
      <c r="O192"/>
    </row>
    <row r="193" spans="4:15" x14ac:dyDescent="0.35">
      <c r="D193"/>
      <c r="F193"/>
      <c r="O193"/>
    </row>
    <row r="194" spans="4:15" x14ac:dyDescent="0.35">
      <c r="D194"/>
      <c r="F194"/>
      <c r="O194"/>
    </row>
    <row r="195" spans="4:15" x14ac:dyDescent="0.35">
      <c r="D195"/>
      <c r="F195"/>
      <c r="O195"/>
    </row>
    <row r="196" spans="4:15" x14ac:dyDescent="0.35">
      <c r="D196"/>
      <c r="F196"/>
      <c r="O196"/>
    </row>
    <row r="197" spans="4:15" x14ac:dyDescent="0.35">
      <c r="D197"/>
      <c r="F197"/>
      <c r="O197"/>
    </row>
    <row r="198" spans="4:15" x14ac:dyDescent="0.35">
      <c r="D198"/>
      <c r="F198"/>
      <c r="O198"/>
    </row>
    <row r="199" spans="4:15" x14ac:dyDescent="0.35">
      <c r="D199"/>
      <c r="F199"/>
      <c r="O199"/>
    </row>
    <row r="200" spans="4:15" x14ac:dyDescent="0.35">
      <c r="D200"/>
      <c r="F200"/>
      <c r="O200"/>
    </row>
    <row r="201" spans="4:15" x14ac:dyDescent="0.35">
      <c r="D201"/>
      <c r="F201"/>
      <c r="O201"/>
    </row>
    <row r="202" spans="4:15" x14ac:dyDescent="0.35">
      <c r="D202"/>
      <c r="F202"/>
      <c r="O202"/>
    </row>
    <row r="203" spans="4:15" x14ac:dyDescent="0.35">
      <c r="D203"/>
      <c r="F203"/>
      <c r="O203"/>
    </row>
    <row r="204" spans="4:15" x14ac:dyDescent="0.35">
      <c r="D204"/>
      <c r="F204"/>
      <c r="O204"/>
    </row>
    <row r="205" spans="4:15" x14ac:dyDescent="0.35">
      <c r="D205"/>
      <c r="F205"/>
      <c r="O205"/>
    </row>
    <row r="206" spans="4:15" x14ac:dyDescent="0.35">
      <c r="D206"/>
      <c r="F206"/>
      <c r="O206"/>
    </row>
    <row r="207" spans="4:15" x14ac:dyDescent="0.35">
      <c r="D207"/>
      <c r="F207"/>
      <c r="O207"/>
    </row>
    <row r="208" spans="4:15" x14ac:dyDescent="0.35">
      <c r="D208"/>
      <c r="F208"/>
      <c r="O208"/>
    </row>
    <row r="209" spans="4:15" x14ac:dyDescent="0.35">
      <c r="D209"/>
      <c r="F209"/>
      <c r="O209"/>
    </row>
    <row r="210" spans="4:15" x14ac:dyDescent="0.35">
      <c r="D210"/>
      <c r="F210"/>
      <c r="O210"/>
    </row>
    <row r="211" spans="4:15" x14ac:dyDescent="0.35">
      <c r="D211"/>
      <c r="F211"/>
      <c r="O211"/>
    </row>
    <row r="212" spans="4:15" x14ac:dyDescent="0.35">
      <c r="D212"/>
      <c r="F212"/>
      <c r="O212"/>
    </row>
    <row r="213" spans="4:15" x14ac:dyDescent="0.35">
      <c r="D213"/>
      <c r="F213"/>
      <c r="O213"/>
    </row>
    <row r="214" spans="4:15" x14ac:dyDescent="0.35">
      <c r="D214"/>
      <c r="F214"/>
      <c r="O214"/>
    </row>
    <row r="215" spans="4:15" x14ac:dyDescent="0.35">
      <c r="D215"/>
      <c r="F215"/>
      <c r="O215"/>
    </row>
    <row r="216" spans="4:15" x14ac:dyDescent="0.35">
      <c r="D216"/>
      <c r="F216"/>
      <c r="O216"/>
    </row>
    <row r="217" spans="4:15" x14ac:dyDescent="0.35">
      <c r="D217"/>
      <c r="F217"/>
      <c r="O217"/>
    </row>
    <row r="218" spans="4:15" x14ac:dyDescent="0.35">
      <c r="D218"/>
      <c r="F218"/>
      <c r="O218"/>
    </row>
    <row r="219" spans="4:15" x14ac:dyDescent="0.35">
      <c r="D219"/>
      <c r="F219"/>
      <c r="O219"/>
    </row>
    <row r="220" spans="4:15" x14ac:dyDescent="0.35">
      <c r="D220"/>
      <c r="F220"/>
      <c r="O220"/>
    </row>
    <row r="221" spans="4:15" x14ac:dyDescent="0.35">
      <c r="D221"/>
      <c r="F221"/>
      <c r="O221"/>
    </row>
    <row r="222" spans="4:15" x14ac:dyDescent="0.35">
      <c r="D222"/>
      <c r="F222"/>
      <c r="O222"/>
    </row>
    <row r="223" spans="4:15" x14ac:dyDescent="0.35">
      <c r="D223"/>
      <c r="F223"/>
      <c r="O223"/>
    </row>
    <row r="224" spans="4:15" x14ac:dyDescent="0.35">
      <c r="D224"/>
      <c r="F224"/>
      <c r="O224"/>
    </row>
    <row r="225" spans="4:15" x14ac:dyDescent="0.35">
      <c r="D225"/>
      <c r="F225"/>
      <c r="O225"/>
    </row>
    <row r="226" spans="4:15" x14ac:dyDescent="0.35">
      <c r="D226"/>
      <c r="F226"/>
      <c r="O226"/>
    </row>
    <row r="227" spans="4:15" x14ac:dyDescent="0.35">
      <c r="D227"/>
      <c r="F227"/>
      <c r="O227"/>
    </row>
    <row r="228" spans="4:15" x14ac:dyDescent="0.35">
      <c r="D228"/>
      <c r="F228"/>
      <c r="O228"/>
    </row>
    <row r="229" spans="4:15" x14ac:dyDescent="0.35">
      <c r="D229"/>
      <c r="F229"/>
      <c r="O229"/>
    </row>
    <row r="230" spans="4:15" x14ac:dyDescent="0.35">
      <c r="D230"/>
      <c r="F230"/>
      <c r="O230"/>
    </row>
    <row r="231" spans="4:15" x14ac:dyDescent="0.35">
      <c r="D231"/>
      <c r="F231"/>
      <c r="O231"/>
    </row>
    <row r="232" spans="4:15" x14ac:dyDescent="0.35">
      <c r="D232"/>
      <c r="F232"/>
      <c r="O232"/>
    </row>
    <row r="233" spans="4:15" x14ac:dyDescent="0.35">
      <c r="D233"/>
      <c r="F233"/>
      <c r="O233"/>
    </row>
    <row r="234" spans="4:15" x14ac:dyDescent="0.35">
      <c r="D234"/>
      <c r="F234"/>
      <c r="O234"/>
    </row>
    <row r="235" spans="4:15" x14ac:dyDescent="0.35">
      <c r="D235"/>
      <c r="F235"/>
      <c r="O235"/>
    </row>
    <row r="236" spans="4:15" x14ac:dyDescent="0.35">
      <c r="D236"/>
      <c r="F236"/>
      <c r="O236"/>
    </row>
    <row r="237" spans="4:15" x14ac:dyDescent="0.35">
      <c r="D237"/>
      <c r="F237"/>
      <c r="O237"/>
    </row>
    <row r="238" spans="4:15" x14ac:dyDescent="0.35">
      <c r="D238"/>
      <c r="F238"/>
      <c r="O238"/>
    </row>
    <row r="239" spans="4:15" x14ac:dyDescent="0.35">
      <c r="D239"/>
      <c r="F239"/>
      <c r="O239"/>
    </row>
    <row r="240" spans="4:15" x14ac:dyDescent="0.35">
      <c r="D240"/>
      <c r="F240"/>
      <c r="O240"/>
    </row>
    <row r="241" spans="4:15" x14ac:dyDescent="0.35">
      <c r="D241"/>
      <c r="F241"/>
      <c r="O241"/>
    </row>
    <row r="242" spans="4:15" x14ac:dyDescent="0.35">
      <c r="D242"/>
      <c r="F242"/>
      <c r="O242"/>
    </row>
    <row r="243" spans="4:15" x14ac:dyDescent="0.35">
      <c r="D243"/>
      <c r="F243"/>
      <c r="O243"/>
    </row>
    <row r="244" spans="4:15" x14ac:dyDescent="0.35">
      <c r="D244"/>
      <c r="F244"/>
      <c r="O244"/>
    </row>
    <row r="245" spans="4:15" x14ac:dyDescent="0.35">
      <c r="D245"/>
      <c r="F245"/>
      <c r="O245"/>
    </row>
    <row r="246" spans="4:15" x14ac:dyDescent="0.35">
      <c r="D246"/>
      <c r="F246"/>
      <c r="O246"/>
    </row>
    <row r="247" spans="4:15" x14ac:dyDescent="0.35">
      <c r="D247"/>
      <c r="F247"/>
      <c r="O247"/>
    </row>
    <row r="248" spans="4:15" x14ac:dyDescent="0.35">
      <c r="D248"/>
      <c r="F248"/>
      <c r="O248"/>
    </row>
    <row r="249" spans="4:15" x14ac:dyDescent="0.35">
      <c r="D249"/>
      <c r="F249"/>
      <c r="O249"/>
    </row>
    <row r="250" spans="4:15" x14ac:dyDescent="0.35">
      <c r="D250"/>
      <c r="F250"/>
      <c r="O250"/>
    </row>
    <row r="251" spans="4:15" x14ac:dyDescent="0.35">
      <c r="D251"/>
      <c r="F251"/>
      <c r="O251"/>
    </row>
    <row r="252" spans="4:15" x14ac:dyDescent="0.35">
      <c r="D252"/>
      <c r="F252"/>
      <c r="O252"/>
    </row>
    <row r="253" spans="4:15" x14ac:dyDescent="0.35">
      <c r="D253"/>
      <c r="F253"/>
      <c r="O253"/>
    </row>
    <row r="254" spans="4:15" x14ac:dyDescent="0.35">
      <c r="D254"/>
      <c r="F254"/>
      <c r="O254"/>
    </row>
    <row r="255" spans="4:15" x14ac:dyDescent="0.35">
      <c r="D255"/>
      <c r="F255"/>
      <c r="O255"/>
    </row>
    <row r="256" spans="4:15" x14ac:dyDescent="0.35">
      <c r="D256"/>
      <c r="F256"/>
      <c r="O256"/>
    </row>
    <row r="257" spans="4:15" x14ac:dyDescent="0.35">
      <c r="D257"/>
      <c r="F257"/>
      <c r="O257"/>
    </row>
    <row r="258" spans="4:15" x14ac:dyDescent="0.35">
      <c r="D258"/>
      <c r="F258"/>
      <c r="O258"/>
    </row>
    <row r="259" spans="4:15" x14ac:dyDescent="0.35">
      <c r="D259"/>
      <c r="F259"/>
      <c r="O259"/>
    </row>
    <row r="260" spans="4:15" x14ac:dyDescent="0.35">
      <c r="D260"/>
      <c r="F260"/>
      <c r="O260"/>
    </row>
    <row r="261" spans="4:15" x14ac:dyDescent="0.35">
      <c r="D261"/>
      <c r="F261"/>
      <c r="O261"/>
    </row>
    <row r="262" spans="4:15" x14ac:dyDescent="0.35">
      <c r="D262"/>
      <c r="F262"/>
      <c r="O262"/>
    </row>
    <row r="263" spans="4:15" x14ac:dyDescent="0.35">
      <c r="D263"/>
      <c r="F263"/>
    </row>
    <row r="264" spans="4:15" x14ac:dyDescent="0.35">
      <c r="D264"/>
      <c r="F264"/>
    </row>
    <row r="265" spans="4:15" x14ac:dyDescent="0.35">
      <c r="D265"/>
      <c r="F265"/>
    </row>
    <row r="266" spans="4:15" x14ac:dyDescent="0.35">
      <c r="D266"/>
      <c r="F266"/>
    </row>
    <row r="267" spans="4:15" x14ac:dyDescent="0.35">
      <c r="D267"/>
      <c r="F267"/>
    </row>
    <row r="268" spans="4:15" x14ac:dyDescent="0.35">
      <c r="D268"/>
      <c r="F268"/>
    </row>
    <row r="269" spans="4:15" x14ac:dyDescent="0.35">
      <c r="D269"/>
      <c r="F269"/>
    </row>
    <row r="270" spans="4:15" x14ac:dyDescent="0.35">
      <c r="D270"/>
      <c r="F270"/>
    </row>
    <row r="271" spans="4:15" x14ac:dyDescent="0.35">
      <c r="D271"/>
      <c r="F271"/>
    </row>
    <row r="272" spans="4:15" x14ac:dyDescent="0.35">
      <c r="D272"/>
      <c r="F272"/>
    </row>
    <row r="273" spans="4:6" x14ac:dyDescent="0.35">
      <c r="D273"/>
      <c r="F273"/>
    </row>
    <row r="274" spans="4:6" x14ac:dyDescent="0.35">
      <c r="D274"/>
      <c r="F274"/>
    </row>
    <row r="275" spans="4:6" x14ac:dyDescent="0.35">
      <c r="D275"/>
      <c r="F275"/>
    </row>
    <row r="276" spans="4:6" x14ac:dyDescent="0.35">
      <c r="D276"/>
      <c r="F276"/>
    </row>
    <row r="277" spans="4:6" x14ac:dyDescent="0.35">
      <c r="D277"/>
      <c r="F277"/>
    </row>
    <row r="278" spans="4:6" x14ac:dyDescent="0.35">
      <c r="D278"/>
      <c r="F278"/>
    </row>
    <row r="279" spans="4:6" x14ac:dyDescent="0.35">
      <c r="D279"/>
      <c r="F279"/>
    </row>
    <row r="280" spans="4:6" x14ac:dyDescent="0.35">
      <c r="D280"/>
      <c r="F280"/>
    </row>
    <row r="281" spans="4:6" x14ac:dyDescent="0.35">
      <c r="D281"/>
      <c r="F281"/>
    </row>
    <row r="282" spans="4:6" x14ac:dyDescent="0.35">
      <c r="D282"/>
      <c r="F282"/>
    </row>
    <row r="283" spans="4:6" x14ac:dyDescent="0.35">
      <c r="D283"/>
      <c r="F283"/>
    </row>
    <row r="284" spans="4:6" x14ac:dyDescent="0.35">
      <c r="D284"/>
      <c r="F284"/>
    </row>
    <row r="285" spans="4:6" x14ac:dyDescent="0.35">
      <c r="D285"/>
      <c r="F285"/>
    </row>
    <row r="286" spans="4:6" x14ac:dyDescent="0.35">
      <c r="D286"/>
      <c r="F286"/>
    </row>
    <row r="287" spans="4:6" x14ac:dyDescent="0.35">
      <c r="D287"/>
      <c r="F287"/>
    </row>
    <row r="288" spans="4:6" x14ac:dyDescent="0.35">
      <c r="D288"/>
      <c r="F288"/>
    </row>
    <row r="289" spans="4:6" x14ac:dyDescent="0.35">
      <c r="D289"/>
      <c r="F289"/>
    </row>
    <row r="290" spans="4:6" x14ac:dyDescent="0.35">
      <c r="D290"/>
      <c r="F290"/>
    </row>
    <row r="291" spans="4:6" x14ac:dyDescent="0.35">
      <c r="D291"/>
      <c r="F291"/>
    </row>
    <row r="292" spans="4:6" x14ac:dyDescent="0.35">
      <c r="D292"/>
      <c r="F292"/>
    </row>
    <row r="293" spans="4:6" x14ac:dyDescent="0.35">
      <c r="D293"/>
      <c r="F293"/>
    </row>
    <row r="294" spans="4:6" x14ac:dyDescent="0.35">
      <c r="D294"/>
      <c r="F294"/>
    </row>
    <row r="295" spans="4:6" x14ac:dyDescent="0.35">
      <c r="D295"/>
      <c r="F295"/>
    </row>
    <row r="296" spans="4:6" x14ac:dyDescent="0.35">
      <c r="D296"/>
      <c r="F296"/>
    </row>
    <row r="297" spans="4:6" x14ac:dyDescent="0.35">
      <c r="D297"/>
      <c r="F297"/>
    </row>
    <row r="298" spans="4:6" x14ac:dyDescent="0.35">
      <c r="D298"/>
      <c r="F298"/>
    </row>
    <row r="299" spans="4:6" x14ac:dyDescent="0.35">
      <c r="D299"/>
      <c r="F299"/>
    </row>
    <row r="300" spans="4:6" x14ac:dyDescent="0.35">
      <c r="D300"/>
      <c r="F300"/>
    </row>
    <row r="301" spans="4:6" x14ac:dyDescent="0.35">
      <c r="D301"/>
      <c r="F301"/>
    </row>
    <row r="302" spans="4:6" x14ac:dyDescent="0.35">
      <c r="D302"/>
      <c r="F302"/>
    </row>
    <row r="303" spans="4:6" x14ac:dyDescent="0.35">
      <c r="D303"/>
      <c r="F303"/>
    </row>
    <row r="304" spans="4:6" x14ac:dyDescent="0.35">
      <c r="D304"/>
      <c r="F304"/>
    </row>
    <row r="305" spans="4:6" x14ac:dyDescent="0.35">
      <c r="D305"/>
      <c r="F305"/>
    </row>
    <row r="306" spans="4:6" x14ac:dyDescent="0.35">
      <c r="D306"/>
      <c r="F306"/>
    </row>
    <row r="307" spans="4:6" x14ac:dyDescent="0.35">
      <c r="D307"/>
      <c r="F307"/>
    </row>
    <row r="308" spans="4:6" x14ac:dyDescent="0.35">
      <c r="D308"/>
      <c r="F308"/>
    </row>
    <row r="309" spans="4:6" x14ac:dyDescent="0.35">
      <c r="D309"/>
      <c r="F309"/>
    </row>
    <row r="310" spans="4:6" x14ac:dyDescent="0.35">
      <c r="D310"/>
      <c r="F310"/>
    </row>
    <row r="311" spans="4:6" x14ac:dyDescent="0.35">
      <c r="D311"/>
      <c r="F311"/>
    </row>
    <row r="312" spans="4:6" x14ac:dyDescent="0.35">
      <c r="D312"/>
      <c r="F312"/>
    </row>
    <row r="313" spans="4:6" x14ac:dyDescent="0.35">
      <c r="D313"/>
      <c r="F313"/>
    </row>
    <row r="314" spans="4:6" x14ac:dyDescent="0.35">
      <c r="D314"/>
      <c r="F314"/>
    </row>
    <row r="315" spans="4:6" x14ac:dyDescent="0.35">
      <c r="D315"/>
      <c r="F315"/>
    </row>
    <row r="316" spans="4:6" x14ac:dyDescent="0.35">
      <c r="D316"/>
      <c r="F316"/>
    </row>
    <row r="317" spans="4:6" x14ac:dyDescent="0.35">
      <c r="D317"/>
      <c r="F317"/>
    </row>
    <row r="318" spans="4:6" x14ac:dyDescent="0.35">
      <c r="D318"/>
      <c r="F318"/>
    </row>
    <row r="319" spans="4:6" x14ac:dyDescent="0.35">
      <c r="D319"/>
      <c r="F319"/>
    </row>
    <row r="320" spans="4:6" x14ac:dyDescent="0.35">
      <c r="D320"/>
      <c r="F320"/>
    </row>
    <row r="321" spans="4:6" x14ac:dyDescent="0.35">
      <c r="D321"/>
      <c r="F321"/>
    </row>
    <row r="322" spans="4:6" x14ac:dyDescent="0.35">
      <c r="D322"/>
      <c r="F322"/>
    </row>
    <row r="323" spans="4:6" x14ac:dyDescent="0.35">
      <c r="D323"/>
      <c r="F323"/>
    </row>
    <row r="324" spans="4:6" x14ac:dyDescent="0.35">
      <c r="D324"/>
      <c r="F324"/>
    </row>
    <row r="325" spans="4:6" x14ac:dyDescent="0.35">
      <c r="D325"/>
      <c r="F325"/>
    </row>
    <row r="326" spans="4:6" x14ac:dyDescent="0.35">
      <c r="D326"/>
      <c r="F326"/>
    </row>
    <row r="327" spans="4:6" x14ac:dyDescent="0.35">
      <c r="D327"/>
      <c r="F327"/>
    </row>
    <row r="328" spans="4:6" x14ac:dyDescent="0.35">
      <c r="D328"/>
      <c r="F328"/>
    </row>
    <row r="329" spans="4:6" x14ac:dyDescent="0.35">
      <c r="D329"/>
      <c r="F329"/>
    </row>
    <row r="330" spans="4:6" x14ac:dyDescent="0.35">
      <c r="D330"/>
      <c r="F330"/>
    </row>
    <row r="331" spans="4:6" x14ac:dyDescent="0.35">
      <c r="D331"/>
      <c r="F331"/>
    </row>
    <row r="332" spans="4:6" x14ac:dyDescent="0.35">
      <c r="D332"/>
      <c r="F332"/>
    </row>
    <row r="333" spans="4:6" x14ac:dyDescent="0.35">
      <c r="D333"/>
      <c r="F333"/>
    </row>
    <row r="334" spans="4:6" x14ac:dyDescent="0.35">
      <c r="D334"/>
      <c r="F334"/>
    </row>
    <row r="335" spans="4:6" x14ac:dyDescent="0.35">
      <c r="D335"/>
      <c r="F335"/>
    </row>
    <row r="336" spans="4:6" x14ac:dyDescent="0.35">
      <c r="D336"/>
      <c r="F336"/>
    </row>
    <row r="337" spans="4:6" x14ac:dyDescent="0.35">
      <c r="D337"/>
      <c r="F337"/>
    </row>
    <row r="338" spans="4:6" x14ac:dyDescent="0.35">
      <c r="D338"/>
      <c r="F338"/>
    </row>
    <row r="339" spans="4:6" x14ac:dyDescent="0.35">
      <c r="D339"/>
      <c r="F339"/>
    </row>
    <row r="340" spans="4:6" x14ac:dyDescent="0.35">
      <c r="D340"/>
      <c r="F340"/>
    </row>
    <row r="341" spans="4:6" x14ac:dyDescent="0.35">
      <c r="D341"/>
      <c r="F341"/>
    </row>
    <row r="342" spans="4:6" x14ac:dyDescent="0.35">
      <c r="D342"/>
      <c r="F342"/>
    </row>
    <row r="343" spans="4:6" x14ac:dyDescent="0.35">
      <c r="D343"/>
      <c r="F343"/>
    </row>
    <row r="344" spans="4:6" x14ac:dyDescent="0.35">
      <c r="D344"/>
      <c r="F344"/>
    </row>
    <row r="345" spans="4:6" x14ac:dyDescent="0.35">
      <c r="D345"/>
      <c r="F345"/>
    </row>
    <row r="346" spans="4:6" x14ac:dyDescent="0.35">
      <c r="D346"/>
      <c r="F346"/>
    </row>
    <row r="347" spans="4:6" x14ac:dyDescent="0.35">
      <c r="D347"/>
      <c r="F347"/>
    </row>
    <row r="348" spans="4:6" x14ac:dyDescent="0.35">
      <c r="D348"/>
      <c r="F348"/>
    </row>
    <row r="349" spans="4:6" x14ac:dyDescent="0.35">
      <c r="D349"/>
      <c r="F349"/>
    </row>
    <row r="350" spans="4:6" x14ac:dyDescent="0.35">
      <c r="D350"/>
      <c r="F350"/>
    </row>
    <row r="351" spans="4:6" x14ac:dyDescent="0.35">
      <c r="D351"/>
      <c r="F351"/>
    </row>
    <row r="352" spans="4:6" x14ac:dyDescent="0.35">
      <c r="D352"/>
      <c r="F352"/>
    </row>
    <row r="353" spans="4:6" x14ac:dyDescent="0.35">
      <c r="D353"/>
      <c r="F353"/>
    </row>
    <row r="354" spans="4:6" x14ac:dyDescent="0.35">
      <c r="D354"/>
      <c r="F354"/>
    </row>
    <row r="355" spans="4:6" x14ac:dyDescent="0.35">
      <c r="D355"/>
      <c r="F355"/>
    </row>
    <row r="356" spans="4:6" x14ac:dyDescent="0.35">
      <c r="D356"/>
      <c r="F356"/>
    </row>
    <row r="357" spans="4:6" x14ac:dyDescent="0.35">
      <c r="D357"/>
      <c r="F357"/>
    </row>
    <row r="358" spans="4:6" x14ac:dyDescent="0.35">
      <c r="D358"/>
      <c r="F358"/>
    </row>
    <row r="359" spans="4:6" x14ac:dyDescent="0.35">
      <c r="D359"/>
      <c r="F359"/>
    </row>
    <row r="360" spans="4:6" x14ac:dyDescent="0.35">
      <c r="D360"/>
      <c r="F360"/>
    </row>
    <row r="361" spans="4:6" x14ac:dyDescent="0.35">
      <c r="D361"/>
      <c r="F361"/>
    </row>
    <row r="362" spans="4:6" x14ac:dyDescent="0.35">
      <c r="D362"/>
      <c r="F362"/>
    </row>
    <row r="363" spans="4:6" x14ac:dyDescent="0.35">
      <c r="D363"/>
      <c r="F363"/>
    </row>
    <row r="364" spans="4:6" x14ac:dyDescent="0.35">
      <c r="D364"/>
      <c r="F364"/>
    </row>
    <row r="365" spans="4:6" x14ac:dyDescent="0.35">
      <c r="D365"/>
      <c r="F365"/>
    </row>
    <row r="366" spans="4:6" x14ac:dyDescent="0.35">
      <c r="D366"/>
      <c r="F366"/>
    </row>
    <row r="367" spans="4:6" x14ac:dyDescent="0.35">
      <c r="D367"/>
      <c r="F367"/>
    </row>
    <row r="368" spans="4:6" x14ac:dyDescent="0.35">
      <c r="D368"/>
      <c r="F368"/>
    </row>
    <row r="369" spans="4:6" x14ac:dyDescent="0.35">
      <c r="D369"/>
      <c r="F369"/>
    </row>
    <row r="370" spans="4:6" x14ac:dyDescent="0.35">
      <c r="D370"/>
      <c r="F370"/>
    </row>
    <row r="371" spans="4:6" x14ac:dyDescent="0.35">
      <c r="D371"/>
      <c r="F371"/>
    </row>
    <row r="372" spans="4:6" x14ac:dyDescent="0.35">
      <c r="D372"/>
      <c r="F372"/>
    </row>
    <row r="373" spans="4:6" x14ac:dyDescent="0.35">
      <c r="D373"/>
      <c r="F373"/>
    </row>
    <row r="374" spans="4:6" x14ac:dyDescent="0.35">
      <c r="D374"/>
      <c r="F374"/>
    </row>
    <row r="375" spans="4:6" x14ac:dyDescent="0.35">
      <c r="D375"/>
      <c r="F375"/>
    </row>
    <row r="376" spans="4:6" x14ac:dyDescent="0.35">
      <c r="D376"/>
      <c r="F376"/>
    </row>
    <row r="377" spans="4:6" x14ac:dyDescent="0.35">
      <c r="D377"/>
      <c r="F377"/>
    </row>
    <row r="378" spans="4:6" x14ac:dyDescent="0.35">
      <c r="D378"/>
      <c r="F378"/>
    </row>
    <row r="379" spans="4:6" x14ac:dyDescent="0.35">
      <c r="D379"/>
      <c r="F379"/>
    </row>
    <row r="380" spans="4:6" x14ac:dyDescent="0.35">
      <c r="D380"/>
      <c r="F380"/>
    </row>
    <row r="381" spans="4:6" x14ac:dyDescent="0.35">
      <c r="D381"/>
      <c r="F381"/>
    </row>
    <row r="382" spans="4:6" x14ac:dyDescent="0.35">
      <c r="D382"/>
      <c r="F382"/>
    </row>
    <row r="383" spans="4:6" x14ac:dyDescent="0.35">
      <c r="D383"/>
      <c r="F383"/>
    </row>
    <row r="384" spans="4:6" x14ac:dyDescent="0.35">
      <c r="D384"/>
      <c r="F384"/>
    </row>
    <row r="385" spans="4:6" x14ac:dyDescent="0.35">
      <c r="D385"/>
      <c r="F385"/>
    </row>
    <row r="386" spans="4:6" x14ac:dyDescent="0.35">
      <c r="D386"/>
      <c r="F386"/>
    </row>
    <row r="387" spans="4:6" x14ac:dyDescent="0.35">
      <c r="D387"/>
      <c r="F387"/>
    </row>
    <row r="388" spans="4:6" x14ac:dyDescent="0.35">
      <c r="D388"/>
      <c r="F388"/>
    </row>
    <row r="389" spans="4:6" x14ac:dyDescent="0.35">
      <c r="D389"/>
      <c r="F389"/>
    </row>
    <row r="390" spans="4:6" x14ac:dyDescent="0.35">
      <c r="D390"/>
      <c r="F390"/>
    </row>
    <row r="391" spans="4:6" x14ac:dyDescent="0.35">
      <c r="D391"/>
      <c r="F391"/>
    </row>
    <row r="392" spans="4:6" x14ac:dyDescent="0.35">
      <c r="D392"/>
      <c r="F392"/>
    </row>
    <row r="393" spans="4:6" x14ac:dyDescent="0.35">
      <c r="D393"/>
      <c r="F393"/>
    </row>
    <row r="394" spans="4:6" x14ac:dyDescent="0.35">
      <c r="D394"/>
      <c r="F394"/>
    </row>
    <row r="395" spans="4:6" x14ac:dyDescent="0.35">
      <c r="D395"/>
      <c r="F395"/>
    </row>
    <row r="396" spans="4:6" x14ac:dyDescent="0.35">
      <c r="D396"/>
      <c r="F396"/>
    </row>
    <row r="397" spans="4:6" x14ac:dyDescent="0.35">
      <c r="D397"/>
      <c r="F397"/>
    </row>
    <row r="398" spans="4:6" x14ac:dyDescent="0.35">
      <c r="D398"/>
      <c r="F398"/>
    </row>
    <row r="399" spans="4:6" x14ac:dyDescent="0.35">
      <c r="D399"/>
      <c r="F399"/>
    </row>
    <row r="400" spans="4:6" x14ac:dyDescent="0.35">
      <c r="D400"/>
      <c r="F400"/>
    </row>
    <row r="401" spans="4:6" x14ac:dyDescent="0.35">
      <c r="D401"/>
      <c r="F401"/>
    </row>
    <row r="402" spans="4:6" x14ac:dyDescent="0.35">
      <c r="D402"/>
      <c r="F402"/>
    </row>
    <row r="403" spans="4:6" x14ac:dyDescent="0.35">
      <c r="D403"/>
      <c r="F403"/>
    </row>
    <row r="404" spans="4:6" x14ac:dyDescent="0.35">
      <c r="D404"/>
      <c r="F404"/>
    </row>
    <row r="405" spans="4:6" x14ac:dyDescent="0.35">
      <c r="D405"/>
      <c r="F405"/>
    </row>
    <row r="406" spans="4:6" x14ac:dyDescent="0.35">
      <c r="D406"/>
      <c r="F406"/>
    </row>
    <row r="407" spans="4:6" x14ac:dyDescent="0.35">
      <c r="D407"/>
      <c r="F407"/>
    </row>
    <row r="408" spans="4:6" x14ac:dyDescent="0.35">
      <c r="D408"/>
      <c r="F408"/>
    </row>
    <row r="409" spans="4:6" x14ac:dyDescent="0.35">
      <c r="D409"/>
      <c r="F409"/>
    </row>
    <row r="410" spans="4:6" x14ac:dyDescent="0.35">
      <c r="D410"/>
      <c r="F410"/>
    </row>
    <row r="411" spans="4:6" x14ac:dyDescent="0.35">
      <c r="D411"/>
      <c r="F411"/>
    </row>
    <row r="412" spans="4:6" x14ac:dyDescent="0.35">
      <c r="D412"/>
      <c r="F412"/>
    </row>
    <row r="413" spans="4:6" x14ac:dyDescent="0.35">
      <c r="D413"/>
      <c r="F413"/>
    </row>
    <row r="414" spans="4:6" x14ac:dyDescent="0.35">
      <c r="D414"/>
      <c r="F414"/>
    </row>
    <row r="415" spans="4:6" x14ac:dyDescent="0.35">
      <c r="D415"/>
      <c r="F415"/>
    </row>
    <row r="416" spans="4:6" x14ac:dyDescent="0.35">
      <c r="D416"/>
      <c r="F416"/>
    </row>
    <row r="417" spans="4:6" x14ac:dyDescent="0.35">
      <c r="D417"/>
      <c r="F417"/>
    </row>
    <row r="418" spans="4:6" x14ac:dyDescent="0.35">
      <c r="D418"/>
      <c r="F418"/>
    </row>
    <row r="419" spans="4:6" x14ac:dyDescent="0.35">
      <c r="D419"/>
      <c r="F419"/>
    </row>
    <row r="420" spans="4:6" x14ac:dyDescent="0.35">
      <c r="D420"/>
      <c r="F420"/>
    </row>
    <row r="421" spans="4:6" x14ac:dyDescent="0.35">
      <c r="D421"/>
      <c r="F421"/>
    </row>
    <row r="422" spans="4:6" x14ac:dyDescent="0.35">
      <c r="D422"/>
      <c r="F422"/>
    </row>
    <row r="423" spans="4:6" x14ac:dyDescent="0.35">
      <c r="D423"/>
      <c r="F423"/>
    </row>
    <row r="424" spans="4:6" x14ac:dyDescent="0.35">
      <c r="D424"/>
      <c r="F424"/>
    </row>
    <row r="425" spans="4:6" x14ac:dyDescent="0.35">
      <c r="D425"/>
      <c r="F425"/>
    </row>
    <row r="426" spans="4:6" x14ac:dyDescent="0.35">
      <c r="D426"/>
      <c r="F426"/>
    </row>
    <row r="427" spans="4:6" x14ac:dyDescent="0.35">
      <c r="D427"/>
      <c r="F427"/>
    </row>
    <row r="428" spans="4:6" x14ac:dyDescent="0.35">
      <c r="D428"/>
      <c r="F428"/>
    </row>
    <row r="429" spans="4:6" x14ac:dyDescent="0.35">
      <c r="D429"/>
      <c r="F429"/>
    </row>
    <row r="430" spans="4:6" x14ac:dyDescent="0.35">
      <c r="D430"/>
      <c r="F430"/>
    </row>
    <row r="431" spans="4:6" x14ac:dyDescent="0.35">
      <c r="D431"/>
      <c r="F431"/>
    </row>
    <row r="432" spans="4:6" x14ac:dyDescent="0.35">
      <c r="D432"/>
      <c r="F432"/>
    </row>
    <row r="433" spans="4:6" x14ac:dyDescent="0.35">
      <c r="D433"/>
      <c r="F433"/>
    </row>
    <row r="434" spans="4:6" x14ac:dyDescent="0.35">
      <c r="D434"/>
      <c r="F434"/>
    </row>
    <row r="435" spans="4:6" x14ac:dyDescent="0.35">
      <c r="D435"/>
      <c r="F435"/>
    </row>
    <row r="436" spans="4:6" x14ac:dyDescent="0.35">
      <c r="D436"/>
      <c r="F436"/>
    </row>
    <row r="437" spans="4:6" x14ac:dyDescent="0.35">
      <c r="D437"/>
      <c r="F437"/>
    </row>
    <row r="438" spans="4:6" x14ac:dyDescent="0.35">
      <c r="D438"/>
      <c r="F438"/>
    </row>
    <row r="439" spans="4:6" x14ac:dyDescent="0.35">
      <c r="D439"/>
      <c r="F439"/>
    </row>
    <row r="440" spans="4:6" x14ac:dyDescent="0.35">
      <c r="D440"/>
      <c r="F440"/>
    </row>
    <row r="441" spans="4:6" x14ac:dyDescent="0.35">
      <c r="D441"/>
      <c r="F441"/>
    </row>
    <row r="442" spans="4:6" x14ac:dyDescent="0.35">
      <c r="D442"/>
      <c r="F442"/>
    </row>
    <row r="443" spans="4:6" x14ac:dyDescent="0.35">
      <c r="D443"/>
      <c r="F443"/>
    </row>
    <row r="444" spans="4:6" x14ac:dyDescent="0.35">
      <c r="D444"/>
      <c r="F444"/>
    </row>
    <row r="445" spans="4:6" x14ac:dyDescent="0.35">
      <c r="D445"/>
      <c r="F445"/>
    </row>
    <row r="446" spans="4:6" x14ac:dyDescent="0.35">
      <c r="D446"/>
      <c r="F446"/>
    </row>
    <row r="447" spans="4:6" x14ac:dyDescent="0.35">
      <c r="D447"/>
      <c r="F447"/>
    </row>
    <row r="448" spans="4:6" x14ac:dyDescent="0.35">
      <c r="D448"/>
      <c r="F448"/>
    </row>
    <row r="449" spans="4:6" x14ac:dyDescent="0.35">
      <c r="D449"/>
      <c r="F449"/>
    </row>
    <row r="450" spans="4:6" x14ac:dyDescent="0.35">
      <c r="D450"/>
      <c r="F450"/>
    </row>
    <row r="451" spans="4:6" x14ac:dyDescent="0.35">
      <c r="D451"/>
      <c r="F451"/>
    </row>
    <row r="452" spans="4:6" x14ac:dyDescent="0.35">
      <c r="D452"/>
      <c r="F452"/>
    </row>
    <row r="453" spans="4:6" x14ac:dyDescent="0.35">
      <c r="D453"/>
      <c r="F453"/>
    </row>
    <row r="454" spans="4:6" x14ac:dyDescent="0.35">
      <c r="D454"/>
      <c r="F454"/>
    </row>
    <row r="455" spans="4:6" x14ac:dyDescent="0.35">
      <c r="D455"/>
      <c r="F455"/>
    </row>
    <row r="456" spans="4:6" x14ac:dyDescent="0.35">
      <c r="D456"/>
      <c r="F456"/>
    </row>
    <row r="457" spans="4:6" x14ac:dyDescent="0.35">
      <c r="D457"/>
      <c r="F457"/>
    </row>
    <row r="458" spans="4:6" x14ac:dyDescent="0.35">
      <c r="D458"/>
      <c r="F458"/>
    </row>
    <row r="459" spans="4:6" x14ac:dyDescent="0.35">
      <c r="D459"/>
      <c r="F459"/>
    </row>
    <row r="460" spans="4:6" x14ac:dyDescent="0.35">
      <c r="D460"/>
      <c r="F460"/>
    </row>
    <row r="461" spans="4:6" x14ac:dyDescent="0.35">
      <c r="D461"/>
      <c r="F461"/>
    </row>
    <row r="462" spans="4:6" x14ac:dyDescent="0.35">
      <c r="D462"/>
      <c r="F462"/>
    </row>
    <row r="463" spans="4:6" x14ac:dyDescent="0.35">
      <c r="D463"/>
      <c r="F463"/>
    </row>
    <row r="464" spans="4:6" x14ac:dyDescent="0.35">
      <c r="D464"/>
      <c r="F464"/>
    </row>
    <row r="465" spans="4:6" x14ac:dyDescent="0.35">
      <c r="D465"/>
      <c r="F465"/>
    </row>
    <row r="466" spans="4:6" x14ac:dyDescent="0.35">
      <c r="D466"/>
      <c r="F466"/>
    </row>
    <row r="467" spans="4:6" x14ac:dyDescent="0.35">
      <c r="D467"/>
      <c r="F467"/>
    </row>
    <row r="468" spans="4:6" x14ac:dyDescent="0.35">
      <c r="D468"/>
      <c r="F468"/>
    </row>
    <row r="469" spans="4:6" x14ac:dyDescent="0.35">
      <c r="D469"/>
      <c r="F469"/>
    </row>
    <row r="470" spans="4:6" x14ac:dyDescent="0.35">
      <c r="D470"/>
      <c r="F470"/>
    </row>
    <row r="471" spans="4:6" x14ac:dyDescent="0.35">
      <c r="D471"/>
      <c r="F471"/>
    </row>
    <row r="472" spans="4:6" x14ac:dyDescent="0.35">
      <c r="D472"/>
      <c r="F472"/>
    </row>
    <row r="473" spans="4:6" x14ac:dyDescent="0.35">
      <c r="D473"/>
      <c r="F473"/>
    </row>
    <row r="474" spans="4:6" x14ac:dyDescent="0.35">
      <c r="D474"/>
      <c r="F474"/>
    </row>
    <row r="475" spans="4:6" x14ac:dyDescent="0.35">
      <c r="D475"/>
      <c r="F475"/>
    </row>
    <row r="476" spans="4:6" x14ac:dyDescent="0.35">
      <c r="D476"/>
      <c r="F476"/>
    </row>
    <row r="477" spans="4:6" x14ac:dyDescent="0.35">
      <c r="D477"/>
      <c r="F477"/>
    </row>
    <row r="478" spans="4:6" x14ac:dyDescent="0.35">
      <c r="D478"/>
      <c r="F478"/>
    </row>
    <row r="479" spans="4:6" x14ac:dyDescent="0.35">
      <c r="D479"/>
      <c r="F479"/>
    </row>
    <row r="480" spans="4:6" x14ac:dyDescent="0.35">
      <c r="D480"/>
      <c r="F480"/>
    </row>
    <row r="481" spans="4:6" x14ac:dyDescent="0.35">
      <c r="D481"/>
      <c r="F481"/>
    </row>
    <row r="482" spans="4:6" x14ac:dyDescent="0.35">
      <c r="D482"/>
      <c r="F482"/>
    </row>
    <row r="483" spans="4:6" x14ac:dyDescent="0.35">
      <c r="D483"/>
      <c r="F483"/>
    </row>
    <row r="484" spans="4:6" x14ac:dyDescent="0.35">
      <c r="D484"/>
      <c r="F484"/>
    </row>
    <row r="485" spans="4:6" x14ac:dyDescent="0.35">
      <c r="D485"/>
      <c r="F485"/>
    </row>
    <row r="486" spans="4:6" x14ac:dyDescent="0.35">
      <c r="D486"/>
      <c r="F486"/>
    </row>
    <row r="487" spans="4:6" x14ac:dyDescent="0.35">
      <c r="D487"/>
      <c r="F487"/>
    </row>
    <row r="488" spans="4:6" x14ac:dyDescent="0.35">
      <c r="D488"/>
      <c r="F488"/>
    </row>
    <row r="489" spans="4:6" x14ac:dyDescent="0.35">
      <c r="D489"/>
      <c r="F489"/>
    </row>
    <row r="490" spans="4:6" x14ac:dyDescent="0.35">
      <c r="D490"/>
      <c r="F490"/>
    </row>
    <row r="491" spans="4:6" x14ac:dyDescent="0.35">
      <c r="D491"/>
      <c r="F491"/>
    </row>
    <row r="492" spans="4:6" x14ac:dyDescent="0.35">
      <c r="D492"/>
      <c r="F492"/>
    </row>
    <row r="493" spans="4:6" x14ac:dyDescent="0.35">
      <c r="D493"/>
      <c r="F493"/>
    </row>
    <row r="494" spans="4:6" x14ac:dyDescent="0.35">
      <c r="D494"/>
      <c r="F494"/>
    </row>
    <row r="495" spans="4:6" x14ac:dyDescent="0.35">
      <c r="D495"/>
      <c r="F495"/>
    </row>
    <row r="496" spans="4:6" x14ac:dyDescent="0.35">
      <c r="D496"/>
      <c r="F496"/>
    </row>
    <row r="497" spans="4:6" x14ac:dyDescent="0.35">
      <c r="D497"/>
      <c r="F497"/>
    </row>
    <row r="498" spans="4:6" x14ac:dyDescent="0.35">
      <c r="D498"/>
      <c r="F498"/>
    </row>
    <row r="499" spans="4:6" x14ac:dyDescent="0.35">
      <c r="D499"/>
      <c r="F499"/>
    </row>
    <row r="500" spans="4:6" x14ac:dyDescent="0.35">
      <c r="D500"/>
      <c r="F500"/>
    </row>
    <row r="501" spans="4:6" x14ac:dyDescent="0.35">
      <c r="D501"/>
      <c r="F501"/>
    </row>
    <row r="502" spans="4:6" x14ac:dyDescent="0.35">
      <c r="D502"/>
      <c r="F502"/>
    </row>
    <row r="503" spans="4:6" x14ac:dyDescent="0.35">
      <c r="D503"/>
      <c r="F503"/>
    </row>
    <row r="504" spans="4:6" x14ac:dyDescent="0.35">
      <c r="D504"/>
      <c r="F504"/>
    </row>
    <row r="505" spans="4:6" x14ac:dyDescent="0.35">
      <c r="D505"/>
      <c r="F505"/>
    </row>
    <row r="506" spans="4:6" x14ac:dyDescent="0.35">
      <c r="D506"/>
      <c r="F506"/>
    </row>
    <row r="507" spans="4:6" x14ac:dyDescent="0.35">
      <c r="D507"/>
      <c r="F507"/>
    </row>
    <row r="508" spans="4:6" x14ac:dyDescent="0.35">
      <c r="D508"/>
      <c r="F508"/>
    </row>
  </sheetData>
  <autoFilter ref="A4:AY233" xr:uid="{00000000-0009-0000-0000-000000000000}"/>
  <dataConsolidate/>
  <dataValidations count="2">
    <dataValidation type="list" showInputMessage="1" error="Please select a valid value" promptTitle="select a value" sqref="Q5:Q22" xr:uid="{5F479E93-721A-4004-B60C-C12FC83FA097}">
      <formula1>sssss</formula1>
    </dataValidation>
    <dataValidation type="list" showInputMessage="1" error="Please select a valid value" promptTitle="select a value" sqref="Q3:Q4" xr:uid="{A93888A8-4F55-40D2-A919-D6F0D2955E02}">
      <formula1>ffff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tnImport_Click">
                <anchor moveWithCells="1" sizeWithCells="1">
                  <from>
                    <xdr:col>4</xdr:col>
                    <xdr:colOff>25400</xdr:colOff>
                    <xdr:row>0</xdr:row>
                    <xdr:rowOff>50800</xdr:rowOff>
                  </from>
                  <to>
                    <xdr:col>4</xdr:col>
                    <xdr:colOff>1670050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 Fidelidade</vt:lpstr>
      <vt:lpstr>Erro</vt:lpstr>
      <vt:lpstr>Sem Fidelidade</vt:lpstr>
      <vt:lpstr>Com Fidelidade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2020-03-26T17:01:13Z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343a38cc-b48b-4143-8b38-80b1a46a9143</vt:lpwstr>
  </property>
  <property fmtid="{D5CDD505-2E9C-101B-9397-08002B2CF9AE}" pid="3" name="MSIP_Label_1bc0f418-96a4-4caf-9d7c-ccc5ec7f9d91_Enabled">
    <vt:lpwstr>True</vt:lpwstr>
  </property>
  <property fmtid="{D5CDD505-2E9C-101B-9397-08002B2CF9AE}" pid="4" name="MSIP_Label_1bc0f418-96a4-4caf-9d7c-ccc5ec7f9d91_SiteId">
    <vt:lpwstr>e0793d39-0939-496d-b129-198edd916feb</vt:lpwstr>
  </property>
  <property fmtid="{D5CDD505-2E9C-101B-9397-08002B2CF9AE}" pid="5" name="MSIP_Label_1bc0f418-96a4-4caf-9d7c-ccc5ec7f9d91_Owner">
    <vt:lpwstr>victor.motta.d.lucas@accenture.com</vt:lpwstr>
  </property>
  <property fmtid="{D5CDD505-2E9C-101B-9397-08002B2CF9AE}" pid="6" name="MSIP_Label_1bc0f418-96a4-4caf-9d7c-ccc5ec7f9d91_SetDate">
    <vt:lpwstr>2018-07-24T19:19:27.0968880Z</vt:lpwstr>
  </property>
  <property fmtid="{D5CDD505-2E9C-101B-9397-08002B2CF9AE}" pid="7" name="MSIP_Label_1bc0f418-96a4-4caf-9d7c-ccc5ec7f9d91_Name">
    <vt:lpwstr>Unrestricted</vt:lpwstr>
  </property>
  <property fmtid="{D5CDD505-2E9C-101B-9397-08002B2CF9AE}" pid="8" name="MSIP_Label_1bc0f418-96a4-4caf-9d7c-ccc5ec7f9d91_Application">
    <vt:lpwstr>Microsoft Azure Information Protection</vt:lpwstr>
  </property>
  <property fmtid="{D5CDD505-2E9C-101B-9397-08002B2CF9AE}" pid="9" name="MSIP_Label_1bc0f418-96a4-4caf-9d7c-ccc5ec7f9d91_Extended_MSFT_Method">
    <vt:lpwstr>Manual</vt:lpwstr>
  </property>
  <property fmtid="{D5CDD505-2E9C-101B-9397-08002B2CF9AE}" pid="10" name="Sensitivity">
    <vt:lpwstr>Unrestricted</vt:lpwstr>
  </property>
</Properties>
</file>